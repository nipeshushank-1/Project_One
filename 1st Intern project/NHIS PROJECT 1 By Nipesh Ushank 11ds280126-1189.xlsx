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pivotTables/pivotTable11.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Project 1 NIS Intern\"/>
    </mc:Choice>
  </mc:AlternateContent>
  <xr:revisionPtr revIDLastSave="0" documentId="13_ncr:1_{6FA4FE26-45BA-415E-96AF-5581B8A8304C}" xr6:coauthVersionLast="47" xr6:coauthVersionMax="47" xr10:uidLastSave="{00000000-0000-0000-0000-000000000000}"/>
  <bookViews>
    <workbookView xWindow="-110" yWindow="-110" windowWidth="19420" windowHeight="10300" tabRatio="601" activeTab="5" xr2:uid="{E3DD6AB2-53CC-4F43-BCAF-FA46E20BB9F0}"/>
  </bookViews>
  <sheets>
    <sheet name="Dataset-1" sheetId="1" r:id="rId1"/>
    <sheet name="Dataset-2" sheetId="2" r:id="rId2"/>
    <sheet name="Dataset-3" sheetId="13" r:id="rId3"/>
    <sheet name="Sheet A" sheetId="31" r:id="rId4"/>
    <sheet name="Sheet B" sheetId="34" r:id="rId5"/>
    <sheet name="Pivot Table" sheetId="23" r:id="rId6"/>
    <sheet name="Dashboard" sheetId="30" r:id="rId7"/>
    <sheet name="Sheet2" sheetId="36" r:id="rId8"/>
    <sheet name="Sheet5" sheetId="24" r:id="rId9"/>
    <sheet name="dash que" sheetId="18" r:id="rId10"/>
  </sheets>
  <definedNames>
    <definedName name="_xlnm._FilterDatabase" localSheetId="0" hidden="1">'Dataset-1'!$K$1:$K$616</definedName>
    <definedName name="_xlnm._FilterDatabase" localSheetId="1">'Dataset-2'!$A$2:$H$2</definedName>
    <definedName name="_xlnm._FilterDatabase" localSheetId="2" hidden="1">'Dataset-3'!$A$2:$S$2</definedName>
    <definedName name="_xlnm._FilterDatabase" localSheetId="3" hidden="1">'Sheet A'!$A$1:$S$1</definedName>
    <definedName name="_xlnm._FilterDatabase" localSheetId="4" hidden="1">'Sheet B'!$A$1:$S$1</definedName>
    <definedName name="_xlchart.v2.0" hidden="1">'Pivot Table'!$A$174:$A$197</definedName>
    <definedName name="_xlchart.v2.1" hidden="1">'Pivot Table'!$C$173</definedName>
    <definedName name="_xlchart.v2.2" hidden="1">'Pivot Table'!$C$174:$C$197</definedName>
    <definedName name="_xlchart.v2.3" hidden="1">'Pivot Table'!$A$174:$A$197</definedName>
    <definedName name="_xlchart.v2.4" hidden="1">'Pivot Table'!$C$173</definedName>
    <definedName name="_xlchart.v2.5" hidden="1">'Pivot Table'!$C$174:$C$197</definedName>
    <definedName name="detail1">'Dataset-1'!$B$3:$L$612</definedName>
    <definedName name="Slicer_Days">#N/A</definedName>
    <definedName name="Slicer_Dteday">#N/A</definedName>
    <definedName name="Slicer_Temp">#N/A</definedName>
    <definedName name="Slicer_Time">#N/A</definedName>
    <definedName name="Slicer_Weather">#N/A</definedName>
  </definedNames>
  <calcPr calcId="191029" calcMode="autoNoTable"/>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004" i="34" l="1"/>
  <c r="C175" i="23"/>
  <c r="C176" i="23"/>
  <c r="C177" i="23"/>
  <c r="C178" i="23"/>
  <c r="C179" i="23"/>
  <c r="C180" i="23"/>
  <c r="C181" i="23"/>
  <c r="C182" i="23"/>
  <c r="C183" i="23"/>
  <c r="C184" i="23"/>
  <c r="C185" i="23"/>
  <c r="C186" i="23"/>
  <c r="C187" i="23"/>
  <c r="C188" i="23"/>
  <c r="C189" i="23"/>
  <c r="C190" i="23"/>
  <c r="C191" i="23"/>
  <c r="C192" i="23"/>
  <c r="C193" i="23"/>
  <c r="C194" i="23"/>
  <c r="C195" i="23"/>
  <c r="C196" i="23"/>
  <c r="C174" i="23"/>
  <c r="M4" i="1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319" i="13"/>
  <c r="M320" i="13"/>
  <c r="M321" i="13"/>
  <c r="M322" i="13"/>
  <c r="M323" i="13"/>
  <c r="M324" i="13"/>
  <c r="M325" i="13"/>
  <c r="M326" i="13"/>
  <c r="M327" i="13"/>
  <c r="M328" i="13"/>
  <c r="M329" i="13"/>
  <c r="M330" i="13"/>
  <c r="M331" i="13"/>
  <c r="M332" i="13"/>
  <c r="M333" i="13"/>
  <c r="M334" i="13"/>
  <c r="M335" i="13"/>
  <c r="M336" i="13"/>
  <c r="M337" i="13"/>
  <c r="M338" i="13"/>
  <c r="M339" i="13"/>
  <c r="M948" i="34" s="1"/>
  <c r="N948" i="34" s="1"/>
  <c r="O948" i="34" s="1"/>
  <c r="P948" i="34" s="1"/>
  <c r="Q948" i="34" s="1"/>
  <c r="R948" i="34" s="1"/>
  <c r="S948" i="34" s="1"/>
  <c r="M340" i="13"/>
  <c r="M341" i="13"/>
  <c r="M342" i="13"/>
  <c r="M343" i="13"/>
  <c r="M344" i="13"/>
  <c r="M345" i="13"/>
  <c r="M346" i="13"/>
  <c r="M347" i="13"/>
  <c r="M348" i="13"/>
  <c r="M349" i="13"/>
  <c r="M350" i="13"/>
  <c r="M351" i="13"/>
  <c r="M352" i="13"/>
  <c r="M353" i="13"/>
  <c r="M354" i="13"/>
  <c r="M355" i="13"/>
  <c r="M356" i="13"/>
  <c r="M357" i="13"/>
  <c r="M358" i="13"/>
  <c r="M359" i="13"/>
  <c r="M360" i="13"/>
  <c r="M361" i="13"/>
  <c r="M362" i="13"/>
  <c r="M363" i="13"/>
  <c r="M364" i="13"/>
  <c r="M365" i="13"/>
  <c r="M366" i="13"/>
  <c r="M367" i="13"/>
  <c r="M368" i="13"/>
  <c r="M369" i="13"/>
  <c r="M370" i="13"/>
  <c r="M371" i="13"/>
  <c r="M980" i="34" s="1"/>
  <c r="N980" i="34" s="1"/>
  <c r="O980" i="34" s="1"/>
  <c r="P980" i="34" s="1"/>
  <c r="Q980" i="34" s="1"/>
  <c r="R980" i="34" s="1"/>
  <c r="S980" i="34" s="1"/>
  <c r="M372" i="13"/>
  <c r="M373" i="13"/>
  <c r="M374" i="13"/>
  <c r="M375" i="13"/>
  <c r="M376" i="13"/>
  <c r="M377" i="13"/>
  <c r="M378" i="13"/>
  <c r="M379" i="13"/>
  <c r="M380" i="13"/>
  <c r="M381" i="13"/>
  <c r="M382" i="13"/>
  <c r="M383" i="13"/>
  <c r="M384" i="13"/>
  <c r="M385" i="13"/>
  <c r="M386" i="13"/>
  <c r="M387" i="13"/>
  <c r="M996" i="34" s="1"/>
  <c r="N996" i="34" s="1"/>
  <c r="O996" i="34" s="1"/>
  <c r="P996" i="34" s="1"/>
  <c r="Q996" i="34" s="1"/>
  <c r="R996" i="34" s="1"/>
  <c r="S996" i="34" s="1"/>
  <c r="M388" i="13"/>
  <c r="M389" i="13"/>
  <c r="M390" i="13"/>
  <c r="M391" i="13"/>
  <c r="M392" i="13"/>
  <c r="M3" i="13"/>
  <c r="M746" i="34"/>
  <c r="N746" i="34" s="1"/>
  <c r="O746" i="34" s="1"/>
  <c r="P746" i="34" s="1"/>
  <c r="Q746" i="34" s="1"/>
  <c r="R746" i="34" s="1"/>
  <c r="S746" i="34" s="1"/>
  <c r="M762" i="34"/>
  <c r="N762" i="34" s="1"/>
  <c r="O762" i="34" s="1"/>
  <c r="P762" i="34" s="1"/>
  <c r="Q762" i="34" s="1"/>
  <c r="R762" i="34" s="1"/>
  <c r="S762" i="34" s="1"/>
  <c r="M61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B613" i="34"/>
  <c r="C613" i="34" s="1"/>
  <c r="D613" i="34" s="1"/>
  <c r="E613" i="34" s="1"/>
  <c r="F613" i="34" s="1"/>
  <c r="G613" i="34" s="1"/>
  <c r="H613" i="34" s="1"/>
  <c r="I613" i="34" s="1"/>
  <c r="J613" i="34" s="1"/>
  <c r="K613" i="34" s="1"/>
  <c r="L613" i="34" s="1"/>
  <c r="M613" i="34" s="1"/>
  <c r="N613" i="34" s="1"/>
  <c r="O613" i="34" s="1"/>
  <c r="P613" i="34" s="1"/>
  <c r="Q613" i="34" s="1"/>
  <c r="R613" i="34" s="1"/>
  <c r="S613" i="34" s="1"/>
  <c r="B614" i="34"/>
  <c r="C614" i="34" s="1"/>
  <c r="D614" i="34" s="1"/>
  <c r="E614" i="34" s="1"/>
  <c r="F614" i="34" s="1"/>
  <c r="G614" i="34" s="1"/>
  <c r="H614" i="34" s="1"/>
  <c r="I614" i="34" s="1"/>
  <c r="J614" i="34" s="1"/>
  <c r="K614" i="34" s="1"/>
  <c r="L614" i="34" s="1"/>
  <c r="M614" i="34" s="1"/>
  <c r="N614" i="34" s="1"/>
  <c r="O614" i="34" s="1"/>
  <c r="P614" i="34" s="1"/>
  <c r="Q614" i="34" s="1"/>
  <c r="R614" i="34" s="1"/>
  <c r="S614" i="34" s="1"/>
  <c r="B615" i="34"/>
  <c r="C615" i="34" s="1"/>
  <c r="D615" i="34" s="1"/>
  <c r="E615" i="34" s="1"/>
  <c r="F615" i="34" s="1"/>
  <c r="G615" i="34" s="1"/>
  <c r="H615" i="34" s="1"/>
  <c r="I615" i="34" s="1"/>
  <c r="J615" i="34" s="1"/>
  <c r="K615" i="34" s="1"/>
  <c r="L615" i="34" s="1"/>
  <c r="B616" i="34"/>
  <c r="C616" i="34" s="1"/>
  <c r="D616" i="34" s="1"/>
  <c r="E616" i="34" s="1"/>
  <c r="F616" i="34" s="1"/>
  <c r="G616" i="34" s="1"/>
  <c r="H616" i="34" s="1"/>
  <c r="I616" i="34" s="1"/>
  <c r="J616" i="34" s="1"/>
  <c r="K616" i="34" s="1"/>
  <c r="L616" i="34" s="1"/>
  <c r="M616" i="34" s="1"/>
  <c r="N616" i="34" s="1"/>
  <c r="O616" i="34" s="1"/>
  <c r="P616" i="34" s="1"/>
  <c r="Q616" i="34" s="1"/>
  <c r="R616" i="34" s="1"/>
  <c r="S616" i="34" s="1"/>
  <c r="B617" i="34"/>
  <c r="C617" i="34" s="1"/>
  <c r="D617" i="34" s="1"/>
  <c r="E617" i="34" s="1"/>
  <c r="F617" i="34" s="1"/>
  <c r="G617" i="34" s="1"/>
  <c r="H617" i="34" s="1"/>
  <c r="I617" i="34" s="1"/>
  <c r="J617" i="34" s="1"/>
  <c r="K617" i="34" s="1"/>
  <c r="L617" i="34" s="1"/>
  <c r="B618" i="34"/>
  <c r="C618" i="34" s="1"/>
  <c r="D618" i="34" s="1"/>
  <c r="E618" i="34" s="1"/>
  <c r="F618" i="34" s="1"/>
  <c r="G618" i="34" s="1"/>
  <c r="H618" i="34" s="1"/>
  <c r="I618" i="34" s="1"/>
  <c r="J618" i="34" s="1"/>
  <c r="K618" i="34" s="1"/>
  <c r="L618" i="34" s="1"/>
  <c r="B619" i="34"/>
  <c r="C619" i="34" s="1"/>
  <c r="D619" i="34" s="1"/>
  <c r="E619" i="34" s="1"/>
  <c r="F619" i="34" s="1"/>
  <c r="G619" i="34" s="1"/>
  <c r="H619" i="34" s="1"/>
  <c r="I619" i="34" s="1"/>
  <c r="J619" i="34" s="1"/>
  <c r="K619" i="34" s="1"/>
  <c r="L619" i="34" s="1"/>
  <c r="B620" i="34"/>
  <c r="C620" i="34" s="1"/>
  <c r="D620" i="34" s="1"/>
  <c r="E620" i="34" s="1"/>
  <c r="F620" i="34" s="1"/>
  <c r="G620" i="34" s="1"/>
  <c r="H620" i="34" s="1"/>
  <c r="I620" i="34" s="1"/>
  <c r="J620" i="34" s="1"/>
  <c r="K620" i="34" s="1"/>
  <c r="L620" i="34" s="1"/>
  <c r="B621" i="34"/>
  <c r="C621" i="34" s="1"/>
  <c r="D621" i="34" s="1"/>
  <c r="E621" i="34" s="1"/>
  <c r="F621" i="34" s="1"/>
  <c r="G621" i="34" s="1"/>
  <c r="H621" i="34" s="1"/>
  <c r="I621" i="34" s="1"/>
  <c r="J621" i="34" s="1"/>
  <c r="K621" i="34" s="1"/>
  <c r="L621" i="34" s="1"/>
  <c r="M621" i="34" s="1"/>
  <c r="N621" i="34" s="1"/>
  <c r="O621" i="34" s="1"/>
  <c r="P621" i="34" s="1"/>
  <c r="Q621" i="34" s="1"/>
  <c r="R621" i="34" s="1"/>
  <c r="S621" i="34" s="1"/>
  <c r="B622" i="34"/>
  <c r="C622" i="34" s="1"/>
  <c r="D622" i="34" s="1"/>
  <c r="E622" i="34" s="1"/>
  <c r="F622" i="34" s="1"/>
  <c r="G622" i="34" s="1"/>
  <c r="H622" i="34" s="1"/>
  <c r="I622" i="34" s="1"/>
  <c r="J622" i="34" s="1"/>
  <c r="K622" i="34" s="1"/>
  <c r="L622" i="34" s="1"/>
  <c r="M622" i="34" s="1"/>
  <c r="N622" i="34" s="1"/>
  <c r="O622" i="34" s="1"/>
  <c r="P622" i="34" s="1"/>
  <c r="Q622" i="34" s="1"/>
  <c r="R622" i="34" s="1"/>
  <c r="S622" i="34" s="1"/>
  <c r="B623" i="34"/>
  <c r="C623" i="34" s="1"/>
  <c r="D623" i="34" s="1"/>
  <c r="E623" i="34" s="1"/>
  <c r="F623" i="34" s="1"/>
  <c r="G623" i="34" s="1"/>
  <c r="H623" i="34" s="1"/>
  <c r="I623" i="34" s="1"/>
  <c r="J623" i="34" s="1"/>
  <c r="K623" i="34" s="1"/>
  <c r="L623" i="34" s="1"/>
  <c r="M623" i="34" s="1"/>
  <c r="N623" i="34" s="1"/>
  <c r="O623" i="34" s="1"/>
  <c r="P623" i="34" s="1"/>
  <c r="Q623" i="34" s="1"/>
  <c r="R623" i="34" s="1"/>
  <c r="S623" i="34" s="1"/>
  <c r="B624" i="34"/>
  <c r="C624" i="34" s="1"/>
  <c r="D624" i="34" s="1"/>
  <c r="E624" i="34" s="1"/>
  <c r="F624" i="34" s="1"/>
  <c r="G624" i="34" s="1"/>
  <c r="H624" i="34" s="1"/>
  <c r="I624" i="34" s="1"/>
  <c r="J624" i="34" s="1"/>
  <c r="K624" i="34" s="1"/>
  <c r="L624" i="34" s="1"/>
  <c r="M624" i="34" s="1"/>
  <c r="N624" i="34" s="1"/>
  <c r="O624" i="34" s="1"/>
  <c r="P624" i="34" s="1"/>
  <c r="Q624" i="34" s="1"/>
  <c r="R624" i="34" s="1"/>
  <c r="S624" i="34" s="1"/>
  <c r="B625" i="34"/>
  <c r="C625" i="34" s="1"/>
  <c r="D625" i="34" s="1"/>
  <c r="E625" i="34" s="1"/>
  <c r="F625" i="34" s="1"/>
  <c r="G625" i="34" s="1"/>
  <c r="H625" i="34" s="1"/>
  <c r="I625" i="34" s="1"/>
  <c r="J625" i="34" s="1"/>
  <c r="K625" i="34" s="1"/>
  <c r="L625" i="34" s="1"/>
  <c r="B626" i="34"/>
  <c r="C626" i="34" s="1"/>
  <c r="D626" i="34" s="1"/>
  <c r="E626" i="34" s="1"/>
  <c r="F626" i="34" s="1"/>
  <c r="G626" i="34" s="1"/>
  <c r="H626" i="34" s="1"/>
  <c r="I626" i="34" s="1"/>
  <c r="J626" i="34" s="1"/>
  <c r="K626" i="34" s="1"/>
  <c r="L626" i="34" s="1"/>
  <c r="B627" i="34"/>
  <c r="C627" i="34" s="1"/>
  <c r="D627" i="34" s="1"/>
  <c r="E627" i="34" s="1"/>
  <c r="F627" i="34" s="1"/>
  <c r="G627" i="34" s="1"/>
  <c r="H627" i="34" s="1"/>
  <c r="I627" i="34" s="1"/>
  <c r="J627" i="34" s="1"/>
  <c r="K627" i="34" s="1"/>
  <c r="L627" i="34" s="1"/>
  <c r="B628" i="34"/>
  <c r="C628" i="34" s="1"/>
  <c r="D628" i="34" s="1"/>
  <c r="E628" i="34" s="1"/>
  <c r="F628" i="34" s="1"/>
  <c r="G628" i="34" s="1"/>
  <c r="H628" i="34" s="1"/>
  <c r="I628" i="34" s="1"/>
  <c r="J628" i="34" s="1"/>
  <c r="K628" i="34" s="1"/>
  <c r="L628" i="34" s="1"/>
  <c r="B629" i="34"/>
  <c r="C629" i="34" s="1"/>
  <c r="D629" i="34" s="1"/>
  <c r="E629" i="34" s="1"/>
  <c r="F629" i="34" s="1"/>
  <c r="G629" i="34" s="1"/>
  <c r="H629" i="34" s="1"/>
  <c r="I629" i="34" s="1"/>
  <c r="J629" i="34" s="1"/>
  <c r="K629" i="34" s="1"/>
  <c r="L629" i="34" s="1"/>
  <c r="M629" i="34" s="1"/>
  <c r="N629" i="34" s="1"/>
  <c r="O629" i="34" s="1"/>
  <c r="P629" i="34" s="1"/>
  <c r="Q629" i="34" s="1"/>
  <c r="R629" i="34" s="1"/>
  <c r="S629" i="34" s="1"/>
  <c r="B630" i="34"/>
  <c r="C630" i="34" s="1"/>
  <c r="D630" i="34" s="1"/>
  <c r="E630" i="34" s="1"/>
  <c r="F630" i="34" s="1"/>
  <c r="G630" i="34" s="1"/>
  <c r="H630" i="34" s="1"/>
  <c r="I630" i="34" s="1"/>
  <c r="J630" i="34" s="1"/>
  <c r="K630" i="34" s="1"/>
  <c r="L630" i="34" s="1"/>
  <c r="M630" i="34" s="1"/>
  <c r="N630" i="34" s="1"/>
  <c r="O630" i="34" s="1"/>
  <c r="P630" i="34" s="1"/>
  <c r="Q630" i="34" s="1"/>
  <c r="R630" i="34" s="1"/>
  <c r="S630" i="34" s="1"/>
  <c r="B631" i="34"/>
  <c r="C631" i="34" s="1"/>
  <c r="D631" i="34" s="1"/>
  <c r="E631" i="34" s="1"/>
  <c r="F631" i="34" s="1"/>
  <c r="G631" i="34" s="1"/>
  <c r="H631" i="34" s="1"/>
  <c r="I631" i="34" s="1"/>
  <c r="J631" i="34" s="1"/>
  <c r="K631" i="34" s="1"/>
  <c r="L631" i="34" s="1"/>
  <c r="M631" i="34" s="1"/>
  <c r="N631" i="34" s="1"/>
  <c r="O631" i="34" s="1"/>
  <c r="P631" i="34" s="1"/>
  <c r="Q631" i="34" s="1"/>
  <c r="R631" i="34" s="1"/>
  <c r="S631" i="34" s="1"/>
  <c r="B632" i="34"/>
  <c r="C632" i="34" s="1"/>
  <c r="D632" i="34" s="1"/>
  <c r="E632" i="34" s="1"/>
  <c r="F632" i="34" s="1"/>
  <c r="G632" i="34" s="1"/>
  <c r="H632" i="34" s="1"/>
  <c r="I632" i="34" s="1"/>
  <c r="J632" i="34" s="1"/>
  <c r="K632" i="34" s="1"/>
  <c r="L632" i="34" s="1"/>
  <c r="B633" i="34"/>
  <c r="C633" i="34" s="1"/>
  <c r="D633" i="34" s="1"/>
  <c r="E633" i="34" s="1"/>
  <c r="F633" i="34" s="1"/>
  <c r="G633" i="34" s="1"/>
  <c r="H633" i="34" s="1"/>
  <c r="I633" i="34" s="1"/>
  <c r="J633" i="34" s="1"/>
  <c r="K633" i="34" s="1"/>
  <c r="L633" i="34" s="1"/>
  <c r="B634" i="34"/>
  <c r="C634" i="34" s="1"/>
  <c r="D634" i="34" s="1"/>
  <c r="E634" i="34" s="1"/>
  <c r="F634" i="34" s="1"/>
  <c r="G634" i="34" s="1"/>
  <c r="H634" i="34" s="1"/>
  <c r="I634" i="34" s="1"/>
  <c r="J634" i="34" s="1"/>
  <c r="K634" i="34" s="1"/>
  <c r="L634" i="34" s="1"/>
  <c r="B635" i="34"/>
  <c r="C635" i="34" s="1"/>
  <c r="D635" i="34" s="1"/>
  <c r="E635" i="34" s="1"/>
  <c r="F635" i="34" s="1"/>
  <c r="G635" i="34" s="1"/>
  <c r="H635" i="34" s="1"/>
  <c r="I635" i="34" s="1"/>
  <c r="J635" i="34" s="1"/>
  <c r="K635" i="34" s="1"/>
  <c r="L635" i="34" s="1"/>
  <c r="B636" i="34"/>
  <c r="C636" i="34" s="1"/>
  <c r="D636" i="34" s="1"/>
  <c r="E636" i="34" s="1"/>
  <c r="F636" i="34" s="1"/>
  <c r="G636" i="34" s="1"/>
  <c r="H636" i="34"/>
  <c r="I636" i="34" s="1"/>
  <c r="J636" i="34" s="1"/>
  <c r="K636" i="34" s="1"/>
  <c r="L636" i="34" s="1"/>
  <c r="B637" i="34"/>
  <c r="C637" i="34" s="1"/>
  <c r="D637" i="34" s="1"/>
  <c r="E637" i="34" s="1"/>
  <c r="F637" i="34" s="1"/>
  <c r="G637" i="34" s="1"/>
  <c r="H637" i="34" s="1"/>
  <c r="I637" i="34" s="1"/>
  <c r="J637" i="34" s="1"/>
  <c r="K637" i="34" s="1"/>
  <c r="L637" i="34" s="1"/>
  <c r="M637" i="34" s="1"/>
  <c r="N637" i="34" s="1"/>
  <c r="O637" i="34" s="1"/>
  <c r="P637" i="34" s="1"/>
  <c r="Q637" i="34" s="1"/>
  <c r="R637" i="34" s="1"/>
  <c r="S637" i="34" s="1"/>
  <c r="B638" i="34"/>
  <c r="C638" i="34" s="1"/>
  <c r="D638" i="34" s="1"/>
  <c r="E638" i="34"/>
  <c r="F638" i="34" s="1"/>
  <c r="G638" i="34" s="1"/>
  <c r="H638" i="34" s="1"/>
  <c r="I638" i="34" s="1"/>
  <c r="J638" i="34" s="1"/>
  <c r="K638" i="34" s="1"/>
  <c r="L638" i="34" s="1"/>
  <c r="M638" i="34" s="1"/>
  <c r="N638" i="34" s="1"/>
  <c r="O638" i="34" s="1"/>
  <c r="P638" i="34" s="1"/>
  <c r="Q638" i="34" s="1"/>
  <c r="R638" i="34" s="1"/>
  <c r="S638" i="34" s="1"/>
  <c r="B639" i="34"/>
  <c r="C639" i="34" s="1"/>
  <c r="D639" i="34" s="1"/>
  <c r="E639" i="34" s="1"/>
  <c r="F639" i="34" s="1"/>
  <c r="G639" i="34" s="1"/>
  <c r="H639" i="34" s="1"/>
  <c r="I639" i="34" s="1"/>
  <c r="J639" i="34" s="1"/>
  <c r="K639" i="34" s="1"/>
  <c r="L639" i="34" s="1"/>
  <c r="M639" i="34" s="1"/>
  <c r="N639" i="34" s="1"/>
  <c r="O639" i="34" s="1"/>
  <c r="P639" i="34" s="1"/>
  <c r="Q639" i="34" s="1"/>
  <c r="R639" i="34" s="1"/>
  <c r="S639" i="34" s="1"/>
  <c r="B640" i="34"/>
  <c r="C640" i="34" s="1"/>
  <c r="D640" i="34" s="1"/>
  <c r="E640" i="34" s="1"/>
  <c r="F640" i="34"/>
  <c r="G640" i="34"/>
  <c r="H640" i="34" s="1"/>
  <c r="I640" i="34" s="1"/>
  <c r="J640" i="34" s="1"/>
  <c r="K640" i="34"/>
  <c r="L640" i="34" s="1"/>
  <c r="M640" i="34" s="1"/>
  <c r="N640" i="34" s="1"/>
  <c r="O640" i="34" s="1"/>
  <c r="P640" i="34" s="1"/>
  <c r="Q640" i="34" s="1"/>
  <c r="R640" i="34" s="1"/>
  <c r="S640" i="34" s="1"/>
  <c r="B641" i="34"/>
  <c r="C641" i="34" s="1"/>
  <c r="D641" i="34" s="1"/>
  <c r="E641" i="34" s="1"/>
  <c r="F641" i="34" s="1"/>
  <c r="G641" i="34" s="1"/>
  <c r="H641" i="34" s="1"/>
  <c r="I641" i="34" s="1"/>
  <c r="J641" i="34" s="1"/>
  <c r="K641" i="34" s="1"/>
  <c r="L641" i="34" s="1"/>
  <c r="M641" i="34" s="1"/>
  <c r="N641" i="34" s="1"/>
  <c r="O641" i="34" s="1"/>
  <c r="P641" i="34" s="1"/>
  <c r="Q641" i="34" s="1"/>
  <c r="R641" i="34" s="1"/>
  <c r="S641" i="34" s="1"/>
  <c r="B642" i="34"/>
  <c r="C642" i="34" s="1"/>
  <c r="D642" i="34" s="1"/>
  <c r="E642" i="34" s="1"/>
  <c r="F642" i="34" s="1"/>
  <c r="G642" i="34" s="1"/>
  <c r="H642" i="34" s="1"/>
  <c r="I642" i="34" s="1"/>
  <c r="J642" i="34" s="1"/>
  <c r="K642" i="34" s="1"/>
  <c r="L642" i="34" s="1"/>
  <c r="M642" i="34" s="1"/>
  <c r="N642" i="34" s="1"/>
  <c r="O642" i="34" s="1"/>
  <c r="P642" i="34" s="1"/>
  <c r="Q642" i="34" s="1"/>
  <c r="R642" i="34" s="1"/>
  <c r="S642" i="34" s="1"/>
  <c r="B643" i="34"/>
  <c r="C643" i="34" s="1"/>
  <c r="D643" i="34" s="1"/>
  <c r="E643" i="34" s="1"/>
  <c r="F643" i="34" s="1"/>
  <c r="G643" i="34" s="1"/>
  <c r="H643" i="34" s="1"/>
  <c r="I643" i="34" s="1"/>
  <c r="J643" i="34" s="1"/>
  <c r="K643" i="34" s="1"/>
  <c r="L643" i="34" s="1"/>
  <c r="B644" i="34"/>
  <c r="C644" i="34" s="1"/>
  <c r="D644" i="34" s="1"/>
  <c r="E644" i="34" s="1"/>
  <c r="F644" i="34" s="1"/>
  <c r="G644" i="34" s="1"/>
  <c r="H644" i="34" s="1"/>
  <c r="I644" i="34" s="1"/>
  <c r="J644" i="34" s="1"/>
  <c r="K644" i="34" s="1"/>
  <c r="L644" i="34" s="1"/>
  <c r="B645" i="34"/>
  <c r="C645" i="34" s="1"/>
  <c r="D645" i="34" s="1"/>
  <c r="E645" i="34" s="1"/>
  <c r="F645" i="34" s="1"/>
  <c r="G645" i="34" s="1"/>
  <c r="H645" i="34" s="1"/>
  <c r="I645" i="34" s="1"/>
  <c r="J645" i="34" s="1"/>
  <c r="K645" i="34" s="1"/>
  <c r="L645" i="34" s="1"/>
  <c r="M645" i="34" s="1"/>
  <c r="N645" i="34" s="1"/>
  <c r="O645" i="34" s="1"/>
  <c r="P645" i="34" s="1"/>
  <c r="Q645" i="34" s="1"/>
  <c r="R645" i="34" s="1"/>
  <c r="S645" i="34" s="1"/>
  <c r="B646" i="34"/>
  <c r="C646" i="34" s="1"/>
  <c r="D646" i="34" s="1"/>
  <c r="E646" i="34" s="1"/>
  <c r="F646" i="34" s="1"/>
  <c r="G646" i="34" s="1"/>
  <c r="H646" i="34"/>
  <c r="I646" i="34" s="1"/>
  <c r="J646" i="34" s="1"/>
  <c r="K646" i="34" s="1"/>
  <c r="L646" i="34" s="1"/>
  <c r="M646" i="34" s="1"/>
  <c r="N646" i="34" s="1"/>
  <c r="O646" i="34" s="1"/>
  <c r="P646" i="34" s="1"/>
  <c r="Q646" i="34" s="1"/>
  <c r="R646" i="34" s="1"/>
  <c r="S646" i="34" s="1"/>
  <c r="B647" i="34"/>
  <c r="C647" i="34" s="1"/>
  <c r="D647" i="34" s="1"/>
  <c r="E647" i="34" s="1"/>
  <c r="F647" i="34" s="1"/>
  <c r="G647" i="34" s="1"/>
  <c r="H647" i="34" s="1"/>
  <c r="I647" i="34" s="1"/>
  <c r="J647" i="34" s="1"/>
  <c r="K647" i="34" s="1"/>
  <c r="L647" i="34" s="1"/>
  <c r="M647" i="34" s="1"/>
  <c r="N647" i="34" s="1"/>
  <c r="O647" i="34" s="1"/>
  <c r="P647" i="34" s="1"/>
  <c r="Q647" i="34" s="1"/>
  <c r="R647" i="34" s="1"/>
  <c r="S647" i="34" s="1"/>
  <c r="B648" i="34"/>
  <c r="C648" i="34" s="1"/>
  <c r="D648" i="34" s="1"/>
  <c r="E648" i="34" s="1"/>
  <c r="F648" i="34" s="1"/>
  <c r="G648" i="34" s="1"/>
  <c r="H648" i="34" s="1"/>
  <c r="I648" i="34" s="1"/>
  <c r="J648" i="34" s="1"/>
  <c r="K648" i="34" s="1"/>
  <c r="L648" i="34" s="1"/>
  <c r="M648" i="34" s="1"/>
  <c r="N648" i="34" s="1"/>
  <c r="O648" i="34" s="1"/>
  <c r="P648" i="34" s="1"/>
  <c r="Q648" i="34" s="1"/>
  <c r="R648" i="34" s="1"/>
  <c r="S648" i="34" s="1"/>
  <c r="B649" i="34"/>
  <c r="C649" i="34" s="1"/>
  <c r="D649" i="34" s="1"/>
  <c r="E649" i="34" s="1"/>
  <c r="F649" i="34" s="1"/>
  <c r="G649" i="34" s="1"/>
  <c r="H649" i="34" s="1"/>
  <c r="I649" i="34"/>
  <c r="J649" i="34" s="1"/>
  <c r="K649" i="34" s="1"/>
  <c r="L649" i="34" s="1"/>
  <c r="B650" i="34"/>
  <c r="C650" i="34" s="1"/>
  <c r="D650" i="34" s="1"/>
  <c r="E650" i="34" s="1"/>
  <c r="F650" i="34" s="1"/>
  <c r="G650" i="34" s="1"/>
  <c r="H650" i="34" s="1"/>
  <c r="I650" i="34" s="1"/>
  <c r="J650" i="34" s="1"/>
  <c r="K650" i="34" s="1"/>
  <c r="L650" i="34" s="1"/>
  <c r="B651" i="34"/>
  <c r="C651" i="34" s="1"/>
  <c r="D651" i="34" s="1"/>
  <c r="E651" i="34" s="1"/>
  <c r="F651" i="34" s="1"/>
  <c r="G651" i="34" s="1"/>
  <c r="H651" i="34" s="1"/>
  <c r="I651" i="34" s="1"/>
  <c r="J651" i="34" s="1"/>
  <c r="K651" i="34" s="1"/>
  <c r="L651" i="34" s="1"/>
  <c r="B652" i="34"/>
  <c r="C652" i="34" s="1"/>
  <c r="D652" i="34" s="1"/>
  <c r="E652" i="34" s="1"/>
  <c r="F652" i="34" s="1"/>
  <c r="G652" i="34" s="1"/>
  <c r="H652" i="34" s="1"/>
  <c r="I652" i="34" s="1"/>
  <c r="J652" i="34" s="1"/>
  <c r="K652" i="34" s="1"/>
  <c r="L652" i="34" s="1"/>
  <c r="B653" i="34"/>
  <c r="C653" i="34" s="1"/>
  <c r="D653" i="34" s="1"/>
  <c r="E653" i="34" s="1"/>
  <c r="F653" i="34" s="1"/>
  <c r="G653" i="34" s="1"/>
  <c r="H653" i="34" s="1"/>
  <c r="I653" i="34" s="1"/>
  <c r="J653" i="34" s="1"/>
  <c r="K653" i="34" s="1"/>
  <c r="L653" i="34" s="1"/>
  <c r="M653" i="34" s="1"/>
  <c r="N653" i="34" s="1"/>
  <c r="O653" i="34" s="1"/>
  <c r="P653" i="34" s="1"/>
  <c r="Q653" i="34" s="1"/>
  <c r="R653" i="34" s="1"/>
  <c r="S653" i="34" s="1"/>
  <c r="B654" i="34"/>
  <c r="C654" i="34" s="1"/>
  <c r="D654" i="34" s="1"/>
  <c r="E654" i="34" s="1"/>
  <c r="F654" i="34" s="1"/>
  <c r="G654" i="34" s="1"/>
  <c r="H654" i="34" s="1"/>
  <c r="I654" i="34" s="1"/>
  <c r="J654" i="34" s="1"/>
  <c r="K654" i="34" s="1"/>
  <c r="L654" i="34" s="1"/>
  <c r="M654" i="34" s="1"/>
  <c r="N654" i="34" s="1"/>
  <c r="O654" i="34" s="1"/>
  <c r="P654" i="34" s="1"/>
  <c r="Q654" i="34" s="1"/>
  <c r="R654" i="34" s="1"/>
  <c r="S654" i="34" s="1"/>
  <c r="B655" i="34"/>
  <c r="C655" i="34"/>
  <c r="D655" i="34" s="1"/>
  <c r="E655" i="34" s="1"/>
  <c r="F655" i="34" s="1"/>
  <c r="G655" i="34" s="1"/>
  <c r="H655" i="34" s="1"/>
  <c r="I655" i="34" s="1"/>
  <c r="J655" i="34" s="1"/>
  <c r="K655" i="34" s="1"/>
  <c r="L655" i="34" s="1"/>
  <c r="M655" i="34" s="1"/>
  <c r="N655" i="34" s="1"/>
  <c r="O655" i="34" s="1"/>
  <c r="P655" i="34" s="1"/>
  <c r="Q655" i="34" s="1"/>
  <c r="R655" i="34" s="1"/>
  <c r="S655" i="34" s="1"/>
  <c r="B656" i="34"/>
  <c r="C656" i="34" s="1"/>
  <c r="D656" i="34" s="1"/>
  <c r="E656" i="34"/>
  <c r="F656" i="34" s="1"/>
  <c r="G656" i="34" s="1"/>
  <c r="H656" i="34" s="1"/>
  <c r="I656" i="34" s="1"/>
  <c r="J656" i="34" s="1"/>
  <c r="K656" i="34" s="1"/>
  <c r="L656" i="34" s="1"/>
  <c r="B657" i="34"/>
  <c r="C657" i="34" s="1"/>
  <c r="D657" i="34" s="1"/>
  <c r="E657" i="34" s="1"/>
  <c r="F657" i="34" s="1"/>
  <c r="G657" i="34" s="1"/>
  <c r="H657" i="34" s="1"/>
  <c r="I657" i="34" s="1"/>
  <c r="J657" i="34" s="1"/>
  <c r="K657" i="34" s="1"/>
  <c r="L657" i="34" s="1"/>
  <c r="B658" i="34"/>
  <c r="C658" i="34" s="1"/>
  <c r="D658" i="34" s="1"/>
  <c r="E658" i="34" s="1"/>
  <c r="F658" i="34" s="1"/>
  <c r="G658" i="34" s="1"/>
  <c r="H658" i="34" s="1"/>
  <c r="I658" i="34" s="1"/>
  <c r="J658" i="34" s="1"/>
  <c r="K658" i="34" s="1"/>
  <c r="L658" i="34" s="1"/>
  <c r="B659" i="34"/>
  <c r="C659" i="34" s="1"/>
  <c r="D659" i="34" s="1"/>
  <c r="E659" i="34" s="1"/>
  <c r="F659" i="34" s="1"/>
  <c r="G659" i="34" s="1"/>
  <c r="H659" i="34" s="1"/>
  <c r="I659" i="34" s="1"/>
  <c r="J659" i="34" s="1"/>
  <c r="K659" i="34" s="1"/>
  <c r="L659" i="34" s="1"/>
  <c r="B660" i="34"/>
  <c r="C660" i="34" s="1"/>
  <c r="D660" i="34" s="1"/>
  <c r="E660" i="34" s="1"/>
  <c r="F660" i="34" s="1"/>
  <c r="G660" i="34" s="1"/>
  <c r="H660" i="34" s="1"/>
  <c r="I660" i="34" s="1"/>
  <c r="J660" i="34" s="1"/>
  <c r="K660" i="34" s="1"/>
  <c r="L660" i="34" s="1"/>
  <c r="B661" i="34"/>
  <c r="C661" i="34" s="1"/>
  <c r="D661" i="34" s="1"/>
  <c r="E661" i="34" s="1"/>
  <c r="F661" i="34" s="1"/>
  <c r="G661" i="34" s="1"/>
  <c r="H661" i="34" s="1"/>
  <c r="I661" i="34" s="1"/>
  <c r="J661" i="34" s="1"/>
  <c r="K661" i="34" s="1"/>
  <c r="L661" i="34" s="1"/>
  <c r="M661" i="34" s="1"/>
  <c r="N661" i="34" s="1"/>
  <c r="O661" i="34" s="1"/>
  <c r="P661" i="34" s="1"/>
  <c r="Q661" i="34" s="1"/>
  <c r="R661" i="34" s="1"/>
  <c r="S661" i="34" s="1"/>
  <c r="B662" i="34"/>
  <c r="C662" i="34" s="1"/>
  <c r="D662" i="34" s="1"/>
  <c r="E662" i="34" s="1"/>
  <c r="F662" i="34" s="1"/>
  <c r="G662" i="34" s="1"/>
  <c r="H662" i="34" s="1"/>
  <c r="I662" i="34" s="1"/>
  <c r="J662" i="34" s="1"/>
  <c r="K662" i="34" s="1"/>
  <c r="L662" i="34" s="1"/>
  <c r="M662" i="34" s="1"/>
  <c r="N662" i="34" s="1"/>
  <c r="O662" i="34" s="1"/>
  <c r="P662" i="34" s="1"/>
  <c r="Q662" i="34" s="1"/>
  <c r="R662" i="34" s="1"/>
  <c r="S662" i="34" s="1"/>
  <c r="B663" i="34"/>
  <c r="C663" i="34" s="1"/>
  <c r="D663" i="34" s="1"/>
  <c r="E663" i="34" s="1"/>
  <c r="F663" i="34" s="1"/>
  <c r="G663" i="34" s="1"/>
  <c r="H663" i="34" s="1"/>
  <c r="I663" i="34" s="1"/>
  <c r="J663" i="34" s="1"/>
  <c r="K663" i="34" s="1"/>
  <c r="L663" i="34" s="1"/>
  <c r="M663" i="34" s="1"/>
  <c r="N663" i="34" s="1"/>
  <c r="O663" i="34" s="1"/>
  <c r="P663" i="34" s="1"/>
  <c r="Q663" i="34" s="1"/>
  <c r="R663" i="34" s="1"/>
  <c r="S663" i="34" s="1"/>
  <c r="B664" i="34"/>
  <c r="C664" i="34"/>
  <c r="D664" i="34" s="1"/>
  <c r="E664" i="34" s="1"/>
  <c r="F664" i="34" s="1"/>
  <c r="G664" i="34" s="1"/>
  <c r="H664" i="34" s="1"/>
  <c r="I664" i="34" s="1"/>
  <c r="J664" i="34" s="1"/>
  <c r="K664" i="34" s="1"/>
  <c r="L664" i="34" s="1"/>
  <c r="M664" i="34" s="1"/>
  <c r="N664" i="34" s="1"/>
  <c r="O664" i="34" s="1"/>
  <c r="P664" i="34" s="1"/>
  <c r="Q664" i="34" s="1"/>
  <c r="R664" i="34" s="1"/>
  <c r="S664" i="34" s="1"/>
  <c r="B665" i="34"/>
  <c r="C665" i="34" s="1"/>
  <c r="D665" i="34" s="1"/>
  <c r="E665" i="34" s="1"/>
  <c r="F665" i="34" s="1"/>
  <c r="G665" i="34" s="1"/>
  <c r="H665" i="34" s="1"/>
  <c r="I665" i="34" s="1"/>
  <c r="J665" i="34" s="1"/>
  <c r="K665" i="34" s="1"/>
  <c r="L665" i="34" s="1"/>
  <c r="M665" i="34" s="1"/>
  <c r="N665" i="34" s="1"/>
  <c r="O665" i="34" s="1"/>
  <c r="P665" i="34" s="1"/>
  <c r="Q665" i="34" s="1"/>
  <c r="R665" i="34" s="1"/>
  <c r="S665" i="34" s="1"/>
  <c r="B666" i="34"/>
  <c r="C666" i="34" s="1"/>
  <c r="D666" i="34" s="1"/>
  <c r="E666" i="34" s="1"/>
  <c r="F666" i="34" s="1"/>
  <c r="G666" i="34" s="1"/>
  <c r="H666" i="34" s="1"/>
  <c r="I666" i="34" s="1"/>
  <c r="J666" i="34" s="1"/>
  <c r="K666" i="34"/>
  <c r="L666" i="34" s="1"/>
  <c r="B667" i="34"/>
  <c r="C667" i="34" s="1"/>
  <c r="D667" i="34" s="1"/>
  <c r="E667" i="34" s="1"/>
  <c r="F667" i="34" s="1"/>
  <c r="G667" i="34" s="1"/>
  <c r="H667" i="34" s="1"/>
  <c r="I667" i="34" s="1"/>
  <c r="J667" i="34" s="1"/>
  <c r="K667" i="34" s="1"/>
  <c r="L667" i="34" s="1"/>
  <c r="B668" i="34"/>
  <c r="C668" i="34"/>
  <c r="D668" i="34" s="1"/>
  <c r="E668" i="34" s="1"/>
  <c r="F668" i="34" s="1"/>
  <c r="G668" i="34" s="1"/>
  <c r="H668" i="34" s="1"/>
  <c r="I668" i="34" s="1"/>
  <c r="J668" i="34" s="1"/>
  <c r="K668" i="34" s="1"/>
  <c r="L668" i="34" s="1"/>
  <c r="B669" i="34"/>
  <c r="C669" i="34"/>
  <c r="D669" i="34"/>
  <c r="E669" i="34" s="1"/>
  <c r="F669" i="34" s="1"/>
  <c r="G669" i="34" s="1"/>
  <c r="H669" i="34" s="1"/>
  <c r="I669" i="34" s="1"/>
  <c r="J669" i="34" s="1"/>
  <c r="K669" i="34" s="1"/>
  <c r="L669" i="34" s="1"/>
  <c r="M669" i="34" s="1"/>
  <c r="N669" i="34" s="1"/>
  <c r="O669" i="34" s="1"/>
  <c r="P669" i="34" s="1"/>
  <c r="Q669" i="34" s="1"/>
  <c r="R669" i="34" s="1"/>
  <c r="S669" i="34" s="1"/>
  <c r="B670" i="34"/>
  <c r="C670" i="34" s="1"/>
  <c r="D670" i="34" s="1"/>
  <c r="E670" i="34" s="1"/>
  <c r="F670" i="34" s="1"/>
  <c r="G670" i="34" s="1"/>
  <c r="H670" i="34" s="1"/>
  <c r="I670" i="34" s="1"/>
  <c r="J670" i="34" s="1"/>
  <c r="K670" i="34" s="1"/>
  <c r="L670" i="34" s="1"/>
  <c r="M670" i="34" s="1"/>
  <c r="N670" i="34" s="1"/>
  <c r="O670" i="34" s="1"/>
  <c r="P670" i="34" s="1"/>
  <c r="Q670" i="34" s="1"/>
  <c r="R670" i="34" s="1"/>
  <c r="S670" i="34" s="1"/>
  <c r="B671" i="34"/>
  <c r="C671" i="34" s="1"/>
  <c r="D671" i="34" s="1"/>
  <c r="E671" i="34" s="1"/>
  <c r="F671" i="34" s="1"/>
  <c r="G671" i="34" s="1"/>
  <c r="H671" i="34" s="1"/>
  <c r="I671" i="34" s="1"/>
  <c r="J671" i="34" s="1"/>
  <c r="K671" i="34" s="1"/>
  <c r="L671" i="34" s="1"/>
  <c r="M671" i="34" s="1"/>
  <c r="N671" i="34" s="1"/>
  <c r="O671" i="34" s="1"/>
  <c r="P671" i="34" s="1"/>
  <c r="Q671" i="34" s="1"/>
  <c r="R671" i="34" s="1"/>
  <c r="S671" i="34" s="1"/>
  <c r="B672" i="34"/>
  <c r="C672" i="34"/>
  <c r="D672" i="34" s="1"/>
  <c r="E672" i="34" s="1"/>
  <c r="F672" i="34" s="1"/>
  <c r="G672" i="34" s="1"/>
  <c r="H672" i="34" s="1"/>
  <c r="I672" i="34" s="1"/>
  <c r="J672" i="34" s="1"/>
  <c r="K672" i="34" s="1"/>
  <c r="L672" i="34" s="1"/>
  <c r="B673" i="34"/>
  <c r="C673" i="34" s="1"/>
  <c r="D673" i="34" s="1"/>
  <c r="E673" i="34" s="1"/>
  <c r="F673" i="34" s="1"/>
  <c r="G673" i="34" s="1"/>
  <c r="H673" i="34" s="1"/>
  <c r="I673" i="34"/>
  <c r="J673" i="34" s="1"/>
  <c r="K673" i="34" s="1"/>
  <c r="L673" i="34" s="1"/>
  <c r="B674" i="34"/>
  <c r="C674" i="34" s="1"/>
  <c r="D674" i="34" s="1"/>
  <c r="E674" i="34" s="1"/>
  <c r="F674" i="34" s="1"/>
  <c r="G674" i="34" s="1"/>
  <c r="H674" i="34" s="1"/>
  <c r="I674" i="34" s="1"/>
  <c r="J674" i="34" s="1"/>
  <c r="K674" i="34" s="1"/>
  <c r="L674" i="34" s="1"/>
  <c r="M674" i="34" s="1"/>
  <c r="N674" i="34" s="1"/>
  <c r="O674" i="34" s="1"/>
  <c r="P674" i="34" s="1"/>
  <c r="Q674" i="34" s="1"/>
  <c r="R674" i="34" s="1"/>
  <c r="S674" i="34" s="1"/>
  <c r="B675" i="34"/>
  <c r="C675" i="34" s="1"/>
  <c r="D675" i="34" s="1"/>
  <c r="E675" i="34" s="1"/>
  <c r="F675" i="34"/>
  <c r="G675" i="34" s="1"/>
  <c r="H675" i="34" s="1"/>
  <c r="I675" i="34" s="1"/>
  <c r="J675" i="34" s="1"/>
  <c r="K675" i="34" s="1"/>
  <c r="L675" i="34" s="1"/>
  <c r="B676" i="34"/>
  <c r="C676" i="34" s="1"/>
  <c r="D676" i="34" s="1"/>
  <c r="E676" i="34" s="1"/>
  <c r="F676" i="34" s="1"/>
  <c r="G676" i="34" s="1"/>
  <c r="H676" i="34" s="1"/>
  <c r="I676" i="34" s="1"/>
  <c r="J676" i="34" s="1"/>
  <c r="K676" i="34" s="1"/>
  <c r="L676" i="34" s="1"/>
  <c r="M676" i="34" s="1"/>
  <c r="N676" i="34" s="1"/>
  <c r="O676" i="34" s="1"/>
  <c r="P676" i="34" s="1"/>
  <c r="Q676" i="34" s="1"/>
  <c r="R676" i="34" s="1"/>
  <c r="S676" i="34" s="1"/>
  <c r="B677" i="34"/>
  <c r="C677" i="34" s="1"/>
  <c r="D677" i="34" s="1"/>
  <c r="E677" i="34" s="1"/>
  <c r="F677" i="34" s="1"/>
  <c r="G677" i="34" s="1"/>
  <c r="H677" i="34" s="1"/>
  <c r="I677" i="34" s="1"/>
  <c r="J677" i="34" s="1"/>
  <c r="K677" i="34" s="1"/>
  <c r="L677" i="34" s="1"/>
  <c r="M677" i="34" s="1"/>
  <c r="N677" i="34" s="1"/>
  <c r="O677" i="34" s="1"/>
  <c r="P677" i="34" s="1"/>
  <c r="Q677" i="34" s="1"/>
  <c r="R677" i="34" s="1"/>
  <c r="S677" i="34" s="1"/>
  <c r="B678" i="34"/>
  <c r="C678" i="34" s="1"/>
  <c r="D678" i="34" s="1"/>
  <c r="E678" i="34" s="1"/>
  <c r="F678" i="34" s="1"/>
  <c r="G678" i="34" s="1"/>
  <c r="H678" i="34" s="1"/>
  <c r="I678" i="34" s="1"/>
  <c r="J678" i="34" s="1"/>
  <c r="K678" i="34" s="1"/>
  <c r="L678" i="34" s="1"/>
  <c r="M678" i="34" s="1"/>
  <c r="N678" i="34" s="1"/>
  <c r="O678" i="34" s="1"/>
  <c r="P678" i="34" s="1"/>
  <c r="Q678" i="34" s="1"/>
  <c r="R678" i="34" s="1"/>
  <c r="S678" i="34" s="1"/>
  <c r="B679" i="34"/>
  <c r="C679" i="34" s="1"/>
  <c r="D679" i="34" s="1"/>
  <c r="E679" i="34" s="1"/>
  <c r="F679" i="34" s="1"/>
  <c r="G679" i="34" s="1"/>
  <c r="H679" i="34" s="1"/>
  <c r="I679" i="34" s="1"/>
  <c r="J679" i="34" s="1"/>
  <c r="K679" i="34" s="1"/>
  <c r="L679" i="34" s="1"/>
  <c r="M679" i="34" s="1"/>
  <c r="N679" i="34" s="1"/>
  <c r="O679" i="34" s="1"/>
  <c r="P679" i="34" s="1"/>
  <c r="Q679" i="34" s="1"/>
  <c r="R679" i="34" s="1"/>
  <c r="S679" i="34" s="1"/>
  <c r="B680" i="34"/>
  <c r="C680" i="34" s="1"/>
  <c r="D680" i="34" s="1"/>
  <c r="E680" i="34" s="1"/>
  <c r="F680" i="34" s="1"/>
  <c r="G680" i="34" s="1"/>
  <c r="H680" i="34" s="1"/>
  <c r="I680" i="34" s="1"/>
  <c r="J680" i="34" s="1"/>
  <c r="K680" i="34" s="1"/>
  <c r="L680" i="34" s="1"/>
  <c r="M680" i="34" s="1"/>
  <c r="N680" i="34" s="1"/>
  <c r="O680" i="34" s="1"/>
  <c r="P680" i="34" s="1"/>
  <c r="Q680" i="34" s="1"/>
  <c r="R680" i="34" s="1"/>
  <c r="S680" i="34" s="1"/>
  <c r="B681" i="34"/>
  <c r="C681" i="34" s="1"/>
  <c r="D681" i="34" s="1"/>
  <c r="E681" i="34" s="1"/>
  <c r="F681" i="34" s="1"/>
  <c r="G681" i="34" s="1"/>
  <c r="H681" i="34" s="1"/>
  <c r="I681" i="34" s="1"/>
  <c r="J681" i="34" s="1"/>
  <c r="K681" i="34" s="1"/>
  <c r="L681" i="34" s="1"/>
  <c r="B682" i="34"/>
  <c r="C682" i="34" s="1"/>
  <c r="D682" i="34" s="1"/>
  <c r="E682" i="34" s="1"/>
  <c r="F682" i="34" s="1"/>
  <c r="G682" i="34" s="1"/>
  <c r="H682" i="34" s="1"/>
  <c r="I682" i="34" s="1"/>
  <c r="J682" i="34" s="1"/>
  <c r="K682" i="34" s="1"/>
  <c r="L682" i="34" s="1"/>
  <c r="B683" i="34"/>
  <c r="C683" i="34" s="1"/>
  <c r="D683" i="34" s="1"/>
  <c r="E683" i="34" s="1"/>
  <c r="F683" i="34" s="1"/>
  <c r="G683" i="34" s="1"/>
  <c r="H683" i="34" s="1"/>
  <c r="I683" i="34" s="1"/>
  <c r="J683" i="34" s="1"/>
  <c r="K683" i="34" s="1"/>
  <c r="L683" i="34" s="1"/>
  <c r="B684" i="34"/>
  <c r="C684" i="34" s="1"/>
  <c r="D684" i="34" s="1"/>
  <c r="E684" i="34" s="1"/>
  <c r="F684" i="34" s="1"/>
  <c r="G684" i="34" s="1"/>
  <c r="H684" i="34" s="1"/>
  <c r="I684" i="34" s="1"/>
  <c r="J684" i="34" s="1"/>
  <c r="K684" i="34" s="1"/>
  <c r="L684" i="34" s="1"/>
  <c r="B685" i="34"/>
  <c r="C685" i="34" s="1"/>
  <c r="D685" i="34" s="1"/>
  <c r="E685" i="34" s="1"/>
  <c r="F685" i="34" s="1"/>
  <c r="G685" i="34" s="1"/>
  <c r="H685" i="34" s="1"/>
  <c r="I685" i="34" s="1"/>
  <c r="J685" i="34" s="1"/>
  <c r="K685" i="34" s="1"/>
  <c r="L685" i="34" s="1"/>
  <c r="M685" i="34" s="1"/>
  <c r="N685" i="34" s="1"/>
  <c r="O685" i="34" s="1"/>
  <c r="P685" i="34" s="1"/>
  <c r="Q685" i="34" s="1"/>
  <c r="R685" i="34" s="1"/>
  <c r="S685" i="34" s="1"/>
  <c r="B686" i="34"/>
  <c r="C686" i="34" s="1"/>
  <c r="D686" i="34" s="1"/>
  <c r="E686" i="34" s="1"/>
  <c r="F686" i="34" s="1"/>
  <c r="G686" i="34"/>
  <c r="H686" i="34" s="1"/>
  <c r="I686" i="34" s="1"/>
  <c r="J686" i="34" s="1"/>
  <c r="K686" i="34" s="1"/>
  <c r="L686" i="34" s="1"/>
  <c r="M686" i="34" s="1"/>
  <c r="N686" i="34" s="1"/>
  <c r="O686" i="34"/>
  <c r="P686" i="34" s="1"/>
  <c r="Q686" i="34" s="1"/>
  <c r="R686" i="34" s="1"/>
  <c r="S686" i="34" s="1"/>
  <c r="B687" i="34"/>
  <c r="C687" i="34" s="1"/>
  <c r="D687" i="34" s="1"/>
  <c r="E687" i="34" s="1"/>
  <c r="F687" i="34" s="1"/>
  <c r="G687" i="34" s="1"/>
  <c r="H687" i="34" s="1"/>
  <c r="I687" i="34" s="1"/>
  <c r="J687" i="34" s="1"/>
  <c r="K687" i="34" s="1"/>
  <c r="L687" i="34" s="1"/>
  <c r="M687" i="34" s="1"/>
  <c r="N687" i="34" s="1"/>
  <c r="O687" i="34" s="1"/>
  <c r="P687" i="34" s="1"/>
  <c r="Q687" i="34" s="1"/>
  <c r="R687" i="34" s="1"/>
  <c r="S687" i="34" s="1"/>
  <c r="B688" i="34"/>
  <c r="C688" i="34" s="1"/>
  <c r="D688" i="34" s="1"/>
  <c r="E688" i="34" s="1"/>
  <c r="F688" i="34" s="1"/>
  <c r="G688" i="34" s="1"/>
  <c r="H688" i="34" s="1"/>
  <c r="I688" i="34" s="1"/>
  <c r="J688" i="34" s="1"/>
  <c r="K688" i="34" s="1"/>
  <c r="L688" i="34" s="1"/>
  <c r="M688" i="34" s="1"/>
  <c r="N688" i="34" s="1"/>
  <c r="O688" i="34" s="1"/>
  <c r="P688" i="34" s="1"/>
  <c r="Q688" i="34" s="1"/>
  <c r="R688" i="34" s="1"/>
  <c r="S688" i="34" s="1"/>
  <c r="B689" i="34"/>
  <c r="C689" i="34" s="1"/>
  <c r="D689" i="34" s="1"/>
  <c r="E689" i="34" s="1"/>
  <c r="F689" i="34" s="1"/>
  <c r="G689" i="34" s="1"/>
  <c r="H689" i="34" s="1"/>
  <c r="I689" i="34" s="1"/>
  <c r="J689" i="34" s="1"/>
  <c r="K689" i="34" s="1"/>
  <c r="L689" i="34" s="1"/>
  <c r="B690" i="34"/>
  <c r="C690" i="34" s="1"/>
  <c r="D690" i="34" s="1"/>
  <c r="E690" i="34" s="1"/>
  <c r="F690" i="34" s="1"/>
  <c r="G690" i="34" s="1"/>
  <c r="H690" i="34" s="1"/>
  <c r="I690" i="34" s="1"/>
  <c r="J690" i="34" s="1"/>
  <c r="K690" i="34" s="1"/>
  <c r="L690" i="34" s="1"/>
  <c r="B691" i="34"/>
  <c r="C691" i="34" s="1"/>
  <c r="D691" i="34" s="1"/>
  <c r="E691" i="34" s="1"/>
  <c r="F691" i="34" s="1"/>
  <c r="G691" i="34" s="1"/>
  <c r="H691" i="34" s="1"/>
  <c r="I691" i="34" s="1"/>
  <c r="J691" i="34" s="1"/>
  <c r="K691" i="34" s="1"/>
  <c r="L691" i="34" s="1"/>
  <c r="B692" i="34"/>
  <c r="C692" i="34" s="1"/>
  <c r="D692" i="34" s="1"/>
  <c r="E692" i="34" s="1"/>
  <c r="F692" i="34" s="1"/>
  <c r="G692" i="34" s="1"/>
  <c r="H692" i="34" s="1"/>
  <c r="I692" i="34" s="1"/>
  <c r="J692" i="34" s="1"/>
  <c r="K692" i="34" s="1"/>
  <c r="L692" i="34" s="1"/>
  <c r="B693" i="34"/>
  <c r="C693" i="34"/>
  <c r="D693" i="34" s="1"/>
  <c r="E693" i="34" s="1"/>
  <c r="F693" i="34" s="1"/>
  <c r="G693" i="34" s="1"/>
  <c r="H693" i="34" s="1"/>
  <c r="I693" i="34" s="1"/>
  <c r="J693" i="34" s="1"/>
  <c r="K693" i="34" s="1"/>
  <c r="L693" i="34" s="1"/>
  <c r="M693" i="34" s="1"/>
  <c r="N693" i="34" s="1"/>
  <c r="O693" i="34" s="1"/>
  <c r="P693" i="34" s="1"/>
  <c r="Q693" i="34" s="1"/>
  <c r="R693" i="34"/>
  <c r="S693" i="34" s="1"/>
  <c r="B694" i="34"/>
  <c r="C694" i="34" s="1"/>
  <c r="D694" i="34" s="1"/>
  <c r="E694" i="34" s="1"/>
  <c r="F694" i="34" s="1"/>
  <c r="G694" i="34" s="1"/>
  <c r="H694" i="34" s="1"/>
  <c r="I694" i="34" s="1"/>
  <c r="J694" i="34" s="1"/>
  <c r="K694" i="34" s="1"/>
  <c r="L694" i="34" s="1"/>
  <c r="M694" i="34" s="1"/>
  <c r="N694" i="34" s="1"/>
  <c r="O694" i="34" s="1"/>
  <c r="P694" i="34" s="1"/>
  <c r="Q694" i="34" s="1"/>
  <c r="R694" i="34" s="1"/>
  <c r="S694" i="34" s="1"/>
  <c r="B695" i="34"/>
  <c r="C695" i="34" s="1"/>
  <c r="D695" i="34" s="1"/>
  <c r="E695" i="34" s="1"/>
  <c r="F695" i="34" s="1"/>
  <c r="G695" i="34" s="1"/>
  <c r="H695" i="34" s="1"/>
  <c r="I695" i="34" s="1"/>
  <c r="J695" i="34" s="1"/>
  <c r="K695" i="34" s="1"/>
  <c r="L695" i="34" s="1"/>
  <c r="M695" i="34" s="1"/>
  <c r="N695" i="34" s="1"/>
  <c r="O695" i="34" s="1"/>
  <c r="P695" i="34" s="1"/>
  <c r="Q695" i="34" s="1"/>
  <c r="R695" i="34" s="1"/>
  <c r="S695" i="34" s="1"/>
  <c r="B696" i="34"/>
  <c r="C696" i="34"/>
  <c r="D696" i="34"/>
  <c r="E696" i="34"/>
  <c r="F696" i="34" s="1"/>
  <c r="G696" i="34" s="1"/>
  <c r="H696" i="34" s="1"/>
  <c r="I696" i="34" s="1"/>
  <c r="J696" i="34" s="1"/>
  <c r="K696" i="34" s="1"/>
  <c r="L696" i="34" s="1"/>
  <c r="M696" i="34" s="1"/>
  <c r="N696" i="34" s="1"/>
  <c r="O696" i="34" s="1"/>
  <c r="P696" i="34" s="1"/>
  <c r="Q696" i="34" s="1"/>
  <c r="R696" i="34" s="1"/>
  <c r="S696" i="34" s="1"/>
  <c r="B697" i="34"/>
  <c r="C697" i="34" s="1"/>
  <c r="D697" i="34" s="1"/>
  <c r="E697" i="34" s="1"/>
  <c r="F697" i="34" s="1"/>
  <c r="G697" i="34" s="1"/>
  <c r="H697" i="34" s="1"/>
  <c r="I697" i="34" s="1"/>
  <c r="J697" i="34" s="1"/>
  <c r="K697" i="34" s="1"/>
  <c r="L697" i="34" s="1"/>
  <c r="M697" i="34" s="1"/>
  <c r="N697" i="34" s="1"/>
  <c r="O697" i="34" s="1"/>
  <c r="P697" i="34" s="1"/>
  <c r="Q697" i="34" s="1"/>
  <c r="R697" i="34" s="1"/>
  <c r="S697" i="34" s="1"/>
  <c r="B698" i="34"/>
  <c r="C698" i="34" s="1"/>
  <c r="D698" i="34" s="1"/>
  <c r="E698" i="34" s="1"/>
  <c r="F698" i="34" s="1"/>
  <c r="G698" i="34" s="1"/>
  <c r="H698" i="34" s="1"/>
  <c r="I698" i="34" s="1"/>
  <c r="J698" i="34" s="1"/>
  <c r="K698" i="34" s="1"/>
  <c r="L698" i="34" s="1"/>
  <c r="M698" i="34" s="1"/>
  <c r="N698" i="34" s="1"/>
  <c r="O698" i="34" s="1"/>
  <c r="P698" i="34" s="1"/>
  <c r="Q698" i="34" s="1"/>
  <c r="R698" i="34" s="1"/>
  <c r="S698" i="34" s="1"/>
  <c r="B699" i="34"/>
  <c r="C699" i="34" s="1"/>
  <c r="D699" i="34" s="1"/>
  <c r="E699" i="34" s="1"/>
  <c r="F699" i="34" s="1"/>
  <c r="G699" i="34" s="1"/>
  <c r="H699" i="34" s="1"/>
  <c r="I699" i="34" s="1"/>
  <c r="J699" i="34" s="1"/>
  <c r="K699" i="34" s="1"/>
  <c r="L699" i="34" s="1"/>
  <c r="B700" i="34"/>
  <c r="C700" i="34" s="1"/>
  <c r="D700" i="34" s="1"/>
  <c r="E700" i="34" s="1"/>
  <c r="F700" i="34" s="1"/>
  <c r="G700" i="34" s="1"/>
  <c r="H700" i="34" s="1"/>
  <c r="I700" i="34" s="1"/>
  <c r="J700" i="34" s="1"/>
  <c r="K700" i="34" s="1"/>
  <c r="L700" i="34" s="1"/>
  <c r="B701" i="34"/>
  <c r="C701" i="34" s="1"/>
  <c r="D701" i="34" s="1"/>
  <c r="E701" i="34" s="1"/>
  <c r="F701" i="34" s="1"/>
  <c r="G701" i="34" s="1"/>
  <c r="H701" i="34" s="1"/>
  <c r="I701" i="34" s="1"/>
  <c r="J701" i="34" s="1"/>
  <c r="K701" i="34" s="1"/>
  <c r="L701" i="34" s="1"/>
  <c r="M701" i="34" s="1"/>
  <c r="N701" i="34" s="1"/>
  <c r="O701" i="34" s="1"/>
  <c r="P701" i="34" s="1"/>
  <c r="Q701" i="34" s="1"/>
  <c r="R701" i="34" s="1"/>
  <c r="S701" i="34" s="1"/>
  <c r="B702" i="34"/>
  <c r="C702" i="34" s="1"/>
  <c r="D702" i="34" s="1"/>
  <c r="E702" i="34" s="1"/>
  <c r="F702" i="34" s="1"/>
  <c r="G702" i="34" s="1"/>
  <c r="H702" i="34" s="1"/>
  <c r="I702" i="34" s="1"/>
  <c r="J702" i="34" s="1"/>
  <c r="K702" i="34" s="1"/>
  <c r="L702" i="34" s="1"/>
  <c r="M702" i="34" s="1"/>
  <c r="N702" i="34" s="1"/>
  <c r="O702" i="34" s="1"/>
  <c r="P702" i="34" s="1"/>
  <c r="Q702" i="34" s="1"/>
  <c r="R702" i="34" s="1"/>
  <c r="S702" i="34" s="1"/>
  <c r="B703" i="34"/>
  <c r="C703" i="34" s="1"/>
  <c r="D703" i="34" s="1"/>
  <c r="E703" i="34" s="1"/>
  <c r="F703" i="34" s="1"/>
  <c r="G703" i="34" s="1"/>
  <c r="H703" i="34" s="1"/>
  <c r="I703" i="34" s="1"/>
  <c r="J703" i="34" s="1"/>
  <c r="K703" i="34" s="1"/>
  <c r="L703" i="34" s="1"/>
  <c r="M703" i="34" s="1"/>
  <c r="N703" i="34" s="1"/>
  <c r="O703" i="34" s="1"/>
  <c r="P703" i="34" s="1"/>
  <c r="Q703" i="34" s="1"/>
  <c r="R703" i="34" s="1"/>
  <c r="S703" i="34" s="1"/>
  <c r="B704" i="34"/>
  <c r="C704" i="34" s="1"/>
  <c r="D704" i="34" s="1"/>
  <c r="E704" i="34" s="1"/>
  <c r="F704" i="34" s="1"/>
  <c r="G704" i="34" s="1"/>
  <c r="H704" i="34" s="1"/>
  <c r="I704" i="34" s="1"/>
  <c r="J704" i="34" s="1"/>
  <c r="K704" i="34" s="1"/>
  <c r="L704" i="34" s="1"/>
  <c r="M704" i="34" s="1"/>
  <c r="N704" i="34" s="1"/>
  <c r="O704" i="34" s="1"/>
  <c r="P704" i="34" s="1"/>
  <c r="Q704" i="34" s="1"/>
  <c r="R704" i="34" s="1"/>
  <c r="S704" i="34" s="1"/>
  <c r="B705" i="34"/>
  <c r="C705" i="34" s="1"/>
  <c r="D705" i="34"/>
  <c r="E705" i="34" s="1"/>
  <c r="F705" i="34" s="1"/>
  <c r="G705" i="34" s="1"/>
  <c r="H705" i="34" s="1"/>
  <c r="I705" i="34" s="1"/>
  <c r="J705" i="34" s="1"/>
  <c r="K705" i="34" s="1"/>
  <c r="L705" i="34" s="1"/>
  <c r="M705" i="34" s="1"/>
  <c r="N705" i="34" s="1"/>
  <c r="O705" i="34" s="1"/>
  <c r="P705" i="34" s="1"/>
  <c r="Q705" i="34" s="1"/>
  <c r="R705" i="34" s="1"/>
  <c r="S705" i="34" s="1"/>
  <c r="B706" i="34"/>
  <c r="C706" i="34" s="1"/>
  <c r="D706" i="34" s="1"/>
  <c r="E706" i="34" s="1"/>
  <c r="F706" i="34" s="1"/>
  <c r="G706" i="34" s="1"/>
  <c r="H706" i="34" s="1"/>
  <c r="I706" i="34" s="1"/>
  <c r="J706" i="34" s="1"/>
  <c r="K706" i="34" s="1"/>
  <c r="L706" i="34" s="1"/>
  <c r="B707" i="34"/>
  <c r="C707" i="34"/>
  <c r="D707" i="34" s="1"/>
  <c r="E707" i="34" s="1"/>
  <c r="F707" i="34" s="1"/>
  <c r="G707" i="34" s="1"/>
  <c r="H707" i="34" s="1"/>
  <c r="I707" i="34" s="1"/>
  <c r="J707" i="34" s="1"/>
  <c r="K707" i="34" s="1"/>
  <c r="L707" i="34" s="1"/>
  <c r="B708" i="34"/>
  <c r="C708" i="34" s="1"/>
  <c r="D708" i="34" s="1"/>
  <c r="E708" i="34"/>
  <c r="F708" i="34" s="1"/>
  <c r="G708" i="34" s="1"/>
  <c r="H708" i="34" s="1"/>
  <c r="I708" i="34" s="1"/>
  <c r="J708" i="34" s="1"/>
  <c r="K708" i="34" s="1"/>
  <c r="L708" i="34" s="1"/>
  <c r="B709" i="34"/>
  <c r="C709" i="34" s="1"/>
  <c r="D709" i="34" s="1"/>
  <c r="E709" i="34" s="1"/>
  <c r="F709" i="34" s="1"/>
  <c r="G709" i="34" s="1"/>
  <c r="H709" i="34" s="1"/>
  <c r="I709" i="34" s="1"/>
  <c r="J709" i="34" s="1"/>
  <c r="K709" i="34" s="1"/>
  <c r="L709" i="34" s="1"/>
  <c r="M709" i="34" s="1"/>
  <c r="N709" i="34" s="1"/>
  <c r="O709" i="34" s="1"/>
  <c r="P709" i="34" s="1"/>
  <c r="Q709" i="34" s="1"/>
  <c r="R709" i="34" s="1"/>
  <c r="S709" i="34" s="1"/>
  <c r="B710" i="34"/>
  <c r="C710" i="34" s="1"/>
  <c r="D710" i="34" s="1"/>
  <c r="E710" i="34" s="1"/>
  <c r="F710" i="34" s="1"/>
  <c r="G710" i="34" s="1"/>
  <c r="H710" i="34" s="1"/>
  <c r="I710" i="34" s="1"/>
  <c r="J710" i="34" s="1"/>
  <c r="K710" i="34" s="1"/>
  <c r="L710" i="34" s="1"/>
  <c r="M710" i="34" s="1"/>
  <c r="N710" i="34" s="1"/>
  <c r="O710" i="34" s="1"/>
  <c r="P710" i="34" s="1"/>
  <c r="Q710" i="34" s="1"/>
  <c r="R710" i="34" s="1"/>
  <c r="S710" i="34" s="1"/>
  <c r="B711" i="34"/>
  <c r="C711" i="34" s="1"/>
  <c r="D711" i="34" s="1"/>
  <c r="E711" i="34" s="1"/>
  <c r="F711" i="34" s="1"/>
  <c r="G711" i="34" s="1"/>
  <c r="H711" i="34" s="1"/>
  <c r="I711" i="34" s="1"/>
  <c r="J711" i="34" s="1"/>
  <c r="K711" i="34" s="1"/>
  <c r="L711" i="34" s="1"/>
  <c r="M711" i="34" s="1"/>
  <c r="N711" i="34" s="1"/>
  <c r="O711" i="34" s="1"/>
  <c r="P711" i="34" s="1"/>
  <c r="Q711" i="34" s="1"/>
  <c r="R711" i="34" s="1"/>
  <c r="S711" i="34" s="1"/>
  <c r="B712" i="34"/>
  <c r="C712" i="34" s="1"/>
  <c r="D712" i="34" s="1"/>
  <c r="E712" i="34" s="1"/>
  <c r="F712" i="34" s="1"/>
  <c r="G712" i="34" s="1"/>
  <c r="H712" i="34" s="1"/>
  <c r="I712" i="34" s="1"/>
  <c r="J712" i="34" s="1"/>
  <c r="K712" i="34" s="1"/>
  <c r="L712" i="34" s="1"/>
  <c r="B713" i="34"/>
  <c r="C713" i="34" s="1"/>
  <c r="D713" i="34" s="1"/>
  <c r="E713" i="34"/>
  <c r="F713" i="34" s="1"/>
  <c r="G713" i="34" s="1"/>
  <c r="H713" i="34" s="1"/>
  <c r="I713" i="34" s="1"/>
  <c r="J713" i="34" s="1"/>
  <c r="K713" i="34"/>
  <c r="L713" i="34" s="1"/>
  <c r="M713" i="34"/>
  <c r="N713" i="34" s="1"/>
  <c r="O713" i="34" s="1"/>
  <c r="P713" i="34" s="1"/>
  <c r="Q713" i="34" s="1"/>
  <c r="R713" i="34" s="1"/>
  <c r="S713" i="34" s="1"/>
  <c r="B714" i="34"/>
  <c r="C714" i="34" s="1"/>
  <c r="D714" i="34" s="1"/>
  <c r="E714" i="34" s="1"/>
  <c r="F714" i="34" s="1"/>
  <c r="G714" i="34" s="1"/>
  <c r="H714" i="34" s="1"/>
  <c r="I714" i="34" s="1"/>
  <c r="J714" i="34" s="1"/>
  <c r="K714" i="34" s="1"/>
  <c r="L714" i="34" s="1"/>
  <c r="B715" i="34"/>
  <c r="C715" i="34" s="1"/>
  <c r="D715" i="34" s="1"/>
  <c r="E715" i="34" s="1"/>
  <c r="F715" i="34" s="1"/>
  <c r="G715" i="34" s="1"/>
  <c r="H715" i="34" s="1"/>
  <c r="I715" i="34" s="1"/>
  <c r="J715" i="34" s="1"/>
  <c r="K715" i="34" s="1"/>
  <c r="L715" i="34" s="1"/>
  <c r="B716" i="34"/>
  <c r="C716" i="34" s="1"/>
  <c r="D716" i="34" s="1"/>
  <c r="E716" i="34" s="1"/>
  <c r="F716" i="34" s="1"/>
  <c r="G716" i="34" s="1"/>
  <c r="H716" i="34" s="1"/>
  <c r="I716" i="34" s="1"/>
  <c r="J716" i="34" s="1"/>
  <c r="K716" i="34" s="1"/>
  <c r="L716" i="34" s="1"/>
  <c r="B717" i="34"/>
  <c r="C717" i="34"/>
  <c r="D717" i="34" s="1"/>
  <c r="E717" i="34"/>
  <c r="F717" i="34" s="1"/>
  <c r="G717" i="34" s="1"/>
  <c r="H717" i="34" s="1"/>
  <c r="I717" i="34" s="1"/>
  <c r="J717" i="34" s="1"/>
  <c r="K717" i="34" s="1"/>
  <c r="L717" i="34" s="1"/>
  <c r="M717" i="34" s="1"/>
  <c r="N717" i="34" s="1"/>
  <c r="O717" i="34" s="1"/>
  <c r="P717" i="34" s="1"/>
  <c r="Q717" i="34" s="1"/>
  <c r="R717" i="34" s="1"/>
  <c r="S717" i="34" s="1"/>
  <c r="B718" i="34"/>
  <c r="C718" i="34" s="1"/>
  <c r="D718" i="34" s="1"/>
  <c r="E718" i="34" s="1"/>
  <c r="F718" i="34" s="1"/>
  <c r="G718" i="34" s="1"/>
  <c r="H718" i="34" s="1"/>
  <c r="I718" i="34" s="1"/>
  <c r="J718" i="34" s="1"/>
  <c r="K718" i="34" s="1"/>
  <c r="L718" i="34" s="1"/>
  <c r="M718" i="34" s="1"/>
  <c r="N718" i="34" s="1"/>
  <c r="O718" i="34" s="1"/>
  <c r="P718" i="34" s="1"/>
  <c r="Q718" i="34" s="1"/>
  <c r="R718" i="34" s="1"/>
  <c r="S718" i="34" s="1"/>
  <c r="B719" i="34"/>
  <c r="C719" i="34" s="1"/>
  <c r="D719" i="34" s="1"/>
  <c r="E719" i="34" s="1"/>
  <c r="F719" i="34" s="1"/>
  <c r="G719" i="34" s="1"/>
  <c r="H719" i="34" s="1"/>
  <c r="I719" i="34" s="1"/>
  <c r="J719" i="34" s="1"/>
  <c r="K719" i="34" s="1"/>
  <c r="L719" i="34" s="1"/>
  <c r="M719" i="34" s="1"/>
  <c r="N719" i="34" s="1"/>
  <c r="O719" i="34" s="1"/>
  <c r="P719" i="34" s="1"/>
  <c r="Q719" i="34" s="1"/>
  <c r="R719" i="34" s="1"/>
  <c r="S719" i="34" s="1"/>
  <c r="B720" i="34"/>
  <c r="C720" i="34" s="1"/>
  <c r="D720" i="34" s="1"/>
  <c r="E720" i="34"/>
  <c r="F720" i="34" s="1"/>
  <c r="G720" i="34" s="1"/>
  <c r="H720" i="34" s="1"/>
  <c r="I720" i="34" s="1"/>
  <c r="J720" i="34" s="1"/>
  <c r="K720" i="34" s="1"/>
  <c r="L720" i="34" s="1"/>
  <c r="M720" i="34" s="1"/>
  <c r="N720" i="34" s="1"/>
  <c r="O720" i="34" s="1"/>
  <c r="P720" i="34" s="1"/>
  <c r="Q720" i="34" s="1"/>
  <c r="R720" i="34" s="1"/>
  <c r="S720" i="34" s="1"/>
  <c r="B721" i="34"/>
  <c r="C721" i="34" s="1"/>
  <c r="D721" i="34" s="1"/>
  <c r="E721" i="34" s="1"/>
  <c r="F721" i="34" s="1"/>
  <c r="G721" i="34" s="1"/>
  <c r="H721" i="34" s="1"/>
  <c r="I721" i="34" s="1"/>
  <c r="J721" i="34" s="1"/>
  <c r="K721" i="34" s="1"/>
  <c r="L721" i="34" s="1"/>
  <c r="M721" i="34" s="1"/>
  <c r="N721" i="34" s="1"/>
  <c r="O721" i="34" s="1"/>
  <c r="P721" i="34" s="1"/>
  <c r="Q721" i="34" s="1"/>
  <c r="R721" i="34" s="1"/>
  <c r="S721" i="34" s="1"/>
  <c r="B722" i="34"/>
  <c r="C722" i="34" s="1"/>
  <c r="D722" i="34" s="1"/>
  <c r="E722" i="34" s="1"/>
  <c r="F722" i="34" s="1"/>
  <c r="G722" i="34" s="1"/>
  <c r="H722" i="34" s="1"/>
  <c r="I722" i="34" s="1"/>
  <c r="J722" i="34" s="1"/>
  <c r="K722" i="34" s="1"/>
  <c r="L722" i="34" s="1"/>
  <c r="B723" i="34"/>
  <c r="C723" i="34" s="1"/>
  <c r="D723" i="34" s="1"/>
  <c r="E723" i="34" s="1"/>
  <c r="F723" i="34" s="1"/>
  <c r="G723" i="34" s="1"/>
  <c r="H723" i="34" s="1"/>
  <c r="I723" i="34" s="1"/>
  <c r="J723" i="34" s="1"/>
  <c r="K723" i="34" s="1"/>
  <c r="L723" i="34" s="1"/>
  <c r="B724" i="34"/>
  <c r="C724" i="34" s="1"/>
  <c r="D724" i="34" s="1"/>
  <c r="E724" i="34" s="1"/>
  <c r="F724" i="34" s="1"/>
  <c r="G724" i="34" s="1"/>
  <c r="H724" i="34" s="1"/>
  <c r="I724" i="34" s="1"/>
  <c r="J724" i="34" s="1"/>
  <c r="K724" i="34" s="1"/>
  <c r="L724" i="34" s="1"/>
  <c r="B725" i="34"/>
  <c r="C725" i="34" s="1"/>
  <c r="D725" i="34" s="1"/>
  <c r="E725" i="34" s="1"/>
  <c r="F725" i="34" s="1"/>
  <c r="G725" i="34" s="1"/>
  <c r="H725" i="34" s="1"/>
  <c r="I725" i="34" s="1"/>
  <c r="J725" i="34" s="1"/>
  <c r="K725" i="34" s="1"/>
  <c r="L725" i="34" s="1"/>
  <c r="M725" i="34" s="1"/>
  <c r="N725" i="34" s="1"/>
  <c r="O725" i="34" s="1"/>
  <c r="P725" i="34" s="1"/>
  <c r="Q725" i="34" s="1"/>
  <c r="R725" i="34" s="1"/>
  <c r="S725" i="34" s="1"/>
  <c r="B726" i="34"/>
  <c r="C726" i="34" s="1"/>
  <c r="D726" i="34" s="1"/>
  <c r="E726" i="34" s="1"/>
  <c r="F726" i="34" s="1"/>
  <c r="G726" i="34" s="1"/>
  <c r="H726" i="34"/>
  <c r="I726" i="34" s="1"/>
  <c r="J726" i="34" s="1"/>
  <c r="K726" i="34" s="1"/>
  <c r="L726" i="34" s="1"/>
  <c r="M726" i="34" s="1"/>
  <c r="N726" i="34" s="1"/>
  <c r="O726" i="34" s="1"/>
  <c r="P726" i="34" s="1"/>
  <c r="Q726" i="34" s="1"/>
  <c r="R726" i="34" s="1"/>
  <c r="S726" i="34" s="1"/>
  <c r="B727" i="34"/>
  <c r="C727" i="34" s="1"/>
  <c r="D727" i="34" s="1"/>
  <c r="E727" i="34" s="1"/>
  <c r="F727" i="34" s="1"/>
  <c r="G727" i="34" s="1"/>
  <c r="H727" i="34" s="1"/>
  <c r="I727" i="34" s="1"/>
  <c r="J727" i="34" s="1"/>
  <c r="K727" i="34" s="1"/>
  <c r="L727" i="34" s="1"/>
  <c r="M727" i="34" s="1"/>
  <c r="N727" i="34" s="1"/>
  <c r="O727" i="34" s="1"/>
  <c r="P727" i="34" s="1"/>
  <c r="Q727" i="34" s="1"/>
  <c r="R727" i="34" s="1"/>
  <c r="S727" i="34" s="1"/>
  <c r="B728" i="34"/>
  <c r="C728" i="34" s="1"/>
  <c r="D728" i="34" s="1"/>
  <c r="E728" i="34" s="1"/>
  <c r="F728" i="34" s="1"/>
  <c r="G728" i="34" s="1"/>
  <c r="H728" i="34" s="1"/>
  <c r="I728" i="34" s="1"/>
  <c r="J728" i="34" s="1"/>
  <c r="K728" i="34" s="1"/>
  <c r="L728" i="34" s="1"/>
  <c r="M728" i="34" s="1"/>
  <c r="N728" i="34" s="1"/>
  <c r="O728" i="34" s="1"/>
  <c r="P728" i="34" s="1"/>
  <c r="Q728" i="34" s="1"/>
  <c r="R728" i="34" s="1"/>
  <c r="S728" i="34" s="1"/>
  <c r="B729" i="34"/>
  <c r="C729" i="34" s="1"/>
  <c r="D729" i="34" s="1"/>
  <c r="E729" i="34" s="1"/>
  <c r="F729" i="34" s="1"/>
  <c r="G729" i="34" s="1"/>
  <c r="H729" i="34" s="1"/>
  <c r="I729" i="34" s="1"/>
  <c r="J729" i="34" s="1"/>
  <c r="K729" i="34" s="1"/>
  <c r="L729" i="34" s="1"/>
  <c r="B730" i="34"/>
  <c r="C730" i="34" s="1"/>
  <c r="D730" i="34" s="1"/>
  <c r="E730" i="34" s="1"/>
  <c r="F730" i="34" s="1"/>
  <c r="G730" i="34" s="1"/>
  <c r="H730" i="34" s="1"/>
  <c r="I730" i="34" s="1"/>
  <c r="J730" i="34" s="1"/>
  <c r="K730" i="34" s="1"/>
  <c r="L730" i="34" s="1"/>
  <c r="B731" i="34"/>
  <c r="C731" i="34" s="1"/>
  <c r="D731" i="34" s="1"/>
  <c r="E731" i="34" s="1"/>
  <c r="F731" i="34" s="1"/>
  <c r="G731" i="34" s="1"/>
  <c r="H731" i="34" s="1"/>
  <c r="I731" i="34" s="1"/>
  <c r="J731" i="34" s="1"/>
  <c r="K731" i="34" s="1"/>
  <c r="L731" i="34" s="1"/>
  <c r="B732" i="34"/>
  <c r="C732" i="34" s="1"/>
  <c r="D732" i="34" s="1"/>
  <c r="E732" i="34" s="1"/>
  <c r="F732" i="34" s="1"/>
  <c r="G732" i="34" s="1"/>
  <c r="H732" i="34" s="1"/>
  <c r="I732" i="34" s="1"/>
  <c r="J732" i="34" s="1"/>
  <c r="K732" i="34" s="1"/>
  <c r="L732" i="34" s="1"/>
  <c r="B733" i="34"/>
  <c r="C733" i="34"/>
  <c r="D733" i="34" s="1"/>
  <c r="E733" i="34" s="1"/>
  <c r="F733" i="34" s="1"/>
  <c r="G733" i="34" s="1"/>
  <c r="H733" i="34" s="1"/>
  <c r="I733" i="34" s="1"/>
  <c r="J733" i="34" s="1"/>
  <c r="K733" i="34" s="1"/>
  <c r="L733" i="34" s="1"/>
  <c r="M733" i="34" s="1"/>
  <c r="N733" i="34" s="1"/>
  <c r="O733" i="34" s="1"/>
  <c r="P733" i="34" s="1"/>
  <c r="Q733" i="34" s="1"/>
  <c r="R733" i="34" s="1"/>
  <c r="S733" i="34" s="1"/>
  <c r="B734" i="34"/>
  <c r="C734" i="34" s="1"/>
  <c r="D734" i="34" s="1"/>
  <c r="E734" i="34" s="1"/>
  <c r="F734" i="34" s="1"/>
  <c r="G734" i="34" s="1"/>
  <c r="H734" i="34" s="1"/>
  <c r="I734" i="34" s="1"/>
  <c r="J734" i="34" s="1"/>
  <c r="K734" i="34" s="1"/>
  <c r="L734" i="34" s="1"/>
  <c r="M734" i="34" s="1"/>
  <c r="N734" i="34" s="1"/>
  <c r="O734" i="34" s="1"/>
  <c r="P734" i="34" s="1"/>
  <c r="Q734" i="34" s="1"/>
  <c r="R734" i="34" s="1"/>
  <c r="S734" i="34" s="1"/>
  <c r="B735" i="34"/>
  <c r="C735" i="34"/>
  <c r="D735" i="34" s="1"/>
  <c r="E735" i="34" s="1"/>
  <c r="F735" i="34" s="1"/>
  <c r="G735" i="34" s="1"/>
  <c r="H735" i="34" s="1"/>
  <c r="I735" i="34" s="1"/>
  <c r="J735" i="34" s="1"/>
  <c r="K735" i="34" s="1"/>
  <c r="L735" i="34" s="1"/>
  <c r="M735" i="34" s="1"/>
  <c r="N735" i="34" s="1"/>
  <c r="O735" i="34" s="1"/>
  <c r="P735" i="34" s="1"/>
  <c r="Q735" i="34" s="1"/>
  <c r="R735" i="34" s="1"/>
  <c r="S735" i="34" s="1"/>
  <c r="B736" i="34"/>
  <c r="C736" i="34" s="1"/>
  <c r="D736" i="34" s="1"/>
  <c r="E736" i="34" s="1"/>
  <c r="F736" i="34" s="1"/>
  <c r="G736" i="34" s="1"/>
  <c r="H736" i="34" s="1"/>
  <c r="I736" i="34" s="1"/>
  <c r="J736" i="34" s="1"/>
  <c r="K736" i="34" s="1"/>
  <c r="L736" i="34" s="1"/>
  <c r="M736" i="34" s="1"/>
  <c r="N736" i="34" s="1"/>
  <c r="O736" i="34" s="1"/>
  <c r="P736" i="34" s="1"/>
  <c r="Q736" i="34" s="1"/>
  <c r="R736" i="34" s="1"/>
  <c r="S736" i="34" s="1"/>
  <c r="B737" i="34"/>
  <c r="C737" i="34" s="1"/>
  <c r="D737" i="34" s="1"/>
  <c r="E737" i="34" s="1"/>
  <c r="F737" i="34" s="1"/>
  <c r="G737" i="34" s="1"/>
  <c r="H737" i="34" s="1"/>
  <c r="I737" i="34" s="1"/>
  <c r="J737" i="34" s="1"/>
  <c r="K737" i="34" s="1"/>
  <c r="L737" i="34" s="1"/>
  <c r="M737" i="34" s="1"/>
  <c r="N737" i="34" s="1"/>
  <c r="O737" i="34" s="1"/>
  <c r="P737" i="34" s="1"/>
  <c r="Q737" i="34" s="1"/>
  <c r="R737" i="34" s="1"/>
  <c r="S737" i="34" s="1"/>
  <c r="B738" i="34"/>
  <c r="C738" i="34" s="1"/>
  <c r="D738" i="34" s="1"/>
  <c r="E738" i="34" s="1"/>
  <c r="F738" i="34" s="1"/>
  <c r="G738" i="34"/>
  <c r="H738" i="34" s="1"/>
  <c r="I738" i="34" s="1"/>
  <c r="J738" i="34" s="1"/>
  <c r="K738" i="34" s="1"/>
  <c r="L738" i="34" s="1"/>
  <c r="B739" i="34"/>
  <c r="C739" i="34" s="1"/>
  <c r="D739" i="34" s="1"/>
  <c r="E739" i="34" s="1"/>
  <c r="F739" i="34" s="1"/>
  <c r="G739" i="34" s="1"/>
  <c r="H739" i="34" s="1"/>
  <c r="I739" i="34" s="1"/>
  <c r="J739" i="34" s="1"/>
  <c r="K739" i="34" s="1"/>
  <c r="L739" i="34" s="1"/>
  <c r="B740" i="34"/>
  <c r="C740" i="34" s="1"/>
  <c r="D740" i="34" s="1"/>
  <c r="E740" i="34" s="1"/>
  <c r="F740" i="34" s="1"/>
  <c r="G740" i="34" s="1"/>
  <c r="H740" i="34" s="1"/>
  <c r="I740" i="34" s="1"/>
  <c r="J740" i="34" s="1"/>
  <c r="K740" i="34" s="1"/>
  <c r="L740" i="34" s="1"/>
  <c r="B741" i="34"/>
  <c r="C741" i="34" s="1"/>
  <c r="D741" i="34" s="1"/>
  <c r="E741" i="34" s="1"/>
  <c r="F741" i="34" s="1"/>
  <c r="G741" i="34" s="1"/>
  <c r="H741" i="34" s="1"/>
  <c r="I741" i="34" s="1"/>
  <c r="J741" i="34" s="1"/>
  <c r="K741" i="34" s="1"/>
  <c r="L741" i="34" s="1"/>
  <c r="M741" i="34" s="1"/>
  <c r="N741" i="34" s="1"/>
  <c r="O741" i="34" s="1"/>
  <c r="P741" i="34" s="1"/>
  <c r="Q741" i="34" s="1"/>
  <c r="R741" i="34" s="1"/>
  <c r="S741" i="34" s="1"/>
  <c r="B742" i="34"/>
  <c r="C742" i="34"/>
  <c r="D742" i="34" s="1"/>
  <c r="E742" i="34" s="1"/>
  <c r="F742" i="34"/>
  <c r="G742" i="34" s="1"/>
  <c r="H742" i="34" s="1"/>
  <c r="I742" i="34" s="1"/>
  <c r="J742" i="34" s="1"/>
  <c r="K742" i="34" s="1"/>
  <c r="L742" i="34" s="1"/>
  <c r="M742" i="34" s="1"/>
  <c r="N742" i="34" s="1"/>
  <c r="O742" i="34" s="1"/>
  <c r="P742" i="34" s="1"/>
  <c r="Q742" i="34" s="1"/>
  <c r="R742" i="34" s="1"/>
  <c r="S742" i="34" s="1"/>
  <c r="B743" i="34"/>
  <c r="C743" i="34" s="1"/>
  <c r="D743" i="34" s="1"/>
  <c r="E743" i="34" s="1"/>
  <c r="F743" i="34" s="1"/>
  <c r="G743" i="34" s="1"/>
  <c r="H743" i="34" s="1"/>
  <c r="I743" i="34" s="1"/>
  <c r="J743" i="34" s="1"/>
  <c r="K743" i="34" s="1"/>
  <c r="L743" i="34" s="1"/>
  <c r="M743" i="34" s="1"/>
  <c r="N743" i="34" s="1"/>
  <c r="O743" i="34" s="1"/>
  <c r="P743" i="34" s="1"/>
  <c r="Q743" i="34" s="1"/>
  <c r="R743" i="34" s="1"/>
  <c r="S743" i="34" s="1"/>
  <c r="B744" i="34"/>
  <c r="C744" i="34" s="1"/>
  <c r="D744" i="34" s="1"/>
  <c r="E744" i="34" s="1"/>
  <c r="F744" i="34" s="1"/>
  <c r="G744" i="34" s="1"/>
  <c r="H744" i="34" s="1"/>
  <c r="I744" i="34" s="1"/>
  <c r="J744" i="34" s="1"/>
  <c r="K744" i="34" s="1"/>
  <c r="L744" i="34" s="1"/>
  <c r="M744" i="34" s="1"/>
  <c r="N744" i="34" s="1"/>
  <c r="O744" i="34" s="1"/>
  <c r="P744" i="34" s="1"/>
  <c r="Q744" i="34" s="1"/>
  <c r="R744" i="34" s="1"/>
  <c r="S744" i="34" s="1"/>
  <c r="B745" i="34"/>
  <c r="C745" i="34" s="1"/>
  <c r="D745" i="34" s="1"/>
  <c r="E745" i="34" s="1"/>
  <c r="F745" i="34" s="1"/>
  <c r="G745" i="34" s="1"/>
  <c r="H745" i="34" s="1"/>
  <c r="I745" i="34" s="1"/>
  <c r="J745" i="34" s="1"/>
  <c r="K745" i="34" s="1"/>
  <c r="L745" i="34" s="1"/>
  <c r="B746" i="34"/>
  <c r="C746" i="34"/>
  <c r="D746" i="34" s="1"/>
  <c r="E746" i="34" s="1"/>
  <c r="F746" i="34" s="1"/>
  <c r="G746" i="34" s="1"/>
  <c r="H746" i="34" s="1"/>
  <c r="I746" i="34" s="1"/>
  <c r="J746" i="34" s="1"/>
  <c r="K746" i="34" s="1"/>
  <c r="L746" i="34" s="1"/>
  <c r="B747" i="34"/>
  <c r="C747" i="34" s="1"/>
  <c r="D747" i="34" s="1"/>
  <c r="E747" i="34" s="1"/>
  <c r="F747" i="34" s="1"/>
  <c r="G747" i="34" s="1"/>
  <c r="H747" i="34" s="1"/>
  <c r="I747" i="34" s="1"/>
  <c r="J747" i="34"/>
  <c r="K747" i="34" s="1"/>
  <c r="L747" i="34" s="1"/>
  <c r="B748" i="34"/>
  <c r="C748" i="34" s="1"/>
  <c r="D748" i="34" s="1"/>
  <c r="E748" i="34" s="1"/>
  <c r="F748" i="34" s="1"/>
  <c r="G748" i="34" s="1"/>
  <c r="H748" i="34" s="1"/>
  <c r="I748" i="34" s="1"/>
  <c r="J748" i="34" s="1"/>
  <c r="K748" i="34" s="1"/>
  <c r="L748" i="34" s="1"/>
  <c r="B749" i="34"/>
  <c r="C749" i="34" s="1"/>
  <c r="D749" i="34" s="1"/>
  <c r="E749" i="34" s="1"/>
  <c r="F749" i="34" s="1"/>
  <c r="G749" i="34" s="1"/>
  <c r="H749" i="34" s="1"/>
  <c r="I749" i="34" s="1"/>
  <c r="J749" i="34" s="1"/>
  <c r="K749" i="34" s="1"/>
  <c r="L749" i="34" s="1"/>
  <c r="M749" i="34" s="1"/>
  <c r="N749" i="34" s="1"/>
  <c r="O749" i="34" s="1"/>
  <c r="P749" i="34" s="1"/>
  <c r="Q749" i="34" s="1"/>
  <c r="R749" i="34" s="1"/>
  <c r="S749" i="34" s="1"/>
  <c r="B750" i="34"/>
  <c r="C750" i="34" s="1"/>
  <c r="D750" i="34" s="1"/>
  <c r="E750" i="34" s="1"/>
  <c r="F750" i="34" s="1"/>
  <c r="G750" i="34" s="1"/>
  <c r="H750" i="34" s="1"/>
  <c r="I750" i="34" s="1"/>
  <c r="J750" i="34" s="1"/>
  <c r="K750" i="34" s="1"/>
  <c r="L750" i="34" s="1"/>
  <c r="M750" i="34" s="1"/>
  <c r="N750" i="34" s="1"/>
  <c r="O750" i="34" s="1"/>
  <c r="P750" i="34" s="1"/>
  <c r="Q750" i="34" s="1"/>
  <c r="R750" i="34" s="1"/>
  <c r="S750" i="34" s="1"/>
  <c r="B751" i="34"/>
  <c r="C751" i="34" s="1"/>
  <c r="D751" i="34" s="1"/>
  <c r="E751" i="34" s="1"/>
  <c r="F751" i="34" s="1"/>
  <c r="G751" i="34" s="1"/>
  <c r="H751" i="34" s="1"/>
  <c r="I751" i="34" s="1"/>
  <c r="J751" i="34" s="1"/>
  <c r="K751" i="34" s="1"/>
  <c r="L751" i="34" s="1"/>
  <c r="M751" i="34" s="1"/>
  <c r="N751" i="34" s="1"/>
  <c r="O751" i="34" s="1"/>
  <c r="P751" i="34" s="1"/>
  <c r="Q751" i="34" s="1"/>
  <c r="R751" i="34" s="1"/>
  <c r="S751" i="34" s="1"/>
  <c r="B752" i="34"/>
  <c r="C752" i="34" s="1"/>
  <c r="D752" i="34" s="1"/>
  <c r="E752" i="34" s="1"/>
  <c r="F752" i="34" s="1"/>
  <c r="G752" i="34" s="1"/>
  <c r="H752" i="34" s="1"/>
  <c r="I752" i="34" s="1"/>
  <c r="J752" i="34" s="1"/>
  <c r="K752" i="34" s="1"/>
  <c r="L752" i="34" s="1"/>
  <c r="B753" i="34"/>
  <c r="C753" i="34" s="1"/>
  <c r="D753" i="34" s="1"/>
  <c r="E753" i="34"/>
  <c r="F753" i="34" s="1"/>
  <c r="G753" i="34" s="1"/>
  <c r="H753" i="34" s="1"/>
  <c r="I753" i="34" s="1"/>
  <c r="J753" i="34" s="1"/>
  <c r="K753" i="34" s="1"/>
  <c r="L753" i="34" s="1"/>
  <c r="B754" i="34"/>
  <c r="C754" i="34" s="1"/>
  <c r="D754" i="34" s="1"/>
  <c r="E754" i="34" s="1"/>
  <c r="F754" i="34" s="1"/>
  <c r="G754" i="34" s="1"/>
  <c r="H754" i="34" s="1"/>
  <c r="I754" i="34" s="1"/>
  <c r="J754" i="34" s="1"/>
  <c r="K754" i="34" s="1"/>
  <c r="L754" i="34" s="1"/>
  <c r="B755" i="34"/>
  <c r="C755" i="34" s="1"/>
  <c r="D755" i="34" s="1"/>
  <c r="E755" i="34" s="1"/>
  <c r="F755" i="34" s="1"/>
  <c r="G755" i="34" s="1"/>
  <c r="H755" i="34" s="1"/>
  <c r="I755" i="34" s="1"/>
  <c r="J755" i="34" s="1"/>
  <c r="K755" i="34" s="1"/>
  <c r="L755" i="34" s="1"/>
  <c r="B756" i="34"/>
  <c r="C756" i="34" s="1"/>
  <c r="D756" i="34" s="1"/>
  <c r="E756" i="34" s="1"/>
  <c r="F756" i="34" s="1"/>
  <c r="G756" i="34" s="1"/>
  <c r="H756" i="34" s="1"/>
  <c r="I756" i="34" s="1"/>
  <c r="J756" i="34" s="1"/>
  <c r="K756" i="34" s="1"/>
  <c r="L756" i="34" s="1"/>
  <c r="B757" i="34"/>
  <c r="C757" i="34" s="1"/>
  <c r="D757" i="34" s="1"/>
  <c r="E757" i="34" s="1"/>
  <c r="F757" i="34" s="1"/>
  <c r="G757" i="34" s="1"/>
  <c r="H757" i="34" s="1"/>
  <c r="I757" i="34" s="1"/>
  <c r="J757" i="34" s="1"/>
  <c r="K757" i="34" s="1"/>
  <c r="L757" i="34" s="1"/>
  <c r="M757" i="34" s="1"/>
  <c r="N757" i="34" s="1"/>
  <c r="O757" i="34" s="1"/>
  <c r="P757" i="34" s="1"/>
  <c r="Q757" i="34" s="1"/>
  <c r="R757" i="34" s="1"/>
  <c r="S757" i="34" s="1"/>
  <c r="B758" i="34"/>
  <c r="C758" i="34" s="1"/>
  <c r="D758" i="34" s="1"/>
  <c r="E758" i="34" s="1"/>
  <c r="F758" i="34" s="1"/>
  <c r="G758" i="34" s="1"/>
  <c r="H758" i="34" s="1"/>
  <c r="I758" i="34" s="1"/>
  <c r="J758" i="34" s="1"/>
  <c r="K758" i="34" s="1"/>
  <c r="L758" i="34" s="1"/>
  <c r="M758" i="34" s="1"/>
  <c r="N758" i="34" s="1"/>
  <c r="O758" i="34" s="1"/>
  <c r="P758" i="34" s="1"/>
  <c r="Q758" i="34" s="1"/>
  <c r="R758" i="34" s="1"/>
  <c r="S758" i="34" s="1"/>
  <c r="B759" i="34"/>
  <c r="C759" i="34" s="1"/>
  <c r="D759" i="34" s="1"/>
  <c r="E759" i="34" s="1"/>
  <c r="F759" i="34" s="1"/>
  <c r="G759" i="34"/>
  <c r="H759" i="34" s="1"/>
  <c r="I759" i="34" s="1"/>
  <c r="J759" i="34" s="1"/>
  <c r="K759" i="34" s="1"/>
  <c r="L759" i="34" s="1"/>
  <c r="M759" i="34" s="1"/>
  <c r="N759" i="34" s="1"/>
  <c r="O759" i="34" s="1"/>
  <c r="P759" i="34" s="1"/>
  <c r="Q759" i="34" s="1"/>
  <c r="R759" i="34" s="1"/>
  <c r="S759" i="34" s="1"/>
  <c r="B760" i="34"/>
  <c r="C760" i="34" s="1"/>
  <c r="D760" i="34"/>
  <c r="E760" i="34" s="1"/>
  <c r="F760" i="34" s="1"/>
  <c r="G760" i="34" s="1"/>
  <c r="H760" i="34" s="1"/>
  <c r="I760" i="34" s="1"/>
  <c r="J760" i="34" s="1"/>
  <c r="K760" i="34" s="1"/>
  <c r="L760" i="34" s="1"/>
  <c r="M760" i="34" s="1"/>
  <c r="N760" i="34" s="1"/>
  <c r="O760" i="34" s="1"/>
  <c r="P760" i="34" s="1"/>
  <c r="Q760" i="34" s="1"/>
  <c r="R760" i="34" s="1"/>
  <c r="S760" i="34" s="1"/>
  <c r="B761" i="34"/>
  <c r="C761" i="34" s="1"/>
  <c r="D761" i="34" s="1"/>
  <c r="E761" i="34" s="1"/>
  <c r="F761" i="34" s="1"/>
  <c r="G761" i="34" s="1"/>
  <c r="H761" i="34" s="1"/>
  <c r="I761" i="34" s="1"/>
  <c r="J761" i="34" s="1"/>
  <c r="K761" i="34" s="1"/>
  <c r="L761" i="34" s="1"/>
  <c r="M761" i="34" s="1"/>
  <c r="N761" i="34" s="1"/>
  <c r="O761" i="34" s="1"/>
  <c r="P761" i="34" s="1"/>
  <c r="Q761" i="34" s="1"/>
  <c r="R761" i="34" s="1"/>
  <c r="S761" i="34" s="1"/>
  <c r="B762" i="34"/>
  <c r="C762" i="34" s="1"/>
  <c r="D762" i="34" s="1"/>
  <c r="E762" i="34"/>
  <c r="F762" i="34" s="1"/>
  <c r="G762" i="34" s="1"/>
  <c r="H762" i="34" s="1"/>
  <c r="I762" i="34" s="1"/>
  <c r="J762" i="34" s="1"/>
  <c r="K762" i="34" s="1"/>
  <c r="L762" i="34" s="1"/>
  <c r="B763" i="34"/>
  <c r="C763" i="34"/>
  <c r="D763" i="34" s="1"/>
  <c r="E763" i="34" s="1"/>
  <c r="F763" i="34" s="1"/>
  <c r="G763" i="34" s="1"/>
  <c r="H763" i="34" s="1"/>
  <c r="I763" i="34" s="1"/>
  <c r="J763" i="34" s="1"/>
  <c r="K763" i="34" s="1"/>
  <c r="L763" i="34" s="1"/>
  <c r="B764" i="34"/>
  <c r="C764" i="34" s="1"/>
  <c r="D764" i="34" s="1"/>
  <c r="E764" i="34" s="1"/>
  <c r="F764" i="34" s="1"/>
  <c r="G764" i="34" s="1"/>
  <c r="H764" i="34" s="1"/>
  <c r="I764" i="34" s="1"/>
  <c r="J764" i="34" s="1"/>
  <c r="K764" i="34" s="1"/>
  <c r="L764" i="34" s="1"/>
  <c r="B765" i="34"/>
  <c r="C765" i="34" s="1"/>
  <c r="D765" i="34" s="1"/>
  <c r="E765" i="34" s="1"/>
  <c r="F765" i="34" s="1"/>
  <c r="G765" i="34" s="1"/>
  <c r="H765" i="34" s="1"/>
  <c r="I765" i="34" s="1"/>
  <c r="J765" i="34" s="1"/>
  <c r="K765" i="34" s="1"/>
  <c r="L765" i="34" s="1"/>
  <c r="M765" i="34" s="1"/>
  <c r="N765" i="34" s="1"/>
  <c r="O765" i="34" s="1"/>
  <c r="P765" i="34" s="1"/>
  <c r="Q765" i="34" s="1"/>
  <c r="R765" i="34" s="1"/>
  <c r="S765" i="34" s="1"/>
  <c r="B766" i="34"/>
  <c r="C766" i="34" s="1"/>
  <c r="D766" i="34" s="1"/>
  <c r="E766" i="34" s="1"/>
  <c r="F766" i="34" s="1"/>
  <c r="G766" i="34" s="1"/>
  <c r="H766" i="34" s="1"/>
  <c r="I766" i="34" s="1"/>
  <c r="J766" i="34" s="1"/>
  <c r="K766" i="34" s="1"/>
  <c r="L766" i="34" s="1"/>
  <c r="M766" i="34" s="1"/>
  <c r="N766" i="34" s="1"/>
  <c r="O766" i="34" s="1"/>
  <c r="P766" i="34" s="1"/>
  <c r="Q766" i="34" s="1"/>
  <c r="R766" i="34" s="1"/>
  <c r="S766" i="34" s="1"/>
  <c r="B767" i="34"/>
  <c r="C767" i="34" s="1"/>
  <c r="D767" i="34" s="1"/>
  <c r="E767" i="34" s="1"/>
  <c r="F767" i="34" s="1"/>
  <c r="G767" i="34" s="1"/>
  <c r="H767" i="34" s="1"/>
  <c r="I767" i="34" s="1"/>
  <c r="J767" i="34" s="1"/>
  <c r="K767" i="34" s="1"/>
  <c r="L767" i="34" s="1"/>
  <c r="M767" i="34" s="1"/>
  <c r="N767" i="34" s="1"/>
  <c r="O767" i="34" s="1"/>
  <c r="P767" i="34" s="1"/>
  <c r="Q767" i="34" s="1"/>
  <c r="R767" i="34" s="1"/>
  <c r="S767" i="34" s="1"/>
  <c r="B768" i="34"/>
  <c r="C768" i="34" s="1"/>
  <c r="D768" i="34" s="1"/>
  <c r="E768" i="34" s="1"/>
  <c r="F768" i="34"/>
  <c r="G768" i="34" s="1"/>
  <c r="H768" i="34" s="1"/>
  <c r="I768" i="34" s="1"/>
  <c r="J768" i="34" s="1"/>
  <c r="K768" i="34" s="1"/>
  <c r="L768" i="34" s="1"/>
  <c r="B769" i="34"/>
  <c r="C769" i="34" s="1"/>
  <c r="D769" i="34"/>
  <c r="E769" i="34" s="1"/>
  <c r="F769" i="34" s="1"/>
  <c r="G769" i="34" s="1"/>
  <c r="H769" i="34" s="1"/>
  <c r="I769" i="34" s="1"/>
  <c r="J769" i="34" s="1"/>
  <c r="K769" i="34" s="1"/>
  <c r="L769" i="34" s="1"/>
  <c r="B770" i="34"/>
  <c r="C770" i="34" s="1"/>
  <c r="D770" i="34" s="1"/>
  <c r="E770" i="34" s="1"/>
  <c r="F770" i="34" s="1"/>
  <c r="G770" i="34" s="1"/>
  <c r="H770" i="34" s="1"/>
  <c r="I770" i="34" s="1"/>
  <c r="J770" i="34" s="1"/>
  <c r="K770" i="34" s="1"/>
  <c r="L770" i="34" s="1"/>
  <c r="M770" i="34" s="1"/>
  <c r="N770" i="34" s="1"/>
  <c r="O770" i="34" s="1"/>
  <c r="P770" i="34" s="1"/>
  <c r="Q770" i="34" s="1"/>
  <c r="R770" i="34" s="1"/>
  <c r="S770" i="34" s="1"/>
  <c r="B771" i="34"/>
  <c r="C771" i="34" s="1"/>
  <c r="D771" i="34" s="1"/>
  <c r="E771" i="34" s="1"/>
  <c r="F771" i="34" s="1"/>
  <c r="G771" i="34" s="1"/>
  <c r="H771" i="34" s="1"/>
  <c r="I771" i="34" s="1"/>
  <c r="J771" i="34" s="1"/>
  <c r="K771" i="34" s="1"/>
  <c r="L771" i="34" s="1"/>
  <c r="M771" i="34" s="1"/>
  <c r="N771" i="34" s="1"/>
  <c r="O771" i="34" s="1"/>
  <c r="P771" i="34" s="1"/>
  <c r="Q771" i="34" s="1"/>
  <c r="R771" i="34" s="1"/>
  <c r="S771" i="34" s="1"/>
  <c r="B772" i="34"/>
  <c r="C772" i="34" s="1"/>
  <c r="D772" i="34" s="1"/>
  <c r="E772" i="34" s="1"/>
  <c r="F772" i="34" s="1"/>
  <c r="G772" i="34" s="1"/>
  <c r="H772" i="34" s="1"/>
  <c r="I772" i="34" s="1"/>
  <c r="J772" i="34" s="1"/>
  <c r="K772" i="34" s="1"/>
  <c r="L772" i="34" s="1"/>
  <c r="M772" i="34" s="1"/>
  <c r="N772" i="34" s="1"/>
  <c r="O772" i="34" s="1"/>
  <c r="P772" i="34" s="1"/>
  <c r="Q772" i="34" s="1"/>
  <c r="R772" i="34" s="1"/>
  <c r="S772" i="34" s="1"/>
  <c r="B773" i="34"/>
  <c r="C773" i="34" s="1"/>
  <c r="D773" i="34" s="1"/>
  <c r="E773" i="34" s="1"/>
  <c r="F773" i="34" s="1"/>
  <c r="G773" i="34" s="1"/>
  <c r="H773" i="34" s="1"/>
  <c r="I773" i="34" s="1"/>
  <c r="J773" i="34" s="1"/>
  <c r="K773" i="34" s="1"/>
  <c r="L773" i="34" s="1"/>
  <c r="M773" i="34" s="1"/>
  <c r="N773" i="34" s="1"/>
  <c r="O773" i="34" s="1"/>
  <c r="P773" i="34" s="1"/>
  <c r="Q773" i="34" s="1"/>
  <c r="R773" i="34" s="1"/>
  <c r="S773" i="34" s="1"/>
  <c r="B774" i="34"/>
  <c r="C774" i="34" s="1"/>
  <c r="D774" i="34" s="1"/>
  <c r="E774" i="34" s="1"/>
  <c r="F774" i="34"/>
  <c r="G774" i="34" s="1"/>
  <c r="H774" i="34" s="1"/>
  <c r="I774" i="34" s="1"/>
  <c r="J774" i="34" s="1"/>
  <c r="K774" i="34" s="1"/>
  <c r="L774" i="34" s="1"/>
  <c r="M774" i="34" s="1"/>
  <c r="N774" i="34" s="1"/>
  <c r="O774" i="34" s="1"/>
  <c r="P774" i="34" s="1"/>
  <c r="Q774" i="34" s="1"/>
  <c r="R774" i="34" s="1"/>
  <c r="S774" i="34" s="1"/>
  <c r="B775" i="34"/>
  <c r="C775" i="34" s="1"/>
  <c r="D775" i="34" s="1"/>
  <c r="E775" i="34" s="1"/>
  <c r="F775" i="34" s="1"/>
  <c r="G775" i="34" s="1"/>
  <c r="H775" i="34" s="1"/>
  <c r="I775" i="34" s="1"/>
  <c r="J775" i="34" s="1"/>
  <c r="K775" i="34" s="1"/>
  <c r="L775" i="34" s="1"/>
  <c r="M775" i="34" s="1"/>
  <c r="N775" i="34" s="1"/>
  <c r="O775" i="34" s="1"/>
  <c r="P775" i="34" s="1"/>
  <c r="Q775" i="34" s="1"/>
  <c r="R775" i="34" s="1"/>
  <c r="S775" i="34" s="1"/>
  <c r="B776" i="34"/>
  <c r="C776" i="34" s="1"/>
  <c r="D776" i="34" s="1"/>
  <c r="E776" i="34" s="1"/>
  <c r="F776" i="34" s="1"/>
  <c r="G776" i="34" s="1"/>
  <c r="H776" i="34" s="1"/>
  <c r="I776" i="34" s="1"/>
  <c r="J776" i="34" s="1"/>
  <c r="K776" i="34" s="1"/>
  <c r="L776" i="34" s="1"/>
  <c r="B777" i="34"/>
  <c r="C777" i="34"/>
  <c r="D777" i="34"/>
  <c r="E777" i="34" s="1"/>
  <c r="F777" i="34" s="1"/>
  <c r="G777" i="34" s="1"/>
  <c r="H777" i="34" s="1"/>
  <c r="I777" i="34" s="1"/>
  <c r="J777" i="34" s="1"/>
  <c r="K777" i="34" s="1"/>
  <c r="L777" i="34" s="1"/>
  <c r="B778" i="34"/>
  <c r="C778" i="34" s="1"/>
  <c r="D778" i="34" s="1"/>
  <c r="E778" i="34" s="1"/>
  <c r="F778" i="34" s="1"/>
  <c r="G778" i="34" s="1"/>
  <c r="H778" i="34" s="1"/>
  <c r="I778" i="34" s="1"/>
  <c r="J778" i="34" s="1"/>
  <c r="K778" i="34" s="1"/>
  <c r="L778" i="34" s="1"/>
  <c r="B779" i="34"/>
  <c r="C779" i="34" s="1"/>
  <c r="D779" i="34" s="1"/>
  <c r="E779" i="34" s="1"/>
  <c r="F779" i="34" s="1"/>
  <c r="G779" i="34" s="1"/>
  <c r="H779" i="34" s="1"/>
  <c r="I779" i="34" s="1"/>
  <c r="J779" i="34" s="1"/>
  <c r="K779" i="34" s="1"/>
  <c r="L779" i="34" s="1"/>
  <c r="B780" i="34"/>
  <c r="C780" i="34" s="1"/>
  <c r="D780" i="34" s="1"/>
  <c r="E780" i="34" s="1"/>
  <c r="F780" i="34" s="1"/>
  <c r="G780" i="34" s="1"/>
  <c r="H780" i="34" s="1"/>
  <c r="I780" i="34" s="1"/>
  <c r="J780" i="34" s="1"/>
  <c r="K780" i="34" s="1"/>
  <c r="L780" i="34" s="1"/>
  <c r="B781" i="34"/>
  <c r="C781" i="34" s="1"/>
  <c r="D781" i="34" s="1"/>
  <c r="E781" i="34" s="1"/>
  <c r="F781" i="34" s="1"/>
  <c r="G781" i="34" s="1"/>
  <c r="H781" i="34" s="1"/>
  <c r="I781" i="34" s="1"/>
  <c r="J781" i="34" s="1"/>
  <c r="K781" i="34" s="1"/>
  <c r="L781" i="34" s="1"/>
  <c r="M781" i="34" s="1"/>
  <c r="N781" i="34" s="1"/>
  <c r="O781" i="34" s="1"/>
  <c r="P781" i="34" s="1"/>
  <c r="Q781" i="34" s="1"/>
  <c r="R781" i="34" s="1"/>
  <c r="S781" i="34" s="1"/>
  <c r="B782" i="34"/>
  <c r="C782" i="34" s="1"/>
  <c r="D782" i="34"/>
  <c r="E782" i="34" s="1"/>
  <c r="F782" i="34" s="1"/>
  <c r="G782" i="34" s="1"/>
  <c r="H782" i="34" s="1"/>
  <c r="I782" i="34" s="1"/>
  <c r="J782" i="34" s="1"/>
  <c r="K782" i="34" s="1"/>
  <c r="L782" i="34" s="1"/>
  <c r="M782" i="34" s="1"/>
  <c r="N782" i="34" s="1"/>
  <c r="O782" i="34" s="1"/>
  <c r="P782" i="34" s="1"/>
  <c r="Q782" i="34" s="1"/>
  <c r="R782" i="34" s="1"/>
  <c r="S782" i="34" s="1"/>
  <c r="B783" i="34"/>
  <c r="C783" i="34" s="1"/>
  <c r="D783" i="34" s="1"/>
  <c r="E783" i="34" s="1"/>
  <c r="F783" i="34" s="1"/>
  <c r="G783" i="34" s="1"/>
  <c r="H783" i="34" s="1"/>
  <c r="I783" i="34" s="1"/>
  <c r="J783" i="34" s="1"/>
  <c r="K783" i="34" s="1"/>
  <c r="L783" i="34" s="1"/>
  <c r="M783" i="34" s="1"/>
  <c r="N783" i="34" s="1"/>
  <c r="O783" i="34" s="1"/>
  <c r="P783" i="34" s="1"/>
  <c r="Q783" i="34" s="1"/>
  <c r="R783" i="34" s="1"/>
  <c r="S783" i="34" s="1"/>
  <c r="B784" i="34"/>
  <c r="C784" i="34" s="1"/>
  <c r="D784" i="34" s="1"/>
  <c r="E784" i="34" s="1"/>
  <c r="F784" i="34" s="1"/>
  <c r="G784" i="34" s="1"/>
  <c r="H784" i="34" s="1"/>
  <c r="I784" i="34" s="1"/>
  <c r="J784" i="34" s="1"/>
  <c r="K784" i="34" s="1"/>
  <c r="L784" i="34" s="1"/>
  <c r="B785" i="34"/>
  <c r="C785" i="34" s="1"/>
  <c r="D785" i="34" s="1"/>
  <c r="E785" i="34" s="1"/>
  <c r="F785" i="34" s="1"/>
  <c r="G785" i="34" s="1"/>
  <c r="H785" i="34" s="1"/>
  <c r="I785" i="34" s="1"/>
  <c r="J785" i="34" s="1"/>
  <c r="K785" i="34" s="1"/>
  <c r="L785" i="34" s="1"/>
  <c r="B786" i="34"/>
  <c r="C786" i="34"/>
  <c r="D786" i="34" s="1"/>
  <c r="E786" i="34"/>
  <c r="F786" i="34" s="1"/>
  <c r="G786" i="34" s="1"/>
  <c r="H786" i="34" s="1"/>
  <c r="I786" i="34" s="1"/>
  <c r="J786" i="34" s="1"/>
  <c r="K786" i="34" s="1"/>
  <c r="L786" i="34" s="1"/>
  <c r="M786" i="34" s="1"/>
  <c r="N786" i="34" s="1"/>
  <c r="O786" i="34" s="1"/>
  <c r="P786" i="34" s="1"/>
  <c r="Q786" i="34" s="1"/>
  <c r="R786" i="34" s="1"/>
  <c r="S786" i="34" s="1"/>
  <c r="B787" i="34"/>
  <c r="C787" i="34" s="1"/>
  <c r="D787" i="34" s="1"/>
  <c r="E787" i="34" s="1"/>
  <c r="F787" i="34" s="1"/>
  <c r="G787" i="34" s="1"/>
  <c r="H787" i="34" s="1"/>
  <c r="I787" i="34" s="1"/>
  <c r="J787" i="34" s="1"/>
  <c r="K787" i="34" s="1"/>
  <c r="L787" i="34" s="1"/>
  <c r="B788" i="34"/>
  <c r="C788" i="34" s="1"/>
  <c r="D788" i="34" s="1"/>
  <c r="E788" i="34" s="1"/>
  <c r="F788" i="34" s="1"/>
  <c r="G788" i="34" s="1"/>
  <c r="H788" i="34" s="1"/>
  <c r="I788" i="34" s="1"/>
  <c r="J788" i="34" s="1"/>
  <c r="K788" i="34" s="1"/>
  <c r="L788" i="34" s="1"/>
  <c r="M788" i="34" s="1"/>
  <c r="N788" i="34" s="1"/>
  <c r="O788" i="34" s="1"/>
  <c r="P788" i="34" s="1"/>
  <c r="Q788" i="34" s="1"/>
  <c r="R788" i="34" s="1"/>
  <c r="S788" i="34" s="1"/>
  <c r="B789" i="34"/>
  <c r="C789" i="34" s="1"/>
  <c r="D789" i="34" s="1"/>
  <c r="E789" i="34" s="1"/>
  <c r="F789" i="34" s="1"/>
  <c r="G789" i="34" s="1"/>
  <c r="H789" i="34" s="1"/>
  <c r="I789" i="34" s="1"/>
  <c r="J789" i="34" s="1"/>
  <c r="K789" i="34" s="1"/>
  <c r="L789" i="34" s="1"/>
  <c r="M789" i="34" s="1"/>
  <c r="N789" i="34" s="1"/>
  <c r="O789" i="34" s="1"/>
  <c r="P789" i="34" s="1"/>
  <c r="Q789" i="34" s="1"/>
  <c r="R789" i="34" s="1"/>
  <c r="S789" i="34" s="1"/>
  <c r="B790" i="34"/>
  <c r="C790" i="34" s="1"/>
  <c r="D790" i="34" s="1"/>
  <c r="E790" i="34" s="1"/>
  <c r="F790" i="34" s="1"/>
  <c r="G790" i="34" s="1"/>
  <c r="H790" i="34" s="1"/>
  <c r="I790" i="34" s="1"/>
  <c r="J790" i="34" s="1"/>
  <c r="K790" i="34" s="1"/>
  <c r="L790" i="34" s="1"/>
  <c r="M790" i="34" s="1"/>
  <c r="N790" i="34" s="1"/>
  <c r="O790" i="34" s="1"/>
  <c r="P790" i="34" s="1"/>
  <c r="Q790" i="34" s="1"/>
  <c r="R790" i="34" s="1"/>
  <c r="S790" i="34" s="1"/>
  <c r="B791" i="34"/>
  <c r="C791" i="34" s="1"/>
  <c r="D791" i="34" s="1"/>
  <c r="E791" i="34" s="1"/>
  <c r="F791" i="34" s="1"/>
  <c r="G791" i="34" s="1"/>
  <c r="H791" i="34" s="1"/>
  <c r="I791" i="34" s="1"/>
  <c r="J791" i="34" s="1"/>
  <c r="K791" i="34" s="1"/>
  <c r="L791" i="34" s="1"/>
  <c r="M791" i="34" s="1"/>
  <c r="N791" i="34" s="1"/>
  <c r="O791" i="34" s="1"/>
  <c r="P791" i="34" s="1"/>
  <c r="Q791" i="34" s="1"/>
  <c r="R791" i="34" s="1"/>
  <c r="S791" i="34" s="1"/>
  <c r="B792" i="34"/>
  <c r="C792" i="34" s="1"/>
  <c r="D792" i="34" s="1"/>
  <c r="E792" i="34" s="1"/>
  <c r="F792" i="34" s="1"/>
  <c r="G792" i="34" s="1"/>
  <c r="H792" i="34" s="1"/>
  <c r="I792" i="34"/>
  <c r="J792" i="34" s="1"/>
  <c r="K792" i="34" s="1"/>
  <c r="L792" i="34" s="1"/>
  <c r="M792" i="34" s="1"/>
  <c r="N792" i="34" s="1"/>
  <c r="O792" i="34" s="1"/>
  <c r="P792" i="34" s="1"/>
  <c r="Q792" i="34" s="1"/>
  <c r="R792" i="34" s="1"/>
  <c r="S792" i="34" s="1"/>
  <c r="B793" i="34"/>
  <c r="C793" i="34" s="1"/>
  <c r="D793" i="34" s="1"/>
  <c r="E793" i="34" s="1"/>
  <c r="F793" i="34" s="1"/>
  <c r="G793" i="34" s="1"/>
  <c r="H793" i="34" s="1"/>
  <c r="I793" i="34" s="1"/>
  <c r="J793" i="34" s="1"/>
  <c r="K793" i="34" s="1"/>
  <c r="L793" i="34" s="1"/>
  <c r="B794" i="34"/>
  <c r="C794" i="34" s="1"/>
  <c r="D794" i="34" s="1"/>
  <c r="E794" i="34" s="1"/>
  <c r="F794" i="34" s="1"/>
  <c r="G794" i="34" s="1"/>
  <c r="H794" i="34" s="1"/>
  <c r="I794" i="34" s="1"/>
  <c r="J794" i="34" s="1"/>
  <c r="K794" i="34" s="1"/>
  <c r="L794" i="34" s="1"/>
  <c r="B795" i="34"/>
  <c r="C795" i="34" s="1"/>
  <c r="D795" i="34" s="1"/>
  <c r="E795" i="34" s="1"/>
  <c r="F795" i="34" s="1"/>
  <c r="G795" i="34" s="1"/>
  <c r="H795" i="34" s="1"/>
  <c r="I795" i="34" s="1"/>
  <c r="J795" i="34" s="1"/>
  <c r="K795" i="34" s="1"/>
  <c r="L795" i="34" s="1"/>
  <c r="M795" i="34" s="1"/>
  <c r="N795" i="34" s="1"/>
  <c r="O795" i="34" s="1"/>
  <c r="P795" i="34" s="1"/>
  <c r="Q795" i="34" s="1"/>
  <c r="R795" i="34" s="1"/>
  <c r="S795" i="34" s="1"/>
  <c r="B796" i="34"/>
  <c r="C796" i="34" s="1"/>
  <c r="D796" i="34" s="1"/>
  <c r="E796" i="34" s="1"/>
  <c r="F796" i="34" s="1"/>
  <c r="G796" i="34" s="1"/>
  <c r="H796" i="34" s="1"/>
  <c r="I796" i="34" s="1"/>
  <c r="J796" i="34" s="1"/>
  <c r="K796" i="34" s="1"/>
  <c r="L796" i="34" s="1"/>
  <c r="B797" i="34"/>
  <c r="C797" i="34" s="1"/>
  <c r="D797" i="34" s="1"/>
  <c r="E797" i="34" s="1"/>
  <c r="F797" i="34" s="1"/>
  <c r="G797" i="34" s="1"/>
  <c r="H797" i="34" s="1"/>
  <c r="I797" i="34" s="1"/>
  <c r="J797" i="34" s="1"/>
  <c r="K797" i="34" s="1"/>
  <c r="L797" i="34" s="1"/>
  <c r="M797" i="34" s="1"/>
  <c r="N797" i="34" s="1"/>
  <c r="O797" i="34" s="1"/>
  <c r="P797" i="34" s="1"/>
  <c r="Q797" i="34" s="1"/>
  <c r="R797" i="34" s="1"/>
  <c r="S797" i="34" s="1"/>
  <c r="B798" i="34"/>
  <c r="C798" i="34"/>
  <c r="D798" i="34" s="1"/>
  <c r="E798" i="34" s="1"/>
  <c r="F798" i="34" s="1"/>
  <c r="G798" i="34" s="1"/>
  <c r="H798" i="34" s="1"/>
  <c r="I798" i="34" s="1"/>
  <c r="J798" i="34" s="1"/>
  <c r="K798" i="34" s="1"/>
  <c r="L798" i="34" s="1"/>
  <c r="M798" i="34" s="1"/>
  <c r="N798" i="34" s="1"/>
  <c r="O798" i="34" s="1"/>
  <c r="P798" i="34" s="1"/>
  <c r="Q798" i="34" s="1"/>
  <c r="R798" i="34" s="1"/>
  <c r="S798" i="34" s="1"/>
  <c r="B799" i="34"/>
  <c r="C799" i="34" s="1"/>
  <c r="D799" i="34" s="1"/>
  <c r="E799" i="34" s="1"/>
  <c r="F799" i="34" s="1"/>
  <c r="G799" i="34" s="1"/>
  <c r="H799" i="34" s="1"/>
  <c r="I799" i="34" s="1"/>
  <c r="J799" i="34" s="1"/>
  <c r="K799" i="34" s="1"/>
  <c r="L799" i="34" s="1"/>
  <c r="M799" i="34" s="1"/>
  <c r="N799" i="34" s="1"/>
  <c r="O799" i="34" s="1"/>
  <c r="P799" i="34" s="1"/>
  <c r="Q799" i="34" s="1"/>
  <c r="R799" i="34" s="1"/>
  <c r="S799" i="34" s="1"/>
  <c r="B800" i="34"/>
  <c r="C800" i="34" s="1"/>
  <c r="D800" i="34" s="1"/>
  <c r="E800" i="34" s="1"/>
  <c r="F800" i="34" s="1"/>
  <c r="G800" i="34" s="1"/>
  <c r="H800" i="34" s="1"/>
  <c r="I800" i="34" s="1"/>
  <c r="J800" i="34" s="1"/>
  <c r="K800" i="34" s="1"/>
  <c r="L800" i="34" s="1"/>
  <c r="M800" i="34" s="1"/>
  <c r="N800" i="34" s="1"/>
  <c r="O800" i="34" s="1"/>
  <c r="P800" i="34" s="1"/>
  <c r="Q800" i="34" s="1"/>
  <c r="R800" i="34" s="1"/>
  <c r="S800" i="34" s="1"/>
  <c r="B801" i="34"/>
  <c r="C801" i="34" s="1"/>
  <c r="D801" i="34" s="1"/>
  <c r="E801" i="34" s="1"/>
  <c r="F801" i="34" s="1"/>
  <c r="G801" i="34" s="1"/>
  <c r="H801" i="34" s="1"/>
  <c r="I801" i="34" s="1"/>
  <c r="J801" i="34" s="1"/>
  <c r="K801" i="34" s="1"/>
  <c r="L801" i="34" s="1"/>
  <c r="B802" i="34"/>
  <c r="C802" i="34" s="1"/>
  <c r="D802" i="34" s="1"/>
  <c r="E802" i="34" s="1"/>
  <c r="F802" i="34" s="1"/>
  <c r="G802" i="34" s="1"/>
  <c r="H802" i="34" s="1"/>
  <c r="I802" i="34" s="1"/>
  <c r="J802" i="34" s="1"/>
  <c r="K802" i="34" s="1"/>
  <c r="L802" i="34" s="1"/>
  <c r="B803" i="34"/>
  <c r="C803" i="34" s="1"/>
  <c r="D803" i="34" s="1"/>
  <c r="E803" i="34" s="1"/>
  <c r="F803" i="34" s="1"/>
  <c r="G803" i="34" s="1"/>
  <c r="H803" i="34" s="1"/>
  <c r="I803" i="34" s="1"/>
  <c r="J803" i="34" s="1"/>
  <c r="K803" i="34" s="1"/>
  <c r="L803" i="34" s="1"/>
  <c r="B804" i="34"/>
  <c r="C804" i="34" s="1"/>
  <c r="D804" i="34" s="1"/>
  <c r="E804" i="34" s="1"/>
  <c r="F804" i="34" s="1"/>
  <c r="G804" i="34" s="1"/>
  <c r="H804" i="34" s="1"/>
  <c r="I804" i="34" s="1"/>
  <c r="J804" i="34" s="1"/>
  <c r="K804" i="34" s="1"/>
  <c r="L804" i="34" s="1"/>
  <c r="B805" i="34"/>
  <c r="C805" i="34" s="1"/>
  <c r="D805" i="34" s="1"/>
  <c r="E805" i="34" s="1"/>
  <c r="F805" i="34" s="1"/>
  <c r="G805" i="34" s="1"/>
  <c r="H805" i="34" s="1"/>
  <c r="I805" i="34" s="1"/>
  <c r="J805" i="34" s="1"/>
  <c r="K805" i="34" s="1"/>
  <c r="L805" i="34" s="1"/>
  <c r="M805" i="34" s="1"/>
  <c r="N805" i="34" s="1"/>
  <c r="O805" i="34" s="1"/>
  <c r="P805" i="34" s="1"/>
  <c r="Q805" i="34" s="1"/>
  <c r="R805" i="34" s="1"/>
  <c r="S805" i="34" s="1"/>
  <c r="B806" i="34"/>
  <c r="C806" i="34" s="1"/>
  <c r="D806" i="34" s="1"/>
  <c r="E806" i="34" s="1"/>
  <c r="F806" i="34" s="1"/>
  <c r="G806" i="34" s="1"/>
  <c r="H806" i="34" s="1"/>
  <c r="I806" i="34" s="1"/>
  <c r="J806" i="34" s="1"/>
  <c r="K806" i="34" s="1"/>
  <c r="L806" i="34" s="1"/>
  <c r="M806" i="34" s="1"/>
  <c r="N806" i="34" s="1"/>
  <c r="O806" i="34" s="1"/>
  <c r="P806" i="34" s="1"/>
  <c r="Q806" i="34" s="1"/>
  <c r="R806" i="34" s="1"/>
  <c r="S806" i="34" s="1"/>
  <c r="B807" i="34"/>
  <c r="C807" i="34" s="1"/>
  <c r="D807" i="34" s="1"/>
  <c r="E807" i="34" s="1"/>
  <c r="F807" i="34" s="1"/>
  <c r="G807" i="34" s="1"/>
  <c r="H807" i="34" s="1"/>
  <c r="I807" i="34" s="1"/>
  <c r="J807" i="34" s="1"/>
  <c r="K807" i="34" s="1"/>
  <c r="L807" i="34" s="1"/>
  <c r="M807" i="34" s="1"/>
  <c r="N807" i="34" s="1"/>
  <c r="O807" i="34" s="1"/>
  <c r="P807" i="34" s="1"/>
  <c r="Q807" i="34" s="1"/>
  <c r="R807" i="34" s="1"/>
  <c r="S807" i="34" s="1"/>
  <c r="B808" i="34"/>
  <c r="C808" i="34" s="1"/>
  <c r="D808" i="34" s="1"/>
  <c r="E808" i="34" s="1"/>
  <c r="F808" i="34" s="1"/>
  <c r="G808" i="34"/>
  <c r="H808" i="34" s="1"/>
  <c r="I808" i="34" s="1"/>
  <c r="J808" i="34" s="1"/>
  <c r="K808" i="34" s="1"/>
  <c r="L808" i="34" s="1"/>
  <c r="B809" i="34"/>
  <c r="C809" i="34" s="1"/>
  <c r="D809" i="34" s="1"/>
  <c r="E809" i="34" s="1"/>
  <c r="F809" i="34" s="1"/>
  <c r="G809" i="34" s="1"/>
  <c r="H809" i="34" s="1"/>
  <c r="I809" i="34" s="1"/>
  <c r="J809" i="34" s="1"/>
  <c r="K809" i="34" s="1"/>
  <c r="L809" i="34" s="1"/>
  <c r="M809" i="34" s="1"/>
  <c r="N809" i="34" s="1"/>
  <c r="O809" i="34" s="1"/>
  <c r="P809" i="34" s="1"/>
  <c r="Q809" i="34" s="1"/>
  <c r="R809" i="34" s="1"/>
  <c r="S809" i="34" s="1"/>
  <c r="B810" i="34"/>
  <c r="C810" i="34" s="1"/>
  <c r="D810" i="34" s="1"/>
  <c r="E810" i="34" s="1"/>
  <c r="F810" i="34" s="1"/>
  <c r="G810" i="34" s="1"/>
  <c r="H810" i="34" s="1"/>
  <c r="I810" i="34" s="1"/>
  <c r="J810" i="34" s="1"/>
  <c r="K810" i="34" s="1"/>
  <c r="L810" i="34" s="1"/>
  <c r="B811" i="34"/>
  <c r="C811" i="34"/>
  <c r="D811" i="34" s="1"/>
  <c r="E811" i="34" s="1"/>
  <c r="F811" i="34"/>
  <c r="G811" i="34"/>
  <c r="H811" i="34"/>
  <c r="I811" i="34" s="1"/>
  <c r="J811" i="34" s="1"/>
  <c r="K811" i="34" s="1"/>
  <c r="L811" i="34" s="1"/>
  <c r="B812" i="34"/>
  <c r="C812" i="34" s="1"/>
  <c r="D812" i="34" s="1"/>
  <c r="E812" i="34" s="1"/>
  <c r="F812" i="34" s="1"/>
  <c r="G812" i="34" s="1"/>
  <c r="H812" i="34" s="1"/>
  <c r="I812" i="34" s="1"/>
  <c r="J812" i="34" s="1"/>
  <c r="K812" i="34" s="1"/>
  <c r="L812" i="34" s="1"/>
  <c r="B813" i="34"/>
  <c r="C813" i="34" s="1"/>
  <c r="D813" i="34" s="1"/>
  <c r="E813" i="34" s="1"/>
  <c r="F813" i="34" s="1"/>
  <c r="G813" i="34" s="1"/>
  <c r="H813" i="34" s="1"/>
  <c r="I813" i="34" s="1"/>
  <c r="J813" i="34" s="1"/>
  <c r="K813" i="34" s="1"/>
  <c r="L813" i="34" s="1"/>
  <c r="M813" i="34" s="1"/>
  <c r="N813" i="34" s="1"/>
  <c r="O813" i="34" s="1"/>
  <c r="P813" i="34" s="1"/>
  <c r="Q813" i="34" s="1"/>
  <c r="R813" i="34" s="1"/>
  <c r="S813" i="34" s="1"/>
  <c r="B814" i="34"/>
  <c r="C814" i="34" s="1"/>
  <c r="D814" i="34" s="1"/>
  <c r="E814" i="34" s="1"/>
  <c r="F814" i="34" s="1"/>
  <c r="G814" i="34" s="1"/>
  <c r="H814" i="34" s="1"/>
  <c r="I814" i="34" s="1"/>
  <c r="J814" i="34" s="1"/>
  <c r="K814" i="34" s="1"/>
  <c r="L814" i="34" s="1"/>
  <c r="M814" i="34" s="1"/>
  <c r="N814" i="34" s="1"/>
  <c r="O814" i="34" s="1"/>
  <c r="P814" i="34" s="1"/>
  <c r="Q814" i="34" s="1"/>
  <c r="R814" i="34" s="1"/>
  <c r="S814" i="34" s="1"/>
  <c r="B815" i="34"/>
  <c r="C815" i="34" s="1"/>
  <c r="D815" i="34" s="1"/>
  <c r="E815" i="34" s="1"/>
  <c r="F815" i="34" s="1"/>
  <c r="G815" i="34" s="1"/>
  <c r="H815" i="34" s="1"/>
  <c r="I815" i="34" s="1"/>
  <c r="J815" i="34" s="1"/>
  <c r="K815" i="34" s="1"/>
  <c r="L815" i="34" s="1"/>
  <c r="M815" i="34" s="1"/>
  <c r="N815" i="34" s="1"/>
  <c r="O815" i="34" s="1"/>
  <c r="P815" i="34" s="1"/>
  <c r="Q815" i="34" s="1"/>
  <c r="R815" i="34" s="1"/>
  <c r="S815" i="34" s="1"/>
  <c r="B816" i="34"/>
  <c r="C816" i="34" s="1"/>
  <c r="D816" i="34" s="1"/>
  <c r="E816" i="34"/>
  <c r="F816" i="34" s="1"/>
  <c r="G816" i="34" s="1"/>
  <c r="H816" i="34" s="1"/>
  <c r="I816" i="34" s="1"/>
  <c r="J816" i="34"/>
  <c r="K816" i="34" s="1"/>
  <c r="L816" i="34" s="1"/>
  <c r="M816" i="34" s="1"/>
  <c r="N816" i="34" s="1"/>
  <c r="O816" i="34" s="1"/>
  <c r="P816" i="34" s="1"/>
  <c r="Q816" i="34" s="1"/>
  <c r="R816" i="34" s="1"/>
  <c r="S816" i="34" s="1"/>
  <c r="B817" i="34"/>
  <c r="C817" i="34" s="1"/>
  <c r="D817" i="34" s="1"/>
  <c r="E817" i="34" s="1"/>
  <c r="F817" i="34" s="1"/>
  <c r="G817" i="34" s="1"/>
  <c r="H817" i="34" s="1"/>
  <c r="I817" i="34" s="1"/>
  <c r="J817" i="34" s="1"/>
  <c r="K817" i="34" s="1"/>
  <c r="L817" i="34" s="1"/>
  <c r="M817" i="34" s="1"/>
  <c r="N817" i="34" s="1"/>
  <c r="O817" i="34" s="1"/>
  <c r="P817" i="34" s="1"/>
  <c r="Q817" i="34" s="1"/>
  <c r="R817" i="34" s="1"/>
  <c r="S817" i="34" s="1"/>
  <c r="B818" i="34"/>
  <c r="C818" i="34" s="1"/>
  <c r="D818" i="34" s="1"/>
  <c r="E818" i="34" s="1"/>
  <c r="F818" i="34" s="1"/>
  <c r="G818" i="34" s="1"/>
  <c r="H818" i="34" s="1"/>
  <c r="I818" i="34" s="1"/>
  <c r="J818" i="34" s="1"/>
  <c r="K818" i="34" s="1"/>
  <c r="L818" i="34" s="1"/>
  <c r="B819" i="34"/>
  <c r="C819" i="34" s="1"/>
  <c r="D819" i="34" s="1"/>
  <c r="E819" i="34" s="1"/>
  <c r="F819" i="34" s="1"/>
  <c r="G819" i="34" s="1"/>
  <c r="H819" i="34" s="1"/>
  <c r="I819" i="34" s="1"/>
  <c r="J819" i="34" s="1"/>
  <c r="K819" i="34" s="1"/>
  <c r="L819" i="34" s="1"/>
  <c r="B820" i="34"/>
  <c r="C820" i="34" s="1"/>
  <c r="D820" i="34" s="1"/>
  <c r="E820" i="34" s="1"/>
  <c r="F820" i="34" s="1"/>
  <c r="G820" i="34" s="1"/>
  <c r="H820" i="34" s="1"/>
  <c r="I820" i="34" s="1"/>
  <c r="J820" i="34" s="1"/>
  <c r="K820" i="34" s="1"/>
  <c r="L820" i="34" s="1"/>
  <c r="B821" i="34"/>
  <c r="C821" i="34" s="1"/>
  <c r="D821" i="34" s="1"/>
  <c r="E821" i="34" s="1"/>
  <c r="F821" i="34" s="1"/>
  <c r="G821" i="34" s="1"/>
  <c r="H821" i="34" s="1"/>
  <c r="I821" i="34" s="1"/>
  <c r="J821" i="34" s="1"/>
  <c r="K821" i="34" s="1"/>
  <c r="L821" i="34" s="1"/>
  <c r="M821" i="34" s="1"/>
  <c r="N821" i="34" s="1"/>
  <c r="O821" i="34" s="1"/>
  <c r="P821" i="34" s="1"/>
  <c r="Q821" i="34" s="1"/>
  <c r="R821" i="34" s="1"/>
  <c r="S821" i="34" s="1"/>
  <c r="B822" i="34"/>
  <c r="C822" i="34" s="1"/>
  <c r="D822" i="34" s="1"/>
  <c r="E822" i="34" s="1"/>
  <c r="F822" i="34" s="1"/>
  <c r="G822" i="34" s="1"/>
  <c r="H822" i="34" s="1"/>
  <c r="I822" i="34" s="1"/>
  <c r="J822" i="34"/>
  <c r="K822" i="34" s="1"/>
  <c r="L822" i="34"/>
  <c r="M822" i="34" s="1"/>
  <c r="N822" i="34" s="1"/>
  <c r="O822" i="34" s="1"/>
  <c r="P822" i="34" s="1"/>
  <c r="Q822" i="34" s="1"/>
  <c r="R822" i="34" s="1"/>
  <c r="S822" i="34" s="1"/>
  <c r="B823" i="34"/>
  <c r="C823" i="34" s="1"/>
  <c r="D823" i="34" s="1"/>
  <c r="E823" i="34" s="1"/>
  <c r="F823" i="34" s="1"/>
  <c r="G823" i="34" s="1"/>
  <c r="H823" i="34" s="1"/>
  <c r="I823" i="34" s="1"/>
  <c r="J823" i="34" s="1"/>
  <c r="K823" i="34" s="1"/>
  <c r="L823" i="34" s="1"/>
  <c r="M823" i="34" s="1"/>
  <c r="N823" i="34" s="1"/>
  <c r="O823" i="34" s="1"/>
  <c r="P823" i="34" s="1"/>
  <c r="Q823" i="34" s="1"/>
  <c r="R823" i="34" s="1"/>
  <c r="S823" i="34" s="1"/>
  <c r="B824" i="34"/>
  <c r="C824" i="34" s="1"/>
  <c r="D824" i="34" s="1"/>
  <c r="E824" i="34" s="1"/>
  <c r="F824" i="34" s="1"/>
  <c r="G824" i="34" s="1"/>
  <c r="H824" i="34" s="1"/>
  <c r="I824" i="34" s="1"/>
  <c r="J824" i="34" s="1"/>
  <c r="K824" i="34" s="1"/>
  <c r="L824" i="34" s="1"/>
  <c r="M824" i="34" s="1"/>
  <c r="N824" i="34" s="1"/>
  <c r="O824" i="34" s="1"/>
  <c r="P824" i="34" s="1"/>
  <c r="Q824" i="34" s="1"/>
  <c r="R824" i="34" s="1"/>
  <c r="S824" i="34" s="1"/>
  <c r="B825" i="34"/>
  <c r="C825" i="34" s="1"/>
  <c r="D825" i="34" s="1"/>
  <c r="E825" i="34" s="1"/>
  <c r="F825" i="34" s="1"/>
  <c r="G825" i="34" s="1"/>
  <c r="H825" i="34" s="1"/>
  <c r="I825" i="34" s="1"/>
  <c r="J825" i="34" s="1"/>
  <c r="K825" i="34" s="1"/>
  <c r="L825" i="34" s="1"/>
  <c r="B826" i="34"/>
  <c r="C826" i="34"/>
  <c r="D826" i="34" s="1"/>
  <c r="E826" i="34" s="1"/>
  <c r="F826" i="34" s="1"/>
  <c r="G826" i="34" s="1"/>
  <c r="H826" i="34"/>
  <c r="I826" i="34" s="1"/>
  <c r="J826" i="34" s="1"/>
  <c r="K826" i="34" s="1"/>
  <c r="L826" i="34" s="1"/>
  <c r="B827" i="34"/>
  <c r="C827" i="34" s="1"/>
  <c r="D827" i="34" s="1"/>
  <c r="E827" i="34" s="1"/>
  <c r="F827" i="34" s="1"/>
  <c r="G827" i="34" s="1"/>
  <c r="H827" i="34" s="1"/>
  <c r="I827" i="34" s="1"/>
  <c r="J827" i="34" s="1"/>
  <c r="K827" i="34" s="1"/>
  <c r="L827" i="34" s="1"/>
  <c r="B828" i="34"/>
  <c r="C828" i="34" s="1"/>
  <c r="D828" i="34" s="1"/>
  <c r="E828" i="34" s="1"/>
  <c r="F828" i="34" s="1"/>
  <c r="G828" i="34" s="1"/>
  <c r="H828" i="34" s="1"/>
  <c r="I828" i="34" s="1"/>
  <c r="J828" i="34" s="1"/>
  <c r="K828" i="34" s="1"/>
  <c r="L828" i="34" s="1"/>
  <c r="B829" i="34"/>
  <c r="C829" i="34" s="1"/>
  <c r="D829" i="34" s="1"/>
  <c r="E829" i="34" s="1"/>
  <c r="F829" i="34" s="1"/>
  <c r="G829" i="34" s="1"/>
  <c r="H829" i="34" s="1"/>
  <c r="I829" i="34" s="1"/>
  <c r="J829" i="34" s="1"/>
  <c r="K829" i="34" s="1"/>
  <c r="L829" i="34" s="1"/>
  <c r="M829" i="34" s="1"/>
  <c r="N829" i="34" s="1"/>
  <c r="O829" i="34" s="1"/>
  <c r="P829" i="34" s="1"/>
  <c r="Q829" i="34" s="1"/>
  <c r="R829" i="34" s="1"/>
  <c r="S829" i="34" s="1"/>
  <c r="B830" i="34"/>
  <c r="C830" i="34" s="1"/>
  <c r="D830" i="34" s="1"/>
  <c r="E830" i="34" s="1"/>
  <c r="F830" i="34" s="1"/>
  <c r="G830" i="34" s="1"/>
  <c r="H830" i="34" s="1"/>
  <c r="I830" i="34" s="1"/>
  <c r="J830" i="34" s="1"/>
  <c r="K830" i="34" s="1"/>
  <c r="L830" i="34" s="1"/>
  <c r="M830" i="34" s="1"/>
  <c r="N830" i="34" s="1"/>
  <c r="O830" i="34" s="1"/>
  <c r="P830" i="34" s="1"/>
  <c r="Q830" i="34" s="1"/>
  <c r="R830" i="34" s="1"/>
  <c r="S830" i="34" s="1"/>
  <c r="B831" i="34"/>
  <c r="C831" i="34"/>
  <c r="D831" i="34" s="1"/>
  <c r="E831" i="34" s="1"/>
  <c r="F831" i="34" s="1"/>
  <c r="G831" i="34" s="1"/>
  <c r="H831" i="34" s="1"/>
  <c r="I831" i="34" s="1"/>
  <c r="J831" i="34" s="1"/>
  <c r="K831" i="34" s="1"/>
  <c r="L831" i="34" s="1"/>
  <c r="M831" i="34" s="1"/>
  <c r="N831" i="34" s="1"/>
  <c r="O831" i="34" s="1"/>
  <c r="P831" i="34" s="1"/>
  <c r="Q831" i="34" s="1"/>
  <c r="R831" i="34" s="1"/>
  <c r="S831" i="34" s="1"/>
  <c r="B832" i="34"/>
  <c r="C832" i="34" s="1"/>
  <c r="D832" i="34" s="1"/>
  <c r="E832" i="34" s="1"/>
  <c r="F832" i="34" s="1"/>
  <c r="G832" i="34" s="1"/>
  <c r="H832" i="34" s="1"/>
  <c r="I832" i="34" s="1"/>
  <c r="J832" i="34" s="1"/>
  <c r="K832" i="34" s="1"/>
  <c r="L832" i="34" s="1"/>
  <c r="M832" i="34" s="1"/>
  <c r="N832" i="34" s="1"/>
  <c r="O832" i="34" s="1"/>
  <c r="P832" i="34" s="1"/>
  <c r="Q832" i="34" s="1"/>
  <c r="R832" i="34" s="1"/>
  <c r="S832" i="34" s="1"/>
  <c r="B833" i="34"/>
  <c r="C833" i="34"/>
  <c r="D833" i="34" s="1"/>
  <c r="E833" i="34" s="1"/>
  <c r="F833" i="34" s="1"/>
  <c r="G833" i="34" s="1"/>
  <c r="H833" i="34"/>
  <c r="I833" i="34" s="1"/>
  <c r="J833" i="34" s="1"/>
  <c r="K833" i="34" s="1"/>
  <c r="L833" i="34" s="1"/>
  <c r="M833" i="34" s="1"/>
  <c r="N833" i="34" s="1"/>
  <c r="O833" i="34" s="1"/>
  <c r="P833" i="34" s="1"/>
  <c r="Q833" i="34" s="1"/>
  <c r="R833" i="34" s="1"/>
  <c r="S833" i="34" s="1"/>
  <c r="B834" i="34"/>
  <c r="C834" i="34" s="1"/>
  <c r="D834" i="34" s="1"/>
  <c r="E834" i="34" s="1"/>
  <c r="F834" i="34" s="1"/>
  <c r="G834" i="34" s="1"/>
  <c r="H834" i="34" s="1"/>
  <c r="I834" i="34" s="1"/>
  <c r="J834" i="34" s="1"/>
  <c r="K834" i="34" s="1"/>
  <c r="L834" i="34" s="1"/>
  <c r="B835" i="34"/>
  <c r="C835" i="34" s="1"/>
  <c r="D835" i="34" s="1"/>
  <c r="E835" i="34" s="1"/>
  <c r="F835" i="34" s="1"/>
  <c r="G835" i="34" s="1"/>
  <c r="H835" i="34" s="1"/>
  <c r="I835" i="34" s="1"/>
  <c r="J835" i="34" s="1"/>
  <c r="K835" i="34" s="1"/>
  <c r="L835" i="34" s="1"/>
  <c r="B836" i="34"/>
  <c r="C836" i="34" s="1"/>
  <c r="D836" i="34" s="1"/>
  <c r="E836" i="34" s="1"/>
  <c r="F836" i="34" s="1"/>
  <c r="G836" i="34" s="1"/>
  <c r="H836" i="34" s="1"/>
  <c r="I836" i="34" s="1"/>
  <c r="J836" i="34" s="1"/>
  <c r="K836" i="34" s="1"/>
  <c r="L836" i="34" s="1"/>
  <c r="B837" i="34"/>
  <c r="C837" i="34"/>
  <c r="D837" i="34" s="1"/>
  <c r="E837" i="34"/>
  <c r="F837" i="34" s="1"/>
  <c r="G837" i="34" s="1"/>
  <c r="H837" i="34" s="1"/>
  <c r="I837" i="34" s="1"/>
  <c r="J837" i="34" s="1"/>
  <c r="K837" i="34" s="1"/>
  <c r="L837" i="34" s="1"/>
  <c r="M837" i="34" s="1"/>
  <c r="N837" i="34" s="1"/>
  <c r="O837" i="34" s="1"/>
  <c r="P837" i="34" s="1"/>
  <c r="Q837" i="34" s="1"/>
  <c r="R837" i="34" s="1"/>
  <c r="S837" i="34" s="1"/>
  <c r="B838" i="34"/>
  <c r="C838" i="34" s="1"/>
  <c r="D838" i="34" s="1"/>
  <c r="E838" i="34" s="1"/>
  <c r="F838" i="34" s="1"/>
  <c r="G838" i="34" s="1"/>
  <c r="H838" i="34" s="1"/>
  <c r="I838" i="34" s="1"/>
  <c r="J838" i="34" s="1"/>
  <c r="K838" i="34" s="1"/>
  <c r="L838" i="34" s="1"/>
  <c r="M838" i="34" s="1"/>
  <c r="N838" i="34" s="1"/>
  <c r="O838" i="34" s="1"/>
  <c r="P838" i="34" s="1"/>
  <c r="Q838" i="34" s="1"/>
  <c r="R838" i="34" s="1"/>
  <c r="S838" i="34" s="1"/>
  <c r="B839" i="34"/>
  <c r="C839" i="34" s="1"/>
  <c r="D839" i="34" s="1"/>
  <c r="E839" i="34" s="1"/>
  <c r="F839" i="34" s="1"/>
  <c r="G839" i="34" s="1"/>
  <c r="H839" i="34" s="1"/>
  <c r="I839" i="34" s="1"/>
  <c r="J839" i="34" s="1"/>
  <c r="K839" i="34" s="1"/>
  <c r="L839" i="34" s="1"/>
  <c r="M839" i="34" s="1"/>
  <c r="N839" i="34" s="1"/>
  <c r="O839" i="34" s="1"/>
  <c r="P839" i="34" s="1"/>
  <c r="Q839" i="34" s="1"/>
  <c r="R839" i="34" s="1"/>
  <c r="S839" i="34" s="1"/>
  <c r="B840" i="34"/>
  <c r="C840" i="34" s="1"/>
  <c r="D840" i="34" s="1"/>
  <c r="E840" i="34" s="1"/>
  <c r="F840" i="34" s="1"/>
  <c r="G840" i="34" s="1"/>
  <c r="H840" i="34" s="1"/>
  <c r="I840" i="34" s="1"/>
  <c r="J840" i="34" s="1"/>
  <c r="K840" i="34" s="1"/>
  <c r="L840" i="34" s="1"/>
  <c r="B841" i="34"/>
  <c r="C841" i="34"/>
  <c r="D841" i="34" s="1"/>
  <c r="E841" i="34" s="1"/>
  <c r="F841" i="34"/>
  <c r="G841" i="34" s="1"/>
  <c r="H841" i="34" s="1"/>
  <c r="I841" i="34" s="1"/>
  <c r="J841" i="34" s="1"/>
  <c r="K841" i="34" s="1"/>
  <c r="L841" i="34" s="1"/>
  <c r="B842" i="34"/>
  <c r="C842" i="34" s="1"/>
  <c r="D842" i="34" s="1"/>
  <c r="E842" i="34" s="1"/>
  <c r="F842" i="34" s="1"/>
  <c r="G842" i="34" s="1"/>
  <c r="H842" i="34" s="1"/>
  <c r="I842" i="34" s="1"/>
  <c r="J842" i="34" s="1"/>
  <c r="K842" i="34" s="1"/>
  <c r="L842" i="34" s="1"/>
  <c r="M842" i="34" s="1"/>
  <c r="N842" i="34" s="1"/>
  <c r="O842" i="34" s="1"/>
  <c r="P842" i="34" s="1"/>
  <c r="Q842" i="34" s="1"/>
  <c r="R842" i="34" s="1"/>
  <c r="S842" i="34" s="1"/>
  <c r="B843" i="34"/>
  <c r="C843" i="34" s="1"/>
  <c r="D843" i="34" s="1"/>
  <c r="E843" i="34" s="1"/>
  <c r="F843" i="34" s="1"/>
  <c r="G843" i="34" s="1"/>
  <c r="H843" i="34" s="1"/>
  <c r="I843" i="34" s="1"/>
  <c r="J843" i="34" s="1"/>
  <c r="K843" i="34" s="1"/>
  <c r="L843" i="34" s="1"/>
  <c r="B844" i="34"/>
  <c r="C844" i="34" s="1"/>
  <c r="D844" i="34" s="1"/>
  <c r="E844" i="34" s="1"/>
  <c r="F844" i="34" s="1"/>
  <c r="G844" i="34" s="1"/>
  <c r="H844" i="34" s="1"/>
  <c r="I844" i="34" s="1"/>
  <c r="J844" i="34" s="1"/>
  <c r="K844" i="34" s="1"/>
  <c r="L844" i="34" s="1"/>
  <c r="B845" i="34"/>
  <c r="C845" i="34" s="1"/>
  <c r="D845" i="34" s="1"/>
  <c r="E845" i="34" s="1"/>
  <c r="F845" i="34" s="1"/>
  <c r="G845" i="34" s="1"/>
  <c r="H845" i="34" s="1"/>
  <c r="I845" i="34" s="1"/>
  <c r="J845" i="34" s="1"/>
  <c r="K845" i="34" s="1"/>
  <c r="L845" i="34" s="1"/>
  <c r="M845" i="34" s="1"/>
  <c r="N845" i="34" s="1"/>
  <c r="O845" i="34" s="1"/>
  <c r="P845" i="34" s="1"/>
  <c r="Q845" i="34" s="1"/>
  <c r="R845" i="34" s="1"/>
  <c r="S845" i="34" s="1"/>
  <c r="B846" i="34"/>
  <c r="C846" i="34" s="1"/>
  <c r="D846" i="34" s="1"/>
  <c r="E846" i="34" s="1"/>
  <c r="F846" i="34" s="1"/>
  <c r="G846" i="34" s="1"/>
  <c r="H846" i="34" s="1"/>
  <c r="I846" i="34" s="1"/>
  <c r="J846" i="34" s="1"/>
  <c r="K846" i="34" s="1"/>
  <c r="L846" i="34" s="1"/>
  <c r="M846" i="34" s="1"/>
  <c r="N846" i="34" s="1"/>
  <c r="O846" i="34" s="1"/>
  <c r="P846" i="34" s="1"/>
  <c r="Q846" i="34" s="1"/>
  <c r="R846" i="34" s="1"/>
  <c r="S846" i="34" s="1"/>
  <c r="B847" i="34"/>
  <c r="C847" i="34" s="1"/>
  <c r="D847" i="34" s="1"/>
  <c r="E847" i="34" s="1"/>
  <c r="F847" i="34" s="1"/>
  <c r="G847" i="34" s="1"/>
  <c r="H847" i="34" s="1"/>
  <c r="I847" i="34" s="1"/>
  <c r="J847" i="34" s="1"/>
  <c r="K847" i="34" s="1"/>
  <c r="L847" i="34" s="1"/>
  <c r="M847" i="34" s="1"/>
  <c r="N847" i="34" s="1"/>
  <c r="O847" i="34" s="1"/>
  <c r="P847" i="34" s="1"/>
  <c r="Q847" i="34" s="1"/>
  <c r="R847" i="34" s="1"/>
  <c r="S847" i="34" s="1"/>
  <c r="B848" i="34"/>
  <c r="C848" i="34" s="1"/>
  <c r="D848" i="34" s="1"/>
  <c r="E848" i="34" s="1"/>
  <c r="F848" i="34" s="1"/>
  <c r="G848" i="34" s="1"/>
  <c r="H848" i="34" s="1"/>
  <c r="I848" i="34" s="1"/>
  <c r="J848" i="34" s="1"/>
  <c r="K848" i="34" s="1"/>
  <c r="L848" i="34" s="1"/>
  <c r="M848" i="34" s="1"/>
  <c r="N848" i="34" s="1"/>
  <c r="O848" i="34" s="1"/>
  <c r="P848" i="34" s="1"/>
  <c r="Q848" i="34" s="1"/>
  <c r="R848" i="34" s="1"/>
  <c r="S848" i="34" s="1"/>
  <c r="B849" i="34"/>
  <c r="C849" i="34" s="1"/>
  <c r="D849" i="34" s="1"/>
  <c r="E849" i="34" s="1"/>
  <c r="F849" i="34" s="1"/>
  <c r="G849" i="34" s="1"/>
  <c r="H849" i="34" s="1"/>
  <c r="I849" i="34" s="1"/>
  <c r="J849" i="34" s="1"/>
  <c r="K849" i="34" s="1"/>
  <c r="L849" i="34" s="1"/>
  <c r="B850" i="34"/>
  <c r="C850" i="34"/>
  <c r="D850" i="34" s="1"/>
  <c r="E850" i="34" s="1"/>
  <c r="F850" i="34" s="1"/>
  <c r="G850" i="34" s="1"/>
  <c r="H850" i="34" s="1"/>
  <c r="I850" i="34" s="1"/>
  <c r="J850" i="34" s="1"/>
  <c r="K850" i="34" s="1"/>
  <c r="L850" i="34" s="1"/>
  <c r="B851" i="34"/>
  <c r="C851" i="34" s="1"/>
  <c r="D851" i="34" s="1"/>
  <c r="E851" i="34" s="1"/>
  <c r="F851" i="34" s="1"/>
  <c r="G851" i="34" s="1"/>
  <c r="H851" i="34" s="1"/>
  <c r="I851" i="34" s="1"/>
  <c r="J851" i="34" s="1"/>
  <c r="K851" i="34" s="1"/>
  <c r="L851" i="34" s="1"/>
  <c r="B852" i="34"/>
  <c r="C852" i="34"/>
  <c r="D852" i="34"/>
  <c r="E852" i="34" s="1"/>
  <c r="F852" i="34" s="1"/>
  <c r="G852" i="34" s="1"/>
  <c r="H852" i="34" s="1"/>
  <c r="I852" i="34" s="1"/>
  <c r="J852" i="34" s="1"/>
  <c r="K852" i="34" s="1"/>
  <c r="L852" i="34" s="1"/>
  <c r="M852" i="34" s="1"/>
  <c r="N852" i="34" s="1"/>
  <c r="O852" i="34" s="1"/>
  <c r="P852" i="34" s="1"/>
  <c r="Q852" i="34" s="1"/>
  <c r="R852" i="34" s="1"/>
  <c r="S852" i="34" s="1"/>
  <c r="B853" i="34"/>
  <c r="C853" i="34" s="1"/>
  <c r="D853" i="34" s="1"/>
  <c r="E853" i="34" s="1"/>
  <c r="F853" i="34" s="1"/>
  <c r="G853" i="34" s="1"/>
  <c r="H853" i="34" s="1"/>
  <c r="I853" i="34" s="1"/>
  <c r="J853" i="34" s="1"/>
  <c r="K853" i="34" s="1"/>
  <c r="L853" i="34" s="1"/>
  <c r="M853" i="34" s="1"/>
  <c r="N853" i="34" s="1"/>
  <c r="O853" i="34" s="1"/>
  <c r="P853" i="34" s="1"/>
  <c r="Q853" i="34" s="1"/>
  <c r="R853" i="34" s="1"/>
  <c r="S853" i="34" s="1"/>
  <c r="B854" i="34"/>
  <c r="C854" i="34" s="1"/>
  <c r="D854" i="34" s="1"/>
  <c r="E854" i="34" s="1"/>
  <c r="F854" i="34" s="1"/>
  <c r="G854" i="34" s="1"/>
  <c r="H854" i="34" s="1"/>
  <c r="I854" i="34" s="1"/>
  <c r="J854" i="34" s="1"/>
  <c r="K854" i="34" s="1"/>
  <c r="L854" i="34" s="1"/>
  <c r="M854" i="34" s="1"/>
  <c r="N854" i="34" s="1"/>
  <c r="O854" i="34" s="1"/>
  <c r="P854" i="34" s="1"/>
  <c r="Q854" i="34" s="1"/>
  <c r="R854" i="34" s="1"/>
  <c r="S854" i="34" s="1"/>
  <c r="B855" i="34"/>
  <c r="C855" i="34"/>
  <c r="D855" i="34" s="1"/>
  <c r="E855" i="34" s="1"/>
  <c r="F855" i="34" s="1"/>
  <c r="G855" i="34" s="1"/>
  <c r="H855" i="34" s="1"/>
  <c r="I855" i="34" s="1"/>
  <c r="J855" i="34" s="1"/>
  <c r="K855" i="34" s="1"/>
  <c r="L855" i="34" s="1"/>
  <c r="M855" i="34" s="1"/>
  <c r="N855" i="34" s="1"/>
  <c r="O855" i="34" s="1"/>
  <c r="P855" i="34" s="1"/>
  <c r="Q855" i="34" s="1"/>
  <c r="R855" i="34" s="1"/>
  <c r="S855" i="34" s="1"/>
  <c r="B856" i="34"/>
  <c r="C856" i="34" s="1"/>
  <c r="D856" i="34" s="1"/>
  <c r="E856" i="34" s="1"/>
  <c r="F856" i="34" s="1"/>
  <c r="G856" i="34" s="1"/>
  <c r="H856" i="34" s="1"/>
  <c r="I856" i="34" s="1"/>
  <c r="J856" i="34" s="1"/>
  <c r="K856" i="34" s="1"/>
  <c r="L856" i="34" s="1"/>
  <c r="M856" i="34" s="1"/>
  <c r="N856" i="34" s="1"/>
  <c r="O856" i="34" s="1"/>
  <c r="P856" i="34" s="1"/>
  <c r="Q856" i="34" s="1"/>
  <c r="R856" i="34" s="1"/>
  <c r="S856" i="34" s="1"/>
  <c r="B857" i="34"/>
  <c r="C857" i="34" s="1"/>
  <c r="D857" i="34" s="1"/>
  <c r="E857" i="34" s="1"/>
  <c r="F857" i="34" s="1"/>
  <c r="G857" i="34" s="1"/>
  <c r="H857" i="34" s="1"/>
  <c r="I857" i="34" s="1"/>
  <c r="J857" i="34" s="1"/>
  <c r="K857" i="34" s="1"/>
  <c r="L857" i="34" s="1"/>
  <c r="B858" i="34"/>
  <c r="C858" i="34" s="1"/>
  <c r="D858" i="34" s="1"/>
  <c r="E858" i="34" s="1"/>
  <c r="F858" i="34" s="1"/>
  <c r="G858" i="34" s="1"/>
  <c r="H858" i="34" s="1"/>
  <c r="I858" i="34" s="1"/>
  <c r="J858" i="34" s="1"/>
  <c r="K858" i="34" s="1"/>
  <c r="L858" i="34" s="1"/>
  <c r="B859" i="34"/>
  <c r="C859" i="34"/>
  <c r="D859" i="34" s="1"/>
  <c r="E859" i="34" s="1"/>
  <c r="F859" i="34" s="1"/>
  <c r="G859" i="34" s="1"/>
  <c r="H859" i="34" s="1"/>
  <c r="I859" i="34" s="1"/>
  <c r="J859" i="34" s="1"/>
  <c r="K859" i="34" s="1"/>
  <c r="L859" i="34" s="1"/>
  <c r="B860" i="34"/>
  <c r="C860" i="34" s="1"/>
  <c r="D860" i="34" s="1"/>
  <c r="E860" i="34" s="1"/>
  <c r="F860" i="34" s="1"/>
  <c r="G860" i="34" s="1"/>
  <c r="H860" i="34" s="1"/>
  <c r="I860" i="34" s="1"/>
  <c r="J860" i="34" s="1"/>
  <c r="K860" i="34" s="1"/>
  <c r="L860" i="34" s="1"/>
  <c r="B861" i="34"/>
  <c r="C861" i="34" s="1"/>
  <c r="D861" i="34" s="1"/>
  <c r="E861" i="34" s="1"/>
  <c r="F861" i="34" s="1"/>
  <c r="G861" i="34" s="1"/>
  <c r="H861" i="34" s="1"/>
  <c r="I861" i="34" s="1"/>
  <c r="J861" i="34" s="1"/>
  <c r="K861" i="34" s="1"/>
  <c r="L861" i="34" s="1"/>
  <c r="M861" i="34" s="1"/>
  <c r="N861" i="34" s="1"/>
  <c r="O861" i="34" s="1"/>
  <c r="P861" i="34" s="1"/>
  <c r="Q861" i="34" s="1"/>
  <c r="R861" i="34" s="1"/>
  <c r="S861" i="34" s="1"/>
  <c r="B862" i="34"/>
  <c r="C862" i="34" s="1"/>
  <c r="D862" i="34" s="1"/>
  <c r="E862" i="34" s="1"/>
  <c r="F862" i="34" s="1"/>
  <c r="G862" i="34" s="1"/>
  <c r="H862" i="34" s="1"/>
  <c r="I862" i="34" s="1"/>
  <c r="J862" i="34" s="1"/>
  <c r="K862" i="34" s="1"/>
  <c r="L862" i="34" s="1"/>
  <c r="M862" i="34" s="1"/>
  <c r="N862" i="34" s="1"/>
  <c r="O862" i="34" s="1"/>
  <c r="P862" i="34" s="1"/>
  <c r="Q862" i="34" s="1"/>
  <c r="R862" i="34" s="1"/>
  <c r="S862" i="34" s="1"/>
  <c r="B863" i="34"/>
  <c r="C863" i="34" s="1"/>
  <c r="D863" i="34" s="1"/>
  <c r="E863" i="34" s="1"/>
  <c r="F863" i="34" s="1"/>
  <c r="G863" i="34" s="1"/>
  <c r="H863" i="34" s="1"/>
  <c r="I863" i="34" s="1"/>
  <c r="J863" i="34" s="1"/>
  <c r="K863" i="34" s="1"/>
  <c r="L863" i="34" s="1"/>
  <c r="M863" i="34" s="1"/>
  <c r="N863" i="34" s="1"/>
  <c r="O863" i="34" s="1"/>
  <c r="P863" i="34" s="1"/>
  <c r="Q863" i="34" s="1"/>
  <c r="R863" i="34" s="1"/>
  <c r="S863" i="34" s="1"/>
  <c r="B864" i="34"/>
  <c r="C864" i="34" s="1"/>
  <c r="D864" i="34" s="1"/>
  <c r="E864" i="34" s="1"/>
  <c r="F864" i="34" s="1"/>
  <c r="G864" i="34" s="1"/>
  <c r="H864" i="34" s="1"/>
  <c r="I864" i="34" s="1"/>
  <c r="J864" i="34" s="1"/>
  <c r="K864" i="34" s="1"/>
  <c r="L864" i="34" s="1"/>
  <c r="M864" i="34" s="1"/>
  <c r="N864" i="34" s="1"/>
  <c r="O864" i="34" s="1"/>
  <c r="P864" i="34" s="1"/>
  <c r="Q864" i="34" s="1"/>
  <c r="R864" i="34" s="1"/>
  <c r="S864" i="34" s="1"/>
  <c r="B865" i="34"/>
  <c r="C865" i="34"/>
  <c r="D865" i="34" s="1"/>
  <c r="E865" i="34" s="1"/>
  <c r="F865" i="34" s="1"/>
  <c r="G865" i="34" s="1"/>
  <c r="H865" i="34" s="1"/>
  <c r="I865" i="34" s="1"/>
  <c r="J865" i="34" s="1"/>
  <c r="K865" i="34" s="1"/>
  <c r="L865" i="34" s="1"/>
  <c r="B866" i="34"/>
  <c r="C866" i="34"/>
  <c r="D866" i="34"/>
  <c r="E866" i="34" s="1"/>
  <c r="F866" i="34" s="1"/>
  <c r="G866" i="34" s="1"/>
  <c r="H866" i="34" s="1"/>
  <c r="I866" i="34" s="1"/>
  <c r="J866" i="34" s="1"/>
  <c r="K866" i="34" s="1"/>
  <c r="L866" i="34" s="1"/>
  <c r="B867" i="34"/>
  <c r="C867" i="34" s="1"/>
  <c r="D867" i="34" s="1"/>
  <c r="E867" i="34" s="1"/>
  <c r="F867" i="34" s="1"/>
  <c r="G867" i="34" s="1"/>
  <c r="H867" i="34" s="1"/>
  <c r="I867" i="34" s="1"/>
  <c r="J867" i="34" s="1"/>
  <c r="K867" i="34" s="1"/>
  <c r="L867" i="34" s="1"/>
  <c r="M867" i="34" s="1"/>
  <c r="N867" i="34" s="1"/>
  <c r="O867" i="34" s="1"/>
  <c r="P867" i="34" s="1"/>
  <c r="Q867" i="34" s="1"/>
  <c r="R867" i="34" s="1"/>
  <c r="S867" i="34" s="1"/>
  <c r="B868" i="34"/>
  <c r="C868" i="34" s="1"/>
  <c r="D868" i="34" s="1"/>
  <c r="E868" i="34" s="1"/>
  <c r="F868" i="34" s="1"/>
  <c r="G868" i="34" s="1"/>
  <c r="H868" i="34" s="1"/>
  <c r="I868" i="34" s="1"/>
  <c r="J868" i="34" s="1"/>
  <c r="K868" i="34" s="1"/>
  <c r="L868" i="34" s="1"/>
  <c r="M868" i="34" s="1"/>
  <c r="N868" i="34" s="1"/>
  <c r="O868" i="34" s="1"/>
  <c r="P868" i="34" s="1"/>
  <c r="Q868" i="34" s="1"/>
  <c r="R868" i="34" s="1"/>
  <c r="S868" i="34" s="1"/>
  <c r="B869" i="34"/>
  <c r="C869" i="34" s="1"/>
  <c r="D869" i="34" s="1"/>
  <c r="E869" i="34" s="1"/>
  <c r="F869" i="34" s="1"/>
  <c r="G869" i="34" s="1"/>
  <c r="H869" i="34" s="1"/>
  <c r="I869" i="34" s="1"/>
  <c r="J869" i="34" s="1"/>
  <c r="K869" i="34" s="1"/>
  <c r="L869" i="34" s="1"/>
  <c r="M869" i="34" s="1"/>
  <c r="N869" i="34" s="1"/>
  <c r="O869" i="34" s="1"/>
  <c r="P869" i="34" s="1"/>
  <c r="Q869" i="34" s="1"/>
  <c r="R869" i="34" s="1"/>
  <c r="S869" i="34" s="1"/>
  <c r="B870" i="34"/>
  <c r="C870" i="34"/>
  <c r="D870" i="34" s="1"/>
  <c r="E870" i="34" s="1"/>
  <c r="F870" i="34" s="1"/>
  <c r="G870" i="34" s="1"/>
  <c r="H870" i="34" s="1"/>
  <c r="I870" i="34" s="1"/>
  <c r="J870" i="34" s="1"/>
  <c r="K870" i="34" s="1"/>
  <c r="L870" i="34" s="1"/>
  <c r="M870" i="34"/>
  <c r="N870" i="34" s="1"/>
  <c r="O870" i="34" s="1"/>
  <c r="P870" i="34" s="1"/>
  <c r="Q870" i="34" s="1"/>
  <c r="R870" i="34" s="1"/>
  <c r="S870" i="34" s="1"/>
  <c r="B871" i="34"/>
  <c r="C871" i="34" s="1"/>
  <c r="D871" i="34" s="1"/>
  <c r="E871" i="34" s="1"/>
  <c r="F871" i="34" s="1"/>
  <c r="G871" i="34" s="1"/>
  <c r="H871" i="34" s="1"/>
  <c r="I871" i="34" s="1"/>
  <c r="J871" i="34" s="1"/>
  <c r="K871" i="34" s="1"/>
  <c r="L871" i="34" s="1"/>
  <c r="M871" i="34" s="1"/>
  <c r="N871" i="34" s="1"/>
  <c r="O871" i="34" s="1"/>
  <c r="P871" i="34" s="1"/>
  <c r="Q871" i="34" s="1"/>
  <c r="R871" i="34" s="1"/>
  <c r="S871" i="34" s="1"/>
  <c r="B872" i="34"/>
  <c r="C872" i="34" s="1"/>
  <c r="D872" i="34" s="1"/>
  <c r="E872" i="34" s="1"/>
  <c r="F872" i="34" s="1"/>
  <c r="G872" i="34" s="1"/>
  <c r="H872" i="34" s="1"/>
  <c r="I872" i="34" s="1"/>
  <c r="J872" i="34" s="1"/>
  <c r="K872" i="34" s="1"/>
  <c r="L872" i="34" s="1"/>
  <c r="M872" i="34" s="1"/>
  <c r="N872" i="34" s="1"/>
  <c r="O872" i="34" s="1"/>
  <c r="P872" i="34" s="1"/>
  <c r="Q872" i="34" s="1"/>
  <c r="R872" i="34" s="1"/>
  <c r="S872" i="34" s="1"/>
  <c r="B873" i="34"/>
  <c r="C873" i="34" s="1"/>
  <c r="D873" i="34" s="1"/>
  <c r="E873" i="34" s="1"/>
  <c r="F873" i="34" s="1"/>
  <c r="G873" i="34" s="1"/>
  <c r="H873" i="34" s="1"/>
  <c r="I873" i="34" s="1"/>
  <c r="J873" i="34" s="1"/>
  <c r="K873" i="34" s="1"/>
  <c r="L873" i="34" s="1"/>
  <c r="M873" i="34" s="1"/>
  <c r="N873" i="34" s="1"/>
  <c r="O873" i="34" s="1"/>
  <c r="P873" i="34" s="1"/>
  <c r="Q873" i="34" s="1"/>
  <c r="R873" i="34" s="1"/>
  <c r="S873" i="34" s="1"/>
  <c r="B874" i="34"/>
  <c r="C874" i="34" s="1"/>
  <c r="D874" i="34" s="1"/>
  <c r="E874" i="34" s="1"/>
  <c r="F874" i="34" s="1"/>
  <c r="G874" i="34" s="1"/>
  <c r="H874" i="34" s="1"/>
  <c r="I874" i="34" s="1"/>
  <c r="J874" i="34" s="1"/>
  <c r="K874" i="34" s="1"/>
  <c r="L874" i="34" s="1"/>
  <c r="B875" i="34"/>
  <c r="C875" i="34"/>
  <c r="D875" i="34" s="1"/>
  <c r="E875" i="34" s="1"/>
  <c r="F875" i="34" s="1"/>
  <c r="G875" i="34"/>
  <c r="H875" i="34" s="1"/>
  <c r="I875" i="34" s="1"/>
  <c r="J875" i="34" s="1"/>
  <c r="K875" i="34" s="1"/>
  <c r="L875" i="34" s="1"/>
  <c r="B876" i="34"/>
  <c r="C876" i="34"/>
  <c r="D876" i="34" s="1"/>
  <c r="E876" i="34"/>
  <c r="F876" i="34" s="1"/>
  <c r="G876" i="34" s="1"/>
  <c r="H876" i="34" s="1"/>
  <c r="I876" i="34" s="1"/>
  <c r="J876" i="34" s="1"/>
  <c r="K876" i="34" s="1"/>
  <c r="L876" i="34" s="1"/>
  <c r="M876" i="34" s="1"/>
  <c r="N876" i="34" s="1"/>
  <c r="O876" i="34" s="1"/>
  <c r="P876" i="34" s="1"/>
  <c r="Q876" i="34" s="1"/>
  <c r="R876" i="34" s="1"/>
  <c r="S876" i="34" s="1"/>
  <c r="B877" i="34"/>
  <c r="C877" i="34" s="1"/>
  <c r="D877" i="34" s="1"/>
  <c r="E877" i="34" s="1"/>
  <c r="F877" i="34" s="1"/>
  <c r="G877" i="34" s="1"/>
  <c r="H877" i="34" s="1"/>
  <c r="I877" i="34" s="1"/>
  <c r="J877" i="34" s="1"/>
  <c r="K877" i="34" s="1"/>
  <c r="L877" i="34" s="1"/>
  <c r="M877" i="34" s="1"/>
  <c r="N877" i="34" s="1"/>
  <c r="O877" i="34" s="1"/>
  <c r="P877" i="34" s="1"/>
  <c r="Q877" i="34" s="1"/>
  <c r="R877" i="34" s="1"/>
  <c r="S877" i="34" s="1"/>
  <c r="B878" i="34"/>
  <c r="C878" i="34" s="1"/>
  <c r="D878" i="34" s="1"/>
  <c r="E878" i="34" s="1"/>
  <c r="F878" i="34" s="1"/>
  <c r="G878" i="34" s="1"/>
  <c r="H878" i="34" s="1"/>
  <c r="I878" i="34" s="1"/>
  <c r="J878" i="34" s="1"/>
  <c r="K878" i="34" s="1"/>
  <c r="L878" i="34" s="1"/>
  <c r="M878" i="34" s="1"/>
  <c r="N878" i="34" s="1"/>
  <c r="O878" i="34" s="1"/>
  <c r="P878" i="34" s="1"/>
  <c r="Q878" i="34" s="1"/>
  <c r="R878" i="34" s="1"/>
  <c r="S878" i="34" s="1"/>
  <c r="B879" i="34"/>
  <c r="C879" i="34" s="1"/>
  <c r="D879" i="34" s="1"/>
  <c r="E879" i="34" s="1"/>
  <c r="F879" i="34" s="1"/>
  <c r="G879" i="34" s="1"/>
  <c r="H879" i="34" s="1"/>
  <c r="I879" i="34" s="1"/>
  <c r="J879" i="34" s="1"/>
  <c r="K879" i="34" s="1"/>
  <c r="L879" i="34" s="1"/>
  <c r="M879" i="34" s="1"/>
  <c r="N879" i="34" s="1"/>
  <c r="O879" i="34" s="1"/>
  <c r="P879" i="34" s="1"/>
  <c r="Q879" i="34" s="1"/>
  <c r="R879" i="34" s="1"/>
  <c r="S879" i="34" s="1"/>
  <c r="B880" i="34"/>
  <c r="C880" i="34"/>
  <c r="D880" i="34"/>
  <c r="E880" i="34"/>
  <c r="F880" i="34" s="1"/>
  <c r="G880" i="34" s="1"/>
  <c r="H880" i="34" s="1"/>
  <c r="I880" i="34" s="1"/>
  <c r="J880" i="34" s="1"/>
  <c r="K880" i="34" s="1"/>
  <c r="L880" i="34" s="1"/>
  <c r="M880" i="34" s="1"/>
  <c r="N880" i="34" s="1"/>
  <c r="O880" i="34" s="1"/>
  <c r="P880" i="34" s="1"/>
  <c r="Q880" i="34" s="1"/>
  <c r="R880" i="34" s="1"/>
  <c r="S880" i="34" s="1"/>
  <c r="B881" i="34"/>
  <c r="C881" i="34" s="1"/>
  <c r="D881" i="34" s="1"/>
  <c r="E881" i="34" s="1"/>
  <c r="F881" i="34" s="1"/>
  <c r="G881" i="34" s="1"/>
  <c r="H881" i="34" s="1"/>
  <c r="I881" i="34" s="1"/>
  <c r="J881" i="34" s="1"/>
  <c r="K881" i="34" s="1"/>
  <c r="L881" i="34" s="1"/>
  <c r="M881" i="34" s="1"/>
  <c r="N881" i="34" s="1"/>
  <c r="O881" i="34" s="1"/>
  <c r="P881" i="34" s="1"/>
  <c r="Q881" i="34" s="1"/>
  <c r="R881" i="34" s="1"/>
  <c r="S881" i="34" s="1"/>
  <c r="B882" i="34"/>
  <c r="C882" i="34" s="1"/>
  <c r="D882" i="34" s="1"/>
  <c r="E882" i="34" s="1"/>
  <c r="F882" i="34" s="1"/>
  <c r="G882" i="34" s="1"/>
  <c r="H882" i="34" s="1"/>
  <c r="I882" i="34" s="1"/>
  <c r="J882" i="34" s="1"/>
  <c r="K882" i="34" s="1"/>
  <c r="L882" i="34" s="1"/>
  <c r="B883" i="34"/>
  <c r="C883" i="34"/>
  <c r="D883" i="34" s="1"/>
  <c r="E883" i="34" s="1"/>
  <c r="F883" i="34" s="1"/>
  <c r="G883" i="34"/>
  <c r="H883" i="34" s="1"/>
  <c r="I883" i="34" s="1"/>
  <c r="J883" i="34" s="1"/>
  <c r="K883" i="34" s="1"/>
  <c r="L883" i="34" s="1"/>
  <c r="B884" i="34"/>
  <c r="C884" i="34" s="1"/>
  <c r="D884" i="34" s="1"/>
  <c r="E884" i="34" s="1"/>
  <c r="F884" i="34" s="1"/>
  <c r="G884" i="34" s="1"/>
  <c r="H884" i="34" s="1"/>
  <c r="I884" i="34" s="1"/>
  <c r="J884" i="34" s="1"/>
  <c r="K884" i="34" s="1"/>
  <c r="L884" i="34" s="1"/>
  <c r="B885" i="34"/>
  <c r="C885" i="34"/>
  <c r="D885" i="34" s="1"/>
  <c r="E885" i="34" s="1"/>
  <c r="F885" i="34" s="1"/>
  <c r="G885" i="34" s="1"/>
  <c r="H885" i="34" s="1"/>
  <c r="I885" i="34" s="1"/>
  <c r="J885" i="34" s="1"/>
  <c r="K885" i="34" s="1"/>
  <c r="L885" i="34" s="1"/>
  <c r="M885" i="34" s="1"/>
  <c r="N885" i="34" s="1"/>
  <c r="O885" i="34" s="1"/>
  <c r="P885" i="34" s="1"/>
  <c r="Q885" i="34" s="1"/>
  <c r="R885" i="34" s="1"/>
  <c r="S885" i="34" s="1"/>
  <c r="B886" i="34"/>
  <c r="C886" i="34" s="1"/>
  <c r="D886" i="34" s="1"/>
  <c r="E886" i="34" s="1"/>
  <c r="F886" i="34" s="1"/>
  <c r="G886" i="34" s="1"/>
  <c r="H886" i="34" s="1"/>
  <c r="I886" i="34" s="1"/>
  <c r="J886" i="34" s="1"/>
  <c r="K886" i="34" s="1"/>
  <c r="L886" i="34" s="1"/>
  <c r="M886" i="34" s="1"/>
  <c r="N886" i="34" s="1"/>
  <c r="O886" i="34" s="1"/>
  <c r="P886" i="34" s="1"/>
  <c r="Q886" i="34" s="1"/>
  <c r="R886" i="34" s="1"/>
  <c r="S886" i="34" s="1"/>
  <c r="B887" i="34"/>
  <c r="C887" i="34" s="1"/>
  <c r="D887" i="34" s="1"/>
  <c r="E887" i="34" s="1"/>
  <c r="F887" i="34" s="1"/>
  <c r="G887" i="34" s="1"/>
  <c r="H887" i="34" s="1"/>
  <c r="I887" i="34" s="1"/>
  <c r="J887" i="34" s="1"/>
  <c r="K887" i="34" s="1"/>
  <c r="L887" i="34" s="1"/>
  <c r="M887" i="34" s="1"/>
  <c r="N887" i="34" s="1"/>
  <c r="O887" i="34" s="1"/>
  <c r="P887" i="34" s="1"/>
  <c r="Q887" i="34" s="1"/>
  <c r="R887" i="34" s="1"/>
  <c r="S887" i="34" s="1"/>
  <c r="B888" i="34"/>
  <c r="C888" i="34" s="1"/>
  <c r="D888" i="34" s="1"/>
  <c r="E888" i="34" s="1"/>
  <c r="F888" i="34" s="1"/>
  <c r="G888" i="34" s="1"/>
  <c r="H888" i="34" s="1"/>
  <c r="I888" i="34" s="1"/>
  <c r="J888" i="34" s="1"/>
  <c r="K888" i="34" s="1"/>
  <c r="L888" i="34" s="1"/>
  <c r="M888" i="34" s="1"/>
  <c r="N888" i="34" s="1"/>
  <c r="O888" i="34" s="1"/>
  <c r="P888" i="34" s="1"/>
  <c r="Q888" i="34" s="1"/>
  <c r="R888" i="34" s="1"/>
  <c r="S888" i="34" s="1"/>
  <c r="B889" i="34"/>
  <c r="C889" i="34" s="1"/>
  <c r="D889" i="34" s="1"/>
  <c r="E889" i="34" s="1"/>
  <c r="F889" i="34" s="1"/>
  <c r="G889" i="34" s="1"/>
  <c r="H889" i="34" s="1"/>
  <c r="I889" i="34" s="1"/>
  <c r="J889" i="34" s="1"/>
  <c r="K889" i="34" s="1"/>
  <c r="L889" i="34" s="1"/>
  <c r="M889" i="34" s="1"/>
  <c r="N889" i="34" s="1"/>
  <c r="O889" i="34" s="1"/>
  <c r="P889" i="34" s="1"/>
  <c r="Q889" i="34" s="1"/>
  <c r="R889" i="34" s="1"/>
  <c r="S889" i="34" s="1"/>
  <c r="B890" i="34"/>
  <c r="C890" i="34" s="1"/>
  <c r="D890" i="34" s="1"/>
  <c r="E890" i="34" s="1"/>
  <c r="F890" i="34" s="1"/>
  <c r="G890" i="34" s="1"/>
  <c r="H890" i="34" s="1"/>
  <c r="I890" i="34" s="1"/>
  <c r="J890" i="34" s="1"/>
  <c r="K890" i="34" s="1"/>
  <c r="L890" i="34" s="1"/>
  <c r="B891" i="34"/>
  <c r="C891" i="34" s="1"/>
  <c r="D891" i="34" s="1"/>
  <c r="E891" i="34" s="1"/>
  <c r="F891" i="34" s="1"/>
  <c r="G891" i="34"/>
  <c r="H891" i="34" s="1"/>
  <c r="I891" i="34" s="1"/>
  <c r="J891" i="34" s="1"/>
  <c r="K891" i="34" s="1"/>
  <c r="L891" i="34" s="1"/>
  <c r="B892" i="34"/>
  <c r="C892" i="34" s="1"/>
  <c r="D892" i="34" s="1"/>
  <c r="E892" i="34" s="1"/>
  <c r="F892" i="34" s="1"/>
  <c r="G892" i="34" s="1"/>
  <c r="H892" i="34" s="1"/>
  <c r="I892" i="34" s="1"/>
  <c r="J892" i="34" s="1"/>
  <c r="K892" i="34" s="1"/>
  <c r="L892" i="34" s="1"/>
  <c r="B893" i="34"/>
  <c r="C893" i="34" s="1"/>
  <c r="D893" i="34" s="1"/>
  <c r="E893" i="34" s="1"/>
  <c r="F893" i="34" s="1"/>
  <c r="G893" i="34" s="1"/>
  <c r="H893" i="34" s="1"/>
  <c r="I893" i="34" s="1"/>
  <c r="J893" i="34" s="1"/>
  <c r="K893" i="34" s="1"/>
  <c r="L893" i="34" s="1"/>
  <c r="M893" i="34" s="1"/>
  <c r="N893" i="34" s="1"/>
  <c r="O893" i="34" s="1"/>
  <c r="P893" i="34" s="1"/>
  <c r="Q893" i="34" s="1"/>
  <c r="R893" i="34" s="1"/>
  <c r="S893" i="34" s="1"/>
  <c r="B894" i="34"/>
  <c r="C894" i="34" s="1"/>
  <c r="D894" i="34" s="1"/>
  <c r="E894" i="34" s="1"/>
  <c r="F894" i="34" s="1"/>
  <c r="G894" i="34" s="1"/>
  <c r="H894" i="34" s="1"/>
  <c r="I894" i="34" s="1"/>
  <c r="J894" i="34" s="1"/>
  <c r="K894" i="34" s="1"/>
  <c r="L894" i="34" s="1"/>
  <c r="M894" i="34" s="1"/>
  <c r="N894" i="34" s="1"/>
  <c r="O894" i="34" s="1"/>
  <c r="P894" i="34" s="1"/>
  <c r="Q894" i="34" s="1"/>
  <c r="R894" i="34" s="1"/>
  <c r="S894" i="34" s="1"/>
  <c r="B895" i="34"/>
  <c r="C895" i="34" s="1"/>
  <c r="D895" i="34" s="1"/>
  <c r="E895" i="34" s="1"/>
  <c r="F895" i="34" s="1"/>
  <c r="G895" i="34" s="1"/>
  <c r="H895" i="34" s="1"/>
  <c r="I895" i="34" s="1"/>
  <c r="J895" i="34" s="1"/>
  <c r="K895" i="34" s="1"/>
  <c r="L895" i="34" s="1"/>
  <c r="M895" i="34" s="1"/>
  <c r="N895" i="34" s="1"/>
  <c r="O895" i="34" s="1"/>
  <c r="P895" i="34" s="1"/>
  <c r="Q895" i="34" s="1"/>
  <c r="R895" i="34" s="1"/>
  <c r="S895" i="34" s="1"/>
  <c r="B896" i="34"/>
  <c r="C896" i="34" s="1"/>
  <c r="D896" i="34" s="1"/>
  <c r="E896" i="34" s="1"/>
  <c r="F896" i="34" s="1"/>
  <c r="G896" i="34" s="1"/>
  <c r="H896" i="34" s="1"/>
  <c r="I896" i="34" s="1"/>
  <c r="J896" i="34" s="1"/>
  <c r="K896" i="34" s="1"/>
  <c r="L896" i="34" s="1"/>
  <c r="M896" i="34" s="1"/>
  <c r="N896" i="34" s="1"/>
  <c r="O896" i="34" s="1"/>
  <c r="P896" i="34" s="1"/>
  <c r="Q896" i="34" s="1"/>
  <c r="R896" i="34" s="1"/>
  <c r="S896" i="34" s="1"/>
  <c r="B897" i="34"/>
  <c r="C897" i="34" s="1"/>
  <c r="D897" i="34" s="1"/>
  <c r="E897" i="34" s="1"/>
  <c r="F897" i="34" s="1"/>
  <c r="G897" i="34" s="1"/>
  <c r="H897" i="34" s="1"/>
  <c r="I897" i="34" s="1"/>
  <c r="J897" i="34" s="1"/>
  <c r="K897" i="34" s="1"/>
  <c r="L897" i="34" s="1"/>
  <c r="M897" i="34" s="1"/>
  <c r="N897" i="34" s="1"/>
  <c r="O897" i="34" s="1"/>
  <c r="P897" i="34" s="1"/>
  <c r="Q897" i="34" s="1"/>
  <c r="R897" i="34" s="1"/>
  <c r="S897" i="34" s="1"/>
  <c r="B898" i="34"/>
  <c r="C898" i="34" s="1"/>
  <c r="D898" i="34" s="1"/>
  <c r="E898" i="34" s="1"/>
  <c r="F898" i="34" s="1"/>
  <c r="G898" i="34" s="1"/>
  <c r="H898" i="34" s="1"/>
  <c r="I898" i="34" s="1"/>
  <c r="J898" i="34" s="1"/>
  <c r="K898" i="34" s="1"/>
  <c r="L898" i="34" s="1"/>
  <c r="B899" i="34"/>
  <c r="C899" i="34" s="1"/>
  <c r="D899" i="34" s="1"/>
  <c r="E899" i="34" s="1"/>
  <c r="F899" i="34" s="1"/>
  <c r="G899" i="34" s="1"/>
  <c r="H899" i="34" s="1"/>
  <c r="I899" i="34" s="1"/>
  <c r="J899" i="34" s="1"/>
  <c r="K899" i="34" s="1"/>
  <c r="L899" i="34" s="1"/>
  <c r="B900" i="34"/>
  <c r="C900" i="34"/>
  <c r="D900" i="34" s="1"/>
  <c r="E900" i="34" s="1"/>
  <c r="F900" i="34" s="1"/>
  <c r="G900" i="34" s="1"/>
  <c r="H900" i="34" s="1"/>
  <c r="I900" i="34" s="1"/>
  <c r="J900" i="34" s="1"/>
  <c r="K900" i="34" s="1"/>
  <c r="L900" i="34" s="1"/>
  <c r="B901" i="34"/>
  <c r="C901" i="34" s="1"/>
  <c r="D901" i="34" s="1"/>
  <c r="E901" i="34" s="1"/>
  <c r="F901" i="34" s="1"/>
  <c r="G901" i="34" s="1"/>
  <c r="H901" i="34" s="1"/>
  <c r="I901" i="34" s="1"/>
  <c r="J901" i="34" s="1"/>
  <c r="K901" i="34" s="1"/>
  <c r="L901" i="34" s="1"/>
  <c r="M901" i="34" s="1"/>
  <c r="N901" i="34" s="1"/>
  <c r="O901" i="34" s="1"/>
  <c r="P901" i="34" s="1"/>
  <c r="Q901" i="34" s="1"/>
  <c r="R901" i="34" s="1"/>
  <c r="S901" i="34" s="1"/>
  <c r="B902" i="34"/>
  <c r="C902" i="34" s="1"/>
  <c r="D902" i="34" s="1"/>
  <c r="E902" i="34" s="1"/>
  <c r="F902" i="34" s="1"/>
  <c r="G902" i="34" s="1"/>
  <c r="H902" i="34" s="1"/>
  <c r="I902" i="34" s="1"/>
  <c r="J902" i="34" s="1"/>
  <c r="K902" i="34" s="1"/>
  <c r="L902" i="34" s="1"/>
  <c r="M902" i="34" s="1"/>
  <c r="N902" i="34" s="1"/>
  <c r="O902" i="34" s="1"/>
  <c r="P902" i="34" s="1"/>
  <c r="Q902" i="34" s="1"/>
  <c r="R902" i="34" s="1"/>
  <c r="S902" i="34" s="1"/>
  <c r="B903" i="34"/>
  <c r="C903" i="34"/>
  <c r="D903" i="34" s="1"/>
  <c r="E903" i="34" s="1"/>
  <c r="F903" i="34" s="1"/>
  <c r="G903" i="34" s="1"/>
  <c r="H903" i="34" s="1"/>
  <c r="I903" i="34" s="1"/>
  <c r="J903" i="34" s="1"/>
  <c r="K903" i="34" s="1"/>
  <c r="L903" i="34" s="1"/>
  <c r="M903" i="34" s="1"/>
  <c r="N903" i="34" s="1"/>
  <c r="O903" i="34" s="1"/>
  <c r="P903" i="34" s="1"/>
  <c r="Q903" i="34" s="1"/>
  <c r="R903" i="34" s="1"/>
  <c r="S903" i="34" s="1"/>
  <c r="B904" i="34"/>
  <c r="C904" i="34" s="1"/>
  <c r="D904" i="34" s="1"/>
  <c r="E904" i="34" s="1"/>
  <c r="F904" i="34" s="1"/>
  <c r="G904" i="34" s="1"/>
  <c r="H904" i="34" s="1"/>
  <c r="I904" i="34" s="1"/>
  <c r="J904" i="34" s="1"/>
  <c r="K904" i="34" s="1"/>
  <c r="L904" i="34" s="1"/>
  <c r="B905" i="34"/>
  <c r="C905" i="34" s="1"/>
  <c r="D905" i="34" s="1"/>
  <c r="E905" i="34" s="1"/>
  <c r="F905" i="34" s="1"/>
  <c r="G905" i="34" s="1"/>
  <c r="H905" i="34" s="1"/>
  <c r="I905" i="34" s="1"/>
  <c r="J905" i="34" s="1"/>
  <c r="K905" i="34" s="1"/>
  <c r="L905" i="34" s="1"/>
  <c r="B906" i="34"/>
  <c r="C906" i="34" s="1"/>
  <c r="D906" i="34" s="1"/>
  <c r="E906" i="34" s="1"/>
  <c r="F906" i="34" s="1"/>
  <c r="G906" i="34" s="1"/>
  <c r="H906" i="34" s="1"/>
  <c r="I906" i="34" s="1"/>
  <c r="J906" i="34" s="1"/>
  <c r="K906" i="34" s="1"/>
  <c r="L906" i="34" s="1"/>
  <c r="B907" i="34"/>
  <c r="C907" i="34" s="1"/>
  <c r="D907" i="34" s="1"/>
  <c r="E907" i="34" s="1"/>
  <c r="F907" i="34" s="1"/>
  <c r="G907" i="34" s="1"/>
  <c r="H907" i="34" s="1"/>
  <c r="I907" i="34" s="1"/>
  <c r="J907" i="34" s="1"/>
  <c r="K907" i="34" s="1"/>
  <c r="L907" i="34" s="1"/>
  <c r="B908" i="34"/>
  <c r="C908" i="34" s="1"/>
  <c r="D908" i="34"/>
  <c r="E908" i="34" s="1"/>
  <c r="F908" i="34" s="1"/>
  <c r="G908" i="34" s="1"/>
  <c r="H908" i="34" s="1"/>
  <c r="I908" i="34" s="1"/>
  <c r="J908" i="34" s="1"/>
  <c r="K908" i="34" s="1"/>
  <c r="L908" i="34" s="1"/>
  <c r="B909" i="34"/>
  <c r="C909" i="34" s="1"/>
  <c r="D909" i="34" s="1"/>
  <c r="E909" i="34" s="1"/>
  <c r="F909" i="34" s="1"/>
  <c r="G909" i="34" s="1"/>
  <c r="H909" i="34" s="1"/>
  <c r="I909" i="34" s="1"/>
  <c r="J909" i="34" s="1"/>
  <c r="K909" i="34" s="1"/>
  <c r="L909" i="34" s="1"/>
  <c r="M909" i="34" s="1"/>
  <c r="N909" i="34" s="1"/>
  <c r="O909" i="34" s="1"/>
  <c r="P909" i="34" s="1"/>
  <c r="Q909" i="34" s="1"/>
  <c r="R909" i="34" s="1"/>
  <c r="S909" i="34" s="1"/>
  <c r="B910" i="34"/>
  <c r="C910" i="34" s="1"/>
  <c r="D910" i="34" s="1"/>
  <c r="E910" i="34" s="1"/>
  <c r="F910" i="34" s="1"/>
  <c r="G910" i="34" s="1"/>
  <c r="H910" i="34" s="1"/>
  <c r="I910" i="34" s="1"/>
  <c r="J910" i="34" s="1"/>
  <c r="K910" i="34" s="1"/>
  <c r="L910" i="34" s="1"/>
  <c r="M910" i="34" s="1"/>
  <c r="N910" i="34" s="1"/>
  <c r="O910" i="34" s="1"/>
  <c r="P910" i="34" s="1"/>
  <c r="Q910" i="34" s="1"/>
  <c r="R910" i="34" s="1"/>
  <c r="S910" i="34" s="1"/>
  <c r="B911" i="34"/>
  <c r="C911" i="34" s="1"/>
  <c r="D911" i="34" s="1"/>
  <c r="E911" i="34" s="1"/>
  <c r="F911" i="34" s="1"/>
  <c r="G911" i="34" s="1"/>
  <c r="H911" i="34" s="1"/>
  <c r="I911" i="34" s="1"/>
  <c r="J911" i="34" s="1"/>
  <c r="K911" i="34" s="1"/>
  <c r="L911" i="34" s="1"/>
  <c r="M911" i="34" s="1"/>
  <c r="N911" i="34" s="1"/>
  <c r="O911" i="34" s="1"/>
  <c r="P911" i="34" s="1"/>
  <c r="Q911" i="34" s="1"/>
  <c r="R911" i="34" s="1"/>
  <c r="S911" i="34" s="1"/>
  <c r="B912" i="34"/>
  <c r="C912" i="34" s="1"/>
  <c r="D912" i="34" s="1"/>
  <c r="E912" i="34" s="1"/>
  <c r="F912" i="34" s="1"/>
  <c r="G912" i="34" s="1"/>
  <c r="H912" i="34" s="1"/>
  <c r="I912" i="34" s="1"/>
  <c r="J912" i="34" s="1"/>
  <c r="K912" i="34" s="1"/>
  <c r="L912" i="34" s="1"/>
  <c r="B913" i="34"/>
  <c r="C913" i="34" s="1"/>
  <c r="D913" i="34" s="1"/>
  <c r="E913" i="34" s="1"/>
  <c r="F913" i="34" s="1"/>
  <c r="G913" i="34" s="1"/>
  <c r="H913" i="34" s="1"/>
  <c r="I913" i="34" s="1"/>
  <c r="J913" i="34" s="1"/>
  <c r="K913" i="34" s="1"/>
  <c r="L913" i="34" s="1"/>
  <c r="B914" i="34"/>
  <c r="C914" i="34"/>
  <c r="D914" i="34" s="1"/>
  <c r="E914" i="34" s="1"/>
  <c r="F914" i="34" s="1"/>
  <c r="G914" i="34" s="1"/>
  <c r="H914" i="34" s="1"/>
  <c r="I914" i="34" s="1"/>
  <c r="J914" i="34" s="1"/>
  <c r="K914" i="34" s="1"/>
  <c r="L914" i="34" s="1"/>
  <c r="B915" i="34"/>
  <c r="C915" i="34" s="1"/>
  <c r="D915" i="34" s="1"/>
  <c r="E915" i="34" s="1"/>
  <c r="F915" i="34" s="1"/>
  <c r="G915" i="34" s="1"/>
  <c r="H915" i="34" s="1"/>
  <c r="I915" i="34" s="1"/>
  <c r="J915" i="34" s="1"/>
  <c r="K915" i="34" s="1"/>
  <c r="L915" i="34" s="1"/>
  <c r="B916" i="34"/>
  <c r="C916" i="34" s="1"/>
  <c r="D916" i="34" s="1"/>
  <c r="E916" i="34" s="1"/>
  <c r="F916" i="34" s="1"/>
  <c r="G916" i="34" s="1"/>
  <c r="H916" i="34" s="1"/>
  <c r="I916" i="34" s="1"/>
  <c r="J916" i="34" s="1"/>
  <c r="K916" i="34" s="1"/>
  <c r="L916" i="34" s="1"/>
  <c r="M916" i="34" s="1"/>
  <c r="N916" i="34" s="1"/>
  <c r="O916" i="34" s="1"/>
  <c r="P916" i="34" s="1"/>
  <c r="Q916" i="34" s="1"/>
  <c r="R916" i="34" s="1"/>
  <c r="S916" i="34" s="1"/>
  <c r="B917" i="34"/>
  <c r="C917" i="34" s="1"/>
  <c r="D917" i="34" s="1"/>
  <c r="E917" i="34" s="1"/>
  <c r="F917" i="34" s="1"/>
  <c r="G917" i="34" s="1"/>
  <c r="H917" i="34" s="1"/>
  <c r="I917" i="34" s="1"/>
  <c r="J917" i="34" s="1"/>
  <c r="K917" i="34" s="1"/>
  <c r="L917" i="34" s="1"/>
  <c r="M917" i="34" s="1"/>
  <c r="N917" i="34" s="1"/>
  <c r="O917" i="34" s="1"/>
  <c r="P917" i="34" s="1"/>
  <c r="Q917" i="34" s="1"/>
  <c r="R917" i="34" s="1"/>
  <c r="S917" i="34" s="1"/>
  <c r="B918" i="34"/>
  <c r="C918" i="34"/>
  <c r="D918" i="34" s="1"/>
  <c r="E918" i="34" s="1"/>
  <c r="F918" i="34" s="1"/>
  <c r="G918" i="34" s="1"/>
  <c r="H918" i="34" s="1"/>
  <c r="I918" i="34" s="1"/>
  <c r="J918" i="34" s="1"/>
  <c r="K918" i="34" s="1"/>
  <c r="L918" i="34" s="1"/>
  <c r="M918" i="34"/>
  <c r="N918" i="34" s="1"/>
  <c r="O918" i="34" s="1"/>
  <c r="P918" i="34" s="1"/>
  <c r="Q918" i="34" s="1"/>
  <c r="R918" i="34" s="1"/>
  <c r="S918" i="34" s="1"/>
  <c r="B919" i="34"/>
  <c r="C919" i="34" s="1"/>
  <c r="D919" i="34" s="1"/>
  <c r="E919" i="34" s="1"/>
  <c r="F919" i="34" s="1"/>
  <c r="G919" i="34" s="1"/>
  <c r="H919" i="34" s="1"/>
  <c r="I919" i="34" s="1"/>
  <c r="J919" i="34" s="1"/>
  <c r="K919" i="34" s="1"/>
  <c r="L919" i="34" s="1"/>
  <c r="M919" i="34" s="1"/>
  <c r="N919" i="34" s="1"/>
  <c r="O919" i="34" s="1"/>
  <c r="P919" i="34" s="1"/>
  <c r="Q919" i="34" s="1"/>
  <c r="R919" i="34" s="1"/>
  <c r="S919" i="34" s="1"/>
  <c r="B920" i="34"/>
  <c r="C920" i="34" s="1"/>
  <c r="D920" i="34" s="1"/>
  <c r="E920" i="34" s="1"/>
  <c r="F920" i="34" s="1"/>
  <c r="G920" i="34" s="1"/>
  <c r="H920" i="34" s="1"/>
  <c r="I920" i="34" s="1"/>
  <c r="J920" i="34" s="1"/>
  <c r="K920" i="34" s="1"/>
  <c r="L920" i="34" s="1"/>
  <c r="M920" i="34" s="1"/>
  <c r="N920" i="34" s="1"/>
  <c r="O920" i="34" s="1"/>
  <c r="P920" i="34" s="1"/>
  <c r="Q920" i="34" s="1"/>
  <c r="R920" i="34" s="1"/>
  <c r="S920" i="34" s="1"/>
  <c r="B921" i="34"/>
  <c r="C921" i="34" s="1"/>
  <c r="D921" i="34" s="1"/>
  <c r="E921" i="34" s="1"/>
  <c r="F921" i="34" s="1"/>
  <c r="G921" i="34" s="1"/>
  <c r="H921" i="34" s="1"/>
  <c r="I921" i="34" s="1"/>
  <c r="J921" i="34" s="1"/>
  <c r="K921" i="34" s="1"/>
  <c r="L921" i="34" s="1"/>
  <c r="M921" i="34" s="1"/>
  <c r="N921" i="34" s="1"/>
  <c r="O921" i="34" s="1"/>
  <c r="P921" i="34" s="1"/>
  <c r="Q921" i="34" s="1"/>
  <c r="R921" i="34" s="1"/>
  <c r="S921" i="34" s="1"/>
  <c r="B922" i="34"/>
  <c r="C922" i="34" s="1"/>
  <c r="D922" i="34" s="1"/>
  <c r="E922" i="34" s="1"/>
  <c r="F922" i="34" s="1"/>
  <c r="G922" i="34" s="1"/>
  <c r="H922" i="34" s="1"/>
  <c r="I922" i="34" s="1"/>
  <c r="J922" i="34" s="1"/>
  <c r="K922" i="34" s="1"/>
  <c r="L922" i="34" s="1"/>
  <c r="B923" i="34"/>
  <c r="C923" i="34" s="1"/>
  <c r="D923" i="34" s="1"/>
  <c r="E923" i="34" s="1"/>
  <c r="F923" i="34" s="1"/>
  <c r="G923" i="34" s="1"/>
  <c r="H923" i="34" s="1"/>
  <c r="I923" i="34" s="1"/>
  <c r="J923" i="34" s="1"/>
  <c r="K923" i="34" s="1"/>
  <c r="L923" i="34" s="1"/>
  <c r="B924" i="34"/>
  <c r="C924" i="34" s="1"/>
  <c r="D924" i="34" s="1"/>
  <c r="E924" i="34" s="1"/>
  <c r="F924" i="34" s="1"/>
  <c r="G924" i="34" s="1"/>
  <c r="H924" i="34" s="1"/>
  <c r="I924" i="34" s="1"/>
  <c r="J924" i="34" s="1"/>
  <c r="K924" i="34" s="1"/>
  <c r="L924" i="34" s="1"/>
  <c r="B925" i="34"/>
  <c r="C925" i="34" s="1"/>
  <c r="D925" i="34" s="1"/>
  <c r="E925" i="34" s="1"/>
  <c r="F925" i="34" s="1"/>
  <c r="G925" i="34" s="1"/>
  <c r="H925" i="34" s="1"/>
  <c r="I925" i="34" s="1"/>
  <c r="J925" i="34" s="1"/>
  <c r="K925" i="34" s="1"/>
  <c r="L925" i="34" s="1"/>
  <c r="M925" i="34" s="1"/>
  <c r="N925" i="34" s="1"/>
  <c r="O925" i="34" s="1"/>
  <c r="P925" i="34" s="1"/>
  <c r="Q925" i="34" s="1"/>
  <c r="R925" i="34" s="1"/>
  <c r="S925" i="34" s="1"/>
  <c r="B926" i="34"/>
  <c r="C926" i="34" s="1"/>
  <c r="D926" i="34" s="1"/>
  <c r="E926" i="34" s="1"/>
  <c r="F926" i="34" s="1"/>
  <c r="G926" i="34" s="1"/>
  <c r="H926" i="34" s="1"/>
  <c r="I926" i="34" s="1"/>
  <c r="J926" i="34" s="1"/>
  <c r="K926" i="34" s="1"/>
  <c r="L926" i="34" s="1"/>
  <c r="M926" i="34" s="1"/>
  <c r="N926" i="34" s="1"/>
  <c r="O926" i="34" s="1"/>
  <c r="P926" i="34" s="1"/>
  <c r="Q926" i="34" s="1"/>
  <c r="R926" i="34" s="1"/>
  <c r="S926" i="34" s="1"/>
  <c r="B927" i="34"/>
  <c r="C927" i="34"/>
  <c r="D927" i="34" s="1"/>
  <c r="E927" i="34" s="1"/>
  <c r="F927" i="34"/>
  <c r="G927" i="34" s="1"/>
  <c r="H927" i="34" s="1"/>
  <c r="I927" i="34" s="1"/>
  <c r="J927" i="34" s="1"/>
  <c r="K927" i="34" s="1"/>
  <c r="L927" i="34" s="1"/>
  <c r="M927" i="34" s="1"/>
  <c r="N927" i="34" s="1"/>
  <c r="O927" i="34" s="1"/>
  <c r="P927" i="34" s="1"/>
  <c r="Q927" i="34" s="1"/>
  <c r="R927" i="34" s="1"/>
  <c r="S927" i="34" s="1"/>
  <c r="B928" i="34"/>
  <c r="C928" i="34" s="1"/>
  <c r="D928" i="34" s="1"/>
  <c r="E928" i="34" s="1"/>
  <c r="F928" i="34" s="1"/>
  <c r="G928" i="34" s="1"/>
  <c r="H928" i="34" s="1"/>
  <c r="I928" i="34" s="1"/>
  <c r="J928" i="34" s="1"/>
  <c r="K928" i="34" s="1"/>
  <c r="L928" i="34" s="1"/>
  <c r="B929" i="34"/>
  <c r="C929" i="34" s="1"/>
  <c r="D929" i="34" s="1"/>
  <c r="E929" i="34" s="1"/>
  <c r="F929" i="34" s="1"/>
  <c r="G929" i="34" s="1"/>
  <c r="H929" i="34" s="1"/>
  <c r="I929" i="34" s="1"/>
  <c r="J929" i="34" s="1"/>
  <c r="K929" i="34" s="1"/>
  <c r="L929" i="34" s="1"/>
  <c r="B930" i="34"/>
  <c r="C930" i="34" s="1"/>
  <c r="D930" i="34" s="1"/>
  <c r="E930" i="34" s="1"/>
  <c r="F930" i="34" s="1"/>
  <c r="G930" i="34" s="1"/>
  <c r="H930" i="34" s="1"/>
  <c r="I930" i="34" s="1"/>
  <c r="J930" i="34" s="1"/>
  <c r="K930" i="34" s="1"/>
  <c r="L930" i="34" s="1"/>
  <c r="B931" i="34"/>
  <c r="C931" i="34" s="1"/>
  <c r="D931" i="34" s="1"/>
  <c r="E931" i="34" s="1"/>
  <c r="F931" i="34" s="1"/>
  <c r="G931" i="34" s="1"/>
  <c r="H931" i="34" s="1"/>
  <c r="I931" i="34" s="1"/>
  <c r="J931" i="34" s="1"/>
  <c r="K931" i="34" s="1"/>
  <c r="L931" i="34" s="1"/>
  <c r="B932" i="34"/>
  <c r="C932" i="34" s="1"/>
  <c r="D932" i="34" s="1"/>
  <c r="E932" i="34" s="1"/>
  <c r="F932" i="34" s="1"/>
  <c r="G932" i="34" s="1"/>
  <c r="H932" i="34" s="1"/>
  <c r="I932" i="34" s="1"/>
  <c r="J932" i="34" s="1"/>
  <c r="K932" i="34" s="1"/>
  <c r="L932" i="34" s="1"/>
  <c r="B933" i="34"/>
  <c r="C933" i="34"/>
  <c r="D933" i="34" s="1"/>
  <c r="E933" i="34" s="1"/>
  <c r="F933" i="34" s="1"/>
  <c r="G933" i="34" s="1"/>
  <c r="H933" i="34" s="1"/>
  <c r="I933" i="34" s="1"/>
  <c r="J933" i="34" s="1"/>
  <c r="K933" i="34" s="1"/>
  <c r="L933" i="34" s="1"/>
  <c r="M933" i="34" s="1"/>
  <c r="N933" i="34" s="1"/>
  <c r="O933" i="34" s="1"/>
  <c r="P933" i="34" s="1"/>
  <c r="Q933" i="34" s="1"/>
  <c r="R933" i="34" s="1"/>
  <c r="S933" i="34" s="1"/>
  <c r="B934" i="34"/>
  <c r="C934" i="34" s="1"/>
  <c r="D934" i="34" s="1"/>
  <c r="E934" i="34" s="1"/>
  <c r="F934" i="34" s="1"/>
  <c r="G934" i="34" s="1"/>
  <c r="H934" i="34" s="1"/>
  <c r="I934" i="34" s="1"/>
  <c r="J934" i="34" s="1"/>
  <c r="K934" i="34" s="1"/>
  <c r="L934" i="34" s="1"/>
  <c r="M934" i="34" s="1"/>
  <c r="N934" i="34" s="1"/>
  <c r="O934" i="34" s="1"/>
  <c r="P934" i="34" s="1"/>
  <c r="Q934" i="34" s="1"/>
  <c r="R934" i="34" s="1"/>
  <c r="S934" i="34" s="1"/>
  <c r="B935" i="34"/>
  <c r="C935" i="34"/>
  <c r="D935" i="34" s="1"/>
  <c r="E935" i="34" s="1"/>
  <c r="F935" i="34" s="1"/>
  <c r="G935" i="34"/>
  <c r="H935" i="34" s="1"/>
  <c r="I935" i="34" s="1"/>
  <c r="J935" i="34" s="1"/>
  <c r="K935" i="34" s="1"/>
  <c r="L935" i="34" s="1"/>
  <c r="M935" i="34" s="1"/>
  <c r="N935" i="34" s="1"/>
  <c r="O935" i="34" s="1"/>
  <c r="P935" i="34" s="1"/>
  <c r="Q935" i="34" s="1"/>
  <c r="R935" i="34" s="1"/>
  <c r="S935" i="34" s="1"/>
  <c r="B936" i="34"/>
  <c r="C936" i="34" s="1"/>
  <c r="D936" i="34" s="1"/>
  <c r="E936" i="34" s="1"/>
  <c r="F936" i="34" s="1"/>
  <c r="G936" i="34" s="1"/>
  <c r="H936" i="34" s="1"/>
  <c r="I936" i="34" s="1"/>
  <c r="J936" i="34" s="1"/>
  <c r="K936" i="34" s="1"/>
  <c r="L936" i="34" s="1"/>
  <c r="M936" i="34" s="1"/>
  <c r="N936" i="34" s="1"/>
  <c r="O936" i="34" s="1"/>
  <c r="P936" i="34" s="1"/>
  <c r="Q936" i="34" s="1"/>
  <c r="R936" i="34" s="1"/>
  <c r="S936" i="34" s="1"/>
  <c r="B937" i="34"/>
  <c r="C937" i="34"/>
  <c r="D937" i="34" s="1"/>
  <c r="E937" i="34" s="1"/>
  <c r="F937" i="34" s="1"/>
  <c r="G937" i="34" s="1"/>
  <c r="H937" i="34" s="1"/>
  <c r="I937" i="34" s="1"/>
  <c r="J937" i="34" s="1"/>
  <c r="K937" i="34" s="1"/>
  <c r="L937" i="34" s="1"/>
  <c r="M937" i="34" s="1"/>
  <c r="N937" i="34" s="1"/>
  <c r="O937" i="34" s="1"/>
  <c r="P937" i="34" s="1"/>
  <c r="Q937" i="34" s="1"/>
  <c r="R937" i="34" s="1"/>
  <c r="S937" i="34" s="1"/>
  <c r="B938" i="34"/>
  <c r="C938" i="34" s="1"/>
  <c r="D938" i="34" s="1"/>
  <c r="E938" i="34" s="1"/>
  <c r="F938" i="34" s="1"/>
  <c r="G938" i="34" s="1"/>
  <c r="H938" i="34" s="1"/>
  <c r="I938" i="34" s="1"/>
  <c r="J938" i="34" s="1"/>
  <c r="K938" i="34" s="1"/>
  <c r="L938" i="34" s="1"/>
  <c r="M938" i="34" s="1"/>
  <c r="N938" i="34" s="1"/>
  <c r="O938" i="34" s="1"/>
  <c r="P938" i="34" s="1"/>
  <c r="Q938" i="34" s="1"/>
  <c r="R938" i="34" s="1"/>
  <c r="S938" i="34" s="1"/>
  <c r="B939" i="34"/>
  <c r="C939" i="34" s="1"/>
  <c r="D939" i="34" s="1"/>
  <c r="E939" i="34" s="1"/>
  <c r="F939" i="34" s="1"/>
  <c r="G939" i="34" s="1"/>
  <c r="H939" i="34" s="1"/>
  <c r="I939" i="34" s="1"/>
  <c r="J939" i="34" s="1"/>
  <c r="K939" i="34" s="1"/>
  <c r="L939" i="34" s="1"/>
  <c r="B940" i="34"/>
  <c r="C940" i="34"/>
  <c r="D940" i="34" s="1"/>
  <c r="E940" i="34" s="1"/>
  <c r="F940" i="34" s="1"/>
  <c r="G940" i="34" s="1"/>
  <c r="H940" i="34" s="1"/>
  <c r="I940" i="34" s="1"/>
  <c r="J940" i="34" s="1"/>
  <c r="K940" i="34" s="1"/>
  <c r="L940" i="34" s="1"/>
  <c r="B941" i="34"/>
  <c r="C941" i="34" s="1"/>
  <c r="D941" i="34" s="1"/>
  <c r="E941" i="34" s="1"/>
  <c r="F941" i="34" s="1"/>
  <c r="G941" i="34" s="1"/>
  <c r="H941" i="34" s="1"/>
  <c r="I941" i="34" s="1"/>
  <c r="J941" i="34" s="1"/>
  <c r="K941" i="34" s="1"/>
  <c r="L941" i="34" s="1"/>
  <c r="M941" i="34" s="1"/>
  <c r="N941" i="34" s="1"/>
  <c r="O941" i="34" s="1"/>
  <c r="P941" i="34" s="1"/>
  <c r="Q941" i="34" s="1"/>
  <c r="R941" i="34" s="1"/>
  <c r="S941" i="34" s="1"/>
  <c r="B942" i="34"/>
  <c r="C942" i="34" s="1"/>
  <c r="D942" i="34" s="1"/>
  <c r="E942" i="34" s="1"/>
  <c r="F942" i="34" s="1"/>
  <c r="G942" i="34" s="1"/>
  <c r="H942" i="34" s="1"/>
  <c r="I942" i="34" s="1"/>
  <c r="J942" i="34" s="1"/>
  <c r="K942" i="34" s="1"/>
  <c r="L942" i="34" s="1"/>
  <c r="M942" i="34" s="1"/>
  <c r="N942" i="34" s="1"/>
  <c r="O942" i="34" s="1"/>
  <c r="P942" i="34" s="1"/>
  <c r="Q942" i="34" s="1"/>
  <c r="R942" i="34" s="1"/>
  <c r="S942" i="34" s="1"/>
  <c r="B943" i="34"/>
  <c r="C943" i="34" s="1"/>
  <c r="D943" i="34" s="1"/>
  <c r="E943" i="34" s="1"/>
  <c r="F943" i="34" s="1"/>
  <c r="G943" i="34" s="1"/>
  <c r="H943" i="34" s="1"/>
  <c r="I943" i="34" s="1"/>
  <c r="J943" i="34" s="1"/>
  <c r="K943" i="34" s="1"/>
  <c r="L943" i="34" s="1"/>
  <c r="M943" i="34" s="1"/>
  <c r="N943" i="34"/>
  <c r="O943" i="34" s="1"/>
  <c r="P943" i="34" s="1"/>
  <c r="Q943" i="34" s="1"/>
  <c r="R943" i="34" s="1"/>
  <c r="S943" i="34" s="1"/>
  <c r="B944" i="34"/>
  <c r="C944" i="34" s="1"/>
  <c r="D944" i="34" s="1"/>
  <c r="E944" i="34" s="1"/>
  <c r="F944" i="34" s="1"/>
  <c r="G944" i="34" s="1"/>
  <c r="H944" i="34" s="1"/>
  <c r="I944" i="34" s="1"/>
  <c r="J944" i="34" s="1"/>
  <c r="K944" i="34" s="1"/>
  <c r="L944" i="34" s="1"/>
  <c r="M944" i="34" s="1"/>
  <c r="N944" i="34" s="1"/>
  <c r="O944" i="34" s="1"/>
  <c r="P944" i="34" s="1"/>
  <c r="Q944" i="34" s="1"/>
  <c r="R944" i="34" s="1"/>
  <c r="S944" i="34" s="1"/>
  <c r="B945" i="34"/>
  <c r="C945" i="34" s="1"/>
  <c r="D945" i="34" s="1"/>
  <c r="E945" i="34" s="1"/>
  <c r="F945" i="34" s="1"/>
  <c r="G945" i="34" s="1"/>
  <c r="H945" i="34" s="1"/>
  <c r="I945" i="34" s="1"/>
  <c r="J945" i="34" s="1"/>
  <c r="K945" i="34" s="1"/>
  <c r="L945" i="34" s="1"/>
  <c r="B946" i="34"/>
  <c r="C946" i="34" s="1"/>
  <c r="D946" i="34" s="1"/>
  <c r="E946" i="34" s="1"/>
  <c r="F946" i="34" s="1"/>
  <c r="G946" i="34" s="1"/>
  <c r="H946" i="34" s="1"/>
  <c r="I946" i="34" s="1"/>
  <c r="J946" i="34" s="1"/>
  <c r="K946" i="34" s="1"/>
  <c r="L946" i="34" s="1"/>
  <c r="B947" i="34"/>
  <c r="C947" i="34" s="1"/>
  <c r="D947" i="34" s="1"/>
  <c r="E947" i="34" s="1"/>
  <c r="F947" i="34" s="1"/>
  <c r="G947" i="34" s="1"/>
  <c r="H947" i="34" s="1"/>
  <c r="I947" i="34" s="1"/>
  <c r="J947" i="34" s="1"/>
  <c r="K947" i="34" s="1"/>
  <c r="L947" i="34" s="1"/>
  <c r="B948" i="34"/>
  <c r="C948" i="34"/>
  <c r="D948" i="34" s="1"/>
  <c r="E948" i="34" s="1"/>
  <c r="F948" i="34" s="1"/>
  <c r="G948" i="34" s="1"/>
  <c r="H948" i="34" s="1"/>
  <c r="I948" i="34" s="1"/>
  <c r="J948" i="34" s="1"/>
  <c r="K948" i="34" s="1"/>
  <c r="L948" i="34" s="1"/>
  <c r="B949" i="34"/>
  <c r="C949" i="34" s="1"/>
  <c r="D949" i="34" s="1"/>
  <c r="E949" i="34" s="1"/>
  <c r="F949" i="34" s="1"/>
  <c r="G949" i="34" s="1"/>
  <c r="H949" i="34" s="1"/>
  <c r="I949" i="34" s="1"/>
  <c r="J949" i="34" s="1"/>
  <c r="K949" i="34" s="1"/>
  <c r="L949" i="34" s="1"/>
  <c r="M949" i="34" s="1"/>
  <c r="N949" i="34" s="1"/>
  <c r="O949" i="34" s="1"/>
  <c r="P949" i="34" s="1"/>
  <c r="Q949" i="34" s="1"/>
  <c r="R949" i="34" s="1"/>
  <c r="S949" i="34" s="1"/>
  <c r="B950" i="34"/>
  <c r="C950" i="34" s="1"/>
  <c r="D950" i="34" s="1"/>
  <c r="E950" i="34" s="1"/>
  <c r="F950" i="34" s="1"/>
  <c r="G950" i="34" s="1"/>
  <c r="H950" i="34" s="1"/>
  <c r="I950" i="34" s="1"/>
  <c r="J950" i="34" s="1"/>
  <c r="K950" i="34" s="1"/>
  <c r="L950" i="34" s="1"/>
  <c r="M950" i="34" s="1"/>
  <c r="N950" i="34" s="1"/>
  <c r="O950" i="34" s="1"/>
  <c r="P950" i="34" s="1"/>
  <c r="Q950" i="34" s="1"/>
  <c r="R950" i="34" s="1"/>
  <c r="S950" i="34" s="1"/>
  <c r="B951" i="34"/>
  <c r="C951" i="34" s="1"/>
  <c r="D951" i="34" s="1"/>
  <c r="E951" i="34" s="1"/>
  <c r="F951" i="34" s="1"/>
  <c r="G951" i="34" s="1"/>
  <c r="H951" i="34" s="1"/>
  <c r="I951" i="34" s="1"/>
  <c r="J951" i="34" s="1"/>
  <c r="K951" i="34" s="1"/>
  <c r="L951" i="34" s="1"/>
  <c r="M951" i="34" s="1"/>
  <c r="N951" i="34" s="1"/>
  <c r="O951" i="34" s="1"/>
  <c r="P951" i="34" s="1"/>
  <c r="Q951" i="34" s="1"/>
  <c r="R951" i="34" s="1"/>
  <c r="S951" i="34" s="1"/>
  <c r="B952" i="34"/>
  <c r="C952" i="34"/>
  <c r="D952" i="34" s="1"/>
  <c r="E952" i="34" s="1"/>
  <c r="F952" i="34" s="1"/>
  <c r="G952" i="34" s="1"/>
  <c r="H952" i="34" s="1"/>
  <c r="I952" i="34" s="1"/>
  <c r="J952" i="34" s="1"/>
  <c r="K952" i="34" s="1"/>
  <c r="L952" i="34" s="1"/>
  <c r="M952" i="34"/>
  <c r="N952" i="34" s="1"/>
  <c r="O952" i="34" s="1"/>
  <c r="P952" i="34" s="1"/>
  <c r="Q952" i="34" s="1"/>
  <c r="R952" i="34" s="1"/>
  <c r="S952" i="34" s="1"/>
  <c r="B953" i="34"/>
  <c r="C953" i="34" s="1"/>
  <c r="D953" i="34" s="1"/>
  <c r="E953" i="34" s="1"/>
  <c r="F953" i="34" s="1"/>
  <c r="G953" i="34" s="1"/>
  <c r="H953" i="34" s="1"/>
  <c r="I953" i="34" s="1"/>
  <c r="J953" i="34" s="1"/>
  <c r="K953" i="34" s="1"/>
  <c r="L953" i="34" s="1"/>
  <c r="B954" i="34"/>
  <c r="C954" i="34" s="1"/>
  <c r="D954" i="34" s="1"/>
  <c r="E954" i="34" s="1"/>
  <c r="F954" i="34" s="1"/>
  <c r="G954" i="34" s="1"/>
  <c r="H954" i="34" s="1"/>
  <c r="I954" i="34" s="1"/>
  <c r="J954" i="34" s="1"/>
  <c r="K954" i="34" s="1"/>
  <c r="L954" i="34" s="1"/>
  <c r="B955" i="34"/>
  <c r="C955" i="34" s="1"/>
  <c r="D955" i="34" s="1"/>
  <c r="E955" i="34" s="1"/>
  <c r="F955" i="34" s="1"/>
  <c r="G955" i="34" s="1"/>
  <c r="H955" i="34" s="1"/>
  <c r="I955" i="34" s="1"/>
  <c r="J955" i="34" s="1"/>
  <c r="K955" i="34" s="1"/>
  <c r="L955" i="34" s="1"/>
  <c r="B956" i="34"/>
  <c r="C956" i="34" s="1"/>
  <c r="D956" i="34" s="1"/>
  <c r="E956" i="34" s="1"/>
  <c r="F956" i="34" s="1"/>
  <c r="G956" i="34" s="1"/>
  <c r="H956" i="34" s="1"/>
  <c r="I956" i="34" s="1"/>
  <c r="J956" i="34" s="1"/>
  <c r="K956" i="34" s="1"/>
  <c r="L956" i="34" s="1"/>
  <c r="B957" i="34"/>
  <c r="C957" i="34"/>
  <c r="D957" i="34" s="1"/>
  <c r="E957" i="34" s="1"/>
  <c r="F957" i="34" s="1"/>
  <c r="G957" i="34" s="1"/>
  <c r="H957" i="34" s="1"/>
  <c r="I957" i="34" s="1"/>
  <c r="J957" i="34" s="1"/>
  <c r="K957" i="34" s="1"/>
  <c r="L957" i="34" s="1"/>
  <c r="M957" i="34" s="1"/>
  <c r="N957" i="34" s="1"/>
  <c r="O957" i="34" s="1"/>
  <c r="P957" i="34" s="1"/>
  <c r="Q957" i="34" s="1"/>
  <c r="R957" i="34" s="1"/>
  <c r="S957" i="34" s="1"/>
  <c r="B958" i="34"/>
  <c r="C958" i="34"/>
  <c r="D958" i="34" s="1"/>
  <c r="E958" i="34" s="1"/>
  <c r="F958" i="34" s="1"/>
  <c r="G958" i="34" s="1"/>
  <c r="H958" i="34" s="1"/>
  <c r="I958" i="34" s="1"/>
  <c r="J958" i="34" s="1"/>
  <c r="K958" i="34" s="1"/>
  <c r="L958" i="34" s="1"/>
  <c r="M958" i="34" s="1"/>
  <c r="N958" i="34" s="1"/>
  <c r="O958" i="34" s="1"/>
  <c r="P958" i="34" s="1"/>
  <c r="Q958" i="34" s="1"/>
  <c r="R958" i="34" s="1"/>
  <c r="S958" i="34" s="1"/>
  <c r="B959" i="34"/>
  <c r="C959" i="34" s="1"/>
  <c r="D959" i="34" s="1"/>
  <c r="E959" i="34" s="1"/>
  <c r="F959" i="34" s="1"/>
  <c r="G959" i="34" s="1"/>
  <c r="H959" i="34" s="1"/>
  <c r="I959" i="34" s="1"/>
  <c r="J959" i="34" s="1"/>
  <c r="K959" i="34" s="1"/>
  <c r="L959" i="34" s="1"/>
  <c r="M959" i="34" s="1"/>
  <c r="N959" i="34" s="1"/>
  <c r="O959" i="34" s="1"/>
  <c r="P959" i="34" s="1"/>
  <c r="Q959" i="34" s="1"/>
  <c r="R959" i="34" s="1"/>
  <c r="S959" i="34" s="1"/>
  <c r="B960" i="34"/>
  <c r="C960" i="34" s="1"/>
  <c r="D960" i="34" s="1"/>
  <c r="E960" i="34" s="1"/>
  <c r="F960" i="34" s="1"/>
  <c r="G960" i="34" s="1"/>
  <c r="H960" i="34" s="1"/>
  <c r="I960" i="34" s="1"/>
  <c r="J960" i="34" s="1"/>
  <c r="K960" i="34" s="1"/>
  <c r="L960" i="34" s="1"/>
  <c r="M960" i="34" s="1"/>
  <c r="N960" i="34" s="1"/>
  <c r="O960" i="34" s="1"/>
  <c r="P960" i="34" s="1"/>
  <c r="Q960" i="34" s="1"/>
  <c r="R960" i="34" s="1"/>
  <c r="S960" i="34" s="1"/>
  <c r="B961" i="34"/>
  <c r="C961" i="34" s="1"/>
  <c r="D961" i="34" s="1"/>
  <c r="E961" i="34" s="1"/>
  <c r="F961" i="34" s="1"/>
  <c r="G961" i="34" s="1"/>
  <c r="H961" i="34" s="1"/>
  <c r="I961" i="34" s="1"/>
  <c r="J961" i="34" s="1"/>
  <c r="K961" i="34" s="1"/>
  <c r="L961" i="34" s="1"/>
  <c r="B962" i="34"/>
  <c r="C962" i="34" s="1"/>
  <c r="D962" i="34" s="1"/>
  <c r="E962" i="34" s="1"/>
  <c r="F962" i="34" s="1"/>
  <c r="G962" i="34" s="1"/>
  <c r="H962" i="34" s="1"/>
  <c r="I962" i="34" s="1"/>
  <c r="J962" i="34" s="1"/>
  <c r="K962" i="34" s="1"/>
  <c r="L962" i="34" s="1"/>
  <c r="B963" i="34"/>
  <c r="C963" i="34" s="1"/>
  <c r="D963" i="34" s="1"/>
  <c r="E963" i="34" s="1"/>
  <c r="F963" i="34" s="1"/>
  <c r="G963" i="34" s="1"/>
  <c r="H963" i="34" s="1"/>
  <c r="I963" i="34" s="1"/>
  <c r="J963" i="34" s="1"/>
  <c r="K963" i="34" s="1"/>
  <c r="L963" i="34" s="1"/>
  <c r="B964" i="34"/>
  <c r="C964" i="34" s="1"/>
  <c r="D964" i="34" s="1"/>
  <c r="E964" i="34" s="1"/>
  <c r="F964" i="34" s="1"/>
  <c r="G964" i="34" s="1"/>
  <c r="H964" i="34" s="1"/>
  <c r="I964" i="34" s="1"/>
  <c r="J964" i="34" s="1"/>
  <c r="K964" i="34" s="1"/>
  <c r="L964" i="34" s="1"/>
  <c r="B965" i="34"/>
  <c r="C965" i="34"/>
  <c r="D965" i="34" s="1"/>
  <c r="E965" i="34" s="1"/>
  <c r="F965" i="34" s="1"/>
  <c r="G965" i="34" s="1"/>
  <c r="H965" i="34" s="1"/>
  <c r="I965" i="34" s="1"/>
  <c r="J965" i="34" s="1"/>
  <c r="K965" i="34" s="1"/>
  <c r="L965" i="34" s="1"/>
  <c r="M965" i="34" s="1"/>
  <c r="N965" i="34" s="1"/>
  <c r="O965" i="34" s="1"/>
  <c r="P965" i="34" s="1"/>
  <c r="Q965" i="34" s="1"/>
  <c r="R965" i="34" s="1"/>
  <c r="S965" i="34" s="1"/>
  <c r="B966" i="34"/>
  <c r="C966" i="34" s="1"/>
  <c r="D966" i="34" s="1"/>
  <c r="E966" i="34" s="1"/>
  <c r="F966" i="34" s="1"/>
  <c r="G966" i="34" s="1"/>
  <c r="H966" i="34" s="1"/>
  <c r="I966" i="34" s="1"/>
  <c r="J966" i="34" s="1"/>
  <c r="K966" i="34" s="1"/>
  <c r="L966" i="34" s="1"/>
  <c r="M966" i="34" s="1"/>
  <c r="N966" i="34" s="1"/>
  <c r="O966" i="34" s="1"/>
  <c r="P966" i="34" s="1"/>
  <c r="Q966" i="34" s="1"/>
  <c r="R966" i="34" s="1"/>
  <c r="S966" i="34" s="1"/>
  <c r="B967" i="34"/>
  <c r="C967" i="34" s="1"/>
  <c r="D967" i="34" s="1"/>
  <c r="E967" i="34" s="1"/>
  <c r="F967" i="34" s="1"/>
  <c r="G967" i="34" s="1"/>
  <c r="H967" i="34" s="1"/>
  <c r="I967" i="34" s="1"/>
  <c r="J967" i="34" s="1"/>
  <c r="K967" i="34" s="1"/>
  <c r="L967" i="34" s="1"/>
  <c r="M967" i="34" s="1"/>
  <c r="N967" i="34" s="1"/>
  <c r="O967" i="34" s="1"/>
  <c r="P967" i="34" s="1"/>
  <c r="Q967" i="34" s="1"/>
  <c r="R967" i="34" s="1"/>
  <c r="S967" i="34" s="1"/>
  <c r="B968" i="34"/>
  <c r="C968" i="34" s="1"/>
  <c r="D968" i="34" s="1"/>
  <c r="E968" i="34" s="1"/>
  <c r="F968" i="34" s="1"/>
  <c r="G968" i="34" s="1"/>
  <c r="H968" i="34" s="1"/>
  <c r="I968" i="34" s="1"/>
  <c r="J968" i="34" s="1"/>
  <c r="K968" i="34" s="1"/>
  <c r="L968" i="34" s="1"/>
  <c r="B969" i="34"/>
  <c r="C969" i="34" s="1"/>
  <c r="D969" i="34" s="1"/>
  <c r="E969" i="34" s="1"/>
  <c r="F969" i="34" s="1"/>
  <c r="G969" i="34" s="1"/>
  <c r="H969" i="34" s="1"/>
  <c r="I969" i="34" s="1"/>
  <c r="J969" i="34" s="1"/>
  <c r="K969" i="34" s="1"/>
  <c r="L969" i="34" s="1"/>
  <c r="B970" i="34"/>
  <c r="C970" i="34"/>
  <c r="D970" i="34" s="1"/>
  <c r="E970" i="34" s="1"/>
  <c r="F970" i="34" s="1"/>
  <c r="G970" i="34" s="1"/>
  <c r="H970" i="34" s="1"/>
  <c r="I970" i="34" s="1"/>
  <c r="J970" i="34" s="1"/>
  <c r="K970" i="34" s="1"/>
  <c r="L970" i="34" s="1"/>
  <c r="M970" i="34" s="1"/>
  <c r="N970" i="34" s="1"/>
  <c r="O970" i="34" s="1"/>
  <c r="P970" i="34" s="1"/>
  <c r="Q970" i="34" s="1"/>
  <c r="R970" i="34" s="1"/>
  <c r="S970" i="34" s="1"/>
  <c r="B971" i="34"/>
  <c r="C971" i="34"/>
  <c r="D971" i="34" s="1"/>
  <c r="E971" i="34"/>
  <c r="F971" i="34" s="1"/>
  <c r="G971" i="34" s="1"/>
  <c r="H971" i="34" s="1"/>
  <c r="I971" i="34" s="1"/>
  <c r="J971" i="34" s="1"/>
  <c r="K971" i="34" s="1"/>
  <c r="L971" i="34" s="1"/>
  <c r="B972" i="34"/>
  <c r="C972" i="34" s="1"/>
  <c r="D972" i="34" s="1"/>
  <c r="E972" i="34" s="1"/>
  <c r="F972" i="34" s="1"/>
  <c r="G972" i="34" s="1"/>
  <c r="H972" i="34" s="1"/>
  <c r="I972" i="34" s="1"/>
  <c r="J972" i="34" s="1"/>
  <c r="K972" i="34" s="1"/>
  <c r="L972" i="34" s="1"/>
  <c r="B973" i="34"/>
  <c r="C973" i="34" s="1"/>
  <c r="D973" i="34" s="1"/>
  <c r="E973" i="34" s="1"/>
  <c r="F973" i="34" s="1"/>
  <c r="G973" i="34" s="1"/>
  <c r="H973" i="34" s="1"/>
  <c r="I973" i="34" s="1"/>
  <c r="J973" i="34" s="1"/>
  <c r="K973" i="34" s="1"/>
  <c r="L973" i="34" s="1"/>
  <c r="M973" i="34" s="1"/>
  <c r="N973" i="34" s="1"/>
  <c r="O973" i="34" s="1"/>
  <c r="P973" i="34" s="1"/>
  <c r="Q973" i="34" s="1"/>
  <c r="R973" i="34" s="1"/>
  <c r="S973" i="34" s="1"/>
  <c r="B974" i="34"/>
  <c r="C974" i="34"/>
  <c r="D974" i="34" s="1"/>
  <c r="E974" i="34" s="1"/>
  <c r="F974" i="34" s="1"/>
  <c r="G974" i="34" s="1"/>
  <c r="H974" i="34" s="1"/>
  <c r="I974" i="34" s="1"/>
  <c r="J974" i="34" s="1"/>
  <c r="K974" i="34" s="1"/>
  <c r="L974" i="34" s="1"/>
  <c r="M974" i="34" s="1"/>
  <c r="N974" i="34" s="1"/>
  <c r="O974" i="34" s="1"/>
  <c r="P974" i="34" s="1"/>
  <c r="Q974" i="34" s="1"/>
  <c r="R974" i="34" s="1"/>
  <c r="S974" i="34" s="1"/>
  <c r="B975" i="34"/>
  <c r="C975" i="34"/>
  <c r="D975" i="34" s="1"/>
  <c r="E975" i="34" s="1"/>
  <c r="F975" i="34" s="1"/>
  <c r="G975" i="34" s="1"/>
  <c r="H975" i="34" s="1"/>
  <c r="I975" i="34" s="1"/>
  <c r="J975" i="34" s="1"/>
  <c r="K975" i="34" s="1"/>
  <c r="L975" i="34" s="1"/>
  <c r="M975" i="34" s="1"/>
  <c r="N975" i="34" s="1"/>
  <c r="O975" i="34" s="1"/>
  <c r="P975" i="34" s="1"/>
  <c r="Q975" i="34" s="1"/>
  <c r="R975" i="34" s="1"/>
  <c r="S975" i="34" s="1"/>
  <c r="B976" i="34"/>
  <c r="C976" i="34" s="1"/>
  <c r="D976" i="34" s="1"/>
  <c r="E976" i="34" s="1"/>
  <c r="F976" i="34" s="1"/>
  <c r="G976" i="34" s="1"/>
  <c r="H976" i="34" s="1"/>
  <c r="I976" i="34" s="1"/>
  <c r="J976" i="34" s="1"/>
  <c r="K976" i="34" s="1"/>
  <c r="L976" i="34" s="1"/>
  <c r="B977" i="34"/>
  <c r="C977" i="34" s="1"/>
  <c r="D977" i="34" s="1"/>
  <c r="E977" i="34" s="1"/>
  <c r="F977" i="34" s="1"/>
  <c r="G977" i="34" s="1"/>
  <c r="H977" i="34" s="1"/>
  <c r="I977" i="34" s="1"/>
  <c r="J977" i="34" s="1"/>
  <c r="K977" i="34" s="1"/>
  <c r="L977" i="34" s="1"/>
  <c r="M977" i="34" s="1"/>
  <c r="N977" i="34" s="1"/>
  <c r="O977" i="34" s="1"/>
  <c r="P977" i="34" s="1"/>
  <c r="Q977" i="34" s="1"/>
  <c r="R977" i="34" s="1"/>
  <c r="S977" i="34" s="1"/>
  <c r="B978" i="34"/>
  <c r="C978" i="34" s="1"/>
  <c r="D978" i="34" s="1"/>
  <c r="E978" i="34" s="1"/>
  <c r="F978" i="34" s="1"/>
  <c r="G978" i="34" s="1"/>
  <c r="H978" i="34" s="1"/>
  <c r="I978" i="34" s="1"/>
  <c r="J978" i="34" s="1"/>
  <c r="K978" i="34" s="1"/>
  <c r="L978" i="34" s="1"/>
  <c r="B979" i="34"/>
  <c r="C979" i="34" s="1"/>
  <c r="D979" i="34" s="1"/>
  <c r="E979" i="34" s="1"/>
  <c r="F979" i="34" s="1"/>
  <c r="G979" i="34" s="1"/>
  <c r="H979" i="34" s="1"/>
  <c r="I979" i="34" s="1"/>
  <c r="J979" i="34" s="1"/>
  <c r="K979" i="34" s="1"/>
  <c r="L979" i="34" s="1"/>
  <c r="B980" i="34"/>
  <c r="C980" i="34"/>
  <c r="D980" i="34" s="1"/>
  <c r="E980" i="34" s="1"/>
  <c r="F980" i="34" s="1"/>
  <c r="G980" i="34" s="1"/>
  <c r="H980" i="34" s="1"/>
  <c r="I980" i="34" s="1"/>
  <c r="J980" i="34" s="1"/>
  <c r="K980" i="34" s="1"/>
  <c r="L980" i="34" s="1"/>
  <c r="B981" i="34"/>
  <c r="C981" i="34" s="1"/>
  <c r="D981" i="34" s="1"/>
  <c r="E981" i="34" s="1"/>
  <c r="F981" i="34" s="1"/>
  <c r="G981" i="34" s="1"/>
  <c r="H981" i="34" s="1"/>
  <c r="I981" i="34" s="1"/>
  <c r="J981" i="34" s="1"/>
  <c r="K981" i="34" s="1"/>
  <c r="L981" i="34" s="1"/>
  <c r="M981" i="34" s="1"/>
  <c r="N981" i="34" s="1"/>
  <c r="O981" i="34" s="1"/>
  <c r="P981" i="34" s="1"/>
  <c r="Q981" i="34" s="1"/>
  <c r="R981" i="34" s="1"/>
  <c r="S981" i="34" s="1"/>
  <c r="B982" i="34"/>
  <c r="C982" i="34" s="1"/>
  <c r="D982" i="34" s="1"/>
  <c r="E982" i="34" s="1"/>
  <c r="F982" i="34" s="1"/>
  <c r="G982" i="34" s="1"/>
  <c r="H982" i="34" s="1"/>
  <c r="I982" i="34" s="1"/>
  <c r="J982" i="34" s="1"/>
  <c r="K982" i="34" s="1"/>
  <c r="L982" i="34" s="1"/>
  <c r="M982" i="34" s="1"/>
  <c r="N982" i="34" s="1"/>
  <c r="O982" i="34" s="1"/>
  <c r="P982" i="34" s="1"/>
  <c r="Q982" i="34" s="1"/>
  <c r="R982" i="34" s="1"/>
  <c r="S982" i="34" s="1"/>
  <c r="B983" i="34"/>
  <c r="C983" i="34" s="1"/>
  <c r="D983" i="34" s="1"/>
  <c r="E983" i="34" s="1"/>
  <c r="F983" i="34" s="1"/>
  <c r="G983" i="34" s="1"/>
  <c r="H983" i="34" s="1"/>
  <c r="I983" i="34" s="1"/>
  <c r="J983" i="34" s="1"/>
  <c r="K983" i="34" s="1"/>
  <c r="L983" i="34" s="1"/>
  <c r="M983" i="34" s="1"/>
  <c r="N983" i="34" s="1"/>
  <c r="O983" i="34" s="1"/>
  <c r="P983" i="34" s="1"/>
  <c r="Q983" i="34" s="1"/>
  <c r="R983" i="34" s="1"/>
  <c r="S983" i="34" s="1"/>
  <c r="B984" i="34"/>
  <c r="C984" i="34" s="1"/>
  <c r="D984" i="34" s="1"/>
  <c r="E984" i="34" s="1"/>
  <c r="F984" i="34" s="1"/>
  <c r="G984" i="34" s="1"/>
  <c r="H984" i="34" s="1"/>
  <c r="I984" i="34" s="1"/>
  <c r="J984" i="34" s="1"/>
  <c r="K984" i="34" s="1"/>
  <c r="L984" i="34" s="1"/>
  <c r="M984" i="34" s="1"/>
  <c r="N984" i="34" s="1"/>
  <c r="O984" i="34" s="1"/>
  <c r="P984" i="34" s="1"/>
  <c r="Q984" i="34" s="1"/>
  <c r="R984" i="34" s="1"/>
  <c r="S984" i="34" s="1"/>
  <c r="B985" i="34"/>
  <c r="C985" i="34" s="1"/>
  <c r="D985" i="34" s="1"/>
  <c r="E985" i="34" s="1"/>
  <c r="F985" i="34" s="1"/>
  <c r="G985" i="34" s="1"/>
  <c r="H985" i="34" s="1"/>
  <c r="I985" i="34" s="1"/>
  <c r="J985" i="34" s="1"/>
  <c r="K985" i="34" s="1"/>
  <c r="L985" i="34" s="1"/>
  <c r="B986" i="34"/>
  <c r="C986" i="34" s="1"/>
  <c r="D986" i="34" s="1"/>
  <c r="E986" i="34" s="1"/>
  <c r="F986" i="34" s="1"/>
  <c r="G986" i="34" s="1"/>
  <c r="H986" i="34" s="1"/>
  <c r="I986" i="34" s="1"/>
  <c r="J986" i="34" s="1"/>
  <c r="K986" i="34" s="1"/>
  <c r="L986" i="34" s="1"/>
  <c r="B987" i="34"/>
  <c r="C987" i="34"/>
  <c r="D987" i="34" s="1"/>
  <c r="E987" i="34"/>
  <c r="F987" i="34" s="1"/>
  <c r="G987" i="34" s="1"/>
  <c r="H987" i="34" s="1"/>
  <c r="I987" i="34" s="1"/>
  <c r="J987" i="34" s="1"/>
  <c r="K987" i="34" s="1"/>
  <c r="L987" i="34" s="1"/>
  <c r="B988" i="34"/>
  <c r="C988" i="34" s="1"/>
  <c r="D988" i="34" s="1"/>
  <c r="E988" i="34" s="1"/>
  <c r="F988" i="34" s="1"/>
  <c r="G988" i="34" s="1"/>
  <c r="H988" i="34" s="1"/>
  <c r="I988" i="34" s="1"/>
  <c r="J988" i="34" s="1"/>
  <c r="K988" i="34" s="1"/>
  <c r="L988" i="34" s="1"/>
  <c r="B989" i="34"/>
  <c r="C989" i="34" s="1"/>
  <c r="D989" i="34" s="1"/>
  <c r="E989" i="34" s="1"/>
  <c r="F989" i="34" s="1"/>
  <c r="G989" i="34" s="1"/>
  <c r="H989" i="34" s="1"/>
  <c r="I989" i="34" s="1"/>
  <c r="J989" i="34" s="1"/>
  <c r="K989" i="34" s="1"/>
  <c r="L989" i="34" s="1"/>
  <c r="M989" i="34" s="1"/>
  <c r="N989" i="34" s="1"/>
  <c r="O989" i="34" s="1"/>
  <c r="P989" i="34" s="1"/>
  <c r="Q989" i="34" s="1"/>
  <c r="R989" i="34" s="1"/>
  <c r="S989" i="34" s="1"/>
  <c r="B990" i="34"/>
  <c r="C990" i="34" s="1"/>
  <c r="D990" i="34" s="1"/>
  <c r="E990" i="34" s="1"/>
  <c r="F990" i="34" s="1"/>
  <c r="G990" i="34" s="1"/>
  <c r="H990" i="34" s="1"/>
  <c r="I990" i="34" s="1"/>
  <c r="J990" i="34" s="1"/>
  <c r="K990" i="34" s="1"/>
  <c r="L990" i="34" s="1"/>
  <c r="M990" i="34" s="1"/>
  <c r="N990" i="34" s="1"/>
  <c r="O990" i="34" s="1"/>
  <c r="P990" i="34" s="1"/>
  <c r="Q990" i="34" s="1"/>
  <c r="R990" i="34" s="1"/>
  <c r="S990" i="34" s="1"/>
  <c r="B991" i="34"/>
  <c r="C991" i="34"/>
  <c r="D991" i="34" s="1"/>
  <c r="E991" i="34"/>
  <c r="F991" i="34" s="1"/>
  <c r="G991" i="34" s="1"/>
  <c r="H991" i="34" s="1"/>
  <c r="I991" i="34" s="1"/>
  <c r="J991" i="34" s="1"/>
  <c r="K991" i="34" s="1"/>
  <c r="L991" i="34" s="1"/>
  <c r="M991" i="34" s="1"/>
  <c r="N991" i="34" s="1"/>
  <c r="O991" i="34" s="1"/>
  <c r="P991" i="34" s="1"/>
  <c r="Q991" i="34" s="1"/>
  <c r="R991" i="34" s="1"/>
  <c r="S991" i="34" s="1"/>
  <c r="B992" i="34"/>
  <c r="C992" i="34" s="1"/>
  <c r="D992" i="34" s="1"/>
  <c r="E992" i="34" s="1"/>
  <c r="F992" i="34" s="1"/>
  <c r="G992" i="34" s="1"/>
  <c r="H992" i="34" s="1"/>
  <c r="I992" i="34" s="1"/>
  <c r="J992" i="34" s="1"/>
  <c r="K992" i="34" s="1"/>
  <c r="L992" i="34" s="1"/>
  <c r="B993" i="34"/>
  <c r="C993" i="34" s="1"/>
  <c r="D993" i="34" s="1"/>
  <c r="E993" i="34" s="1"/>
  <c r="F993" i="34" s="1"/>
  <c r="G993" i="34" s="1"/>
  <c r="H993" i="34" s="1"/>
  <c r="I993" i="34" s="1"/>
  <c r="J993" i="34" s="1"/>
  <c r="K993" i="34" s="1"/>
  <c r="L993" i="34" s="1"/>
  <c r="M993" i="34" s="1"/>
  <c r="N993" i="34" s="1"/>
  <c r="O993" i="34" s="1"/>
  <c r="P993" i="34" s="1"/>
  <c r="Q993" i="34" s="1"/>
  <c r="R993" i="34" s="1"/>
  <c r="S993" i="34" s="1"/>
  <c r="B994" i="34"/>
  <c r="C994" i="34"/>
  <c r="D994" i="34" s="1"/>
  <c r="E994" i="34" s="1"/>
  <c r="F994" i="34" s="1"/>
  <c r="G994" i="34" s="1"/>
  <c r="H994" i="34" s="1"/>
  <c r="I994" i="34" s="1"/>
  <c r="J994" i="34" s="1"/>
  <c r="K994" i="34" s="1"/>
  <c r="L994" i="34" s="1"/>
  <c r="B995" i="34"/>
  <c r="C995" i="34" s="1"/>
  <c r="D995" i="34" s="1"/>
  <c r="E995" i="34" s="1"/>
  <c r="F995" i="34" s="1"/>
  <c r="G995" i="34" s="1"/>
  <c r="H995" i="34" s="1"/>
  <c r="I995" i="34" s="1"/>
  <c r="J995" i="34" s="1"/>
  <c r="K995" i="34" s="1"/>
  <c r="L995" i="34" s="1"/>
  <c r="B996" i="34"/>
  <c r="C996" i="34"/>
  <c r="D996" i="34" s="1"/>
  <c r="E996" i="34" s="1"/>
  <c r="F996" i="34" s="1"/>
  <c r="G996" i="34" s="1"/>
  <c r="H996" i="34" s="1"/>
  <c r="I996" i="34" s="1"/>
  <c r="J996" i="34" s="1"/>
  <c r="K996" i="34" s="1"/>
  <c r="L996" i="34" s="1"/>
  <c r="B997" i="34"/>
  <c r="C997" i="34" s="1"/>
  <c r="D997" i="34" s="1"/>
  <c r="E997" i="34" s="1"/>
  <c r="F997" i="34" s="1"/>
  <c r="G997" i="34" s="1"/>
  <c r="H997" i="34" s="1"/>
  <c r="I997" i="34" s="1"/>
  <c r="J997" i="34" s="1"/>
  <c r="K997" i="34" s="1"/>
  <c r="L997" i="34" s="1"/>
  <c r="M997" i="34" s="1"/>
  <c r="N997" i="34" s="1"/>
  <c r="O997" i="34" s="1"/>
  <c r="P997" i="34" s="1"/>
  <c r="Q997" i="34" s="1"/>
  <c r="R997" i="34" s="1"/>
  <c r="S997" i="34" s="1"/>
  <c r="B998" i="34"/>
  <c r="C998" i="34" s="1"/>
  <c r="D998" i="34" s="1"/>
  <c r="E998" i="34" s="1"/>
  <c r="F998" i="34" s="1"/>
  <c r="G998" i="34" s="1"/>
  <c r="H998" i="34" s="1"/>
  <c r="I998" i="34" s="1"/>
  <c r="J998" i="34" s="1"/>
  <c r="K998" i="34" s="1"/>
  <c r="L998" i="34" s="1"/>
  <c r="M998" i="34" s="1"/>
  <c r="N998" i="34" s="1"/>
  <c r="O998" i="34" s="1"/>
  <c r="P998" i="34" s="1"/>
  <c r="Q998" i="34" s="1"/>
  <c r="R998" i="34" s="1"/>
  <c r="S998" i="34" s="1"/>
  <c r="B999" i="34"/>
  <c r="C999" i="34" s="1"/>
  <c r="D999" i="34" s="1"/>
  <c r="E999" i="34" s="1"/>
  <c r="F999" i="34" s="1"/>
  <c r="G999" i="34" s="1"/>
  <c r="H999" i="34" s="1"/>
  <c r="I999" i="34" s="1"/>
  <c r="J999" i="34" s="1"/>
  <c r="K999" i="34" s="1"/>
  <c r="L999" i="34" s="1"/>
  <c r="M999" i="34" s="1"/>
  <c r="N999" i="34" s="1"/>
  <c r="O999" i="34" s="1"/>
  <c r="P999" i="34" s="1"/>
  <c r="Q999" i="34" s="1"/>
  <c r="R999" i="34" s="1"/>
  <c r="S999" i="34" s="1"/>
  <c r="B1000" i="34"/>
  <c r="C1000" i="34" s="1"/>
  <c r="D1000" i="34" s="1"/>
  <c r="E1000" i="34" s="1"/>
  <c r="F1000" i="34" s="1"/>
  <c r="G1000" i="34" s="1"/>
  <c r="H1000" i="34" s="1"/>
  <c r="I1000" i="34" s="1"/>
  <c r="J1000" i="34" s="1"/>
  <c r="K1000" i="34" s="1"/>
  <c r="L1000" i="34" s="1"/>
  <c r="M1000" i="34" s="1"/>
  <c r="N1000" i="34" s="1"/>
  <c r="O1000" i="34" s="1"/>
  <c r="P1000" i="34" s="1"/>
  <c r="Q1000" i="34" s="1"/>
  <c r="R1000" i="34" s="1"/>
  <c r="S1000" i="34" s="1"/>
  <c r="B1001" i="34"/>
  <c r="C1001" i="34" s="1"/>
  <c r="D1001" i="34" s="1"/>
  <c r="E1001" i="34" s="1"/>
  <c r="F1001" i="34" s="1"/>
  <c r="G1001" i="34" s="1"/>
  <c r="H1001" i="34" s="1"/>
  <c r="I1001" i="34" s="1"/>
  <c r="J1001" i="34" s="1"/>
  <c r="K1001" i="34" s="1"/>
  <c r="L1001" i="34" s="1"/>
  <c r="B612" i="34"/>
  <c r="C612" i="34" s="1"/>
  <c r="D612" i="34" s="1"/>
  <c r="E612" i="34" s="1"/>
  <c r="F612" i="34" s="1"/>
  <c r="G612" i="34" s="1"/>
  <c r="H612" i="34" s="1"/>
  <c r="I612" i="34" s="1"/>
  <c r="J612" i="34" s="1"/>
  <c r="K612" i="34" s="1"/>
  <c r="L612" i="34" s="1"/>
  <c r="M612" i="34" s="1"/>
  <c r="N612" i="34" s="1"/>
  <c r="O612" i="34" s="1"/>
  <c r="P612" i="34" s="1"/>
  <c r="Q612" i="34" s="1"/>
  <c r="R612" i="34" s="1"/>
  <c r="S612" i="34" s="1"/>
  <c r="J4" i="13" a="1"/>
  <c r="J4" i="13" s="1"/>
  <c r="J5" i="13" a="1"/>
  <c r="J5" i="13"/>
  <c r="J6" i="13" a="1"/>
  <c r="J6" i="13" s="1"/>
  <c r="J7" i="13" a="1"/>
  <c r="J7" i="13"/>
  <c r="J8" i="13" a="1"/>
  <c r="J8" i="13" s="1"/>
  <c r="J9" i="13" a="1"/>
  <c r="J9" i="13" s="1"/>
  <c r="J10" i="13" a="1"/>
  <c r="J10" i="13" s="1"/>
  <c r="J11" i="13" a="1"/>
  <c r="J11" i="13"/>
  <c r="J12" i="13" a="1"/>
  <c r="J12" i="13" s="1"/>
  <c r="J13" i="13" a="1"/>
  <c r="J13" i="13" s="1"/>
  <c r="J14" i="13" a="1"/>
  <c r="J14" i="13" s="1"/>
  <c r="J15" i="13" a="1"/>
  <c r="J15" i="13" s="1"/>
  <c r="J16" i="13" a="1"/>
  <c r="J16" i="13" s="1"/>
  <c r="J17" i="13" a="1"/>
  <c r="J17" i="13" s="1"/>
  <c r="J18" i="13" a="1"/>
  <c r="J18" i="13" s="1"/>
  <c r="J19" i="13" a="1"/>
  <c r="J19" i="13"/>
  <c r="J20" i="13" a="1"/>
  <c r="J20" i="13" s="1"/>
  <c r="J21" i="13" a="1"/>
  <c r="J21" i="13"/>
  <c r="J22" i="13" a="1"/>
  <c r="J22" i="13" s="1"/>
  <c r="J23" i="13" a="1"/>
  <c r="J23" i="13" s="1"/>
  <c r="J24" i="13" a="1"/>
  <c r="J24" i="13" s="1"/>
  <c r="J25" i="13" a="1"/>
  <c r="J25" i="13"/>
  <c r="J26" i="13" a="1"/>
  <c r="J26" i="13" s="1"/>
  <c r="J27" i="13" a="1"/>
  <c r="J27" i="13" s="1"/>
  <c r="J28" i="13" a="1"/>
  <c r="J28" i="13" s="1"/>
  <c r="J29" i="13" a="1"/>
  <c r="J29" i="13" s="1"/>
  <c r="J30" i="13" a="1"/>
  <c r="J30" i="13"/>
  <c r="J31" i="13" a="1"/>
  <c r="J31" i="13" s="1"/>
  <c r="J32" i="13" a="1"/>
  <c r="J32" i="13" s="1"/>
  <c r="J33" i="13" a="1"/>
  <c r="J33" i="13"/>
  <c r="J34" i="13" a="1"/>
  <c r="J34" i="13" s="1"/>
  <c r="J35" i="13" a="1"/>
  <c r="J35" i="13" s="1"/>
  <c r="J36" i="13" a="1"/>
  <c r="J36" i="13" s="1"/>
  <c r="J37" i="13" a="1"/>
  <c r="J37" i="13"/>
  <c r="J38" i="13" a="1"/>
  <c r="J38" i="13"/>
  <c r="J39" i="13" a="1"/>
  <c r="J39" i="13" s="1"/>
  <c r="J40" i="13" a="1"/>
  <c r="J40" i="13" s="1"/>
  <c r="J41" i="13" a="1"/>
  <c r="J41" i="13" s="1"/>
  <c r="J42" i="13" a="1"/>
  <c r="J42" i="13" s="1"/>
  <c r="J43" i="13" a="1"/>
  <c r="J43" i="13" s="1"/>
  <c r="J44" i="13" a="1"/>
  <c r="J44" i="13" s="1"/>
  <c r="J45" i="13" a="1"/>
  <c r="J45" i="13" s="1"/>
  <c r="J46" i="13" a="1"/>
  <c r="J46" i="13" s="1"/>
  <c r="J47" i="13" a="1"/>
  <c r="J47" i="13" s="1"/>
  <c r="J48" i="13" a="1"/>
  <c r="J48" i="13" s="1"/>
  <c r="J49" i="13" a="1"/>
  <c r="J49" i="13" s="1"/>
  <c r="J50" i="13" a="1"/>
  <c r="J50" i="13" s="1"/>
  <c r="J51" i="13" a="1"/>
  <c r="J51" i="13"/>
  <c r="J52" i="13" a="1"/>
  <c r="J52" i="13" s="1"/>
  <c r="J53" i="13" a="1"/>
  <c r="J53" i="13" s="1"/>
  <c r="J54" i="13" a="1"/>
  <c r="J54" i="13" s="1"/>
  <c r="J55" i="13" a="1"/>
  <c r="J55" i="13" s="1"/>
  <c r="J56" i="13" a="1"/>
  <c r="J56" i="13" s="1"/>
  <c r="J57" i="13" a="1"/>
  <c r="J57" i="13"/>
  <c r="J58" i="13" a="1"/>
  <c r="J58" i="13"/>
  <c r="J59" i="13" a="1"/>
  <c r="J59" i="13" s="1"/>
  <c r="J60" i="13" a="1"/>
  <c r="J60" i="13" s="1"/>
  <c r="J61" i="13" a="1"/>
  <c r="J61" i="13" s="1"/>
  <c r="J62" i="13" a="1"/>
  <c r="J62" i="13"/>
  <c r="J63" i="13" a="1"/>
  <c r="J63" i="13" s="1"/>
  <c r="J64" i="13" a="1"/>
  <c r="J64" i="13" s="1"/>
  <c r="J65" i="13" a="1"/>
  <c r="J65" i="13" s="1"/>
  <c r="J66" i="13" a="1"/>
  <c r="J66" i="13" s="1"/>
  <c r="J67" i="13" a="1"/>
  <c r="J67" i="13"/>
  <c r="J68" i="13" a="1"/>
  <c r="J68" i="13" s="1"/>
  <c r="J69" i="13" a="1"/>
  <c r="J69" i="13" s="1"/>
  <c r="J70" i="13" a="1"/>
  <c r="J70" i="13" s="1"/>
  <c r="J71" i="13" a="1"/>
  <c r="J71" i="13" s="1"/>
  <c r="J72" i="13" a="1"/>
  <c r="J72" i="13" s="1"/>
  <c r="J73" i="13" a="1"/>
  <c r="J73" i="13" s="1"/>
  <c r="J74" i="13" a="1"/>
  <c r="J74" i="13"/>
  <c r="J75" i="13" a="1"/>
  <c r="J75" i="13" s="1"/>
  <c r="J76" i="13" a="1"/>
  <c r="J76" i="13" s="1"/>
  <c r="J77" i="13" a="1"/>
  <c r="J77" i="13" s="1"/>
  <c r="J78" i="13" a="1"/>
  <c r="J78" i="13" s="1"/>
  <c r="J79" i="13" a="1"/>
  <c r="J79" i="13" s="1"/>
  <c r="J80" i="13" a="1"/>
  <c r="J80" i="13" s="1"/>
  <c r="J81" i="13" a="1"/>
  <c r="J81" i="13" s="1"/>
  <c r="J82" i="13" a="1"/>
  <c r="J82" i="13" s="1"/>
  <c r="J83" i="13" a="1"/>
  <c r="J83" i="13" s="1"/>
  <c r="J84" i="13" a="1"/>
  <c r="J84" i="13" s="1"/>
  <c r="J85" i="13" a="1"/>
  <c r="J85" i="13"/>
  <c r="J86" i="13" a="1"/>
  <c r="J86" i="13" s="1"/>
  <c r="J87" i="13" a="1"/>
  <c r="J87" i="13" s="1"/>
  <c r="J88" i="13" a="1"/>
  <c r="J88" i="13" s="1"/>
  <c r="J89" i="13" a="1"/>
  <c r="J89" i="13" s="1"/>
  <c r="J90" i="13" a="1"/>
  <c r="J90" i="13"/>
  <c r="J91" i="13" a="1"/>
  <c r="J91" i="13" s="1"/>
  <c r="J92" i="13" a="1"/>
  <c r="J92" i="13" s="1"/>
  <c r="J93" i="13" a="1"/>
  <c r="J93" i="13" s="1"/>
  <c r="J94" i="13" a="1"/>
  <c r="J94" i="13" s="1"/>
  <c r="J95" i="13" a="1"/>
  <c r="J95" i="13" s="1"/>
  <c r="J96" i="13" a="1"/>
  <c r="J96" i="13" s="1"/>
  <c r="J97" i="13" a="1"/>
  <c r="J97" i="13" s="1"/>
  <c r="J98" i="13" a="1"/>
  <c r="J98" i="13"/>
  <c r="J99" i="13" a="1"/>
  <c r="J99" i="13" s="1"/>
  <c r="J100" i="13" a="1"/>
  <c r="J100" i="13" s="1"/>
  <c r="J101" i="13" a="1"/>
  <c r="J101" i="13" s="1"/>
  <c r="J102" i="13" a="1"/>
  <c r="J102" i="13" s="1"/>
  <c r="J103" i="13" a="1"/>
  <c r="J103" i="13"/>
  <c r="J104" i="13" a="1"/>
  <c r="J104" i="13" s="1"/>
  <c r="J105" i="13" a="1"/>
  <c r="J105" i="13" s="1"/>
  <c r="J106" i="13" a="1"/>
  <c r="J106" i="13" s="1"/>
  <c r="J107" i="13" a="1"/>
  <c r="J107" i="13" s="1"/>
  <c r="J108" i="13" a="1"/>
  <c r="J108" i="13" s="1"/>
  <c r="J109" i="13" a="1"/>
  <c r="J109" i="13" s="1"/>
  <c r="J110" i="13" a="1"/>
  <c r="J110" i="13" s="1"/>
  <c r="J111" i="13" a="1"/>
  <c r="J111" i="13"/>
  <c r="J112" i="13" a="1"/>
  <c r="J112" i="13" s="1"/>
  <c r="J113" i="13" a="1"/>
  <c r="J113" i="13" s="1"/>
  <c r="J114" i="13" a="1"/>
  <c r="J114" i="13" s="1"/>
  <c r="J115" i="13" a="1"/>
  <c r="J115" i="13" s="1"/>
  <c r="J116" i="13" a="1"/>
  <c r="J116" i="13" s="1"/>
  <c r="J117" i="13" a="1"/>
  <c r="J117" i="13"/>
  <c r="J118" i="13" a="1"/>
  <c r="J118" i="13" s="1"/>
  <c r="J119" i="13" a="1"/>
  <c r="J119" i="13" s="1"/>
  <c r="J120" i="13" a="1"/>
  <c r="J120" i="13" s="1"/>
  <c r="J121" i="13" a="1"/>
  <c r="J121" i="13" s="1"/>
  <c r="J122" i="13" a="1"/>
  <c r="J122" i="13"/>
  <c r="J123" i="13" a="1"/>
  <c r="J123" i="13" s="1"/>
  <c r="J124" i="13" a="1"/>
  <c r="J124" i="13" s="1"/>
  <c r="J125" i="13" a="1"/>
  <c r="J125" i="13" s="1"/>
  <c r="J126" i="13" a="1"/>
  <c r="J126" i="13" s="1"/>
  <c r="J127" i="13" a="1"/>
  <c r="J127" i="13" s="1"/>
  <c r="J128" i="13" a="1"/>
  <c r="J128" i="13" s="1"/>
  <c r="J129" i="13" a="1"/>
  <c r="J129" i="13"/>
  <c r="J130" i="13" a="1"/>
  <c r="J130" i="13" s="1"/>
  <c r="J131" i="13" a="1"/>
  <c r="J131" i="13" s="1"/>
  <c r="J132" i="13" a="1"/>
  <c r="J132" i="13" s="1"/>
  <c r="J133" i="13" a="1"/>
  <c r="J133" i="13" s="1"/>
  <c r="J134" i="13" a="1"/>
  <c r="J134" i="13"/>
  <c r="J135" i="13" a="1"/>
  <c r="J135" i="13" s="1"/>
  <c r="J136" i="13" a="1"/>
  <c r="J136" i="13" s="1"/>
  <c r="J137" i="13" a="1"/>
  <c r="J137" i="13" s="1"/>
  <c r="J138" i="13" a="1"/>
  <c r="J138" i="13"/>
  <c r="J139" i="13" a="1"/>
  <c r="J139" i="13" s="1"/>
  <c r="J140" i="13" a="1"/>
  <c r="J140" i="13" s="1"/>
  <c r="J141" i="13" a="1"/>
  <c r="J141" i="13" s="1"/>
  <c r="J142" i="13" a="1"/>
  <c r="J142" i="13" s="1"/>
  <c r="J143" i="13" a="1"/>
  <c r="J143" i="13" s="1"/>
  <c r="J144" i="13" a="1"/>
  <c r="J144" i="13" s="1"/>
  <c r="J145" i="13" a="1"/>
  <c r="J145" i="13" s="1"/>
  <c r="J146" i="13" a="1"/>
  <c r="J146" i="13" s="1"/>
  <c r="J147" i="13" a="1"/>
  <c r="J147" i="13" s="1"/>
  <c r="J148" i="13" a="1"/>
  <c r="J148" i="13" s="1"/>
  <c r="J149" i="13" a="1"/>
  <c r="J149" i="13"/>
  <c r="J150" i="13" a="1"/>
  <c r="J150" i="13" s="1"/>
  <c r="J151" i="13" a="1"/>
  <c r="J151" i="13" s="1"/>
  <c r="J152" i="13" a="1"/>
  <c r="J152" i="13" s="1"/>
  <c r="J153" i="13" a="1"/>
  <c r="J153" i="13" s="1"/>
  <c r="J154" i="13" a="1"/>
  <c r="J154" i="13" s="1"/>
  <c r="J155" i="13" a="1"/>
  <c r="J155" i="13" s="1"/>
  <c r="J156" i="13" a="1"/>
  <c r="J156" i="13" s="1"/>
  <c r="J157" i="13" a="1"/>
  <c r="J157" i="13" s="1"/>
  <c r="J158" i="13" a="1"/>
  <c r="J158" i="13" s="1"/>
  <c r="J159" i="13" a="1"/>
  <c r="J159" i="13" s="1"/>
  <c r="J160" i="13" a="1"/>
  <c r="J160" i="13" s="1"/>
  <c r="J161" i="13" a="1"/>
  <c r="J161" i="13"/>
  <c r="J162" i="13" a="1"/>
  <c r="J162" i="13" s="1"/>
  <c r="J163" i="13" a="1"/>
  <c r="J163" i="13" s="1"/>
  <c r="J164" i="13" a="1"/>
  <c r="J164" i="13" s="1"/>
  <c r="J165" i="13" a="1"/>
  <c r="J165" i="13" s="1"/>
  <c r="J166" i="13" a="1"/>
  <c r="J166" i="13"/>
  <c r="J167" i="13" a="1"/>
  <c r="J167" i="13" s="1"/>
  <c r="J168" i="13" a="1"/>
  <c r="J168" i="13" s="1"/>
  <c r="J169" i="13" a="1"/>
  <c r="J169" i="13" s="1"/>
  <c r="J170" i="13" a="1"/>
  <c r="J170" i="13" s="1"/>
  <c r="J171" i="13" a="1"/>
  <c r="J171" i="13"/>
  <c r="J172" i="13" a="1"/>
  <c r="J172" i="13" s="1"/>
  <c r="J173" i="13" a="1"/>
  <c r="J173" i="13" s="1"/>
  <c r="J174" i="13" a="1"/>
  <c r="J174" i="13" s="1"/>
  <c r="J175" i="13" a="1"/>
  <c r="J175" i="13" s="1"/>
  <c r="J176" i="13" a="1"/>
  <c r="J176" i="13" s="1"/>
  <c r="J177" i="13" a="1"/>
  <c r="J177" i="13" s="1"/>
  <c r="J178" i="13" a="1"/>
  <c r="J178" i="13" s="1"/>
  <c r="J179" i="13" a="1"/>
  <c r="J179" i="13" s="1"/>
  <c r="J180" i="13" a="1"/>
  <c r="J180" i="13" s="1"/>
  <c r="J181" i="13" a="1"/>
  <c r="J181" i="13" s="1"/>
  <c r="J182" i="13" a="1"/>
  <c r="J182" i="13" s="1"/>
  <c r="J183" i="13" a="1"/>
  <c r="J183" i="13" s="1"/>
  <c r="J184" i="13" a="1"/>
  <c r="J184" i="13" s="1"/>
  <c r="J185" i="13" a="1"/>
  <c r="J185" i="13" s="1"/>
  <c r="J186" i="13" a="1"/>
  <c r="J186" i="13" s="1"/>
  <c r="J187" i="13" a="1"/>
  <c r="J187" i="13" s="1"/>
  <c r="J188" i="13" a="1"/>
  <c r="J188" i="13" s="1"/>
  <c r="J189" i="13" a="1"/>
  <c r="J189" i="13"/>
  <c r="J190" i="13" a="1"/>
  <c r="J190" i="13" s="1"/>
  <c r="J191" i="13" a="1"/>
  <c r="J191" i="13" s="1"/>
  <c r="J192" i="13" a="1"/>
  <c r="J192" i="13" s="1"/>
  <c r="J193" i="13" a="1"/>
  <c r="J193" i="13" s="1"/>
  <c r="J194" i="13" a="1"/>
  <c r="J194" i="13"/>
  <c r="J195" i="13" a="1"/>
  <c r="J195" i="13" s="1"/>
  <c r="J196" i="13" a="1"/>
  <c r="J196" i="13" s="1"/>
  <c r="J197" i="13" a="1"/>
  <c r="J197" i="13" s="1"/>
  <c r="J198" i="13" a="1"/>
  <c r="J198" i="13"/>
  <c r="J199" i="13" a="1"/>
  <c r="J199" i="13"/>
  <c r="J200" i="13" a="1"/>
  <c r="J200" i="13" s="1"/>
  <c r="J201" i="13" a="1"/>
  <c r="J201" i="13" s="1"/>
  <c r="J202" i="13" a="1"/>
  <c r="J202" i="13" s="1"/>
  <c r="J203" i="13" a="1"/>
  <c r="J203" i="13" s="1"/>
  <c r="J204" i="13" a="1"/>
  <c r="J204" i="13" s="1"/>
  <c r="J205" i="13" a="1"/>
  <c r="J205" i="13" s="1"/>
  <c r="J206" i="13" a="1"/>
  <c r="J206" i="13" s="1"/>
  <c r="J207" i="13" a="1"/>
  <c r="J207" i="13"/>
  <c r="J208" i="13" a="1"/>
  <c r="J208" i="13" s="1"/>
  <c r="J209" i="13" a="1"/>
  <c r="J209" i="13" s="1"/>
  <c r="J210" i="13" a="1"/>
  <c r="J210" i="13" s="1"/>
  <c r="J211" i="13" a="1"/>
  <c r="J211" i="13" s="1"/>
  <c r="J212" i="13" a="1"/>
  <c r="J212" i="13" s="1"/>
  <c r="J213" i="13" a="1"/>
  <c r="J213" i="13" s="1"/>
  <c r="J214" i="13" a="1"/>
  <c r="J214" i="13" s="1"/>
  <c r="J215" i="13" a="1"/>
  <c r="J215" i="13" s="1"/>
  <c r="J216" i="13" a="1"/>
  <c r="J216" i="13" s="1"/>
  <c r="J217" i="13" a="1"/>
  <c r="J217" i="13" s="1"/>
  <c r="J218" i="13" a="1"/>
  <c r="J218" i="13" s="1"/>
  <c r="J219" i="13" a="1"/>
  <c r="J219" i="13" s="1"/>
  <c r="J220" i="13" a="1"/>
  <c r="J220" i="13" s="1"/>
  <c r="J221" i="13" a="1"/>
  <c r="J221" i="13"/>
  <c r="J222" i="13" a="1"/>
  <c r="J222" i="13" s="1"/>
  <c r="J223" i="13" a="1"/>
  <c r="J223" i="13" s="1"/>
  <c r="J224" i="13" a="1"/>
  <c r="J224" i="13" s="1"/>
  <c r="J225" i="13" a="1"/>
  <c r="J225" i="13" s="1"/>
  <c r="J226" i="13" a="1"/>
  <c r="J226" i="13"/>
  <c r="J227" i="13" a="1"/>
  <c r="J227" i="13" s="1"/>
  <c r="J228" i="13" a="1"/>
  <c r="J228" i="13" s="1"/>
  <c r="J229" i="13" a="1"/>
  <c r="J229" i="13" s="1"/>
  <c r="J230" i="13" a="1"/>
  <c r="J230" i="13" s="1"/>
  <c r="J231" i="13" a="1"/>
  <c r="J231" i="13" s="1"/>
  <c r="J232" i="13" a="1"/>
  <c r="J232" i="13" s="1"/>
  <c r="J233" i="13" a="1"/>
  <c r="J233" i="13" s="1"/>
  <c r="J234" i="13" a="1"/>
  <c r="J234" i="13"/>
  <c r="J235" i="13" a="1"/>
  <c r="J235" i="13" s="1"/>
  <c r="J236" i="13" a="1"/>
  <c r="J236" i="13" s="1"/>
  <c r="J237" i="13" a="1"/>
  <c r="J237" i="13" s="1"/>
  <c r="J238" i="13" a="1"/>
  <c r="J238" i="13" s="1"/>
  <c r="J239" i="13" a="1"/>
  <c r="J239" i="13" s="1"/>
  <c r="J240" i="13" a="1"/>
  <c r="J240" i="13" s="1"/>
  <c r="J241" i="13" a="1"/>
  <c r="J241" i="13" s="1"/>
  <c r="J242" i="13" a="1"/>
  <c r="J242" i="13" s="1"/>
  <c r="J243" i="13" a="1"/>
  <c r="J243" i="13" s="1"/>
  <c r="J244" i="13" a="1"/>
  <c r="J244" i="13" s="1"/>
  <c r="J245" i="13" a="1"/>
  <c r="J245" i="13"/>
  <c r="J246" i="13" a="1"/>
  <c r="J246" i="13" s="1"/>
  <c r="J247" i="13" a="1"/>
  <c r="J247" i="13" s="1"/>
  <c r="J248" i="13" a="1"/>
  <c r="J248" i="13" s="1"/>
  <c r="J249" i="13" a="1"/>
  <c r="J249" i="13" s="1"/>
  <c r="J250" i="13" a="1"/>
  <c r="J250" i="13" s="1"/>
  <c r="J251" i="13" a="1"/>
  <c r="J251" i="13" s="1"/>
  <c r="J252" i="13" a="1"/>
  <c r="J252" i="13" s="1"/>
  <c r="J253" i="13" a="1"/>
  <c r="J253" i="13"/>
  <c r="J254" i="13" a="1"/>
  <c r="J254" i="13" s="1"/>
  <c r="J255" i="13" a="1"/>
  <c r="J255" i="13" s="1"/>
  <c r="J256" i="13" a="1"/>
  <c r="J256" i="13" s="1"/>
  <c r="J257" i="13" a="1"/>
  <c r="J257" i="13" s="1"/>
  <c r="J258" i="13" a="1"/>
  <c r="J258" i="13"/>
  <c r="J259" i="13" a="1"/>
  <c r="J259" i="13"/>
  <c r="J260" i="13" a="1"/>
  <c r="J260" i="13" s="1"/>
  <c r="J261" i="13" a="1"/>
  <c r="J261" i="13" s="1"/>
  <c r="J262" i="13" a="1"/>
  <c r="J262" i="13" s="1"/>
  <c r="J263" i="13" a="1"/>
  <c r="J263" i="13"/>
  <c r="J264" i="13" a="1"/>
  <c r="J264" i="13" s="1"/>
  <c r="J265" i="13" a="1"/>
  <c r="J265" i="13" s="1"/>
  <c r="J266" i="13" a="1"/>
  <c r="J266" i="13" s="1"/>
  <c r="J267" i="13" a="1"/>
  <c r="J267" i="13" s="1"/>
  <c r="J268" i="13" a="1"/>
  <c r="J268" i="13" s="1"/>
  <c r="J269" i="13" a="1"/>
  <c r="J269" i="13" s="1"/>
  <c r="J270" i="13" a="1"/>
  <c r="J270" i="13" s="1"/>
  <c r="J271" i="13" a="1"/>
  <c r="J271" i="13" s="1"/>
  <c r="J272" i="13" a="1"/>
  <c r="J272" i="13" s="1"/>
  <c r="J273" i="13" a="1"/>
  <c r="J273" i="13" s="1"/>
  <c r="J274" i="13" a="1"/>
  <c r="J274" i="13" s="1"/>
  <c r="J275" i="13" a="1"/>
  <c r="J275" i="13" s="1"/>
  <c r="J276" i="13" a="1"/>
  <c r="J276" i="13" s="1"/>
  <c r="J277" i="13" a="1"/>
  <c r="J277" i="13" s="1"/>
  <c r="J278" i="13" a="1"/>
  <c r="J278" i="13" s="1"/>
  <c r="J279" i="13" a="1"/>
  <c r="J279" i="13" s="1"/>
  <c r="J280" i="13" a="1"/>
  <c r="J280" i="13" s="1"/>
  <c r="J281" i="13" a="1"/>
  <c r="J281" i="13" s="1"/>
  <c r="J282" i="13" a="1"/>
  <c r="J282" i="13" s="1"/>
  <c r="J283" i="13" a="1"/>
  <c r="J283" i="13" s="1"/>
  <c r="J284" i="13" a="1"/>
  <c r="J284" i="13" s="1"/>
  <c r="J285" i="13" a="1"/>
  <c r="J285" i="13" s="1"/>
  <c r="J286" i="13" a="1"/>
  <c r="J286" i="13"/>
  <c r="J287" i="13" a="1"/>
  <c r="J287" i="13" s="1"/>
  <c r="J288" i="13" a="1"/>
  <c r="J288" i="13" s="1"/>
  <c r="J289" i="13" a="1"/>
  <c r="J289" i="13"/>
  <c r="J290" i="13" a="1"/>
  <c r="J290" i="13" s="1"/>
  <c r="J291" i="13" a="1"/>
  <c r="J291" i="13"/>
  <c r="J292" i="13" a="1"/>
  <c r="J292" i="13" s="1"/>
  <c r="J293" i="13" a="1"/>
  <c r="J293" i="13" s="1"/>
  <c r="J294" i="13" a="1"/>
  <c r="J294" i="13" s="1"/>
  <c r="J295" i="13" a="1"/>
  <c r="J295" i="13" s="1"/>
  <c r="J296" i="13" a="1"/>
  <c r="J296" i="13" s="1"/>
  <c r="J297" i="13" a="1"/>
  <c r="J297" i="13" s="1"/>
  <c r="J298" i="13" a="1"/>
  <c r="J298" i="13" s="1"/>
  <c r="J299" i="13" a="1"/>
  <c r="J299" i="13"/>
  <c r="J300" i="13" a="1"/>
  <c r="J300" i="13" s="1"/>
  <c r="J301" i="13" a="1"/>
  <c r="J301" i="13" s="1"/>
  <c r="J302" i="13" a="1"/>
  <c r="J302" i="13" s="1"/>
  <c r="J303" i="13" a="1"/>
  <c r="J303" i="13"/>
  <c r="J304" i="13" a="1"/>
  <c r="J304" i="13" s="1"/>
  <c r="J305" i="13" a="1"/>
  <c r="J305" i="13"/>
  <c r="J306" i="13" a="1"/>
  <c r="J306" i="13" s="1"/>
  <c r="J307" i="13" a="1"/>
  <c r="J307" i="13"/>
  <c r="J308" i="13" a="1"/>
  <c r="J308" i="13" s="1"/>
  <c r="J309" i="13" a="1"/>
  <c r="J309" i="13" s="1"/>
  <c r="J310" i="13" a="1"/>
  <c r="J310" i="13" s="1"/>
  <c r="J311" i="13" a="1"/>
  <c r="J311" i="13" s="1"/>
  <c r="J312" i="13" a="1"/>
  <c r="J312" i="13" s="1"/>
  <c r="J313" i="13" a="1"/>
  <c r="J313" i="13" s="1"/>
  <c r="J314" i="13" a="1"/>
  <c r="J314" i="13" s="1"/>
  <c r="J315" i="13" a="1"/>
  <c r="J315" i="13" s="1"/>
  <c r="J316" i="13" a="1"/>
  <c r="J316" i="13" s="1"/>
  <c r="J317" i="13" a="1"/>
  <c r="J317" i="13" s="1"/>
  <c r="J318" i="13" a="1"/>
  <c r="J318" i="13" s="1"/>
  <c r="J319" i="13" a="1"/>
  <c r="J319" i="13" s="1"/>
  <c r="J320" i="13" a="1"/>
  <c r="J320" i="13" s="1"/>
  <c r="J321" i="13" a="1"/>
  <c r="J321" i="13" s="1"/>
  <c r="J322" i="13" a="1"/>
  <c r="J322" i="13" s="1"/>
  <c r="J323" i="13" a="1"/>
  <c r="J323" i="13"/>
  <c r="J324" i="13" a="1"/>
  <c r="J324" i="13" s="1"/>
  <c r="J325" i="13" a="1"/>
  <c r="J325" i="13" s="1"/>
  <c r="J326" i="13" a="1"/>
  <c r="J326" i="13" s="1"/>
  <c r="J327" i="13" a="1"/>
  <c r="J327" i="13" s="1"/>
  <c r="J328" i="13" a="1"/>
  <c r="J328" i="13" s="1"/>
  <c r="J329" i="13" a="1"/>
  <c r="J329" i="13" s="1"/>
  <c r="J330" i="13" a="1"/>
  <c r="J330" i="13"/>
  <c r="J331" i="13" a="1"/>
  <c r="J331" i="13" s="1"/>
  <c r="J332" i="13" a="1"/>
  <c r="J332" i="13" s="1"/>
  <c r="J333" i="13" a="1"/>
  <c r="J333" i="13" s="1"/>
  <c r="J334" i="13" a="1"/>
  <c r="J334" i="13" s="1"/>
  <c r="J335" i="13" a="1"/>
  <c r="J335" i="13"/>
  <c r="J336" i="13" a="1"/>
  <c r="J336" i="13" s="1"/>
  <c r="J337" i="13" a="1"/>
  <c r="J337" i="13" s="1"/>
  <c r="J338" i="13" a="1"/>
  <c r="J338" i="13" s="1"/>
  <c r="J339" i="13" a="1"/>
  <c r="J339" i="13" s="1"/>
  <c r="J340" i="13" a="1"/>
  <c r="J340" i="13" s="1"/>
  <c r="J341" i="13" a="1"/>
  <c r="J341" i="13" s="1"/>
  <c r="J342" i="13" a="1"/>
  <c r="J342" i="13" s="1"/>
  <c r="J343" i="13" a="1"/>
  <c r="J343" i="13" s="1"/>
  <c r="J344" i="13" a="1"/>
  <c r="J344" i="13" s="1"/>
  <c r="J345" i="13" a="1"/>
  <c r="J345" i="13" s="1"/>
  <c r="J346" i="13" a="1"/>
  <c r="J346" i="13" s="1"/>
  <c r="J347" i="13" a="1"/>
  <c r="J347" i="13" s="1"/>
  <c r="J348" i="13" a="1"/>
  <c r="J348" i="13" s="1"/>
  <c r="J349" i="13" a="1"/>
  <c r="J349" i="13" s="1"/>
  <c r="J350" i="13" a="1"/>
  <c r="J350" i="13" s="1"/>
  <c r="J351" i="13" a="1"/>
  <c r="J351" i="13" s="1"/>
  <c r="J352" i="13" a="1"/>
  <c r="J352" i="13" s="1"/>
  <c r="J353" i="13" a="1"/>
  <c r="J353" i="13" s="1"/>
  <c r="J354" i="13" a="1"/>
  <c r="J354" i="13" s="1"/>
  <c r="J355" i="13" a="1"/>
  <c r="J355" i="13" s="1"/>
  <c r="J356" i="13" a="1"/>
  <c r="J356" i="13"/>
  <c r="J357" i="13" a="1"/>
  <c r="J357" i="13"/>
  <c r="J358" i="13" a="1"/>
  <c r="J358" i="13" s="1"/>
  <c r="J359" i="13" a="1"/>
  <c r="J359" i="13" s="1"/>
  <c r="J360" i="13" a="1"/>
  <c r="J360" i="13" s="1"/>
  <c r="J361" i="13" a="1"/>
  <c r="J361" i="13"/>
  <c r="J362" i="13" a="1"/>
  <c r="J362" i="13" s="1"/>
  <c r="J363" i="13" a="1"/>
  <c r="J363" i="13" s="1"/>
  <c r="J364" i="13" a="1"/>
  <c r="J364" i="13" s="1"/>
  <c r="J365" i="13" a="1"/>
  <c r="J365" i="13" s="1"/>
  <c r="J366" i="13" a="1"/>
  <c r="J366" i="13" s="1"/>
  <c r="J367" i="13" a="1"/>
  <c r="J367" i="13" s="1"/>
  <c r="J368" i="13" a="1"/>
  <c r="J368" i="13"/>
  <c r="J369" i="13" a="1"/>
  <c r="J369" i="13" s="1"/>
  <c r="J370" i="13" a="1"/>
  <c r="J370" i="13" s="1"/>
  <c r="J371" i="13" a="1"/>
  <c r="J371" i="13" s="1"/>
  <c r="J372" i="13" a="1"/>
  <c r="J372" i="13" s="1"/>
  <c r="J373" i="13" a="1"/>
  <c r="J373" i="13" s="1"/>
  <c r="J374" i="13" a="1"/>
  <c r="J374" i="13" s="1"/>
  <c r="J375" i="13" a="1"/>
  <c r="J375" i="13" s="1"/>
  <c r="J376" i="13" a="1"/>
  <c r="J376" i="13" s="1"/>
  <c r="J377" i="13" a="1"/>
  <c r="J377" i="13" s="1"/>
  <c r="J378" i="13" a="1"/>
  <c r="J378" i="13" s="1"/>
  <c r="J379" i="13" a="1"/>
  <c r="J379" i="13" s="1"/>
  <c r="J380" i="13" a="1"/>
  <c r="J380" i="13" s="1"/>
  <c r="J381" i="13" a="1"/>
  <c r="J381" i="13" s="1"/>
  <c r="J382" i="13" a="1"/>
  <c r="J382" i="13" s="1"/>
  <c r="J383" i="13" a="1"/>
  <c r="J383" i="13" s="1"/>
  <c r="J384" i="13" a="1"/>
  <c r="J384" i="13" s="1"/>
  <c r="J385" i="13" a="1"/>
  <c r="J385" i="13" s="1"/>
  <c r="J386" i="13" a="1"/>
  <c r="J386" i="13" s="1"/>
  <c r="J387" i="13" a="1"/>
  <c r="J387" i="13" s="1"/>
  <c r="J388" i="13" a="1"/>
  <c r="J388" i="13"/>
  <c r="J389" i="13" a="1"/>
  <c r="J389" i="13"/>
  <c r="J390" i="13" a="1"/>
  <c r="J390" i="13" s="1"/>
  <c r="J391" i="13" a="1"/>
  <c r="J391" i="13" s="1"/>
  <c r="J392" i="13" a="1"/>
  <c r="J392" i="13" s="1"/>
  <c r="J3" i="13" a="1"/>
  <c r="J3" i="13"/>
  <c r="J3" i="1" a="1"/>
  <c r="J3" i="1"/>
  <c r="G4" i="13" a="1"/>
  <c r="G4" i="13" s="1"/>
  <c r="G5" i="13" a="1"/>
  <c r="G5" i="13" s="1"/>
  <c r="G6" i="13" a="1"/>
  <c r="G6" i="13" s="1"/>
  <c r="G7" i="13" a="1"/>
  <c r="G7" i="13"/>
  <c r="G8" i="13" a="1"/>
  <c r="G8" i="13" s="1"/>
  <c r="G9" i="13" a="1"/>
  <c r="G9" i="13" s="1"/>
  <c r="G10" i="13" a="1"/>
  <c r="G10" i="13" s="1"/>
  <c r="G11" i="13" a="1"/>
  <c r="G11" i="13"/>
  <c r="G12" i="13" a="1"/>
  <c r="G12" i="13" s="1"/>
  <c r="G13" i="13" a="1"/>
  <c r="G13" i="13" s="1"/>
  <c r="G14" i="13" a="1"/>
  <c r="G14" i="13"/>
  <c r="G15" i="13" a="1"/>
  <c r="G15" i="13" s="1"/>
  <c r="G16" i="13" a="1"/>
  <c r="G16" i="13" s="1"/>
  <c r="G17" i="13" a="1"/>
  <c r="G17" i="13" s="1"/>
  <c r="G18" i="13" a="1"/>
  <c r="G18" i="13" s="1"/>
  <c r="G19" i="13" a="1"/>
  <c r="G19" i="13"/>
  <c r="G20" i="13" a="1"/>
  <c r="G20" i="13" s="1"/>
  <c r="G21" i="13" a="1"/>
  <c r="G21" i="13" s="1"/>
  <c r="G22" i="13" a="1"/>
  <c r="G22" i="13" s="1"/>
  <c r="G23" i="13" a="1"/>
  <c r="G23" i="13" s="1"/>
  <c r="G24" i="13" a="1"/>
  <c r="G24" i="13" s="1"/>
  <c r="G25" i="13" a="1"/>
  <c r="G25" i="13"/>
  <c r="G26" i="13" a="1"/>
  <c r="G26" i="13" s="1"/>
  <c r="G27" i="13" a="1"/>
  <c r="G27" i="13" s="1"/>
  <c r="G28" i="13" a="1"/>
  <c r="G28" i="13" s="1"/>
  <c r="G29" i="13" a="1"/>
  <c r="G29" i="13" s="1"/>
  <c r="G30" i="13" a="1"/>
  <c r="G30" i="13"/>
  <c r="G31" i="13" a="1"/>
  <c r="G31" i="13" s="1"/>
  <c r="G32" i="13" a="1"/>
  <c r="G32" i="13" s="1"/>
  <c r="G33" i="13" a="1"/>
  <c r="G33" i="13" s="1"/>
  <c r="G34" i="13" a="1"/>
  <c r="G34" i="13" s="1"/>
  <c r="G35" i="13" a="1"/>
  <c r="G35" i="13"/>
  <c r="G36" i="13" a="1"/>
  <c r="G36" i="13" s="1"/>
  <c r="G37" i="13" a="1"/>
  <c r="G37" i="13" s="1"/>
  <c r="G38" i="13" a="1"/>
  <c r="G38" i="13" s="1"/>
  <c r="G39" i="13" a="1"/>
  <c r="G39" i="13" s="1"/>
  <c r="G40" i="13" a="1"/>
  <c r="G40" i="13" s="1"/>
  <c r="G41" i="13" a="1"/>
  <c r="G41" i="13" s="1"/>
  <c r="G42" i="13" a="1"/>
  <c r="G42" i="13"/>
  <c r="G43" i="13" a="1"/>
  <c r="G43" i="13"/>
  <c r="G44" i="13" a="1"/>
  <c r="G44" i="13" s="1"/>
  <c r="G45" i="13" a="1"/>
  <c r="G45" i="13" s="1"/>
  <c r="G46" i="13" a="1"/>
  <c r="G46" i="13" s="1"/>
  <c r="G47" i="13" a="1"/>
  <c r="G47" i="13"/>
  <c r="G48" i="13" a="1"/>
  <c r="G48" i="13" s="1"/>
  <c r="G49" i="13" a="1"/>
  <c r="G49" i="13" s="1"/>
  <c r="G50" i="13" a="1"/>
  <c r="G50" i="13" s="1"/>
  <c r="G51" i="13" a="1"/>
  <c r="G51" i="13" s="1"/>
  <c r="G52" i="13" a="1"/>
  <c r="G52" i="13" s="1"/>
  <c r="G53" i="13" a="1"/>
  <c r="G53" i="13"/>
  <c r="G54" i="13" a="1"/>
  <c r="G54" i="13" s="1"/>
  <c r="G55" i="13" a="1"/>
  <c r="G55" i="13" s="1"/>
  <c r="G56" i="13" a="1"/>
  <c r="G56" i="13" s="1"/>
  <c r="G57" i="13" a="1"/>
  <c r="G57" i="13" s="1"/>
  <c r="G58" i="13" a="1"/>
  <c r="G58" i="13"/>
  <c r="G59" i="13" a="1"/>
  <c r="G59" i="13" s="1"/>
  <c r="G60" i="13" a="1"/>
  <c r="G60" i="13" s="1"/>
  <c r="G61" i="13" a="1"/>
  <c r="G61" i="13" s="1"/>
  <c r="G62" i="13" a="1"/>
  <c r="G62" i="13"/>
  <c r="G63" i="13" a="1"/>
  <c r="G63" i="13" s="1"/>
  <c r="G64" i="13" a="1"/>
  <c r="G64" i="13" s="1"/>
  <c r="G65" i="13" a="1"/>
  <c r="G65" i="13"/>
  <c r="G66" i="13" a="1"/>
  <c r="G66" i="13" s="1"/>
  <c r="G67" i="13" a="1"/>
  <c r="G67" i="13" s="1"/>
  <c r="G68" i="13" a="1"/>
  <c r="G68" i="13" s="1"/>
  <c r="G69" i="13" a="1"/>
  <c r="G69" i="13" s="1"/>
  <c r="G70" i="13" a="1"/>
  <c r="G70" i="13"/>
  <c r="G71" i="13" a="1"/>
  <c r="G71" i="13" s="1"/>
  <c r="G72" i="13" a="1"/>
  <c r="G72" i="13" s="1"/>
  <c r="G73" i="13" a="1"/>
  <c r="G73" i="13" s="1"/>
  <c r="G74" i="13" a="1"/>
  <c r="G74" i="13" s="1"/>
  <c r="G75" i="13" a="1"/>
  <c r="G75" i="13" s="1"/>
  <c r="G76" i="13" a="1"/>
  <c r="G76" i="13" s="1"/>
  <c r="G77" i="13" a="1"/>
  <c r="G77" i="13" s="1"/>
  <c r="G78" i="13" a="1"/>
  <c r="G78" i="13" s="1"/>
  <c r="G79" i="13" a="1"/>
  <c r="G79" i="13" s="1"/>
  <c r="G80" i="13" a="1"/>
  <c r="G80" i="13" s="1"/>
  <c r="G81" i="13" a="1"/>
  <c r="G81" i="13"/>
  <c r="G82" i="13" a="1"/>
  <c r="G82" i="13" s="1"/>
  <c r="G83" i="13" a="1"/>
  <c r="G83" i="13" s="1"/>
  <c r="G84" i="13" a="1"/>
  <c r="G84" i="13" s="1"/>
  <c r="G85" i="13" a="1"/>
  <c r="G85" i="13" s="1"/>
  <c r="G86" i="13" a="1"/>
  <c r="G86" i="13" s="1"/>
  <c r="G87" i="13" a="1"/>
  <c r="G87" i="13" s="1"/>
  <c r="G88" i="13" a="1"/>
  <c r="G88" i="13" s="1"/>
  <c r="G89" i="13" a="1"/>
  <c r="G89" i="13" s="1"/>
  <c r="G90" i="13" a="1"/>
  <c r="G90" i="13" s="1"/>
  <c r="G91" i="13" a="1"/>
  <c r="G91" i="13" s="1"/>
  <c r="G92" i="13" a="1"/>
  <c r="G92" i="13" s="1"/>
  <c r="G93" i="13" a="1"/>
  <c r="G93" i="13"/>
  <c r="G94" i="13" a="1"/>
  <c r="G94" i="13" s="1"/>
  <c r="G95" i="13" a="1"/>
  <c r="G95" i="13" s="1"/>
  <c r="G96" i="13" a="1"/>
  <c r="G96" i="13" s="1"/>
  <c r="G97" i="13" a="1"/>
  <c r="G97" i="13"/>
  <c r="G98" i="13" a="1"/>
  <c r="G98" i="13"/>
  <c r="G99" i="13" a="1"/>
  <c r="G99" i="13" s="1"/>
  <c r="G100" i="13" a="1"/>
  <c r="G100" i="13" s="1"/>
  <c r="G101" i="13" a="1"/>
  <c r="G101" i="13" s="1"/>
  <c r="G102" i="13" a="1"/>
  <c r="G102" i="13" s="1"/>
  <c r="G103" i="13" a="1"/>
  <c r="G103" i="13"/>
  <c r="G104" i="13" a="1"/>
  <c r="G104" i="13" s="1"/>
  <c r="G105" i="13" a="1"/>
  <c r="G105" i="13" s="1"/>
  <c r="G106" i="13" a="1"/>
  <c r="G106" i="13" s="1"/>
  <c r="G107" i="13" a="1"/>
  <c r="G107" i="13"/>
  <c r="G108" i="13" a="1"/>
  <c r="G108" i="13" s="1"/>
  <c r="G109" i="13" a="1"/>
  <c r="G109" i="13" s="1"/>
  <c r="G110" i="13" a="1"/>
  <c r="G110" i="13" s="1"/>
  <c r="G111" i="13" a="1"/>
  <c r="G111" i="13"/>
  <c r="G112" i="13" a="1"/>
  <c r="G112" i="13" s="1"/>
  <c r="G113" i="13" a="1"/>
  <c r="G113" i="13"/>
  <c r="G114" i="13" a="1"/>
  <c r="G114" i="13" s="1"/>
  <c r="G115" i="13" a="1"/>
  <c r="G115" i="13" s="1"/>
  <c r="G116" i="13" a="1"/>
  <c r="G116" i="13" s="1"/>
  <c r="G117" i="13" a="1"/>
  <c r="G117" i="13" s="1"/>
  <c r="G118" i="13" a="1"/>
  <c r="G118" i="13" s="1"/>
  <c r="G119" i="13" a="1"/>
  <c r="G119" i="13" s="1"/>
  <c r="G120" i="13" a="1"/>
  <c r="G120" i="13" s="1"/>
  <c r="G121" i="13" a="1"/>
  <c r="G121" i="13" s="1"/>
  <c r="G122" i="13" a="1"/>
  <c r="G122" i="13"/>
  <c r="G123" i="13" a="1"/>
  <c r="G123" i="13" s="1"/>
  <c r="G124" i="13" a="1"/>
  <c r="G124" i="13" s="1"/>
  <c r="G125" i="13" a="1"/>
  <c r="G125" i="13" s="1"/>
  <c r="G126" i="13" a="1"/>
  <c r="G126" i="13" s="1"/>
  <c r="G127" i="13" a="1"/>
  <c r="G127" i="13" s="1"/>
  <c r="G128" i="13" a="1"/>
  <c r="G128" i="13" s="1"/>
  <c r="G129" i="13" a="1"/>
  <c r="G129" i="13"/>
  <c r="G130" i="13" a="1"/>
  <c r="G130" i="13"/>
  <c r="G131" i="13" a="1"/>
  <c r="G131" i="13" s="1"/>
  <c r="G132" i="13" a="1"/>
  <c r="G132" i="13" s="1"/>
  <c r="G133" i="13" a="1"/>
  <c r="G133" i="13" s="1"/>
  <c r="G134" i="13" a="1"/>
  <c r="G134" i="13"/>
  <c r="G135" i="13" a="1"/>
  <c r="G135" i="13"/>
  <c r="G136" i="13" a="1"/>
  <c r="G136" i="13" s="1"/>
  <c r="G137" i="13" a="1"/>
  <c r="G137" i="13" s="1"/>
  <c r="G138" i="13" a="1"/>
  <c r="G138" i="13"/>
  <c r="G139" i="13" a="1"/>
  <c r="G139" i="13" s="1"/>
  <c r="G140" i="13" a="1"/>
  <c r="G140" i="13" s="1"/>
  <c r="G141" i="13" a="1"/>
  <c r="G141" i="13" s="1"/>
  <c r="G142" i="13" a="1"/>
  <c r="G142" i="13" s="1"/>
  <c r="G143" i="13" a="1"/>
  <c r="G143" i="13" s="1"/>
  <c r="G144" i="13" a="1"/>
  <c r="G144" i="13" s="1"/>
  <c r="G145" i="13" a="1"/>
  <c r="G145" i="13" s="1"/>
  <c r="G146" i="13" a="1"/>
  <c r="G146" i="13" s="1"/>
  <c r="G147" i="13" a="1"/>
  <c r="G147" i="13"/>
  <c r="G148" i="13" a="1"/>
  <c r="G148" i="13" s="1"/>
  <c r="G149" i="13" a="1"/>
  <c r="G149" i="13"/>
  <c r="G150" i="13" a="1"/>
  <c r="G150" i="13" s="1"/>
  <c r="G151" i="13" a="1"/>
  <c r="G151" i="13" s="1"/>
  <c r="G152" i="13" a="1"/>
  <c r="G152" i="13" s="1"/>
  <c r="G153" i="13" a="1"/>
  <c r="G153" i="13"/>
  <c r="G154" i="13" a="1"/>
  <c r="G154" i="13" s="1"/>
  <c r="G155" i="13" a="1"/>
  <c r="G155" i="13" s="1"/>
  <c r="G156" i="13" a="1"/>
  <c r="G156" i="13" s="1"/>
  <c r="G157" i="13" a="1"/>
  <c r="G157" i="13" s="1"/>
  <c r="G158" i="13" a="1"/>
  <c r="G158" i="13" s="1"/>
  <c r="G159" i="13" a="1"/>
  <c r="G159" i="13" s="1"/>
  <c r="G160" i="13" a="1"/>
  <c r="G160" i="13" s="1"/>
  <c r="G161" i="13" a="1"/>
  <c r="G161" i="13" s="1"/>
  <c r="G162" i="13" a="1"/>
  <c r="G162" i="13" s="1"/>
  <c r="G163" i="13" a="1"/>
  <c r="G163" i="13"/>
  <c r="G164" i="13" a="1"/>
  <c r="G164" i="13" s="1"/>
  <c r="G165" i="13" a="1"/>
  <c r="G165" i="13" s="1"/>
  <c r="G166" i="13" a="1"/>
  <c r="G166" i="13" s="1"/>
  <c r="G167" i="13" a="1"/>
  <c r="G167" i="13"/>
  <c r="G168" i="13" a="1"/>
  <c r="G168" i="13" s="1"/>
  <c r="G169" i="13" a="1"/>
  <c r="G169" i="13" s="1"/>
  <c r="G170" i="13" a="1"/>
  <c r="G170" i="13" s="1"/>
  <c r="G171" i="13" a="1"/>
  <c r="G171" i="13" s="1"/>
  <c r="G172" i="13" a="1"/>
  <c r="G172" i="13" s="1"/>
  <c r="G173" i="13" a="1"/>
  <c r="G173" i="13" s="1"/>
  <c r="G174" i="13" a="1"/>
  <c r="G174" i="13" s="1"/>
  <c r="G175" i="13" a="1"/>
  <c r="G175" i="13" s="1"/>
  <c r="G176" i="13" a="1"/>
  <c r="G176" i="13" s="1"/>
  <c r="G177" i="13" a="1"/>
  <c r="G177" i="13" s="1"/>
  <c r="G178" i="13" a="1"/>
  <c r="G178" i="13" s="1"/>
  <c r="G179" i="13" a="1"/>
  <c r="G179" i="13"/>
  <c r="G180" i="13" a="1"/>
  <c r="G180" i="13" s="1"/>
  <c r="G181" i="13" a="1"/>
  <c r="G181" i="13" s="1"/>
  <c r="G182" i="13" a="1"/>
  <c r="G182" i="13" s="1"/>
  <c r="G183" i="13" a="1"/>
  <c r="G183" i="13" s="1"/>
  <c r="G184" i="13" a="1"/>
  <c r="G184" i="13" s="1"/>
  <c r="G185" i="13" a="1"/>
  <c r="G185" i="13" s="1"/>
  <c r="G186" i="13" a="1"/>
  <c r="G186" i="13" s="1"/>
  <c r="G187" i="13" a="1"/>
  <c r="G187" i="13" s="1"/>
  <c r="G188" i="13" a="1"/>
  <c r="G188" i="13" s="1"/>
  <c r="G189" i="13" a="1"/>
  <c r="G189" i="13" s="1"/>
  <c r="G190" i="13" a="1"/>
  <c r="G190" i="13"/>
  <c r="G191" i="13" a="1"/>
  <c r="G191" i="13" s="1"/>
  <c r="G192" i="13" a="1"/>
  <c r="G192" i="13" s="1"/>
  <c r="G193" i="13" a="1"/>
  <c r="G193" i="13"/>
  <c r="G194" i="13" a="1"/>
  <c r="G194" i="13" s="1"/>
  <c r="G195" i="13" a="1"/>
  <c r="G195" i="13"/>
  <c r="G196" i="13" a="1"/>
  <c r="G196" i="13" s="1"/>
  <c r="G197" i="13" a="1"/>
  <c r="G197" i="13" s="1"/>
  <c r="G198" i="13" a="1"/>
  <c r="G198" i="13"/>
  <c r="G199" i="13" a="1"/>
  <c r="G199" i="13" s="1"/>
  <c r="G200" i="13" a="1"/>
  <c r="G200" i="13" s="1"/>
  <c r="G201" i="13" a="1"/>
  <c r="G201" i="13" s="1"/>
  <c r="G202" i="13" a="1"/>
  <c r="G202" i="13" s="1"/>
  <c r="G203" i="13" a="1"/>
  <c r="G203" i="13"/>
  <c r="G204" i="13" a="1"/>
  <c r="G204" i="13" s="1"/>
  <c r="G205" i="13" a="1"/>
  <c r="G205" i="13" s="1"/>
  <c r="G206" i="13" a="1"/>
  <c r="G206" i="13" s="1"/>
  <c r="G207" i="13" a="1"/>
  <c r="G207" i="13" s="1"/>
  <c r="G208" i="13" a="1"/>
  <c r="G208" i="13" s="1"/>
  <c r="G209" i="13" a="1"/>
  <c r="G209" i="13"/>
  <c r="G210" i="13" a="1"/>
  <c r="G210" i="13" s="1"/>
  <c r="G211" i="13" a="1"/>
  <c r="G211" i="13"/>
  <c r="G212" i="13" a="1"/>
  <c r="G212" i="13" s="1"/>
  <c r="G213" i="13" a="1"/>
  <c r="G213" i="13" s="1"/>
  <c r="G214" i="13" a="1"/>
  <c r="G214" i="13" s="1"/>
  <c r="G215" i="13" a="1"/>
  <c r="G215" i="13" s="1"/>
  <c r="G216" i="13" a="1"/>
  <c r="G216" i="13" s="1"/>
  <c r="G217" i="13" a="1"/>
  <c r="G217" i="13"/>
  <c r="G218" i="13" a="1"/>
  <c r="G218" i="13" s="1"/>
  <c r="G219" i="13" a="1"/>
  <c r="G219" i="13" s="1"/>
  <c r="G220" i="13" a="1"/>
  <c r="G220" i="13" s="1"/>
  <c r="G221" i="13" a="1"/>
  <c r="G221" i="13" s="1"/>
  <c r="G222" i="13" a="1"/>
  <c r="G222" i="13"/>
  <c r="G223" i="13" a="1"/>
  <c r="G223" i="13" s="1"/>
  <c r="G224" i="13" a="1"/>
  <c r="G224" i="13" s="1"/>
  <c r="G225" i="13" a="1"/>
  <c r="G225" i="13" s="1"/>
  <c r="G226" i="13" a="1"/>
  <c r="G226" i="13" s="1"/>
  <c r="G227" i="13" a="1"/>
  <c r="G227" i="13" s="1"/>
  <c r="G228" i="13" a="1"/>
  <c r="G228" i="13" s="1"/>
  <c r="G229" i="13" a="1"/>
  <c r="G229" i="13" s="1"/>
  <c r="G230" i="13" a="1"/>
  <c r="G230" i="13" s="1"/>
  <c r="G231" i="13" a="1"/>
  <c r="G231" i="13" s="1"/>
  <c r="G232" i="13" a="1"/>
  <c r="G232" i="13" s="1"/>
  <c r="G233" i="13" a="1"/>
  <c r="G233" i="13" s="1"/>
  <c r="G234" i="13" a="1"/>
  <c r="G234" i="13" s="1"/>
  <c r="G235" i="13" a="1"/>
  <c r="G235" i="13" s="1"/>
  <c r="G236" i="13" a="1"/>
  <c r="G236" i="13" s="1"/>
  <c r="G237" i="13" a="1"/>
  <c r="G237" i="13" s="1"/>
  <c r="G238" i="13" a="1"/>
  <c r="G238" i="13" s="1"/>
  <c r="G239" i="13" a="1"/>
  <c r="G239" i="13" s="1"/>
  <c r="G240" i="13" a="1"/>
  <c r="G240" i="13" s="1"/>
  <c r="G241" i="13" a="1"/>
  <c r="G241" i="13" s="1"/>
  <c r="G242" i="13" a="1"/>
  <c r="G242" i="13" s="1"/>
  <c r="G243" i="13" a="1"/>
  <c r="G243" i="13"/>
  <c r="G244" i="13" a="1"/>
  <c r="G244" i="13" s="1"/>
  <c r="G245" i="13" a="1"/>
  <c r="G245" i="13" s="1"/>
  <c r="G246" i="13" a="1"/>
  <c r="G246" i="13" s="1"/>
  <c r="G247" i="13" a="1"/>
  <c r="G247" i="13" s="1"/>
  <c r="G248" i="13" a="1"/>
  <c r="G248" i="13" s="1"/>
  <c r="G249" i="13" a="1"/>
  <c r="G249" i="13"/>
  <c r="G250" i="13" a="1"/>
  <c r="G250" i="13" s="1"/>
  <c r="G251" i="13" a="1"/>
  <c r="G251" i="13" s="1"/>
  <c r="G252" i="13" a="1"/>
  <c r="G252" i="13" s="1"/>
  <c r="G253" i="13" a="1"/>
  <c r="G253" i="13"/>
  <c r="G254" i="13" a="1"/>
  <c r="G254" i="13"/>
  <c r="G255" i="13" a="1"/>
  <c r="G255" i="13" s="1"/>
  <c r="G256" i="13" a="1"/>
  <c r="G256" i="13" s="1"/>
  <c r="G257" i="13" a="1"/>
  <c r="G257" i="13" s="1"/>
  <c r="G258" i="13" a="1"/>
  <c r="G258" i="13" s="1"/>
  <c r="G259" i="13" a="1"/>
  <c r="G259" i="13" s="1"/>
  <c r="G260" i="13" a="1"/>
  <c r="G260" i="13" s="1"/>
  <c r="G261" i="13" a="1"/>
  <c r="G261" i="13" s="1"/>
  <c r="G262" i="13" a="1"/>
  <c r="G262" i="13" s="1"/>
  <c r="G263" i="13" a="1"/>
  <c r="G263" i="13" s="1"/>
  <c r="G264" i="13" a="1"/>
  <c r="G264" i="13" s="1"/>
  <c r="G265" i="13" a="1"/>
  <c r="G265" i="13" s="1"/>
  <c r="G266" i="13" a="1"/>
  <c r="G266" i="13"/>
  <c r="G267" i="13" a="1"/>
  <c r="G267" i="13" s="1"/>
  <c r="G268" i="13" a="1"/>
  <c r="G268" i="13" s="1"/>
  <c r="G269" i="13" a="1"/>
  <c r="G269" i="13" s="1"/>
  <c r="G270" i="13" a="1"/>
  <c r="G270" i="13" s="1"/>
  <c r="G271" i="13" a="1"/>
  <c r="G271" i="13" s="1"/>
  <c r="G272" i="13" a="1"/>
  <c r="G272" i="13" s="1"/>
  <c r="G273" i="13" a="1"/>
  <c r="G273" i="13" s="1"/>
  <c r="G274" i="13" a="1"/>
  <c r="G274" i="13" s="1"/>
  <c r="G275" i="13" a="1"/>
  <c r="G275" i="13" s="1"/>
  <c r="G276" i="13" a="1"/>
  <c r="G276" i="13" s="1"/>
  <c r="G277" i="13" a="1"/>
  <c r="G277" i="13"/>
  <c r="G278" i="13" a="1"/>
  <c r="G278" i="13" s="1"/>
  <c r="G279" i="13" a="1"/>
  <c r="G279" i="13" s="1"/>
  <c r="G280" i="13" a="1"/>
  <c r="G280" i="13" s="1"/>
  <c r="G281" i="13" a="1"/>
  <c r="G281" i="13" s="1"/>
  <c r="G282" i="13" a="1"/>
  <c r="G282" i="13" s="1"/>
  <c r="G283" i="13" a="1"/>
  <c r="G283" i="13"/>
  <c r="G284" i="13" a="1"/>
  <c r="G284" i="13" s="1"/>
  <c r="G285" i="13" a="1"/>
  <c r="G285" i="13"/>
  <c r="G286" i="13" a="1"/>
  <c r="G286" i="13"/>
  <c r="G287" i="13" a="1"/>
  <c r="G287" i="13" s="1"/>
  <c r="G288" i="13" a="1"/>
  <c r="G288" i="13" s="1"/>
  <c r="G289" i="13" a="1"/>
  <c r="G289" i="13" s="1"/>
  <c r="G290" i="13" a="1"/>
  <c r="G290" i="13"/>
  <c r="G291" i="13" a="1"/>
  <c r="G291" i="13" s="1"/>
  <c r="G292" i="13" a="1"/>
  <c r="G292" i="13" s="1"/>
  <c r="G293" i="13" a="1"/>
  <c r="G293" i="13" s="1"/>
  <c r="G294" i="13" a="1"/>
  <c r="G294" i="13" s="1"/>
  <c r="G295" i="13" a="1"/>
  <c r="G295" i="13"/>
  <c r="G296" i="13" a="1"/>
  <c r="G296" i="13" s="1"/>
  <c r="G297" i="13" a="1"/>
  <c r="G297" i="13"/>
  <c r="G298" i="13" a="1"/>
  <c r="G298" i="13"/>
  <c r="G299" i="13" a="1"/>
  <c r="G299" i="13" s="1"/>
  <c r="G300" i="13" a="1"/>
  <c r="G300" i="13" s="1"/>
  <c r="G301" i="13" a="1"/>
  <c r="G301" i="13" s="1"/>
  <c r="G302" i="13" a="1"/>
  <c r="G302" i="13" s="1"/>
  <c r="G303" i="13" a="1"/>
  <c r="G303" i="13"/>
  <c r="G304" i="13" a="1"/>
  <c r="G304" i="13" s="1"/>
  <c r="G305" i="13" a="1"/>
  <c r="G305" i="13" s="1"/>
  <c r="G306" i="13" a="1"/>
  <c r="G306" i="13" s="1"/>
  <c r="G307" i="13" a="1"/>
  <c r="G307" i="13"/>
  <c r="G308" i="13" a="1"/>
  <c r="G308" i="13" s="1"/>
  <c r="G309" i="13" a="1"/>
  <c r="G309" i="13" s="1"/>
  <c r="G310" i="13" a="1"/>
  <c r="G310" i="13" s="1"/>
  <c r="G311" i="13" a="1"/>
  <c r="G311" i="13" s="1"/>
  <c r="G312" i="13" a="1"/>
  <c r="G312" i="13" s="1"/>
  <c r="G313" i="13" a="1"/>
  <c r="G313" i="13" s="1"/>
  <c r="G314" i="13" a="1"/>
  <c r="G314" i="13" s="1"/>
  <c r="G315" i="13" a="1"/>
  <c r="G315" i="13" s="1"/>
  <c r="G316" i="13" a="1"/>
  <c r="G316" i="13" s="1"/>
  <c r="G317" i="13" a="1"/>
  <c r="G317" i="13" s="1"/>
  <c r="G318" i="13" a="1"/>
  <c r="G318" i="13" s="1"/>
  <c r="G319" i="13" a="1"/>
  <c r="G319" i="13" s="1"/>
  <c r="G320" i="13" a="1"/>
  <c r="G320" i="13" s="1"/>
  <c r="G321" i="13" a="1"/>
  <c r="G321" i="13"/>
  <c r="G322" i="13" a="1"/>
  <c r="G322" i="13" s="1"/>
  <c r="G323" i="13" a="1"/>
  <c r="G323" i="13"/>
  <c r="G324" i="13" a="1"/>
  <c r="G324" i="13" s="1"/>
  <c r="G325" i="13" a="1"/>
  <c r="G325" i="13" s="1"/>
  <c r="G326" i="13" a="1"/>
  <c r="G326" i="13" s="1"/>
  <c r="G327" i="13" a="1"/>
  <c r="G327" i="13" s="1"/>
  <c r="G328" i="13" a="1"/>
  <c r="G328" i="13" s="1"/>
  <c r="G329" i="13" a="1"/>
  <c r="G329" i="13"/>
  <c r="G330" i="13" a="1"/>
  <c r="G330" i="13" s="1"/>
  <c r="G331" i="13" a="1"/>
  <c r="G331" i="13" s="1"/>
  <c r="G332" i="13" a="1"/>
  <c r="G332" i="13" s="1"/>
  <c r="G333" i="13" a="1"/>
  <c r="G333" i="13" s="1"/>
  <c r="G334" i="13" a="1"/>
  <c r="G334" i="13" s="1"/>
  <c r="G335" i="13" a="1"/>
  <c r="G335" i="13" s="1"/>
  <c r="G336" i="13" a="1"/>
  <c r="G336" i="13" s="1"/>
  <c r="G337" i="13" a="1"/>
  <c r="G337" i="13" s="1"/>
  <c r="G338" i="13" a="1"/>
  <c r="G338" i="13" s="1"/>
  <c r="G339" i="13" a="1"/>
  <c r="G339" i="13" s="1"/>
  <c r="G340" i="13" a="1"/>
  <c r="G340" i="13" s="1"/>
  <c r="G341" i="13" a="1"/>
  <c r="G341" i="13"/>
  <c r="G342" i="13" a="1"/>
  <c r="G342" i="13" s="1"/>
  <c r="G343" i="13" a="1"/>
  <c r="G343" i="13" s="1"/>
  <c r="G344" i="13" a="1"/>
  <c r="G344" i="13"/>
  <c r="G345" i="13" a="1"/>
  <c r="G345" i="13" s="1"/>
  <c r="G346" i="13" a="1"/>
  <c r="G346" i="13" s="1"/>
  <c r="G347" i="13" a="1"/>
  <c r="G347" i="13" s="1"/>
  <c r="G348" i="13" a="1"/>
  <c r="G348" i="13" s="1"/>
  <c r="G349" i="13" a="1"/>
  <c r="G349" i="13" s="1"/>
  <c r="G350" i="13" a="1"/>
  <c r="G350" i="13" s="1"/>
  <c r="G351" i="13" a="1"/>
  <c r="G351" i="13" s="1"/>
  <c r="G352" i="13" a="1"/>
  <c r="G352" i="13"/>
  <c r="G353" i="13" a="1"/>
  <c r="G353" i="13" s="1"/>
  <c r="G354" i="13" a="1"/>
  <c r="G354" i="13" s="1"/>
  <c r="G355" i="13" a="1"/>
  <c r="G355" i="13" s="1"/>
  <c r="G356" i="13" a="1"/>
  <c r="G356" i="13" s="1"/>
  <c r="G357" i="13" a="1"/>
  <c r="G357" i="13"/>
  <c r="G358" i="13" a="1"/>
  <c r="G358" i="13" s="1"/>
  <c r="G359" i="13" a="1"/>
  <c r="G359" i="13" s="1"/>
  <c r="G360" i="13" a="1"/>
  <c r="G360" i="13"/>
  <c r="G361" i="13" a="1"/>
  <c r="G361" i="13" s="1"/>
  <c r="G362" i="13" a="1"/>
  <c r="G362" i="13" s="1"/>
  <c r="G363" i="13" a="1"/>
  <c r="G363" i="13" s="1"/>
  <c r="G364" i="13" a="1"/>
  <c r="G364" i="13" s="1"/>
  <c r="G365" i="13" a="1"/>
  <c r="G365" i="13"/>
  <c r="G366" i="13" a="1"/>
  <c r="G366" i="13" s="1"/>
  <c r="G367" i="13" a="1"/>
  <c r="G367" i="13" s="1"/>
  <c r="G368" i="13" a="1"/>
  <c r="G368" i="13" s="1"/>
  <c r="G369" i="13" a="1"/>
  <c r="G369" i="13" s="1"/>
  <c r="G370" i="13" a="1"/>
  <c r="G370" i="13" s="1"/>
  <c r="G371" i="13" a="1"/>
  <c r="G371" i="13" s="1"/>
  <c r="G372" i="13" a="1"/>
  <c r="G372" i="13" s="1"/>
  <c r="G373" i="13" a="1"/>
  <c r="G373" i="13"/>
  <c r="G374" i="13" a="1"/>
  <c r="G374" i="13" s="1"/>
  <c r="G375" i="13" a="1"/>
  <c r="G375" i="13" s="1"/>
  <c r="G376" i="13" a="1"/>
  <c r="G376" i="13"/>
  <c r="G377" i="13" a="1"/>
  <c r="G377" i="13" s="1"/>
  <c r="G378" i="13" a="1"/>
  <c r="G378" i="13" s="1"/>
  <c r="G379" i="13" a="1"/>
  <c r="G379" i="13" s="1"/>
  <c r="G380" i="13" a="1"/>
  <c r="G380" i="13" s="1"/>
  <c r="G381" i="13" a="1"/>
  <c r="G381" i="13" s="1"/>
  <c r="G382" i="13" a="1"/>
  <c r="G382" i="13" s="1"/>
  <c r="G383" i="13" a="1"/>
  <c r="G383" i="13" s="1"/>
  <c r="G384" i="13" a="1"/>
  <c r="G384" i="13"/>
  <c r="G385" i="13" a="1"/>
  <c r="G385" i="13" s="1"/>
  <c r="G386" i="13" a="1"/>
  <c r="G386" i="13" s="1"/>
  <c r="G387" i="13" a="1"/>
  <c r="G387" i="13" s="1"/>
  <c r="G388" i="13" a="1"/>
  <c r="G388" i="13" s="1"/>
  <c r="G389" i="13" a="1"/>
  <c r="G389" i="13"/>
  <c r="G390" i="13" a="1"/>
  <c r="G390" i="13" s="1"/>
  <c r="G391" i="13" a="1"/>
  <c r="G391" i="13" s="1"/>
  <c r="G392" i="13" a="1"/>
  <c r="G392" i="13"/>
  <c r="G3" i="13" a="1"/>
  <c r="G3" i="13" s="1"/>
  <c r="G3" i="1" a="1"/>
  <c r="G3" i="1" s="1"/>
  <c r="B1" i="31"/>
  <c r="C1" i="31" s="1"/>
  <c r="O2" i="31"/>
  <c r="P2" i="31" s="1"/>
  <c r="Q2" i="31" s="1"/>
  <c r="R2" i="31"/>
  <c r="S2" i="31" s="1"/>
  <c r="O3" i="31"/>
  <c r="P3" i="31"/>
  <c r="Q3" i="31" s="1"/>
  <c r="R3" i="31" s="1"/>
  <c r="S3" i="31" s="1"/>
  <c r="O4" i="31"/>
  <c r="P4" i="31"/>
  <c r="Q4" i="31" s="1"/>
  <c r="R4" i="31" s="1"/>
  <c r="S4" i="31" s="1"/>
  <c r="O5" i="31"/>
  <c r="P5" i="31" s="1"/>
  <c r="Q5" i="31" s="1"/>
  <c r="R5" i="31" s="1"/>
  <c r="S5" i="31"/>
  <c r="O6" i="31"/>
  <c r="P6" i="31" s="1"/>
  <c r="Q6" i="31" s="1"/>
  <c r="R6" i="31"/>
  <c r="S6" i="31" s="1"/>
  <c r="O7" i="31"/>
  <c r="P7" i="31"/>
  <c r="Q7" i="31"/>
  <c r="R7" i="31"/>
  <c r="S7" i="31"/>
  <c r="O8" i="31"/>
  <c r="P8" i="31"/>
  <c r="Q8" i="31" s="1"/>
  <c r="R8" i="31" s="1"/>
  <c r="S8" i="31" s="1"/>
  <c r="O9" i="31"/>
  <c r="P9" i="31" s="1"/>
  <c r="Q9" i="31" s="1"/>
  <c r="R9" i="31" s="1"/>
  <c r="S9" i="31" s="1"/>
  <c r="O10" i="31"/>
  <c r="P10" i="31" s="1"/>
  <c r="Q10" i="31" s="1"/>
  <c r="R10" i="31" s="1"/>
  <c r="S10" i="31" s="1"/>
  <c r="O11" i="31"/>
  <c r="P11" i="31" s="1"/>
  <c r="Q11" i="31" s="1"/>
  <c r="R11" i="31" s="1"/>
  <c r="S11" i="31" s="1"/>
  <c r="O12" i="31"/>
  <c r="P12" i="31"/>
  <c r="Q12" i="31"/>
  <c r="R12" i="31" s="1"/>
  <c r="S12" i="31"/>
  <c r="O13" i="31"/>
  <c r="P13" i="31" s="1"/>
  <c r="Q13" i="31" s="1"/>
  <c r="R13" i="31" s="1"/>
  <c r="S13" i="31" s="1"/>
  <c r="O14" i="31"/>
  <c r="P14" i="31" s="1"/>
  <c r="Q14" i="31"/>
  <c r="R14" i="31" s="1"/>
  <c r="S14" i="31" s="1"/>
  <c r="O15" i="31"/>
  <c r="P15" i="31"/>
  <c r="Q15" i="31"/>
  <c r="R15" i="31" s="1"/>
  <c r="S15" i="31" s="1"/>
  <c r="O16" i="31"/>
  <c r="P16" i="31"/>
  <c r="Q16" i="31" s="1"/>
  <c r="R16" i="31" s="1"/>
  <c r="S16" i="31" s="1"/>
  <c r="O17" i="31"/>
  <c r="P17" i="31"/>
  <c r="Q17" i="31" s="1"/>
  <c r="R17" i="31" s="1"/>
  <c r="S17" i="31" s="1"/>
  <c r="O18" i="31"/>
  <c r="P18" i="31" s="1"/>
  <c r="Q18" i="31" s="1"/>
  <c r="R18" i="31" s="1"/>
  <c r="S18" i="31" s="1"/>
  <c r="O19" i="31"/>
  <c r="P19" i="31" s="1"/>
  <c r="Q19" i="31" s="1"/>
  <c r="R19" i="31" s="1"/>
  <c r="S19" i="31" s="1"/>
  <c r="O20" i="31"/>
  <c r="P20" i="31"/>
  <c r="Q20" i="31"/>
  <c r="R20" i="31" s="1"/>
  <c r="S20" i="31"/>
  <c r="O21" i="31"/>
  <c r="P21" i="31" s="1"/>
  <c r="Q21" i="31" s="1"/>
  <c r="R21" i="31" s="1"/>
  <c r="S21" i="31"/>
  <c r="O22" i="31"/>
  <c r="P22" i="31" s="1"/>
  <c r="Q22" i="31" s="1"/>
  <c r="R22" i="31" s="1"/>
  <c r="S22" i="31" s="1"/>
  <c r="O23" i="31"/>
  <c r="P23" i="31"/>
  <c r="Q23" i="31"/>
  <c r="R23" i="31" s="1"/>
  <c r="S23" i="31" s="1"/>
  <c r="O24" i="31"/>
  <c r="P24" i="31" s="1"/>
  <c r="Q24" i="31" s="1"/>
  <c r="R24" i="31" s="1"/>
  <c r="S24" i="31" s="1"/>
  <c r="O25" i="31"/>
  <c r="P25" i="31" s="1"/>
  <c r="Q25" i="31" s="1"/>
  <c r="R25" i="31" s="1"/>
  <c r="S25" i="31" s="1"/>
  <c r="O26" i="31"/>
  <c r="P26" i="31" s="1"/>
  <c r="Q26" i="31" s="1"/>
  <c r="R26" i="31" s="1"/>
  <c r="S26" i="31" s="1"/>
  <c r="O27" i="31"/>
  <c r="P27" i="31" s="1"/>
  <c r="Q27" i="31" s="1"/>
  <c r="R27" i="31" s="1"/>
  <c r="S27" i="31" s="1"/>
  <c r="O28" i="31"/>
  <c r="P28" i="31"/>
  <c r="Q28" i="31"/>
  <c r="R28" i="31" s="1"/>
  <c r="S28" i="31" s="1"/>
  <c r="O29" i="31"/>
  <c r="P29" i="31" s="1"/>
  <c r="Q29" i="31" s="1"/>
  <c r="R29" i="31" s="1"/>
  <c r="S29" i="31" s="1"/>
  <c r="O30" i="31"/>
  <c r="P30" i="31" s="1"/>
  <c r="Q30" i="31" s="1"/>
  <c r="R30" i="31" s="1"/>
  <c r="S30" i="31" s="1"/>
  <c r="O31" i="31"/>
  <c r="P31" i="31"/>
  <c r="Q31" i="31"/>
  <c r="R31" i="31" s="1"/>
  <c r="S31" i="31"/>
  <c r="O32" i="31"/>
  <c r="P32" i="31"/>
  <c r="Q32" i="31" s="1"/>
  <c r="R32" i="31" s="1"/>
  <c r="S32" i="31" s="1"/>
  <c r="O33" i="31"/>
  <c r="P33" i="31" s="1"/>
  <c r="Q33" i="31" s="1"/>
  <c r="R33" i="31" s="1"/>
  <c r="S33" i="31" s="1"/>
  <c r="O34" i="31"/>
  <c r="P34" i="31" s="1"/>
  <c r="Q34" i="31" s="1"/>
  <c r="R34" i="31"/>
  <c r="S34" i="31" s="1"/>
  <c r="O35" i="31"/>
  <c r="P35" i="31" s="1"/>
  <c r="Q35" i="31" s="1"/>
  <c r="R35" i="31" s="1"/>
  <c r="S35" i="31" s="1"/>
  <c r="O36" i="31"/>
  <c r="P36" i="31"/>
  <c r="Q36" i="31"/>
  <c r="R36" i="31" s="1"/>
  <c r="S36" i="31" s="1"/>
  <c r="O37" i="31"/>
  <c r="P37" i="31" s="1"/>
  <c r="Q37" i="31" s="1"/>
  <c r="R37" i="31" s="1"/>
  <c r="S37" i="31"/>
  <c r="O38" i="31"/>
  <c r="P38" i="31"/>
  <c r="Q38" i="31" s="1"/>
  <c r="R38" i="31"/>
  <c r="S38" i="31" s="1"/>
  <c r="O39" i="31"/>
  <c r="P39" i="31"/>
  <c r="Q39" i="31"/>
  <c r="R39" i="31" s="1"/>
  <c r="S39" i="31" s="1"/>
  <c r="O40" i="31"/>
  <c r="P40" i="31" s="1"/>
  <c r="Q40" i="31" s="1"/>
  <c r="R40" i="31" s="1"/>
  <c r="S40" i="31" s="1"/>
  <c r="O41" i="31"/>
  <c r="P41" i="31"/>
  <c r="Q41" i="31" s="1"/>
  <c r="R41" i="31" s="1"/>
  <c r="S41" i="31" s="1"/>
  <c r="O42" i="31"/>
  <c r="P42" i="31" s="1"/>
  <c r="Q42" i="31" s="1"/>
  <c r="R42" i="31"/>
  <c r="S42" i="31" s="1"/>
  <c r="O43" i="31"/>
  <c r="P43" i="31" s="1"/>
  <c r="Q43" i="31" s="1"/>
  <c r="R43" i="31" s="1"/>
  <c r="S43" i="31" s="1"/>
  <c r="O44" i="31"/>
  <c r="P44" i="31"/>
  <c r="Q44" i="31" s="1"/>
  <c r="R44" i="31" s="1"/>
  <c r="S44" i="31" s="1"/>
  <c r="O45" i="31"/>
  <c r="P45" i="31" s="1"/>
  <c r="Q45" i="31" s="1"/>
  <c r="R45" i="31" s="1"/>
  <c r="S45" i="31"/>
  <c r="O46" i="31"/>
  <c r="P46" i="31"/>
  <c r="Q46" i="31" s="1"/>
  <c r="R46" i="31" s="1"/>
  <c r="S46" i="31" s="1"/>
  <c r="O47" i="31"/>
  <c r="P47" i="31"/>
  <c r="Q47" i="31"/>
  <c r="R47" i="31" s="1"/>
  <c r="S47" i="31" s="1"/>
  <c r="O48" i="31"/>
  <c r="P48" i="31"/>
  <c r="Q48" i="31" s="1"/>
  <c r="R48" i="31" s="1"/>
  <c r="S48" i="31" s="1"/>
  <c r="O49" i="31"/>
  <c r="P49" i="31"/>
  <c r="Q49" i="31" s="1"/>
  <c r="R49" i="31"/>
  <c r="S49" i="31" s="1"/>
  <c r="O50" i="31"/>
  <c r="P50" i="31" s="1"/>
  <c r="Q50" i="31" s="1"/>
  <c r="R50" i="31"/>
  <c r="S50" i="31" s="1"/>
  <c r="O51" i="31"/>
  <c r="P51" i="31"/>
  <c r="Q51" i="31" s="1"/>
  <c r="R51" i="31" s="1"/>
  <c r="S51" i="31" s="1"/>
  <c r="O52" i="31"/>
  <c r="P52" i="31"/>
  <c r="Q52" i="31" s="1"/>
  <c r="R52" i="31" s="1"/>
  <c r="S52" i="31" s="1"/>
  <c r="O53" i="31"/>
  <c r="P53" i="31" s="1"/>
  <c r="Q53" i="31" s="1"/>
  <c r="R53" i="31" s="1"/>
  <c r="S53" i="31"/>
  <c r="O54" i="31"/>
  <c r="P54" i="31"/>
  <c r="Q54" i="31"/>
  <c r="R54" i="31" s="1"/>
  <c r="S54" i="31" s="1"/>
  <c r="O55" i="31"/>
  <c r="P55" i="31"/>
  <c r="Q55" i="31"/>
  <c r="R55" i="31"/>
  <c r="S55" i="31" s="1"/>
  <c r="O56" i="31"/>
  <c r="P56" i="31"/>
  <c r="Q56" i="31" s="1"/>
  <c r="R56" i="31" s="1"/>
  <c r="S56" i="31" s="1"/>
  <c r="O57" i="31"/>
  <c r="P57" i="31" s="1"/>
  <c r="Q57" i="31" s="1"/>
  <c r="R57" i="31" s="1"/>
  <c r="S57" i="31" s="1"/>
  <c r="O58" i="31"/>
  <c r="P58" i="31" s="1"/>
  <c r="Q58" i="31" s="1"/>
  <c r="R58" i="31"/>
  <c r="S58" i="31"/>
  <c r="O59" i="31"/>
  <c r="P59" i="31"/>
  <c r="Q59" i="31" s="1"/>
  <c r="R59" i="31" s="1"/>
  <c r="S59" i="31" s="1"/>
  <c r="O60" i="31"/>
  <c r="P60" i="31"/>
  <c r="Q60" i="31" s="1"/>
  <c r="R60" i="31"/>
  <c r="S60" i="31" s="1"/>
  <c r="O61" i="31"/>
  <c r="P61" i="31" s="1"/>
  <c r="Q61" i="31" s="1"/>
  <c r="R61" i="31" s="1"/>
  <c r="S61" i="31"/>
  <c r="O62" i="31"/>
  <c r="P62" i="31" s="1"/>
  <c r="Q62" i="31" s="1"/>
  <c r="R62" i="31" s="1"/>
  <c r="S62" i="31" s="1"/>
  <c r="O63" i="31"/>
  <c r="P63" i="31"/>
  <c r="Q63" i="31"/>
  <c r="R63" i="31"/>
  <c r="S63" i="31" s="1"/>
  <c r="O64" i="31"/>
  <c r="P64" i="31"/>
  <c r="Q64" i="31" s="1"/>
  <c r="R64" i="31" s="1"/>
  <c r="S64" i="31" s="1"/>
  <c r="O65" i="31"/>
  <c r="P65" i="31"/>
  <c r="Q65" i="31" s="1"/>
  <c r="R65" i="31" s="1"/>
  <c r="S65" i="31"/>
  <c r="O66" i="31"/>
  <c r="P66" i="31" s="1"/>
  <c r="Q66" i="31" s="1"/>
  <c r="R66" i="31" s="1"/>
  <c r="S66" i="31" s="1"/>
  <c r="O67" i="31"/>
  <c r="P67" i="31"/>
  <c r="Q67" i="31"/>
  <c r="R67" i="31" s="1"/>
  <c r="S67" i="31" s="1"/>
  <c r="O68" i="31"/>
  <c r="P68" i="31"/>
  <c r="Q68" i="31" s="1"/>
  <c r="R68" i="31" s="1"/>
  <c r="S68" i="31" s="1"/>
  <c r="O69" i="31"/>
  <c r="P69" i="31" s="1"/>
  <c r="Q69" i="31" s="1"/>
  <c r="R69" i="31" s="1"/>
  <c r="S69" i="31"/>
  <c r="O70" i="31"/>
  <c r="P70" i="31"/>
  <c r="Q70" i="31" s="1"/>
  <c r="R70" i="31"/>
  <c r="S70" i="31" s="1"/>
  <c r="O71" i="31"/>
  <c r="P71" i="31"/>
  <c r="Q71" i="31"/>
  <c r="R71" i="31"/>
  <c r="S71" i="31"/>
  <c r="O72" i="31"/>
  <c r="P72" i="31" s="1"/>
  <c r="Q72" i="31" s="1"/>
  <c r="R72" i="31" s="1"/>
  <c r="S72" i="31" s="1"/>
  <c r="O73" i="31"/>
  <c r="P73" i="31" s="1"/>
  <c r="Q73" i="31" s="1"/>
  <c r="R73" i="31" s="1"/>
  <c r="S73" i="31" s="1"/>
  <c r="O74" i="31"/>
  <c r="P74" i="31" s="1"/>
  <c r="Q74" i="31" s="1"/>
  <c r="R74" i="31"/>
  <c r="S74" i="31" s="1"/>
  <c r="O75" i="31"/>
  <c r="P75" i="31" s="1"/>
  <c r="Q75" i="31" s="1"/>
  <c r="R75" i="31" s="1"/>
  <c r="S75" i="31" s="1"/>
  <c r="O76" i="31"/>
  <c r="P76" i="31"/>
  <c r="Q76" i="31"/>
  <c r="R76" i="31" s="1"/>
  <c r="S76" i="31" s="1"/>
  <c r="O77" i="31"/>
  <c r="P77" i="31" s="1"/>
  <c r="Q77" i="31" s="1"/>
  <c r="R77" i="31" s="1"/>
  <c r="S77" i="31" s="1"/>
  <c r="O78" i="31"/>
  <c r="P78" i="31" s="1"/>
  <c r="Q78" i="31"/>
  <c r="R78" i="31"/>
  <c r="S78" i="31" s="1"/>
  <c r="O79" i="31"/>
  <c r="P79" i="31" s="1"/>
  <c r="Q79" i="31"/>
  <c r="R79" i="31" s="1"/>
  <c r="S79" i="31" s="1"/>
  <c r="O80" i="31"/>
  <c r="P80" i="31" s="1"/>
  <c r="Q80" i="31" s="1"/>
  <c r="R80" i="31"/>
  <c r="S80" i="31" s="1"/>
  <c r="O81" i="31"/>
  <c r="P81" i="31"/>
  <c r="Q81" i="31" s="1"/>
  <c r="R81" i="31"/>
  <c r="S81" i="31" s="1"/>
  <c r="O82" i="31"/>
  <c r="P82" i="31"/>
  <c r="Q82" i="31" s="1"/>
  <c r="R82" i="31"/>
  <c r="S82" i="31"/>
  <c r="O83" i="31"/>
  <c r="P83" i="31"/>
  <c r="Q83" i="31" s="1"/>
  <c r="R83" i="31" s="1"/>
  <c r="S83" i="31" s="1"/>
  <c r="O84" i="31"/>
  <c r="P84" i="31"/>
  <c r="Q84" i="31"/>
  <c r="R84" i="31" s="1"/>
  <c r="S84" i="31" s="1"/>
  <c r="O85" i="31"/>
  <c r="P85" i="31" s="1"/>
  <c r="Q85" i="31"/>
  <c r="R85" i="31" s="1"/>
  <c r="S85" i="31" s="1"/>
  <c r="O86" i="31"/>
  <c r="P86" i="31" s="1"/>
  <c r="Q86" i="31" s="1"/>
  <c r="R86" i="31" s="1"/>
  <c r="S86" i="31" s="1"/>
  <c r="O87" i="31"/>
  <c r="P87" i="31" s="1"/>
  <c r="Q87" i="31" s="1"/>
  <c r="R87" i="31"/>
  <c r="S87" i="31" s="1"/>
  <c r="O88" i="31"/>
  <c r="P88" i="31" s="1"/>
  <c r="Q88" i="31" s="1"/>
  <c r="R88" i="31"/>
  <c r="S88" i="31" s="1"/>
  <c r="O89" i="31"/>
  <c r="P89" i="31"/>
  <c r="Q89" i="31" s="1"/>
  <c r="R89" i="31" s="1"/>
  <c r="S89" i="31" s="1"/>
  <c r="O90" i="31"/>
  <c r="P90" i="31"/>
  <c r="Q90" i="31" s="1"/>
  <c r="R90" i="31"/>
  <c r="S90" i="31"/>
  <c r="O91" i="31"/>
  <c r="P91" i="31" s="1"/>
  <c r="Q91" i="31" s="1"/>
  <c r="R91" i="31" s="1"/>
  <c r="S91" i="31" s="1"/>
  <c r="O92" i="31"/>
  <c r="P92" i="31"/>
  <c r="Q92" i="31"/>
  <c r="R92" i="31" s="1"/>
  <c r="S92" i="31"/>
  <c r="O93" i="31"/>
  <c r="P93" i="31" s="1"/>
  <c r="Q93" i="31"/>
  <c r="R93" i="31" s="1"/>
  <c r="S93" i="31" s="1"/>
  <c r="O94" i="31"/>
  <c r="P94" i="31"/>
  <c r="Q94" i="31" s="1"/>
  <c r="R94" i="31" s="1"/>
  <c r="S94" i="31" s="1"/>
  <c r="O95" i="31"/>
  <c r="P95" i="31"/>
  <c r="Q95" i="31" s="1"/>
  <c r="R95" i="31" s="1"/>
  <c r="S95" i="31" s="1"/>
  <c r="O96" i="31"/>
  <c r="P96" i="31" s="1"/>
  <c r="Q96" i="31" s="1"/>
  <c r="R96" i="31" s="1"/>
  <c r="S96" i="31" s="1"/>
  <c r="O97" i="31"/>
  <c r="P97" i="31" s="1"/>
  <c r="Q97" i="31" s="1"/>
  <c r="R97" i="31" s="1"/>
  <c r="S97" i="31"/>
  <c r="O98" i="31"/>
  <c r="P98" i="31"/>
  <c r="Q98" i="31" s="1"/>
  <c r="R98" i="31"/>
  <c r="S98" i="31" s="1"/>
  <c r="O99" i="31"/>
  <c r="P99" i="31" s="1"/>
  <c r="Q99" i="31" s="1"/>
  <c r="R99" i="31" s="1"/>
  <c r="S99" i="31" s="1"/>
  <c r="O100" i="31"/>
  <c r="P100" i="31" s="1"/>
  <c r="Q100" i="31" s="1"/>
  <c r="R100" i="31" s="1"/>
  <c r="S100" i="31" s="1"/>
  <c r="O101" i="31"/>
  <c r="P101" i="31" s="1"/>
  <c r="Q101" i="31"/>
  <c r="R101" i="31"/>
  <c r="S101" i="31" s="1"/>
  <c r="O102" i="31"/>
  <c r="P102" i="31"/>
  <c r="Q102" i="31" s="1"/>
  <c r="R102" i="31" s="1"/>
  <c r="S102" i="31" s="1"/>
  <c r="O103" i="31"/>
  <c r="P103" i="31"/>
  <c r="Q103" i="31" s="1"/>
  <c r="R103" i="31" s="1"/>
  <c r="S103" i="31" s="1"/>
  <c r="O104" i="31"/>
  <c r="P104" i="31" s="1"/>
  <c r="Q104" i="31" s="1"/>
  <c r="R104" i="31" s="1"/>
  <c r="S104" i="31" s="1"/>
  <c r="O105" i="31"/>
  <c r="P105" i="31"/>
  <c r="Q105" i="31" s="1"/>
  <c r="R105" i="31" s="1"/>
  <c r="S105" i="31"/>
  <c r="O106" i="31"/>
  <c r="P106" i="31"/>
  <c r="Q106" i="31" s="1"/>
  <c r="R106" i="31" s="1"/>
  <c r="S106" i="31" s="1"/>
  <c r="O107" i="31"/>
  <c r="P107" i="31" s="1"/>
  <c r="Q107" i="31"/>
  <c r="R107" i="31" s="1"/>
  <c r="S107" i="31" s="1"/>
  <c r="O108" i="31"/>
  <c r="P108" i="31" s="1"/>
  <c r="Q108" i="31"/>
  <c r="R108" i="31" s="1"/>
  <c r="S108" i="31" s="1"/>
  <c r="O109" i="31"/>
  <c r="P109" i="31" s="1"/>
  <c r="Q109" i="31"/>
  <c r="R109" i="31" s="1"/>
  <c r="S109" i="31" s="1"/>
  <c r="O110" i="31"/>
  <c r="P110" i="31"/>
  <c r="Q110" i="31"/>
  <c r="R110" i="31" s="1"/>
  <c r="S110" i="31" s="1"/>
  <c r="O111" i="31"/>
  <c r="P111" i="31" s="1"/>
  <c r="Q111" i="31" s="1"/>
  <c r="R111" i="31" s="1"/>
  <c r="S111" i="31" s="1"/>
  <c r="O112" i="31"/>
  <c r="P112" i="31"/>
  <c r="Q112" i="31" s="1"/>
  <c r="R112" i="31" s="1"/>
  <c r="S112" i="31" s="1"/>
  <c r="O113" i="31"/>
  <c r="P113" i="31" s="1"/>
  <c r="Q113" i="31" s="1"/>
  <c r="R113" i="31" s="1"/>
  <c r="S113" i="31" s="1"/>
  <c r="O114" i="31"/>
  <c r="P114" i="31"/>
  <c r="Q114" i="31" s="1"/>
  <c r="R114" i="31"/>
  <c r="S114" i="31" s="1"/>
  <c r="O115" i="31"/>
  <c r="P115" i="31" s="1"/>
  <c r="Q115" i="31"/>
  <c r="R115" i="31" s="1"/>
  <c r="S115" i="31" s="1"/>
  <c r="O116" i="31"/>
  <c r="P116" i="31" s="1"/>
  <c r="Q116" i="31" s="1"/>
  <c r="R116" i="31" s="1"/>
  <c r="S116" i="31" s="1"/>
  <c r="O117" i="31"/>
  <c r="P117" i="31" s="1"/>
  <c r="Q117" i="31"/>
  <c r="R117" i="31"/>
  <c r="S117" i="31" s="1"/>
  <c r="O118" i="31"/>
  <c r="P118" i="31" s="1"/>
  <c r="Q118" i="31" s="1"/>
  <c r="R118" i="31" s="1"/>
  <c r="S118" i="31" s="1"/>
  <c r="O119" i="31"/>
  <c r="P119" i="31"/>
  <c r="Q119" i="31" s="1"/>
  <c r="R119" i="31"/>
  <c r="S119" i="31" s="1"/>
  <c r="O120" i="31"/>
  <c r="P120" i="31" s="1"/>
  <c r="Q120" i="31" s="1"/>
  <c r="R120" i="31" s="1"/>
  <c r="S120" i="31" s="1"/>
  <c r="O121" i="31"/>
  <c r="P121" i="31" s="1"/>
  <c r="Q121" i="31" s="1"/>
  <c r="R121" i="31" s="1"/>
  <c r="S121" i="31"/>
  <c r="O122" i="31"/>
  <c r="P122" i="31"/>
  <c r="Q122" i="31" s="1"/>
  <c r="R122" i="31" s="1"/>
  <c r="S122" i="31" s="1"/>
  <c r="O123" i="31"/>
  <c r="P123" i="31"/>
  <c r="Q123" i="31" s="1"/>
  <c r="R123" i="31" s="1"/>
  <c r="S123" i="31" s="1"/>
  <c r="O124" i="31"/>
  <c r="P124" i="31" s="1"/>
  <c r="Q124" i="31" s="1"/>
  <c r="R124" i="31" s="1"/>
  <c r="S124" i="31" s="1"/>
  <c r="O125" i="31"/>
  <c r="P125" i="31" s="1"/>
  <c r="Q125" i="31" s="1"/>
  <c r="R125" i="31" s="1"/>
  <c r="S125" i="31" s="1"/>
  <c r="O126" i="31"/>
  <c r="P126" i="31"/>
  <c r="Q126" i="31"/>
  <c r="R126" i="31" s="1"/>
  <c r="S126" i="31" s="1"/>
  <c r="O127" i="31"/>
  <c r="P127" i="31" s="1"/>
  <c r="Q127" i="31" s="1"/>
  <c r="R127" i="31" s="1"/>
  <c r="S127" i="31" s="1"/>
  <c r="O128" i="31"/>
  <c r="P128" i="31" s="1"/>
  <c r="Q128" i="31" s="1"/>
  <c r="R128" i="31"/>
  <c r="S128" i="31" s="1"/>
  <c r="O129" i="31"/>
  <c r="P129" i="31" s="1"/>
  <c r="Q129" i="31" s="1"/>
  <c r="R129" i="31" s="1"/>
  <c r="S129" i="31" s="1"/>
  <c r="O130" i="31"/>
  <c r="P130" i="31"/>
  <c r="Q130" i="31" s="1"/>
  <c r="R130" i="31"/>
  <c r="S130" i="31" s="1"/>
  <c r="O131" i="31"/>
  <c r="P131" i="31" s="1"/>
  <c r="Q131" i="31"/>
  <c r="R131" i="31" s="1"/>
  <c r="S131" i="31" s="1"/>
  <c r="O132" i="31"/>
  <c r="P132" i="31" s="1"/>
  <c r="Q132" i="31" s="1"/>
  <c r="R132" i="31" s="1"/>
  <c r="S132" i="31" s="1"/>
  <c r="O133" i="31"/>
  <c r="P133" i="31" s="1"/>
  <c r="Q133" i="31"/>
  <c r="R133" i="31"/>
  <c r="S133" i="31" s="1"/>
  <c r="O134" i="31"/>
  <c r="P134" i="31" s="1"/>
  <c r="Q134" i="31" s="1"/>
  <c r="R134" i="31" s="1"/>
  <c r="S134" i="31" s="1"/>
  <c r="O135" i="31"/>
  <c r="P135" i="31"/>
  <c r="Q135" i="31"/>
  <c r="R135" i="31" s="1"/>
  <c r="S135" i="31" s="1"/>
  <c r="O136" i="31"/>
  <c r="P136" i="31" s="1"/>
  <c r="Q136" i="31" s="1"/>
  <c r="R136" i="31" s="1"/>
  <c r="S136" i="31" s="1"/>
  <c r="O137" i="31"/>
  <c r="P137" i="31" s="1"/>
  <c r="Q137" i="31" s="1"/>
  <c r="R137" i="31"/>
  <c r="S137" i="31" s="1"/>
  <c r="O138" i="31"/>
  <c r="P138" i="31"/>
  <c r="Q138" i="31" s="1"/>
  <c r="R138" i="31" s="1"/>
  <c r="S138" i="31"/>
  <c r="O139" i="31"/>
  <c r="P139" i="31"/>
  <c r="Q139" i="31" s="1"/>
  <c r="R139" i="31" s="1"/>
  <c r="S139" i="31" s="1"/>
  <c r="O140" i="31"/>
  <c r="P140" i="31" s="1"/>
  <c r="Q140" i="31" s="1"/>
  <c r="R140" i="31" s="1"/>
  <c r="S140" i="31" s="1"/>
  <c r="O141" i="31"/>
  <c r="P141" i="31" s="1"/>
  <c r="Q141" i="31" s="1"/>
  <c r="R141" i="31" s="1"/>
  <c r="S141" i="31" s="1"/>
  <c r="O142" i="31"/>
  <c r="P142" i="31"/>
  <c r="Q142" i="31"/>
  <c r="R142" i="31" s="1"/>
  <c r="S142" i="31" s="1"/>
  <c r="O143" i="31"/>
  <c r="P143" i="31"/>
  <c r="Q143" i="31" s="1"/>
  <c r="R143" i="31" s="1"/>
  <c r="S143" i="31" s="1"/>
  <c r="O144" i="31"/>
  <c r="P144" i="31"/>
  <c r="Q144" i="31" s="1"/>
  <c r="R144" i="31" s="1"/>
  <c r="S144" i="31" s="1"/>
  <c r="O145" i="31"/>
  <c r="P145" i="31" s="1"/>
  <c r="Q145" i="31" s="1"/>
  <c r="R145" i="31" s="1"/>
  <c r="S145" i="31"/>
  <c r="O146" i="31"/>
  <c r="P146" i="31"/>
  <c r="Q146" i="31" s="1"/>
  <c r="R146" i="31"/>
  <c r="S146" i="31" s="1"/>
  <c r="O147" i="31"/>
  <c r="P147" i="31" s="1"/>
  <c r="Q147" i="31" s="1"/>
  <c r="R147" i="31" s="1"/>
  <c r="S147" i="31" s="1"/>
  <c r="O148" i="31"/>
  <c r="P148" i="31" s="1"/>
  <c r="Q148" i="31" s="1"/>
  <c r="R148" i="31" s="1"/>
  <c r="S148" i="31" s="1"/>
  <c r="O149" i="31"/>
  <c r="P149" i="31" s="1"/>
  <c r="Q149" i="31"/>
  <c r="R149" i="31" s="1"/>
  <c r="S149" i="31" s="1"/>
  <c r="O150" i="31"/>
  <c r="P150" i="31" s="1"/>
  <c r="Q150" i="31" s="1"/>
  <c r="R150" i="31"/>
  <c r="S150" i="31" s="1"/>
  <c r="O151" i="31"/>
  <c r="P151" i="31"/>
  <c r="Q151" i="31" s="1"/>
  <c r="R151" i="31" s="1"/>
  <c r="S151" i="31" s="1"/>
  <c r="O152" i="31"/>
  <c r="P152" i="31" s="1"/>
  <c r="Q152" i="31" s="1"/>
  <c r="R152" i="31" s="1"/>
  <c r="S152" i="31" s="1"/>
  <c r="O153" i="31"/>
  <c r="P153" i="31"/>
  <c r="Q153" i="31" s="1"/>
  <c r="R153" i="31"/>
  <c r="S153" i="31" s="1"/>
  <c r="O154" i="31"/>
  <c r="P154" i="31"/>
  <c r="Q154" i="31" s="1"/>
  <c r="R154" i="31" s="1"/>
  <c r="S154" i="31" s="1"/>
  <c r="O155" i="31"/>
  <c r="P155" i="31" s="1"/>
  <c r="Q155" i="31" s="1"/>
  <c r="R155" i="31" s="1"/>
  <c r="S155" i="31" s="1"/>
  <c r="O156" i="31"/>
  <c r="P156" i="31" s="1"/>
  <c r="Q156" i="31" s="1"/>
  <c r="R156" i="31"/>
  <c r="S156" i="31" s="1"/>
  <c r="O157" i="31"/>
  <c r="P157" i="31" s="1"/>
  <c r="Q157" i="31"/>
  <c r="R157" i="31" s="1"/>
  <c r="S157" i="31" s="1"/>
  <c r="O158" i="31"/>
  <c r="P158" i="31"/>
  <c r="Q158" i="31" s="1"/>
  <c r="R158" i="31"/>
  <c r="S158" i="31" s="1"/>
  <c r="O159" i="31"/>
  <c r="P159" i="31"/>
  <c r="Q159" i="31" s="1"/>
  <c r="R159" i="31" s="1"/>
  <c r="S159" i="31" s="1"/>
  <c r="O160" i="31"/>
  <c r="P160" i="31" s="1"/>
  <c r="Q160" i="31" s="1"/>
  <c r="R160" i="31" s="1"/>
  <c r="S160" i="31" s="1"/>
  <c r="O161" i="31"/>
  <c r="P161" i="31" s="1"/>
  <c r="Q161" i="31" s="1"/>
  <c r="R161" i="31" s="1"/>
  <c r="S161" i="31" s="1"/>
  <c r="O162" i="31"/>
  <c r="P162" i="31"/>
  <c r="Q162" i="31"/>
  <c r="R162" i="31" s="1"/>
  <c r="S162" i="31" s="1"/>
  <c r="O163" i="31"/>
  <c r="P163" i="31" s="1"/>
  <c r="Q163" i="31"/>
  <c r="R163" i="31" s="1"/>
  <c r="S163" i="31" s="1"/>
  <c r="O164" i="31"/>
  <c r="P164" i="31"/>
  <c r="Q164" i="31" s="1"/>
  <c r="R164" i="31" s="1"/>
  <c r="S164" i="31"/>
  <c r="O165" i="31"/>
  <c r="P165" i="31" s="1"/>
  <c r="Q165" i="31"/>
  <c r="R165" i="31"/>
  <c r="S165" i="31" s="1"/>
  <c r="O166" i="31"/>
  <c r="P166" i="31" s="1"/>
  <c r="Q166" i="31" s="1"/>
  <c r="R166" i="31" s="1"/>
  <c r="S166" i="31" s="1"/>
  <c r="O167" i="31"/>
  <c r="P167" i="31"/>
  <c r="Q167" i="31" s="1"/>
  <c r="R167" i="31" s="1"/>
  <c r="S167" i="31" s="1"/>
  <c r="O168" i="31"/>
  <c r="P168" i="31" s="1"/>
  <c r="Q168" i="31" s="1"/>
  <c r="R168" i="31" s="1"/>
  <c r="S168" i="31" s="1"/>
  <c r="O169" i="31"/>
  <c r="P169" i="31" s="1"/>
  <c r="Q169" i="31" s="1"/>
  <c r="R169" i="31" s="1"/>
  <c r="S169" i="31"/>
  <c r="O170" i="31"/>
  <c r="P170" i="31"/>
  <c r="Q170" i="31" s="1"/>
  <c r="R170" i="31" s="1"/>
  <c r="S170" i="31" s="1"/>
  <c r="O171" i="31"/>
  <c r="P171" i="31" s="1"/>
  <c r="Q171" i="31" s="1"/>
  <c r="R171" i="31" s="1"/>
  <c r="S171" i="31" s="1"/>
  <c r="O172" i="31"/>
  <c r="P172" i="31" s="1"/>
  <c r="Q172" i="31" s="1"/>
  <c r="R172" i="31" s="1"/>
  <c r="S172" i="31"/>
  <c r="O173" i="31"/>
  <c r="P173" i="31"/>
  <c r="Q173" i="31" s="1"/>
  <c r="R173" i="31" s="1"/>
  <c r="S173" i="31" s="1"/>
  <c r="O174" i="31"/>
  <c r="P174" i="31"/>
  <c r="Q174" i="31" s="1"/>
  <c r="R174" i="31" s="1"/>
  <c r="S174" i="31" s="1"/>
  <c r="O175" i="31"/>
  <c r="P175" i="31"/>
  <c r="Q175" i="31" s="1"/>
  <c r="R175" i="31" s="1"/>
  <c r="S175" i="31" s="1"/>
  <c r="O176" i="31"/>
  <c r="P176" i="31" s="1"/>
  <c r="Q176" i="31"/>
  <c r="R176" i="31" s="1"/>
  <c r="S176" i="31" s="1"/>
  <c r="O177" i="31"/>
  <c r="P177" i="31"/>
  <c r="Q177" i="31" s="1"/>
  <c r="R177" i="31" s="1"/>
  <c r="S177" i="31"/>
  <c r="O178" i="31"/>
  <c r="P178" i="31" s="1"/>
  <c r="Q178" i="31"/>
  <c r="R178" i="31" s="1"/>
  <c r="S178" i="31" s="1"/>
  <c r="O179" i="31"/>
  <c r="P179" i="31" s="1"/>
  <c r="Q179" i="31" s="1"/>
  <c r="R179" i="31" s="1"/>
  <c r="S179" i="31" s="1"/>
  <c r="O180" i="31"/>
  <c r="P180" i="31" s="1"/>
  <c r="Q180" i="31" s="1"/>
  <c r="R180" i="31" s="1"/>
  <c r="S180" i="31"/>
  <c r="O181" i="31"/>
  <c r="P181" i="31"/>
  <c r="Q181" i="31" s="1"/>
  <c r="R181" i="31" s="1"/>
  <c r="S181" i="31" s="1"/>
  <c r="O182" i="31"/>
  <c r="P182" i="31"/>
  <c r="Q182" i="31" s="1"/>
  <c r="R182" i="31" s="1"/>
  <c r="S182" i="31"/>
  <c r="O183" i="31"/>
  <c r="P183" i="31"/>
  <c r="Q183" i="31" s="1"/>
  <c r="R183" i="31" s="1"/>
  <c r="S183" i="31" s="1"/>
  <c r="O184" i="31"/>
  <c r="P184" i="31" s="1"/>
  <c r="Q184" i="31"/>
  <c r="R184" i="31" s="1"/>
  <c r="S184" i="31" s="1"/>
  <c r="O185" i="31"/>
  <c r="P185" i="31"/>
  <c r="Q185" i="31" s="1"/>
  <c r="R185" i="31" s="1"/>
  <c r="S185" i="31"/>
  <c r="O186" i="31"/>
  <c r="P186" i="31" s="1"/>
  <c r="Q186" i="31"/>
  <c r="R186" i="31" s="1"/>
  <c r="S186" i="31" s="1"/>
  <c r="O187" i="31"/>
  <c r="P187" i="31" s="1"/>
  <c r="Q187" i="31" s="1"/>
  <c r="R187" i="31" s="1"/>
  <c r="S187" i="31" s="1"/>
  <c r="O188" i="31"/>
  <c r="P188" i="31" s="1"/>
  <c r="Q188" i="31" s="1"/>
  <c r="R188" i="31" s="1"/>
  <c r="S188" i="31"/>
  <c r="O189" i="31"/>
  <c r="P189" i="31"/>
  <c r="Q189" i="31" s="1"/>
  <c r="R189" i="31" s="1"/>
  <c r="S189" i="31" s="1"/>
  <c r="O190" i="31"/>
  <c r="P190" i="31"/>
  <c r="Q190" i="31" s="1"/>
  <c r="R190" i="31" s="1"/>
  <c r="S190" i="31" s="1"/>
  <c r="O191" i="31"/>
  <c r="P191" i="31"/>
  <c r="Q191" i="31" s="1"/>
  <c r="R191" i="31" s="1"/>
  <c r="S191" i="31" s="1"/>
  <c r="O192" i="31"/>
  <c r="P192" i="31" s="1"/>
  <c r="Q192" i="31"/>
  <c r="R192" i="31" s="1"/>
  <c r="S192" i="31" s="1"/>
  <c r="O193" i="31"/>
  <c r="P193" i="31"/>
  <c r="Q193" i="31" s="1"/>
  <c r="R193" i="31" s="1"/>
  <c r="S193" i="31"/>
  <c r="O194" i="31"/>
  <c r="P194" i="31" s="1"/>
  <c r="Q194" i="31"/>
  <c r="R194" i="31" s="1"/>
  <c r="S194" i="31" s="1"/>
  <c r="O195" i="31"/>
  <c r="P195" i="31" s="1"/>
  <c r="Q195" i="31" s="1"/>
  <c r="R195" i="31" s="1"/>
  <c r="S195" i="31" s="1"/>
  <c r="O196" i="31"/>
  <c r="P196" i="31" s="1"/>
  <c r="Q196" i="31" s="1"/>
  <c r="R196" i="31" s="1"/>
  <c r="S196" i="31" s="1"/>
  <c r="O197" i="31"/>
  <c r="P197" i="31"/>
  <c r="Q197" i="31" s="1"/>
  <c r="R197" i="31" s="1"/>
  <c r="S197" i="31" s="1"/>
  <c r="O198" i="31"/>
  <c r="P198" i="31"/>
  <c r="Q198" i="31" s="1"/>
  <c r="R198" i="31" s="1"/>
  <c r="S198" i="31"/>
  <c r="O199" i="31"/>
  <c r="P199" i="31"/>
  <c r="Q199" i="31" s="1"/>
  <c r="R199" i="31" s="1"/>
  <c r="S199" i="31" s="1"/>
  <c r="O200" i="31"/>
  <c r="P200" i="31" s="1"/>
  <c r="Q200" i="31"/>
  <c r="R200" i="31" s="1"/>
  <c r="S200" i="31" s="1"/>
  <c r="O201" i="31"/>
  <c r="P201" i="31"/>
  <c r="Q201" i="31" s="1"/>
  <c r="R201" i="31" s="1"/>
  <c r="S201" i="31"/>
  <c r="O202" i="31"/>
  <c r="P202" i="31" s="1"/>
  <c r="Q202" i="31"/>
  <c r="R202" i="31" s="1"/>
  <c r="S202" i="31" s="1"/>
  <c r="O203" i="31"/>
  <c r="P203" i="31" s="1"/>
  <c r="Q203" i="31" s="1"/>
  <c r="R203" i="31" s="1"/>
  <c r="S203" i="31" s="1"/>
  <c r="O204" i="31"/>
  <c r="P204" i="31" s="1"/>
  <c r="Q204" i="31" s="1"/>
  <c r="R204" i="31" s="1"/>
  <c r="S204" i="31"/>
  <c r="O205" i="31"/>
  <c r="P205" i="31"/>
  <c r="Q205" i="31" s="1"/>
  <c r="R205" i="31" s="1"/>
  <c r="S205" i="31" s="1"/>
  <c r="O206" i="31"/>
  <c r="P206" i="31"/>
  <c r="Q206" i="31" s="1"/>
  <c r="R206" i="31" s="1"/>
  <c r="S206" i="31"/>
  <c r="O207" i="31"/>
  <c r="P207" i="31"/>
  <c r="Q207" i="31" s="1"/>
  <c r="R207" i="31" s="1"/>
  <c r="S207" i="31" s="1"/>
  <c r="O208" i="31"/>
  <c r="P208" i="31" s="1"/>
  <c r="Q208" i="31"/>
  <c r="R208" i="31" s="1"/>
  <c r="S208" i="31" s="1"/>
  <c r="O209" i="31"/>
  <c r="P209" i="31"/>
  <c r="Q209" i="31" s="1"/>
  <c r="R209" i="31" s="1"/>
  <c r="S209" i="31"/>
  <c r="O210" i="31"/>
  <c r="P210" i="31" s="1"/>
  <c r="Q210" i="31"/>
  <c r="R210" i="31" s="1"/>
  <c r="S210" i="31" s="1"/>
  <c r="O211" i="31"/>
  <c r="P211" i="31" s="1"/>
  <c r="Q211" i="31" s="1"/>
  <c r="R211" i="31" s="1"/>
  <c r="S211" i="31" s="1"/>
  <c r="O212" i="31"/>
  <c r="P212" i="31" s="1"/>
  <c r="Q212" i="31" s="1"/>
  <c r="R212" i="31" s="1"/>
  <c r="S212" i="31"/>
  <c r="O213" i="31"/>
  <c r="P213" i="31"/>
  <c r="Q213" i="31" s="1"/>
  <c r="R213" i="31" s="1"/>
  <c r="S213" i="31" s="1"/>
  <c r="O214" i="31"/>
  <c r="P214" i="31"/>
  <c r="Q214" i="31" s="1"/>
  <c r="R214" i="31" s="1"/>
  <c r="S214" i="31"/>
  <c r="O215" i="31"/>
  <c r="P215" i="31"/>
  <c r="Q215" i="31" s="1"/>
  <c r="R215" i="31" s="1"/>
  <c r="S215" i="31" s="1"/>
  <c r="O216" i="31"/>
  <c r="P216" i="31" s="1"/>
  <c r="Q216" i="31"/>
  <c r="R216" i="31" s="1"/>
  <c r="S216" i="31" s="1"/>
  <c r="O217" i="31"/>
  <c r="P217" i="31"/>
  <c r="Q217" i="31" s="1"/>
  <c r="R217" i="31" s="1"/>
  <c r="S217" i="31"/>
  <c r="O218" i="31"/>
  <c r="P218" i="31" s="1"/>
  <c r="Q218" i="31"/>
  <c r="R218" i="31" s="1"/>
  <c r="S218" i="31" s="1"/>
  <c r="O219" i="31"/>
  <c r="P219" i="31" s="1"/>
  <c r="Q219" i="31" s="1"/>
  <c r="R219" i="31" s="1"/>
  <c r="S219" i="31" s="1"/>
  <c r="O220" i="31"/>
  <c r="P220" i="31" s="1"/>
  <c r="Q220" i="31" s="1"/>
  <c r="R220" i="31" s="1"/>
  <c r="S220" i="31" s="1"/>
  <c r="O221" i="31"/>
  <c r="P221" i="31"/>
  <c r="Q221" i="31" s="1"/>
  <c r="R221" i="31" s="1"/>
  <c r="S221" i="31" s="1"/>
  <c r="O222" i="31"/>
  <c r="P222" i="31"/>
  <c r="Q222" i="31" s="1"/>
  <c r="R222" i="31" s="1"/>
  <c r="S222" i="31" s="1"/>
  <c r="O223" i="31"/>
  <c r="P223" i="31"/>
  <c r="Q223" i="31" s="1"/>
  <c r="R223" i="31" s="1"/>
  <c r="S223" i="31" s="1"/>
  <c r="O224" i="31"/>
  <c r="P224" i="31" s="1"/>
  <c r="Q224" i="31"/>
  <c r="R224" i="31" s="1"/>
  <c r="S224" i="31" s="1"/>
  <c r="O225" i="31"/>
  <c r="P225" i="31"/>
  <c r="Q225" i="31" s="1"/>
  <c r="R225" i="31" s="1"/>
  <c r="S225" i="31"/>
  <c r="O226" i="31"/>
  <c r="P226" i="31" s="1"/>
  <c r="Q226" i="31"/>
  <c r="R226" i="31" s="1"/>
  <c r="S226" i="31" s="1"/>
  <c r="O227" i="31"/>
  <c r="P227" i="31" s="1"/>
  <c r="Q227" i="31" s="1"/>
  <c r="R227" i="31" s="1"/>
  <c r="S227" i="31" s="1"/>
  <c r="O228" i="31"/>
  <c r="P228" i="31" s="1"/>
  <c r="Q228" i="31" s="1"/>
  <c r="R228" i="31" s="1"/>
  <c r="S228" i="31" s="1"/>
  <c r="O229" i="31"/>
  <c r="P229" i="31"/>
  <c r="Q229" i="31" s="1"/>
  <c r="R229" i="31" s="1"/>
  <c r="S229" i="31" s="1"/>
  <c r="O230" i="31"/>
  <c r="P230" i="31"/>
  <c r="Q230" i="31" s="1"/>
  <c r="R230" i="31" s="1"/>
  <c r="S230" i="31"/>
  <c r="O231" i="31"/>
  <c r="P231" i="31"/>
  <c r="Q231" i="31" s="1"/>
  <c r="R231" i="31" s="1"/>
  <c r="S231" i="31" s="1"/>
  <c r="O232" i="31"/>
  <c r="P232" i="31" s="1"/>
  <c r="Q232" i="31"/>
  <c r="R232" i="31" s="1"/>
  <c r="S232" i="31" s="1"/>
  <c r="O233" i="31"/>
  <c r="P233" i="31"/>
  <c r="Q233" i="31" s="1"/>
  <c r="R233" i="31" s="1"/>
  <c r="S233" i="31"/>
  <c r="O234" i="31"/>
  <c r="P234" i="31" s="1"/>
  <c r="Q234" i="31"/>
  <c r="R234" i="31" s="1"/>
  <c r="S234" i="31" s="1"/>
  <c r="O235" i="31"/>
  <c r="P235" i="31" s="1"/>
  <c r="Q235" i="31" s="1"/>
  <c r="R235" i="31" s="1"/>
  <c r="S235" i="31" s="1"/>
  <c r="O236" i="31"/>
  <c r="P236" i="31" s="1"/>
  <c r="Q236" i="31" s="1"/>
  <c r="R236" i="31"/>
  <c r="S236" i="31" s="1"/>
  <c r="O237" i="31"/>
  <c r="P237" i="31" s="1"/>
  <c r="Q237" i="31" s="1"/>
  <c r="R237" i="31" s="1"/>
  <c r="S237" i="31" s="1"/>
  <c r="O238" i="31"/>
  <c r="P238" i="31"/>
  <c r="Q238" i="31"/>
  <c r="R238" i="31" s="1"/>
  <c r="S238" i="31" s="1"/>
  <c r="O239" i="31"/>
  <c r="P239" i="31"/>
  <c r="Q239" i="31"/>
  <c r="R239" i="31" s="1"/>
  <c r="S239" i="31"/>
  <c r="O240" i="31"/>
  <c r="P240" i="31"/>
  <c r="Q240" i="31" s="1"/>
  <c r="R240" i="31" s="1"/>
  <c r="S240" i="31" s="1"/>
  <c r="O241" i="31"/>
  <c r="P241" i="31"/>
  <c r="Q241" i="31" s="1"/>
  <c r="R241" i="31"/>
  <c r="S241" i="31" s="1"/>
  <c r="O242" i="31"/>
  <c r="P242" i="31" s="1"/>
  <c r="Q242" i="31" s="1"/>
  <c r="R242" i="31" s="1"/>
  <c r="S242" i="31" s="1"/>
  <c r="O243" i="31"/>
  <c r="P243" i="31" s="1"/>
  <c r="Q243" i="31" s="1"/>
  <c r="R243" i="31"/>
  <c r="S243" i="31" s="1"/>
  <c r="O244" i="31"/>
  <c r="P244" i="31"/>
  <c r="Q244" i="31" s="1"/>
  <c r="R244" i="31" s="1"/>
  <c r="S244" i="31" s="1"/>
  <c r="O245" i="31"/>
  <c r="P245" i="31"/>
  <c r="Q245" i="31" s="1"/>
  <c r="R245" i="31"/>
  <c r="S245" i="31" s="1"/>
  <c r="O246" i="31"/>
  <c r="P246" i="31" s="1"/>
  <c r="Q246" i="31" s="1"/>
  <c r="R246" i="31" s="1"/>
  <c r="S246" i="31" s="1"/>
  <c r="O247" i="31"/>
  <c r="P247" i="31"/>
  <c r="Q247" i="31"/>
  <c r="R247" i="31" s="1"/>
  <c r="S247" i="31" s="1"/>
  <c r="O248" i="31"/>
  <c r="P248" i="31"/>
  <c r="Q248" i="31" s="1"/>
  <c r="R248" i="31" s="1"/>
  <c r="S248" i="31"/>
  <c r="O249" i="31"/>
  <c r="P249" i="31"/>
  <c r="Q249" i="31" s="1"/>
  <c r="R249" i="31" s="1"/>
  <c r="S249" i="31" s="1"/>
  <c r="O250" i="31"/>
  <c r="P250" i="31" s="1"/>
  <c r="Q250" i="31" s="1"/>
  <c r="R250" i="31" s="1"/>
  <c r="S250" i="31"/>
  <c r="O251" i="31"/>
  <c r="P251" i="31"/>
  <c r="Q251" i="31" s="1"/>
  <c r="R251" i="31" s="1"/>
  <c r="S251" i="31" s="1"/>
  <c r="O252" i="31"/>
  <c r="P252" i="31" s="1"/>
  <c r="Q252" i="31"/>
  <c r="R252" i="31" s="1"/>
  <c r="S252" i="31"/>
  <c r="O253" i="31"/>
  <c r="P253" i="31" s="1"/>
  <c r="Q253" i="31" s="1"/>
  <c r="R253" i="31" s="1"/>
  <c r="S253" i="31"/>
  <c r="O254" i="31"/>
  <c r="P254" i="31"/>
  <c r="Q254" i="31" s="1"/>
  <c r="R254" i="31" s="1"/>
  <c r="S254" i="31" s="1"/>
  <c r="O255" i="31"/>
  <c r="P255" i="31"/>
  <c r="Q255" i="31"/>
  <c r="R255" i="31" s="1"/>
  <c r="S255" i="31" s="1"/>
  <c r="O256" i="31"/>
  <c r="P256" i="31" s="1"/>
  <c r="Q256" i="31" s="1"/>
  <c r="R256" i="31" s="1"/>
  <c r="S256" i="31" s="1"/>
  <c r="O257" i="31"/>
  <c r="P257" i="31"/>
  <c r="Q257" i="31" s="1"/>
  <c r="R257" i="31" s="1"/>
  <c r="S257" i="31" s="1"/>
  <c r="O258" i="31"/>
  <c r="P258" i="31" s="1"/>
  <c r="Q258" i="31"/>
  <c r="R258" i="31" s="1"/>
  <c r="S258" i="31" s="1"/>
  <c r="O259" i="31"/>
  <c r="P259" i="31" s="1"/>
  <c r="Q259" i="31"/>
  <c r="R259" i="31" s="1"/>
  <c r="S259" i="31" s="1"/>
  <c r="O260" i="31"/>
  <c r="P260" i="31" s="1"/>
  <c r="Q260" i="31" s="1"/>
  <c r="R260" i="31" s="1"/>
  <c r="S260" i="31"/>
  <c r="O261" i="31"/>
  <c r="P261" i="31"/>
  <c r="Q261" i="31" s="1"/>
  <c r="R261" i="31" s="1"/>
  <c r="S261" i="31"/>
  <c r="O262" i="31"/>
  <c r="P262" i="31" s="1"/>
  <c r="Q262" i="31" s="1"/>
  <c r="R262" i="31"/>
  <c r="S262" i="31" s="1"/>
  <c r="O263" i="31"/>
  <c r="P263" i="31"/>
  <c r="Q263" i="31" s="1"/>
  <c r="R263" i="31"/>
  <c r="S263" i="31" s="1"/>
  <c r="O264" i="31"/>
  <c r="P264" i="31"/>
  <c r="Q264" i="31" s="1"/>
  <c r="R264" i="31" s="1"/>
  <c r="S264" i="31" s="1"/>
  <c r="O265" i="31"/>
  <c r="P265" i="31" s="1"/>
  <c r="Q265" i="31"/>
  <c r="R265" i="31" s="1"/>
  <c r="S265" i="31" s="1"/>
  <c r="O266" i="31"/>
  <c r="P266" i="31" s="1"/>
  <c r="Q266" i="31" s="1"/>
  <c r="R266" i="31" s="1"/>
  <c r="S266" i="31" s="1"/>
  <c r="O267" i="31"/>
  <c r="P267" i="31" s="1"/>
  <c r="Q267" i="31" s="1"/>
  <c r="R267" i="31" s="1"/>
  <c r="S267" i="31" s="1"/>
  <c r="O268" i="31"/>
  <c r="P268" i="31" s="1"/>
  <c r="Q268" i="31" s="1"/>
  <c r="R268" i="31"/>
  <c r="S268" i="31" s="1"/>
  <c r="O269" i="31"/>
  <c r="P269" i="31" s="1"/>
  <c r="Q269" i="31" s="1"/>
  <c r="R269" i="31" s="1"/>
  <c r="S269" i="31" s="1"/>
  <c r="O270" i="31"/>
  <c r="P270" i="31"/>
  <c r="Q270" i="31"/>
  <c r="R270" i="31" s="1"/>
  <c r="S270" i="31"/>
  <c r="O271" i="31"/>
  <c r="P271" i="31"/>
  <c r="Q271" i="31"/>
  <c r="R271" i="31" s="1"/>
  <c r="S271" i="31"/>
  <c r="O272" i="31"/>
  <c r="P272" i="31"/>
  <c r="Q272" i="31" s="1"/>
  <c r="R272" i="31" s="1"/>
  <c r="S272" i="31" s="1"/>
  <c r="O273" i="31"/>
  <c r="P273" i="31"/>
  <c r="Q273" i="31" s="1"/>
  <c r="R273" i="31"/>
  <c r="S273" i="31" s="1"/>
  <c r="O274" i="31"/>
  <c r="P274" i="31" s="1"/>
  <c r="Q274" i="31" s="1"/>
  <c r="R274" i="31" s="1"/>
  <c r="S274" i="31" s="1"/>
  <c r="O275" i="31"/>
  <c r="P275" i="31" s="1"/>
  <c r="Q275" i="31"/>
  <c r="R275" i="31" s="1"/>
  <c r="S275" i="31" s="1"/>
  <c r="O276" i="31"/>
  <c r="P276" i="31" s="1"/>
  <c r="Q276" i="31"/>
  <c r="R276" i="31" s="1"/>
  <c r="S276" i="31" s="1"/>
  <c r="O277" i="31"/>
  <c r="P277" i="31"/>
  <c r="Q277" i="31" s="1"/>
  <c r="R277" i="31"/>
  <c r="S277" i="31"/>
  <c r="O278" i="31"/>
  <c r="P278" i="31" s="1"/>
  <c r="Q278" i="31" s="1"/>
  <c r="R278" i="31" s="1"/>
  <c r="S278" i="31" s="1"/>
  <c r="O279" i="31"/>
  <c r="P279" i="31"/>
  <c r="Q279" i="31" s="1"/>
  <c r="R279" i="31"/>
  <c r="S279" i="31"/>
  <c r="O280" i="31"/>
  <c r="P280" i="31"/>
  <c r="Q280" i="31" s="1"/>
  <c r="R280" i="31" s="1"/>
  <c r="S280" i="31"/>
  <c r="O281" i="31"/>
  <c r="P281" i="31"/>
  <c r="Q281" i="31" s="1"/>
  <c r="R281" i="31"/>
  <c r="S281" i="31" s="1"/>
  <c r="O282" i="31"/>
  <c r="P282" i="31" s="1"/>
  <c r="Q282" i="31" s="1"/>
  <c r="R282" i="31"/>
  <c r="S282" i="31" s="1"/>
  <c r="O283" i="31"/>
  <c r="P283" i="31" s="1"/>
  <c r="Q283" i="31"/>
  <c r="R283" i="31" s="1"/>
  <c r="S283" i="31" s="1"/>
  <c r="O284" i="31"/>
  <c r="P284" i="31" s="1"/>
  <c r="Q284" i="31"/>
  <c r="R284" i="31" s="1"/>
  <c r="S284" i="31" s="1"/>
  <c r="O285" i="31"/>
  <c r="P285" i="31"/>
  <c r="Q285" i="31" s="1"/>
  <c r="R285" i="31" s="1"/>
  <c r="S285" i="31" s="1"/>
  <c r="O286" i="31"/>
  <c r="P286" i="31"/>
  <c r="Q286" i="31"/>
  <c r="R286" i="31"/>
  <c r="S286" i="31" s="1"/>
  <c r="O287" i="31"/>
  <c r="P287" i="31"/>
  <c r="Q287" i="31"/>
  <c r="R287" i="31" s="1"/>
  <c r="S287" i="31" s="1"/>
  <c r="O288" i="31"/>
  <c r="P288" i="31"/>
  <c r="Q288" i="31"/>
  <c r="R288" i="31" s="1"/>
  <c r="S288" i="31" s="1"/>
  <c r="O289" i="31"/>
  <c r="P289" i="31"/>
  <c r="Q289" i="31" s="1"/>
  <c r="R289" i="31"/>
  <c r="S289" i="31" s="1"/>
  <c r="O290" i="31"/>
  <c r="P290" i="31" s="1"/>
  <c r="Q290" i="31"/>
  <c r="R290" i="31"/>
  <c r="S290" i="31" s="1"/>
  <c r="O291" i="31"/>
  <c r="P291" i="31" s="1"/>
  <c r="Q291" i="31" s="1"/>
  <c r="R291" i="31"/>
  <c r="S291" i="31" s="1"/>
  <c r="O292" i="31"/>
  <c r="P292" i="31"/>
  <c r="Q292" i="31" s="1"/>
  <c r="R292" i="31" s="1"/>
  <c r="S292" i="31" s="1"/>
  <c r="O293" i="31"/>
  <c r="P293" i="31"/>
  <c r="Q293" i="31" s="1"/>
  <c r="R293" i="31" s="1"/>
  <c r="S293" i="31" s="1"/>
  <c r="O294" i="31"/>
  <c r="P294" i="31"/>
  <c r="Q294" i="31" s="1"/>
  <c r="R294" i="31" s="1"/>
  <c r="S294" i="31" s="1"/>
  <c r="O295" i="31"/>
  <c r="P295" i="31"/>
  <c r="Q295" i="31" s="1"/>
  <c r="R295" i="31" s="1"/>
  <c r="S295" i="31"/>
  <c r="O296" i="31"/>
  <c r="P296" i="31"/>
  <c r="Q296" i="31" s="1"/>
  <c r="R296" i="31" s="1"/>
  <c r="S296" i="31" s="1"/>
  <c r="O297" i="31"/>
  <c r="P297" i="31"/>
  <c r="Q297" i="31" s="1"/>
  <c r="R297" i="31" s="1"/>
  <c r="S297" i="31"/>
  <c r="O298" i="31"/>
  <c r="P298" i="31"/>
  <c r="Q298" i="31" s="1"/>
  <c r="R298" i="31"/>
  <c r="S298" i="31" s="1"/>
  <c r="O299" i="31"/>
  <c r="P299" i="31" s="1"/>
  <c r="Q299" i="31" s="1"/>
  <c r="R299" i="31" s="1"/>
  <c r="S299" i="31"/>
  <c r="O300" i="31"/>
  <c r="P300" i="31"/>
  <c r="Q300" i="31" s="1"/>
  <c r="R300" i="31" s="1"/>
  <c r="S300" i="31" s="1"/>
  <c r="O301" i="31"/>
  <c r="P301" i="31" s="1"/>
  <c r="Q301" i="31" s="1"/>
  <c r="R301" i="31" s="1"/>
  <c r="S301" i="31" s="1"/>
  <c r="O302" i="31"/>
  <c r="P302" i="31"/>
  <c r="Q302" i="31" s="1"/>
  <c r="R302" i="31" s="1"/>
  <c r="S302" i="31" s="1"/>
  <c r="O303" i="31"/>
  <c r="P303" i="31"/>
  <c r="Q303" i="31" s="1"/>
  <c r="R303" i="31" s="1"/>
  <c r="S303" i="31" s="1"/>
  <c r="O304" i="31"/>
  <c r="P304" i="31"/>
  <c r="Q304" i="31" s="1"/>
  <c r="R304" i="31" s="1"/>
  <c r="S304" i="31" s="1"/>
  <c r="O305" i="31"/>
  <c r="P305" i="31"/>
  <c r="Q305" i="31" s="1"/>
  <c r="R305" i="31" s="1"/>
  <c r="S305" i="31"/>
  <c r="O306" i="31"/>
  <c r="P306" i="31"/>
  <c r="Q306" i="31" s="1"/>
  <c r="R306" i="31" s="1"/>
  <c r="S306" i="31" s="1"/>
  <c r="O307" i="31"/>
  <c r="P307" i="31" s="1"/>
  <c r="Q307" i="31" s="1"/>
  <c r="R307" i="31" s="1"/>
  <c r="S307" i="31"/>
  <c r="O308" i="31"/>
  <c r="P308" i="31"/>
  <c r="Q308" i="31" s="1"/>
  <c r="R308" i="31" s="1"/>
  <c r="S308" i="31" s="1"/>
  <c r="O309" i="31"/>
  <c r="P309" i="31" s="1"/>
  <c r="Q309" i="31"/>
  <c r="R309" i="31" s="1"/>
  <c r="S309" i="31" s="1"/>
  <c r="O310" i="31"/>
  <c r="P310" i="31"/>
  <c r="Q310" i="31" s="1"/>
  <c r="R310" i="31" s="1"/>
  <c r="S310" i="31" s="1"/>
  <c r="O311" i="31"/>
  <c r="P311" i="31"/>
  <c r="Q311" i="31" s="1"/>
  <c r="R311" i="31" s="1"/>
  <c r="S311" i="31" s="1"/>
  <c r="O312" i="31"/>
  <c r="P312" i="31"/>
  <c r="Q312" i="31" s="1"/>
  <c r="R312" i="31" s="1"/>
  <c r="S312" i="31" s="1"/>
  <c r="O313" i="31"/>
  <c r="P313" i="31"/>
  <c r="Q313" i="31" s="1"/>
  <c r="R313" i="31" s="1"/>
  <c r="S313" i="31"/>
  <c r="O314" i="31"/>
  <c r="P314" i="31"/>
  <c r="Q314" i="31" s="1"/>
  <c r="R314" i="31" s="1"/>
  <c r="S314" i="31" s="1"/>
  <c r="O315" i="31"/>
  <c r="P315" i="31" s="1"/>
  <c r="Q315" i="31" s="1"/>
  <c r="R315" i="31" s="1"/>
  <c r="S315" i="31"/>
  <c r="O316" i="31"/>
  <c r="P316" i="31" s="1"/>
  <c r="Q316" i="31" s="1"/>
  <c r="R316" i="31" s="1"/>
  <c r="S316" i="31" s="1"/>
  <c r="O317" i="31"/>
  <c r="P317" i="31" s="1"/>
  <c r="Q317" i="31"/>
  <c r="R317" i="31" s="1"/>
  <c r="S317" i="31" s="1"/>
  <c r="O318" i="31"/>
  <c r="P318" i="31"/>
  <c r="Q318" i="31" s="1"/>
  <c r="R318" i="31" s="1"/>
  <c r="S318" i="31" s="1"/>
  <c r="O319" i="31"/>
  <c r="P319" i="31" s="1"/>
  <c r="Q319" i="31" s="1"/>
  <c r="R319" i="31" s="1"/>
  <c r="S319" i="31" s="1"/>
  <c r="O320" i="31"/>
  <c r="P320" i="31"/>
  <c r="Q320" i="31" s="1"/>
  <c r="R320" i="31" s="1"/>
  <c r="S320" i="31" s="1"/>
  <c r="O321" i="31"/>
  <c r="P321" i="31"/>
  <c r="Q321" i="31" s="1"/>
  <c r="R321" i="31" s="1"/>
  <c r="S321" i="31" s="1"/>
  <c r="O322" i="31"/>
  <c r="P322" i="31"/>
  <c r="Q322" i="31" s="1"/>
  <c r="R322" i="31"/>
  <c r="S322" i="31" s="1"/>
  <c r="O323" i="31"/>
  <c r="P323" i="31" s="1"/>
  <c r="Q323" i="31" s="1"/>
  <c r="R323" i="31" s="1"/>
  <c r="S323" i="31"/>
  <c r="O324" i="31"/>
  <c r="P324" i="31" s="1"/>
  <c r="Q324" i="31" s="1"/>
  <c r="R324" i="31" s="1"/>
  <c r="S324" i="31" s="1"/>
  <c r="O325" i="31"/>
  <c r="P325" i="31" s="1"/>
  <c r="Q325" i="31" s="1"/>
  <c r="R325" i="31" s="1"/>
  <c r="S325" i="31" s="1"/>
  <c r="O326" i="31"/>
  <c r="P326" i="31"/>
  <c r="Q326" i="31" s="1"/>
  <c r="R326" i="31" s="1"/>
  <c r="S326" i="31" s="1"/>
  <c r="O327" i="31"/>
  <c r="P327" i="31" s="1"/>
  <c r="Q327" i="31" s="1"/>
  <c r="R327" i="31" s="1"/>
  <c r="S327" i="31" s="1"/>
  <c r="O328" i="31"/>
  <c r="P328" i="31"/>
  <c r="Q328" i="31" s="1"/>
  <c r="R328" i="31" s="1"/>
  <c r="S328" i="31" s="1"/>
  <c r="O329" i="31"/>
  <c r="P329" i="31"/>
  <c r="Q329" i="31" s="1"/>
  <c r="R329" i="31" s="1"/>
  <c r="S329" i="31" s="1"/>
  <c r="O330" i="31"/>
  <c r="P330" i="31"/>
  <c r="Q330" i="31" s="1"/>
  <c r="R330" i="31"/>
  <c r="S330" i="31" s="1"/>
  <c r="O331" i="31"/>
  <c r="P331" i="31" s="1"/>
  <c r="Q331" i="31" s="1"/>
  <c r="R331" i="31" s="1"/>
  <c r="S331" i="31"/>
  <c r="O332" i="31"/>
  <c r="P332" i="31" s="1"/>
  <c r="Q332" i="31" s="1"/>
  <c r="R332" i="31" s="1"/>
  <c r="S332" i="31" s="1"/>
  <c r="O333" i="31"/>
  <c r="P333" i="31" s="1"/>
  <c r="Q333" i="31"/>
  <c r="R333" i="31" s="1"/>
  <c r="S333" i="31" s="1"/>
  <c r="O334" i="31"/>
  <c r="P334" i="31"/>
  <c r="Q334" i="31" s="1"/>
  <c r="R334" i="31" s="1"/>
  <c r="S334" i="31" s="1"/>
  <c r="O335" i="31"/>
  <c r="P335" i="31" s="1"/>
  <c r="Q335" i="31" s="1"/>
  <c r="R335" i="31" s="1"/>
  <c r="S335" i="31" s="1"/>
  <c r="O336" i="31"/>
  <c r="P336" i="31"/>
  <c r="Q336" i="31" s="1"/>
  <c r="R336" i="31" s="1"/>
  <c r="S336" i="31" s="1"/>
  <c r="O337" i="31"/>
  <c r="P337" i="31"/>
  <c r="Q337" i="31" s="1"/>
  <c r="R337" i="31" s="1"/>
  <c r="S337" i="31" s="1"/>
  <c r="O338" i="31"/>
  <c r="P338" i="31"/>
  <c r="Q338" i="31" s="1"/>
  <c r="R338" i="31"/>
  <c r="S338" i="31" s="1"/>
  <c r="O339" i="31"/>
  <c r="P339" i="31" s="1"/>
  <c r="Q339" i="31" s="1"/>
  <c r="R339" i="31" s="1"/>
  <c r="S339" i="31"/>
  <c r="O340" i="31"/>
  <c r="P340" i="31" s="1"/>
  <c r="Q340" i="31" s="1"/>
  <c r="R340" i="31" s="1"/>
  <c r="S340" i="31" s="1"/>
  <c r="O341" i="31"/>
  <c r="P341" i="31" s="1"/>
  <c r="Q341" i="31"/>
  <c r="R341" i="31" s="1"/>
  <c r="S341" i="31" s="1"/>
  <c r="O342" i="31"/>
  <c r="P342" i="31"/>
  <c r="Q342" i="31" s="1"/>
  <c r="R342" i="31" s="1"/>
  <c r="S342" i="31" s="1"/>
  <c r="O343" i="31"/>
  <c r="P343" i="31" s="1"/>
  <c r="Q343" i="31" s="1"/>
  <c r="R343" i="31" s="1"/>
  <c r="S343" i="31" s="1"/>
  <c r="O344" i="31"/>
  <c r="P344" i="31"/>
  <c r="Q344" i="31" s="1"/>
  <c r="R344" i="31" s="1"/>
  <c r="S344" i="31" s="1"/>
  <c r="O345" i="31"/>
  <c r="P345" i="31"/>
  <c r="Q345" i="31" s="1"/>
  <c r="R345" i="31" s="1"/>
  <c r="S345" i="31" s="1"/>
  <c r="O346" i="31"/>
  <c r="P346" i="31"/>
  <c r="Q346" i="31" s="1"/>
  <c r="R346" i="31" s="1"/>
  <c r="S346" i="31" s="1"/>
  <c r="O347" i="31"/>
  <c r="P347" i="31" s="1"/>
  <c r="Q347" i="31" s="1"/>
  <c r="R347" i="31" s="1"/>
  <c r="S347" i="31"/>
  <c r="O348" i="31"/>
  <c r="P348" i="31" s="1"/>
  <c r="Q348" i="31" s="1"/>
  <c r="R348" i="31" s="1"/>
  <c r="S348" i="31" s="1"/>
  <c r="O349" i="31"/>
  <c r="P349" i="31" s="1"/>
  <c r="Q349" i="31"/>
  <c r="R349" i="31" s="1"/>
  <c r="S349" i="31"/>
  <c r="O350" i="31"/>
  <c r="P350" i="31"/>
  <c r="Q350" i="31" s="1"/>
  <c r="R350" i="31" s="1"/>
  <c r="S350" i="31" s="1"/>
  <c r="O351" i="31"/>
  <c r="P351" i="31" s="1"/>
  <c r="Q351" i="31" s="1"/>
  <c r="R351" i="31" s="1"/>
  <c r="S351" i="31" s="1"/>
  <c r="O352" i="31"/>
  <c r="P352" i="31"/>
  <c r="Q352" i="31" s="1"/>
  <c r="R352" i="31" s="1"/>
  <c r="S352" i="31" s="1"/>
  <c r="O353" i="31"/>
  <c r="P353" i="31"/>
  <c r="Q353" i="31" s="1"/>
  <c r="R353" i="31" s="1"/>
  <c r="S353" i="31" s="1"/>
  <c r="O354" i="31"/>
  <c r="P354" i="31"/>
  <c r="Q354" i="31" s="1"/>
  <c r="R354" i="31"/>
  <c r="S354" i="31" s="1"/>
  <c r="O355" i="31"/>
  <c r="P355" i="31" s="1"/>
  <c r="Q355" i="31" s="1"/>
  <c r="R355" i="31" s="1"/>
  <c r="S355" i="31"/>
  <c r="O356" i="31"/>
  <c r="P356" i="31" s="1"/>
  <c r="Q356" i="31" s="1"/>
  <c r="R356" i="31"/>
  <c r="S356" i="31" s="1"/>
  <c r="O357" i="31"/>
  <c r="P357" i="31" s="1"/>
  <c r="Q357" i="31" s="1"/>
  <c r="R357" i="31" s="1"/>
  <c r="S357" i="31" s="1"/>
  <c r="O358" i="31"/>
  <c r="P358" i="31"/>
  <c r="Q358" i="31" s="1"/>
  <c r="R358" i="31" s="1"/>
  <c r="S358" i="31" s="1"/>
  <c r="O359" i="31"/>
  <c r="P359" i="31"/>
  <c r="Q359" i="31"/>
  <c r="R359" i="31" s="1"/>
  <c r="S359" i="31"/>
  <c r="O360" i="31"/>
  <c r="P360" i="31"/>
  <c r="Q360" i="31" s="1"/>
  <c r="R360" i="31"/>
  <c r="S360" i="31" s="1"/>
  <c r="O361" i="31"/>
  <c r="P361" i="31"/>
  <c r="Q361" i="31" s="1"/>
  <c r="R361" i="31" s="1"/>
  <c r="S361" i="31" s="1"/>
  <c r="O362" i="31"/>
  <c r="P362" i="31"/>
  <c r="Q362" i="31"/>
  <c r="R362" i="31"/>
  <c r="S362" i="31" s="1"/>
  <c r="O363" i="31"/>
  <c r="P363" i="31" s="1"/>
  <c r="Q363" i="31" s="1"/>
  <c r="R363" i="31" s="1"/>
  <c r="S363" i="31"/>
  <c r="O364" i="31"/>
  <c r="P364" i="31" s="1"/>
  <c r="Q364" i="31" s="1"/>
  <c r="R364" i="31" s="1"/>
  <c r="S364" i="31" s="1"/>
  <c r="O365" i="31"/>
  <c r="P365" i="31" s="1"/>
  <c r="Q365" i="31" s="1"/>
  <c r="R365" i="31" s="1"/>
  <c r="S365" i="31" s="1"/>
  <c r="O366" i="31"/>
  <c r="P366" i="31" s="1"/>
  <c r="Q366" i="31" s="1"/>
  <c r="R366" i="31" s="1"/>
  <c r="S366" i="31" s="1"/>
  <c r="O367" i="31"/>
  <c r="P367" i="31"/>
  <c r="Q367" i="31"/>
  <c r="R367" i="31" s="1"/>
  <c r="S367" i="31" s="1"/>
  <c r="O368" i="31"/>
  <c r="P368" i="31"/>
  <c r="Q368" i="31" s="1"/>
  <c r="R368" i="31" s="1"/>
  <c r="S368" i="31" s="1"/>
  <c r="O369" i="31"/>
  <c r="P369" i="31"/>
  <c r="Q369" i="31" s="1"/>
  <c r="R369" i="31" s="1"/>
  <c r="S369" i="31"/>
  <c r="O370" i="31"/>
  <c r="P370" i="31"/>
  <c r="Q370" i="31"/>
  <c r="R370" i="31"/>
  <c r="S370" i="31" s="1"/>
  <c r="O371" i="31"/>
  <c r="P371" i="31" s="1"/>
  <c r="Q371" i="31" s="1"/>
  <c r="R371" i="31" s="1"/>
  <c r="S371" i="31"/>
  <c r="O372" i="31"/>
  <c r="P372" i="31" s="1"/>
  <c r="Q372" i="31" s="1"/>
  <c r="R372" i="31"/>
  <c r="S372" i="31" s="1"/>
  <c r="O373" i="31"/>
  <c r="P373" i="31" s="1"/>
  <c r="Q373" i="31"/>
  <c r="R373" i="31" s="1"/>
  <c r="S373" i="31" s="1"/>
  <c r="O374" i="31"/>
  <c r="P374" i="31"/>
  <c r="Q374" i="31" s="1"/>
  <c r="R374" i="31" s="1"/>
  <c r="S374" i="31" s="1"/>
  <c r="O375" i="31"/>
  <c r="P375" i="31"/>
  <c r="Q375" i="31" s="1"/>
  <c r="R375" i="31" s="1"/>
  <c r="S375" i="31" s="1"/>
  <c r="O376" i="31"/>
  <c r="P376" i="31"/>
  <c r="Q376" i="31" s="1"/>
  <c r="R376" i="31"/>
  <c r="S376" i="31" s="1"/>
  <c r="O377" i="31"/>
  <c r="P377" i="31"/>
  <c r="Q377" i="31" s="1"/>
  <c r="R377" i="31" s="1"/>
  <c r="S377" i="31"/>
  <c r="O378" i="31"/>
  <c r="P378" i="31"/>
  <c r="Q378" i="31"/>
  <c r="R378" i="31"/>
  <c r="S378" i="31" s="1"/>
  <c r="O379" i="31"/>
  <c r="P379" i="31" s="1"/>
  <c r="Q379" i="31" s="1"/>
  <c r="R379" i="31" s="1"/>
  <c r="S379" i="31"/>
  <c r="O380" i="31"/>
  <c r="P380" i="31"/>
  <c r="Q380" i="31" s="1"/>
  <c r="R380" i="31" s="1"/>
  <c r="S380" i="31" s="1"/>
  <c r="O381" i="31"/>
  <c r="P381" i="31" s="1"/>
  <c r="Q381" i="31" s="1"/>
  <c r="R381" i="31" s="1"/>
  <c r="S381" i="31" s="1"/>
  <c r="O382" i="31"/>
  <c r="P382" i="31" s="1"/>
  <c r="Q382" i="31" s="1"/>
  <c r="R382" i="31" s="1"/>
  <c r="S382" i="31" s="1"/>
  <c r="O383" i="31"/>
  <c r="P383" i="31"/>
  <c r="Q383" i="31"/>
  <c r="R383" i="31" s="1"/>
  <c r="S383" i="31" s="1"/>
  <c r="O384" i="31"/>
  <c r="P384" i="31"/>
  <c r="Q384" i="31" s="1"/>
  <c r="R384" i="31"/>
  <c r="S384" i="31" s="1"/>
  <c r="O385" i="31"/>
  <c r="P385" i="31"/>
  <c r="Q385" i="31" s="1"/>
  <c r="R385" i="31" s="1"/>
  <c r="S385" i="31"/>
  <c r="O386" i="31"/>
  <c r="P386" i="31"/>
  <c r="Q386" i="31"/>
  <c r="R386" i="31"/>
  <c r="S386" i="31" s="1"/>
  <c r="O387" i="31"/>
  <c r="P387" i="31" s="1"/>
  <c r="Q387" i="31" s="1"/>
  <c r="R387" i="31" s="1"/>
  <c r="S387" i="31"/>
  <c r="O388" i="31"/>
  <c r="P388" i="31" s="1"/>
  <c r="Q388" i="31" s="1"/>
  <c r="R388" i="31" s="1"/>
  <c r="S388" i="31" s="1"/>
  <c r="O389" i="31"/>
  <c r="P389" i="31" s="1"/>
  <c r="Q389" i="31" s="1"/>
  <c r="R389" i="31" s="1"/>
  <c r="S389" i="31" s="1"/>
  <c r="O390" i="31"/>
  <c r="P390" i="31"/>
  <c r="Q390" i="31" s="1"/>
  <c r="R390" i="31" s="1"/>
  <c r="S390" i="31" s="1"/>
  <c r="O391" i="31"/>
  <c r="P391" i="31"/>
  <c r="Q391" i="31" s="1"/>
  <c r="R391" i="31" s="1"/>
  <c r="S391" i="31" s="1"/>
  <c r="O392" i="31"/>
  <c r="P392" i="31"/>
  <c r="Q392" i="31" s="1"/>
  <c r="R392" i="31"/>
  <c r="S392" i="31" s="1"/>
  <c r="O393" i="31"/>
  <c r="P393" i="31"/>
  <c r="Q393" i="31" s="1"/>
  <c r="R393" i="31" s="1"/>
  <c r="S393" i="31"/>
  <c r="O394" i="31"/>
  <c r="P394" i="31"/>
  <c r="Q394" i="31"/>
  <c r="R394" i="31"/>
  <c r="S394" i="31" s="1"/>
  <c r="O395" i="31"/>
  <c r="P395" i="31" s="1"/>
  <c r="Q395" i="31" s="1"/>
  <c r="R395" i="31" s="1"/>
  <c r="S395" i="31"/>
  <c r="O396" i="31"/>
  <c r="P396" i="31"/>
  <c r="Q396" i="31" s="1"/>
  <c r="R396" i="31" s="1"/>
  <c r="S396" i="31" s="1"/>
  <c r="O397" i="31"/>
  <c r="P397" i="31" s="1"/>
  <c r="Q397" i="31" s="1"/>
  <c r="R397" i="31" s="1"/>
  <c r="S397" i="31" s="1"/>
  <c r="O398" i="31"/>
  <c r="P398" i="31"/>
  <c r="Q398" i="31" s="1"/>
  <c r="R398" i="31" s="1"/>
  <c r="S398" i="31" s="1"/>
  <c r="O399" i="31"/>
  <c r="P399" i="31"/>
  <c r="Q399" i="31"/>
  <c r="R399" i="31" s="1"/>
  <c r="S399" i="31" s="1"/>
  <c r="O400" i="31"/>
  <c r="P400" i="31"/>
  <c r="Q400" i="31" s="1"/>
  <c r="R400" i="31" s="1"/>
  <c r="S400" i="31"/>
  <c r="O401" i="31"/>
  <c r="P401" i="31"/>
  <c r="Q401" i="31" s="1"/>
  <c r="R401" i="31" s="1"/>
  <c r="S401" i="31"/>
  <c r="O402" i="31"/>
  <c r="P402" i="31"/>
  <c r="Q402" i="31"/>
  <c r="R402" i="31" s="1"/>
  <c r="S402" i="31"/>
  <c r="O403" i="31"/>
  <c r="P403" i="31" s="1"/>
  <c r="Q403" i="31" s="1"/>
  <c r="R403" i="31" s="1"/>
  <c r="S403" i="31"/>
  <c r="O404" i="31"/>
  <c r="P404" i="31" s="1"/>
  <c r="Q404" i="31" s="1"/>
  <c r="R404" i="31"/>
  <c r="S404" i="31" s="1"/>
  <c r="O405" i="31"/>
  <c r="P405" i="31" s="1"/>
  <c r="Q405" i="31" s="1"/>
  <c r="R405" i="31" s="1"/>
  <c r="S405" i="31" s="1"/>
  <c r="O406" i="31"/>
  <c r="P406" i="31"/>
  <c r="Q406" i="31" s="1"/>
  <c r="R406" i="31" s="1"/>
  <c r="S406" i="31" s="1"/>
  <c r="O407" i="31"/>
  <c r="P407" i="31"/>
  <c r="Q407" i="31" s="1"/>
  <c r="R407" i="31" s="1"/>
  <c r="S407" i="31"/>
  <c r="O408" i="31"/>
  <c r="P408" i="31"/>
  <c r="Q408" i="31" s="1"/>
  <c r="R408" i="31" s="1"/>
  <c r="S408" i="31" s="1"/>
  <c r="O409" i="31"/>
  <c r="P409" i="31"/>
  <c r="Q409" i="31" s="1"/>
  <c r="R409" i="31" s="1"/>
  <c r="S409" i="31"/>
  <c r="O410" i="31"/>
  <c r="P410" i="31"/>
  <c r="Q410" i="31"/>
  <c r="R410" i="31" s="1"/>
  <c r="S410" i="31" s="1"/>
  <c r="O411" i="31"/>
  <c r="P411" i="31" s="1"/>
  <c r="Q411" i="31" s="1"/>
  <c r="R411" i="31" s="1"/>
  <c r="S411" i="31"/>
  <c r="O412" i="31"/>
  <c r="P412" i="31"/>
  <c r="Q412" i="31" s="1"/>
  <c r="R412" i="31" s="1"/>
  <c r="S412" i="31" s="1"/>
  <c r="O413" i="31"/>
  <c r="P413" i="31" s="1"/>
  <c r="Q413" i="31" s="1"/>
  <c r="R413" i="31" s="1"/>
  <c r="S413" i="31" s="1"/>
  <c r="O414" i="31"/>
  <c r="P414" i="31" s="1"/>
  <c r="Q414" i="31" s="1"/>
  <c r="R414" i="31" s="1"/>
  <c r="S414" i="31" s="1"/>
  <c r="O415" i="31"/>
  <c r="P415" i="31"/>
  <c r="Q415" i="31"/>
  <c r="R415" i="31" s="1"/>
  <c r="S415" i="31" s="1"/>
  <c r="O416" i="31"/>
  <c r="P416" i="31"/>
  <c r="Q416" i="31" s="1"/>
  <c r="R416" i="31" s="1"/>
  <c r="S416" i="31" s="1"/>
  <c r="O417" i="31"/>
  <c r="P417" i="31"/>
  <c r="Q417" i="31" s="1"/>
  <c r="R417" i="31" s="1"/>
  <c r="S417" i="31" s="1"/>
  <c r="O418" i="31"/>
  <c r="P418" i="31"/>
  <c r="Q418" i="31"/>
  <c r="R418" i="31"/>
  <c r="S418" i="31" s="1"/>
  <c r="O419" i="31"/>
  <c r="P419" i="31" s="1"/>
  <c r="Q419" i="31" s="1"/>
  <c r="R419" i="31" s="1"/>
  <c r="S419" i="31"/>
  <c r="O420" i="31"/>
  <c r="P420" i="31" s="1"/>
  <c r="Q420" i="31" s="1"/>
  <c r="R420" i="31"/>
  <c r="S420" i="31" s="1"/>
  <c r="O421" i="31"/>
  <c r="P421" i="31" s="1"/>
  <c r="Q421" i="31"/>
  <c r="R421" i="31" s="1"/>
  <c r="S421" i="31" s="1"/>
  <c r="O422" i="31"/>
  <c r="P422" i="31" s="1"/>
  <c r="Q422" i="31" s="1"/>
  <c r="R422" i="31" s="1"/>
  <c r="S422" i="31" s="1"/>
  <c r="O423" i="31"/>
  <c r="P423" i="31"/>
  <c r="Q423" i="31" s="1"/>
  <c r="R423" i="31" s="1"/>
  <c r="S423" i="31" s="1"/>
  <c r="O424" i="31"/>
  <c r="P424" i="31"/>
  <c r="Q424" i="31" s="1"/>
  <c r="R424" i="31"/>
  <c r="S424" i="31" s="1"/>
  <c r="O425" i="31"/>
  <c r="P425" i="31"/>
  <c r="Q425" i="31" s="1"/>
  <c r="R425" i="31" s="1"/>
  <c r="S425" i="31"/>
  <c r="O426" i="31"/>
  <c r="P426" i="31"/>
  <c r="Q426" i="31"/>
  <c r="R426" i="31"/>
  <c r="S426" i="31" s="1"/>
  <c r="O427" i="31"/>
  <c r="P427" i="31" s="1"/>
  <c r="Q427" i="31" s="1"/>
  <c r="R427" i="31" s="1"/>
  <c r="S427" i="31"/>
  <c r="O428" i="31"/>
  <c r="P428" i="31"/>
  <c r="Q428" i="31" s="1"/>
  <c r="R428" i="31" s="1"/>
  <c r="S428" i="31" s="1"/>
  <c r="O429" i="31"/>
  <c r="P429" i="31" s="1"/>
  <c r="Q429" i="31" s="1"/>
  <c r="R429" i="31" s="1"/>
  <c r="S429" i="31" s="1"/>
  <c r="O430" i="31"/>
  <c r="P430" i="31"/>
  <c r="Q430" i="31" s="1"/>
  <c r="R430" i="31"/>
  <c r="S430" i="31" s="1"/>
  <c r="O431" i="31"/>
  <c r="P431" i="31"/>
  <c r="Q431" i="31"/>
  <c r="R431" i="31" s="1"/>
  <c r="S431" i="31" s="1"/>
  <c r="O432" i="31"/>
  <c r="P432" i="31"/>
  <c r="Q432" i="31" s="1"/>
  <c r="R432" i="31" s="1"/>
  <c r="S432" i="31" s="1"/>
  <c r="O433" i="31"/>
  <c r="P433" i="31"/>
  <c r="Q433" i="31" s="1"/>
  <c r="R433" i="31" s="1"/>
  <c r="S433" i="31" s="1"/>
  <c r="O434" i="31"/>
  <c r="P434" i="31"/>
  <c r="Q434" i="31"/>
  <c r="R434" i="31" s="1"/>
  <c r="S434" i="31" s="1"/>
  <c r="O435" i="31"/>
  <c r="P435" i="31" s="1"/>
  <c r="Q435" i="31" s="1"/>
  <c r="R435" i="31" s="1"/>
  <c r="S435" i="31"/>
  <c r="O436" i="31"/>
  <c r="P436" i="31" s="1"/>
  <c r="Q436" i="31" s="1"/>
  <c r="R436" i="31"/>
  <c r="S436" i="31" s="1"/>
  <c r="O437" i="31"/>
  <c r="P437" i="31" s="1"/>
  <c r="Q437" i="31"/>
  <c r="R437" i="31" s="1"/>
  <c r="S437" i="31" s="1"/>
  <c r="O438" i="31"/>
  <c r="P438" i="31"/>
  <c r="Q438" i="31" s="1"/>
  <c r="R438" i="31" s="1"/>
  <c r="S438" i="31" s="1"/>
  <c r="O439" i="31"/>
  <c r="P439" i="31"/>
  <c r="Q439" i="31" s="1"/>
  <c r="R439" i="31" s="1"/>
  <c r="S439" i="31" s="1"/>
  <c r="O440" i="31"/>
  <c r="P440" i="31"/>
  <c r="Q440" i="31" s="1"/>
  <c r="R440" i="31" s="1"/>
  <c r="S440" i="31" s="1"/>
  <c r="O441" i="31"/>
  <c r="P441" i="31"/>
  <c r="Q441" i="31" s="1"/>
  <c r="R441" i="31" s="1"/>
  <c r="S441" i="31" s="1"/>
  <c r="O442" i="31"/>
  <c r="P442" i="31"/>
  <c r="Q442" i="31"/>
  <c r="R442" i="31"/>
  <c r="S442" i="31" s="1"/>
  <c r="O443" i="31"/>
  <c r="P443" i="31" s="1"/>
  <c r="Q443" i="31" s="1"/>
  <c r="R443" i="31" s="1"/>
  <c r="S443" i="31"/>
  <c r="O444" i="31"/>
  <c r="P444" i="31" s="1"/>
  <c r="Q444" i="31" s="1"/>
  <c r="R444" i="31" s="1"/>
  <c r="S444" i="31" s="1"/>
  <c r="O445" i="31"/>
  <c r="P445" i="31" s="1"/>
  <c r="Q445" i="31" s="1"/>
  <c r="R445" i="31" s="1"/>
  <c r="S445" i="31" s="1"/>
  <c r="O446" i="31"/>
  <c r="P446" i="31"/>
  <c r="Q446" i="31" s="1"/>
  <c r="R446" i="31" s="1"/>
  <c r="S446" i="31" s="1"/>
  <c r="O447" i="31"/>
  <c r="P447" i="31"/>
  <c r="Q447" i="31" s="1"/>
  <c r="R447" i="31" s="1"/>
  <c r="S447" i="31" s="1"/>
  <c r="O448" i="31"/>
  <c r="P448" i="31"/>
  <c r="Q448" i="31" s="1"/>
  <c r="R448" i="31" s="1"/>
  <c r="S448" i="31" s="1"/>
  <c r="O449" i="31"/>
  <c r="P449" i="31"/>
  <c r="Q449" i="31" s="1"/>
  <c r="R449" i="31" s="1"/>
  <c r="S449" i="31" s="1"/>
  <c r="O450" i="31"/>
  <c r="P450" i="31"/>
  <c r="Q450" i="31"/>
  <c r="R450" i="31" s="1"/>
  <c r="S450" i="31" s="1"/>
  <c r="O451" i="31"/>
  <c r="P451" i="31"/>
  <c r="Q451" i="31" s="1"/>
  <c r="R451" i="31" s="1"/>
  <c r="S451" i="31"/>
  <c r="O452" i="31"/>
  <c r="P452" i="31" s="1"/>
  <c r="Q452" i="31" s="1"/>
  <c r="R452" i="31" s="1"/>
  <c r="S452" i="31" s="1"/>
  <c r="O453" i="31"/>
  <c r="P453" i="31" s="1"/>
  <c r="Q453" i="31" s="1"/>
  <c r="R453" i="31" s="1"/>
  <c r="S453" i="31" s="1"/>
  <c r="O454" i="31"/>
  <c r="P454" i="31" s="1"/>
  <c r="Q454" i="31" s="1"/>
  <c r="R454" i="31" s="1"/>
  <c r="S454" i="31"/>
  <c r="O455" i="31"/>
  <c r="P455" i="31"/>
  <c r="Q455" i="31"/>
  <c r="R455" i="31"/>
  <c r="S455" i="31" s="1"/>
  <c r="O456" i="31"/>
  <c r="P456" i="31" s="1"/>
  <c r="Q456" i="31" s="1"/>
  <c r="R456" i="31" s="1"/>
  <c r="S456" i="31" s="1"/>
  <c r="O457" i="31"/>
  <c r="P457" i="31"/>
  <c r="Q457" i="31" s="1"/>
  <c r="R457" i="31" s="1"/>
  <c r="S457" i="31"/>
  <c r="O458" i="31"/>
  <c r="P458" i="31" s="1"/>
  <c r="Q458" i="31" s="1"/>
  <c r="R458" i="31" s="1"/>
  <c r="S458" i="31" s="1"/>
  <c r="O459" i="31"/>
  <c r="P459" i="31"/>
  <c r="Q459" i="31"/>
  <c r="R459" i="31" s="1"/>
  <c r="S459" i="31" s="1"/>
  <c r="O460" i="31"/>
  <c r="P460" i="31" s="1"/>
  <c r="Q460" i="31" s="1"/>
  <c r="R460" i="31" s="1"/>
  <c r="S460" i="31" s="1"/>
  <c r="O461" i="31"/>
  <c r="P461" i="31"/>
  <c r="Q461" i="31" s="1"/>
  <c r="R461" i="31" s="1"/>
  <c r="S461" i="31" s="1"/>
  <c r="O462" i="31"/>
  <c r="P462" i="31" s="1"/>
  <c r="Q462" i="31"/>
  <c r="R462" i="31"/>
  <c r="S462" i="31" s="1"/>
  <c r="O463" i="31"/>
  <c r="P463" i="31" s="1"/>
  <c r="Q463" i="31" s="1"/>
  <c r="R463" i="31" s="1"/>
  <c r="S463" i="31" s="1"/>
  <c r="O464" i="31"/>
  <c r="P464" i="31"/>
  <c r="Q464" i="31"/>
  <c r="R464" i="31" s="1"/>
  <c r="S464" i="31"/>
  <c r="O465" i="31"/>
  <c r="P465" i="31"/>
  <c r="Q465" i="31" s="1"/>
  <c r="R465" i="31" s="1"/>
  <c r="S465" i="31" s="1"/>
  <c r="O466" i="31"/>
  <c r="P466" i="31"/>
  <c r="Q466" i="31" s="1"/>
  <c r="R466" i="31" s="1"/>
  <c r="S466" i="31" s="1"/>
  <c r="O467" i="31"/>
  <c r="P467" i="31"/>
  <c r="Q467" i="31" s="1"/>
  <c r="R467" i="31" s="1"/>
  <c r="S467" i="31" s="1"/>
  <c r="O468" i="31"/>
  <c r="P468" i="31"/>
  <c r="Q468" i="31" s="1"/>
  <c r="R468" i="31" s="1"/>
  <c r="S468" i="31" s="1"/>
  <c r="O469" i="31"/>
  <c r="P469" i="31" s="1"/>
  <c r="Q469" i="31" s="1"/>
  <c r="R469" i="31" s="1"/>
  <c r="S469" i="31" s="1"/>
  <c r="O470" i="31"/>
  <c r="P470" i="31" s="1"/>
  <c r="Q470" i="31"/>
  <c r="R470" i="31" s="1"/>
  <c r="S470" i="31" s="1"/>
  <c r="O471" i="31"/>
  <c r="P471" i="31"/>
  <c r="Q471" i="31"/>
  <c r="R471" i="31"/>
  <c r="S471" i="31" s="1"/>
  <c r="O472" i="31"/>
  <c r="P472" i="31"/>
  <c r="Q472" i="31"/>
  <c r="R472" i="31" s="1"/>
  <c r="S472" i="31" s="1"/>
  <c r="O473" i="31"/>
  <c r="P473" i="31"/>
  <c r="Q473" i="31" s="1"/>
  <c r="R473" i="31" s="1"/>
  <c r="S473" i="31" s="1"/>
  <c r="O474" i="31"/>
  <c r="P474" i="31"/>
  <c r="Q474" i="31"/>
  <c r="R474" i="31" s="1"/>
  <c r="S474" i="31" s="1"/>
  <c r="O475" i="31"/>
  <c r="P475" i="31"/>
  <c r="Q475" i="31"/>
  <c r="R475" i="31" s="1"/>
  <c r="S475" i="31" s="1"/>
  <c r="O476" i="31"/>
  <c r="P476" i="31" s="1"/>
  <c r="Q476" i="31" s="1"/>
  <c r="R476" i="31" s="1"/>
  <c r="S476" i="31"/>
  <c r="O477" i="31"/>
  <c r="P477" i="31" s="1"/>
  <c r="Q477" i="31" s="1"/>
  <c r="R477" i="31"/>
  <c r="S477" i="31" s="1"/>
  <c r="O478" i="31"/>
  <c r="P478" i="31" s="1"/>
  <c r="Q478" i="31"/>
  <c r="R478" i="31"/>
  <c r="S478" i="31"/>
  <c r="O479" i="31"/>
  <c r="P479" i="31" s="1"/>
  <c r="Q479" i="31"/>
  <c r="R479" i="31" s="1"/>
  <c r="S479" i="31" s="1"/>
  <c r="O480" i="31"/>
  <c r="P480" i="31"/>
  <c r="Q480" i="31"/>
  <c r="R480" i="31"/>
  <c r="S480" i="31" s="1"/>
  <c r="O481" i="31"/>
  <c r="P481" i="31"/>
  <c r="Q481" i="31" s="1"/>
  <c r="R481" i="31" s="1"/>
  <c r="S481" i="31" s="1"/>
  <c r="O482" i="31"/>
  <c r="P482" i="31"/>
  <c r="Q482" i="31"/>
  <c r="R482" i="31"/>
  <c r="S482" i="31" s="1"/>
  <c r="O483" i="31"/>
  <c r="P483" i="31"/>
  <c r="Q483" i="31" s="1"/>
  <c r="R483" i="31" s="1"/>
  <c r="S483" i="31" s="1"/>
  <c r="O484" i="31"/>
  <c r="P484" i="31"/>
  <c r="Q484" i="31" s="1"/>
  <c r="R484" i="31" s="1"/>
  <c r="S484" i="31" s="1"/>
  <c r="O485" i="31"/>
  <c r="P485" i="31" s="1"/>
  <c r="Q485" i="31"/>
  <c r="R485" i="31" s="1"/>
  <c r="S485" i="31" s="1"/>
  <c r="O486" i="31"/>
  <c r="P486" i="31" s="1"/>
  <c r="Q486" i="31"/>
  <c r="R486" i="31"/>
  <c r="S486" i="31" s="1"/>
  <c r="O487" i="31"/>
  <c r="P487" i="31"/>
  <c r="Q487" i="31" s="1"/>
  <c r="R487" i="31" s="1"/>
  <c r="S487" i="31" s="1"/>
  <c r="O488" i="31"/>
  <c r="P488" i="31"/>
  <c r="Q488" i="31"/>
  <c r="R488" i="31" s="1"/>
  <c r="S488" i="31" s="1"/>
  <c r="O489" i="31"/>
  <c r="P489" i="31"/>
  <c r="Q489" i="31" s="1"/>
  <c r="R489" i="31" s="1"/>
  <c r="S489" i="31" s="1"/>
  <c r="O490" i="31"/>
  <c r="P490" i="31"/>
  <c r="Q490" i="31"/>
  <c r="R490" i="31" s="1"/>
  <c r="S490" i="31" s="1"/>
  <c r="O491" i="31"/>
  <c r="P491" i="31"/>
  <c r="Q491" i="31" s="1"/>
  <c r="R491" i="31" s="1"/>
  <c r="S491" i="31" s="1"/>
  <c r="O492" i="31"/>
  <c r="P492" i="31" s="1"/>
  <c r="Q492" i="31"/>
  <c r="R492" i="31" s="1"/>
  <c r="S492" i="31" s="1"/>
  <c r="O493" i="31"/>
  <c r="P493" i="31"/>
  <c r="Q493" i="31" s="1"/>
  <c r="R493" i="31" s="1"/>
  <c r="S493" i="31" s="1"/>
  <c r="O494" i="31"/>
  <c r="P494" i="31" s="1"/>
  <c r="Q494" i="31"/>
  <c r="R494" i="31" s="1"/>
  <c r="S494" i="31" s="1"/>
  <c r="O495" i="31"/>
  <c r="P495" i="31" s="1"/>
  <c r="Q495" i="31" s="1"/>
  <c r="R495" i="31" s="1"/>
  <c r="S495" i="31" s="1"/>
  <c r="O496" i="31"/>
  <c r="P496" i="31"/>
  <c r="Q496" i="31" s="1"/>
  <c r="R496" i="31" s="1"/>
  <c r="S496" i="31"/>
  <c r="O497" i="31"/>
  <c r="P497" i="31"/>
  <c r="Q497" i="31" s="1"/>
  <c r="R497" i="31" s="1"/>
  <c r="S497" i="31" s="1"/>
  <c r="O498" i="31"/>
  <c r="P498" i="31"/>
  <c r="Q498" i="31" s="1"/>
  <c r="R498" i="31" s="1"/>
  <c r="S498" i="31" s="1"/>
  <c r="O499" i="31"/>
  <c r="P499" i="31"/>
  <c r="Q499" i="31" s="1"/>
  <c r="R499" i="31" s="1"/>
  <c r="S499" i="31"/>
  <c r="O500" i="31"/>
  <c r="P500" i="31" s="1"/>
  <c r="Q500" i="31" s="1"/>
  <c r="R500" i="31" s="1"/>
  <c r="S500" i="31"/>
  <c r="O501" i="31"/>
  <c r="P501" i="31" s="1"/>
  <c r="Q501" i="31"/>
  <c r="R501" i="31" s="1"/>
  <c r="S501" i="31" s="1"/>
  <c r="O502" i="31"/>
  <c r="P502" i="31" s="1"/>
  <c r="Q502" i="31" s="1"/>
  <c r="R502" i="31" s="1"/>
  <c r="S502" i="31"/>
  <c r="O503" i="31"/>
  <c r="P503" i="31"/>
  <c r="Q503" i="31" s="1"/>
  <c r="R503" i="31"/>
  <c r="S503" i="31" s="1"/>
  <c r="O504" i="31"/>
  <c r="P504" i="31" s="1"/>
  <c r="Q504" i="31" s="1"/>
  <c r="R504" i="31"/>
  <c r="S504" i="31" s="1"/>
  <c r="O505" i="31"/>
  <c r="P505" i="31"/>
  <c r="Q505" i="31" s="1"/>
  <c r="R505" i="31" s="1"/>
  <c r="S505" i="31"/>
  <c r="O506" i="31"/>
  <c r="P506" i="31" s="1"/>
  <c r="Q506" i="31" s="1"/>
  <c r="R506" i="31" s="1"/>
  <c r="S506" i="31"/>
  <c r="O507" i="31"/>
  <c r="P507" i="31"/>
  <c r="Q507" i="31" s="1"/>
  <c r="R507" i="31"/>
  <c r="S507" i="31" s="1"/>
  <c r="O508" i="31"/>
  <c r="P508" i="31" s="1"/>
  <c r="Q508" i="31" s="1"/>
  <c r="R508" i="31" s="1"/>
  <c r="S508" i="31"/>
  <c r="O509" i="31"/>
  <c r="P509" i="31"/>
  <c r="Q509" i="31" s="1"/>
  <c r="R509" i="31"/>
  <c r="S509" i="31" s="1"/>
  <c r="O510" i="31"/>
  <c r="P510" i="31" s="1"/>
  <c r="Q510" i="31"/>
  <c r="R510" i="31"/>
  <c r="S510" i="31" s="1"/>
  <c r="O511" i="31"/>
  <c r="P511" i="31" s="1"/>
  <c r="Q511" i="31"/>
  <c r="R511" i="31"/>
  <c r="S511" i="31" s="1"/>
  <c r="O512" i="31"/>
  <c r="P512" i="31"/>
  <c r="Q512" i="31"/>
  <c r="R512" i="31" s="1"/>
  <c r="S512" i="31" s="1"/>
  <c r="O513" i="31"/>
  <c r="P513" i="31"/>
  <c r="Q513" i="31" s="1"/>
  <c r="R513" i="31"/>
  <c r="S513" i="31" s="1"/>
  <c r="O514" i="31"/>
  <c r="P514" i="31" s="1"/>
  <c r="Q514" i="31"/>
  <c r="R514" i="31" s="1"/>
  <c r="S514" i="31" s="1"/>
  <c r="O515" i="31"/>
  <c r="P515" i="31"/>
  <c r="Q515" i="31" s="1"/>
  <c r="R515" i="31"/>
  <c r="S515" i="31" s="1"/>
  <c r="O516" i="31"/>
  <c r="P516" i="31"/>
  <c r="Q516" i="31" s="1"/>
  <c r="R516" i="31" s="1"/>
  <c r="S516" i="31" s="1"/>
  <c r="O517" i="31"/>
  <c r="P517" i="31" s="1"/>
  <c r="Q517" i="31"/>
  <c r="R517" i="31"/>
  <c r="S517" i="31" s="1"/>
  <c r="O518" i="31"/>
  <c r="P518" i="31" s="1"/>
  <c r="Q518" i="31"/>
  <c r="R518" i="31" s="1"/>
  <c r="S518" i="31" s="1"/>
  <c r="O519" i="31"/>
  <c r="P519" i="31"/>
  <c r="Q519" i="31"/>
  <c r="R519" i="31" s="1"/>
  <c r="S519" i="31" s="1"/>
  <c r="O520" i="31"/>
  <c r="P520" i="31"/>
  <c r="Q520" i="31" s="1"/>
  <c r="R520" i="31" s="1"/>
  <c r="S520" i="31" s="1"/>
  <c r="O521" i="31"/>
  <c r="P521" i="31"/>
  <c r="Q521" i="31" s="1"/>
  <c r="R521" i="31" s="1"/>
  <c r="S521" i="31" s="1"/>
  <c r="O522" i="31"/>
  <c r="P522" i="31"/>
  <c r="Q522" i="31" s="1"/>
  <c r="R522" i="31" s="1"/>
  <c r="S522" i="31" s="1"/>
  <c r="O523" i="31"/>
  <c r="P523" i="31"/>
  <c r="Q523" i="31"/>
  <c r="R523" i="31" s="1"/>
  <c r="S523" i="31" s="1"/>
  <c r="O524" i="31"/>
  <c r="P524" i="31" s="1"/>
  <c r="Q524" i="31" s="1"/>
  <c r="R524" i="31" s="1"/>
  <c r="S524" i="31" s="1"/>
  <c r="O525" i="31"/>
  <c r="P525" i="31"/>
  <c r="Q525" i="31"/>
  <c r="R525" i="31" s="1"/>
  <c r="S525" i="31" s="1"/>
  <c r="O526" i="31"/>
  <c r="P526" i="31" s="1"/>
  <c r="Q526" i="31"/>
  <c r="R526" i="31"/>
  <c r="S526" i="31" s="1"/>
  <c r="O527" i="31"/>
  <c r="P527" i="31"/>
  <c r="Q527" i="31" s="1"/>
  <c r="R527" i="31" s="1"/>
  <c r="S527" i="31" s="1"/>
  <c r="O528" i="31"/>
  <c r="P528" i="31"/>
  <c r="Q528" i="31"/>
  <c r="R528" i="31" s="1"/>
  <c r="S528" i="31" s="1"/>
  <c r="O529" i="31"/>
  <c r="P529" i="31" s="1"/>
  <c r="Q529" i="31" s="1"/>
  <c r="R529" i="31" s="1"/>
  <c r="S529" i="31" s="1"/>
  <c r="O530" i="31"/>
  <c r="P530" i="31" s="1"/>
  <c r="Q530" i="31" s="1"/>
  <c r="R530" i="31" s="1"/>
  <c r="S530" i="31"/>
  <c r="O531" i="31"/>
  <c r="P531" i="31"/>
  <c r="Q531" i="31" s="1"/>
  <c r="R531" i="31" s="1"/>
  <c r="S531" i="31" s="1"/>
  <c r="O532" i="31"/>
  <c r="P532" i="31"/>
  <c r="Q532" i="31" s="1"/>
  <c r="R532" i="31" s="1"/>
  <c r="S532" i="31"/>
  <c r="O533" i="31"/>
  <c r="P533" i="31" s="1"/>
  <c r="Q533" i="31" s="1"/>
  <c r="R533" i="31" s="1"/>
  <c r="S533" i="31"/>
  <c r="O534" i="31"/>
  <c r="P534" i="31" s="1"/>
  <c r="Q534" i="31"/>
  <c r="R534" i="31" s="1"/>
  <c r="S534" i="31" s="1"/>
  <c r="O535" i="31"/>
  <c r="P535" i="31"/>
  <c r="Q535" i="31" s="1"/>
  <c r="R535" i="31"/>
  <c r="S535" i="31" s="1"/>
  <c r="O536" i="31"/>
  <c r="P536" i="31"/>
  <c r="Q536" i="31" s="1"/>
  <c r="R536" i="31"/>
  <c r="S536" i="31" s="1"/>
  <c r="O537" i="31"/>
  <c r="P537" i="31" s="1"/>
  <c r="Q537" i="31" s="1"/>
  <c r="R537" i="31" s="1"/>
  <c r="S537" i="31" s="1"/>
  <c r="O538" i="31"/>
  <c r="P538" i="31"/>
  <c r="Q538" i="31" s="1"/>
  <c r="R538" i="31"/>
  <c r="S538" i="31"/>
  <c r="O539" i="31"/>
  <c r="P539" i="31"/>
  <c r="Q539" i="31"/>
  <c r="R539" i="31" s="1"/>
  <c r="S539" i="31" s="1"/>
  <c r="O540" i="31"/>
  <c r="P540" i="31"/>
  <c r="Q540" i="31"/>
  <c r="R540" i="31" s="1"/>
  <c r="S540" i="31" s="1"/>
  <c r="O541" i="31"/>
  <c r="P541" i="31"/>
  <c r="Q541" i="31" s="1"/>
  <c r="R541" i="31"/>
  <c r="S541" i="31" s="1"/>
  <c r="O542" i="31"/>
  <c r="P542" i="31" s="1"/>
  <c r="Q542" i="31" s="1"/>
  <c r="R542" i="31" s="1"/>
  <c r="S542" i="31" s="1"/>
  <c r="O543" i="31"/>
  <c r="P543" i="31" s="1"/>
  <c r="Q543" i="31" s="1"/>
  <c r="R543" i="31" s="1"/>
  <c r="S543" i="31" s="1"/>
  <c r="O544" i="31"/>
  <c r="P544" i="31"/>
  <c r="Q544" i="31" s="1"/>
  <c r="R544" i="31" s="1"/>
  <c r="S544" i="31"/>
  <c r="O545" i="31"/>
  <c r="P545" i="31"/>
  <c r="Q545" i="31" s="1"/>
  <c r="R545" i="31" s="1"/>
  <c r="S545" i="31" s="1"/>
  <c r="O546" i="31"/>
  <c r="P546" i="31" s="1"/>
  <c r="Q546" i="31" s="1"/>
  <c r="R546" i="31" s="1"/>
  <c r="S546" i="31" s="1"/>
  <c r="O547" i="31"/>
  <c r="P547" i="31" s="1"/>
  <c r="Q547" i="31"/>
  <c r="R547" i="31"/>
  <c r="S547" i="31" s="1"/>
  <c r="O548" i="31"/>
  <c r="P548" i="31"/>
  <c r="Q548" i="31" s="1"/>
  <c r="R548" i="31" s="1"/>
  <c r="S548" i="31" s="1"/>
  <c r="O549" i="31"/>
  <c r="P549" i="31" s="1"/>
  <c r="Q549" i="31" s="1"/>
  <c r="R549" i="31" s="1"/>
  <c r="S549" i="31" s="1"/>
  <c r="O550" i="31"/>
  <c r="P550" i="31"/>
  <c r="Q550" i="31" s="1"/>
  <c r="R550" i="31"/>
  <c r="S550" i="31"/>
  <c r="O551" i="31"/>
  <c r="P551" i="31" s="1"/>
  <c r="Q551" i="31"/>
  <c r="R551" i="31" s="1"/>
  <c r="S551" i="31" s="1"/>
  <c r="O552" i="31"/>
  <c r="P552" i="31"/>
  <c r="Q552" i="31"/>
  <c r="R552" i="31" s="1"/>
  <c r="S552" i="31" s="1"/>
  <c r="O553" i="31"/>
  <c r="P553" i="31" s="1"/>
  <c r="Q553" i="31"/>
  <c r="R553" i="31" s="1"/>
  <c r="S553" i="31" s="1"/>
  <c r="O554" i="31"/>
  <c r="P554" i="31" s="1"/>
  <c r="Q554" i="31" s="1"/>
  <c r="R554" i="31" s="1"/>
  <c r="S554" i="31" s="1"/>
  <c r="O555" i="31"/>
  <c r="P555" i="31" s="1"/>
  <c r="Q555" i="31"/>
  <c r="R555" i="31"/>
  <c r="S555" i="31" s="1"/>
  <c r="O556" i="31"/>
  <c r="P556" i="31"/>
  <c r="Q556" i="31" s="1"/>
  <c r="R556" i="31" s="1"/>
  <c r="S556" i="31" s="1"/>
  <c r="O557" i="31"/>
  <c r="P557" i="31" s="1"/>
  <c r="Q557" i="31" s="1"/>
  <c r="R557" i="31" s="1"/>
  <c r="S557" i="31" s="1"/>
  <c r="O558" i="31"/>
  <c r="P558" i="31"/>
  <c r="Q558" i="31" s="1"/>
  <c r="R558" i="31"/>
  <c r="S558" i="31"/>
  <c r="O559" i="31"/>
  <c r="P559" i="31" s="1"/>
  <c r="Q559" i="31"/>
  <c r="R559" i="31" s="1"/>
  <c r="S559" i="31" s="1"/>
  <c r="O560" i="31"/>
  <c r="P560" i="31"/>
  <c r="Q560" i="31"/>
  <c r="R560" i="31" s="1"/>
  <c r="S560" i="31" s="1"/>
  <c r="O561" i="31"/>
  <c r="P561" i="31" s="1"/>
  <c r="Q561" i="31"/>
  <c r="R561" i="31" s="1"/>
  <c r="S561" i="31" s="1"/>
  <c r="O562" i="31"/>
  <c r="P562" i="31" s="1"/>
  <c r="Q562" i="31" s="1"/>
  <c r="R562" i="31" s="1"/>
  <c r="S562" i="31" s="1"/>
  <c r="O563" i="31"/>
  <c r="P563" i="31" s="1"/>
  <c r="Q563" i="31"/>
  <c r="R563" i="31"/>
  <c r="S563" i="31" s="1"/>
  <c r="O564" i="31"/>
  <c r="P564" i="31"/>
  <c r="Q564" i="31" s="1"/>
  <c r="R564" i="31" s="1"/>
  <c r="S564" i="31" s="1"/>
  <c r="O565" i="31"/>
  <c r="P565" i="31" s="1"/>
  <c r="Q565" i="31" s="1"/>
  <c r="R565" i="31" s="1"/>
  <c r="S565" i="31" s="1"/>
  <c r="O566" i="31"/>
  <c r="P566" i="31"/>
  <c r="Q566" i="31" s="1"/>
  <c r="R566" i="31"/>
  <c r="S566" i="31"/>
  <c r="O567" i="31"/>
  <c r="P567" i="31" s="1"/>
  <c r="Q567" i="31"/>
  <c r="R567" i="31" s="1"/>
  <c r="S567" i="31" s="1"/>
  <c r="O568" i="31"/>
  <c r="P568" i="31"/>
  <c r="Q568" i="31"/>
  <c r="R568" i="31" s="1"/>
  <c r="S568" i="31" s="1"/>
  <c r="O569" i="31"/>
  <c r="P569" i="31" s="1"/>
  <c r="Q569" i="31"/>
  <c r="R569" i="31" s="1"/>
  <c r="S569" i="31" s="1"/>
  <c r="O570" i="31"/>
  <c r="P570" i="31" s="1"/>
  <c r="Q570" i="31" s="1"/>
  <c r="R570" i="31" s="1"/>
  <c r="S570" i="31" s="1"/>
  <c r="O571" i="31"/>
  <c r="P571" i="31" s="1"/>
  <c r="Q571" i="31"/>
  <c r="R571" i="31"/>
  <c r="S571" i="31" s="1"/>
  <c r="O572" i="31"/>
  <c r="P572" i="31"/>
  <c r="Q572" i="31" s="1"/>
  <c r="R572" i="31" s="1"/>
  <c r="S572" i="31" s="1"/>
  <c r="O573" i="31"/>
  <c r="P573" i="31" s="1"/>
  <c r="Q573" i="31" s="1"/>
  <c r="R573" i="31" s="1"/>
  <c r="S573" i="31" s="1"/>
  <c r="O574" i="31"/>
  <c r="P574" i="31"/>
  <c r="Q574" i="31" s="1"/>
  <c r="R574" i="31"/>
  <c r="S574" i="31"/>
  <c r="O575" i="31"/>
  <c r="P575" i="31" s="1"/>
  <c r="Q575" i="31"/>
  <c r="R575" i="31" s="1"/>
  <c r="S575" i="31" s="1"/>
  <c r="O576" i="31"/>
  <c r="P576" i="31"/>
  <c r="Q576" i="31"/>
  <c r="R576" i="31" s="1"/>
  <c r="S576" i="31" s="1"/>
  <c r="O577" i="31"/>
  <c r="P577" i="31" s="1"/>
  <c r="Q577" i="31"/>
  <c r="R577" i="31" s="1"/>
  <c r="S577" i="31" s="1"/>
  <c r="O578" i="31"/>
  <c r="P578" i="31" s="1"/>
  <c r="Q578" i="31" s="1"/>
  <c r="R578" i="31" s="1"/>
  <c r="S578" i="31" s="1"/>
  <c r="O579" i="31"/>
  <c r="P579" i="31" s="1"/>
  <c r="Q579" i="31"/>
  <c r="R579" i="31"/>
  <c r="S579" i="31" s="1"/>
  <c r="O580" i="31"/>
  <c r="P580" i="31"/>
  <c r="Q580" i="31" s="1"/>
  <c r="R580" i="31" s="1"/>
  <c r="S580" i="31" s="1"/>
  <c r="O581" i="31"/>
  <c r="P581" i="31" s="1"/>
  <c r="Q581" i="31" s="1"/>
  <c r="R581" i="31" s="1"/>
  <c r="S581" i="31" s="1"/>
  <c r="O582" i="31"/>
  <c r="P582" i="31"/>
  <c r="Q582" i="31" s="1"/>
  <c r="R582" i="31"/>
  <c r="S582" i="31"/>
  <c r="O583" i="31"/>
  <c r="P583" i="31" s="1"/>
  <c r="Q583" i="31"/>
  <c r="R583" i="31" s="1"/>
  <c r="S583" i="31" s="1"/>
  <c r="O584" i="31"/>
  <c r="P584" i="31"/>
  <c r="Q584" i="31"/>
  <c r="R584" i="31" s="1"/>
  <c r="S584" i="31" s="1"/>
  <c r="O585" i="31"/>
  <c r="P585" i="31" s="1"/>
  <c r="Q585" i="31"/>
  <c r="R585" i="31" s="1"/>
  <c r="S585" i="31" s="1"/>
  <c r="O586" i="31"/>
  <c r="P586" i="31" s="1"/>
  <c r="Q586" i="31" s="1"/>
  <c r="R586" i="31" s="1"/>
  <c r="S586" i="31" s="1"/>
  <c r="O587" i="31"/>
  <c r="P587" i="31" s="1"/>
  <c r="Q587" i="31"/>
  <c r="R587" i="31"/>
  <c r="S587" i="31" s="1"/>
  <c r="O588" i="31"/>
  <c r="P588" i="31"/>
  <c r="Q588" i="31" s="1"/>
  <c r="R588" i="31" s="1"/>
  <c r="S588" i="31" s="1"/>
  <c r="O589" i="31"/>
  <c r="P589" i="31" s="1"/>
  <c r="Q589" i="31" s="1"/>
  <c r="R589" i="31" s="1"/>
  <c r="S589" i="31" s="1"/>
  <c r="O590" i="31"/>
  <c r="P590" i="31"/>
  <c r="Q590" i="31" s="1"/>
  <c r="R590" i="31"/>
  <c r="S590" i="31"/>
  <c r="O591" i="31"/>
  <c r="P591" i="31" s="1"/>
  <c r="Q591" i="31"/>
  <c r="R591" i="31" s="1"/>
  <c r="S591" i="31" s="1"/>
  <c r="O592" i="31"/>
  <c r="P592" i="31"/>
  <c r="Q592" i="31"/>
  <c r="R592" i="31" s="1"/>
  <c r="S592" i="31" s="1"/>
  <c r="O593" i="31"/>
  <c r="P593" i="31" s="1"/>
  <c r="Q593" i="31"/>
  <c r="R593" i="31" s="1"/>
  <c r="S593" i="31" s="1"/>
  <c r="O594" i="31"/>
  <c r="P594" i="31" s="1"/>
  <c r="Q594" i="31" s="1"/>
  <c r="R594" i="31" s="1"/>
  <c r="S594" i="31" s="1"/>
  <c r="O595" i="31"/>
  <c r="P595" i="31" s="1"/>
  <c r="Q595" i="31"/>
  <c r="R595" i="31"/>
  <c r="S595" i="31" s="1"/>
  <c r="O596" i="31"/>
  <c r="P596" i="31"/>
  <c r="Q596" i="31" s="1"/>
  <c r="R596" i="31" s="1"/>
  <c r="S596" i="31" s="1"/>
  <c r="O597" i="31"/>
  <c r="P597" i="31" s="1"/>
  <c r="Q597" i="31" s="1"/>
  <c r="R597" i="31" s="1"/>
  <c r="S597" i="31" s="1"/>
  <c r="O598" i="31"/>
  <c r="P598" i="31"/>
  <c r="Q598" i="31" s="1"/>
  <c r="R598" i="31"/>
  <c r="S598" i="31"/>
  <c r="O599" i="31"/>
  <c r="P599" i="31" s="1"/>
  <c r="Q599" i="31"/>
  <c r="R599" i="31" s="1"/>
  <c r="S599" i="31" s="1"/>
  <c r="O600" i="31"/>
  <c r="P600" i="31"/>
  <c r="Q600" i="31"/>
  <c r="R600" i="31" s="1"/>
  <c r="S600" i="31" s="1"/>
  <c r="O601" i="31"/>
  <c r="P601" i="31" s="1"/>
  <c r="Q601" i="31"/>
  <c r="R601" i="31" s="1"/>
  <c r="S601" i="31" s="1"/>
  <c r="O602" i="31"/>
  <c r="P602" i="31" s="1"/>
  <c r="Q602" i="31" s="1"/>
  <c r="R602" i="31" s="1"/>
  <c r="S602" i="31" s="1"/>
  <c r="O603" i="31"/>
  <c r="P603" i="31" s="1"/>
  <c r="Q603" i="31"/>
  <c r="R603" i="31"/>
  <c r="S603" i="31"/>
  <c r="O604" i="31"/>
  <c r="P604" i="31"/>
  <c r="Q604" i="31" s="1"/>
  <c r="R604" i="31"/>
  <c r="S604" i="31" s="1"/>
  <c r="O605" i="31"/>
  <c r="P605" i="31"/>
  <c r="Q605" i="31"/>
  <c r="R605" i="31" s="1"/>
  <c r="S605" i="31"/>
  <c r="O606" i="31"/>
  <c r="P606" i="31"/>
  <c r="Q606" i="31" s="1"/>
  <c r="R606" i="31" s="1"/>
  <c r="S606" i="31" s="1"/>
  <c r="O607" i="31"/>
  <c r="P607" i="31" s="1"/>
  <c r="Q607" i="31"/>
  <c r="R607" i="31" s="1"/>
  <c r="S607" i="31"/>
  <c r="O608" i="31"/>
  <c r="P608" i="31"/>
  <c r="Q608" i="31"/>
  <c r="R608" i="31" s="1"/>
  <c r="S608" i="31" s="1"/>
  <c r="O609" i="31"/>
  <c r="P609" i="31" s="1"/>
  <c r="Q609" i="31" s="1"/>
  <c r="R609" i="31" s="1"/>
  <c r="S609" i="31" s="1"/>
  <c r="O610" i="31"/>
  <c r="P610" i="31"/>
  <c r="Q610" i="31" s="1"/>
  <c r="R610" i="31"/>
  <c r="S610" i="31" s="1"/>
  <c r="O611" i="31"/>
  <c r="P611" i="31" s="1"/>
  <c r="Q611" i="31" s="1"/>
  <c r="R611" i="31" s="1"/>
  <c r="S611" i="31" s="1"/>
  <c r="P1" i="31"/>
  <c r="Q1" i="31"/>
  <c r="R1" i="31"/>
  <c r="S1" i="31"/>
  <c r="N2" i="31"/>
  <c r="N3" i="31"/>
  <c r="N4" i="31"/>
  <c r="N5" i="31"/>
  <c r="N6" i="31"/>
  <c r="N7" i="31"/>
  <c r="N8" i="31"/>
  <c r="N9" i="31"/>
  <c r="N10" i="31"/>
  <c r="N11" i="31"/>
  <c r="N12" i="31"/>
  <c r="N13" i="31"/>
  <c r="N14" i="31"/>
  <c r="N15" i="31"/>
  <c r="N16" i="31"/>
  <c r="N17" i="31"/>
  <c r="N18" i="31"/>
  <c r="N19" i="31"/>
  <c r="N20" i="31"/>
  <c r="N21" i="31"/>
  <c r="N22" i="31"/>
  <c r="N23" i="31"/>
  <c r="N24" i="31"/>
  <c r="N25" i="31"/>
  <c r="N26" i="31"/>
  <c r="N27" i="31"/>
  <c r="N28" i="31"/>
  <c r="N29" i="31"/>
  <c r="N30" i="31"/>
  <c r="N31" i="31"/>
  <c r="N32" i="31"/>
  <c r="N33" i="31"/>
  <c r="N34" i="31"/>
  <c r="N35" i="31"/>
  <c r="N36" i="31"/>
  <c r="N37" i="31"/>
  <c r="N38" i="31"/>
  <c r="N39" i="31"/>
  <c r="N40" i="31"/>
  <c r="N41" i="31"/>
  <c r="N42" i="31"/>
  <c r="N43" i="31"/>
  <c r="N44" i="31"/>
  <c r="N45" i="31"/>
  <c r="N46" i="31"/>
  <c r="N47" i="31"/>
  <c r="N48" i="31"/>
  <c r="N49" i="31"/>
  <c r="N50" i="31"/>
  <c r="N51" i="31"/>
  <c r="N52" i="31"/>
  <c r="N53" i="31"/>
  <c r="N54" i="31"/>
  <c r="N55" i="31"/>
  <c r="N56" i="31"/>
  <c r="N57" i="31"/>
  <c r="N58" i="31"/>
  <c r="N59" i="31"/>
  <c r="N60" i="31"/>
  <c r="N61" i="31"/>
  <c r="N62" i="31"/>
  <c r="N63" i="31"/>
  <c r="N64" i="31"/>
  <c r="N65" i="31"/>
  <c r="N66" i="31"/>
  <c r="N67" i="31"/>
  <c r="N68" i="31"/>
  <c r="N69" i="31"/>
  <c r="N70" i="31"/>
  <c r="N71" i="31"/>
  <c r="N72" i="31"/>
  <c r="N73" i="31"/>
  <c r="N74" i="31"/>
  <c r="N75" i="31"/>
  <c r="N76" i="31"/>
  <c r="N77" i="31"/>
  <c r="N78" i="31"/>
  <c r="N79" i="31"/>
  <c r="N80" i="31"/>
  <c r="N81" i="31"/>
  <c r="N82" i="31"/>
  <c r="N83" i="31"/>
  <c r="N84" i="31"/>
  <c r="N85" i="31"/>
  <c r="N86" i="31"/>
  <c r="N87" i="31"/>
  <c r="N88" i="31"/>
  <c r="N89" i="31"/>
  <c r="N90" i="31"/>
  <c r="N91" i="31"/>
  <c r="N92" i="31"/>
  <c r="N93" i="31"/>
  <c r="N94" i="31"/>
  <c r="N95" i="31"/>
  <c r="N96" i="31"/>
  <c r="N97" i="31"/>
  <c r="N98" i="31"/>
  <c r="N99" i="31"/>
  <c r="N100" i="31"/>
  <c r="N101" i="31"/>
  <c r="N102" i="31"/>
  <c r="N103" i="31"/>
  <c r="N104" i="31"/>
  <c r="N105" i="31"/>
  <c r="N106" i="31"/>
  <c r="N107" i="31"/>
  <c r="N108" i="31"/>
  <c r="N109" i="31"/>
  <c r="N110" i="31"/>
  <c r="N111" i="31"/>
  <c r="N112" i="31"/>
  <c r="N113" i="31"/>
  <c r="N114" i="31"/>
  <c r="N115" i="31"/>
  <c r="N116" i="31"/>
  <c r="N117" i="31"/>
  <c r="N118" i="31"/>
  <c r="N119" i="31"/>
  <c r="N120" i="31"/>
  <c r="N121" i="31"/>
  <c r="N122" i="31"/>
  <c r="N123" i="31"/>
  <c r="N124" i="31"/>
  <c r="N125" i="31"/>
  <c r="N126" i="31"/>
  <c r="N127" i="31"/>
  <c r="N128" i="31"/>
  <c r="N129" i="31"/>
  <c r="N130" i="31"/>
  <c r="N131"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N158" i="31"/>
  <c r="N159" i="31"/>
  <c r="N160" i="31"/>
  <c r="N161" i="31"/>
  <c r="N162" i="31"/>
  <c r="N163" i="31"/>
  <c r="N164" i="31"/>
  <c r="N165" i="31"/>
  <c r="N166" i="31"/>
  <c r="N167" i="31"/>
  <c r="N168" i="31"/>
  <c r="N169" i="31"/>
  <c r="N170" i="31"/>
  <c r="N171" i="31"/>
  <c r="N172" i="31"/>
  <c r="N173" i="31"/>
  <c r="N174" i="31"/>
  <c r="N175" i="31"/>
  <c r="N176" i="31"/>
  <c r="N177" i="31"/>
  <c r="N178" i="31"/>
  <c r="N179" i="31"/>
  <c r="N180" i="31"/>
  <c r="N181" i="31"/>
  <c r="N182" i="31"/>
  <c r="N183" i="31"/>
  <c r="N184" i="31"/>
  <c r="N185" i="31"/>
  <c r="N186" i="31"/>
  <c r="N187" i="31"/>
  <c r="N188" i="31"/>
  <c r="N189" i="31"/>
  <c r="N190" i="31"/>
  <c r="N191" i="31"/>
  <c r="N192" i="31"/>
  <c r="N193" i="31"/>
  <c r="N194" i="31"/>
  <c r="N195" i="31"/>
  <c r="N196" i="31"/>
  <c r="N197" i="31"/>
  <c r="N198" i="31"/>
  <c r="N199" i="31"/>
  <c r="N200" i="31"/>
  <c r="N201" i="31"/>
  <c r="N202" i="31"/>
  <c r="N203" i="31"/>
  <c r="N204" i="31"/>
  <c r="N205" i="31"/>
  <c r="N206" i="31"/>
  <c r="N207" i="31"/>
  <c r="N208" i="31"/>
  <c r="N209" i="31"/>
  <c r="N210" i="31"/>
  <c r="N211" i="31"/>
  <c r="N212" i="31"/>
  <c r="N213" i="31"/>
  <c r="N214" i="31"/>
  <c r="N215" i="31"/>
  <c r="N216" i="31"/>
  <c r="N217" i="31"/>
  <c r="N218" i="31"/>
  <c r="N219" i="31"/>
  <c r="N220" i="31"/>
  <c r="N221" i="31"/>
  <c r="N222" i="31"/>
  <c r="N223" i="31"/>
  <c r="N224" i="31"/>
  <c r="N225" i="31"/>
  <c r="N226" i="31"/>
  <c r="N227" i="31"/>
  <c r="N228" i="31"/>
  <c r="N229" i="31"/>
  <c r="N230" i="31"/>
  <c r="N231" i="31"/>
  <c r="N232" i="31"/>
  <c r="N233" i="31"/>
  <c r="N234" i="31"/>
  <c r="N235" i="31"/>
  <c r="N236" i="31"/>
  <c r="N237" i="31"/>
  <c r="N238" i="31"/>
  <c r="N239" i="31"/>
  <c r="N240" i="31"/>
  <c r="N241" i="31"/>
  <c r="N242" i="31"/>
  <c r="N243" i="31"/>
  <c r="N244" i="31"/>
  <c r="N245" i="31"/>
  <c r="N246" i="31"/>
  <c r="N247" i="31"/>
  <c r="N248" i="31"/>
  <c r="N249" i="31"/>
  <c r="N250" i="31"/>
  <c r="N251" i="31"/>
  <c r="N252" i="31"/>
  <c r="N253" i="31"/>
  <c r="N254" i="31"/>
  <c r="N255" i="31"/>
  <c r="N256" i="31"/>
  <c r="N257" i="31"/>
  <c r="N258" i="31"/>
  <c r="N259" i="31"/>
  <c r="N260" i="31"/>
  <c r="N261" i="31"/>
  <c r="N262" i="31"/>
  <c r="N263" i="31"/>
  <c r="N264" i="31"/>
  <c r="N265" i="31"/>
  <c r="N266" i="31"/>
  <c r="N267" i="31"/>
  <c r="N268" i="31"/>
  <c r="N269" i="31"/>
  <c r="N270" i="31"/>
  <c r="N271" i="31"/>
  <c r="N272" i="31"/>
  <c r="N273" i="31"/>
  <c r="N274" i="31"/>
  <c r="N275" i="31"/>
  <c r="N276" i="31"/>
  <c r="N277" i="31"/>
  <c r="N278" i="31"/>
  <c r="N279" i="31"/>
  <c r="N280" i="31"/>
  <c r="N281" i="31"/>
  <c r="N282" i="31"/>
  <c r="N283" i="31"/>
  <c r="N284" i="31"/>
  <c r="N285" i="31"/>
  <c r="N286" i="31"/>
  <c r="N287" i="31"/>
  <c r="N288" i="31"/>
  <c r="N289" i="31"/>
  <c r="N290" i="31"/>
  <c r="N291" i="31"/>
  <c r="N292" i="31"/>
  <c r="N293" i="31"/>
  <c r="N294" i="31"/>
  <c r="N295" i="31"/>
  <c r="N296" i="31"/>
  <c r="N297" i="31"/>
  <c r="N298" i="31"/>
  <c r="N299" i="31"/>
  <c r="N300" i="31"/>
  <c r="N301" i="31"/>
  <c r="N302" i="31"/>
  <c r="N303" i="31"/>
  <c r="N304" i="31"/>
  <c r="N305" i="31"/>
  <c r="N306" i="31"/>
  <c r="N307" i="31"/>
  <c r="N308" i="31"/>
  <c r="N309" i="31"/>
  <c r="N310" i="31"/>
  <c r="N311" i="31"/>
  <c r="N312" i="31"/>
  <c r="N313" i="31"/>
  <c r="N314" i="31"/>
  <c r="N315" i="31"/>
  <c r="N316" i="31"/>
  <c r="N317" i="31"/>
  <c r="N318" i="31"/>
  <c r="N319" i="31"/>
  <c r="N320" i="31"/>
  <c r="N321" i="31"/>
  <c r="N322" i="31"/>
  <c r="N323" i="31"/>
  <c r="N324" i="31"/>
  <c r="N325" i="31"/>
  <c r="N326" i="31"/>
  <c r="N327" i="31"/>
  <c r="N328" i="31"/>
  <c r="N329" i="31"/>
  <c r="N330" i="31"/>
  <c r="N331" i="31"/>
  <c r="N332" i="31"/>
  <c r="N333" i="31"/>
  <c r="N334" i="31"/>
  <c r="N335" i="31"/>
  <c r="N336" i="31"/>
  <c r="N337" i="31"/>
  <c r="N338" i="31"/>
  <c r="N339" i="31"/>
  <c r="N340" i="31"/>
  <c r="N341" i="31"/>
  <c r="N342" i="31"/>
  <c r="N343" i="31"/>
  <c r="N344" i="31"/>
  <c r="N345" i="31"/>
  <c r="N346" i="31"/>
  <c r="N347" i="31"/>
  <c r="N348" i="31"/>
  <c r="N349" i="31"/>
  <c r="N350" i="31"/>
  <c r="N351" i="31"/>
  <c r="N352" i="31"/>
  <c r="N353" i="31"/>
  <c r="N354" i="31"/>
  <c r="N355" i="31"/>
  <c r="N356" i="31"/>
  <c r="N357" i="31"/>
  <c r="N358" i="31"/>
  <c r="N359" i="31"/>
  <c r="N360" i="31"/>
  <c r="N361" i="31"/>
  <c r="N362" i="31"/>
  <c r="N363" i="31"/>
  <c r="N364" i="31"/>
  <c r="N365" i="31"/>
  <c r="N366" i="31"/>
  <c r="N367" i="31"/>
  <c r="N368" i="31"/>
  <c r="N369" i="31"/>
  <c r="N370" i="31"/>
  <c r="N371" i="31"/>
  <c r="N372" i="31"/>
  <c r="N373" i="31"/>
  <c r="N374" i="31"/>
  <c r="N375" i="31"/>
  <c r="N376" i="31"/>
  <c r="N377" i="31"/>
  <c r="N378" i="31"/>
  <c r="N379" i="31"/>
  <c r="N380" i="31"/>
  <c r="N381" i="31"/>
  <c r="N382" i="31"/>
  <c r="N383" i="31"/>
  <c r="N384" i="31"/>
  <c r="N385" i="31"/>
  <c r="N386" i="31"/>
  <c r="N387" i="31"/>
  <c r="N388" i="31"/>
  <c r="N389" i="31"/>
  <c r="N390" i="31"/>
  <c r="N391" i="31"/>
  <c r="N392" i="31"/>
  <c r="N393" i="31"/>
  <c r="N394" i="31"/>
  <c r="N395" i="31"/>
  <c r="N396" i="31"/>
  <c r="N397" i="31"/>
  <c r="N398" i="31"/>
  <c r="N399" i="31"/>
  <c r="N400" i="31"/>
  <c r="N401" i="31"/>
  <c r="N402" i="31"/>
  <c r="N403" i="31"/>
  <c r="N404" i="31"/>
  <c r="N405" i="31"/>
  <c r="N406" i="31"/>
  <c r="N407" i="31"/>
  <c r="N408" i="31"/>
  <c r="N409" i="31"/>
  <c r="N410" i="31"/>
  <c r="N411" i="31"/>
  <c r="N412" i="31"/>
  <c r="N413" i="31"/>
  <c r="N414" i="31"/>
  <c r="N415" i="31"/>
  <c r="N416" i="31"/>
  <c r="N417" i="31"/>
  <c r="N418" i="31"/>
  <c r="N419" i="31"/>
  <c r="N420" i="31"/>
  <c r="N421" i="31"/>
  <c r="N422" i="31"/>
  <c r="N423" i="31"/>
  <c r="N424" i="31"/>
  <c r="N425" i="31"/>
  <c r="N426" i="31"/>
  <c r="N427" i="31"/>
  <c r="N428" i="31"/>
  <c r="N429" i="31"/>
  <c r="N430" i="31"/>
  <c r="N431" i="31"/>
  <c r="N432" i="31"/>
  <c r="N433" i="31"/>
  <c r="N434" i="31"/>
  <c r="N435" i="31"/>
  <c r="N436" i="31"/>
  <c r="N437" i="31"/>
  <c r="N438" i="31"/>
  <c r="N439" i="31"/>
  <c r="N440" i="31"/>
  <c r="N441" i="31"/>
  <c r="N442" i="31"/>
  <c r="N443" i="31"/>
  <c r="N444" i="31"/>
  <c r="N445" i="31"/>
  <c r="N446" i="31"/>
  <c r="N447" i="31"/>
  <c r="N448" i="31"/>
  <c r="N449" i="31"/>
  <c r="N450" i="31"/>
  <c r="N451" i="31"/>
  <c r="N452" i="31"/>
  <c r="N453" i="31"/>
  <c r="N454" i="31"/>
  <c r="N455" i="31"/>
  <c r="N456" i="31"/>
  <c r="N457" i="31"/>
  <c r="N458" i="31"/>
  <c r="N459" i="31"/>
  <c r="N460" i="31"/>
  <c r="N461" i="31"/>
  <c r="N462" i="31"/>
  <c r="N463" i="31"/>
  <c r="N464" i="31"/>
  <c r="N465" i="31"/>
  <c r="N466" i="31"/>
  <c r="N467" i="31"/>
  <c r="N468" i="31"/>
  <c r="N469" i="31"/>
  <c r="N470" i="31"/>
  <c r="N471" i="31"/>
  <c r="N472" i="31"/>
  <c r="N473" i="31"/>
  <c r="N474" i="31"/>
  <c r="N475" i="31"/>
  <c r="N476" i="31"/>
  <c r="N477" i="31"/>
  <c r="N478" i="31"/>
  <c r="N479" i="31"/>
  <c r="N480" i="31"/>
  <c r="N481" i="31"/>
  <c r="N482" i="31"/>
  <c r="N483" i="31"/>
  <c r="N484" i="31"/>
  <c r="N485" i="31"/>
  <c r="N486" i="31"/>
  <c r="N487" i="31"/>
  <c r="N488" i="31"/>
  <c r="N489" i="31"/>
  <c r="N490" i="31"/>
  <c r="N491" i="31"/>
  <c r="N492" i="31"/>
  <c r="N493" i="31"/>
  <c r="N494" i="31"/>
  <c r="N495" i="31"/>
  <c r="N496" i="31"/>
  <c r="N497" i="31"/>
  <c r="N498" i="31"/>
  <c r="N499" i="31"/>
  <c r="N500" i="31"/>
  <c r="N501" i="31"/>
  <c r="N502" i="31"/>
  <c r="N503" i="31"/>
  <c r="N504" i="31"/>
  <c r="N505" i="31"/>
  <c r="N506" i="31"/>
  <c r="N507" i="31"/>
  <c r="N508" i="31"/>
  <c r="N509" i="31"/>
  <c r="N510" i="31"/>
  <c r="N511" i="31"/>
  <c r="N512" i="31"/>
  <c r="N513" i="31"/>
  <c r="N514" i="31"/>
  <c r="N515" i="31"/>
  <c r="N516" i="31"/>
  <c r="N517" i="31"/>
  <c r="N518" i="31"/>
  <c r="N519" i="31"/>
  <c r="N520" i="31"/>
  <c r="N521" i="31"/>
  <c r="N522" i="31"/>
  <c r="N523" i="31"/>
  <c r="N524" i="31"/>
  <c r="N525" i="31"/>
  <c r="N526" i="31"/>
  <c r="N527" i="31"/>
  <c r="N528" i="31"/>
  <c r="N529" i="31"/>
  <c r="N530" i="31"/>
  <c r="N531" i="31"/>
  <c r="N532" i="31"/>
  <c r="N533" i="31"/>
  <c r="N534" i="31"/>
  <c r="N535" i="31"/>
  <c r="N536" i="31"/>
  <c r="N537" i="31"/>
  <c r="N538" i="31"/>
  <c r="N539" i="31"/>
  <c r="N540" i="31"/>
  <c r="N541" i="31"/>
  <c r="N542" i="31"/>
  <c r="N543" i="31"/>
  <c r="N544" i="31"/>
  <c r="N545" i="31"/>
  <c r="N546" i="31"/>
  <c r="N547" i="31"/>
  <c r="N548" i="31"/>
  <c r="N549" i="31"/>
  <c r="N550" i="31"/>
  <c r="N551" i="31"/>
  <c r="N552" i="31"/>
  <c r="N553" i="31"/>
  <c r="N554" i="31"/>
  <c r="N555" i="31"/>
  <c r="N556" i="31"/>
  <c r="N557" i="31"/>
  <c r="N558" i="31"/>
  <c r="N559" i="31"/>
  <c r="N560" i="31"/>
  <c r="N561" i="31"/>
  <c r="N562" i="31"/>
  <c r="N563" i="31"/>
  <c r="N564" i="31"/>
  <c r="N565" i="31"/>
  <c r="N566" i="31"/>
  <c r="N567" i="31"/>
  <c r="N568" i="31"/>
  <c r="N569" i="31"/>
  <c r="N570" i="31"/>
  <c r="N571" i="31"/>
  <c r="N572" i="31"/>
  <c r="N573" i="31"/>
  <c r="N574" i="31"/>
  <c r="N575" i="31"/>
  <c r="N576" i="31"/>
  <c r="N577" i="31"/>
  <c r="N578" i="31"/>
  <c r="N579" i="31"/>
  <c r="N580" i="31"/>
  <c r="N581" i="31"/>
  <c r="N582" i="31"/>
  <c r="N583" i="31"/>
  <c r="N584" i="31"/>
  <c r="N585" i="31"/>
  <c r="N586" i="31"/>
  <c r="N587" i="31"/>
  <c r="N588" i="31"/>
  <c r="N589" i="31"/>
  <c r="N590" i="31"/>
  <c r="N591" i="31"/>
  <c r="N592" i="31"/>
  <c r="N593" i="31"/>
  <c r="N594" i="31"/>
  <c r="N595" i="31"/>
  <c r="N596" i="31"/>
  <c r="N597" i="31"/>
  <c r="N598" i="31"/>
  <c r="N599" i="31"/>
  <c r="N600" i="31"/>
  <c r="N601" i="31"/>
  <c r="N602" i="31"/>
  <c r="N603" i="31"/>
  <c r="N604" i="31"/>
  <c r="N605" i="31"/>
  <c r="N606" i="31"/>
  <c r="N607" i="31"/>
  <c r="N608" i="31"/>
  <c r="N609" i="31"/>
  <c r="N610" i="31"/>
  <c r="N611" i="31"/>
  <c r="O1" i="31"/>
  <c r="N1" i="31"/>
  <c r="B2" i="31"/>
  <c r="C2" i="31" s="1"/>
  <c r="D2" i="31" s="1"/>
  <c r="E2" i="31" s="1"/>
  <c r="F2" i="31" s="1"/>
  <c r="B3" i="31"/>
  <c r="B4" i="31"/>
  <c r="B5" i="31"/>
  <c r="B6" i="31"/>
  <c r="B7" i="31"/>
  <c r="B7" i="34" s="1"/>
  <c r="B8" i="31"/>
  <c r="B9" i="31"/>
  <c r="B10" i="31"/>
  <c r="B11" i="31"/>
  <c r="B11" i="34" s="1"/>
  <c r="B12" i="31"/>
  <c r="B13" i="31"/>
  <c r="B13" i="34" s="1"/>
  <c r="B14" i="31"/>
  <c r="B15" i="31"/>
  <c r="B15" i="34" s="1"/>
  <c r="B16" i="31"/>
  <c r="B17" i="31"/>
  <c r="B17" i="34" s="1"/>
  <c r="B18" i="31"/>
  <c r="B19" i="31"/>
  <c r="B19" i="34" s="1"/>
  <c r="B20" i="31"/>
  <c r="B21" i="31"/>
  <c r="B22" i="31"/>
  <c r="B23" i="31"/>
  <c r="B24" i="31"/>
  <c r="B25" i="31"/>
  <c r="B26" i="31"/>
  <c r="B27" i="31"/>
  <c r="B28" i="31"/>
  <c r="B29" i="31"/>
  <c r="B29" i="34" s="1"/>
  <c r="B30" i="31"/>
  <c r="B31" i="31"/>
  <c r="B31" i="34" s="1"/>
  <c r="B32" i="31"/>
  <c r="B33" i="31"/>
  <c r="B33" i="34" s="1"/>
  <c r="B34" i="31"/>
  <c r="B35" i="31"/>
  <c r="B35" i="34" s="1"/>
  <c r="B36" i="31"/>
  <c r="B37" i="31"/>
  <c r="B38" i="31"/>
  <c r="B39" i="31"/>
  <c r="B39" i="34" s="1"/>
  <c r="B40" i="31"/>
  <c r="B41" i="31"/>
  <c r="B41" i="34" s="1"/>
  <c r="B42" i="31"/>
  <c r="B43" i="31"/>
  <c r="B43" i="34" s="1"/>
  <c r="B44" i="31"/>
  <c r="B45" i="31"/>
  <c r="B45" i="34" s="1"/>
  <c r="B46" i="31"/>
  <c r="B47" i="31"/>
  <c r="B48" i="31"/>
  <c r="B49" i="31"/>
  <c r="B50" i="31"/>
  <c r="B51" i="31"/>
  <c r="B52" i="31"/>
  <c r="B53" i="31"/>
  <c r="B54" i="31"/>
  <c r="B55" i="31"/>
  <c r="B56" i="31"/>
  <c r="B57" i="31"/>
  <c r="B57" i="34" s="1"/>
  <c r="B58" i="31"/>
  <c r="B59" i="31"/>
  <c r="B60" i="31"/>
  <c r="B60" i="34" s="1"/>
  <c r="B61" i="31"/>
  <c r="B62" i="31"/>
  <c r="B62" i="34" s="1"/>
  <c r="B63" i="31"/>
  <c r="B64" i="31"/>
  <c r="B64" i="34" s="1"/>
  <c r="B65" i="31"/>
  <c r="B66" i="31"/>
  <c r="B67" i="31"/>
  <c r="B68" i="31"/>
  <c r="B69" i="31"/>
  <c r="B70" i="31"/>
  <c r="B70" i="34" s="1"/>
  <c r="B71" i="31"/>
  <c r="B72" i="31"/>
  <c r="B72" i="34" s="1"/>
  <c r="B73" i="31"/>
  <c r="B73" i="34" s="1"/>
  <c r="B74" i="31"/>
  <c r="B75" i="31"/>
  <c r="B75" i="34" s="1"/>
  <c r="B76" i="31"/>
  <c r="B77" i="31"/>
  <c r="B77" i="34" s="1"/>
  <c r="B78" i="31"/>
  <c r="B78" i="34" s="1"/>
  <c r="B79" i="31"/>
  <c r="B80" i="31"/>
  <c r="B81" i="31"/>
  <c r="B81" i="34" s="1"/>
  <c r="B82" i="31"/>
  <c r="B83" i="31"/>
  <c r="B83" i="34" s="1"/>
  <c r="B84" i="31"/>
  <c r="B85" i="31"/>
  <c r="B85" i="34" s="1"/>
  <c r="B86" i="31"/>
  <c r="B86" i="34" s="1"/>
  <c r="B87" i="31"/>
  <c r="B88" i="31"/>
  <c r="B89" i="31"/>
  <c r="B89" i="34" s="1"/>
  <c r="C89" i="31"/>
  <c r="D89" i="31" s="1"/>
  <c r="E89" i="31" s="1"/>
  <c r="F89" i="31" s="1"/>
  <c r="G89" i="31" s="1"/>
  <c r="H89" i="31" s="1"/>
  <c r="I89" i="31" s="1"/>
  <c r="J89" i="31" s="1"/>
  <c r="K89" i="31" s="1"/>
  <c r="L89" i="31" s="1"/>
  <c r="M89" i="31" s="1"/>
  <c r="B90" i="31"/>
  <c r="B91" i="31"/>
  <c r="B91" i="34" s="1"/>
  <c r="B92" i="31"/>
  <c r="B93" i="31"/>
  <c r="B93" i="34" s="1"/>
  <c r="B94" i="31"/>
  <c r="B95" i="31"/>
  <c r="B96" i="31"/>
  <c r="B97" i="31"/>
  <c r="B97" i="34" s="1"/>
  <c r="B98" i="31"/>
  <c r="B99" i="31"/>
  <c r="B100" i="31"/>
  <c r="B100" i="34" s="1"/>
  <c r="B101" i="31"/>
  <c r="B102" i="31"/>
  <c r="B103" i="31"/>
  <c r="B104" i="31"/>
  <c r="B104" i="34" s="1"/>
  <c r="B105" i="31"/>
  <c r="B106" i="31"/>
  <c r="B107" i="31"/>
  <c r="B108" i="31"/>
  <c r="B109" i="31"/>
  <c r="B109" i="34" s="1"/>
  <c r="B110" i="31"/>
  <c r="B111" i="31"/>
  <c r="B112" i="31"/>
  <c r="B112" i="34" s="1"/>
  <c r="B113" i="31"/>
  <c r="B114" i="31"/>
  <c r="B114" i="34" s="1"/>
  <c r="B115" i="31"/>
  <c r="B115" i="34" s="1"/>
  <c r="B116" i="31"/>
  <c r="B116" i="34" s="1"/>
  <c r="B117" i="31"/>
  <c r="B118" i="31"/>
  <c r="B118" i="34" s="1"/>
  <c r="B119" i="31"/>
  <c r="B119" i="34" s="1"/>
  <c r="C119" i="31"/>
  <c r="D119" i="31" s="1"/>
  <c r="E119" i="31" s="1"/>
  <c r="F119" i="31" s="1"/>
  <c r="G119" i="31" s="1"/>
  <c r="H119" i="31" s="1"/>
  <c r="I119" i="31" s="1"/>
  <c r="J119" i="31" s="1"/>
  <c r="K119" i="31" s="1"/>
  <c r="L119" i="31" s="1"/>
  <c r="M119" i="31" s="1"/>
  <c r="B120" i="31"/>
  <c r="B120" i="34" s="1"/>
  <c r="B121" i="31"/>
  <c r="B121" i="34" s="1"/>
  <c r="B122" i="31"/>
  <c r="B122" i="34" s="1"/>
  <c r="B123" i="31"/>
  <c r="B124" i="31"/>
  <c r="B125" i="31"/>
  <c r="B126" i="31"/>
  <c r="B127" i="31"/>
  <c r="B128" i="31"/>
  <c r="B128" i="34" s="1"/>
  <c r="B129" i="31"/>
  <c r="B129" i="34" s="1"/>
  <c r="B130" i="31"/>
  <c r="B131" i="31"/>
  <c r="B132" i="31"/>
  <c r="B132" i="34" s="1"/>
  <c r="B133" i="31"/>
  <c r="B134" i="31"/>
  <c r="B134" i="34" s="1"/>
  <c r="B135" i="31"/>
  <c r="B136" i="31"/>
  <c r="B137" i="31"/>
  <c r="B138" i="31"/>
  <c r="B139" i="31"/>
  <c r="B140" i="31"/>
  <c r="B141" i="31"/>
  <c r="B142" i="31"/>
  <c r="B142" i="34" s="1"/>
  <c r="B143" i="31"/>
  <c r="B144" i="31"/>
  <c r="B145" i="31"/>
  <c r="B146" i="31"/>
  <c r="B147" i="31"/>
  <c r="B147" i="34" s="1"/>
  <c r="B148" i="31"/>
  <c r="B149" i="31"/>
  <c r="B150" i="31"/>
  <c r="B150" i="34" s="1"/>
  <c r="B151" i="31"/>
  <c r="B152" i="31"/>
  <c r="B153" i="31"/>
  <c r="B153" i="34" s="1"/>
  <c r="B154" i="31"/>
  <c r="B155" i="31"/>
  <c r="B156" i="31"/>
  <c r="B157" i="31"/>
  <c r="B158" i="31"/>
  <c r="B159" i="31"/>
  <c r="B160" i="31"/>
  <c r="B160" i="34" s="1"/>
  <c r="B161" i="31"/>
  <c r="B161" i="34" s="1"/>
  <c r="B162" i="31"/>
  <c r="B163" i="31"/>
  <c r="B163" i="34" s="1"/>
  <c r="B164" i="31"/>
  <c r="B164" i="34" s="1"/>
  <c r="B165" i="31"/>
  <c r="B166" i="31"/>
  <c r="B166" i="34" s="1"/>
  <c r="B167" i="31"/>
  <c r="B167" i="34" s="1"/>
  <c r="B168" i="31"/>
  <c r="B169" i="31"/>
  <c r="B170" i="31"/>
  <c r="B171" i="31"/>
  <c r="B172" i="31"/>
  <c r="B173" i="31"/>
  <c r="B174" i="31"/>
  <c r="B174" i="34" s="1"/>
  <c r="C174" i="31"/>
  <c r="D174" i="31" s="1"/>
  <c r="E174" i="31" s="1"/>
  <c r="F174" i="31" s="1"/>
  <c r="G174" i="31" s="1"/>
  <c r="H174" i="31" s="1"/>
  <c r="I174" i="31" s="1"/>
  <c r="J174" i="31" s="1"/>
  <c r="K174" i="31" s="1"/>
  <c r="L174" i="31" s="1"/>
  <c r="M174" i="31" s="1"/>
  <c r="B175" i="31"/>
  <c r="B176" i="31"/>
  <c r="B176" i="34" s="1"/>
  <c r="B177" i="31"/>
  <c r="B178" i="31"/>
  <c r="B179" i="31"/>
  <c r="B180" i="31"/>
  <c r="B180" i="34" s="1"/>
  <c r="B181" i="31"/>
  <c r="B182" i="31"/>
  <c r="B182" i="34" s="1"/>
  <c r="B183" i="31"/>
  <c r="B183" i="34" s="1"/>
  <c r="B184" i="31"/>
  <c r="B185" i="31"/>
  <c r="B186" i="31"/>
  <c r="B187" i="31"/>
  <c r="B188" i="31"/>
  <c r="B189" i="31"/>
  <c r="B190" i="31"/>
  <c r="B191" i="31"/>
  <c r="B192" i="31"/>
  <c r="B193" i="31"/>
  <c r="B194" i="31"/>
  <c r="B195" i="31"/>
  <c r="B195" i="34" s="1"/>
  <c r="C195" i="31"/>
  <c r="D195" i="31" s="1"/>
  <c r="E195" i="31" s="1"/>
  <c r="F195" i="31" s="1"/>
  <c r="G195" i="31" s="1"/>
  <c r="H195" i="31" s="1"/>
  <c r="I195" i="31" s="1"/>
  <c r="J195" i="31" s="1"/>
  <c r="K195" i="31" s="1"/>
  <c r="L195" i="31" s="1"/>
  <c r="M195" i="31" s="1"/>
  <c r="B196" i="31"/>
  <c r="B197" i="31"/>
  <c r="B198" i="31"/>
  <c r="B198" i="34" s="1"/>
  <c r="B199" i="31"/>
  <c r="B199" i="34" s="1"/>
  <c r="B200" i="31"/>
  <c r="B200" i="34" s="1"/>
  <c r="B201" i="31"/>
  <c r="B201" i="34" s="1"/>
  <c r="B202" i="31"/>
  <c r="B203" i="31"/>
  <c r="B204" i="31"/>
  <c r="B204" i="34" s="1"/>
  <c r="B205" i="31"/>
  <c r="B205" i="34" s="1"/>
  <c r="B206" i="31"/>
  <c r="B207" i="31"/>
  <c r="B207" i="34" s="1"/>
  <c r="B208" i="31"/>
  <c r="B208" i="34" s="1"/>
  <c r="B209" i="31"/>
  <c r="B210" i="31"/>
  <c r="B210" i="34" s="1"/>
  <c r="B211" i="31"/>
  <c r="B212" i="31"/>
  <c r="B213" i="31"/>
  <c r="B213" i="34" s="1"/>
  <c r="B214" i="31"/>
  <c r="B215" i="31"/>
  <c r="B216" i="31"/>
  <c r="B216" i="34" s="1"/>
  <c r="B217" i="31"/>
  <c r="B217" i="34" s="1"/>
  <c r="B218" i="31"/>
  <c r="B219" i="31"/>
  <c r="B220" i="31"/>
  <c r="B220" i="34" s="1"/>
  <c r="B221" i="31"/>
  <c r="B221" i="34" s="1"/>
  <c r="B222" i="31"/>
  <c r="B223" i="31"/>
  <c r="B224" i="31"/>
  <c r="B224" i="34" s="1"/>
  <c r="B225" i="31"/>
  <c r="B226" i="31"/>
  <c r="B227" i="31"/>
  <c r="B228" i="31"/>
  <c r="B229" i="31"/>
  <c r="B230" i="31"/>
  <c r="B231" i="31"/>
  <c r="B231" i="34" s="1"/>
  <c r="B232" i="31"/>
  <c r="B232" i="34" s="1"/>
  <c r="B233" i="31"/>
  <c r="B234" i="31"/>
  <c r="B235" i="31"/>
  <c r="B236" i="31"/>
  <c r="B236" i="34" s="1"/>
  <c r="B237" i="31"/>
  <c r="B237" i="34" s="1"/>
  <c r="B238" i="31"/>
  <c r="B239" i="31"/>
  <c r="B240" i="31"/>
  <c r="B240" i="34" s="1"/>
  <c r="B241" i="31"/>
  <c r="B242" i="31"/>
  <c r="B243" i="31"/>
  <c r="B244" i="31"/>
  <c r="B245" i="31"/>
  <c r="B245" i="34" s="1"/>
  <c r="B246" i="31"/>
  <c r="B247" i="31"/>
  <c r="B247" i="34" s="1"/>
  <c r="B248" i="31"/>
  <c r="B248" i="34" s="1"/>
  <c r="B249" i="31"/>
  <c r="B250" i="31"/>
  <c r="B251" i="31"/>
  <c r="B252" i="31"/>
  <c r="B253" i="31"/>
  <c r="B253" i="34" s="1"/>
  <c r="B254" i="31"/>
  <c r="B255" i="31"/>
  <c r="B255" i="34" s="1"/>
  <c r="B256" i="31"/>
  <c r="B256" i="34" s="1"/>
  <c r="B257" i="31"/>
  <c r="B258" i="31"/>
  <c r="B259" i="31"/>
  <c r="B260" i="31"/>
  <c r="B261" i="31"/>
  <c r="B261" i="34" s="1"/>
  <c r="B262" i="31"/>
  <c r="B263" i="31"/>
  <c r="B264" i="31"/>
  <c r="B265" i="31"/>
  <c r="B265" i="34" s="1"/>
  <c r="B266" i="31"/>
  <c r="B266" i="34" s="1"/>
  <c r="B267" i="31"/>
  <c r="B268" i="31"/>
  <c r="B268" i="34" s="1"/>
  <c r="B269" i="31"/>
  <c r="B269" i="34" s="1"/>
  <c r="B270" i="31"/>
  <c r="B271" i="31"/>
  <c r="B271" i="34" s="1"/>
  <c r="B272" i="31"/>
  <c r="B272" i="34" s="1"/>
  <c r="B273" i="31"/>
  <c r="B273" i="34" s="1"/>
  <c r="C273" i="31"/>
  <c r="D273" i="31" s="1"/>
  <c r="E273" i="31" s="1"/>
  <c r="F273" i="31" s="1"/>
  <c r="G273" i="31" s="1"/>
  <c r="H273" i="31" s="1"/>
  <c r="I273" i="31" s="1"/>
  <c r="J273" i="31" s="1"/>
  <c r="K273" i="31" s="1"/>
  <c r="L273" i="31" s="1"/>
  <c r="M273" i="31" s="1"/>
  <c r="B274" i="31"/>
  <c r="B275" i="31"/>
  <c r="B276" i="31"/>
  <c r="B276" i="34" s="1"/>
  <c r="B277" i="31"/>
  <c r="B277" i="34" s="1"/>
  <c r="B278" i="31"/>
  <c r="B279" i="31"/>
  <c r="B280" i="31"/>
  <c r="B280" i="34" s="1"/>
  <c r="C280" i="31"/>
  <c r="D280" i="31" s="1"/>
  <c r="E280" i="31" s="1"/>
  <c r="F280" i="31" s="1"/>
  <c r="G280" i="31" s="1"/>
  <c r="H280" i="31" s="1"/>
  <c r="I280" i="31" s="1"/>
  <c r="J280" i="31" s="1"/>
  <c r="K280" i="31" s="1"/>
  <c r="L280" i="31" s="1"/>
  <c r="B281" i="31"/>
  <c r="B282" i="31"/>
  <c r="B283" i="31"/>
  <c r="B283" i="34" s="1"/>
  <c r="B284" i="31"/>
  <c r="B285" i="31"/>
  <c r="B285" i="34" s="1"/>
  <c r="B286" i="31"/>
  <c r="B286" i="34" s="1"/>
  <c r="B287" i="31"/>
  <c r="B288" i="31"/>
  <c r="B288" i="34" s="1"/>
  <c r="B289" i="31"/>
  <c r="B289" i="34" s="1"/>
  <c r="B290" i="31"/>
  <c r="B290" i="34" s="1"/>
  <c r="B291" i="31"/>
  <c r="B291" i="34" s="1"/>
  <c r="B292" i="31"/>
  <c r="B292" i="34" s="1"/>
  <c r="B293" i="31"/>
  <c r="B294" i="31"/>
  <c r="B295" i="31"/>
  <c r="B296" i="31"/>
  <c r="B297" i="31"/>
  <c r="B298" i="31"/>
  <c r="B299" i="31"/>
  <c r="B300" i="31"/>
  <c r="B300" i="34" s="1"/>
  <c r="B301" i="31"/>
  <c r="B302" i="31"/>
  <c r="B303" i="31"/>
  <c r="B303" i="34" s="1"/>
  <c r="B304" i="31"/>
  <c r="B305" i="31"/>
  <c r="B306" i="31"/>
  <c r="B306" i="34" s="1"/>
  <c r="B307" i="31"/>
  <c r="B307" i="34" s="1"/>
  <c r="B308" i="31"/>
  <c r="B308" i="34" s="1"/>
  <c r="B309" i="31"/>
  <c r="B309" i="34" s="1"/>
  <c r="B310" i="31"/>
  <c r="B311" i="31"/>
  <c r="B312" i="31"/>
  <c r="B313" i="31"/>
  <c r="B314" i="31"/>
  <c r="B315" i="31"/>
  <c r="B316" i="31"/>
  <c r="B316" i="34" s="1"/>
  <c r="B317" i="31"/>
  <c r="B318" i="31"/>
  <c r="B319" i="31"/>
  <c r="B320" i="31"/>
  <c r="B321" i="31"/>
  <c r="B321" i="34" s="1"/>
  <c r="B322" i="31"/>
  <c r="B322" i="34" s="1"/>
  <c r="B323" i="31"/>
  <c r="B323" i="34" s="1"/>
  <c r="B324" i="31"/>
  <c r="B324" i="34" s="1"/>
  <c r="B325" i="31"/>
  <c r="B326" i="31"/>
  <c r="B327" i="31"/>
  <c r="B328" i="31"/>
  <c r="B328" i="34" s="1"/>
  <c r="C328" i="31"/>
  <c r="D328" i="31" s="1"/>
  <c r="E328" i="31" s="1"/>
  <c r="F328" i="31" s="1"/>
  <c r="G328" i="31" s="1"/>
  <c r="H328" i="31" s="1"/>
  <c r="I328" i="31" s="1"/>
  <c r="J328" i="31" s="1"/>
  <c r="K328" i="31" s="1"/>
  <c r="L328" i="31" s="1"/>
  <c r="B329" i="31"/>
  <c r="B330" i="31"/>
  <c r="B331" i="31"/>
  <c r="B331" i="34" s="1"/>
  <c r="B332" i="31"/>
  <c r="B333" i="31"/>
  <c r="B334" i="31"/>
  <c r="B335" i="31"/>
  <c r="B336" i="31"/>
  <c r="B337" i="31"/>
  <c r="B338" i="31"/>
  <c r="B338" i="34" s="1"/>
  <c r="B339" i="31"/>
  <c r="B340" i="31"/>
  <c r="B340" i="34" s="1"/>
  <c r="B341" i="31"/>
  <c r="B342" i="31"/>
  <c r="B342" i="34" s="1"/>
  <c r="B343" i="31"/>
  <c r="B344" i="31"/>
  <c r="B345" i="31"/>
  <c r="B346" i="31"/>
  <c r="B346" i="34" s="1"/>
  <c r="B347" i="31"/>
  <c r="B348" i="31"/>
  <c r="B348" i="34" s="1"/>
  <c r="B349" i="31"/>
  <c r="B350" i="31"/>
  <c r="B351" i="31"/>
  <c r="B352" i="31"/>
  <c r="B353" i="31"/>
  <c r="B354" i="31"/>
  <c r="B355" i="31"/>
  <c r="B356" i="31"/>
  <c r="B357" i="31"/>
  <c r="B358" i="31"/>
  <c r="B358" i="34" s="1"/>
  <c r="B359" i="31"/>
  <c r="B360" i="31"/>
  <c r="B361" i="31"/>
  <c r="B362" i="31"/>
  <c r="B363" i="31"/>
  <c r="B364" i="31"/>
  <c r="B364" i="34" s="1"/>
  <c r="C364" i="31"/>
  <c r="D364" i="31" s="1"/>
  <c r="E364" i="31" s="1"/>
  <c r="F364" i="31" s="1"/>
  <c r="G364" i="31" s="1"/>
  <c r="H364" i="31" s="1"/>
  <c r="I364" i="31" s="1"/>
  <c r="J364" i="31" s="1"/>
  <c r="K364" i="31" s="1"/>
  <c r="L364" i="31" s="1"/>
  <c r="M364" i="31" s="1"/>
  <c r="B365" i="31"/>
  <c r="B366" i="31"/>
  <c r="B367" i="31"/>
  <c r="B368" i="31"/>
  <c r="B369" i="31"/>
  <c r="B370" i="31"/>
  <c r="B371" i="31"/>
  <c r="B372" i="31"/>
  <c r="B372" i="34" s="1"/>
  <c r="B373" i="31"/>
  <c r="B374" i="31"/>
  <c r="B375" i="31"/>
  <c r="B376" i="31"/>
  <c r="B376" i="34" s="1"/>
  <c r="B377" i="31"/>
  <c r="B378" i="31"/>
  <c r="B378" i="34" s="1"/>
  <c r="B379" i="31"/>
  <c r="B380" i="31"/>
  <c r="B381" i="31"/>
  <c r="B382" i="31"/>
  <c r="B382" i="34" s="1"/>
  <c r="B383" i="31"/>
  <c r="B384" i="31"/>
  <c r="B385" i="31"/>
  <c r="B386" i="31"/>
  <c r="B387" i="31"/>
  <c r="B388" i="31"/>
  <c r="B389" i="31"/>
  <c r="B390" i="31"/>
  <c r="B391" i="31"/>
  <c r="B392" i="31"/>
  <c r="B392" i="34" s="1"/>
  <c r="B393" i="31"/>
  <c r="B394" i="31"/>
  <c r="B394" i="34" s="1"/>
  <c r="B395" i="31"/>
  <c r="B396" i="31"/>
  <c r="B397" i="31"/>
  <c r="B398" i="31"/>
  <c r="B399" i="31"/>
  <c r="B400" i="31"/>
  <c r="B401" i="31"/>
  <c r="B402" i="31"/>
  <c r="B403" i="31"/>
  <c r="B404" i="31"/>
  <c r="B405" i="31"/>
  <c r="B406" i="31"/>
  <c r="B407" i="31"/>
  <c r="B408" i="31"/>
  <c r="B408" i="34" s="1"/>
  <c r="B409" i="31"/>
  <c r="B410" i="31"/>
  <c r="B410" i="34" s="1"/>
  <c r="B411" i="31"/>
  <c r="B412" i="31"/>
  <c r="B412" i="34" s="1"/>
  <c r="C412" i="31"/>
  <c r="D412" i="31" s="1"/>
  <c r="E412" i="31" s="1"/>
  <c r="F412" i="31" s="1"/>
  <c r="G412" i="31" s="1"/>
  <c r="H412" i="31" s="1"/>
  <c r="I412" i="31" s="1"/>
  <c r="J412" i="31" s="1"/>
  <c r="K412" i="31" s="1"/>
  <c r="L412" i="31" s="1"/>
  <c r="M412" i="31" s="1"/>
  <c r="B413" i="31"/>
  <c r="B414" i="31"/>
  <c r="B415" i="31"/>
  <c r="B416" i="31"/>
  <c r="B417" i="31"/>
  <c r="B418" i="31"/>
  <c r="B418" i="34" s="1"/>
  <c r="B419" i="31"/>
  <c r="B420" i="31"/>
  <c r="B421" i="31"/>
  <c r="B422" i="31"/>
  <c r="B422" i="34" s="1"/>
  <c r="B423" i="31"/>
  <c r="B424" i="31"/>
  <c r="B425" i="31"/>
  <c r="B426" i="31"/>
  <c r="B426" i="34" s="1"/>
  <c r="B427" i="31"/>
  <c r="B428" i="31"/>
  <c r="B428" i="34" s="1"/>
  <c r="B429" i="31"/>
  <c r="B430" i="31"/>
  <c r="B430" i="34" s="1"/>
  <c r="B431" i="31"/>
  <c r="B432" i="31"/>
  <c r="B432" i="34" s="1"/>
  <c r="B433" i="31"/>
  <c r="B434" i="31"/>
  <c r="B434" i="34" s="1"/>
  <c r="B435" i="31"/>
  <c r="B436" i="31"/>
  <c r="B437" i="31"/>
  <c r="B438" i="31"/>
  <c r="B439" i="31"/>
  <c r="B440" i="31"/>
  <c r="B440" i="34" s="1"/>
  <c r="C440" i="31"/>
  <c r="D440" i="31" s="1"/>
  <c r="E440" i="31" s="1"/>
  <c r="F440" i="31" s="1"/>
  <c r="G440" i="31" s="1"/>
  <c r="H440" i="31" s="1"/>
  <c r="I440" i="31" s="1"/>
  <c r="J440" i="31" s="1"/>
  <c r="K440" i="31" s="1"/>
  <c r="L440" i="31" s="1"/>
  <c r="M440" i="31" s="1"/>
  <c r="B441" i="31"/>
  <c r="B442" i="31"/>
  <c r="B443" i="31"/>
  <c r="B444" i="31"/>
  <c r="B444" i="34" s="1"/>
  <c r="B445" i="31"/>
  <c r="B446" i="31"/>
  <c r="B446" i="34" s="1"/>
  <c r="B447" i="31"/>
  <c r="B448" i="31"/>
  <c r="B449" i="31"/>
  <c r="B450" i="31"/>
  <c r="B450" i="34" s="1"/>
  <c r="B451" i="31"/>
  <c r="B452" i="31"/>
  <c r="B453" i="31"/>
  <c r="B454" i="31"/>
  <c r="B455" i="31"/>
  <c r="B456" i="31"/>
  <c r="B457" i="31"/>
  <c r="B458" i="31"/>
  <c r="B458" i="34" s="1"/>
  <c r="B459" i="31"/>
  <c r="B460" i="31"/>
  <c r="B461" i="31"/>
  <c r="B462" i="31"/>
  <c r="B462" i="34" s="1"/>
  <c r="B463" i="31"/>
  <c r="B463" i="34" s="1"/>
  <c r="B464" i="31"/>
  <c r="B465" i="31"/>
  <c r="B465" i="34" s="1"/>
  <c r="B466" i="31"/>
  <c r="B467" i="31"/>
  <c r="B468" i="31"/>
  <c r="B468" i="34" s="1"/>
  <c r="B469" i="31"/>
  <c r="B470" i="31"/>
  <c r="B471" i="31"/>
  <c r="B471" i="34" s="1"/>
  <c r="B472" i="31"/>
  <c r="B472" i="34" s="1"/>
  <c r="B473" i="31"/>
  <c r="B473" i="34" s="1"/>
  <c r="B474" i="31"/>
  <c r="B475" i="31"/>
  <c r="B475" i="34" s="1"/>
  <c r="B476" i="31"/>
  <c r="B476" i="34" s="1"/>
  <c r="B477" i="31"/>
  <c r="B478" i="31"/>
  <c r="B479" i="31"/>
  <c r="B479" i="34" s="1"/>
  <c r="C479" i="31"/>
  <c r="D479" i="31" s="1"/>
  <c r="E479" i="31" s="1"/>
  <c r="F479" i="31" s="1"/>
  <c r="G479" i="31" s="1"/>
  <c r="H479" i="31" s="1"/>
  <c r="I479" i="31" s="1"/>
  <c r="J479" i="31" s="1"/>
  <c r="K479" i="31" s="1"/>
  <c r="L479" i="31" s="1"/>
  <c r="M479" i="31" s="1"/>
  <c r="B480" i="31"/>
  <c r="B481" i="31"/>
  <c r="B481" i="34" s="1"/>
  <c r="B482" i="31"/>
  <c r="B483" i="31"/>
  <c r="B484" i="31"/>
  <c r="B484" i="34" s="1"/>
  <c r="B485" i="31"/>
  <c r="B486" i="31"/>
  <c r="B486" i="34" s="1"/>
  <c r="B487" i="31"/>
  <c r="B487" i="34" s="1"/>
  <c r="B488" i="31"/>
  <c r="B488" i="34" s="1"/>
  <c r="B489" i="31"/>
  <c r="B490" i="31"/>
  <c r="B491" i="31"/>
  <c r="B491" i="34" s="1"/>
  <c r="B492" i="31"/>
  <c r="B492" i="34" s="1"/>
  <c r="B493" i="31"/>
  <c r="B494" i="31"/>
  <c r="B494" i="34" s="1"/>
  <c r="B495" i="31"/>
  <c r="B495" i="34" s="1"/>
  <c r="B496" i="31"/>
  <c r="B497" i="31"/>
  <c r="B498" i="31"/>
  <c r="B499" i="31"/>
  <c r="B500" i="31"/>
  <c r="B500" i="34" s="1"/>
  <c r="B501" i="31"/>
  <c r="B502" i="31"/>
  <c r="B502" i="34" s="1"/>
  <c r="B503" i="31"/>
  <c r="B503" i="34" s="1"/>
  <c r="B504" i="31"/>
  <c r="B505" i="31"/>
  <c r="B505" i="34" s="1"/>
  <c r="B506" i="31"/>
  <c r="B507" i="31"/>
  <c r="B507" i="34" s="1"/>
  <c r="B508" i="31"/>
  <c r="B508" i="34" s="1"/>
  <c r="B509" i="31"/>
  <c r="B510" i="31"/>
  <c r="B510" i="34" s="1"/>
  <c r="B511" i="31"/>
  <c r="B511" i="34" s="1"/>
  <c r="B512" i="31"/>
  <c r="B513" i="31"/>
  <c r="B513" i="34" s="1"/>
  <c r="B514" i="31"/>
  <c r="B515" i="31"/>
  <c r="B516" i="31"/>
  <c r="B516" i="34" s="1"/>
  <c r="B517" i="31"/>
  <c r="B518" i="31"/>
  <c r="B518" i="34" s="1"/>
  <c r="B519" i="31"/>
  <c r="B519" i="34" s="1"/>
  <c r="B520" i="31"/>
  <c r="B520" i="34" s="1"/>
  <c r="B521" i="31"/>
  <c r="B521" i="34" s="1"/>
  <c r="B522" i="31"/>
  <c r="B523" i="31"/>
  <c r="B524" i="31"/>
  <c r="B524" i="34" s="1"/>
  <c r="B525" i="31"/>
  <c r="B526" i="31"/>
  <c r="B526" i="34" s="1"/>
  <c r="B527" i="31"/>
  <c r="B527" i="34" s="1"/>
  <c r="B528" i="31"/>
  <c r="B529" i="31"/>
  <c r="B529" i="34" s="1"/>
  <c r="B530" i="31"/>
  <c r="B531" i="31"/>
  <c r="B532" i="31"/>
  <c r="B532" i="34" s="1"/>
  <c r="C532" i="31"/>
  <c r="D532" i="31" s="1"/>
  <c r="E532" i="31" s="1"/>
  <c r="F532" i="31" s="1"/>
  <c r="G532" i="31" s="1"/>
  <c r="H532" i="31" s="1"/>
  <c r="I532" i="31" s="1"/>
  <c r="J532" i="31" s="1"/>
  <c r="K532" i="31" s="1"/>
  <c r="L532" i="31" s="1"/>
  <c r="M532" i="31" s="1"/>
  <c r="B533" i="31"/>
  <c r="B534" i="31"/>
  <c r="B535" i="31"/>
  <c r="B535" i="34" s="1"/>
  <c r="B536" i="31"/>
  <c r="B536" i="34" s="1"/>
  <c r="B537" i="31"/>
  <c r="B537" i="34" s="1"/>
  <c r="B538" i="31"/>
  <c r="B539" i="31"/>
  <c r="B539" i="34" s="1"/>
  <c r="B540" i="31"/>
  <c r="B540" i="34" s="1"/>
  <c r="B541" i="31"/>
  <c r="B542" i="31"/>
  <c r="B542" i="34" s="1"/>
  <c r="B543" i="31"/>
  <c r="B543" i="34" s="1"/>
  <c r="C543" i="31"/>
  <c r="D543" i="31" s="1"/>
  <c r="E543" i="31" s="1"/>
  <c r="F543" i="31" s="1"/>
  <c r="G543" i="31" s="1"/>
  <c r="H543" i="31" s="1"/>
  <c r="I543" i="31" s="1"/>
  <c r="J543" i="31" s="1"/>
  <c r="K543" i="31" s="1"/>
  <c r="L543" i="31" s="1"/>
  <c r="M543" i="31" s="1"/>
  <c r="B544" i="31"/>
  <c r="B545" i="31"/>
  <c r="B546" i="31"/>
  <c r="B547" i="31"/>
  <c r="B548" i="31"/>
  <c r="B548" i="34" s="1"/>
  <c r="B549" i="31"/>
  <c r="B550" i="31"/>
  <c r="B551" i="31"/>
  <c r="B551" i="34" s="1"/>
  <c r="B552" i="31"/>
  <c r="B552" i="34" s="1"/>
  <c r="B553" i="31"/>
  <c r="B553" i="34" s="1"/>
  <c r="B554" i="31"/>
  <c r="B555" i="31"/>
  <c r="B555" i="34" s="1"/>
  <c r="B556" i="31"/>
  <c r="B556" i="34" s="1"/>
  <c r="B557" i="31"/>
  <c r="B558" i="31"/>
  <c r="B558" i="34" s="1"/>
  <c r="B559" i="31"/>
  <c r="B559" i="34" s="1"/>
  <c r="B560" i="31"/>
  <c r="B560" i="34" s="1"/>
  <c r="B561" i="31"/>
  <c r="B561" i="34" s="1"/>
  <c r="B562" i="31"/>
  <c r="B563" i="31"/>
  <c r="B563" i="34" s="1"/>
  <c r="B564" i="31"/>
  <c r="B564" i="34" s="1"/>
  <c r="B565" i="31"/>
  <c r="B566" i="31"/>
  <c r="B566" i="34" s="1"/>
  <c r="B567" i="31"/>
  <c r="B567" i="34" s="1"/>
  <c r="B568" i="31"/>
  <c r="B568" i="34" s="1"/>
  <c r="B569" i="31"/>
  <c r="B569" i="34" s="1"/>
  <c r="B570" i="31"/>
  <c r="B571" i="31"/>
  <c r="B571" i="34" s="1"/>
  <c r="B572" i="31"/>
  <c r="B572" i="34" s="1"/>
  <c r="B573" i="31"/>
  <c r="B574" i="31"/>
  <c r="B574" i="34" s="1"/>
  <c r="B575" i="31"/>
  <c r="B575" i="34" s="1"/>
  <c r="B576" i="31"/>
  <c r="B577" i="31"/>
  <c r="B577" i="34" s="1"/>
  <c r="C577" i="31"/>
  <c r="D577" i="31" s="1"/>
  <c r="E577" i="31" s="1"/>
  <c r="F577" i="31" s="1"/>
  <c r="G577" i="31" s="1"/>
  <c r="H577" i="31" s="1"/>
  <c r="I577" i="31" s="1"/>
  <c r="J577" i="31" s="1"/>
  <c r="K577" i="31" s="1"/>
  <c r="L577" i="31" s="1"/>
  <c r="M577" i="31" s="1"/>
  <c r="B578" i="31"/>
  <c r="B578" i="34" s="1"/>
  <c r="B579" i="31"/>
  <c r="B580" i="31"/>
  <c r="B580" i="34" s="1"/>
  <c r="B581" i="31"/>
  <c r="B581" i="34" s="1"/>
  <c r="B582" i="31"/>
  <c r="B583" i="31"/>
  <c r="B583" i="34" s="1"/>
  <c r="B584" i="31"/>
  <c r="B584" i="34" s="1"/>
  <c r="B585" i="31"/>
  <c r="B585" i="34" s="1"/>
  <c r="B586" i="31"/>
  <c r="B587" i="31"/>
  <c r="B587" i="34" s="1"/>
  <c r="B588" i="31"/>
  <c r="B589" i="31"/>
  <c r="B590" i="31"/>
  <c r="B590" i="34" s="1"/>
  <c r="B591" i="31"/>
  <c r="B592" i="31"/>
  <c r="B592" i="34" s="1"/>
  <c r="B593" i="31"/>
  <c r="B593" i="34" s="1"/>
  <c r="B594" i="31"/>
  <c r="B594" i="34" s="1"/>
  <c r="B595" i="31"/>
  <c r="B595" i="34" s="1"/>
  <c r="B596" i="31"/>
  <c r="B596" i="34" s="1"/>
  <c r="B597" i="31"/>
  <c r="B598" i="31"/>
  <c r="B598" i="34" s="1"/>
  <c r="B599" i="31"/>
  <c r="B600" i="31"/>
  <c r="B600" i="34" s="1"/>
  <c r="B601" i="31"/>
  <c r="B601" i="34" s="1"/>
  <c r="B602" i="31"/>
  <c r="B602" i="34" s="1"/>
  <c r="B603" i="31"/>
  <c r="B603" i="34" s="1"/>
  <c r="B604" i="31"/>
  <c r="B605" i="31"/>
  <c r="B605" i="34" s="1"/>
  <c r="B606" i="31"/>
  <c r="B606" i="34" s="1"/>
  <c r="B607" i="31"/>
  <c r="B608" i="31"/>
  <c r="B608" i="34" s="1"/>
  <c r="B609" i="31"/>
  <c r="B609" i="34" s="1"/>
  <c r="B610" i="31"/>
  <c r="B610" i="34" s="1"/>
  <c r="B611" i="31"/>
  <c r="B611" i="34" s="1"/>
  <c r="A2" i="2"/>
  <c r="C3" i="2"/>
  <c r="H2" i="2"/>
  <c r="J4" i="1" a="1"/>
  <c r="J4" i="1" s="1"/>
  <c r="J5" i="1" a="1"/>
  <c r="J5" i="1" s="1"/>
  <c r="J6" i="1" a="1"/>
  <c r="J6" i="1" s="1"/>
  <c r="J7" i="1" a="1"/>
  <c r="J7" i="1"/>
  <c r="J8" i="1" a="1"/>
  <c r="J8" i="1" s="1"/>
  <c r="J9" i="1" a="1"/>
  <c r="J9" i="1" s="1"/>
  <c r="J10" i="1" a="1"/>
  <c r="J10" i="1" s="1"/>
  <c r="J11" i="1" a="1"/>
  <c r="J11" i="1"/>
  <c r="J12" i="1" a="1"/>
  <c r="J12" i="1"/>
  <c r="J13" i="1" a="1"/>
  <c r="J13" i="1" s="1"/>
  <c r="J14" i="1" a="1"/>
  <c r="J14" i="1"/>
  <c r="J15" i="1" a="1"/>
  <c r="J15" i="1"/>
  <c r="J16" i="1" a="1"/>
  <c r="J16" i="1" s="1"/>
  <c r="J17" i="1" a="1"/>
  <c r="J17" i="1" s="1"/>
  <c r="J18" i="1" a="1"/>
  <c r="J18" i="1"/>
  <c r="J19" i="1" a="1"/>
  <c r="J19" i="1"/>
  <c r="J20" i="1" a="1"/>
  <c r="J20" i="1"/>
  <c r="J21" i="1" a="1"/>
  <c r="J21" i="1" s="1"/>
  <c r="J22" i="1" a="1"/>
  <c r="J22" i="1" s="1"/>
  <c r="J23" i="1" a="1"/>
  <c r="J23" i="1"/>
  <c r="J24" i="1" a="1"/>
  <c r="J24" i="1"/>
  <c r="J25" i="1" a="1"/>
  <c r="J25" i="1" s="1"/>
  <c r="J26" i="1" a="1"/>
  <c r="J26" i="1"/>
  <c r="J27" i="1" a="1"/>
  <c r="J27" i="1"/>
  <c r="J28" i="1" a="1"/>
  <c r="J28" i="1" s="1"/>
  <c r="J29" i="1" a="1"/>
  <c r="J29" i="1" s="1"/>
  <c r="J30" i="1" a="1"/>
  <c r="J30" i="1" s="1"/>
  <c r="J31" i="1" a="1"/>
  <c r="J31" i="1" s="1"/>
  <c r="J32" i="1" a="1"/>
  <c r="J32" i="1" s="1"/>
  <c r="J33" i="1" a="1"/>
  <c r="J33" i="1" s="1"/>
  <c r="J34" i="1" a="1"/>
  <c r="J34" i="1"/>
  <c r="J35" i="1" a="1"/>
  <c r="J35" i="1"/>
  <c r="J36" i="1" a="1"/>
  <c r="J36" i="1"/>
  <c r="J37" i="1" a="1"/>
  <c r="J37" i="1" s="1"/>
  <c r="J38" i="1" a="1"/>
  <c r="J38" i="1"/>
  <c r="J39" i="1" a="1"/>
  <c r="J39" i="1" s="1"/>
  <c r="J40" i="1" a="1"/>
  <c r="J40" i="1" s="1"/>
  <c r="J41" i="1" a="1"/>
  <c r="J41" i="1" s="1"/>
  <c r="J42" i="1" a="1"/>
  <c r="J42" i="1" s="1"/>
  <c r="J43" i="1" a="1"/>
  <c r="J43" i="1"/>
  <c r="J44" i="1" a="1"/>
  <c r="J44" i="1"/>
  <c r="J45" i="1" a="1"/>
  <c r="J45" i="1" s="1"/>
  <c r="J46" i="1" a="1"/>
  <c r="J46" i="1" s="1"/>
  <c r="J47" i="1" a="1"/>
  <c r="J47" i="1"/>
  <c r="J48" i="1" a="1"/>
  <c r="J48" i="1" s="1"/>
  <c r="J49" i="1" a="1"/>
  <c r="J49" i="1" s="1"/>
  <c r="J50" i="1" a="1"/>
  <c r="J50" i="1"/>
  <c r="J51" i="1" a="1"/>
  <c r="J51" i="1" s="1"/>
  <c r="J52" i="1" a="1"/>
  <c r="J52" i="1"/>
  <c r="J53" i="1" a="1"/>
  <c r="J53" i="1" s="1"/>
  <c r="J54" i="1" a="1"/>
  <c r="J54" i="1" s="1"/>
  <c r="J55" i="1" a="1"/>
  <c r="J55" i="1" s="1"/>
  <c r="J56" i="1" a="1"/>
  <c r="J56" i="1"/>
  <c r="J57" i="1" a="1"/>
  <c r="J57" i="1" s="1"/>
  <c r="J58" i="1" a="1"/>
  <c r="J58" i="1"/>
  <c r="J59" i="1" a="1"/>
  <c r="J59" i="1"/>
  <c r="J60" i="1" a="1"/>
  <c r="J60" i="1" s="1"/>
  <c r="J61" i="1" a="1"/>
  <c r="J61" i="1" s="1"/>
  <c r="J62" i="1" a="1"/>
  <c r="J62" i="1" s="1"/>
  <c r="J63" i="1" a="1"/>
  <c r="J63" i="1" s="1"/>
  <c r="J64" i="1" a="1"/>
  <c r="J64" i="1" s="1"/>
  <c r="J65" i="1" a="1"/>
  <c r="J65" i="1" s="1"/>
  <c r="J66" i="1" a="1"/>
  <c r="J66" i="1"/>
  <c r="J67" i="1" a="1"/>
  <c r="J67" i="1"/>
  <c r="J68" i="1" a="1"/>
  <c r="J68" i="1"/>
  <c r="J69" i="1" a="1"/>
  <c r="J69" i="1" s="1"/>
  <c r="J70" i="1" a="1"/>
  <c r="J70" i="1"/>
  <c r="J71" i="1" a="1"/>
  <c r="J71" i="1" s="1"/>
  <c r="J72" i="1" a="1"/>
  <c r="J72" i="1" s="1"/>
  <c r="J73" i="1" a="1"/>
  <c r="J73" i="1" s="1"/>
  <c r="J74" i="1" a="1"/>
  <c r="J74" i="1" s="1"/>
  <c r="J75" i="1" a="1"/>
  <c r="J75" i="1"/>
  <c r="J76" i="1" a="1"/>
  <c r="J76" i="1"/>
  <c r="J77" i="1" a="1"/>
  <c r="J77" i="1" s="1"/>
  <c r="J78" i="1" a="1"/>
  <c r="J78" i="1"/>
  <c r="J79" i="1" a="1"/>
  <c r="J79" i="1"/>
  <c r="J80" i="1" a="1"/>
  <c r="J80" i="1" s="1"/>
  <c r="J81" i="1" a="1"/>
  <c r="J81" i="1" s="1"/>
  <c r="J82" i="1" a="1"/>
  <c r="J82" i="1"/>
  <c r="J83" i="1" a="1"/>
  <c r="J83" i="1" s="1"/>
  <c r="J84" i="1" a="1"/>
  <c r="J84" i="1"/>
  <c r="J85" i="1" a="1"/>
  <c r="J85" i="1" s="1"/>
  <c r="J86" i="1" a="1"/>
  <c r="J86" i="1" s="1"/>
  <c r="J87" i="1" a="1"/>
  <c r="J87" i="1"/>
  <c r="J88" i="1" a="1"/>
  <c r="J88" i="1"/>
  <c r="J89" i="1" a="1"/>
  <c r="J89" i="1" s="1"/>
  <c r="J90" i="1" a="1"/>
  <c r="J90" i="1"/>
  <c r="J91" i="1" a="1"/>
  <c r="J91" i="1"/>
  <c r="J92" i="1" a="1"/>
  <c r="J92" i="1" s="1"/>
  <c r="J93" i="1" a="1"/>
  <c r="J93" i="1" s="1"/>
  <c r="J94" i="1" a="1"/>
  <c r="J94" i="1" s="1"/>
  <c r="J95" i="1" a="1"/>
  <c r="J95" i="1" s="1"/>
  <c r="J96" i="1" a="1"/>
  <c r="J96" i="1"/>
  <c r="J97" i="1" a="1"/>
  <c r="J97" i="1" s="1"/>
  <c r="J98" i="1" a="1"/>
  <c r="J98" i="1"/>
  <c r="J99" i="1" a="1"/>
  <c r="J99" i="1"/>
  <c r="J100" i="1" a="1"/>
  <c r="J100" i="1"/>
  <c r="J101" i="1" a="1"/>
  <c r="J101" i="1" s="1"/>
  <c r="J102" i="1" a="1"/>
  <c r="J102" i="1"/>
  <c r="J103" i="1" a="1"/>
  <c r="J103" i="1" s="1"/>
  <c r="J104" i="1" a="1"/>
  <c r="J104" i="1" s="1"/>
  <c r="J105" i="1" a="1"/>
  <c r="J105" i="1" s="1"/>
  <c r="J106" i="1" a="1"/>
  <c r="J106" i="1" s="1"/>
  <c r="J107" i="1" a="1"/>
  <c r="J107" i="1"/>
  <c r="J108" i="1" a="1"/>
  <c r="J108" i="1"/>
  <c r="J109" i="1" a="1"/>
  <c r="J109" i="1" s="1"/>
  <c r="J110" i="1" a="1"/>
  <c r="J110" i="1" s="1"/>
  <c r="J111" i="1" a="1"/>
  <c r="J111" i="1"/>
  <c r="J112" i="1" a="1"/>
  <c r="J112" i="1" s="1"/>
  <c r="J113" i="1" a="1"/>
  <c r="J113" i="1" s="1"/>
  <c r="J114" i="1" a="1"/>
  <c r="J114" i="1"/>
  <c r="J115" i="1" a="1"/>
  <c r="J115" i="1" s="1"/>
  <c r="J116" i="1" a="1"/>
  <c r="J116" i="1"/>
  <c r="J117" i="1" a="1"/>
  <c r="J117" i="1" s="1"/>
  <c r="J118" i="1" a="1"/>
  <c r="J118" i="1" s="1"/>
  <c r="J119" i="1" a="1"/>
  <c r="J119" i="1" s="1"/>
  <c r="J120" i="1" a="1"/>
  <c r="J120" i="1"/>
  <c r="J121" i="1" a="1"/>
  <c r="J121" i="1" s="1"/>
  <c r="J122" i="1" a="1"/>
  <c r="J122" i="1"/>
  <c r="J123" i="1" a="1"/>
  <c r="J123" i="1"/>
  <c r="J124" i="1" a="1"/>
  <c r="J124" i="1" s="1"/>
  <c r="J125" i="1" a="1"/>
  <c r="J125" i="1" s="1"/>
  <c r="J126" i="1" a="1"/>
  <c r="J126" i="1" s="1"/>
  <c r="J127" i="1" a="1"/>
  <c r="J127" i="1" s="1"/>
  <c r="J128" i="1" a="1"/>
  <c r="J128" i="1"/>
  <c r="J129" i="1" a="1"/>
  <c r="J129" i="1" s="1"/>
  <c r="J130" i="1" a="1"/>
  <c r="J130" i="1"/>
  <c r="J131" i="1" a="1"/>
  <c r="J131" i="1"/>
  <c r="J132" i="1" a="1"/>
  <c r="J132" i="1"/>
  <c r="J133" i="1" a="1"/>
  <c r="J133" i="1" s="1"/>
  <c r="J134" i="1" a="1"/>
  <c r="J134" i="1"/>
  <c r="J135" i="1" a="1"/>
  <c r="J135" i="1" s="1"/>
  <c r="J136" i="1" a="1"/>
  <c r="J136" i="1" s="1"/>
  <c r="J137" i="1" a="1"/>
  <c r="J137" i="1" s="1"/>
  <c r="J138" i="1" a="1"/>
  <c r="J138" i="1" s="1"/>
  <c r="J139" i="1" a="1"/>
  <c r="J139" i="1"/>
  <c r="J140" i="1" a="1"/>
  <c r="J140" i="1"/>
  <c r="J141" i="1" a="1"/>
  <c r="J141" i="1" s="1"/>
  <c r="J142" i="1" a="1"/>
  <c r="J142" i="1"/>
  <c r="J143" i="1" a="1"/>
  <c r="J143" i="1"/>
  <c r="J144" i="1" a="1"/>
  <c r="J144" i="1" s="1"/>
  <c r="J145" i="1" a="1"/>
  <c r="J145" i="1" s="1"/>
  <c r="J146" i="1" a="1"/>
  <c r="J146" i="1"/>
  <c r="J147" i="1" a="1"/>
  <c r="J147" i="1" s="1"/>
  <c r="J148" i="1" a="1"/>
  <c r="J148" i="1"/>
  <c r="J149" i="1" a="1"/>
  <c r="J149" i="1" s="1"/>
  <c r="J150" i="1" a="1"/>
  <c r="J150" i="1" s="1"/>
  <c r="J151" i="1" a="1"/>
  <c r="J151" i="1"/>
  <c r="J152" i="1" a="1"/>
  <c r="J152" i="1"/>
  <c r="J153" i="1" a="1"/>
  <c r="J153" i="1" s="1"/>
  <c r="J154" i="1" a="1"/>
  <c r="J154" i="1"/>
  <c r="J155" i="1" a="1"/>
  <c r="J155" i="1"/>
  <c r="J156" i="1" a="1"/>
  <c r="J156" i="1" s="1"/>
  <c r="J157" i="1" a="1"/>
  <c r="J157" i="1" s="1"/>
  <c r="J158" i="1" a="1"/>
  <c r="J158" i="1" s="1"/>
  <c r="J159" i="1" a="1"/>
  <c r="J159" i="1" s="1"/>
  <c r="J160" i="1" a="1"/>
  <c r="J160" i="1"/>
  <c r="J161" i="1" a="1"/>
  <c r="J161" i="1" s="1"/>
  <c r="J162" i="1" a="1"/>
  <c r="J162" i="1"/>
  <c r="J163" i="1" a="1"/>
  <c r="J163" i="1"/>
  <c r="J164" i="1" a="1"/>
  <c r="J164" i="1"/>
  <c r="J165" i="1" a="1"/>
  <c r="J165" i="1" s="1"/>
  <c r="J166" i="1" a="1"/>
  <c r="J166" i="1"/>
  <c r="J167" i="1" a="1"/>
  <c r="J167" i="1" s="1"/>
  <c r="J168" i="1" a="1"/>
  <c r="J168" i="1" s="1"/>
  <c r="J169" i="1" a="1"/>
  <c r="J169" i="1" s="1"/>
  <c r="J170" i="1" a="1"/>
  <c r="J170" i="1" s="1"/>
  <c r="J171" i="1" a="1"/>
  <c r="J171" i="1"/>
  <c r="J172" i="1" a="1"/>
  <c r="J172" i="1"/>
  <c r="J173" i="1" a="1"/>
  <c r="J173" i="1" s="1"/>
  <c r="J174" i="1" a="1"/>
  <c r="J174" i="1" s="1"/>
  <c r="J175" i="1" a="1"/>
  <c r="J175" i="1"/>
  <c r="J176" i="1" a="1"/>
  <c r="J176" i="1" s="1"/>
  <c r="J177" i="1" a="1"/>
  <c r="J177" i="1" s="1"/>
  <c r="J178" i="1" a="1"/>
  <c r="J178" i="1"/>
  <c r="J179" i="1" a="1"/>
  <c r="J179" i="1" s="1"/>
  <c r="J180" i="1" a="1"/>
  <c r="J180" i="1"/>
  <c r="J181" i="1" a="1"/>
  <c r="J181" i="1" s="1"/>
  <c r="J182" i="1" a="1"/>
  <c r="J182" i="1" s="1"/>
  <c r="J183" i="1" a="1"/>
  <c r="J183" i="1" s="1"/>
  <c r="J184" i="1" a="1"/>
  <c r="J184" i="1"/>
  <c r="J185" i="1" a="1"/>
  <c r="J185" i="1" s="1"/>
  <c r="J186" i="1" a="1"/>
  <c r="J186" i="1"/>
  <c r="J187" i="1" a="1"/>
  <c r="J187" i="1"/>
  <c r="J188" i="1" a="1"/>
  <c r="J188" i="1" s="1"/>
  <c r="J189" i="1" a="1"/>
  <c r="J189" i="1" s="1"/>
  <c r="J190" i="1" a="1"/>
  <c r="J190" i="1" s="1"/>
  <c r="J191" i="1" a="1"/>
  <c r="J191" i="1" s="1"/>
  <c r="J192" i="1" a="1"/>
  <c r="J192" i="1" s="1"/>
  <c r="J193" i="1" a="1"/>
  <c r="J193" i="1" s="1"/>
  <c r="J194" i="1" a="1"/>
  <c r="J194" i="1"/>
  <c r="J195" i="1" a="1"/>
  <c r="J195" i="1"/>
  <c r="J196" i="1" a="1"/>
  <c r="J196" i="1"/>
  <c r="J197" i="1" a="1"/>
  <c r="J197" i="1" s="1"/>
  <c r="J198" i="1" a="1"/>
  <c r="J198" i="1"/>
  <c r="J199" i="1" a="1"/>
  <c r="J199" i="1" s="1"/>
  <c r="J200" i="1" a="1"/>
  <c r="J200" i="1" s="1"/>
  <c r="J201" i="1" a="1"/>
  <c r="J201" i="1" s="1"/>
  <c r="J202" i="1" a="1"/>
  <c r="J202" i="1" s="1"/>
  <c r="J203" i="1" a="1"/>
  <c r="J203" i="1"/>
  <c r="J204" i="1" a="1"/>
  <c r="J204" i="1"/>
  <c r="J205" i="1" a="1"/>
  <c r="J205" i="1" s="1"/>
  <c r="J206" i="1" a="1"/>
  <c r="J206" i="1" s="1"/>
  <c r="J207" i="1" a="1"/>
  <c r="J207" i="1"/>
  <c r="J208" i="1" a="1"/>
  <c r="J208" i="1" s="1"/>
  <c r="J209" i="1" a="1"/>
  <c r="J209" i="1" s="1"/>
  <c r="J210" i="1" a="1"/>
  <c r="J210" i="1"/>
  <c r="J211" i="1" a="1"/>
  <c r="J211" i="1" s="1"/>
  <c r="J212" i="1" a="1"/>
  <c r="J212" i="1"/>
  <c r="J213" i="1" a="1"/>
  <c r="J213" i="1" s="1"/>
  <c r="J214" i="1" a="1"/>
  <c r="J214" i="1" s="1"/>
  <c r="J215" i="1" a="1"/>
  <c r="J215" i="1" s="1"/>
  <c r="J216" i="1" a="1"/>
  <c r="J216" i="1"/>
  <c r="J217" i="1" a="1"/>
  <c r="J217" i="1" s="1"/>
  <c r="J218" i="1" a="1"/>
  <c r="J218" i="1"/>
  <c r="J219" i="1" a="1"/>
  <c r="J219" i="1"/>
  <c r="J220" i="1" a="1"/>
  <c r="J220" i="1" s="1"/>
  <c r="J221" i="1" a="1"/>
  <c r="J221" i="1" s="1"/>
  <c r="J222" i="1" a="1"/>
  <c r="J222" i="1" s="1"/>
  <c r="J223" i="1" a="1"/>
  <c r="J223" i="1" s="1"/>
  <c r="J224" i="1" a="1"/>
  <c r="J224" i="1" s="1"/>
  <c r="J225" i="1" a="1"/>
  <c r="J225" i="1" s="1"/>
  <c r="J226" i="1" a="1"/>
  <c r="J226" i="1"/>
  <c r="J227" i="1" a="1"/>
  <c r="J227" i="1"/>
  <c r="J228" i="1" a="1"/>
  <c r="J228" i="1"/>
  <c r="J229" i="1" a="1"/>
  <c r="J229" i="1" s="1"/>
  <c r="J230" i="1" a="1"/>
  <c r="J230" i="1"/>
  <c r="J231" i="1" a="1"/>
  <c r="J231" i="1" s="1"/>
  <c r="J232" i="1" a="1"/>
  <c r="J232" i="1" s="1"/>
  <c r="J233" i="1" a="1"/>
  <c r="J233" i="1" s="1"/>
  <c r="J234" i="1" a="1"/>
  <c r="J234" i="1" s="1"/>
  <c r="J235" i="1" a="1"/>
  <c r="J235" i="1"/>
  <c r="J236" i="1" a="1"/>
  <c r="J236" i="1"/>
  <c r="J237" i="1" a="1"/>
  <c r="J237" i="1" s="1"/>
  <c r="J238" i="1" a="1"/>
  <c r="J238" i="1" s="1"/>
  <c r="J239" i="1" a="1"/>
  <c r="J239" i="1"/>
  <c r="J240" i="1" a="1"/>
  <c r="J240" i="1" s="1"/>
  <c r="J241" i="1" a="1"/>
  <c r="J241" i="1" s="1"/>
  <c r="J242" i="1" a="1"/>
  <c r="J242" i="1"/>
  <c r="J243" i="1" a="1"/>
  <c r="J243" i="1" s="1"/>
  <c r="J244" i="1" a="1"/>
  <c r="J244" i="1"/>
  <c r="J245" i="1" a="1"/>
  <c r="J245" i="1" s="1"/>
  <c r="J246" i="1" a="1"/>
  <c r="J246" i="1" s="1"/>
  <c r="J247" i="1" a="1"/>
  <c r="J247" i="1" s="1"/>
  <c r="J248" i="1" a="1"/>
  <c r="J248" i="1"/>
  <c r="J249" i="1" a="1"/>
  <c r="J249" i="1" s="1"/>
  <c r="J250" i="1" a="1"/>
  <c r="J250" i="1"/>
  <c r="J251" i="1" a="1"/>
  <c r="J251" i="1"/>
  <c r="J252" i="1" a="1"/>
  <c r="J252" i="1" s="1"/>
  <c r="J253" i="1" a="1"/>
  <c r="J253" i="1" s="1"/>
  <c r="J254" i="1" a="1"/>
  <c r="J254" i="1" s="1"/>
  <c r="J255" i="1" a="1"/>
  <c r="J255" i="1" s="1"/>
  <c r="J256" i="1" a="1"/>
  <c r="J256" i="1" s="1"/>
  <c r="J257" i="1" a="1"/>
  <c r="J257" i="1" s="1"/>
  <c r="J258" i="1" a="1"/>
  <c r="J258" i="1"/>
  <c r="J259" i="1" a="1"/>
  <c r="J259" i="1"/>
  <c r="J260" i="1" a="1"/>
  <c r="J260" i="1"/>
  <c r="J261" i="1" a="1"/>
  <c r="J261" i="1" s="1"/>
  <c r="J262" i="1" a="1"/>
  <c r="J262" i="1"/>
  <c r="J263" i="1" a="1"/>
  <c r="J263" i="1" s="1"/>
  <c r="J264" i="1" a="1"/>
  <c r="J264" i="1" s="1"/>
  <c r="J265" i="1" a="1"/>
  <c r="J265" i="1" s="1"/>
  <c r="J266" i="1" a="1"/>
  <c r="J266" i="1" s="1"/>
  <c r="J267" i="1" a="1"/>
  <c r="J267" i="1"/>
  <c r="J268" i="1" a="1"/>
  <c r="J268" i="1"/>
  <c r="J269" i="1" a="1"/>
  <c r="J269" i="1" s="1"/>
  <c r="J270" i="1" a="1"/>
  <c r="J270" i="1" s="1"/>
  <c r="J271" i="1" a="1"/>
  <c r="J271" i="1"/>
  <c r="J272" i="1" a="1"/>
  <c r="J272" i="1" s="1"/>
  <c r="J273" i="1" a="1"/>
  <c r="J273" i="1" s="1"/>
  <c r="J274" i="1" a="1"/>
  <c r="J274" i="1"/>
  <c r="J275" i="1" a="1"/>
  <c r="J275" i="1" s="1"/>
  <c r="J276" i="1" a="1"/>
  <c r="J276" i="1"/>
  <c r="J277" i="1" a="1"/>
  <c r="J277" i="1" s="1"/>
  <c r="J278" i="1" a="1"/>
  <c r="J278" i="1" s="1"/>
  <c r="J279" i="1" a="1"/>
  <c r="J279" i="1" s="1"/>
  <c r="J280" i="1" a="1"/>
  <c r="J280" i="1"/>
  <c r="J281" i="1" a="1"/>
  <c r="J281" i="1" s="1"/>
  <c r="J282" i="1" a="1"/>
  <c r="J282" i="1"/>
  <c r="J283" i="1" a="1"/>
  <c r="J283" i="1"/>
  <c r="J284" i="1" a="1"/>
  <c r="J284" i="1" s="1"/>
  <c r="J285" i="1" a="1"/>
  <c r="J285" i="1" s="1"/>
  <c r="J286" i="1" a="1"/>
  <c r="J286" i="1" s="1"/>
  <c r="J287" i="1" a="1"/>
  <c r="J287" i="1" s="1"/>
  <c r="J288" i="1" a="1"/>
  <c r="J288" i="1" s="1"/>
  <c r="J289" i="1" a="1"/>
  <c r="J289" i="1" s="1"/>
  <c r="J290" i="1" a="1"/>
  <c r="J290" i="1"/>
  <c r="J291" i="1" a="1"/>
  <c r="J291" i="1"/>
  <c r="J292" i="1" a="1"/>
  <c r="J292" i="1"/>
  <c r="J293" i="1" a="1"/>
  <c r="J293" i="1" s="1"/>
  <c r="J294" i="1" a="1"/>
  <c r="J294" i="1"/>
  <c r="J295" i="1" a="1"/>
  <c r="J295" i="1" s="1"/>
  <c r="J296" i="1" a="1"/>
  <c r="J296" i="1" s="1"/>
  <c r="J297" i="1" a="1"/>
  <c r="J297" i="1" s="1"/>
  <c r="J298" i="1" a="1"/>
  <c r="J298" i="1" s="1"/>
  <c r="J299" i="1" a="1"/>
  <c r="J299" i="1"/>
  <c r="J300" i="1" a="1"/>
  <c r="J300" i="1"/>
  <c r="J301" i="1" a="1"/>
  <c r="J301" i="1" s="1"/>
  <c r="J302" i="1" a="1"/>
  <c r="J302" i="1" s="1"/>
  <c r="J303" i="1" a="1"/>
  <c r="J303" i="1"/>
  <c r="J304" i="1" a="1"/>
  <c r="J304" i="1" s="1"/>
  <c r="J305" i="1" a="1"/>
  <c r="J305" i="1" s="1"/>
  <c r="J306" i="1" a="1"/>
  <c r="J306" i="1"/>
  <c r="J307" i="1" a="1"/>
  <c r="J307" i="1" s="1"/>
  <c r="J308" i="1" a="1"/>
  <c r="J308" i="1"/>
  <c r="J309" i="1" a="1"/>
  <c r="J309" i="1" s="1"/>
  <c r="J310" i="1" a="1"/>
  <c r="J310" i="1" s="1"/>
  <c r="J311" i="1" a="1"/>
  <c r="J311" i="1"/>
  <c r="J312" i="1" a="1"/>
  <c r="J312" i="1"/>
  <c r="J313" i="1" a="1"/>
  <c r="J313" i="1" s="1"/>
  <c r="J314" i="1" a="1"/>
  <c r="J314" i="1"/>
  <c r="J315" i="1" a="1"/>
  <c r="J315" i="1"/>
  <c r="J316" i="1" a="1"/>
  <c r="J316" i="1" s="1"/>
  <c r="J317" i="1" a="1"/>
  <c r="J317" i="1" s="1"/>
  <c r="J318" i="1" a="1"/>
  <c r="J318" i="1" s="1"/>
  <c r="J319" i="1" a="1"/>
  <c r="J319" i="1" s="1"/>
  <c r="J320" i="1" a="1"/>
  <c r="J320" i="1" s="1"/>
  <c r="J321" i="1" a="1"/>
  <c r="J321" i="1" s="1"/>
  <c r="J322" i="1" a="1"/>
  <c r="J322" i="1"/>
  <c r="J323" i="1" a="1"/>
  <c r="J323" i="1"/>
  <c r="J324" i="1" a="1"/>
  <c r="J324" i="1"/>
  <c r="J325" i="1" a="1"/>
  <c r="J325" i="1" s="1"/>
  <c r="J326" i="1" a="1"/>
  <c r="J326" i="1"/>
  <c r="J327" i="1" a="1"/>
  <c r="J327" i="1" s="1"/>
  <c r="J328" i="1" a="1"/>
  <c r="J328" i="1" s="1"/>
  <c r="J329" i="1" a="1"/>
  <c r="J329" i="1" s="1"/>
  <c r="J330" i="1" a="1"/>
  <c r="J330" i="1" s="1"/>
  <c r="J331" i="1" a="1"/>
  <c r="J331" i="1"/>
  <c r="J332" i="1" a="1"/>
  <c r="J332" i="1"/>
  <c r="J333" i="1" a="1"/>
  <c r="J333" i="1" s="1"/>
  <c r="J334" i="1" a="1"/>
  <c r="J334" i="1" s="1"/>
  <c r="J335" i="1" a="1"/>
  <c r="J335" i="1"/>
  <c r="J336" i="1" a="1"/>
  <c r="J336" i="1" s="1"/>
  <c r="J337" i="1" a="1"/>
  <c r="J337" i="1" s="1"/>
  <c r="J338" i="1" a="1"/>
  <c r="J338" i="1"/>
  <c r="J339" i="1" a="1"/>
  <c r="J339" i="1" s="1"/>
  <c r="J340" i="1" a="1"/>
  <c r="J340" i="1"/>
  <c r="J341" i="1" a="1"/>
  <c r="J341" i="1" s="1"/>
  <c r="J342" i="1" a="1"/>
  <c r="J342" i="1" s="1"/>
  <c r="J343" i="1" a="1"/>
  <c r="J343" i="1"/>
  <c r="J344" i="1" a="1"/>
  <c r="J344" i="1"/>
  <c r="J345" i="1" a="1"/>
  <c r="J345" i="1" s="1"/>
  <c r="J346" i="1" a="1"/>
  <c r="J346" i="1" s="1"/>
  <c r="J347" i="1" a="1"/>
  <c r="J347" i="1" s="1"/>
  <c r="J348" i="1" a="1"/>
  <c r="J348" i="1"/>
  <c r="J349" i="1" a="1"/>
  <c r="J349" i="1" s="1"/>
  <c r="J350" i="1" a="1"/>
  <c r="J350" i="1"/>
  <c r="J351" i="1" a="1"/>
  <c r="J351" i="1" s="1"/>
  <c r="J352" i="1" a="1"/>
  <c r="J352" i="1"/>
  <c r="J353" i="1" a="1"/>
  <c r="J353" i="1" s="1"/>
  <c r="J354" i="1" a="1"/>
  <c r="J354" i="1" s="1"/>
  <c r="J355" i="1" a="1"/>
  <c r="J355" i="1" s="1"/>
  <c r="J356" i="1" a="1"/>
  <c r="J356" i="1"/>
  <c r="J357" i="1" a="1"/>
  <c r="J357" i="1" s="1"/>
  <c r="J358" i="1" a="1"/>
  <c r="J358" i="1" s="1"/>
  <c r="J359" i="1" a="1"/>
  <c r="J359" i="1"/>
  <c r="J360" i="1" a="1"/>
  <c r="J360" i="1"/>
  <c r="J361" i="1" a="1"/>
  <c r="J361" i="1" s="1"/>
  <c r="J362" i="1" a="1"/>
  <c r="J362" i="1"/>
  <c r="J363" i="1" a="1"/>
  <c r="J363" i="1" s="1"/>
  <c r="J364" i="1" a="1"/>
  <c r="J364" i="1"/>
  <c r="J365" i="1" a="1"/>
  <c r="J365" i="1" s="1"/>
  <c r="J366" i="1" a="1"/>
  <c r="J366" i="1" s="1"/>
  <c r="J367" i="1" a="1"/>
  <c r="J367" i="1" s="1"/>
  <c r="J368" i="1" a="1"/>
  <c r="J368" i="1"/>
  <c r="J369" i="1" a="1"/>
  <c r="J369" i="1" s="1"/>
  <c r="J370" i="1" a="1"/>
  <c r="J370" i="1" s="1"/>
  <c r="J371" i="1" a="1"/>
  <c r="J371" i="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c r="J383" i="1" a="1"/>
  <c r="J383" i="1" s="1"/>
  <c r="J384" i="1" a="1"/>
  <c r="J384" i="1" s="1"/>
  <c r="J385" i="1" a="1"/>
  <c r="J385" i="1" s="1"/>
  <c r="J386" i="1" a="1"/>
  <c r="J386" i="1" s="1"/>
  <c r="J387" i="1" a="1"/>
  <c r="J387" i="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c r="J399" i="1" a="1"/>
  <c r="J399" i="1" s="1"/>
  <c r="J400" i="1" a="1"/>
  <c r="J400" i="1" s="1"/>
  <c r="J401" i="1" a="1"/>
  <c r="J401" i="1" s="1"/>
  <c r="J402" i="1" a="1"/>
  <c r="J402" i="1" s="1"/>
  <c r="J403" i="1" a="1"/>
  <c r="J403" i="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561" i="1" a="1"/>
  <c r="J561" i="1"/>
  <c r="J562" i="1" a="1"/>
  <c r="J562" i="1"/>
  <c r="J563" i="1" a="1"/>
  <c r="J563" i="1"/>
  <c r="J564" i="1" a="1"/>
  <c r="J564" i="1"/>
  <c r="J565" i="1" a="1"/>
  <c r="J565" i="1"/>
  <c r="J566" i="1" a="1"/>
  <c r="J566" i="1"/>
  <c r="J567" i="1" a="1"/>
  <c r="J567" i="1"/>
  <c r="J568" i="1" a="1"/>
  <c r="J568" i="1"/>
  <c r="J569" i="1" a="1"/>
  <c r="J569" i="1"/>
  <c r="J570" i="1" a="1"/>
  <c r="J570" i="1"/>
  <c r="J571" i="1" a="1"/>
  <c r="J571" i="1"/>
  <c r="J572" i="1" a="1"/>
  <c r="J572" i="1"/>
  <c r="J573" i="1" a="1"/>
  <c r="J573" i="1"/>
  <c r="J574" i="1" a="1"/>
  <c r="J574" i="1"/>
  <c r="J575" i="1" a="1"/>
  <c r="J575" i="1"/>
  <c r="J576" i="1" a="1"/>
  <c r="J576" i="1"/>
  <c r="J577" i="1" a="1"/>
  <c r="J577" i="1"/>
  <c r="J578" i="1" a="1"/>
  <c r="J578" i="1"/>
  <c r="J579" i="1" a="1"/>
  <c r="J579" i="1"/>
  <c r="J580" i="1" a="1"/>
  <c r="J580" i="1"/>
  <c r="J581" i="1" a="1"/>
  <c r="J581" i="1"/>
  <c r="J582" i="1" a="1"/>
  <c r="J582" i="1"/>
  <c r="J583" i="1" a="1"/>
  <c r="J583" i="1"/>
  <c r="J584" i="1" a="1"/>
  <c r="J584" i="1"/>
  <c r="J585" i="1" a="1"/>
  <c r="J585" i="1"/>
  <c r="J586" i="1" a="1"/>
  <c r="J586" i="1"/>
  <c r="J587" i="1" a="1"/>
  <c r="J587" i="1"/>
  <c r="J588" i="1" a="1"/>
  <c r="J588" i="1"/>
  <c r="J589" i="1" a="1"/>
  <c r="J589" i="1"/>
  <c r="J590" i="1" a="1"/>
  <c r="J590" i="1"/>
  <c r="J591" i="1" a="1"/>
  <c r="J591" i="1"/>
  <c r="J592" i="1" a="1"/>
  <c r="J592" i="1"/>
  <c r="J593" i="1" a="1"/>
  <c r="J593" i="1"/>
  <c r="J594" i="1" a="1"/>
  <c r="J594" i="1"/>
  <c r="J595" i="1" a="1"/>
  <c r="J595" i="1"/>
  <c r="J596" i="1" a="1"/>
  <c r="J596" i="1"/>
  <c r="J597" i="1" a="1"/>
  <c r="J597" i="1"/>
  <c r="J598" i="1" a="1"/>
  <c r="J598" i="1"/>
  <c r="J599" i="1" a="1"/>
  <c r="J599" i="1"/>
  <c r="J600" i="1" a="1"/>
  <c r="J600" i="1"/>
  <c r="J601" i="1" a="1"/>
  <c r="J601" i="1"/>
  <c r="J602" i="1" a="1"/>
  <c r="J602" i="1"/>
  <c r="J603" i="1" a="1"/>
  <c r="J603" i="1"/>
  <c r="J604" i="1" a="1"/>
  <c r="J604" i="1"/>
  <c r="J605" i="1" a="1"/>
  <c r="J605" i="1"/>
  <c r="J606" i="1" a="1"/>
  <c r="J606" i="1"/>
  <c r="J607" i="1" a="1"/>
  <c r="J607" i="1"/>
  <c r="J608" i="1" a="1"/>
  <c r="J608" i="1"/>
  <c r="J609" i="1" a="1"/>
  <c r="J609" i="1"/>
  <c r="J610" i="1" a="1"/>
  <c r="J610" i="1"/>
  <c r="J611" i="1" a="1"/>
  <c r="J611" i="1"/>
  <c r="J612" i="1" a="1"/>
  <c r="J612" i="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c r="G24" i="1" a="1"/>
  <c r="G24" i="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c r="G124" i="1" a="1"/>
  <c r="G124" i="1" s="1"/>
  <c r="G125" i="1" a="1"/>
  <c r="G125" i="1" s="1"/>
  <c r="G126" i="1" a="1"/>
  <c r="G126" i="1" s="1"/>
  <c r="G127" i="1" a="1"/>
  <c r="G127" i="1" s="1"/>
  <c r="G128" i="1" a="1"/>
  <c r="G128" i="1"/>
  <c r="G129" i="1" a="1"/>
  <c r="G129" i="1" s="1"/>
  <c r="G130" i="1" a="1"/>
  <c r="G130" i="1" s="1"/>
  <c r="G131" i="1" a="1"/>
  <c r="G131" i="1" s="1"/>
  <c r="G132" i="1" a="1"/>
  <c r="G132" i="1" s="1"/>
  <c r="G133" i="1" a="1"/>
  <c r="G133" i="1" s="1"/>
  <c r="G134" i="1" a="1"/>
  <c r="G134" i="1" s="1"/>
  <c r="G135" i="1" a="1"/>
  <c r="G135" i="1"/>
  <c r="G136" i="1" a="1"/>
  <c r="G136" i="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c r="G584" i="1" a="1"/>
  <c r="G584" i="1" s="1"/>
  <c r="G585" i="1" a="1"/>
  <c r="G585" i="1" s="1"/>
  <c r="G586" i="1" a="1"/>
  <c r="G586" i="1" s="1"/>
  <c r="G587" i="1" a="1"/>
  <c r="G587" i="1" s="1"/>
  <c r="G588" i="1" a="1"/>
  <c r="G588" i="1" s="1"/>
  <c r="G589" i="1" a="1"/>
  <c r="G589" i="1" s="1"/>
  <c r="G590" i="1" a="1"/>
  <c r="G590" i="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M908" i="34" l="1"/>
  <c r="N908" i="34" s="1"/>
  <c r="O908" i="34" s="1"/>
  <c r="P908" i="34" s="1"/>
  <c r="Q908" i="34" s="1"/>
  <c r="R908" i="34" s="1"/>
  <c r="S908" i="34" s="1"/>
  <c r="M828" i="34"/>
  <c r="N828" i="34" s="1"/>
  <c r="O828" i="34" s="1"/>
  <c r="P828" i="34" s="1"/>
  <c r="Q828" i="34" s="1"/>
  <c r="R828" i="34" s="1"/>
  <c r="S828" i="34" s="1"/>
  <c r="M660" i="34"/>
  <c r="N660" i="34" s="1"/>
  <c r="O660" i="34" s="1"/>
  <c r="P660" i="34" s="1"/>
  <c r="Q660" i="34" s="1"/>
  <c r="R660" i="34" s="1"/>
  <c r="S660" i="34" s="1"/>
  <c r="M932" i="34"/>
  <c r="N932" i="34" s="1"/>
  <c r="O932" i="34" s="1"/>
  <c r="P932" i="34" s="1"/>
  <c r="Q932" i="34" s="1"/>
  <c r="R932" i="34" s="1"/>
  <c r="S932" i="34" s="1"/>
  <c r="M708" i="34"/>
  <c r="N708" i="34" s="1"/>
  <c r="O708" i="34" s="1"/>
  <c r="P708" i="34" s="1"/>
  <c r="Q708" i="34" s="1"/>
  <c r="R708" i="34" s="1"/>
  <c r="S708" i="34" s="1"/>
  <c r="M884" i="34"/>
  <c r="N884" i="34" s="1"/>
  <c r="O884" i="34" s="1"/>
  <c r="P884" i="34" s="1"/>
  <c r="Q884" i="34" s="1"/>
  <c r="R884" i="34" s="1"/>
  <c r="S884" i="34" s="1"/>
  <c r="M692" i="34"/>
  <c r="N692" i="34" s="1"/>
  <c r="O692" i="34" s="1"/>
  <c r="P692" i="34" s="1"/>
  <c r="Q692" i="34" s="1"/>
  <c r="R692" i="34" s="1"/>
  <c r="S692" i="34" s="1"/>
  <c r="M658" i="34"/>
  <c r="N658" i="34" s="1"/>
  <c r="O658" i="34" s="1"/>
  <c r="P658" i="34" s="1"/>
  <c r="Q658" i="34" s="1"/>
  <c r="R658" i="34" s="1"/>
  <c r="S658" i="34" s="1"/>
  <c r="M940" i="34"/>
  <c r="N940" i="34" s="1"/>
  <c r="O940" i="34" s="1"/>
  <c r="P940" i="34" s="1"/>
  <c r="Q940" i="34" s="1"/>
  <c r="R940" i="34" s="1"/>
  <c r="S940" i="34" s="1"/>
  <c r="M900" i="34"/>
  <c r="N900" i="34" s="1"/>
  <c r="O900" i="34" s="1"/>
  <c r="P900" i="34" s="1"/>
  <c r="Q900" i="34" s="1"/>
  <c r="R900" i="34" s="1"/>
  <c r="S900" i="34" s="1"/>
  <c r="M844" i="34"/>
  <c r="N844" i="34" s="1"/>
  <c r="O844" i="34" s="1"/>
  <c r="P844" i="34" s="1"/>
  <c r="Q844" i="34" s="1"/>
  <c r="R844" i="34" s="1"/>
  <c r="S844" i="34" s="1"/>
  <c r="M780" i="34"/>
  <c r="N780" i="34" s="1"/>
  <c r="O780" i="34" s="1"/>
  <c r="P780" i="34" s="1"/>
  <c r="Q780" i="34" s="1"/>
  <c r="R780" i="34" s="1"/>
  <c r="S780" i="34" s="1"/>
  <c r="M657" i="34"/>
  <c r="N657" i="34" s="1"/>
  <c r="O657" i="34" s="1"/>
  <c r="P657" i="34" s="1"/>
  <c r="Q657" i="34" s="1"/>
  <c r="R657" i="34" s="1"/>
  <c r="S657" i="34" s="1"/>
  <c r="M1001" i="34"/>
  <c r="N1001" i="34" s="1"/>
  <c r="O1001" i="34" s="1"/>
  <c r="P1001" i="34" s="1"/>
  <c r="Q1001" i="34" s="1"/>
  <c r="R1001" i="34" s="1"/>
  <c r="S1001" i="34" s="1"/>
  <c r="M956" i="34"/>
  <c r="N956" i="34" s="1"/>
  <c r="O956" i="34" s="1"/>
  <c r="P956" i="34" s="1"/>
  <c r="Q956" i="34" s="1"/>
  <c r="R956" i="34" s="1"/>
  <c r="S956" i="34" s="1"/>
  <c r="M924" i="34"/>
  <c r="N924" i="34" s="1"/>
  <c r="O924" i="34" s="1"/>
  <c r="P924" i="34" s="1"/>
  <c r="Q924" i="34" s="1"/>
  <c r="R924" i="34" s="1"/>
  <c r="S924" i="34" s="1"/>
  <c r="M912" i="34"/>
  <c r="N912" i="34" s="1"/>
  <c r="O912" i="34" s="1"/>
  <c r="P912" i="34" s="1"/>
  <c r="Q912" i="34" s="1"/>
  <c r="R912" i="34" s="1"/>
  <c r="S912" i="34" s="1"/>
  <c r="M905" i="34"/>
  <c r="N905" i="34" s="1"/>
  <c r="O905" i="34" s="1"/>
  <c r="P905" i="34" s="1"/>
  <c r="Q905" i="34" s="1"/>
  <c r="R905" i="34" s="1"/>
  <c r="S905" i="34" s="1"/>
  <c r="M865" i="34"/>
  <c r="N865" i="34" s="1"/>
  <c r="O865" i="34" s="1"/>
  <c r="P865" i="34" s="1"/>
  <c r="Q865" i="34" s="1"/>
  <c r="R865" i="34" s="1"/>
  <c r="S865" i="34" s="1"/>
  <c r="M859" i="34"/>
  <c r="N859" i="34" s="1"/>
  <c r="O859" i="34" s="1"/>
  <c r="P859" i="34" s="1"/>
  <c r="Q859" i="34" s="1"/>
  <c r="R859" i="34" s="1"/>
  <c r="S859" i="34" s="1"/>
  <c r="M820" i="34"/>
  <c r="N820" i="34" s="1"/>
  <c r="O820" i="34" s="1"/>
  <c r="P820" i="34" s="1"/>
  <c r="Q820" i="34" s="1"/>
  <c r="R820" i="34" s="1"/>
  <c r="S820" i="34" s="1"/>
  <c r="M768" i="34"/>
  <c r="N768" i="34" s="1"/>
  <c r="O768" i="34" s="1"/>
  <c r="P768" i="34" s="1"/>
  <c r="Q768" i="34" s="1"/>
  <c r="R768" i="34" s="1"/>
  <c r="S768" i="34" s="1"/>
  <c r="M740" i="34"/>
  <c r="N740" i="34" s="1"/>
  <c r="O740" i="34" s="1"/>
  <c r="P740" i="34" s="1"/>
  <c r="Q740" i="34" s="1"/>
  <c r="R740" i="34" s="1"/>
  <c r="S740" i="34" s="1"/>
  <c r="M729" i="34"/>
  <c r="N729" i="34" s="1"/>
  <c r="O729" i="34" s="1"/>
  <c r="P729" i="34" s="1"/>
  <c r="Q729" i="34" s="1"/>
  <c r="R729" i="34" s="1"/>
  <c r="S729" i="34" s="1"/>
  <c r="M684" i="34"/>
  <c r="N684" i="34" s="1"/>
  <c r="O684" i="34" s="1"/>
  <c r="P684" i="34" s="1"/>
  <c r="Q684" i="34" s="1"/>
  <c r="R684" i="34" s="1"/>
  <c r="S684" i="34" s="1"/>
  <c r="M656" i="34"/>
  <c r="N656" i="34" s="1"/>
  <c r="O656" i="34" s="1"/>
  <c r="P656" i="34" s="1"/>
  <c r="Q656" i="34" s="1"/>
  <c r="R656" i="34" s="1"/>
  <c r="S656" i="34" s="1"/>
  <c r="M635" i="34"/>
  <c r="N635" i="34" s="1"/>
  <c r="O635" i="34" s="1"/>
  <c r="P635" i="34" s="1"/>
  <c r="Q635" i="34" s="1"/>
  <c r="R635" i="34" s="1"/>
  <c r="S635" i="34" s="1"/>
  <c r="M628" i="34"/>
  <c r="N628" i="34" s="1"/>
  <c r="O628" i="34" s="1"/>
  <c r="P628" i="34" s="1"/>
  <c r="Q628" i="34" s="1"/>
  <c r="R628" i="34" s="1"/>
  <c r="S628" i="34" s="1"/>
  <c r="M620" i="34"/>
  <c r="N620" i="34" s="1"/>
  <c r="O620" i="34" s="1"/>
  <c r="P620" i="34" s="1"/>
  <c r="Q620" i="34" s="1"/>
  <c r="R620" i="34" s="1"/>
  <c r="S620" i="34" s="1"/>
  <c r="M764" i="34"/>
  <c r="N764" i="34" s="1"/>
  <c r="O764" i="34" s="1"/>
  <c r="P764" i="34" s="1"/>
  <c r="Q764" i="34" s="1"/>
  <c r="R764" i="34" s="1"/>
  <c r="S764" i="34" s="1"/>
  <c r="M747" i="34"/>
  <c r="N747" i="34" s="1"/>
  <c r="O747" i="34" s="1"/>
  <c r="P747" i="34" s="1"/>
  <c r="Q747" i="34" s="1"/>
  <c r="R747" i="34" s="1"/>
  <c r="S747" i="34" s="1"/>
  <c r="M732" i="34"/>
  <c r="N732" i="34" s="1"/>
  <c r="O732" i="34" s="1"/>
  <c r="P732" i="34" s="1"/>
  <c r="Q732" i="34" s="1"/>
  <c r="R732" i="34" s="1"/>
  <c r="S732" i="34" s="1"/>
  <c r="M659" i="34"/>
  <c r="N659" i="34" s="1"/>
  <c r="O659" i="34" s="1"/>
  <c r="P659" i="34" s="1"/>
  <c r="Q659" i="34" s="1"/>
  <c r="R659" i="34" s="1"/>
  <c r="S659" i="34" s="1"/>
  <c r="M964" i="34"/>
  <c r="N964" i="34" s="1"/>
  <c r="O964" i="34" s="1"/>
  <c r="P964" i="34" s="1"/>
  <c r="Q964" i="34" s="1"/>
  <c r="R964" i="34" s="1"/>
  <c r="S964" i="34" s="1"/>
  <c r="M907" i="34"/>
  <c r="N907" i="34" s="1"/>
  <c r="O907" i="34" s="1"/>
  <c r="P907" i="34" s="1"/>
  <c r="Q907" i="34" s="1"/>
  <c r="R907" i="34" s="1"/>
  <c r="S907" i="34" s="1"/>
  <c r="M826" i="34"/>
  <c r="N826" i="34" s="1"/>
  <c r="O826" i="34" s="1"/>
  <c r="P826" i="34" s="1"/>
  <c r="Q826" i="34" s="1"/>
  <c r="R826" i="34" s="1"/>
  <c r="S826" i="34" s="1"/>
  <c r="M636" i="34"/>
  <c r="N636" i="34" s="1"/>
  <c r="O636" i="34" s="1"/>
  <c r="P636" i="34" s="1"/>
  <c r="Q636" i="34" s="1"/>
  <c r="R636" i="34" s="1"/>
  <c r="S636" i="34" s="1"/>
  <c r="M860" i="34"/>
  <c r="N860" i="34" s="1"/>
  <c r="O860" i="34" s="1"/>
  <c r="P860" i="34" s="1"/>
  <c r="Q860" i="34" s="1"/>
  <c r="R860" i="34" s="1"/>
  <c r="S860" i="34" s="1"/>
  <c r="M850" i="34"/>
  <c r="N850" i="34" s="1"/>
  <c r="O850" i="34" s="1"/>
  <c r="P850" i="34" s="1"/>
  <c r="Q850" i="34" s="1"/>
  <c r="R850" i="34" s="1"/>
  <c r="S850" i="34" s="1"/>
  <c r="M836" i="34"/>
  <c r="N836" i="34" s="1"/>
  <c r="O836" i="34" s="1"/>
  <c r="P836" i="34" s="1"/>
  <c r="Q836" i="34" s="1"/>
  <c r="R836" i="34" s="1"/>
  <c r="S836" i="34" s="1"/>
  <c r="M724" i="34"/>
  <c r="N724" i="34" s="1"/>
  <c r="O724" i="34" s="1"/>
  <c r="P724" i="34" s="1"/>
  <c r="Q724" i="34" s="1"/>
  <c r="R724" i="34" s="1"/>
  <c r="S724" i="34" s="1"/>
  <c r="M668" i="34"/>
  <c r="N668" i="34" s="1"/>
  <c r="O668" i="34" s="1"/>
  <c r="P668" i="34" s="1"/>
  <c r="Q668" i="34" s="1"/>
  <c r="R668" i="34" s="1"/>
  <c r="S668" i="34" s="1"/>
  <c r="M652" i="34"/>
  <c r="N652" i="34" s="1"/>
  <c r="O652" i="34" s="1"/>
  <c r="P652" i="34" s="1"/>
  <c r="Q652" i="34" s="1"/>
  <c r="R652" i="34" s="1"/>
  <c r="S652" i="34" s="1"/>
  <c r="M985" i="34"/>
  <c r="N985" i="34" s="1"/>
  <c r="O985" i="34" s="1"/>
  <c r="P985" i="34" s="1"/>
  <c r="Q985" i="34" s="1"/>
  <c r="R985" i="34" s="1"/>
  <c r="S985" i="34" s="1"/>
  <c r="M968" i="34"/>
  <c r="N968" i="34" s="1"/>
  <c r="O968" i="34" s="1"/>
  <c r="P968" i="34" s="1"/>
  <c r="Q968" i="34" s="1"/>
  <c r="R968" i="34" s="1"/>
  <c r="S968" i="34" s="1"/>
  <c r="M961" i="34"/>
  <c r="N961" i="34" s="1"/>
  <c r="O961" i="34" s="1"/>
  <c r="P961" i="34" s="1"/>
  <c r="Q961" i="34" s="1"/>
  <c r="R961" i="34" s="1"/>
  <c r="S961" i="34" s="1"/>
  <c r="M945" i="34"/>
  <c r="N945" i="34" s="1"/>
  <c r="O945" i="34" s="1"/>
  <c r="P945" i="34" s="1"/>
  <c r="Q945" i="34" s="1"/>
  <c r="R945" i="34" s="1"/>
  <c r="S945" i="34" s="1"/>
  <c r="M939" i="34"/>
  <c r="N939" i="34" s="1"/>
  <c r="O939" i="34" s="1"/>
  <c r="P939" i="34" s="1"/>
  <c r="Q939" i="34" s="1"/>
  <c r="R939" i="34" s="1"/>
  <c r="S939" i="34" s="1"/>
  <c r="M928" i="34"/>
  <c r="N928" i="34" s="1"/>
  <c r="O928" i="34" s="1"/>
  <c r="P928" i="34" s="1"/>
  <c r="Q928" i="34" s="1"/>
  <c r="R928" i="34" s="1"/>
  <c r="S928" i="34" s="1"/>
  <c r="M804" i="34"/>
  <c r="N804" i="34" s="1"/>
  <c r="O804" i="34" s="1"/>
  <c r="P804" i="34" s="1"/>
  <c r="Q804" i="34" s="1"/>
  <c r="R804" i="34" s="1"/>
  <c r="S804" i="34" s="1"/>
  <c r="M745" i="34"/>
  <c r="N745" i="34" s="1"/>
  <c r="O745" i="34" s="1"/>
  <c r="P745" i="34" s="1"/>
  <c r="Q745" i="34" s="1"/>
  <c r="R745" i="34" s="1"/>
  <c r="S745" i="34" s="1"/>
  <c r="M722" i="34"/>
  <c r="N722" i="34" s="1"/>
  <c r="O722" i="34" s="1"/>
  <c r="P722" i="34" s="1"/>
  <c r="Q722" i="34" s="1"/>
  <c r="R722" i="34" s="1"/>
  <c r="S722" i="34" s="1"/>
  <c r="M712" i="34"/>
  <c r="N712" i="34" s="1"/>
  <c r="O712" i="34" s="1"/>
  <c r="P712" i="34" s="1"/>
  <c r="Q712" i="34" s="1"/>
  <c r="R712" i="34" s="1"/>
  <c r="S712" i="34" s="1"/>
  <c r="M700" i="34"/>
  <c r="N700" i="34" s="1"/>
  <c r="O700" i="34" s="1"/>
  <c r="P700" i="34" s="1"/>
  <c r="Q700" i="34" s="1"/>
  <c r="R700" i="34" s="1"/>
  <c r="S700" i="34" s="1"/>
  <c r="M689" i="34"/>
  <c r="N689" i="34" s="1"/>
  <c r="O689" i="34" s="1"/>
  <c r="P689" i="34" s="1"/>
  <c r="Q689" i="34" s="1"/>
  <c r="R689" i="34" s="1"/>
  <c r="S689" i="34" s="1"/>
  <c r="M619" i="34"/>
  <c r="N619" i="34" s="1"/>
  <c r="O619" i="34" s="1"/>
  <c r="P619" i="34" s="1"/>
  <c r="Q619" i="34" s="1"/>
  <c r="R619" i="34" s="1"/>
  <c r="S619" i="34" s="1"/>
  <c r="M988" i="34"/>
  <c r="N988" i="34" s="1"/>
  <c r="O988" i="34" s="1"/>
  <c r="P988" i="34" s="1"/>
  <c r="Q988" i="34" s="1"/>
  <c r="R988" i="34" s="1"/>
  <c r="S988" i="34" s="1"/>
  <c r="M748" i="34"/>
  <c r="N748" i="34" s="1"/>
  <c r="O748" i="34" s="1"/>
  <c r="P748" i="34" s="1"/>
  <c r="Q748" i="34" s="1"/>
  <c r="R748" i="34" s="1"/>
  <c r="S748" i="34" s="1"/>
  <c r="M972" i="34"/>
  <c r="N972" i="34" s="1"/>
  <c r="O972" i="34" s="1"/>
  <c r="P972" i="34" s="1"/>
  <c r="Q972" i="34" s="1"/>
  <c r="R972" i="34" s="1"/>
  <c r="S972" i="34" s="1"/>
  <c r="M892" i="34"/>
  <c r="N892" i="34" s="1"/>
  <c r="O892" i="34" s="1"/>
  <c r="P892" i="34" s="1"/>
  <c r="Q892" i="34" s="1"/>
  <c r="R892" i="34" s="1"/>
  <c r="S892" i="34" s="1"/>
  <c r="M818" i="34"/>
  <c r="N818" i="34" s="1"/>
  <c r="O818" i="34" s="1"/>
  <c r="P818" i="34" s="1"/>
  <c r="Q818" i="34" s="1"/>
  <c r="R818" i="34" s="1"/>
  <c r="S818" i="34" s="1"/>
  <c r="M812" i="34"/>
  <c r="N812" i="34" s="1"/>
  <c r="O812" i="34" s="1"/>
  <c r="P812" i="34" s="1"/>
  <c r="Q812" i="34" s="1"/>
  <c r="R812" i="34" s="1"/>
  <c r="S812" i="34" s="1"/>
  <c r="M796" i="34"/>
  <c r="N796" i="34" s="1"/>
  <c r="O796" i="34" s="1"/>
  <c r="P796" i="34" s="1"/>
  <c r="Q796" i="34" s="1"/>
  <c r="R796" i="34" s="1"/>
  <c r="S796" i="34" s="1"/>
  <c r="M756" i="34"/>
  <c r="N756" i="34" s="1"/>
  <c r="O756" i="34" s="1"/>
  <c r="P756" i="34" s="1"/>
  <c r="Q756" i="34" s="1"/>
  <c r="R756" i="34" s="1"/>
  <c r="S756" i="34" s="1"/>
  <c r="M716" i="34"/>
  <c r="N716" i="34" s="1"/>
  <c r="O716" i="34" s="1"/>
  <c r="P716" i="34" s="1"/>
  <c r="Q716" i="34" s="1"/>
  <c r="R716" i="34" s="1"/>
  <c r="S716" i="34" s="1"/>
  <c r="M644" i="34"/>
  <c r="N644" i="34" s="1"/>
  <c r="O644" i="34" s="1"/>
  <c r="P644" i="34" s="1"/>
  <c r="Q644" i="34" s="1"/>
  <c r="R644" i="34" s="1"/>
  <c r="S644" i="34" s="1"/>
  <c r="M615" i="34"/>
  <c r="N615" i="34" s="1"/>
  <c r="O615" i="34" s="1"/>
  <c r="P615" i="34" s="1"/>
  <c r="Q615" i="34" s="1"/>
  <c r="R615" i="34" s="1"/>
  <c r="S615" i="34" s="1"/>
  <c r="M794" i="34"/>
  <c r="N794" i="34" s="1"/>
  <c r="O794" i="34" s="1"/>
  <c r="P794" i="34" s="1"/>
  <c r="Q794" i="34" s="1"/>
  <c r="R794" i="34" s="1"/>
  <c r="S794" i="34" s="1"/>
  <c r="M954" i="34"/>
  <c r="N954" i="34" s="1"/>
  <c r="O954" i="34" s="1"/>
  <c r="P954" i="34" s="1"/>
  <c r="Q954" i="34" s="1"/>
  <c r="R954" i="34" s="1"/>
  <c r="S954" i="34" s="1"/>
  <c r="M634" i="34"/>
  <c r="N634" i="34" s="1"/>
  <c r="O634" i="34" s="1"/>
  <c r="P634" i="34" s="1"/>
  <c r="Q634" i="34" s="1"/>
  <c r="R634" i="34" s="1"/>
  <c r="S634" i="34" s="1"/>
  <c r="M866" i="34"/>
  <c r="N866" i="34" s="1"/>
  <c r="O866" i="34" s="1"/>
  <c r="P866" i="34" s="1"/>
  <c r="Q866" i="34" s="1"/>
  <c r="R866" i="34" s="1"/>
  <c r="S866" i="34" s="1"/>
  <c r="M835" i="34"/>
  <c r="N835" i="34" s="1"/>
  <c r="O835" i="34" s="1"/>
  <c r="P835" i="34" s="1"/>
  <c r="Q835" i="34" s="1"/>
  <c r="R835" i="34" s="1"/>
  <c r="S835" i="34" s="1"/>
  <c r="M923" i="34"/>
  <c r="N923" i="34" s="1"/>
  <c r="O923" i="34" s="1"/>
  <c r="P923" i="34" s="1"/>
  <c r="Q923" i="34" s="1"/>
  <c r="R923" i="34" s="1"/>
  <c r="S923" i="34" s="1"/>
  <c r="M739" i="34"/>
  <c r="N739" i="34" s="1"/>
  <c r="O739" i="34" s="1"/>
  <c r="P739" i="34" s="1"/>
  <c r="Q739" i="34" s="1"/>
  <c r="R739" i="34" s="1"/>
  <c r="S739" i="34" s="1"/>
  <c r="M673" i="34"/>
  <c r="N673" i="34" s="1"/>
  <c r="O673" i="34" s="1"/>
  <c r="P673" i="34" s="1"/>
  <c r="Q673" i="34" s="1"/>
  <c r="R673" i="34" s="1"/>
  <c r="S673" i="34" s="1"/>
  <c r="M978" i="34"/>
  <c r="N978" i="34" s="1"/>
  <c r="O978" i="34" s="1"/>
  <c r="P978" i="34" s="1"/>
  <c r="Q978" i="34" s="1"/>
  <c r="R978" i="34" s="1"/>
  <c r="S978" i="34" s="1"/>
  <c r="M649" i="34"/>
  <c r="N649" i="34" s="1"/>
  <c r="O649" i="34" s="1"/>
  <c r="P649" i="34" s="1"/>
  <c r="Q649" i="34" s="1"/>
  <c r="R649" i="34" s="1"/>
  <c r="S649" i="34" s="1"/>
  <c r="M626" i="34"/>
  <c r="N626" i="34" s="1"/>
  <c r="O626" i="34" s="1"/>
  <c r="P626" i="34" s="1"/>
  <c r="Q626" i="34" s="1"/>
  <c r="R626" i="34" s="1"/>
  <c r="S626" i="34" s="1"/>
  <c r="M955" i="34"/>
  <c r="N955" i="34" s="1"/>
  <c r="O955" i="34" s="1"/>
  <c r="P955" i="34" s="1"/>
  <c r="Q955" i="34" s="1"/>
  <c r="R955" i="34" s="1"/>
  <c r="S955" i="34" s="1"/>
  <c r="M811" i="34"/>
  <c r="N811" i="34" s="1"/>
  <c r="O811" i="34" s="1"/>
  <c r="P811" i="34" s="1"/>
  <c r="Q811" i="34" s="1"/>
  <c r="R811" i="34" s="1"/>
  <c r="S811" i="34" s="1"/>
  <c r="M914" i="34"/>
  <c r="N914" i="34" s="1"/>
  <c r="O914" i="34" s="1"/>
  <c r="P914" i="34" s="1"/>
  <c r="Q914" i="34" s="1"/>
  <c r="R914" i="34" s="1"/>
  <c r="S914" i="34" s="1"/>
  <c r="M834" i="34"/>
  <c r="N834" i="34" s="1"/>
  <c r="O834" i="34" s="1"/>
  <c r="P834" i="34" s="1"/>
  <c r="Q834" i="34" s="1"/>
  <c r="R834" i="34" s="1"/>
  <c r="S834" i="34" s="1"/>
  <c r="M778" i="34"/>
  <c r="N778" i="34" s="1"/>
  <c r="O778" i="34" s="1"/>
  <c r="P778" i="34" s="1"/>
  <c r="Q778" i="34" s="1"/>
  <c r="R778" i="34" s="1"/>
  <c r="S778" i="34" s="1"/>
  <c r="M769" i="34"/>
  <c r="N769" i="34" s="1"/>
  <c r="O769" i="34" s="1"/>
  <c r="P769" i="34" s="1"/>
  <c r="Q769" i="34" s="1"/>
  <c r="R769" i="34" s="1"/>
  <c r="S769" i="34" s="1"/>
  <c r="M827" i="34"/>
  <c r="N827" i="34" s="1"/>
  <c r="O827" i="34" s="1"/>
  <c r="P827" i="34" s="1"/>
  <c r="Q827" i="34" s="1"/>
  <c r="R827" i="34" s="1"/>
  <c r="S827" i="34" s="1"/>
  <c r="M763" i="34"/>
  <c r="N763" i="34" s="1"/>
  <c r="O763" i="34" s="1"/>
  <c r="P763" i="34" s="1"/>
  <c r="Q763" i="34" s="1"/>
  <c r="R763" i="34" s="1"/>
  <c r="S763" i="34" s="1"/>
  <c r="M731" i="34"/>
  <c r="N731" i="34" s="1"/>
  <c r="O731" i="34" s="1"/>
  <c r="P731" i="34" s="1"/>
  <c r="Q731" i="34" s="1"/>
  <c r="R731" i="34" s="1"/>
  <c r="S731" i="34" s="1"/>
  <c r="M994" i="34"/>
  <c r="N994" i="34" s="1"/>
  <c r="O994" i="34" s="1"/>
  <c r="P994" i="34" s="1"/>
  <c r="Q994" i="34" s="1"/>
  <c r="R994" i="34" s="1"/>
  <c r="S994" i="34" s="1"/>
  <c r="M930" i="34"/>
  <c r="N930" i="34" s="1"/>
  <c r="O930" i="34" s="1"/>
  <c r="P930" i="34" s="1"/>
  <c r="Q930" i="34" s="1"/>
  <c r="R930" i="34" s="1"/>
  <c r="S930" i="34" s="1"/>
  <c r="M913" i="34"/>
  <c r="N913" i="34" s="1"/>
  <c r="O913" i="34" s="1"/>
  <c r="P913" i="34" s="1"/>
  <c r="Q913" i="34" s="1"/>
  <c r="R913" i="34" s="1"/>
  <c r="S913" i="34" s="1"/>
  <c r="M891" i="34"/>
  <c r="N891" i="34" s="1"/>
  <c r="O891" i="34" s="1"/>
  <c r="P891" i="34" s="1"/>
  <c r="Q891" i="34" s="1"/>
  <c r="R891" i="34" s="1"/>
  <c r="S891" i="34" s="1"/>
  <c r="M819" i="34"/>
  <c r="N819" i="34" s="1"/>
  <c r="O819" i="34" s="1"/>
  <c r="P819" i="34" s="1"/>
  <c r="Q819" i="34" s="1"/>
  <c r="R819" i="34" s="1"/>
  <c r="S819" i="34" s="1"/>
  <c r="M801" i="34"/>
  <c r="N801" i="34" s="1"/>
  <c r="O801" i="34" s="1"/>
  <c r="P801" i="34" s="1"/>
  <c r="Q801" i="34" s="1"/>
  <c r="R801" i="34" s="1"/>
  <c r="S801" i="34" s="1"/>
  <c r="M738" i="34"/>
  <c r="N738" i="34" s="1"/>
  <c r="O738" i="34" s="1"/>
  <c r="P738" i="34" s="1"/>
  <c r="Q738" i="34" s="1"/>
  <c r="R738" i="34" s="1"/>
  <c r="S738" i="34" s="1"/>
  <c r="M706" i="34"/>
  <c r="N706" i="34" s="1"/>
  <c r="O706" i="34" s="1"/>
  <c r="P706" i="34" s="1"/>
  <c r="Q706" i="34" s="1"/>
  <c r="R706" i="34" s="1"/>
  <c r="S706" i="34" s="1"/>
  <c r="M690" i="34"/>
  <c r="N690" i="34" s="1"/>
  <c r="O690" i="34" s="1"/>
  <c r="P690" i="34" s="1"/>
  <c r="Q690" i="34" s="1"/>
  <c r="R690" i="34" s="1"/>
  <c r="S690" i="34" s="1"/>
  <c r="M682" i="34"/>
  <c r="N682" i="34" s="1"/>
  <c r="O682" i="34" s="1"/>
  <c r="P682" i="34" s="1"/>
  <c r="Q682" i="34" s="1"/>
  <c r="R682" i="34" s="1"/>
  <c r="S682" i="34" s="1"/>
  <c r="M625" i="34"/>
  <c r="N625" i="34" s="1"/>
  <c r="O625" i="34" s="1"/>
  <c r="P625" i="34" s="1"/>
  <c r="Q625" i="34" s="1"/>
  <c r="R625" i="34" s="1"/>
  <c r="S625" i="34" s="1"/>
  <c r="M931" i="34"/>
  <c r="N931" i="34" s="1"/>
  <c r="O931" i="34" s="1"/>
  <c r="P931" i="34" s="1"/>
  <c r="Q931" i="34" s="1"/>
  <c r="R931" i="34" s="1"/>
  <c r="S931" i="34" s="1"/>
  <c r="M858" i="34"/>
  <c r="N858" i="34" s="1"/>
  <c r="O858" i="34" s="1"/>
  <c r="P858" i="34" s="1"/>
  <c r="Q858" i="34" s="1"/>
  <c r="R858" i="34" s="1"/>
  <c r="S858" i="34" s="1"/>
  <c r="M667" i="34"/>
  <c r="N667" i="34" s="1"/>
  <c r="O667" i="34" s="1"/>
  <c r="P667" i="34" s="1"/>
  <c r="Q667" i="34" s="1"/>
  <c r="R667" i="34" s="1"/>
  <c r="S667" i="34" s="1"/>
  <c r="M987" i="34"/>
  <c r="N987" i="34" s="1"/>
  <c r="O987" i="34" s="1"/>
  <c r="P987" i="34" s="1"/>
  <c r="Q987" i="34" s="1"/>
  <c r="R987" i="34" s="1"/>
  <c r="S987" i="34" s="1"/>
  <c r="M947" i="34"/>
  <c r="N947" i="34" s="1"/>
  <c r="O947" i="34" s="1"/>
  <c r="P947" i="34" s="1"/>
  <c r="Q947" i="34" s="1"/>
  <c r="R947" i="34" s="1"/>
  <c r="S947" i="34" s="1"/>
  <c r="M857" i="34"/>
  <c r="N857" i="34" s="1"/>
  <c r="O857" i="34" s="1"/>
  <c r="P857" i="34" s="1"/>
  <c r="Q857" i="34" s="1"/>
  <c r="R857" i="34" s="1"/>
  <c r="S857" i="34" s="1"/>
  <c r="M841" i="34"/>
  <c r="N841" i="34" s="1"/>
  <c r="O841" i="34" s="1"/>
  <c r="P841" i="34" s="1"/>
  <c r="Q841" i="34" s="1"/>
  <c r="R841" i="34" s="1"/>
  <c r="S841" i="34" s="1"/>
  <c r="M922" i="34"/>
  <c r="N922" i="34" s="1"/>
  <c r="O922" i="34" s="1"/>
  <c r="P922" i="34" s="1"/>
  <c r="Q922" i="34" s="1"/>
  <c r="R922" i="34" s="1"/>
  <c r="S922" i="34" s="1"/>
  <c r="M875" i="34"/>
  <c r="N875" i="34" s="1"/>
  <c r="O875" i="34" s="1"/>
  <c r="P875" i="34" s="1"/>
  <c r="Q875" i="34" s="1"/>
  <c r="R875" i="34" s="1"/>
  <c r="S875" i="34" s="1"/>
  <c r="M777" i="34"/>
  <c r="N777" i="34" s="1"/>
  <c r="O777" i="34" s="1"/>
  <c r="P777" i="34" s="1"/>
  <c r="Q777" i="34" s="1"/>
  <c r="R777" i="34" s="1"/>
  <c r="S777" i="34" s="1"/>
  <c r="M986" i="34"/>
  <c r="N986" i="34" s="1"/>
  <c r="O986" i="34" s="1"/>
  <c r="P986" i="34" s="1"/>
  <c r="Q986" i="34" s="1"/>
  <c r="R986" i="34" s="1"/>
  <c r="S986" i="34" s="1"/>
  <c r="M929" i="34"/>
  <c r="N929" i="34" s="1"/>
  <c r="O929" i="34" s="1"/>
  <c r="P929" i="34" s="1"/>
  <c r="Q929" i="34" s="1"/>
  <c r="R929" i="34" s="1"/>
  <c r="S929" i="34" s="1"/>
  <c r="M851" i="34"/>
  <c r="N851" i="34" s="1"/>
  <c r="O851" i="34" s="1"/>
  <c r="P851" i="34" s="1"/>
  <c r="Q851" i="34" s="1"/>
  <c r="R851" i="34" s="1"/>
  <c r="S851" i="34" s="1"/>
  <c r="M810" i="34"/>
  <c r="N810" i="34" s="1"/>
  <c r="O810" i="34" s="1"/>
  <c r="P810" i="34" s="1"/>
  <c r="Q810" i="34" s="1"/>
  <c r="R810" i="34" s="1"/>
  <c r="S810" i="34" s="1"/>
  <c r="M681" i="34"/>
  <c r="N681" i="34" s="1"/>
  <c r="O681" i="34" s="1"/>
  <c r="P681" i="34" s="1"/>
  <c r="Q681" i="34" s="1"/>
  <c r="R681" i="34" s="1"/>
  <c r="S681" i="34" s="1"/>
  <c r="M971" i="34"/>
  <c r="N971" i="34" s="1"/>
  <c r="O971" i="34" s="1"/>
  <c r="P971" i="34" s="1"/>
  <c r="Q971" i="34" s="1"/>
  <c r="R971" i="34" s="1"/>
  <c r="S971" i="34" s="1"/>
  <c r="M915" i="34"/>
  <c r="N915" i="34" s="1"/>
  <c r="O915" i="34" s="1"/>
  <c r="P915" i="34" s="1"/>
  <c r="Q915" i="34" s="1"/>
  <c r="R915" i="34" s="1"/>
  <c r="S915" i="34" s="1"/>
  <c r="M883" i="34"/>
  <c r="N883" i="34" s="1"/>
  <c r="O883" i="34" s="1"/>
  <c r="P883" i="34" s="1"/>
  <c r="Q883" i="34" s="1"/>
  <c r="R883" i="34" s="1"/>
  <c r="S883" i="34" s="1"/>
  <c r="M962" i="34"/>
  <c r="N962" i="34" s="1"/>
  <c r="O962" i="34" s="1"/>
  <c r="P962" i="34" s="1"/>
  <c r="Q962" i="34" s="1"/>
  <c r="R962" i="34" s="1"/>
  <c r="S962" i="34" s="1"/>
  <c r="M906" i="34"/>
  <c r="N906" i="34" s="1"/>
  <c r="O906" i="34" s="1"/>
  <c r="P906" i="34" s="1"/>
  <c r="Q906" i="34" s="1"/>
  <c r="R906" i="34" s="1"/>
  <c r="S906" i="34" s="1"/>
  <c r="M899" i="34"/>
  <c r="N899" i="34" s="1"/>
  <c r="O899" i="34" s="1"/>
  <c r="P899" i="34" s="1"/>
  <c r="Q899" i="34" s="1"/>
  <c r="R899" i="34" s="1"/>
  <c r="S899" i="34" s="1"/>
  <c r="M803" i="34"/>
  <c r="N803" i="34" s="1"/>
  <c r="O803" i="34" s="1"/>
  <c r="P803" i="34" s="1"/>
  <c r="Q803" i="34" s="1"/>
  <c r="R803" i="34" s="1"/>
  <c r="S803" i="34" s="1"/>
  <c r="M755" i="34"/>
  <c r="N755" i="34" s="1"/>
  <c r="O755" i="34" s="1"/>
  <c r="P755" i="34" s="1"/>
  <c r="Q755" i="34" s="1"/>
  <c r="R755" i="34" s="1"/>
  <c r="S755" i="34" s="1"/>
  <c r="M683" i="34"/>
  <c r="N683" i="34" s="1"/>
  <c r="O683" i="34" s="1"/>
  <c r="P683" i="34" s="1"/>
  <c r="Q683" i="34" s="1"/>
  <c r="R683" i="34" s="1"/>
  <c r="S683" i="34" s="1"/>
  <c r="M969" i="34"/>
  <c r="N969" i="34" s="1"/>
  <c r="O969" i="34" s="1"/>
  <c r="P969" i="34" s="1"/>
  <c r="Q969" i="34" s="1"/>
  <c r="R969" i="34" s="1"/>
  <c r="S969" i="34" s="1"/>
  <c r="M953" i="34"/>
  <c r="N953" i="34" s="1"/>
  <c r="O953" i="34" s="1"/>
  <c r="P953" i="34" s="1"/>
  <c r="Q953" i="34" s="1"/>
  <c r="R953" i="34" s="1"/>
  <c r="S953" i="34" s="1"/>
  <c r="M890" i="34"/>
  <c r="N890" i="34" s="1"/>
  <c r="O890" i="34" s="1"/>
  <c r="P890" i="34" s="1"/>
  <c r="Q890" i="34" s="1"/>
  <c r="R890" i="34" s="1"/>
  <c r="S890" i="34" s="1"/>
  <c r="M874" i="34"/>
  <c r="N874" i="34" s="1"/>
  <c r="O874" i="34" s="1"/>
  <c r="P874" i="34" s="1"/>
  <c r="Q874" i="34" s="1"/>
  <c r="R874" i="34" s="1"/>
  <c r="S874" i="34" s="1"/>
  <c r="M793" i="34"/>
  <c r="N793" i="34" s="1"/>
  <c r="O793" i="34" s="1"/>
  <c r="P793" i="34" s="1"/>
  <c r="Q793" i="34" s="1"/>
  <c r="R793" i="34" s="1"/>
  <c r="S793" i="34" s="1"/>
  <c r="M787" i="34"/>
  <c r="N787" i="34" s="1"/>
  <c r="O787" i="34" s="1"/>
  <c r="P787" i="34" s="1"/>
  <c r="Q787" i="34" s="1"/>
  <c r="R787" i="34" s="1"/>
  <c r="S787" i="34" s="1"/>
  <c r="M730" i="34"/>
  <c r="N730" i="34" s="1"/>
  <c r="O730" i="34" s="1"/>
  <c r="P730" i="34" s="1"/>
  <c r="Q730" i="34" s="1"/>
  <c r="R730" i="34" s="1"/>
  <c r="S730" i="34" s="1"/>
  <c r="M715" i="34"/>
  <c r="N715" i="34" s="1"/>
  <c r="O715" i="34" s="1"/>
  <c r="P715" i="34" s="1"/>
  <c r="Q715" i="34" s="1"/>
  <c r="R715" i="34" s="1"/>
  <c r="S715" i="34" s="1"/>
  <c r="M963" i="34"/>
  <c r="N963" i="34" s="1"/>
  <c r="O963" i="34" s="1"/>
  <c r="P963" i="34" s="1"/>
  <c r="Q963" i="34" s="1"/>
  <c r="R963" i="34" s="1"/>
  <c r="S963" i="34" s="1"/>
  <c r="M946" i="34"/>
  <c r="N946" i="34" s="1"/>
  <c r="O946" i="34" s="1"/>
  <c r="P946" i="34" s="1"/>
  <c r="Q946" i="34" s="1"/>
  <c r="R946" i="34" s="1"/>
  <c r="S946" i="34" s="1"/>
  <c r="M904" i="34"/>
  <c r="N904" i="34" s="1"/>
  <c r="O904" i="34" s="1"/>
  <c r="P904" i="34" s="1"/>
  <c r="Q904" i="34" s="1"/>
  <c r="R904" i="34" s="1"/>
  <c r="S904" i="34" s="1"/>
  <c r="M882" i="34"/>
  <c r="N882" i="34" s="1"/>
  <c r="O882" i="34" s="1"/>
  <c r="P882" i="34" s="1"/>
  <c r="Q882" i="34" s="1"/>
  <c r="R882" i="34" s="1"/>
  <c r="S882" i="34" s="1"/>
  <c r="M849" i="34"/>
  <c r="N849" i="34" s="1"/>
  <c r="O849" i="34" s="1"/>
  <c r="P849" i="34" s="1"/>
  <c r="Q849" i="34" s="1"/>
  <c r="R849" i="34" s="1"/>
  <c r="S849" i="34" s="1"/>
  <c r="M843" i="34"/>
  <c r="N843" i="34" s="1"/>
  <c r="O843" i="34" s="1"/>
  <c r="P843" i="34" s="1"/>
  <c r="Q843" i="34" s="1"/>
  <c r="R843" i="34" s="1"/>
  <c r="S843" i="34" s="1"/>
  <c r="M808" i="34"/>
  <c r="N808" i="34" s="1"/>
  <c r="O808" i="34" s="1"/>
  <c r="P808" i="34" s="1"/>
  <c r="Q808" i="34" s="1"/>
  <c r="R808" i="34" s="1"/>
  <c r="S808" i="34" s="1"/>
  <c r="M802" i="34"/>
  <c r="N802" i="34" s="1"/>
  <c r="O802" i="34" s="1"/>
  <c r="P802" i="34" s="1"/>
  <c r="Q802" i="34" s="1"/>
  <c r="R802" i="34" s="1"/>
  <c r="S802" i="34" s="1"/>
  <c r="M785" i="34"/>
  <c r="N785" i="34" s="1"/>
  <c r="O785" i="34" s="1"/>
  <c r="P785" i="34" s="1"/>
  <c r="Q785" i="34" s="1"/>
  <c r="R785" i="34" s="1"/>
  <c r="S785" i="34" s="1"/>
  <c r="M776" i="34"/>
  <c r="N776" i="34" s="1"/>
  <c r="O776" i="34" s="1"/>
  <c r="P776" i="34" s="1"/>
  <c r="Q776" i="34" s="1"/>
  <c r="R776" i="34" s="1"/>
  <c r="S776" i="34" s="1"/>
  <c r="M753" i="34"/>
  <c r="N753" i="34" s="1"/>
  <c r="O753" i="34" s="1"/>
  <c r="P753" i="34" s="1"/>
  <c r="Q753" i="34" s="1"/>
  <c r="R753" i="34" s="1"/>
  <c r="S753" i="34" s="1"/>
  <c r="M707" i="34"/>
  <c r="N707" i="34" s="1"/>
  <c r="O707" i="34" s="1"/>
  <c r="P707" i="34" s="1"/>
  <c r="Q707" i="34" s="1"/>
  <c r="R707" i="34" s="1"/>
  <c r="S707" i="34" s="1"/>
  <c r="M691" i="34"/>
  <c r="N691" i="34" s="1"/>
  <c r="O691" i="34" s="1"/>
  <c r="P691" i="34" s="1"/>
  <c r="Q691" i="34" s="1"/>
  <c r="R691" i="34" s="1"/>
  <c r="S691" i="34" s="1"/>
  <c r="M675" i="34"/>
  <c r="N675" i="34" s="1"/>
  <c r="O675" i="34" s="1"/>
  <c r="P675" i="34" s="1"/>
  <c r="Q675" i="34" s="1"/>
  <c r="R675" i="34" s="1"/>
  <c r="S675" i="34" s="1"/>
  <c r="M672" i="34"/>
  <c r="N672" i="34" s="1"/>
  <c r="O672" i="34" s="1"/>
  <c r="P672" i="34" s="1"/>
  <c r="Q672" i="34" s="1"/>
  <c r="R672" i="34" s="1"/>
  <c r="S672" i="34" s="1"/>
  <c r="M651" i="34"/>
  <c r="N651" i="34" s="1"/>
  <c r="O651" i="34" s="1"/>
  <c r="P651" i="34" s="1"/>
  <c r="Q651" i="34" s="1"/>
  <c r="R651" i="34" s="1"/>
  <c r="S651" i="34" s="1"/>
  <c r="M617" i="34"/>
  <c r="N617" i="34" s="1"/>
  <c r="O617" i="34" s="1"/>
  <c r="P617" i="34" s="1"/>
  <c r="Q617" i="34" s="1"/>
  <c r="R617" i="34" s="1"/>
  <c r="S617" i="34" s="1"/>
  <c r="M754" i="34"/>
  <c r="N754" i="34" s="1"/>
  <c r="O754" i="34" s="1"/>
  <c r="P754" i="34" s="1"/>
  <c r="Q754" i="34" s="1"/>
  <c r="R754" i="34" s="1"/>
  <c r="S754" i="34" s="1"/>
  <c r="M699" i="34"/>
  <c r="N699" i="34" s="1"/>
  <c r="O699" i="34" s="1"/>
  <c r="P699" i="34" s="1"/>
  <c r="Q699" i="34" s="1"/>
  <c r="R699" i="34" s="1"/>
  <c r="S699" i="34" s="1"/>
  <c r="M976" i="34"/>
  <c r="N976" i="34" s="1"/>
  <c r="O976" i="34" s="1"/>
  <c r="P976" i="34" s="1"/>
  <c r="Q976" i="34" s="1"/>
  <c r="R976" i="34" s="1"/>
  <c r="S976" i="34" s="1"/>
  <c r="M992" i="34"/>
  <c r="N992" i="34" s="1"/>
  <c r="O992" i="34" s="1"/>
  <c r="P992" i="34" s="1"/>
  <c r="Q992" i="34" s="1"/>
  <c r="R992" i="34" s="1"/>
  <c r="S992" i="34" s="1"/>
  <c r="M979" i="34"/>
  <c r="N979" i="34" s="1"/>
  <c r="O979" i="34" s="1"/>
  <c r="P979" i="34" s="1"/>
  <c r="Q979" i="34" s="1"/>
  <c r="R979" i="34" s="1"/>
  <c r="S979" i="34" s="1"/>
  <c r="M825" i="34"/>
  <c r="N825" i="34" s="1"/>
  <c r="O825" i="34" s="1"/>
  <c r="P825" i="34" s="1"/>
  <c r="Q825" i="34" s="1"/>
  <c r="R825" i="34" s="1"/>
  <c r="S825" i="34" s="1"/>
  <c r="M666" i="34"/>
  <c r="N666" i="34" s="1"/>
  <c r="O666" i="34" s="1"/>
  <c r="P666" i="34" s="1"/>
  <c r="Q666" i="34" s="1"/>
  <c r="R666" i="34" s="1"/>
  <c r="S666" i="34" s="1"/>
  <c r="M650" i="34"/>
  <c r="N650" i="34" s="1"/>
  <c r="O650" i="34" s="1"/>
  <c r="P650" i="34" s="1"/>
  <c r="Q650" i="34" s="1"/>
  <c r="R650" i="34" s="1"/>
  <c r="S650" i="34" s="1"/>
  <c r="M633" i="34"/>
  <c r="N633" i="34" s="1"/>
  <c r="O633" i="34" s="1"/>
  <c r="P633" i="34" s="1"/>
  <c r="Q633" i="34" s="1"/>
  <c r="R633" i="34" s="1"/>
  <c r="S633" i="34" s="1"/>
  <c r="M627" i="34"/>
  <c r="N627" i="34" s="1"/>
  <c r="O627" i="34" s="1"/>
  <c r="P627" i="34" s="1"/>
  <c r="Q627" i="34" s="1"/>
  <c r="R627" i="34" s="1"/>
  <c r="S627" i="34" s="1"/>
  <c r="M779" i="34"/>
  <c r="N779" i="34" s="1"/>
  <c r="O779" i="34" s="1"/>
  <c r="P779" i="34" s="1"/>
  <c r="Q779" i="34" s="1"/>
  <c r="R779" i="34" s="1"/>
  <c r="S779" i="34" s="1"/>
  <c r="M723" i="34"/>
  <c r="N723" i="34" s="1"/>
  <c r="O723" i="34" s="1"/>
  <c r="P723" i="34" s="1"/>
  <c r="Q723" i="34" s="1"/>
  <c r="R723" i="34" s="1"/>
  <c r="S723" i="34" s="1"/>
  <c r="M643" i="34"/>
  <c r="N643" i="34" s="1"/>
  <c r="O643" i="34" s="1"/>
  <c r="P643" i="34" s="1"/>
  <c r="Q643" i="34" s="1"/>
  <c r="R643" i="34" s="1"/>
  <c r="S643" i="34" s="1"/>
  <c r="M618" i="34"/>
  <c r="N618" i="34" s="1"/>
  <c r="O618" i="34" s="1"/>
  <c r="P618" i="34" s="1"/>
  <c r="Q618" i="34" s="1"/>
  <c r="R618" i="34" s="1"/>
  <c r="S618" i="34" s="1"/>
  <c r="M995" i="34"/>
  <c r="N995" i="34" s="1"/>
  <c r="O995" i="34" s="1"/>
  <c r="P995" i="34" s="1"/>
  <c r="Q995" i="34" s="1"/>
  <c r="R995" i="34" s="1"/>
  <c r="S995" i="34" s="1"/>
  <c r="M898" i="34"/>
  <c r="N898" i="34" s="1"/>
  <c r="O898" i="34" s="1"/>
  <c r="P898" i="34" s="1"/>
  <c r="Q898" i="34" s="1"/>
  <c r="R898" i="34" s="1"/>
  <c r="S898" i="34" s="1"/>
  <c r="M840" i="34"/>
  <c r="N840" i="34" s="1"/>
  <c r="O840" i="34" s="1"/>
  <c r="P840" i="34" s="1"/>
  <c r="Q840" i="34" s="1"/>
  <c r="R840" i="34" s="1"/>
  <c r="S840" i="34" s="1"/>
  <c r="M784" i="34"/>
  <c r="N784" i="34" s="1"/>
  <c r="O784" i="34" s="1"/>
  <c r="P784" i="34" s="1"/>
  <c r="Q784" i="34" s="1"/>
  <c r="R784" i="34" s="1"/>
  <c r="S784" i="34" s="1"/>
  <c r="M752" i="34"/>
  <c r="N752" i="34" s="1"/>
  <c r="O752" i="34" s="1"/>
  <c r="P752" i="34" s="1"/>
  <c r="Q752" i="34" s="1"/>
  <c r="R752" i="34" s="1"/>
  <c r="S752" i="34" s="1"/>
  <c r="M714" i="34"/>
  <c r="N714" i="34" s="1"/>
  <c r="O714" i="34" s="1"/>
  <c r="P714" i="34" s="1"/>
  <c r="Q714" i="34" s="1"/>
  <c r="R714" i="34" s="1"/>
  <c r="S714" i="34" s="1"/>
  <c r="M632" i="34"/>
  <c r="N632" i="34" s="1"/>
  <c r="O632" i="34" s="1"/>
  <c r="P632" i="34" s="1"/>
  <c r="Q632" i="34" s="1"/>
  <c r="R632" i="34" s="1"/>
  <c r="S632" i="34" s="1"/>
  <c r="C571" i="31"/>
  <c r="D571" i="31" s="1"/>
  <c r="E571" i="31" s="1"/>
  <c r="F571" i="31" s="1"/>
  <c r="G571" i="31" s="1"/>
  <c r="H571" i="31" s="1"/>
  <c r="I571" i="31" s="1"/>
  <c r="J571" i="31" s="1"/>
  <c r="K571" i="31" s="1"/>
  <c r="L571" i="31" s="1"/>
  <c r="M571" i="31" s="1"/>
  <c r="C521" i="31"/>
  <c r="D521" i="31" s="1"/>
  <c r="E521" i="31" s="1"/>
  <c r="F521" i="31" s="1"/>
  <c r="G521" i="31" s="1"/>
  <c r="H521" i="31" s="1"/>
  <c r="I521" i="31" s="1"/>
  <c r="J521" i="31" s="1"/>
  <c r="K521" i="31" s="1"/>
  <c r="L521" i="31" s="1"/>
  <c r="M521" i="31" s="1"/>
  <c r="C507" i="31"/>
  <c r="D507" i="31" s="1"/>
  <c r="E507" i="31" s="1"/>
  <c r="F507" i="31" s="1"/>
  <c r="G507" i="31" s="1"/>
  <c r="H507" i="31" s="1"/>
  <c r="I507" i="31" s="1"/>
  <c r="J507" i="31" s="1"/>
  <c r="K507" i="31" s="1"/>
  <c r="L507" i="31" s="1"/>
  <c r="M507" i="31" s="1"/>
  <c r="C471" i="31"/>
  <c r="D471" i="31" s="1"/>
  <c r="E471" i="31" s="1"/>
  <c r="F471" i="31" s="1"/>
  <c r="G471" i="31" s="1"/>
  <c r="H471" i="31" s="1"/>
  <c r="I471" i="31" s="1"/>
  <c r="J471" i="31" s="1"/>
  <c r="K471" i="31" s="1"/>
  <c r="L471" i="31" s="1"/>
  <c r="M471" i="31" s="1"/>
  <c r="C605" i="31"/>
  <c r="D605" i="31" s="1"/>
  <c r="E605" i="31" s="1"/>
  <c r="F605" i="31" s="1"/>
  <c r="G605" i="31" s="1"/>
  <c r="H605" i="31" s="1"/>
  <c r="I605" i="31" s="1"/>
  <c r="J605" i="31" s="1"/>
  <c r="K605" i="31" s="1"/>
  <c r="L605" i="31" s="1"/>
  <c r="M605" i="31" s="1"/>
  <c r="C118" i="31"/>
  <c r="D118" i="31" s="1"/>
  <c r="E118" i="31" s="1"/>
  <c r="F118" i="31" s="1"/>
  <c r="G118" i="31" s="1"/>
  <c r="H118" i="31" s="1"/>
  <c r="I118" i="31" s="1"/>
  <c r="J118" i="31" s="1"/>
  <c r="K118" i="31" s="1"/>
  <c r="L118" i="31" s="1"/>
  <c r="M118" i="31" s="1"/>
  <c r="C580" i="31"/>
  <c r="D580" i="31" s="1"/>
  <c r="E580" i="31" s="1"/>
  <c r="F580" i="31" s="1"/>
  <c r="G580" i="31" s="1"/>
  <c r="H580" i="31" s="1"/>
  <c r="I580" i="31" s="1"/>
  <c r="J580" i="31" s="1"/>
  <c r="K580" i="31" s="1"/>
  <c r="L580" i="31" s="1"/>
  <c r="M580" i="31" s="1"/>
  <c r="C559" i="31"/>
  <c r="D559" i="31" s="1"/>
  <c r="E559" i="31" s="1"/>
  <c r="F559" i="31" s="1"/>
  <c r="G559" i="31" s="1"/>
  <c r="H559" i="31" s="1"/>
  <c r="I559" i="31" s="1"/>
  <c r="J559" i="31" s="1"/>
  <c r="K559" i="31" s="1"/>
  <c r="L559" i="31" s="1"/>
  <c r="M559" i="31" s="1"/>
  <c r="C444" i="31"/>
  <c r="D444" i="31" s="1"/>
  <c r="E444" i="31" s="1"/>
  <c r="F444" i="31" s="1"/>
  <c r="G444" i="31" s="1"/>
  <c r="H444" i="31" s="1"/>
  <c r="I444" i="31" s="1"/>
  <c r="J444" i="31" s="1"/>
  <c r="K444" i="31" s="1"/>
  <c r="L444" i="31" s="1"/>
  <c r="M444" i="31" s="1"/>
  <c r="C392" i="31"/>
  <c r="D392" i="31" s="1"/>
  <c r="E392" i="31" s="1"/>
  <c r="F392" i="31" s="1"/>
  <c r="G392" i="31" s="1"/>
  <c r="H392" i="31" s="1"/>
  <c r="I392" i="31" s="1"/>
  <c r="J392" i="31" s="1"/>
  <c r="K392" i="31" s="1"/>
  <c r="L392" i="31" s="1"/>
  <c r="C378" i="31"/>
  <c r="D378" i="31" s="1"/>
  <c r="E378" i="31" s="1"/>
  <c r="F378" i="31" s="1"/>
  <c r="G378" i="31" s="1"/>
  <c r="H378" i="31" s="1"/>
  <c r="I378" i="31" s="1"/>
  <c r="J378" i="31" s="1"/>
  <c r="K378" i="31" s="1"/>
  <c r="L378" i="31" s="1"/>
  <c r="M378" i="31" s="1"/>
  <c r="C537" i="31"/>
  <c r="D537" i="31" s="1"/>
  <c r="E537" i="31" s="1"/>
  <c r="F537" i="31" s="1"/>
  <c r="G537" i="31" s="1"/>
  <c r="H537" i="31" s="1"/>
  <c r="I537" i="31" s="1"/>
  <c r="J537" i="31" s="1"/>
  <c r="K537" i="31" s="1"/>
  <c r="L537" i="31" s="1"/>
  <c r="M537" i="31" s="1"/>
  <c r="C508" i="31"/>
  <c r="D508" i="31" s="1"/>
  <c r="E508" i="31" s="1"/>
  <c r="F508" i="31" s="1"/>
  <c r="G508" i="31" s="1"/>
  <c r="H508" i="31" s="1"/>
  <c r="I508" i="31" s="1"/>
  <c r="J508" i="31" s="1"/>
  <c r="K508" i="31" s="1"/>
  <c r="L508" i="31" s="1"/>
  <c r="M508" i="31" s="1"/>
  <c r="C502" i="31"/>
  <c r="D502" i="31" s="1"/>
  <c r="E502" i="31" s="1"/>
  <c r="F502" i="31" s="1"/>
  <c r="G502" i="31" s="1"/>
  <c r="H502" i="31" s="1"/>
  <c r="I502" i="31" s="1"/>
  <c r="J502" i="31" s="1"/>
  <c r="K502" i="31" s="1"/>
  <c r="L502" i="31" s="1"/>
  <c r="M502" i="31" s="1"/>
  <c r="C487" i="31"/>
  <c r="D487" i="31" s="1"/>
  <c r="E487" i="31" s="1"/>
  <c r="F487" i="31" s="1"/>
  <c r="G487" i="31" s="1"/>
  <c r="H487" i="31" s="1"/>
  <c r="I487" i="31" s="1"/>
  <c r="J487" i="31" s="1"/>
  <c r="K487" i="31" s="1"/>
  <c r="L487" i="31" s="1"/>
  <c r="M487" i="31" s="1"/>
  <c r="C458" i="31"/>
  <c r="D458" i="31" s="1"/>
  <c r="E458" i="31" s="1"/>
  <c r="F458" i="31" s="1"/>
  <c r="G458" i="31" s="1"/>
  <c r="H458" i="31" s="1"/>
  <c r="I458" i="31" s="1"/>
  <c r="J458" i="31" s="1"/>
  <c r="K458" i="31" s="1"/>
  <c r="L458" i="31" s="1"/>
  <c r="M458" i="31" s="1"/>
  <c r="C292" i="31"/>
  <c r="D292" i="31" s="1"/>
  <c r="E292" i="31" s="1"/>
  <c r="F292" i="31" s="1"/>
  <c r="G292" i="31" s="1"/>
  <c r="H292" i="31" s="1"/>
  <c r="I292" i="31" s="1"/>
  <c r="J292" i="31" s="1"/>
  <c r="K292" i="31" s="1"/>
  <c r="L292" i="31" s="1"/>
  <c r="M292" i="31" s="1"/>
  <c r="C285" i="31"/>
  <c r="D285" i="31" s="1"/>
  <c r="E285" i="31" s="1"/>
  <c r="F285" i="31" s="1"/>
  <c r="G285" i="31" s="1"/>
  <c r="H285" i="31" s="1"/>
  <c r="I285" i="31" s="1"/>
  <c r="J285" i="31" s="1"/>
  <c r="K285" i="31" s="1"/>
  <c r="L285" i="31" s="1"/>
  <c r="M285" i="31" s="1"/>
  <c r="C256" i="31"/>
  <c r="D256" i="31" s="1"/>
  <c r="E256" i="31" s="1"/>
  <c r="F256" i="31" s="1"/>
  <c r="G256" i="31" s="1"/>
  <c r="H256" i="31" s="1"/>
  <c r="I256" i="31" s="1"/>
  <c r="J256" i="31" s="1"/>
  <c r="K256" i="31" s="1"/>
  <c r="L256" i="31" s="1"/>
  <c r="C575" i="31"/>
  <c r="D575" i="31" s="1"/>
  <c r="E575" i="31" s="1"/>
  <c r="F575" i="31" s="1"/>
  <c r="G575" i="31" s="1"/>
  <c r="H575" i="31" s="1"/>
  <c r="I575" i="31" s="1"/>
  <c r="J575" i="31" s="1"/>
  <c r="K575" i="31" s="1"/>
  <c r="L575" i="31" s="1"/>
  <c r="M575" i="31" s="1"/>
  <c r="C176" i="31"/>
  <c r="D176" i="31" s="1"/>
  <c r="E176" i="31" s="1"/>
  <c r="F176" i="31" s="1"/>
  <c r="G176" i="31" s="1"/>
  <c r="H176" i="31" s="1"/>
  <c r="I176" i="31" s="1"/>
  <c r="J176" i="31" s="1"/>
  <c r="K176" i="31" s="1"/>
  <c r="L176" i="31" s="1"/>
  <c r="M176" i="31" s="1"/>
  <c r="C62" i="31"/>
  <c r="D62" i="31" s="1"/>
  <c r="E62" i="31" s="1"/>
  <c r="F62" i="31" s="1"/>
  <c r="G62" i="31" s="1"/>
  <c r="H62" i="31" s="1"/>
  <c r="I62" i="31" s="1"/>
  <c r="J62" i="31" s="1"/>
  <c r="K62" i="31" s="1"/>
  <c r="L62" i="31" s="1"/>
  <c r="M62" i="31" s="1"/>
  <c r="C31" i="31"/>
  <c r="D31" i="31" s="1"/>
  <c r="E31" i="31" s="1"/>
  <c r="F31" i="31" s="1"/>
  <c r="G31" i="31" s="1"/>
  <c r="H31" i="31" s="1"/>
  <c r="I31" i="31" s="1"/>
  <c r="J31" i="31" s="1"/>
  <c r="K31" i="31" s="1"/>
  <c r="L31" i="31" s="1"/>
  <c r="M31" i="31" s="1"/>
  <c r="C567" i="31"/>
  <c r="D567" i="31" s="1"/>
  <c r="E567" i="31" s="1"/>
  <c r="F567" i="31" s="1"/>
  <c r="G567" i="31" s="1"/>
  <c r="H567" i="31" s="1"/>
  <c r="I567" i="31" s="1"/>
  <c r="J567" i="31" s="1"/>
  <c r="K567" i="31" s="1"/>
  <c r="L567" i="31" s="1"/>
  <c r="M567" i="31" s="1"/>
  <c r="C539" i="31"/>
  <c r="D539" i="31" s="1"/>
  <c r="E539" i="31" s="1"/>
  <c r="F539" i="31" s="1"/>
  <c r="G539" i="31" s="1"/>
  <c r="H539" i="31" s="1"/>
  <c r="I539" i="31" s="1"/>
  <c r="J539" i="31" s="1"/>
  <c r="K539" i="31" s="1"/>
  <c r="L539" i="31" s="1"/>
  <c r="M539" i="31" s="1"/>
  <c r="C342" i="31"/>
  <c r="D342" i="31" s="1"/>
  <c r="E342" i="31" s="1"/>
  <c r="F342" i="31" s="1"/>
  <c r="G342" i="31" s="1"/>
  <c r="H342" i="31" s="1"/>
  <c r="I342" i="31" s="1"/>
  <c r="J342" i="31" s="1"/>
  <c r="K342" i="31" s="1"/>
  <c r="L342" i="31" s="1"/>
  <c r="M342" i="31" s="1"/>
  <c r="C245" i="31"/>
  <c r="D245" i="31" s="1"/>
  <c r="E245" i="31" s="1"/>
  <c r="F245" i="31" s="1"/>
  <c r="G245" i="31" s="1"/>
  <c r="H245" i="31" s="1"/>
  <c r="I245" i="31" s="1"/>
  <c r="J245" i="31" s="1"/>
  <c r="K245" i="31" s="1"/>
  <c r="L245" i="31" s="1"/>
  <c r="M245" i="31" s="1"/>
  <c r="C161" i="31"/>
  <c r="D161" i="31" s="1"/>
  <c r="E161" i="31" s="1"/>
  <c r="F161" i="31" s="1"/>
  <c r="G161" i="31" s="1"/>
  <c r="H161" i="31" s="1"/>
  <c r="I161" i="31" s="1"/>
  <c r="J161" i="31" s="1"/>
  <c r="K161" i="31" s="1"/>
  <c r="L161" i="31" s="1"/>
  <c r="M161" i="31" s="1"/>
  <c r="C316" i="31"/>
  <c r="D316" i="31" s="1"/>
  <c r="E316" i="31" s="1"/>
  <c r="F316" i="31" s="1"/>
  <c r="G316" i="31" s="1"/>
  <c r="H316" i="31" s="1"/>
  <c r="I316" i="31" s="1"/>
  <c r="J316" i="31" s="1"/>
  <c r="K316" i="31" s="1"/>
  <c r="L316" i="31" s="1"/>
  <c r="M316" i="31" s="1"/>
  <c r="C163" i="31"/>
  <c r="D163" i="31" s="1"/>
  <c r="E163" i="31" s="1"/>
  <c r="F163" i="31" s="1"/>
  <c r="G163" i="31" s="1"/>
  <c r="H163" i="31" s="1"/>
  <c r="I163" i="31" s="1"/>
  <c r="J163" i="31" s="1"/>
  <c r="K163" i="31" s="1"/>
  <c r="L163" i="31" s="1"/>
  <c r="M163" i="31" s="1"/>
  <c r="C150" i="31"/>
  <c r="D150" i="31" s="1"/>
  <c r="E150" i="31" s="1"/>
  <c r="F150" i="31" s="1"/>
  <c r="G150" i="31" s="1"/>
  <c r="H150" i="31" s="1"/>
  <c r="I150" i="31" s="1"/>
  <c r="J150" i="31" s="1"/>
  <c r="K150" i="31" s="1"/>
  <c r="L150" i="31" s="1"/>
  <c r="M150" i="31" s="1"/>
  <c r="C100" i="31"/>
  <c r="D100" i="31" s="1"/>
  <c r="E100" i="31" s="1"/>
  <c r="F100" i="31" s="1"/>
  <c r="G100" i="31" s="1"/>
  <c r="H100" i="31" s="1"/>
  <c r="I100" i="31" s="1"/>
  <c r="J100" i="31" s="1"/>
  <c r="K100" i="31" s="1"/>
  <c r="L100" i="31" s="1"/>
  <c r="M100" i="31" s="1"/>
  <c r="C93" i="31"/>
  <c r="D93" i="31" s="1"/>
  <c r="E93" i="31" s="1"/>
  <c r="F93" i="31" s="1"/>
  <c r="G93" i="31" s="1"/>
  <c r="H93" i="31" s="1"/>
  <c r="I93" i="31" s="1"/>
  <c r="J93" i="31" s="1"/>
  <c r="K93" i="31" s="1"/>
  <c r="L93" i="31" s="1"/>
  <c r="M93" i="31" s="1"/>
  <c r="C72" i="31"/>
  <c r="D72" i="31" s="1"/>
  <c r="E72" i="31" s="1"/>
  <c r="F72" i="31" s="1"/>
  <c r="G72" i="31" s="1"/>
  <c r="H72" i="31" s="1"/>
  <c r="I72" i="31" s="1"/>
  <c r="J72" i="31" s="1"/>
  <c r="K72" i="31" s="1"/>
  <c r="L72" i="31" s="1"/>
  <c r="C594" i="31"/>
  <c r="D594" i="31" s="1"/>
  <c r="E594" i="31" s="1"/>
  <c r="F594" i="31" s="1"/>
  <c r="G594" i="31" s="1"/>
  <c r="H594" i="31" s="1"/>
  <c r="I594" i="31" s="1"/>
  <c r="J594" i="31" s="1"/>
  <c r="K594" i="31" s="1"/>
  <c r="L594" i="31" s="1"/>
  <c r="M594" i="31" s="1"/>
  <c r="C492" i="31"/>
  <c r="D492" i="31" s="1"/>
  <c r="E492" i="31" s="1"/>
  <c r="F492" i="31" s="1"/>
  <c r="G492" i="31" s="1"/>
  <c r="H492" i="31" s="1"/>
  <c r="I492" i="31" s="1"/>
  <c r="J492" i="31" s="1"/>
  <c r="K492" i="31" s="1"/>
  <c r="L492" i="31" s="1"/>
  <c r="M492" i="31" s="1"/>
  <c r="C465" i="31"/>
  <c r="D465" i="31" s="1"/>
  <c r="E465" i="31" s="1"/>
  <c r="F465" i="31" s="1"/>
  <c r="G465" i="31" s="1"/>
  <c r="H465" i="31" s="1"/>
  <c r="I465" i="31" s="1"/>
  <c r="J465" i="31" s="1"/>
  <c r="K465" i="31" s="1"/>
  <c r="L465" i="31" s="1"/>
  <c r="M465" i="31" s="1"/>
  <c r="C322" i="31"/>
  <c r="D322" i="31" s="1"/>
  <c r="E322" i="31" s="1"/>
  <c r="F322" i="31" s="1"/>
  <c r="G322" i="31" s="1"/>
  <c r="H322" i="31" s="1"/>
  <c r="I322" i="31" s="1"/>
  <c r="J322" i="31" s="1"/>
  <c r="K322" i="31" s="1"/>
  <c r="L322" i="31" s="1"/>
  <c r="M322" i="31" s="1"/>
  <c r="C308" i="31"/>
  <c r="D308" i="31" s="1"/>
  <c r="E308" i="31" s="1"/>
  <c r="F308" i="31" s="1"/>
  <c r="G308" i="31" s="1"/>
  <c r="H308" i="31" s="1"/>
  <c r="I308" i="31" s="1"/>
  <c r="J308" i="31" s="1"/>
  <c r="K308" i="31" s="1"/>
  <c r="L308" i="31" s="1"/>
  <c r="M308" i="31" s="1"/>
  <c r="C288" i="31"/>
  <c r="D288" i="31" s="1"/>
  <c r="E288" i="31" s="1"/>
  <c r="F288" i="31" s="1"/>
  <c r="G288" i="31" s="1"/>
  <c r="H288" i="31" s="1"/>
  <c r="I288" i="31" s="1"/>
  <c r="J288" i="31" s="1"/>
  <c r="K288" i="31" s="1"/>
  <c r="L288" i="31" s="1"/>
  <c r="M288" i="31" s="1"/>
  <c r="C261" i="31"/>
  <c r="D261" i="31" s="1"/>
  <c r="E261" i="31" s="1"/>
  <c r="F261" i="31" s="1"/>
  <c r="G261" i="31" s="1"/>
  <c r="H261" i="31" s="1"/>
  <c r="I261" i="31" s="1"/>
  <c r="J261" i="31" s="1"/>
  <c r="K261" i="31" s="1"/>
  <c r="L261" i="31" s="1"/>
  <c r="M261" i="31" s="1"/>
  <c r="C255" i="31"/>
  <c r="D255" i="31" s="1"/>
  <c r="E255" i="31" s="1"/>
  <c r="F255" i="31" s="1"/>
  <c r="G255" i="31" s="1"/>
  <c r="H255" i="31" s="1"/>
  <c r="I255" i="31" s="1"/>
  <c r="J255" i="31" s="1"/>
  <c r="K255" i="31" s="1"/>
  <c r="L255" i="31" s="1"/>
  <c r="M255" i="31" s="1"/>
  <c r="C120" i="31"/>
  <c r="D120" i="31" s="1"/>
  <c r="E120" i="31" s="1"/>
  <c r="F120" i="31" s="1"/>
  <c r="G120" i="31" s="1"/>
  <c r="H120" i="31" s="1"/>
  <c r="I120" i="31" s="1"/>
  <c r="J120" i="31" s="1"/>
  <c r="K120" i="31" s="1"/>
  <c r="L120" i="31" s="1"/>
  <c r="M120" i="31" s="1"/>
  <c r="C592" i="31"/>
  <c r="D592" i="31" s="1"/>
  <c r="E592" i="31" s="1"/>
  <c r="F592" i="31" s="1"/>
  <c r="G592" i="31" s="1"/>
  <c r="H592" i="31" s="1"/>
  <c r="I592" i="31" s="1"/>
  <c r="J592" i="31" s="1"/>
  <c r="K592" i="31" s="1"/>
  <c r="L592" i="31" s="1"/>
  <c r="C585" i="31"/>
  <c r="D585" i="31" s="1"/>
  <c r="E585" i="31" s="1"/>
  <c r="F585" i="31" s="1"/>
  <c r="G585" i="31" s="1"/>
  <c r="H585" i="31" s="1"/>
  <c r="I585" i="31" s="1"/>
  <c r="J585" i="31" s="1"/>
  <c r="K585" i="31" s="1"/>
  <c r="L585" i="31" s="1"/>
  <c r="M585" i="31" s="1"/>
  <c r="C574" i="31"/>
  <c r="D574" i="31" s="1"/>
  <c r="E574" i="31" s="1"/>
  <c r="F574" i="31" s="1"/>
  <c r="G574" i="31" s="1"/>
  <c r="H574" i="31" s="1"/>
  <c r="I574" i="31" s="1"/>
  <c r="J574" i="31" s="1"/>
  <c r="K574" i="31" s="1"/>
  <c r="L574" i="31" s="1"/>
  <c r="M574" i="31" s="1"/>
  <c r="C561" i="31"/>
  <c r="D561" i="31" s="1"/>
  <c r="E561" i="31" s="1"/>
  <c r="F561" i="31" s="1"/>
  <c r="G561" i="31" s="1"/>
  <c r="H561" i="31" s="1"/>
  <c r="I561" i="31" s="1"/>
  <c r="J561" i="31" s="1"/>
  <c r="K561" i="31" s="1"/>
  <c r="L561" i="31" s="1"/>
  <c r="M561" i="31" s="1"/>
  <c r="C548" i="31"/>
  <c r="D548" i="31" s="1"/>
  <c r="E548" i="31" s="1"/>
  <c r="F548" i="31" s="1"/>
  <c r="G548" i="31" s="1"/>
  <c r="H548" i="31" s="1"/>
  <c r="I548" i="31" s="1"/>
  <c r="J548" i="31" s="1"/>
  <c r="K548" i="31" s="1"/>
  <c r="L548" i="31" s="1"/>
  <c r="M548" i="31" s="1"/>
  <c r="C476" i="31"/>
  <c r="D476" i="31" s="1"/>
  <c r="E476" i="31" s="1"/>
  <c r="F476" i="31" s="1"/>
  <c r="G476" i="31" s="1"/>
  <c r="H476" i="31" s="1"/>
  <c r="I476" i="31" s="1"/>
  <c r="J476" i="31" s="1"/>
  <c r="K476" i="31" s="1"/>
  <c r="L476" i="31" s="1"/>
  <c r="M476" i="31" s="1"/>
  <c r="C463" i="31"/>
  <c r="D463" i="31" s="1"/>
  <c r="E463" i="31" s="1"/>
  <c r="F463" i="31" s="1"/>
  <c r="G463" i="31" s="1"/>
  <c r="H463" i="31" s="1"/>
  <c r="I463" i="31" s="1"/>
  <c r="J463" i="31" s="1"/>
  <c r="K463" i="31" s="1"/>
  <c r="L463" i="31" s="1"/>
  <c r="M463" i="31" s="1"/>
  <c r="C291" i="31"/>
  <c r="D291" i="31" s="1"/>
  <c r="E291" i="31" s="1"/>
  <c r="F291" i="31" s="1"/>
  <c r="G291" i="31" s="1"/>
  <c r="H291" i="31" s="1"/>
  <c r="I291" i="31" s="1"/>
  <c r="J291" i="31" s="1"/>
  <c r="K291" i="31" s="1"/>
  <c r="L291" i="31" s="1"/>
  <c r="M291" i="31" s="1"/>
  <c r="C265" i="31"/>
  <c r="D265" i="31" s="1"/>
  <c r="E265" i="31" s="1"/>
  <c r="F265" i="31" s="1"/>
  <c r="G265" i="31" s="1"/>
  <c r="H265" i="31" s="1"/>
  <c r="I265" i="31" s="1"/>
  <c r="J265" i="31" s="1"/>
  <c r="K265" i="31" s="1"/>
  <c r="L265" i="31" s="1"/>
  <c r="M265" i="31" s="1"/>
  <c r="C253" i="31"/>
  <c r="D253" i="31" s="1"/>
  <c r="E253" i="31" s="1"/>
  <c r="F253" i="31" s="1"/>
  <c r="G253" i="31" s="1"/>
  <c r="H253" i="31" s="1"/>
  <c r="I253" i="31" s="1"/>
  <c r="J253" i="31" s="1"/>
  <c r="K253" i="31" s="1"/>
  <c r="L253" i="31" s="1"/>
  <c r="M253" i="31" s="1"/>
  <c r="C201" i="31"/>
  <c r="D201" i="31" s="1"/>
  <c r="E201" i="31" s="1"/>
  <c r="F201" i="31" s="1"/>
  <c r="G201" i="31" s="1"/>
  <c r="H201" i="31" s="1"/>
  <c r="I201" i="31" s="1"/>
  <c r="J201" i="31" s="1"/>
  <c r="K201" i="31" s="1"/>
  <c r="L201" i="31" s="1"/>
  <c r="M201" i="31" s="1"/>
  <c r="C166" i="31"/>
  <c r="D166" i="31" s="1"/>
  <c r="E166" i="31" s="1"/>
  <c r="F166" i="31" s="1"/>
  <c r="G166" i="31" s="1"/>
  <c r="H166" i="31" s="1"/>
  <c r="I166" i="31" s="1"/>
  <c r="J166" i="31" s="1"/>
  <c r="K166" i="31" s="1"/>
  <c r="L166" i="31" s="1"/>
  <c r="M166" i="31" s="1"/>
  <c r="C83" i="31"/>
  <c r="D83" i="31" s="1"/>
  <c r="E83" i="31" s="1"/>
  <c r="F83" i="31" s="1"/>
  <c r="G83" i="31" s="1"/>
  <c r="H83" i="31" s="1"/>
  <c r="I83" i="31" s="1"/>
  <c r="J83" i="31" s="1"/>
  <c r="K83" i="31" s="1"/>
  <c r="L83" i="31" s="1"/>
  <c r="M83" i="31" s="1"/>
  <c r="C609" i="31"/>
  <c r="D609" i="31" s="1"/>
  <c r="E609" i="31" s="1"/>
  <c r="F609" i="31" s="1"/>
  <c r="G609" i="31" s="1"/>
  <c r="H609" i="31" s="1"/>
  <c r="I609" i="31" s="1"/>
  <c r="J609" i="31" s="1"/>
  <c r="K609" i="31" s="1"/>
  <c r="L609" i="31" s="1"/>
  <c r="M609" i="31" s="1"/>
  <c r="C603" i="31"/>
  <c r="D603" i="31" s="1"/>
  <c r="E603" i="31" s="1"/>
  <c r="F603" i="31" s="1"/>
  <c r="G603" i="31" s="1"/>
  <c r="H603" i="31" s="1"/>
  <c r="I603" i="31" s="1"/>
  <c r="J603" i="31" s="1"/>
  <c r="K603" i="31" s="1"/>
  <c r="L603" i="31" s="1"/>
  <c r="M603" i="31" s="1"/>
  <c r="C596" i="31"/>
  <c r="D596" i="31" s="1"/>
  <c r="E596" i="31" s="1"/>
  <c r="F596" i="31" s="1"/>
  <c r="G596" i="31" s="1"/>
  <c r="H596" i="31" s="1"/>
  <c r="I596" i="31" s="1"/>
  <c r="J596" i="31" s="1"/>
  <c r="K596" i="31" s="1"/>
  <c r="L596" i="31" s="1"/>
  <c r="M596" i="31" s="1"/>
  <c r="C584" i="31"/>
  <c r="D584" i="31" s="1"/>
  <c r="E584" i="31" s="1"/>
  <c r="F584" i="31" s="1"/>
  <c r="G584" i="31" s="1"/>
  <c r="H584" i="31" s="1"/>
  <c r="I584" i="31" s="1"/>
  <c r="J584" i="31" s="1"/>
  <c r="K584" i="31" s="1"/>
  <c r="L584" i="31" s="1"/>
  <c r="M584" i="31" s="1"/>
  <c r="C535" i="31"/>
  <c r="D535" i="31" s="1"/>
  <c r="E535" i="31" s="1"/>
  <c r="F535" i="31" s="1"/>
  <c r="G535" i="31" s="1"/>
  <c r="H535" i="31" s="1"/>
  <c r="I535" i="31" s="1"/>
  <c r="J535" i="31" s="1"/>
  <c r="K535" i="31" s="1"/>
  <c r="L535" i="31" s="1"/>
  <c r="M535" i="31" s="1"/>
  <c r="C529" i="31"/>
  <c r="D529" i="31" s="1"/>
  <c r="E529" i="31" s="1"/>
  <c r="F529" i="31" s="1"/>
  <c r="G529" i="31" s="1"/>
  <c r="H529" i="31" s="1"/>
  <c r="I529" i="31" s="1"/>
  <c r="J529" i="31" s="1"/>
  <c r="K529" i="31" s="1"/>
  <c r="L529" i="31" s="1"/>
  <c r="M529" i="31" s="1"/>
  <c r="C462" i="31"/>
  <c r="D462" i="31" s="1"/>
  <c r="E462" i="31" s="1"/>
  <c r="F462" i="31" s="1"/>
  <c r="G462" i="31" s="1"/>
  <c r="H462" i="31" s="1"/>
  <c r="I462" i="31" s="1"/>
  <c r="J462" i="31" s="1"/>
  <c r="K462" i="31" s="1"/>
  <c r="L462" i="31" s="1"/>
  <c r="M462" i="31" s="1"/>
  <c r="C426" i="31"/>
  <c r="D426" i="31" s="1"/>
  <c r="E426" i="31" s="1"/>
  <c r="F426" i="31" s="1"/>
  <c r="G426" i="31" s="1"/>
  <c r="H426" i="31" s="1"/>
  <c r="I426" i="31" s="1"/>
  <c r="J426" i="31" s="1"/>
  <c r="K426" i="31" s="1"/>
  <c r="L426" i="31" s="1"/>
  <c r="M426" i="31" s="1"/>
  <c r="C376" i="31"/>
  <c r="D376" i="31" s="1"/>
  <c r="E376" i="31" s="1"/>
  <c r="F376" i="31" s="1"/>
  <c r="G376" i="31" s="1"/>
  <c r="H376" i="31" s="1"/>
  <c r="I376" i="31" s="1"/>
  <c r="J376" i="31" s="1"/>
  <c r="K376" i="31" s="1"/>
  <c r="L376" i="31" s="1"/>
  <c r="M376" i="31" s="1"/>
  <c r="C331" i="31"/>
  <c r="D331" i="31" s="1"/>
  <c r="E331" i="31" s="1"/>
  <c r="F331" i="31" s="1"/>
  <c r="G331" i="31" s="1"/>
  <c r="H331" i="31" s="1"/>
  <c r="I331" i="31" s="1"/>
  <c r="J331" i="31" s="1"/>
  <c r="K331" i="31" s="1"/>
  <c r="L331" i="31" s="1"/>
  <c r="M331" i="31" s="1"/>
  <c r="C290" i="31"/>
  <c r="D290" i="31" s="1"/>
  <c r="E290" i="31" s="1"/>
  <c r="F290" i="31" s="1"/>
  <c r="G290" i="31" s="1"/>
  <c r="H290" i="31" s="1"/>
  <c r="I290" i="31" s="1"/>
  <c r="J290" i="31" s="1"/>
  <c r="K290" i="31" s="1"/>
  <c r="L290" i="31" s="1"/>
  <c r="M290" i="31" s="1"/>
  <c r="C213" i="31"/>
  <c r="D213" i="31" s="1"/>
  <c r="E213" i="31" s="1"/>
  <c r="F213" i="31" s="1"/>
  <c r="G213" i="31" s="1"/>
  <c r="H213" i="31" s="1"/>
  <c r="I213" i="31" s="1"/>
  <c r="J213" i="31" s="1"/>
  <c r="K213" i="31" s="1"/>
  <c r="L213" i="31" s="1"/>
  <c r="M213" i="31" s="1"/>
  <c r="C129" i="31"/>
  <c r="D129" i="31" s="1"/>
  <c r="E129" i="31" s="1"/>
  <c r="F129" i="31" s="1"/>
  <c r="G129" i="31" s="1"/>
  <c r="H129" i="31" s="1"/>
  <c r="I129" i="31" s="1"/>
  <c r="J129" i="31" s="1"/>
  <c r="K129" i="31" s="1"/>
  <c r="L129" i="31" s="1"/>
  <c r="M129" i="31" s="1"/>
  <c r="C122" i="31"/>
  <c r="D122" i="31" s="1"/>
  <c r="E122" i="31" s="1"/>
  <c r="F122" i="31" s="1"/>
  <c r="G122" i="31" s="1"/>
  <c r="H122" i="31" s="1"/>
  <c r="I122" i="31" s="1"/>
  <c r="J122" i="31" s="1"/>
  <c r="K122" i="31" s="1"/>
  <c r="L122" i="31" s="1"/>
  <c r="M122" i="31" s="1"/>
  <c r="C29" i="31"/>
  <c r="D29" i="31" s="1"/>
  <c r="E29" i="31" s="1"/>
  <c r="F29" i="31" s="1"/>
  <c r="G29" i="31" s="1"/>
  <c r="H29" i="31" s="1"/>
  <c r="I29" i="31" s="1"/>
  <c r="J29" i="31" s="1"/>
  <c r="K29" i="31" s="1"/>
  <c r="L29" i="31" s="1"/>
  <c r="M29" i="31" s="1"/>
  <c r="M72" i="31"/>
  <c r="C590" i="31"/>
  <c r="D590" i="31" s="1"/>
  <c r="E590" i="31" s="1"/>
  <c r="F590" i="31" s="1"/>
  <c r="G590" i="31" s="1"/>
  <c r="H590" i="31" s="1"/>
  <c r="I590" i="31" s="1"/>
  <c r="J590" i="31" s="1"/>
  <c r="K590" i="31" s="1"/>
  <c r="L590" i="31" s="1"/>
  <c r="M590" i="31" s="1"/>
  <c r="C524" i="31"/>
  <c r="D524" i="31" s="1"/>
  <c r="E524" i="31" s="1"/>
  <c r="F524" i="31" s="1"/>
  <c r="G524" i="31" s="1"/>
  <c r="H524" i="31" s="1"/>
  <c r="I524" i="31" s="1"/>
  <c r="J524" i="31" s="1"/>
  <c r="K524" i="31" s="1"/>
  <c r="L524" i="31" s="1"/>
  <c r="M524" i="31" s="1"/>
  <c r="C518" i="31"/>
  <c r="D518" i="31" s="1"/>
  <c r="E518" i="31" s="1"/>
  <c r="F518" i="31" s="1"/>
  <c r="G518" i="31" s="1"/>
  <c r="H518" i="31" s="1"/>
  <c r="I518" i="31" s="1"/>
  <c r="J518" i="31" s="1"/>
  <c r="K518" i="31" s="1"/>
  <c r="L518" i="31" s="1"/>
  <c r="M518" i="31" s="1"/>
  <c r="C494" i="31"/>
  <c r="D494" i="31" s="1"/>
  <c r="E494" i="31" s="1"/>
  <c r="F494" i="31" s="1"/>
  <c r="G494" i="31" s="1"/>
  <c r="H494" i="31" s="1"/>
  <c r="I494" i="31" s="1"/>
  <c r="J494" i="31" s="1"/>
  <c r="K494" i="31" s="1"/>
  <c r="L494" i="31" s="1"/>
  <c r="M494" i="31" s="1"/>
  <c r="C484" i="31"/>
  <c r="D484" i="31" s="1"/>
  <c r="E484" i="31" s="1"/>
  <c r="F484" i="31" s="1"/>
  <c r="G484" i="31" s="1"/>
  <c r="H484" i="31" s="1"/>
  <c r="I484" i="31" s="1"/>
  <c r="J484" i="31" s="1"/>
  <c r="K484" i="31" s="1"/>
  <c r="L484" i="31" s="1"/>
  <c r="M484" i="31" s="1"/>
  <c r="C428" i="31"/>
  <c r="D428" i="31" s="1"/>
  <c r="E428" i="31" s="1"/>
  <c r="F428" i="31" s="1"/>
  <c r="G428" i="31" s="1"/>
  <c r="H428" i="31" s="1"/>
  <c r="I428" i="31" s="1"/>
  <c r="J428" i="31" s="1"/>
  <c r="K428" i="31" s="1"/>
  <c r="L428" i="31" s="1"/>
  <c r="M428" i="31" s="1"/>
  <c r="C422" i="31"/>
  <c r="D422" i="31" s="1"/>
  <c r="E422" i="31" s="1"/>
  <c r="F422" i="31" s="1"/>
  <c r="G422" i="31" s="1"/>
  <c r="H422" i="31" s="1"/>
  <c r="I422" i="31" s="1"/>
  <c r="J422" i="31" s="1"/>
  <c r="K422" i="31" s="1"/>
  <c r="L422" i="31" s="1"/>
  <c r="M422" i="31" s="1"/>
  <c r="C394" i="31"/>
  <c r="D394" i="31" s="1"/>
  <c r="E394" i="31" s="1"/>
  <c r="F394" i="31" s="1"/>
  <c r="G394" i="31" s="1"/>
  <c r="H394" i="31" s="1"/>
  <c r="I394" i="31" s="1"/>
  <c r="J394" i="31" s="1"/>
  <c r="K394" i="31" s="1"/>
  <c r="L394" i="31" s="1"/>
  <c r="M394" i="31" s="1"/>
  <c r="C324" i="31"/>
  <c r="D324" i="31" s="1"/>
  <c r="E324" i="31" s="1"/>
  <c r="F324" i="31" s="1"/>
  <c r="G324" i="31" s="1"/>
  <c r="H324" i="31" s="1"/>
  <c r="I324" i="31" s="1"/>
  <c r="J324" i="31" s="1"/>
  <c r="K324" i="31" s="1"/>
  <c r="L324" i="31" s="1"/>
  <c r="M324" i="31" s="1"/>
  <c r="C306" i="31"/>
  <c r="D306" i="31" s="1"/>
  <c r="E306" i="31" s="1"/>
  <c r="F306" i="31" s="1"/>
  <c r="G306" i="31" s="1"/>
  <c r="H306" i="31" s="1"/>
  <c r="I306" i="31" s="1"/>
  <c r="J306" i="31" s="1"/>
  <c r="K306" i="31" s="1"/>
  <c r="L306" i="31" s="1"/>
  <c r="M306" i="31" s="1"/>
  <c r="C276" i="31"/>
  <c r="D276" i="31" s="1"/>
  <c r="E276" i="31" s="1"/>
  <c r="F276" i="31" s="1"/>
  <c r="G276" i="31" s="1"/>
  <c r="H276" i="31" s="1"/>
  <c r="I276" i="31" s="1"/>
  <c r="J276" i="31" s="1"/>
  <c r="K276" i="31" s="1"/>
  <c r="L276" i="31" s="1"/>
  <c r="M276" i="31" s="1"/>
  <c r="C271" i="31"/>
  <c r="D271" i="31" s="1"/>
  <c r="E271" i="31" s="1"/>
  <c r="F271" i="31" s="1"/>
  <c r="G271" i="31" s="1"/>
  <c r="H271" i="31" s="1"/>
  <c r="I271" i="31" s="1"/>
  <c r="J271" i="31" s="1"/>
  <c r="K271" i="31" s="1"/>
  <c r="L271" i="31" s="1"/>
  <c r="M271" i="31" s="1"/>
  <c r="C231" i="31"/>
  <c r="D231" i="31" s="1"/>
  <c r="E231" i="31" s="1"/>
  <c r="F231" i="31" s="1"/>
  <c r="G231" i="31" s="1"/>
  <c r="H231" i="31" s="1"/>
  <c r="I231" i="31" s="1"/>
  <c r="J231" i="31" s="1"/>
  <c r="K231" i="31" s="1"/>
  <c r="L231" i="31" s="1"/>
  <c r="M231" i="31" s="1"/>
  <c r="C115" i="31"/>
  <c r="D115" i="31" s="1"/>
  <c r="E115" i="31" s="1"/>
  <c r="F115" i="31" s="1"/>
  <c r="G115" i="31" s="1"/>
  <c r="H115" i="31" s="1"/>
  <c r="I115" i="31" s="1"/>
  <c r="J115" i="31" s="1"/>
  <c r="K115" i="31" s="1"/>
  <c r="L115" i="31" s="1"/>
  <c r="M115" i="31" s="1"/>
  <c r="C109" i="31"/>
  <c r="D109" i="31" s="1"/>
  <c r="E109" i="31" s="1"/>
  <c r="F109" i="31" s="1"/>
  <c r="G109" i="31" s="1"/>
  <c r="H109" i="31" s="1"/>
  <c r="I109" i="31" s="1"/>
  <c r="J109" i="31" s="1"/>
  <c r="K109" i="31" s="1"/>
  <c r="L109" i="31" s="1"/>
  <c r="M109" i="31" s="1"/>
  <c r="C64" i="31"/>
  <c r="D64" i="31" s="1"/>
  <c r="E64" i="31" s="1"/>
  <c r="F64" i="31" s="1"/>
  <c r="G64" i="31" s="1"/>
  <c r="H64" i="31" s="1"/>
  <c r="I64" i="31" s="1"/>
  <c r="J64" i="31" s="1"/>
  <c r="K64" i="31" s="1"/>
  <c r="L64" i="31" s="1"/>
  <c r="M64" i="31" s="1"/>
  <c r="C11" i="31"/>
  <c r="D11" i="31" s="1"/>
  <c r="E11" i="31" s="1"/>
  <c r="F11" i="31" s="1"/>
  <c r="G11" i="31" s="1"/>
  <c r="H11" i="31" s="1"/>
  <c r="I11" i="31" s="1"/>
  <c r="J11" i="31" s="1"/>
  <c r="K11" i="31" s="1"/>
  <c r="L11" i="31" s="1"/>
  <c r="M11" i="31" s="1"/>
  <c r="C593" i="31"/>
  <c r="D593" i="31" s="1"/>
  <c r="E593" i="31" s="1"/>
  <c r="F593" i="31" s="1"/>
  <c r="G593" i="31" s="1"/>
  <c r="H593" i="31" s="1"/>
  <c r="I593" i="31" s="1"/>
  <c r="J593" i="31" s="1"/>
  <c r="K593" i="31" s="1"/>
  <c r="L593" i="31" s="1"/>
  <c r="M593" i="31" s="1"/>
  <c r="C527" i="31"/>
  <c r="D527" i="31" s="1"/>
  <c r="E527" i="31" s="1"/>
  <c r="F527" i="31" s="1"/>
  <c r="G527" i="31" s="1"/>
  <c r="H527" i="31" s="1"/>
  <c r="I527" i="31" s="1"/>
  <c r="J527" i="31" s="1"/>
  <c r="K527" i="31" s="1"/>
  <c r="L527" i="31" s="1"/>
  <c r="M527" i="31" s="1"/>
  <c r="C505" i="31"/>
  <c r="D505" i="31" s="1"/>
  <c r="E505" i="31" s="1"/>
  <c r="F505" i="31" s="1"/>
  <c r="G505" i="31" s="1"/>
  <c r="H505" i="31" s="1"/>
  <c r="I505" i="31" s="1"/>
  <c r="J505" i="31" s="1"/>
  <c r="K505" i="31" s="1"/>
  <c r="L505" i="31" s="1"/>
  <c r="M505" i="31" s="1"/>
  <c r="C432" i="31"/>
  <c r="D432" i="31" s="1"/>
  <c r="E432" i="31" s="1"/>
  <c r="F432" i="31" s="1"/>
  <c r="G432" i="31" s="1"/>
  <c r="H432" i="31" s="1"/>
  <c r="I432" i="31" s="1"/>
  <c r="J432" i="31" s="1"/>
  <c r="K432" i="31" s="1"/>
  <c r="L432" i="31" s="1"/>
  <c r="M432" i="31" s="1"/>
  <c r="M280" i="31"/>
  <c r="M256" i="31"/>
  <c r="M392" i="31"/>
  <c r="M328" i="31"/>
  <c r="C15" i="31"/>
  <c r="D15" i="31" s="1"/>
  <c r="E15" i="31" s="1"/>
  <c r="F15" i="31" s="1"/>
  <c r="G15" i="31" s="1"/>
  <c r="H15" i="31" s="1"/>
  <c r="I15" i="31" s="1"/>
  <c r="J15" i="31" s="1"/>
  <c r="K15" i="31" s="1"/>
  <c r="L15" i="31" s="1"/>
  <c r="M15" i="31" s="1"/>
  <c r="M592" i="31"/>
  <c r="C128" i="31"/>
  <c r="D128" i="31" s="1"/>
  <c r="E128" i="31" s="1"/>
  <c r="F128" i="31" s="1"/>
  <c r="G128" i="31" s="1"/>
  <c r="H128" i="31" s="1"/>
  <c r="I128" i="31" s="1"/>
  <c r="J128" i="31" s="1"/>
  <c r="K128" i="31" s="1"/>
  <c r="L128" i="31" s="1"/>
  <c r="M128" i="31" s="1"/>
  <c r="C112" i="31"/>
  <c r="D112" i="31" s="1"/>
  <c r="E112" i="31" s="1"/>
  <c r="F112" i="31" s="1"/>
  <c r="G112" i="31" s="1"/>
  <c r="H112" i="31" s="1"/>
  <c r="I112" i="31" s="1"/>
  <c r="J112" i="31" s="1"/>
  <c r="K112" i="31" s="1"/>
  <c r="L112" i="31" s="1"/>
  <c r="M112" i="31" s="1"/>
  <c r="C81" i="31"/>
  <c r="D81" i="31" s="1"/>
  <c r="E81" i="31" s="1"/>
  <c r="F81" i="31" s="1"/>
  <c r="G81" i="31" s="1"/>
  <c r="H81" i="31" s="1"/>
  <c r="I81" i="31" s="1"/>
  <c r="J81" i="31" s="1"/>
  <c r="K81" i="31" s="1"/>
  <c r="L81" i="31" s="1"/>
  <c r="M81" i="31" s="1"/>
  <c r="C33" i="31"/>
  <c r="D33" i="31" s="1"/>
  <c r="E33" i="31" s="1"/>
  <c r="F33" i="31" s="1"/>
  <c r="G33" i="31" s="1"/>
  <c r="H33" i="31" s="1"/>
  <c r="I33" i="31" s="1"/>
  <c r="J33" i="31" s="1"/>
  <c r="K33" i="31" s="1"/>
  <c r="L33" i="31" s="1"/>
  <c r="M33" i="31" s="1"/>
  <c r="C606" i="31"/>
  <c r="D606" i="31" s="1"/>
  <c r="E606" i="31" s="1"/>
  <c r="F606" i="31" s="1"/>
  <c r="G606" i="31" s="1"/>
  <c r="H606" i="31" s="1"/>
  <c r="I606" i="31" s="1"/>
  <c r="J606" i="31" s="1"/>
  <c r="K606" i="31" s="1"/>
  <c r="L606" i="31" s="1"/>
  <c r="M606" i="31" s="1"/>
  <c r="C602" i="31"/>
  <c r="D602" i="31" s="1"/>
  <c r="E602" i="31" s="1"/>
  <c r="F602" i="31" s="1"/>
  <c r="G602" i="31" s="1"/>
  <c r="H602" i="31" s="1"/>
  <c r="I602" i="31" s="1"/>
  <c r="J602" i="31" s="1"/>
  <c r="K602" i="31" s="1"/>
  <c r="L602" i="31" s="1"/>
  <c r="M602" i="31" s="1"/>
  <c r="C581" i="31"/>
  <c r="D581" i="31" s="1"/>
  <c r="E581" i="31" s="1"/>
  <c r="F581" i="31" s="1"/>
  <c r="G581" i="31" s="1"/>
  <c r="H581" i="31" s="1"/>
  <c r="I581" i="31" s="1"/>
  <c r="J581" i="31" s="1"/>
  <c r="K581" i="31" s="1"/>
  <c r="L581" i="31" s="1"/>
  <c r="M581" i="31" s="1"/>
  <c r="C578" i="31"/>
  <c r="D578" i="31" s="1"/>
  <c r="E578" i="31" s="1"/>
  <c r="F578" i="31" s="1"/>
  <c r="G578" i="31" s="1"/>
  <c r="H578" i="31" s="1"/>
  <c r="I578" i="31" s="1"/>
  <c r="J578" i="31" s="1"/>
  <c r="K578" i="31" s="1"/>
  <c r="L578" i="31" s="1"/>
  <c r="M578" i="31" s="1"/>
  <c r="C560" i="31"/>
  <c r="D560" i="31" s="1"/>
  <c r="E560" i="31" s="1"/>
  <c r="F560" i="31" s="1"/>
  <c r="G560" i="31" s="1"/>
  <c r="H560" i="31" s="1"/>
  <c r="I560" i="31" s="1"/>
  <c r="J560" i="31" s="1"/>
  <c r="K560" i="31" s="1"/>
  <c r="L560" i="31" s="1"/>
  <c r="M560" i="31" s="1"/>
  <c r="C526" i="31"/>
  <c r="D526" i="31" s="1"/>
  <c r="E526" i="31" s="1"/>
  <c r="F526" i="31" s="1"/>
  <c r="G526" i="31" s="1"/>
  <c r="H526" i="31" s="1"/>
  <c r="I526" i="31" s="1"/>
  <c r="J526" i="31" s="1"/>
  <c r="K526" i="31" s="1"/>
  <c r="L526" i="31" s="1"/>
  <c r="M526" i="31" s="1"/>
  <c r="C486" i="31"/>
  <c r="D486" i="31" s="1"/>
  <c r="E486" i="31" s="1"/>
  <c r="F486" i="31" s="1"/>
  <c r="G486" i="31" s="1"/>
  <c r="H486" i="31" s="1"/>
  <c r="I486" i="31" s="1"/>
  <c r="J486" i="31" s="1"/>
  <c r="K486" i="31" s="1"/>
  <c r="L486" i="31" s="1"/>
  <c r="M486" i="31" s="1"/>
  <c r="C468" i="31"/>
  <c r="D468" i="31" s="1"/>
  <c r="E468" i="31" s="1"/>
  <c r="F468" i="31" s="1"/>
  <c r="G468" i="31" s="1"/>
  <c r="H468" i="31" s="1"/>
  <c r="I468" i="31" s="1"/>
  <c r="J468" i="31" s="1"/>
  <c r="K468" i="31" s="1"/>
  <c r="L468" i="31" s="1"/>
  <c r="M468" i="31" s="1"/>
  <c r="C430" i="31"/>
  <c r="D430" i="31" s="1"/>
  <c r="E430" i="31" s="1"/>
  <c r="F430" i="31" s="1"/>
  <c r="G430" i="31" s="1"/>
  <c r="H430" i="31" s="1"/>
  <c r="I430" i="31" s="1"/>
  <c r="J430" i="31" s="1"/>
  <c r="K430" i="31" s="1"/>
  <c r="L430" i="31" s="1"/>
  <c r="M430" i="31" s="1"/>
  <c r="C418" i="31"/>
  <c r="D418" i="31" s="1"/>
  <c r="E418" i="31" s="1"/>
  <c r="F418" i="31" s="1"/>
  <c r="G418" i="31" s="1"/>
  <c r="H418" i="31" s="1"/>
  <c r="I418" i="31" s="1"/>
  <c r="J418" i="31" s="1"/>
  <c r="K418" i="31" s="1"/>
  <c r="L418" i="31" s="1"/>
  <c r="M418" i="31" s="1"/>
  <c r="C321" i="31"/>
  <c r="D321" i="31" s="1"/>
  <c r="E321" i="31" s="1"/>
  <c r="F321" i="31" s="1"/>
  <c r="G321" i="31" s="1"/>
  <c r="H321" i="31" s="1"/>
  <c r="I321" i="31" s="1"/>
  <c r="J321" i="31" s="1"/>
  <c r="K321" i="31" s="1"/>
  <c r="L321" i="31" s="1"/>
  <c r="M321" i="31" s="1"/>
  <c r="C248" i="31"/>
  <c r="D248" i="31" s="1"/>
  <c r="E248" i="31" s="1"/>
  <c r="F248" i="31" s="1"/>
  <c r="G248" i="31" s="1"/>
  <c r="H248" i="31" s="1"/>
  <c r="I248" i="31" s="1"/>
  <c r="J248" i="31" s="1"/>
  <c r="K248" i="31" s="1"/>
  <c r="L248" i="31" s="1"/>
  <c r="M248" i="31" s="1"/>
  <c r="C204" i="31"/>
  <c r="D204" i="31" s="1"/>
  <c r="E204" i="31" s="1"/>
  <c r="F204" i="31" s="1"/>
  <c r="G204" i="31" s="1"/>
  <c r="H204" i="31" s="1"/>
  <c r="I204" i="31" s="1"/>
  <c r="J204" i="31" s="1"/>
  <c r="K204" i="31" s="1"/>
  <c r="L204" i="31" s="1"/>
  <c r="M204" i="31" s="1"/>
  <c r="C121" i="31"/>
  <c r="D121" i="31" s="1"/>
  <c r="E121" i="31" s="1"/>
  <c r="F121" i="31" s="1"/>
  <c r="G121" i="31" s="1"/>
  <c r="H121" i="31" s="1"/>
  <c r="I121" i="31" s="1"/>
  <c r="J121" i="31" s="1"/>
  <c r="K121" i="31" s="1"/>
  <c r="L121" i="31" s="1"/>
  <c r="M121" i="31" s="1"/>
  <c r="C86" i="31"/>
  <c r="D86" i="31" s="1"/>
  <c r="E86" i="31" s="1"/>
  <c r="F86" i="31" s="1"/>
  <c r="G86" i="31" s="1"/>
  <c r="H86" i="31" s="1"/>
  <c r="I86" i="31" s="1"/>
  <c r="J86" i="31" s="1"/>
  <c r="K86" i="31" s="1"/>
  <c r="L86" i="31" s="1"/>
  <c r="M86" i="31" s="1"/>
  <c r="C73" i="31"/>
  <c r="D73" i="31" s="1"/>
  <c r="E73" i="31" s="1"/>
  <c r="F73" i="31" s="1"/>
  <c r="G73" i="31" s="1"/>
  <c r="H73" i="31" s="1"/>
  <c r="I73" i="31" s="1"/>
  <c r="J73" i="31" s="1"/>
  <c r="K73" i="31" s="1"/>
  <c r="L73" i="31" s="1"/>
  <c r="M73" i="31" s="1"/>
  <c r="C611" i="31"/>
  <c r="D611" i="31" s="1"/>
  <c r="E611" i="31" s="1"/>
  <c r="F611" i="31" s="1"/>
  <c r="G611" i="31" s="1"/>
  <c r="H611" i="31" s="1"/>
  <c r="I611" i="31" s="1"/>
  <c r="J611" i="31" s="1"/>
  <c r="K611" i="31" s="1"/>
  <c r="L611" i="31" s="1"/>
  <c r="M611" i="31" s="1"/>
  <c r="C569" i="31"/>
  <c r="D569" i="31" s="1"/>
  <c r="E569" i="31" s="1"/>
  <c r="F569" i="31" s="1"/>
  <c r="G569" i="31" s="1"/>
  <c r="H569" i="31" s="1"/>
  <c r="I569" i="31" s="1"/>
  <c r="J569" i="31" s="1"/>
  <c r="K569" i="31" s="1"/>
  <c r="L569" i="31" s="1"/>
  <c r="M569" i="31" s="1"/>
  <c r="C564" i="31"/>
  <c r="D564" i="31" s="1"/>
  <c r="E564" i="31" s="1"/>
  <c r="F564" i="31" s="1"/>
  <c r="G564" i="31" s="1"/>
  <c r="H564" i="31" s="1"/>
  <c r="I564" i="31" s="1"/>
  <c r="J564" i="31" s="1"/>
  <c r="K564" i="31" s="1"/>
  <c r="L564" i="31" s="1"/>
  <c r="M564" i="31" s="1"/>
  <c r="C513" i="31"/>
  <c r="D513" i="31" s="1"/>
  <c r="E513" i="31" s="1"/>
  <c r="F513" i="31" s="1"/>
  <c r="G513" i="31" s="1"/>
  <c r="H513" i="31" s="1"/>
  <c r="I513" i="31" s="1"/>
  <c r="J513" i="31" s="1"/>
  <c r="K513" i="31" s="1"/>
  <c r="L513" i="31" s="1"/>
  <c r="M513" i="31" s="1"/>
  <c r="C307" i="31"/>
  <c r="D307" i="31" s="1"/>
  <c r="E307" i="31" s="1"/>
  <c r="F307" i="31" s="1"/>
  <c r="G307" i="31" s="1"/>
  <c r="H307" i="31" s="1"/>
  <c r="I307" i="31" s="1"/>
  <c r="J307" i="31" s="1"/>
  <c r="K307" i="31" s="1"/>
  <c r="L307" i="31" s="1"/>
  <c r="M307" i="31" s="1"/>
  <c r="C283" i="31"/>
  <c r="D283" i="31" s="1"/>
  <c r="E283" i="31" s="1"/>
  <c r="F283" i="31" s="1"/>
  <c r="G283" i="31" s="1"/>
  <c r="H283" i="31" s="1"/>
  <c r="I283" i="31" s="1"/>
  <c r="J283" i="31" s="1"/>
  <c r="K283" i="31" s="1"/>
  <c r="L283" i="31" s="1"/>
  <c r="M283" i="31" s="1"/>
  <c r="C277" i="31"/>
  <c r="D277" i="31" s="1"/>
  <c r="E277" i="31" s="1"/>
  <c r="F277" i="31" s="1"/>
  <c r="G277" i="31" s="1"/>
  <c r="H277" i="31" s="1"/>
  <c r="I277" i="31" s="1"/>
  <c r="J277" i="31" s="1"/>
  <c r="K277" i="31" s="1"/>
  <c r="L277" i="31" s="1"/>
  <c r="M277" i="31" s="1"/>
  <c r="C272" i="31"/>
  <c r="D272" i="31" s="1"/>
  <c r="E272" i="31" s="1"/>
  <c r="F272" i="31" s="1"/>
  <c r="G272" i="31" s="1"/>
  <c r="H272" i="31" s="1"/>
  <c r="I272" i="31" s="1"/>
  <c r="J272" i="31" s="1"/>
  <c r="K272" i="31" s="1"/>
  <c r="L272" i="31" s="1"/>
  <c r="M272" i="31" s="1"/>
  <c r="C199" i="31"/>
  <c r="D199" i="31" s="1"/>
  <c r="E199" i="31" s="1"/>
  <c r="F199" i="31" s="1"/>
  <c r="G199" i="31" s="1"/>
  <c r="H199" i="31" s="1"/>
  <c r="I199" i="31" s="1"/>
  <c r="J199" i="31" s="1"/>
  <c r="K199" i="31" s="1"/>
  <c r="L199" i="31" s="1"/>
  <c r="M199" i="31" s="1"/>
  <c r="C160" i="31"/>
  <c r="D160" i="31" s="1"/>
  <c r="E160" i="31" s="1"/>
  <c r="F160" i="31" s="1"/>
  <c r="G160" i="31" s="1"/>
  <c r="H160" i="31" s="1"/>
  <c r="I160" i="31" s="1"/>
  <c r="J160" i="31" s="1"/>
  <c r="K160" i="31" s="1"/>
  <c r="L160" i="31" s="1"/>
  <c r="M160" i="31" s="1"/>
  <c r="C153" i="31"/>
  <c r="D153" i="31" s="1"/>
  <c r="E153" i="31" s="1"/>
  <c r="F153" i="31" s="1"/>
  <c r="G153" i="31" s="1"/>
  <c r="H153" i="31" s="1"/>
  <c r="I153" i="31" s="1"/>
  <c r="J153" i="31" s="1"/>
  <c r="K153" i="31" s="1"/>
  <c r="L153" i="31" s="1"/>
  <c r="M153" i="31" s="1"/>
  <c r="C132" i="31"/>
  <c r="D132" i="31" s="1"/>
  <c r="E132" i="31" s="1"/>
  <c r="F132" i="31" s="1"/>
  <c r="G132" i="31" s="1"/>
  <c r="H132" i="31" s="1"/>
  <c r="I132" i="31" s="1"/>
  <c r="J132" i="31" s="1"/>
  <c r="K132" i="31" s="1"/>
  <c r="L132" i="31" s="1"/>
  <c r="M132" i="31" s="1"/>
  <c r="C116" i="31"/>
  <c r="D116" i="31" s="1"/>
  <c r="E116" i="31" s="1"/>
  <c r="F116" i="31" s="1"/>
  <c r="G116" i="31" s="1"/>
  <c r="H116" i="31" s="1"/>
  <c r="I116" i="31" s="1"/>
  <c r="J116" i="31" s="1"/>
  <c r="K116" i="31" s="1"/>
  <c r="L116" i="31" s="1"/>
  <c r="M116" i="31" s="1"/>
  <c r="C97" i="31"/>
  <c r="D97" i="31" s="1"/>
  <c r="E97" i="31" s="1"/>
  <c r="F97" i="31" s="1"/>
  <c r="G97" i="31" s="1"/>
  <c r="H97" i="31" s="1"/>
  <c r="I97" i="31" s="1"/>
  <c r="J97" i="31" s="1"/>
  <c r="K97" i="31" s="1"/>
  <c r="L97" i="31" s="1"/>
  <c r="M97" i="31" s="1"/>
  <c r="C60" i="31"/>
  <c r="D60" i="31" s="1"/>
  <c r="E60" i="31" s="1"/>
  <c r="F60" i="31" s="1"/>
  <c r="G60" i="31" s="1"/>
  <c r="H60" i="31" s="1"/>
  <c r="I60" i="31" s="1"/>
  <c r="J60" i="31" s="1"/>
  <c r="K60" i="31" s="1"/>
  <c r="L60" i="31" s="1"/>
  <c r="M60" i="31" s="1"/>
  <c r="C45" i="31"/>
  <c r="D45" i="31" s="1"/>
  <c r="E45" i="31" s="1"/>
  <c r="F45" i="31" s="1"/>
  <c r="G45" i="31" s="1"/>
  <c r="H45" i="31" s="1"/>
  <c r="I45" i="31" s="1"/>
  <c r="J45" i="31" s="1"/>
  <c r="K45" i="31" s="1"/>
  <c r="L45" i="31" s="1"/>
  <c r="M45" i="31" s="1"/>
  <c r="C19" i="31"/>
  <c r="D19" i="31" s="1"/>
  <c r="E19" i="31" s="1"/>
  <c r="F19" i="31" s="1"/>
  <c r="G19" i="31" s="1"/>
  <c r="H19" i="31" s="1"/>
  <c r="I19" i="31" s="1"/>
  <c r="J19" i="31" s="1"/>
  <c r="K19" i="31" s="1"/>
  <c r="L19" i="31" s="1"/>
  <c r="M19" i="31" s="1"/>
  <c r="C589" i="31"/>
  <c r="D589" i="31" s="1"/>
  <c r="E589" i="31" s="1"/>
  <c r="F589" i="31" s="1"/>
  <c r="G589" i="31" s="1"/>
  <c r="H589" i="31" s="1"/>
  <c r="I589" i="31" s="1"/>
  <c r="J589" i="31" s="1"/>
  <c r="K589" i="31" s="1"/>
  <c r="L589" i="31" s="1"/>
  <c r="M589" i="31" s="1"/>
  <c r="B589" i="34"/>
  <c r="C589" i="34" s="1"/>
  <c r="D589" i="34" s="1"/>
  <c r="E589" i="34" s="1"/>
  <c r="F589" i="34" s="1"/>
  <c r="G589" i="34" s="1"/>
  <c r="C592" i="34"/>
  <c r="D592" i="34" s="1"/>
  <c r="E592" i="34" s="1"/>
  <c r="F592" i="34" s="1"/>
  <c r="G592" i="34" s="1"/>
  <c r="H592" i="34" s="1"/>
  <c r="I592" i="34" s="1"/>
  <c r="J592" i="34" s="1"/>
  <c r="K592" i="34" s="1"/>
  <c r="L592" i="34" s="1"/>
  <c r="M592" i="34" s="1"/>
  <c r="N592" i="34" s="1"/>
  <c r="O592" i="34" s="1"/>
  <c r="P592" i="34" s="1"/>
  <c r="Q592" i="34" s="1"/>
  <c r="R592" i="34" s="1"/>
  <c r="S592" i="34" s="1"/>
  <c r="C588" i="31"/>
  <c r="D588" i="31" s="1"/>
  <c r="E588" i="31" s="1"/>
  <c r="F588" i="31" s="1"/>
  <c r="G588" i="31" s="1"/>
  <c r="H588" i="31" s="1"/>
  <c r="I588" i="31" s="1"/>
  <c r="J588" i="31" s="1"/>
  <c r="K588" i="31" s="1"/>
  <c r="L588" i="31" s="1"/>
  <c r="M588" i="31" s="1"/>
  <c r="B588" i="34"/>
  <c r="C575" i="34"/>
  <c r="D575" i="34" s="1"/>
  <c r="E575" i="34" s="1"/>
  <c r="F575" i="34" s="1"/>
  <c r="G575" i="34" s="1"/>
  <c r="H575" i="34" s="1"/>
  <c r="I575" i="34" s="1"/>
  <c r="J575" i="34" s="1"/>
  <c r="K575" i="34" s="1"/>
  <c r="L575" i="34" s="1"/>
  <c r="M575" i="34" s="1"/>
  <c r="N575" i="34" s="1"/>
  <c r="O575" i="34" s="1"/>
  <c r="P575" i="34" s="1"/>
  <c r="Q575" i="34" s="1"/>
  <c r="R575" i="34" s="1"/>
  <c r="S575" i="34" s="1"/>
  <c r="C544" i="31"/>
  <c r="D544" i="31" s="1"/>
  <c r="E544" i="31" s="1"/>
  <c r="F544" i="31" s="1"/>
  <c r="G544" i="31" s="1"/>
  <c r="H544" i="31" s="1"/>
  <c r="I544" i="31" s="1"/>
  <c r="J544" i="31" s="1"/>
  <c r="K544" i="31" s="1"/>
  <c r="L544" i="31" s="1"/>
  <c r="M544" i="31" s="1"/>
  <c r="B544" i="34"/>
  <c r="C541" i="31"/>
  <c r="D541" i="31" s="1"/>
  <c r="E541" i="31" s="1"/>
  <c r="F541" i="31" s="1"/>
  <c r="G541" i="31" s="1"/>
  <c r="H541" i="31" s="1"/>
  <c r="I541" i="31" s="1"/>
  <c r="J541" i="31" s="1"/>
  <c r="K541" i="31" s="1"/>
  <c r="L541" i="31" s="1"/>
  <c r="M541" i="31" s="1"/>
  <c r="B541" i="34"/>
  <c r="C533" i="31"/>
  <c r="D533" i="31" s="1"/>
  <c r="E533" i="31" s="1"/>
  <c r="F533" i="31" s="1"/>
  <c r="G533" i="31" s="1"/>
  <c r="H533" i="31" s="1"/>
  <c r="I533" i="31" s="1"/>
  <c r="J533" i="31" s="1"/>
  <c r="K533" i="31" s="1"/>
  <c r="L533" i="31" s="1"/>
  <c r="M533" i="31" s="1"/>
  <c r="B533" i="34"/>
  <c r="C603" i="34"/>
  <c r="D603" i="34" s="1"/>
  <c r="E603" i="34" s="1"/>
  <c r="F603" i="34" s="1"/>
  <c r="G603" i="34" s="1"/>
  <c r="H603" i="34" s="1"/>
  <c r="I603" i="34" s="1"/>
  <c r="J603" i="34" s="1"/>
  <c r="K603" i="34" s="1"/>
  <c r="L603" i="34" s="1"/>
  <c r="M603" i="34" s="1"/>
  <c r="N603" i="34" s="1"/>
  <c r="O603" i="34" s="1"/>
  <c r="P603" i="34" s="1"/>
  <c r="Q603" i="34" s="1"/>
  <c r="R603" i="34" s="1"/>
  <c r="S603" i="34" s="1"/>
  <c r="C600" i="31"/>
  <c r="D600" i="31" s="1"/>
  <c r="E600" i="31" s="1"/>
  <c r="F600" i="31" s="1"/>
  <c r="G600" i="31" s="1"/>
  <c r="H600" i="31" s="1"/>
  <c r="I600" i="31" s="1"/>
  <c r="J600" i="31" s="1"/>
  <c r="K600" i="31" s="1"/>
  <c r="L600" i="31" s="1"/>
  <c r="M600" i="31" s="1"/>
  <c r="C591" i="31"/>
  <c r="D591" i="31" s="1"/>
  <c r="E591" i="31" s="1"/>
  <c r="F591" i="31" s="1"/>
  <c r="G591" i="31" s="1"/>
  <c r="H591" i="31" s="1"/>
  <c r="I591" i="31" s="1"/>
  <c r="J591" i="31" s="1"/>
  <c r="K591" i="31" s="1"/>
  <c r="L591" i="31" s="1"/>
  <c r="M591" i="31" s="1"/>
  <c r="B591" i="34"/>
  <c r="C587" i="31"/>
  <c r="D587" i="31" s="1"/>
  <c r="E587" i="31" s="1"/>
  <c r="F587" i="31" s="1"/>
  <c r="G587" i="31" s="1"/>
  <c r="H587" i="31" s="1"/>
  <c r="I587" i="31" s="1"/>
  <c r="J587" i="31" s="1"/>
  <c r="K587" i="31" s="1"/>
  <c r="L587" i="31" s="1"/>
  <c r="M587" i="31" s="1"/>
  <c r="C585" i="34"/>
  <c r="D585" i="34" s="1"/>
  <c r="E585" i="34" s="1"/>
  <c r="F585" i="34" s="1"/>
  <c r="G585" i="34" s="1"/>
  <c r="H585" i="34" s="1"/>
  <c r="I585" i="34" s="1"/>
  <c r="J585" i="34" s="1"/>
  <c r="K585" i="34" s="1"/>
  <c r="L585" i="34" s="1"/>
  <c r="M585" i="34" s="1"/>
  <c r="N585" i="34" s="1"/>
  <c r="O585" i="34" s="1"/>
  <c r="P585" i="34" s="1"/>
  <c r="Q585" i="34" s="1"/>
  <c r="R585" i="34" s="1"/>
  <c r="S585" i="34" s="1"/>
  <c r="C572" i="31"/>
  <c r="D572" i="31" s="1"/>
  <c r="E572" i="31" s="1"/>
  <c r="F572" i="31" s="1"/>
  <c r="G572" i="31" s="1"/>
  <c r="H572" i="31" s="1"/>
  <c r="I572" i="31" s="1"/>
  <c r="J572" i="31" s="1"/>
  <c r="K572" i="31" s="1"/>
  <c r="L572" i="31" s="1"/>
  <c r="M572" i="31" s="1"/>
  <c r="C568" i="31"/>
  <c r="D568" i="31" s="1"/>
  <c r="E568" i="31" s="1"/>
  <c r="F568" i="31" s="1"/>
  <c r="G568" i="31" s="1"/>
  <c r="H568" i="31" s="1"/>
  <c r="I568" i="31" s="1"/>
  <c r="J568" i="31" s="1"/>
  <c r="K568" i="31" s="1"/>
  <c r="L568" i="31" s="1"/>
  <c r="M568" i="31" s="1"/>
  <c r="C565" i="31"/>
  <c r="D565" i="31" s="1"/>
  <c r="E565" i="31" s="1"/>
  <c r="F565" i="31" s="1"/>
  <c r="G565" i="31" s="1"/>
  <c r="H565" i="31" s="1"/>
  <c r="I565" i="31" s="1"/>
  <c r="J565" i="31" s="1"/>
  <c r="K565" i="31" s="1"/>
  <c r="L565" i="31" s="1"/>
  <c r="M565" i="31" s="1"/>
  <c r="B565" i="34"/>
  <c r="C565" i="34" s="1"/>
  <c r="D565" i="34" s="1"/>
  <c r="E565" i="34" s="1"/>
  <c r="F565" i="34" s="1"/>
  <c r="G565" i="34" s="1"/>
  <c r="H565" i="34" s="1"/>
  <c r="I565" i="34" s="1"/>
  <c r="J565" i="34" s="1"/>
  <c r="K565" i="34" s="1"/>
  <c r="L565" i="34" s="1"/>
  <c r="M565" i="34" s="1"/>
  <c r="N565" i="34" s="1"/>
  <c r="O565" i="34" s="1"/>
  <c r="P565" i="34" s="1"/>
  <c r="Q565" i="34" s="1"/>
  <c r="R565" i="34" s="1"/>
  <c r="S565" i="34" s="1"/>
  <c r="C555" i="31"/>
  <c r="D555" i="31" s="1"/>
  <c r="E555" i="31" s="1"/>
  <c r="F555" i="31" s="1"/>
  <c r="G555" i="31" s="1"/>
  <c r="H555" i="31" s="1"/>
  <c r="I555" i="31" s="1"/>
  <c r="J555" i="31" s="1"/>
  <c r="K555" i="31" s="1"/>
  <c r="L555" i="31" s="1"/>
  <c r="M555" i="31" s="1"/>
  <c r="C553" i="31"/>
  <c r="D553" i="31" s="1"/>
  <c r="E553" i="31" s="1"/>
  <c r="F553" i="31" s="1"/>
  <c r="G553" i="31" s="1"/>
  <c r="H553" i="31" s="1"/>
  <c r="I553" i="31" s="1"/>
  <c r="J553" i="31" s="1"/>
  <c r="K553" i="31" s="1"/>
  <c r="L553" i="31" s="1"/>
  <c r="M553" i="31" s="1"/>
  <c r="C551" i="31"/>
  <c r="D551" i="31" s="1"/>
  <c r="E551" i="31" s="1"/>
  <c r="F551" i="31" s="1"/>
  <c r="G551" i="31" s="1"/>
  <c r="H551" i="31" s="1"/>
  <c r="I551" i="31" s="1"/>
  <c r="J551" i="31" s="1"/>
  <c r="K551" i="31" s="1"/>
  <c r="L551" i="31" s="1"/>
  <c r="M551" i="31" s="1"/>
  <c r="C540" i="31"/>
  <c r="D540" i="31" s="1"/>
  <c r="E540" i="31" s="1"/>
  <c r="F540" i="31" s="1"/>
  <c r="G540" i="31" s="1"/>
  <c r="H540" i="31" s="1"/>
  <c r="I540" i="31" s="1"/>
  <c r="J540" i="31" s="1"/>
  <c r="K540" i="31" s="1"/>
  <c r="L540" i="31" s="1"/>
  <c r="M540" i="31" s="1"/>
  <c r="C536" i="31"/>
  <c r="D536" i="31" s="1"/>
  <c r="E536" i="31" s="1"/>
  <c r="F536" i="31" s="1"/>
  <c r="G536" i="31" s="1"/>
  <c r="H536" i="31" s="1"/>
  <c r="I536" i="31" s="1"/>
  <c r="J536" i="31" s="1"/>
  <c r="K536" i="31" s="1"/>
  <c r="L536" i="31" s="1"/>
  <c r="M536" i="31" s="1"/>
  <c r="C523" i="31"/>
  <c r="D523" i="31" s="1"/>
  <c r="E523" i="31" s="1"/>
  <c r="F523" i="31" s="1"/>
  <c r="G523" i="31" s="1"/>
  <c r="H523" i="31" s="1"/>
  <c r="I523" i="31" s="1"/>
  <c r="J523" i="31" s="1"/>
  <c r="K523" i="31" s="1"/>
  <c r="L523" i="31" s="1"/>
  <c r="M523" i="31" s="1"/>
  <c r="B523" i="34"/>
  <c r="C520" i="31"/>
  <c r="D520" i="31" s="1"/>
  <c r="E520" i="31" s="1"/>
  <c r="F520" i="31" s="1"/>
  <c r="G520" i="31" s="1"/>
  <c r="H520" i="31" s="1"/>
  <c r="I520" i="31" s="1"/>
  <c r="J520" i="31" s="1"/>
  <c r="K520" i="31" s="1"/>
  <c r="L520" i="31" s="1"/>
  <c r="M520" i="31" s="1"/>
  <c r="C510" i="31"/>
  <c r="D510" i="31" s="1"/>
  <c r="E510" i="31" s="1"/>
  <c r="F510" i="31" s="1"/>
  <c r="G510" i="31" s="1"/>
  <c r="H510" i="31" s="1"/>
  <c r="I510" i="31" s="1"/>
  <c r="J510" i="31" s="1"/>
  <c r="K510" i="31" s="1"/>
  <c r="L510" i="31" s="1"/>
  <c r="M510" i="31" s="1"/>
  <c r="C505" i="34"/>
  <c r="D505" i="34" s="1"/>
  <c r="E505" i="34" s="1"/>
  <c r="F505" i="34" s="1"/>
  <c r="G505" i="34" s="1"/>
  <c r="H505" i="34" s="1"/>
  <c r="I505" i="34" s="1"/>
  <c r="J505" i="34" s="1"/>
  <c r="K505" i="34" s="1"/>
  <c r="L505" i="34" s="1"/>
  <c r="M505" i="34" s="1"/>
  <c r="N505" i="34" s="1"/>
  <c r="O505" i="34" s="1"/>
  <c r="P505" i="34" s="1"/>
  <c r="Q505" i="34" s="1"/>
  <c r="R505" i="34" s="1"/>
  <c r="S505" i="34" s="1"/>
  <c r="C502" i="34"/>
  <c r="D502" i="34" s="1"/>
  <c r="E502" i="34" s="1"/>
  <c r="F502" i="34" s="1"/>
  <c r="G502" i="34" s="1"/>
  <c r="H502" i="34" s="1"/>
  <c r="I502" i="34" s="1"/>
  <c r="J502" i="34" s="1"/>
  <c r="K502" i="34" s="1"/>
  <c r="L502" i="34" s="1"/>
  <c r="M502" i="34" s="1"/>
  <c r="N502" i="34" s="1"/>
  <c r="O502" i="34" s="1"/>
  <c r="P502" i="34" s="1"/>
  <c r="Q502" i="34" s="1"/>
  <c r="R502" i="34" s="1"/>
  <c r="S502" i="34" s="1"/>
  <c r="C495" i="31"/>
  <c r="D495" i="31" s="1"/>
  <c r="E495" i="31" s="1"/>
  <c r="F495" i="31" s="1"/>
  <c r="G495" i="31" s="1"/>
  <c r="H495" i="31" s="1"/>
  <c r="I495" i="31" s="1"/>
  <c r="J495" i="31" s="1"/>
  <c r="K495" i="31" s="1"/>
  <c r="L495" i="31" s="1"/>
  <c r="M495" i="31" s="1"/>
  <c r="C490" i="31"/>
  <c r="D490" i="31" s="1"/>
  <c r="E490" i="31" s="1"/>
  <c r="F490" i="31" s="1"/>
  <c r="G490" i="31" s="1"/>
  <c r="H490" i="31" s="1"/>
  <c r="I490" i="31" s="1"/>
  <c r="J490" i="31" s="1"/>
  <c r="K490" i="31" s="1"/>
  <c r="L490" i="31" s="1"/>
  <c r="M490" i="31" s="1"/>
  <c r="B490" i="34"/>
  <c r="C481" i="31"/>
  <c r="D481" i="31" s="1"/>
  <c r="E481" i="31" s="1"/>
  <c r="F481" i="31" s="1"/>
  <c r="G481" i="31" s="1"/>
  <c r="H481" i="31" s="1"/>
  <c r="I481" i="31" s="1"/>
  <c r="J481" i="31" s="1"/>
  <c r="K481" i="31" s="1"/>
  <c r="L481" i="31" s="1"/>
  <c r="M481" i="31" s="1"/>
  <c r="C479" i="34"/>
  <c r="D479" i="34" s="1"/>
  <c r="E479" i="34" s="1"/>
  <c r="F479" i="34" s="1"/>
  <c r="G479" i="34" s="1"/>
  <c r="H479" i="34" s="1"/>
  <c r="I479" i="34" s="1"/>
  <c r="J479" i="34" s="1"/>
  <c r="K479" i="34" s="1"/>
  <c r="L479" i="34" s="1"/>
  <c r="M479" i="34" s="1"/>
  <c r="N479" i="34" s="1"/>
  <c r="O479" i="34" s="1"/>
  <c r="P479" i="34" s="1"/>
  <c r="Q479" i="34" s="1"/>
  <c r="R479" i="34" s="1"/>
  <c r="S479" i="34" s="1"/>
  <c r="C475" i="31"/>
  <c r="D475" i="31" s="1"/>
  <c r="E475" i="31" s="1"/>
  <c r="F475" i="31" s="1"/>
  <c r="G475" i="31" s="1"/>
  <c r="H475" i="31" s="1"/>
  <c r="I475" i="31" s="1"/>
  <c r="J475" i="31" s="1"/>
  <c r="K475" i="31" s="1"/>
  <c r="L475" i="31" s="1"/>
  <c r="M475" i="31" s="1"/>
  <c r="C472" i="31"/>
  <c r="D472" i="31" s="1"/>
  <c r="E472" i="31" s="1"/>
  <c r="F472" i="31" s="1"/>
  <c r="G472" i="31" s="1"/>
  <c r="H472" i="31" s="1"/>
  <c r="I472" i="31" s="1"/>
  <c r="J472" i="31" s="1"/>
  <c r="K472" i="31" s="1"/>
  <c r="L472" i="31" s="1"/>
  <c r="M472" i="31" s="1"/>
  <c r="C454" i="31"/>
  <c r="D454" i="31" s="1"/>
  <c r="E454" i="31" s="1"/>
  <c r="F454" i="31" s="1"/>
  <c r="G454" i="31" s="1"/>
  <c r="H454" i="31" s="1"/>
  <c r="I454" i="31" s="1"/>
  <c r="J454" i="31" s="1"/>
  <c r="K454" i="31" s="1"/>
  <c r="L454" i="31" s="1"/>
  <c r="M454" i="31" s="1"/>
  <c r="B454" i="34"/>
  <c r="C447" i="31"/>
  <c r="D447" i="31" s="1"/>
  <c r="E447" i="31" s="1"/>
  <c r="F447" i="31" s="1"/>
  <c r="G447" i="31" s="1"/>
  <c r="H447" i="31" s="1"/>
  <c r="I447" i="31" s="1"/>
  <c r="J447" i="31" s="1"/>
  <c r="K447" i="31" s="1"/>
  <c r="L447" i="31" s="1"/>
  <c r="M447" i="31" s="1"/>
  <c r="B447" i="34"/>
  <c r="C440" i="34"/>
  <c r="D440" i="34" s="1"/>
  <c r="E440" i="34" s="1"/>
  <c r="F440" i="34" s="1"/>
  <c r="G440" i="34" s="1"/>
  <c r="H440" i="34" s="1"/>
  <c r="I440" i="34" s="1"/>
  <c r="J440" i="34" s="1"/>
  <c r="K440" i="34" s="1"/>
  <c r="L440" i="34" s="1"/>
  <c r="M440" i="34" s="1"/>
  <c r="N440" i="34" s="1"/>
  <c r="O440" i="34" s="1"/>
  <c r="P440" i="34" s="1"/>
  <c r="Q440" i="34" s="1"/>
  <c r="R440" i="34" s="1"/>
  <c r="S440" i="34" s="1"/>
  <c r="C427" i="31"/>
  <c r="D427" i="31" s="1"/>
  <c r="E427" i="31" s="1"/>
  <c r="F427" i="31" s="1"/>
  <c r="G427" i="31" s="1"/>
  <c r="H427" i="31" s="1"/>
  <c r="I427" i="31" s="1"/>
  <c r="J427" i="31" s="1"/>
  <c r="K427" i="31" s="1"/>
  <c r="L427" i="31" s="1"/>
  <c r="M427" i="31" s="1"/>
  <c r="B427" i="34"/>
  <c r="C413" i="31"/>
  <c r="D413" i="31" s="1"/>
  <c r="E413" i="31" s="1"/>
  <c r="F413" i="31" s="1"/>
  <c r="G413" i="31" s="1"/>
  <c r="H413" i="31" s="1"/>
  <c r="I413" i="31" s="1"/>
  <c r="J413" i="31" s="1"/>
  <c r="K413" i="31" s="1"/>
  <c r="L413" i="31" s="1"/>
  <c r="M413" i="31" s="1"/>
  <c r="B413" i="34"/>
  <c r="C409" i="31"/>
  <c r="D409" i="31" s="1"/>
  <c r="E409" i="31" s="1"/>
  <c r="F409" i="31" s="1"/>
  <c r="G409" i="31" s="1"/>
  <c r="H409" i="31" s="1"/>
  <c r="I409" i="31" s="1"/>
  <c r="J409" i="31" s="1"/>
  <c r="K409" i="31" s="1"/>
  <c r="L409" i="31" s="1"/>
  <c r="M409" i="31" s="1"/>
  <c r="B409" i="34"/>
  <c r="C399" i="31"/>
  <c r="D399" i="31" s="1"/>
  <c r="E399" i="31" s="1"/>
  <c r="F399" i="31" s="1"/>
  <c r="G399" i="31" s="1"/>
  <c r="H399" i="31" s="1"/>
  <c r="I399" i="31" s="1"/>
  <c r="J399" i="31" s="1"/>
  <c r="K399" i="31" s="1"/>
  <c r="L399" i="31" s="1"/>
  <c r="M399" i="31" s="1"/>
  <c r="B399" i="34"/>
  <c r="C399" i="34" s="1"/>
  <c r="D399" i="34" s="1"/>
  <c r="E399" i="34" s="1"/>
  <c r="F399" i="34" s="1"/>
  <c r="G399" i="34" s="1"/>
  <c r="H399" i="34" s="1"/>
  <c r="I399" i="34" s="1"/>
  <c r="J399" i="34" s="1"/>
  <c r="K399" i="34" s="1"/>
  <c r="L399" i="34" s="1"/>
  <c r="M399" i="34" s="1"/>
  <c r="N399" i="34" s="1"/>
  <c r="O399" i="34" s="1"/>
  <c r="P399" i="34" s="1"/>
  <c r="Q399" i="34" s="1"/>
  <c r="R399" i="34" s="1"/>
  <c r="S399" i="34" s="1"/>
  <c r="C388" i="31"/>
  <c r="D388" i="31" s="1"/>
  <c r="E388" i="31" s="1"/>
  <c r="F388" i="31" s="1"/>
  <c r="G388" i="31" s="1"/>
  <c r="H388" i="31" s="1"/>
  <c r="I388" i="31" s="1"/>
  <c r="J388" i="31" s="1"/>
  <c r="K388" i="31" s="1"/>
  <c r="L388" i="31" s="1"/>
  <c r="M388" i="31" s="1"/>
  <c r="B388" i="34"/>
  <c r="C382" i="31"/>
  <c r="D382" i="31" s="1"/>
  <c r="E382" i="31" s="1"/>
  <c r="F382" i="31" s="1"/>
  <c r="G382" i="31" s="1"/>
  <c r="H382" i="31" s="1"/>
  <c r="I382" i="31" s="1"/>
  <c r="J382" i="31" s="1"/>
  <c r="K382" i="31" s="1"/>
  <c r="L382" i="31" s="1"/>
  <c r="M382" i="31" s="1"/>
  <c r="C304" i="31"/>
  <c r="D304" i="31" s="1"/>
  <c r="E304" i="31" s="1"/>
  <c r="F304" i="31" s="1"/>
  <c r="G304" i="31" s="1"/>
  <c r="H304" i="31" s="1"/>
  <c r="I304" i="31" s="1"/>
  <c r="J304" i="31" s="1"/>
  <c r="K304" i="31" s="1"/>
  <c r="L304" i="31" s="1"/>
  <c r="M304" i="31" s="1"/>
  <c r="B304" i="34"/>
  <c r="C294" i="31"/>
  <c r="D294" i="31" s="1"/>
  <c r="E294" i="31" s="1"/>
  <c r="F294" i="31" s="1"/>
  <c r="G294" i="31" s="1"/>
  <c r="H294" i="31" s="1"/>
  <c r="I294" i="31" s="1"/>
  <c r="J294" i="31" s="1"/>
  <c r="K294" i="31" s="1"/>
  <c r="L294" i="31" s="1"/>
  <c r="M294" i="31" s="1"/>
  <c r="B294" i="34"/>
  <c r="C267" i="31"/>
  <c r="D267" i="31" s="1"/>
  <c r="E267" i="31" s="1"/>
  <c r="F267" i="31" s="1"/>
  <c r="G267" i="31" s="1"/>
  <c r="H267" i="31" s="1"/>
  <c r="I267" i="31" s="1"/>
  <c r="J267" i="31" s="1"/>
  <c r="K267" i="31" s="1"/>
  <c r="L267" i="31" s="1"/>
  <c r="M267" i="31" s="1"/>
  <c r="B267" i="34"/>
  <c r="C242" i="31"/>
  <c r="D242" i="31" s="1"/>
  <c r="E242" i="31" s="1"/>
  <c r="F242" i="31" s="1"/>
  <c r="G242" i="31" s="1"/>
  <c r="H242" i="31" s="1"/>
  <c r="I242" i="31" s="1"/>
  <c r="J242" i="31" s="1"/>
  <c r="K242" i="31" s="1"/>
  <c r="L242" i="31" s="1"/>
  <c r="M242" i="31" s="1"/>
  <c r="B242" i="34"/>
  <c r="C215" i="31"/>
  <c r="D215" i="31" s="1"/>
  <c r="E215" i="31" s="1"/>
  <c r="F215" i="31" s="1"/>
  <c r="G215" i="31" s="1"/>
  <c r="H215" i="31" s="1"/>
  <c r="I215" i="31" s="1"/>
  <c r="J215" i="31" s="1"/>
  <c r="K215" i="31" s="1"/>
  <c r="L215" i="31" s="1"/>
  <c r="M215" i="31" s="1"/>
  <c r="B215" i="34"/>
  <c r="C555" i="34"/>
  <c r="D555" i="34" s="1"/>
  <c r="E555" i="34" s="1"/>
  <c r="F555" i="34" s="1"/>
  <c r="G555" i="34" s="1"/>
  <c r="H555" i="34" s="1"/>
  <c r="I555" i="34" s="1"/>
  <c r="J555" i="34" s="1"/>
  <c r="K555" i="34" s="1"/>
  <c r="L555" i="34" s="1"/>
  <c r="M555" i="34" s="1"/>
  <c r="N555" i="34" s="1"/>
  <c r="O555" i="34" s="1"/>
  <c r="P555" i="34" s="1"/>
  <c r="Q555" i="34" s="1"/>
  <c r="R555" i="34" s="1"/>
  <c r="S555" i="34" s="1"/>
  <c r="C510" i="34"/>
  <c r="D510" i="34" s="1"/>
  <c r="E510" i="34" s="1"/>
  <c r="F510" i="34" s="1"/>
  <c r="G510" i="34" s="1"/>
  <c r="H510" i="34" s="1"/>
  <c r="I510" i="34" s="1"/>
  <c r="J510" i="34" s="1"/>
  <c r="K510" i="34" s="1"/>
  <c r="L510" i="34" s="1"/>
  <c r="M510" i="34" s="1"/>
  <c r="N510" i="34" s="1"/>
  <c r="O510" i="34" s="1"/>
  <c r="P510" i="34" s="1"/>
  <c r="Q510" i="34" s="1"/>
  <c r="R510" i="34" s="1"/>
  <c r="S510" i="34" s="1"/>
  <c r="C504" i="31"/>
  <c r="D504" i="31" s="1"/>
  <c r="E504" i="31" s="1"/>
  <c r="F504" i="31" s="1"/>
  <c r="G504" i="31" s="1"/>
  <c r="H504" i="31" s="1"/>
  <c r="I504" i="31" s="1"/>
  <c r="J504" i="31" s="1"/>
  <c r="K504" i="31" s="1"/>
  <c r="L504" i="31" s="1"/>
  <c r="M504" i="31" s="1"/>
  <c r="B504" i="34"/>
  <c r="C501" i="31"/>
  <c r="D501" i="31" s="1"/>
  <c r="E501" i="31" s="1"/>
  <c r="F501" i="31" s="1"/>
  <c r="G501" i="31" s="1"/>
  <c r="H501" i="31" s="1"/>
  <c r="I501" i="31" s="1"/>
  <c r="J501" i="31" s="1"/>
  <c r="K501" i="31" s="1"/>
  <c r="L501" i="31" s="1"/>
  <c r="M501" i="31" s="1"/>
  <c r="B501" i="34"/>
  <c r="C499" i="31"/>
  <c r="D499" i="31" s="1"/>
  <c r="E499" i="31" s="1"/>
  <c r="F499" i="31" s="1"/>
  <c r="G499" i="31" s="1"/>
  <c r="H499" i="31" s="1"/>
  <c r="I499" i="31" s="1"/>
  <c r="J499" i="31" s="1"/>
  <c r="K499" i="31" s="1"/>
  <c r="L499" i="31" s="1"/>
  <c r="M499" i="31" s="1"/>
  <c r="B499" i="34"/>
  <c r="C489" i="31"/>
  <c r="D489" i="31" s="1"/>
  <c r="E489" i="31" s="1"/>
  <c r="F489" i="31" s="1"/>
  <c r="G489" i="31" s="1"/>
  <c r="H489" i="31" s="1"/>
  <c r="I489" i="31" s="1"/>
  <c r="J489" i="31" s="1"/>
  <c r="K489" i="31" s="1"/>
  <c r="L489" i="31" s="1"/>
  <c r="M489" i="31" s="1"/>
  <c r="B489" i="34"/>
  <c r="C478" i="31"/>
  <c r="D478" i="31" s="1"/>
  <c r="E478" i="31" s="1"/>
  <c r="F478" i="31" s="1"/>
  <c r="G478" i="31" s="1"/>
  <c r="H478" i="31" s="1"/>
  <c r="I478" i="31" s="1"/>
  <c r="J478" i="31" s="1"/>
  <c r="K478" i="31" s="1"/>
  <c r="L478" i="31" s="1"/>
  <c r="M478" i="31" s="1"/>
  <c r="B478" i="34"/>
  <c r="C472" i="34"/>
  <c r="D472" i="34" s="1"/>
  <c r="E472" i="34" s="1"/>
  <c r="F472" i="34" s="1"/>
  <c r="G472" i="34" s="1"/>
  <c r="H472" i="34" s="1"/>
  <c r="I472" i="34" s="1"/>
  <c r="J472" i="34" s="1"/>
  <c r="K472" i="34" s="1"/>
  <c r="L472" i="34" s="1"/>
  <c r="M472" i="34" s="1"/>
  <c r="N472" i="34" s="1"/>
  <c r="O472" i="34" s="1"/>
  <c r="P472" i="34" s="1"/>
  <c r="Q472" i="34" s="1"/>
  <c r="R472" i="34" s="1"/>
  <c r="S472" i="34" s="1"/>
  <c r="C460" i="31"/>
  <c r="D460" i="31" s="1"/>
  <c r="E460" i="31" s="1"/>
  <c r="F460" i="31" s="1"/>
  <c r="G460" i="31" s="1"/>
  <c r="H460" i="31" s="1"/>
  <c r="I460" i="31" s="1"/>
  <c r="J460" i="31" s="1"/>
  <c r="K460" i="31" s="1"/>
  <c r="L460" i="31" s="1"/>
  <c r="M460" i="31" s="1"/>
  <c r="B460" i="34"/>
  <c r="C457" i="31"/>
  <c r="D457" i="31" s="1"/>
  <c r="E457" i="31" s="1"/>
  <c r="F457" i="31" s="1"/>
  <c r="G457" i="31" s="1"/>
  <c r="H457" i="31" s="1"/>
  <c r="I457" i="31" s="1"/>
  <c r="J457" i="31" s="1"/>
  <c r="K457" i="31" s="1"/>
  <c r="L457" i="31" s="1"/>
  <c r="M457" i="31" s="1"/>
  <c r="B457" i="34"/>
  <c r="C442" i="31"/>
  <c r="D442" i="31" s="1"/>
  <c r="E442" i="31" s="1"/>
  <c r="F442" i="31" s="1"/>
  <c r="G442" i="31" s="1"/>
  <c r="H442" i="31" s="1"/>
  <c r="I442" i="31" s="1"/>
  <c r="J442" i="31" s="1"/>
  <c r="K442" i="31" s="1"/>
  <c r="L442" i="31" s="1"/>
  <c r="M442" i="31" s="1"/>
  <c r="B442" i="34"/>
  <c r="C433" i="31"/>
  <c r="D433" i="31" s="1"/>
  <c r="E433" i="31" s="1"/>
  <c r="F433" i="31" s="1"/>
  <c r="G433" i="31" s="1"/>
  <c r="H433" i="31" s="1"/>
  <c r="I433" i="31" s="1"/>
  <c r="J433" i="31" s="1"/>
  <c r="K433" i="31" s="1"/>
  <c r="L433" i="31" s="1"/>
  <c r="M433" i="31" s="1"/>
  <c r="B433" i="34"/>
  <c r="C433" i="34" s="1"/>
  <c r="D433" i="34" s="1"/>
  <c r="E433" i="34" s="1"/>
  <c r="F433" i="34" s="1"/>
  <c r="G433" i="34" s="1"/>
  <c r="H433" i="34" s="1"/>
  <c r="I433" i="34" s="1"/>
  <c r="J433" i="34" s="1"/>
  <c r="K433" i="34" s="1"/>
  <c r="L433" i="34" s="1"/>
  <c r="M433" i="34" s="1"/>
  <c r="N433" i="34" s="1"/>
  <c r="O433" i="34" s="1"/>
  <c r="P433" i="34" s="1"/>
  <c r="Q433" i="34" s="1"/>
  <c r="R433" i="34" s="1"/>
  <c r="S433" i="34" s="1"/>
  <c r="C424" i="31"/>
  <c r="D424" i="31" s="1"/>
  <c r="E424" i="31" s="1"/>
  <c r="F424" i="31" s="1"/>
  <c r="G424" i="31" s="1"/>
  <c r="H424" i="31" s="1"/>
  <c r="I424" i="31" s="1"/>
  <c r="J424" i="31" s="1"/>
  <c r="K424" i="31" s="1"/>
  <c r="L424" i="31" s="1"/>
  <c r="M424" i="31" s="1"/>
  <c r="B424" i="34"/>
  <c r="C417" i="31"/>
  <c r="D417" i="31" s="1"/>
  <c r="E417" i="31" s="1"/>
  <c r="F417" i="31" s="1"/>
  <c r="G417" i="31" s="1"/>
  <c r="H417" i="31" s="1"/>
  <c r="I417" i="31" s="1"/>
  <c r="J417" i="31" s="1"/>
  <c r="K417" i="31" s="1"/>
  <c r="L417" i="31" s="1"/>
  <c r="M417" i="31" s="1"/>
  <c r="B417" i="34"/>
  <c r="C395" i="31"/>
  <c r="D395" i="31" s="1"/>
  <c r="E395" i="31" s="1"/>
  <c r="F395" i="31" s="1"/>
  <c r="G395" i="31" s="1"/>
  <c r="H395" i="31" s="1"/>
  <c r="I395" i="31" s="1"/>
  <c r="J395" i="31" s="1"/>
  <c r="K395" i="31" s="1"/>
  <c r="L395" i="31" s="1"/>
  <c r="M395" i="31" s="1"/>
  <c r="B395" i="34"/>
  <c r="C387" i="31"/>
  <c r="D387" i="31" s="1"/>
  <c r="E387" i="31" s="1"/>
  <c r="F387" i="31" s="1"/>
  <c r="G387" i="31" s="1"/>
  <c r="H387" i="31" s="1"/>
  <c r="I387" i="31" s="1"/>
  <c r="J387" i="31" s="1"/>
  <c r="K387" i="31" s="1"/>
  <c r="L387" i="31" s="1"/>
  <c r="M387" i="31" s="1"/>
  <c r="B387" i="34"/>
  <c r="C387" i="34" s="1"/>
  <c r="D387" i="34" s="1"/>
  <c r="E387" i="34" s="1"/>
  <c r="F387" i="34" s="1"/>
  <c r="G387" i="34" s="1"/>
  <c r="H387" i="34" s="1"/>
  <c r="I387" i="34" s="1"/>
  <c r="J387" i="34" s="1"/>
  <c r="K387" i="34" s="1"/>
  <c r="L387" i="34" s="1"/>
  <c r="M387" i="34" s="1"/>
  <c r="N387" i="34" s="1"/>
  <c r="O387" i="34" s="1"/>
  <c r="P387" i="34" s="1"/>
  <c r="Q387" i="34" s="1"/>
  <c r="R387" i="34" s="1"/>
  <c r="S387" i="34" s="1"/>
  <c r="C373" i="31"/>
  <c r="D373" i="31" s="1"/>
  <c r="E373" i="31" s="1"/>
  <c r="F373" i="31" s="1"/>
  <c r="G373" i="31" s="1"/>
  <c r="H373" i="31" s="1"/>
  <c r="I373" i="31" s="1"/>
  <c r="J373" i="31" s="1"/>
  <c r="K373" i="31" s="1"/>
  <c r="L373" i="31" s="1"/>
  <c r="M373" i="31" s="1"/>
  <c r="B373" i="34"/>
  <c r="C345" i="31"/>
  <c r="D345" i="31" s="1"/>
  <c r="E345" i="31" s="1"/>
  <c r="F345" i="31" s="1"/>
  <c r="G345" i="31" s="1"/>
  <c r="H345" i="31" s="1"/>
  <c r="I345" i="31" s="1"/>
  <c r="J345" i="31" s="1"/>
  <c r="K345" i="31" s="1"/>
  <c r="L345" i="31" s="1"/>
  <c r="M345" i="31" s="1"/>
  <c r="B345" i="34"/>
  <c r="B337" i="34"/>
  <c r="C337" i="31"/>
  <c r="D337" i="31" s="1"/>
  <c r="E337" i="31" s="1"/>
  <c r="F337" i="31" s="1"/>
  <c r="G337" i="31" s="1"/>
  <c r="H337" i="31" s="1"/>
  <c r="I337" i="31" s="1"/>
  <c r="J337" i="31" s="1"/>
  <c r="K337" i="31" s="1"/>
  <c r="L337" i="31" s="1"/>
  <c r="M337" i="31" s="1"/>
  <c r="B299" i="34"/>
  <c r="C299" i="31"/>
  <c r="D299" i="31" s="1"/>
  <c r="E299" i="31" s="1"/>
  <c r="F299" i="31" s="1"/>
  <c r="G299" i="31" s="1"/>
  <c r="H299" i="31" s="1"/>
  <c r="I299" i="31" s="1"/>
  <c r="J299" i="31" s="1"/>
  <c r="K299" i="31" s="1"/>
  <c r="L299" i="31" s="1"/>
  <c r="M299" i="31" s="1"/>
  <c r="C281" i="31"/>
  <c r="D281" i="31" s="1"/>
  <c r="E281" i="31" s="1"/>
  <c r="F281" i="31" s="1"/>
  <c r="G281" i="31" s="1"/>
  <c r="H281" i="31" s="1"/>
  <c r="I281" i="31" s="1"/>
  <c r="J281" i="31" s="1"/>
  <c r="K281" i="31" s="1"/>
  <c r="L281" i="31" s="1"/>
  <c r="M281" i="31" s="1"/>
  <c r="B281" i="34"/>
  <c r="C241" i="31"/>
  <c r="D241" i="31" s="1"/>
  <c r="E241" i="31" s="1"/>
  <c r="F241" i="31" s="1"/>
  <c r="G241" i="31" s="1"/>
  <c r="H241" i="31" s="1"/>
  <c r="I241" i="31" s="1"/>
  <c r="J241" i="31" s="1"/>
  <c r="K241" i="31" s="1"/>
  <c r="L241" i="31" s="1"/>
  <c r="M241" i="31" s="1"/>
  <c r="B241" i="34"/>
  <c r="C235" i="31"/>
  <c r="D235" i="31" s="1"/>
  <c r="E235" i="31" s="1"/>
  <c r="F235" i="31" s="1"/>
  <c r="G235" i="31" s="1"/>
  <c r="H235" i="31" s="1"/>
  <c r="I235" i="31" s="1"/>
  <c r="J235" i="31" s="1"/>
  <c r="K235" i="31" s="1"/>
  <c r="L235" i="31" s="1"/>
  <c r="M235" i="31" s="1"/>
  <c r="B235" i="34"/>
  <c r="B229" i="34"/>
  <c r="C229" i="31"/>
  <c r="D229" i="31" s="1"/>
  <c r="E229" i="31" s="1"/>
  <c r="F229" i="31" s="1"/>
  <c r="G229" i="31" s="1"/>
  <c r="H229" i="31" s="1"/>
  <c r="I229" i="31" s="1"/>
  <c r="J229" i="31" s="1"/>
  <c r="K229" i="31" s="1"/>
  <c r="L229" i="31" s="1"/>
  <c r="M229" i="31" s="1"/>
  <c r="C600" i="34"/>
  <c r="D600" i="34" s="1"/>
  <c r="E600" i="34" s="1"/>
  <c r="F600" i="34" s="1"/>
  <c r="G600" i="34" s="1"/>
  <c r="H600" i="34" s="1"/>
  <c r="I600" i="34" s="1"/>
  <c r="J600" i="34" s="1"/>
  <c r="K600" i="34" s="1"/>
  <c r="L600" i="34" s="1"/>
  <c r="M600" i="34" s="1"/>
  <c r="N600" i="34" s="1"/>
  <c r="O600" i="34" s="1"/>
  <c r="P600" i="34" s="1"/>
  <c r="Q600" i="34" s="1"/>
  <c r="R600" i="34" s="1"/>
  <c r="S600" i="34" s="1"/>
  <c r="C553" i="34"/>
  <c r="D553" i="34" s="1"/>
  <c r="E553" i="34" s="1"/>
  <c r="F553" i="34" s="1"/>
  <c r="G553" i="34" s="1"/>
  <c r="H553" i="34" s="1"/>
  <c r="I553" i="34" s="1"/>
  <c r="J553" i="34" s="1"/>
  <c r="K553" i="34" s="1"/>
  <c r="L553" i="34" s="1"/>
  <c r="M553" i="34" s="1"/>
  <c r="N553" i="34" s="1"/>
  <c r="O553" i="34" s="1"/>
  <c r="P553" i="34" s="1"/>
  <c r="Q553" i="34" s="1"/>
  <c r="R553" i="34" s="1"/>
  <c r="S553" i="34" s="1"/>
  <c r="C486" i="34"/>
  <c r="D486" i="34" s="1"/>
  <c r="E486" i="34" s="1"/>
  <c r="F486" i="34" s="1"/>
  <c r="G486" i="34" s="1"/>
  <c r="H486" i="34" s="1"/>
  <c r="I486" i="34" s="1"/>
  <c r="J486" i="34" s="1"/>
  <c r="K486" i="34" s="1"/>
  <c r="L486" i="34" s="1"/>
  <c r="M486" i="34" s="1"/>
  <c r="N486" i="34" s="1"/>
  <c r="O486" i="34" s="1"/>
  <c r="P486" i="34" s="1"/>
  <c r="Q486" i="34" s="1"/>
  <c r="R486" i="34" s="1"/>
  <c r="S486" i="34" s="1"/>
  <c r="C484" i="34"/>
  <c r="D484" i="34" s="1"/>
  <c r="E484" i="34" s="1"/>
  <c r="F484" i="34" s="1"/>
  <c r="G484" i="34" s="1"/>
  <c r="H484" i="34" s="1"/>
  <c r="I484" i="34" s="1"/>
  <c r="J484" i="34" s="1"/>
  <c r="K484" i="34" s="1"/>
  <c r="L484" i="34" s="1"/>
  <c r="M484" i="34" s="1"/>
  <c r="N484" i="34" s="1"/>
  <c r="O484" i="34" s="1"/>
  <c r="P484" i="34" s="1"/>
  <c r="Q484" i="34" s="1"/>
  <c r="R484" i="34" s="1"/>
  <c r="S484" i="34" s="1"/>
  <c r="C474" i="31"/>
  <c r="D474" i="31" s="1"/>
  <c r="E474" i="31" s="1"/>
  <c r="F474" i="31" s="1"/>
  <c r="G474" i="31" s="1"/>
  <c r="H474" i="31" s="1"/>
  <c r="I474" i="31" s="1"/>
  <c r="J474" i="31" s="1"/>
  <c r="K474" i="31" s="1"/>
  <c r="L474" i="31" s="1"/>
  <c r="M474" i="31" s="1"/>
  <c r="B474" i="34"/>
  <c r="C468" i="34"/>
  <c r="D468" i="34" s="1"/>
  <c r="E468" i="34" s="1"/>
  <c r="F468" i="34" s="1"/>
  <c r="G468" i="34" s="1"/>
  <c r="H468" i="34" s="1"/>
  <c r="I468" i="34" s="1"/>
  <c r="J468" i="34" s="1"/>
  <c r="K468" i="34" s="1"/>
  <c r="L468" i="34" s="1"/>
  <c r="M468" i="34" s="1"/>
  <c r="N468" i="34" s="1"/>
  <c r="O468" i="34" s="1"/>
  <c r="P468" i="34" s="1"/>
  <c r="Q468" i="34" s="1"/>
  <c r="R468" i="34" s="1"/>
  <c r="S468" i="34" s="1"/>
  <c r="C465" i="34"/>
  <c r="D465" i="34" s="1"/>
  <c r="E465" i="34" s="1"/>
  <c r="F465" i="34" s="1"/>
  <c r="G465" i="34" s="1"/>
  <c r="H465" i="34" s="1"/>
  <c r="I465" i="34" s="1"/>
  <c r="J465" i="34" s="1"/>
  <c r="K465" i="34" s="1"/>
  <c r="L465" i="34" s="1"/>
  <c r="M465" i="34" s="1"/>
  <c r="N465" i="34" s="1"/>
  <c r="O465" i="34" s="1"/>
  <c r="P465" i="34" s="1"/>
  <c r="Q465" i="34" s="1"/>
  <c r="R465" i="34" s="1"/>
  <c r="S465" i="34" s="1"/>
  <c r="C456" i="31"/>
  <c r="D456" i="31" s="1"/>
  <c r="E456" i="31" s="1"/>
  <c r="F456" i="31" s="1"/>
  <c r="G456" i="31" s="1"/>
  <c r="H456" i="31" s="1"/>
  <c r="I456" i="31" s="1"/>
  <c r="J456" i="31" s="1"/>
  <c r="K456" i="31" s="1"/>
  <c r="L456" i="31" s="1"/>
  <c r="M456" i="31" s="1"/>
  <c r="B456" i="34"/>
  <c r="C453" i="31"/>
  <c r="D453" i="31" s="1"/>
  <c r="E453" i="31" s="1"/>
  <c r="F453" i="31" s="1"/>
  <c r="G453" i="31" s="1"/>
  <c r="H453" i="31" s="1"/>
  <c r="I453" i="31" s="1"/>
  <c r="J453" i="31" s="1"/>
  <c r="K453" i="31" s="1"/>
  <c r="L453" i="31" s="1"/>
  <c r="M453" i="31" s="1"/>
  <c r="B453" i="34"/>
  <c r="C439" i="31"/>
  <c r="D439" i="31" s="1"/>
  <c r="E439" i="31" s="1"/>
  <c r="F439" i="31" s="1"/>
  <c r="G439" i="31" s="1"/>
  <c r="H439" i="31" s="1"/>
  <c r="I439" i="31" s="1"/>
  <c r="J439" i="31" s="1"/>
  <c r="K439" i="31" s="1"/>
  <c r="L439" i="31" s="1"/>
  <c r="M439" i="31" s="1"/>
  <c r="B439" i="34"/>
  <c r="C430" i="34"/>
  <c r="D430" i="34" s="1"/>
  <c r="E430" i="34" s="1"/>
  <c r="F430" i="34" s="1"/>
  <c r="G430" i="34" s="1"/>
  <c r="H430" i="34" s="1"/>
  <c r="I430" i="34" s="1"/>
  <c r="J430" i="34" s="1"/>
  <c r="K430" i="34" s="1"/>
  <c r="L430" i="34" s="1"/>
  <c r="M430" i="34" s="1"/>
  <c r="N430" i="34" s="1"/>
  <c r="O430" i="34" s="1"/>
  <c r="P430" i="34" s="1"/>
  <c r="Q430" i="34" s="1"/>
  <c r="R430" i="34" s="1"/>
  <c r="S430" i="34" s="1"/>
  <c r="C423" i="31"/>
  <c r="D423" i="31" s="1"/>
  <c r="E423" i="31" s="1"/>
  <c r="F423" i="31" s="1"/>
  <c r="G423" i="31" s="1"/>
  <c r="H423" i="31" s="1"/>
  <c r="I423" i="31" s="1"/>
  <c r="J423" i="31" s="1"/>
  <c r="K423" i="31" s="1"/>
  <c r="L423" i="31" s="1"/>
  <c r="M423" i="31" s="1"/>
  <c r="B423" i="34"/>
  <c r="C421" i="31"/>
  <c r="D421" i="31" s="1"/>
  <c r="E421" i="31" s="1"/>
  <c r="F421" i="31" s="1"/>
  <c r="G421" i="31" s="1"/>
  <c r="H421" i="31" s="1"/>
  <c r="I421" i="31" s="1"/>
  <c r="J421" i="31" s="1"/>
  <c r="K421" i="31" s="1"/>
  <c r="L421" i="31" s="1"/>
  <c r="M421" i="31" s="1"/>
  <c r="B421" i="34"/>
  <c r="C419" i="31"/>
  <c r="D419" i="31" s="1"/>
  <c r="E419" i="31" s="1"/>
  <c r="F419" i="31" s="1"/>
  <c r="G419" i="31" s="1"/>
  <c r="H419" i="31" s="1"/>
  <c r="I419" i="31" s="1"/>
  <c r="J419" i="31" s="1"/>
  <c r="K419" i="31" s="1"/>
  <c r="L419" i="31" s="1"/>
  <c r="M419" i="31" s="1"/>
  <c r="B419" i="34"/>
  <c r="C412" i="34"/>
  <c r="D412" i="34" s="1"/>
  <c r="E412" i="34" s="1"/>
  <c r="F412" i="34" s="1"/>
  <c r="G412" i="34" s="1"/>
  <c r="H412" i="34" s="1"/>
  <c r="I412" i="34" s="1"/>
  <c r="J412" i="34" s="1"/>
  <c r="K412" i="34" s="1"/>
  <c r="L412" i="34" s="1"/>
  <c r="M412" i="34" s="1"/>
  <c r="N412" i="34" s="1"/>
  <c r="O412" i="34" s="1"/>
  <c r="P412" i="34" s="1"/>
  <c r="Q412" i="34" s="1"/>
  <c r="R412" i="34" s="1"/>
  <c r="S412" i="34" s="1"/>
  <c r="C402" i="31"/>
  <c r="D402" i="31" s="1"/>
  <c r="E402" i="31" s="1"/>
  <c r="F402" i="31" s="1"/>
  <c r="G402" i="31" s="1"/>
  <c r="H402" i="31" s="1"/>
  <c r="I402" i="31" s="1"/>
  <c r="J402" i="31" s="1"/>
  <c r="K402" i="31" s="1"/>
  <c r="L402" i="31" s="1"/>
  <c r="M402" i="31" s="1"/>
  <c r="B402" i="34"/>
  <c r="C398" i="31"/>
  <c r="D398" i="31" s="1"/>
  <c r="E398" i="31" s="1"/>
  <c r="F398" i="31" s="1"/>
  <c r="G398" i="31" s="1"/>
  <c r="H398" i="31" s="1"/>
  <c r="I398" i="31" s="1"/>
  <c r="J398" i="31" s="1"/>
  <c r="K398" i="31" s="1"/>
  <c r="L398" i="31" s="1"/>
  <c r="M398" i="31" s="1"/>
  <c r="B398" i="34"/>
  <c r="C377" i="31"/>
  <c r="D377" i="31" s="1"/>
  <c r="E377" i="31" s="1"/>
  <c r="F377" i="31" s="1"/>
  <c r="G377" i="31" s="1"/>
  <c r="H377" i="31" s="1"/>
  <c r="I377" i="31" s="1"/>
  <c r="J377" i="31" s="1"/>
  <c r="K377" i="31" s="1"/>
  <c r="L377" i="31" s="1"/>
  <c r="M377" i="31" s="1"/>
  <c r="B377" i="34"/>
  <c r="C336" i="31"/>
  <c r="D336" i="31" s="1"/>
  <c r="E336" i="31" s="1"/>
  <c r="F336" i="31" s="1"/>
  <c r="G336" i="31" s="1"/>
  <c r="H336" i="31" s="1"/>
  <c r="I336" i="31" s="1"/>
  <c r="J336" i="31" s="1"/>
  <c r="K336" i="31" s="1"/>
  <c r="L336" i="31" s="1"/>
  <c r="M336" i="31" s="1"/>
  <c r="B336" i="34"/>
  <c r="C336" i="34" s="1"/>
  <c r="D336" i="34" s="1"/>
  <c r="E336" i="34" s="1"/>
  <c r="F336" i="34" s="1"/>
  <c r="G336" i="34" s="1"/>
  <c r="H336" i="34" s="1"/>
  <c r="I336" i="34" s="1"/>
  <c r="J336" i="34" s="1"/>
  <c r="K336" i="34" s="1"/>
  <c r="L336" i="34" s="1"/>
  <c r="M336" i="34" s="1"/>
  <c r="N336" i="34" s="1"/>
  <c r="O336" i="34" s="1"/>
  <c r="P336" i="34" s="1"/>
  <c r="Q336" i="34" s="1"/>
  <c r="R336" i="34" s="1"/>
  <c r="S336" i="34" s="1"/>
  <c r="C327" i="31"/>
  <c r="D327" i="31" s="1"/>
  <c r="E327" i="31" s="1"/>
  <c r="F327" i="31" s="1"/>
  <c r="G327" i="31" s="1"/>
  <c r="H327" i="31" s="1"/>
  <c r="I327" i="31" s="1"/>
  <c r="J327" i="31" s="1"/>
  <c r="K327" i="31" s="1"/>
  <c r="L327" i="31" s="1"/>
  <c r="M327" i="31" s="1"/>
  <c r="B327" i="34"/>
  <c r="C298" i="31"/>
  <c r="D298" i="31" s="1"/>
  <c r="E298" i="31" s="1"/>
  <c r="F298" i="31" s="1"/>
  <c r="G298" i="31" s="1"/>
  <c r="H298" i="31" s="1"/>
  <c r="I298" i="31" s="1"/>
  <c r="J298" i="31" s="1"/>
  <c r="K298" i="31" s="1"/>
  <c r="L298" i="31" s="1"/>
  <c r="M298" i="31" s="1"/>
  <c r="B298" i="34"/>
  <c r="C607" i="31"/>
  <c r="D607" i="31" s="1"/>
  <c r="E607" i="31" s="1"/>
  <c r="F607" i="31" s="1"/>
  <c r="G607" i="31" s="1"/>
  <c r="H607" i="31" s="1"/>
  <c r="I607" i="31" s="1"/>
  <c r="J607" i="31" s="1"/>
  <c r="K607" i="31" s="1"/>
  <c r="L607" i="31" s="1"/>
  <c r="M607" i="31" s="1"/>
  <c r="B607" i="34"/>
  <c r="C562" i="31"/>
  <c r="D562" i="31" s="1"/>
  <c r="E562" i="31" s="1"/>
  <c r="F562" i="31" s="1"/>
  <c r="G562" i="31" s="1"/>
  <c r="H562" i="31" s="1"/>
  <c r="I562" i="31" s="1"/>
  <c r="J562" i="31" s="1"/>
  <c r="K562" i="31" s="1"/>
  <c r="L562" i="31" s="1"/>
  <c r="M562" i="31" s="1"/>
  <c r="B562" i="34"/>
  <c r="C606" i="34"/>
  <c r="D606" i="34" s="1"/>
  <c r="E606" i="34" s="1"/>
  <c r="F606" i="34" s="1"/>
  <c r="G606" i="34" s="1"/>
  <c r="H606" i="34" s="1"/>
  <c r="I606" i="34" s="1"/>
  <c r="J606" i="34" s="1"/>
  <c r="K606" i="34" s="1"/>
  <c r="L606" i="34" s="1"/>
  <c r="M606" i="34" s="1"/>
  <c r="N606" i="34" s="1"/>
  <c r="O606" i="34" s="1"/>
  <c r="P606" i="34" s="1"/>
  <c r="Q606" i="34" s="1"/>
  <c r="R606" i="34" s="1"/>
  <c r="S606" i="34" s="1"/>
  <c r="C550" i="31"/>
  <c r="D550" i="31" s="1"/>
  <c r="E550" i="31" s="1"/>
  <c r="F550" i="31" s="1"/>
  <c r="G550" i="31" s="1"/>
  <c r="H550" i="31" s="1"/>
  <c r="I550" i="31" s="1"/>
  <c r="J550" i="31" s="1"/>
  <c r="K550" i="31" s="1"/>
  <c r="L550" i="31" s="1"/>
  <c r="M550" i="31" s="1"/>
  <c r="B550" i="34"/>
  <c r="C532" i="34"/>
  <c r="D532" i="34" s="1"/>
  <c r="E532" i="34" s="1"/>
  <c r="F532" i="34" s="1"/>
  <c r="G532" i="34" s="1"/>
  <c r="H532" i="34" s="1"/>
  <c r="I532" i="34" s="1"/>
  <c r="J532" i="34" s="1"/>
  <c r="K532" i="34" s="1"/>
  <c r="L532" i="34" s="1"/>
  <c r="M532" i="34" s="1"/>
  <c r="N532" i="34" s="1"/>
  <c r="O532" i="34" s="1"/>
  <c r="P532" i="34" s="1"/>
  <c r="Q532" i="34" s="1"/>
  <c r="R532" i="34" s="1"/>
  <c r="S532" i="34" s="1"/>
  <c r="C509" i="31"/>
  <c r="D509" i="31" s="1"/>
  <c r="E509" i="31" s="1"/>
  <c r="F509" i="31" s="1"/>
  <c r="G509" i="31" s="1"/>
  <c r="H509" i="31" s="1"/>
  <c r="I509" i="31" s="1"/>
  <c r="J509" i="31" s="1"/>
  <c r="K509" i="31" s="1"/>
  <c r="L509" i="31" s="1"/>
  <c r="M509" i="31" s="1"/>
  <c r="B509" i="34"/>
  <c r="C571" i="34"/>
  <c r="D571" i="34" s="1"/>
  <c r="E571" i="34" s="1"/>
  <c r="F571" i="34" s="1"/>
  <c r="G571" i="34" s="1"/>
  <c r="H571" i="34" s="1"/>
  <c r="I571" i="34" s="1"/>
  <c r="J571" i="34" s="1"/>
  <c r="K571" i="34" s="1"/>
  <c r="L571" i="34" s="1"/>
  <c r="M571" i="34" s="1"/>
  <c r="N571" i="34" s="1"/>
  <c r="O571" i="34" s="1"/>
  <c r="P571" i="34" s="1"/>
  <c r="Q571" i="34" s="1"/>
  <c r="R571" i="34" s="1"/>
  <c r="S571" i="34" s="1"/>
  <c r="C539" i="34"/>
  <c r="D539" i="34" s="1"/>
  <c r="E539" i="34" s="1"/>
  <c r="F539" i="34" s="1"/>
  <c r="G539" i="34" s="1"/>
  <c r="H539" i="34" s="1"/>
  <c r="I539" i="34" s="1"/>
  <c r="J539" i="34" s="1"/>
  <c r="K539" i="34" s="1"/>
  <c r="L539" i="34" s="1"/>
  <c r="M539" i="34" s="1"/>
  <c r="N539" i="34" s="1"/>
  <c r="O539" i="34" s="1"/>
  <c r="P539" i="34" s="1"/>
  <c r="Q539" i="34" s="1"/>
  <c r="R539" i="34" s="1"/>
  <c r="S539" i="34" s="1"/>
  <c r="C535" i="34"/>
  <c r="D535" i="34" s="1"/>
  <c r="E535" i="34" s="1"/>
  <c r="F535" i="34" s="1"/>
  <c r="G535" i="34" s="1"/>
  <c r="H535" i="34" s="1"/>
  <c r="I535" i="34" s="1"/>
  <c r="J535" i="34" s="1"/>
  <c r="K535" i="34" s="1"/>
  <c r="L535" i="34" s="1"/>
  <c r="M535" i="34" s="1"/>
  <c r="N535" i="34" s="1"/>
  <c r="O535" i="34" s="1"/>
  <c r="P535" i="34" s="1"/>
  <c r="Q535" i="34" s="1"/>
  <c r="R535" i="34" s="1"/>
  <c r="S535" i="34" s="1"/>
  <c r="C531" i="31"/>
  <c r="D531" i="31" s="1"/>
  <c r="E531" i="31" s="1"/>
  <c r="F531" i="31" s="1"/>
  <c r="G531" i="31" s="1"/>
  <c r="H531" i="31" s="1"/>
  <c r="I531" i="31" s="1"/>
  <c r="J531" i="31" s="1"/>
  <c r="K531" i="31" s="1"/>
  <c r="L531" i="31" s="1"/>
  <c r="M531" i="31" s="1"/>
  <c r="B531" i="34"/>
  <c r="C528" i="31"/>
  <c r="D528" i="31" s="1"/>
  <c r="E528" i="31" s="1"/>
  <c r="F528" i="31" s="1"/>
  <c r="G528" i="31" s="1"/>
  <c r="H528" i="31" s="1"/>
  <c r="I528" i="31" s="1"/>
  <c r="J528" i="31" s="1"/>
  <c r="K528" i="31" s="1"/>
  <c r="L528" i="31" s="1"/>
  <c r="M528" i="31" s="1"/>
  <c r="B528" i="34"/>
  <c r="C512" i="31"/>
  <c r="D512" i="31" s="1"/>
  <c r="E512" i="31" s="1"/>
  <c r="F512" i="31" s="1"/>
  <c r="G512" i="31" s="1"/>
  <c r="H512" i="31" s="1"/>
  <c r="I512" i="31" s="1"/>
  <c r="J512" i="31" s="1"/>
  <c r="K512" i="31" s="1"/>
  <c r="L512" i="31" s="1"/>
  <c r="M512" i="31" s="1"/>
  <c r="B512" i="34"/>
  <c r="C507" i="34"/>
  <c r="D507" i="34" s="1"/>
  <c r="E507" i="34" s="1"/>
  <c r="F507" i="34" s="1"/>
  <c r="G507" i="34" s="1"/>
  <c r="H507" i="34" s="1"/>
  <c r="I507" i="34" s="1"/>
  <c r="J507" i="34" s="1"/>
  <c r="K507" i="34" s="1"/>
  <c r="L507" i="34" s="1"/>
  <c r="M507" i="34" s="1"/>
  <c r="N507" i="34" s="1"/>
  <c r="O507" i="34" s="1"/>
  <c r="P507" i="34" s="1"/>
  <c r="Q507" i="34" s="1"/>
  <c r="R507" i="34" s="1"/>
  <c r="S507" i="34" s="1"/>
  <c r="C498" i="31"/>
  <c r="D498" i="31" s="1"/>
  <c r="E498" i="31" s="1"/>
  <c r="F498" i="31" s="1"/>
  <c r="G498" i="31" s="1"/>
  <c r="H498" i="31" s="1"/>
  <c r="I498" i="31" s="1"/>
  <c r="J498" i="31" s="1"/>
  <c r="K498" i="31" s="1"/>
  <c r="L498" i="31" s="1"/>
  <c r="M498" i="31" s="1"/>
  <c r="B498" i="34"/>
  <c r="C494" i="34"/>
  <c r="D494" i="34" s="1"/>
  <c r="E494" i="34" s="1"/>
  <c r="F494" i="34" s="1"/>
  <c r="G494" i="34" s="1"/>
  <c r="H494" i="34" s="1"/>
  <c r="I494" i="34" s="1"/>
  <c r="J494" i="34" s="1"/>
  <c r="K494" i="34" s="1"/>
  <c r="L494" i="34" s="1"/>
  <c r="M494" i="34" s="1"/>
  <c r="N494" i="34" s="1"/>
  <c r="O494" i="34" s="1"/>
  <c r="P494" i="34" s="1"/>
  <c r="Q494" i="34" s="1"/>
  <c r="R494" i="34" s="1"/>
  <c r="S494" i="34" s="1"/>
  <c r="C492" i="34"/>
  <c r="D492" i="34" s="1"/>
  <c r="E492" i="34" s="1"/>
  <c r="F492" i="34" s="1"/>
  <c r="G492" i="34" s="1"/>
  <c r="H492" i="34" s="1"/>
  <c r="I492" i="34" s="1"/>
  <c r="J492" i="34" s="1"/>
  <c r="K492" i="34" s="1"/>
  <c r="L492" i="34" s="1"/>
  <c r="M492" i="34" s="1"/>
  <c r="N492" i="34" s="1"/>
  <c r="O492" i="34" s="1"/>
  <c r="P492" i="34" s="1"/>
  <c r="Q492" i="34" s="1"/>
  <c r="R492" i="34" s="1"/>
  <c r="S492" i="34" s="1"/>
  <c r="C480" i="31"/>
  <c r="D480" i="31" s="1"/>
  <c r="E480" i="31" s="1"/>
  <c r="F480" i="31" s="1"/>
  <c r="G480" i="31" s="1"/>
  <c r="H480" i="31" s="1"/>
  <c r="I480" i="31" s="1"/>
  <c r="J480" i="31" s="1"/>
  <c r="K480" i="31" s="1"/>
  <c r="L480" i="31" s="1"/>
  <c r="M480" i="31" s="1"/>
  <c r="B480" i="34"/>
  <c r="C480" i="34" s="1"/>
  <c r="D480" i="34" s="1"/>
  <c r="E480" i="34" s="1"/>
  <c r="F480" i="34" s="1"/>
  <c r="G480" i="34" s="1"/>
  <c r="H480" i="34" s="1"/>
  <c r="I480" i="34" s="1"/>
  <c r="J480" i="34" s="1"/>
  <c r="K480" i="34" s="1"/>
  <c r="L480" i="34" s="1"/>
  <c r="M480" i="34" s="1"/>
  <c r="N480" i="34" s="1"/>
  <c r="O480" i="34" s="1"/>
  <c r="P480" i="34" s="1"/>
  <c r="Q480" i="34" s="1"/>
  <c r="R480" i="34" s="1"/>
  <c r="S480" i="34" s="1"/>
  <c r="C471" i="34"/>
  <c r="D471" i="34" s="1"/>
  <c r="E471" i="34" s="1"/>
  <c r="F471" i="34" s="1"/>
  <c r="G471" i="34" s="1"/>
  <c r="H471" i="34" s="1"/>
  <c r="I471" i="34" s="1"/>
  <c r="J471" i="34" s="1"/>
  <c r="K471" i="34" s="1"/>
  <c r="L471" i="34" s="1"/>
  <c r="M471" i="34" s="1"/>
  <c r="N471" i="34" s="1"/>
  <c r="O471" i="34" s="1"/>
  <c r="P471" i="34" s="1"/>
  <c r="Q471" i="34" s="1"/>
  <c r="R471" i="34" s="1"/>
  <c r="S471" i="34" s="1"/>
  <c r="C467" i="31"/>
  <c r="D467" i="31" s="1"/>
  <c r="E467" i="31" s="1"/>
  <c r="F467" i="31" s="1"/>
  <c r="G467" i="31" s="1"/>
  <c r="H467" i="31" s="1"/>
  <c r="I467" i="31" s="1"/>
  <c r="J467" i="31" s="1"/>
  <c r="K467" i="31" s="1"/>
  <c r="L467" i="31" s="1"/>
  <c r="M467" i="31" s="1"/>
  <c r="B467" i="34"/>
  <c r="C464" i="31"/>
  <c r="D464" i="31" s="1"/>
  <c r="E464" i="31" s="1"/>
  <c r="F464" i="31" s="1"/>
  <c r="G464" i="31" s="1"/>
  <c r="H464" i="31" s="1"/>
  <c r="I464" i="31" s="1"/>
  <c r="J464" i="31" s="1"/>
  <c r="K464" i="31" s="1"/>
  <c r="L464" i="31" s="1"/>
  <c r="M464" i="31" s="1"/>
  <c r="B464" i="34"/>
  <c r="C459" i="31"/>
  <c r="D459" i="31" s="1"/>
  <c r="E459" i="31" s="1"/>
  <c r="F459" i="31" s="1"/>
  <c r="G459" i="31" s="1"/>
  <c r="H459" i="31" s="1"/>
  <c r="I459" i="31" s="1"/>
  <c r="J459" i="31" s="1"/>
  <c r="K459" i="31" s="1"/>
  <c r="L459" i="31" s="1"/>
  <c r="M459" i="31" s="1"/>
  <c r="B459" i="34"/>
  <c r="C459" i="34" s="1"/>
  <c r="D459" i="34" s="1"/>
  <c r="E459" i="34" s="1"/>
  <c r="F459" i="34" s="1"/>
  <c r="G459" i="34" s="1"/>
  <c r="H459" i="34" s="1"/>
  <c r="I459" i="34" s="1"/>
  <c r="J459" i="34" s="1"/>
  <c r="K459" i="34" s="1"/>
  <c r="L459" i="34" s="1"/>
  <c r="M459" i="34" s="1"/>
  <c r="N459" i="34" s="1"/>
  <c r="O459" i="34" s="1"/>
  <c r="P459" i="34" s="1"/>
  <c r="Q459" i="34" s="1"/>
  <c r="R459" i="34" s="1"/>
  <c r="S459" i="34" s="1"/>
  <c r="C451" i="31"/>
  <c r="D451" i="31" s="1"/>
  <c r="E451" i="31" s="1"/>
  <c r="F451" i="31" s="1"/>
  <c r="G451" i="31" s="1"/>
  <c r="H451" i="31" s="1"/>
  <c r="I451" i="31" s="1"/>
  <c r="J451" i="31" s="1"/>
  <c r="K451" i="31" s="1"/>
  <c r="L451" i="31" s="1"/>
  <c r="M451" i="31" s="1"/>
  <c r="B451" i="34"/>
  <c r="C446" i="31"/>
  <c r="D446" i="31" s="1"/>
  <c r="E446" i="31" s="1"/>
  <c r="F446" i="31" s="1"/>
  <c r="G446" i="31" s="1"/>
  <c r="H446" i="31" s="1"/>
  <c r="I446" i="31" s="1"/>
  <c r="J446" i="31" s="1"/>
  <c r="K446" i="31" s="1"/>
  <c r="L446" i="31" s="1"/>
  <c r="M446" i="31" s="1"/>
  <c r="C441" i="31"/>
  <c r="D441" i="31" s="1"/>
  <c r="E441" i="31" s="1"/>
  <c r="F441" i="31" s="1"/>
  <c r="G441" i="31" s="1"/>
  <c r="H441" i="31" s="1"/>
  <c r="I441" i="31" s="1"/>
  <c r="J441" i="31" s="1"/>
  <c r="K441" i="31" s="1"/>
  <c r="L441" i="31" s="1"/>
  <c r="M441" i="31" s="1"/>
  <c r="B441" i="34"/>
  <c r="C438" i="31"/>
  <c r="D438" i="31" s="1"/>
  <c r="E438" i="31" s="1"/>
  <c r="F438" i="31" s="1"/>
  <c r="G438" i="31" s="1"/>
  <c r="H438" i="31" s="1"/>
  <c r="I438" i="31" s="1"/>
  <c r="J438" i="31" s="1"/>
  <c r="K438" i="31" s="1"/>
  <c r="L438" i="31" s="1"/>
  <c r="M438" i="31" s="1"/>
  <c r="B438" i="34"/>
  <c r="C432" i="34"/>
  <c r="D432" i="34" s="1"/>
  <c r="E432" i="34" s="1"/>
  <c r="F432" i="34" s="1"/>
  <c r="G432" i="34" s="1"/>
  <c r="H432" i="34" s="1"/>
  <c r="I432" i="34" s="1"/>
  <c r="J432" i="34" s="1"/>
  <c r="K432" i="34" s="1"/>
  <c r="L432" i="34" s="1"/>
  <c r="M432" i="34" s="1"/>
  <c r="N432" i="34" s="1"/>
  <c r="O432" i="34" s="1"/>
  <c r="P432" i="34" s="1"/>
  <c r="Q432" i="34" s="1"/>
  <c r="R432" i="34" s="1"/>
  <c r="S432" i="34" s="1"/>
  <c r="C401" i="31"/>
  <c r="D401" i="31" s="1"/>
  <c r="E401" i="31" s="1"/>
  <c r="F401" i="31" s="1"/>
  <c r="G401" i="31" s="1"/>
  <c r="H401" i="31" s="1"/>
  <c r="I401" i="31" s="1"/>
  <c r="J401" i="31" s="1"/>
  <c r="K401" i="31" s="1"/>
  <c r="L401" i="31" s="1"/>
  <c r="M401" i="31" s="1"/>
  <c r="B401" i="34"/>
  <c r="C381" i="31"/>
  <c r="D381" i="31" s="1"/>
  <c r="E381" i="31" s="1"/>
  <c r="F381" i="31" s="1"/>
  <c r="G381" i="31" s="1"/>
  <c r="H381" i="31" s="1"/>
  <c r="I381" i="31" s="1"/>
  <c r="J381" i="31" s="1"/>
  <c r="K381" i="31" s="1"/>
  <c r="L381" i="31" s="1"/>
  <c r="M381" i="31" s="1"/>
  <c r="B381" i="34"/>
  <c r="C359" i="31"/>
  <c r="D359" i="31" s="1"/>
  <c r="E359" i="31" s="1"/>
  <c r="F359" i="31" s="1"/>
  <c r="G359" i="31" s="1"/>
  <c r="H359" i="31" s="1"/>
  <c r="I359" i="31" s="1"/>
  <c r="J359" i="31" s="1"/>
  <c r="K359" i="31" s="1"/>
  <c r="L359" i="31" s="1"/>
  <c r="M359" i="31" s="1"/>
  <c r="B359" i="34"/>
  <c r="C312" i="31"/>
  <c r="D312" i="31" s="1"/>
  <c r="E312" i="31" s="1"/>
  <c r="F312" i="31" s="1"/>
  <c r="G312" i="31" s="1"/>
  <c r="H312" i="31" s="1"/>
  <c r="I312" i="31" s="1"/>
  <c r="J312" i="31" s="1"/>
  <c r="K312" i="31" s="1"/>
  <c r="L312" i="31" s="1"/>
  <c r="M312" i="31" s="1"/>
  <c r="B312" i="34"/>
  <c r="C312" i="34" s="1"/>
  <c r="D312" i="34" s="1"/>
  <c r="E312" i="34" s="1"/>
  <c r="F312" i="34" s="1"/>
  <c r="G312" i="34" s="1"/>
  <c r="H312" i="34" s="1"/>
  <c r="I312" i="34" s="1"/>
  <c r="J312" i="34" s="1"/>
  <c r="K312" i="34" s="1"/>
  <c r="L312" i="34" s="1"/>
  <c r="M312" i="34" s="1"/>
  <c r="N312" i="34" s="1"/>
  <c r="O312" i="34" s="1"/>
  <c r="P312" i="34" s="1"/>
  <c r="Q312" i="34" s="1"/>
  <c r="R312" i="34" s="1"/>
  <c r="S312" i="34" s="1"/>
  <c r="C568" i="34"/>
  <c r="D568" i="34" s="1"/>
  <c r="E568" i="34" s="1"/>
  <c r="F568" i="34" s="1"/>
  <c r="G568" i="34" s="1"/>
  <c r="H568" i="34" s="1"/>
  <c r="I568" i="34" s="1"/>
  <c r="J568" i="34" s="1"/>
  <c r="K568" i="34" s="1"/>
  <c r="L568" i="34" s="1"/>
  <c r="M568" i="34" s="1"/>
  <c r="N568" i="34" s="1"/>
  <c r="O568" i="34" s="1"/>
  <c r="P568" i="34" s="1"/>
  <c r="Q568" i="34" s="1"/>
  <c r="R568" i="34" s="1"/>
  <c r="S568" i="34" s="1"/>
  <c r="C608" i="31"/>
  <c r="D608" i="31" s="1"/>
  <c r="E608" i="31" s="1"/>
  <c r="F608" i="31" s="1"/>
  <c r="G608" i="31" s="1"/>
  <c r="H608" i="31" s="1"/>
  <c r="I608" i="31" s="1"/>
  <c r="J608" i="31" s="1"/>
  <c r="K608" i="31" s="1"/>
  <c r="L608" i="31" s="1"/>
  <c r="M608" i="31" s="1"/>
  <c r="C605" i="34"/>
  <c r="D605" i="34" s="1"/>
  <c r="E605" i="34" s="1"/>
  <c r="F605" i="34" s="1"/>
  <c r="G605" i="34" s="1"/>
  <c r="H605" i="34" s="1"/>
  <c r="I605" i="34" s="1"/>
  <c r="J605" i="34" s="1"/>
  <c r="K605" i="34" s="1"/>
  <c r="L605" i="34" s="1"/>
  <c r="M605" i="34" s="1"/>
  <c r="N605" i="34" s="1"/>
  <c r="O605" i="34" s="1"/>
  <c r="P605" i="34" s="1"/>
  <c r="Q605" i="34" s="1"/>
  <c r="R605" i="34" s="1"/>
  <c r="S605" i="34" s="1"/>
  <c r="C586" i="31"/>
  <c r="D586" i="31" s="1"/>
  <c r="E586" i="31" s="1"/>
  <c r="F586" i="31" s="1"/>
  <c r="G586" i="31" s="1"/>
  <c r="H586" i="31" s="1"/>
  <c r="I586" i="31" s="1"/>
  <c r="J586" i="31" s="1"/>
  <c r="K586" i="31" s="1"/>
  <c r="L586" i="31" s="1"/>
  <c r="M586" i="31" s="1"/>
  <c r="B586" i="34"/>
  <c r="C583" i="31"/>
  <c r="D583" i="31" s="1"/>
  <c r="E583" i="31" s="1"/>
  <c r="F583" i="31" s="1"/>
  <c r="G583" i="31" s="1"/>
  <c r="H583" i="31" s="1"/>
  <c r="I583" i="31" s="1"/>
  <c r="J583" i="31" s="1"/>
  <c r="K583" i="31" s="1"/>
  <c r="L583" i="31" s="1"/>
  <c r="M583" i="31" s="1"/>
  <c r="C577" i="34"/>
  <c r="D577" i="34" s="1"/>
  <c r="E577" i="34" s="1"/>
  <c r="F577" i="34" s="1"/>
  <c r="G577" i="34" s="1"/>
  <c r="H577" i="34" s="1"/>
  <c r="I577" i="34" s="1"/>
  <c r="J577" i="34" s="1"/>
  <c r="K577" i="34" s="1"/>
  <c r="L577" i="34" s="1"/>
  <c r="M577" i="34" s="1"/>
  <c r="N577" i="34" s="1"/>
  <c r="O577" i="34" s="1"/>
  <c r="P577" i="34" s="1"/>
  <c r="Q577" i="34" s="1"/>
  <c r="R577" i="34" s="1"/>
  <c r="S577" i="34" s="1"/>
  <c r="C556" i="31"/>
  <c r="D556" i="31" s="1"/>
  <c r="E556" i="31" s="1"/>
  <c r="F556" i="31" s="1"/>
  <c r="G556" i="31" s="1"/>
  <c r="H556" i="31" s="1"/>
  <c r="I556" i="31" s="1"/>
  <c r="J556" i="31" s="1"/>
  <c r="K556" i="31" s="1"/>
  <c r="L556" i="31" s="1"/>
  <c r="M556" i="31" s="1"/>
  <c r="C552" i="31"/>
  <c r="D552" i="31" s="1"/>
  <c r="E552" i="31" s="1"/>
  <c r="F552" i="31" s="1"/>
  <c r="G552" i="31" s="1"/>
  <c r="H552" i="31" s="1"/>
  <c r="I552" i="31" s="1"/>
  <c r="J552" i="31" s="1"/>
  <c r="K552" i="31" s="1"/>
  <c r="L552" i="31" s="1"/>
  <c r="M552" i="31" s="1"/>
  <c r="C547" i="31"/>
  <c r="D547" i="31" s="1"/>
  <c r="E547" i="31" s="1"/>
  <c r="F547" i="31" s="1"/>
  <c r="G547" i="31" s="1"/>
  <c r="H547" i="31" s="1"/>
  <c r="I547" i="31" s="1"/>
  <c r="J547" i="31" s="1"/>
  <c r="K547" i="31" s="1"/>
  <c r="L547" i="31" s="1"/>
  <c r="M547" i="31" s="1"/>
  <c r="B547" i="34"/>
  <c r="C543" i="34"/>
  <c r="D543" i="34" s="1"/>
  <c r="E543" i="34" s="1"/>
  <c r="F543" i="34" s="1"/>
  <c r="G543" i="34" s="1"/>
  <c r="H543" i="34" s="1"/>
  <c r="I543" i="34" s="1"/>
  <c r="J543" i="34" s="1"/>
  <c r="K543" i="34" s="1"/>
  <c r="L543" i="34" s="1"/>
  <c r="M543" i="34" s="1"/>
  <c r="N543" i="34" s="1"/>
  <c r="O543" i="34" s="1"/>
  <c r="P543" i="34" s="1"/>
  <c r="Q543" i="34" s="1"/>
  <c r="R543" i="34" s="1"/>
  <c r="S543" i="34" s="1"/>
  <c r="C534" i="31"/>
  <c r="D534" i="31" s="1"/>
  <c r="E534" i="31" s="1"/>
  <c r="F534" i="31" s="1"/>
  <c r="G534" i="31" s="1"/>
  <c r="H534" i="31" s="1"/>
  <c r="I534" i="31" s="1"/>
  <c r="J534" i="31" s="1"/>
  <c r="K534" i="31" s="1"/>
  <c r="L534" i="31" s="1"/>
  <c r="M534" i="31" s="1"/>
  <c r="B534" i="34"/>
  <c r="C522" i="31"/>
  <c r="D522" i="31" s="1"/>
  <c r="E522" i="31" s="1"/>
  <c r="F522" i="31" s="1"/>
  <c r="G522" i="31" s="1"/>
  <c r="H522" i="31" s="1"/>
  <c r="I522" i="31" s="1"/>
  <c r="J522" i="31" s="1"/>
  <c r="K522" i="31" s="1"/>
  <c r="L522" i="31" s="1"/>
  <c r="M522" i="31" s="1"/>
  <c r="B522" i="34"/>
  <c r="C517" i="31"/>
  <c r="D517" i="31" s="1"/>
  <c r="E517" i="31" s="1"/>
  <c r="F517" i="31" s="1"/>
  <c r="G517" i="31" s="1"/>
  <c r="H517" i="31" s="1"/>
  <c r="I517" i="31" s="1"/>
  <c r="J517" i="31" s="1"/>
  <c r="K517" i="31" s="1"/>
  <c r="L517" i="31" s="1"/>
  <c r="M517" i="31" s="1"/>
  <c r="B517" i="34"/>
  <c r="C517" i="34" s="1"/>
  <c r="D517" i="34" s="1"/>
  <c r="E517" i="34" s="1"/>
  <c r="F517" i="34" s="1"/>
  <c r="G517" i="34" s="1"/>
  <c r="H517" i="34" s="1"/>
  <c r="I517" i="34" s="1"/>
  <c r="J517" i="34" s="1"/>
  <c r="K517" i="34" s="1"/>
  <c r="L517" i="34" s="1"/>
  <c r="M517" i="34" s="1"/>
  <c r="N517" i="34" s="1"/>
  <c r="O517" i="34" s="1"/>
  <c r="P517" i="34" s="1"/>
  <c r="Q517" i="34" s="1"/>
  <c r="R517" i="34" s="1"/>
  <c r="S517" i="34" s="1"/>
  <c r="C503" i="31"/>
  <c r="D503" i="31" s="1"/>
  <c r="E503" i="31" s="1"/>
  <c r="F503" i="31" s="1"/>
  <c r="G503" i="31" s="1"/>
  <c r="H503" i="31" s="1"/>
  <c r="I503" i="31" s="1"/>
  <c r="J503" i="31" s="1"/>
  <c r="K503" i="31" s="1"/>
  <c r="L503" i="31" s="1"/>
  <c r="M503" i="31" s="1"/>
  <c r="C497" i="31"/>
  <c r="D497" i="31" s="1"/>
  <c r="E497" i="31" s="1"/>
  <c r="F497" i="31" s="1"/>
  <c r="G497" i="31" s="1"/>
  <c r="H497" i="31" s="1"/>
  <c r="I497" i="31" s="1"/>
  <c r="J497" i="31" s="1"/>
  <c r="K497" i="31" s="1"/>
  <c r="L497" i="31" s="1"/>
  <c r="M497" i="31" s="1"/>
  <c r="B497" i="34"/>
  <c r="C488" i="31"/>
  <c r="D488" i="31" s="1"/>
  <c r="E488" i="31" s="1"/>
  <c r="F488" i="31" s="1"/>
  <c r="G488" i="31" s="1"/>
  <c r="H488" i="31" s="1"/>
  <c r="I488" i="31" s="1"/>
  <c r="J488" i="31" s="1"/>
  <c r="K488" i="31" s="1"/>
  <c r="L488" i="31" s="1"/>
  <c r="M488" i="31" s="1"/>
  <c r="C483" i="31"/>
  <c r="D483" i="31" s="1"/>
  <c r="E483" i="31" s="1"/>
  <c r="F483" i="31" s="1"/>
  <c r="G483" i="31" s="1"/>
  <c r="H483" i="31" s="1"/>
  <c r="I483" i="31" s="1"/>
  <c r="J483" i="31" s="1"/>
  <c r="K483" i="31" s="1"/>
  <c r="L483" i="31" s="1"/>
  <c r="M483" i="31" s="1"/>
  <c r="B483" i="34"/>
  <c r="C477" i="31"/>
  <c r="D477" i="31" s="1"/>
  <c r="E477" i="31" s="1"/>
  <c r="F477" i="31" s="1"/>
  <c r="G477" i="31" s="1"/>
  <c r="H477" i="31" s="1"/>
  <c r="I477" i="31" s="1"/>
  <c r="J477" i="31" s="1"/>
  <c r="K477" i="31" s="1"/>
  <c r="L477" i="31" s="1"/>
  <c r="M477" i="31" s="1"/>
  <c r="B477" i="34"/>
  <c r="C477" i="34" s="1"/>
  <c r="D477" i="34" s="1"/>
  <c r="E477" i="34" s="1"/>
  <c r="F477" i="34" s="1"/>
  <c r="G477" i="34" s="1"/>
  <c r="H477" i="34" s="1"/>
  <c r="I477" i="34" s="1"/>
  <c r="J477" i="34" s="1"/>
  <c r="K477" i="34" s="1"/>
  <c r="L477" i="34" s="1"/>
  <c r="M477" i="34" s="1"/>
  <c r="N477" i="34" s="1"/>
  <c r="O477" i="34" s="1"/>
  <c r="P477" i="34" s="1"/>
  <c r="Q477" i="34" s="1"/>
  <c r="R477" i="34" s="1"/>
  <c r="S477" i="34" s="1"/>
  <c r="C470" i="31"/>
  <c r="D470" i="31" s="1"/>
  <c r="E470" i="31" s="1"/>
  <c r="F470" i="31" s="1"/>
  <c r="G470" i="31" s="1"/>
  <c r="H470" i="31" s="1"/>
  <c r="I470" i="31" s="1"/>
  <c r="J470" i="31" s="1"/>
  <c r="K470" i="31" s="1"/>
  <c r="L470" i="31" s="1"/>
  <c r="M470" i="31" s="1"/>
  <c r="B470" i="34"/>
  <c r="C455" i="31"/>
  <c r="D455" i="31" s="1"/>
  <c r="E455" i="31" s="1"/>
  <c r="F455" i="31" s="1"/>
  <c r="G455" i="31" s="1"/>
  <c r="H455" i="31" s="1"/>
  <c r="I455" i="31" s="1"/>
  <c r="J455" i="31" s="1"/>
  <c r="K455" i="31" s="1"/>
  <c r="L455" i="31" s="1"/>
  <c r="M455" i="31" s="1"/>
  <c r="B455" i="34"/>
  <c r="C435" i="31"/>
  <c r="D435" i="31" s="1"/>
  <c r="E435" i="31" s="1"/>
  <c r="F435" i="31" s="1"/>
  <c r="G435" i="31" s="1"/>
  <c r="H435" i="31" s="1"/>
  <c r="I435" i="31" s="1"/>
  <c r="J435" i="31" s="1"/>
  <c r="K435" i="31" s="1"/>
  <c r="L435" i="31" s="1"/>
  <c r="M435" i="31" s="1"/>
  <c r="B435" i="34"/>
  <c r="C429" i="31"/>
  <c r="D429" i="31" s="1"/>
  <c r="E429" i="31" s="1"/>
  <c r="F429" i="31" s="1"/>
  <c r="G429" i="31" s="1"/>
  <c r="H429" i="31" s="1"/>
  <c r="I429" i="31" s="1"/>
  <c r="J429" i="31" s="1"/>
  <c r="K429" i="31" s="1"/>
  <c r="L429" i="31" s="1"/>
  <c r="M429" i="31" s="1"/>
  <c r="B429" i="34"/>
  <c r="C405" i="31"/>
  <c r="D405" i="31" s="1"/>
  <c r="E405" i="31" s="1"/>
  <c r="F405" i="31" s="1"/>
  <c r="G405" i="31" s="1"/>
  <c r="H405" i="31" s="1"/>
  <c r="I405" i="31" s="1"/>
  <c r="J405" i="31" s="1"/>
  <c r="K405" i="31" s="1"/>
  <c r="L405" i="31" s="1"/>
  <c r="M405" i="31" s="1"/>
  <c r="B405" i="34"/>
  <c r="C397" i="31"/>
  <c r="D397" i="31" s="1"/>
  <c r="E397" i="31" s="1"/>
  <c r="F397" i="31" s="1"/>
  <c r="G397" i="31" s="1"/>
  <c r="H397" i="31" s="1"/>
  <c r="I397" i="31" s="1"/>
  <c r="J397" i="31" s="1"/>
  <c r="K397" i="31" s="1"/>
  <c r="L397" i="31" s="1"/>
  <c r="M397" i="31" s="1"/>
  <c r="B397" i="34"/>
  <c r="C380" i="31"/>
  <c r="D380" i="31" s="1"/>
  <c r="E380" i="31" s="1"/>
  <c r="F380" i="31" s="1"/>
  <c r="G380" i="31" s="1"/>
  <c r="H380" i="31" s="1"/>
  <c r="I380" i="31" s="1"/>
  <c r="J380" i="31" s="1"/>
  <c r="K380" i="31" s="1"/>
  <c r="L380" i="31" s="1"/>
  <c r="M380" i="31" s="1"/>
  <c r="B380" i="34"/>
  <c r="C380" i="34" s="1"/>
  <c r="D380" i="34" s="1"/>
  <c r="E380" i="34" s="1"/>
  <c r="F380" i="34" s="1"/>
  <c r="G380" i="34" s="1"/>
  <c r="H380" i="34" s="1"/>
  <c r="I380" i="34" s="1"/>
  <c r="J380" i="34" s="1"/>
  <c r="K380" i="34" s="1"/>
  <c r="L380" i="34" s="1"/>
  <c r="M380" i="34" s="1"/>
  <c r="N380" i="34" s="1"/>
  <c r="O380" i="34" s="1"/>
  <c r="P380" i="34" s="1"/>
  <c r="Q380" i="34" s="1"/>
  <c r="R380" i="34" s="1"/>
  <c r="S380" i="34" s="1"/>
  <c r="C363" i="31"/>
  <c r="D363" i="31" s="1"/>
  <c r="E363" i="31" s="1"/>
  <c r="F363" i="31" s="1"/>
  <c r="G363" i="31" s="1"/>
  <c r="H363" i="31" s="1"/>
  <c r="I363" i="31" s="1"/>
  <c r="J363" i="31" s="1"/>
  <c r="K363" i="31" s="1"/>
  <c r="L363" i="31" s="1"/>
  <c r="M363" i="31" s="1"/>
  <c r="B363" i="34"/>
  <c r="C353" i="31"/>
  <c r="D353" i="31" s="1"/>
  <c r="E353" i="31" s="1"/>
  <c r="F353" i="31" s="1"/>
  <c r="G353" i="31" s="1"/>
  <c r="H353" i="31" s="1"/>
  <c r="I353" i="31" s="1"/>
  <c r="J353" i="31" s="1"/>
  <c r="K353" i="31" s="1"/>
  <c r="L353" i="31" s="1"/>
  <c r="M353" i="31" s="1"/>
  <c r="B353" i="34"/>
  <c r="B334" i="34"/>
  <c r="C334" i="31"/>
  <c r="D334" i="31" s="1"/>
  <c r="E334" i="31" s="1"/>
  <c r="F334" i="31" s="1"/>
  <c r="G334" i="31" s="1"/>
  <c r="H334" i="31" s="1"/>
  <c r="I334" i="31" s="1"/>
  <c r="J334" i="31" s="1"/>
  <c r="K334" i="31" s="1"/>
  <c r="L334" i="31" s="1"/>
  <c r="M334" i="31" s="1"/>
  <c r="B325" i="34"/>
  <c r="C325" i="31"/>
  <c r="D325" i="31" s="1"/>
  <c r="E325" i="31" s="1"/>
  <c r="F325" i="31" s="1"/>
  <c r="G325" i="31" s="1"/>
  <c r="H325" i="31" s="1"/>
  <c r="I325" i="31" s="1"/>
  <c r="J325" i="31" s="1"/>
  <c r="K325" i="31" s="1"/>
  <c r="L325" i="31" s="1"/>
  <c r="M325" i="31" s="1"/>
  <c r="B302" i="34"/>
  <c r="C302" i="31"/>
  <c r="D302" i="31" s="1"/>
  <c r="E302" i="31" s="1"/>
  <c r="F302" i="31" s="1"/>
  <c r="G302" i="31" s="1"/>
  <c r="H302" i="31" s="1"/>
  <c r="I302" i="31" s="1"/>
  <c r="J302" i="31" s="1"/>
  <c r="K302" i="31" s="1"/>
  <c r="L302" i="31" s="1"/>
  <c r="M302" i="31" s="1"/>
  <c r="B279" i="34"/>
  <c r="C279" i="31"/>
  <c r="D279" i="31" s="1"/>
  <c r="E279" i="31" s="1"/>
  <c r="F279" i="31" s="1"/>
  <c r="G279" i="31" s="1"/>
  <c r="H279" i="31" s="1"/>
  <c r="I279" i="31" s="1"/>
  <c r="J279" i="31" s="1"/>
  <c r="K279" i="31" s="1"/>
  <c r="L279" i="31" s="1"/>
  <c r="M279" i="31" s="1"/>
  <c r="B274" i="34"/>
  <c r="C274" i="31"/>
  <c r="D274" i="31" s="1"/>
  <c r="E274" i="31" s="1"/>
  <c r="F274" i="31" s="1"/>
  <c r="G274" i="31" s="1"/>
  <c r="H274" i="31" s="1"/>
  <c r="I274" i="31" s="1"/>
  <c r="J274" i="31" s="1"/>
  <c r="K274" i="31" s="1"/>
  <c r="L274" i="31" s="1"/>
  <c r="M274" i="31" s="1"/>
  <c r="B264" i="34"/>
  <c r="C264" i="31"/>
  <c r="D264" i="31" s="1"/>
  <c r="E264" i="31" s="1"/>
  <c r="F264" i="31" s="1"/>
  <c r="G264" i="31" s="1"/>
  <c r="H264" i="31" s="1"/>
  <c r="I264" i="31" s="1"/>
  <c r="J264" i="31" s="1"/>
  <c r="K264" i="31" s="1"/>
  <c r="L264" i="31" s="1"/>
  <c r="M264" i="31" s="1"/>
  <c r="C557" i="31"/>
  <c r="D557" i="31" s="1"/>
  <c r="E557" i="31" s="1"/>
  <c r="F557" i="31" s="1"/>
  <c r="G557" i="31" s="1"/>
  <c r="H557" i="31" s="1"/>
  <c r="I557" i="31" s="1"/>
  <c r="J557" i="31" s="1"/>
  <c r="K557" i="31" s="1"/>
  <c r="L557" i="31" s="1"/>
  <c r="M557" i="31" s="1"/>
  <c r="B557" i="34"/>
  <c r="C611" i="34"/>
  <c r="D611" i="34" s="1"/>
  <c r="E611" i="34" s="1"/>
  <c r="F611" i="34" s="1"/>
  <c r="G611" i="34" s="1"/>
  <c r="H611" i="34" s="1"/>
  <c r="I611" i="34" s="1"/>
  <c r="J611" i="34" s="1"/>
  <c r="K611" i="34" s="1"/>
  <c r="L611" i="34" s="1"/>
  <c r="M611" i="34" s="1"/>
  <c r="N611" i="34" s="1"/>
  <c r="O611" i="34" s="1"/>
  <c r="P611" i="34" s="1"/>
  <c r="Q611" i="34" s="1"/>
  <c r="R611" i="34" s="1"/>
  <c r="S611" i="34" s="1"/>
  <c r="C602" i="34"/>
  <c r="D602" i="34" s="1"/>
  <c r="E602" i="34" s="1"/>
  <c r="F602" i="34" s="1"/>
  <c r="G602" i="34" s="1"/>
  <c r="H602" i="34" s="1"/>
  <c r="I602" i="34" s="1"/>
  <c r="J602" i="34" s="1"/>
  <c r="K602" i="34" s="1"/>
  <c r="L602" i="34" s="1"/>
  <c r="M602" i="34" s="1"/>
  <c r="N602" i="34" s="1"/>
  <c r="O602" i="34" s="1"/>
  <c r="P602" i="34" s="1"/>
  <c r="Q602" i="34" s="1"/>
  <c r="R602" i="34" s="1"/>
  <c r="S602" i="34" s="1"/>
  <c r="C599" i="31"/>
  <c r="D599" i="31" s="1"/>
  <c r="E599" i="31" s="1"/>
  <c r="F599" i="31" s="1"/>
  <c r="G599" i="31" s="1"/>
  <c r="H599" i="31" s="1"/>
  <c r="I599" i="31" s="1"/>
  <c r="J599" i="31" s="1"/>
  <c r="K599" i="31" s="1"/>
  <c r="L599" i="31" s="1"/>
  <c r="M599" i="31" s="1"/>
  <c r="B599" i="34"/>
  <c r="C584" i="34"/>
  <c r="D584" i="34" s="1"/>
  <c r="E584" i="34" s="1"/>
  <c r="F584" i="34" s="1"/>
  <c r="G584" i="34" s="1"/>
  <c r="H584" i="34" s="1"/>
  <c r="I584" i="34" s="1"/>
  <c r="J584" i="34" s="1"/>
  <c r="K584" i="34" s="1"/>
  <c r="L584" i="34" s="1"/>
  <c r="M584" i="34" s="1"/>
  <c r="N584" i="34" s="1"/>
  <c r="O584" i="34" s="1"/>
  <c r="P584" i="34" s="1"/>
  <c r="Q584" i="34" s="1"/>
  <c r="R584" i="34" s="1"/>
  <c r="S584" i="34" s="1"/>
  <c r="C529" i="34"/>
  <c r="D529" i="34" s="1"/>
  <c r="E529" i="34" s="1"/>
  <c r="F529" i="34" s="1"/>
  <c r="G529" i="34" s="1"/>
  <c r="H529" i="34" s="1"/>
  <c r="I529" i="34" s="1"/>
  <c r="J529" i="34" s="1"/>
  <c r="K529" i="34" s="1"/>
  <c r="L529" i="34" s="1"/>
  <c r="M529" i="34" s="1"/>
  <c r="N529" i="34" s="1"/>
  <c r="O529" i="34" s="1"/>
  <c r="P529" i="34" s="1"/>
  <c r="Q529" i="34" s="1"/>
  <c r="R529" i="34" s="1"/>
  <c r="S529" i="34" s="1"/>
  <c r="C515" i="31"/>
  <c r="D515" i="31" s="1"/>
  <c r="E515" i="31" s="1"/>
  <c r="F515" i="31" s="1"/>
  <c r="G515" i="31" s="1"/>
  <c r="H515" i="31" s="1"/>
  <c r="I515" i="31" s="1"/>
  <c r="J515" i="31" s="1"/>
  <c r="K515" i="31" s="1"/>
  <c r="L515" i="31" s="1"/>
  <c r="M515" i="31" s="1"/>
  <c r="B515" i="34"/>
  <c r="C610" i="31"/>
  <c r="D610" i="31" s="1"/>
  <c r="E610" i="31" s="1"/>
  <c r="F610" i="31" s="1"/>
  <c r="G610" i="31" s="1"/>
  <c r="H610" i="31" s="1"/>
  <c r="I610" i="31" s="1"/>
  <c r="J610" i="31" s="1"/>
  <c r="K610" i="31" s="1"/>
  <c r="L610" i="31" s="1"/>
  <c r="M610" i="31" s="1"/>
  <c r="C604" i="31"/>
  <c r="D604" i="31" s="1"/>
  <c r="E604" i="31" s="1"/>
  <c r="F604" i="31" s="1"/>
  <c r="G604" i="31" s="1"/>
  <c r="H604" i="31" s="1"/>
  <c r="I604" i="31" s="1"/>
  <c r="J604" i="31" s="1"/>
  <c r="K604" i="31" s="1"/>
  <c r="L604" i="31" s="1"/>
  <c r="M604" i="31" s="1"/>
  <c r="B604" i="34"/>
  <c r="C601" i="31"/>
  <c r="D601" i="31" s="1"/>
  <c r="E601" i="31" s="1"/>
  <c r="F601" i="31" s="1"/>
  <c r="G601" i="31" s="1"/>
  <c r="H601" i="31" s="1"/>
  <c r="I601" i="31" s="1"/>
  <c r="J601" i="31" s="1"/>
  <c r="K601" i="31" s="1"/>
  <c r="L601" i="31" s="1"/>
  <c r="M601" i="31" s="1"/>
  <c r="C598" i="31"/>
  <c r="D598" i="31" s="1"/>
  <c r="E598" i="31" s="1"/>
  <c r="F598" i="31" s="1"/>
  <c r="G598" i="31" s="1"/>
  <c r="H598" i="31" s="1"/>
  <c r="I598" i="31" s="1"/>
  <c r="J598" i="31" s="1"/>
  <c r="K598" i="31" s="1"/>
  <c r="L598" i="31" s="1"/>
  <c r="M598" i="31" s="1"/>
  <c r="C595" i="31"/>
  <c r="D595" i="31" s="1"/>
  <c r="E595" i="31" s="1"/>
  <c r="F595" i="31" s="1"/>
  <c r="G595" i="31" s="1"/>
  <c r="H595" i="31" s="1"/>
  <c r="I595" i="31" s="1"/>
  <c r="J595" i="31" s="1"/>
  <c r="K595" i="31" s="1"/>
  <c r="L595" i="31" s="1"/>
  <c r="M595" i="31" s="1"/>
  <c r="C583" i="34"/>
  <c r="D583" i="34" s="1"/>
  <c r="E583" i="34" s="1"/>
  <c r="F583" i="34" s="1"/>
  <c r="G583" i="34" s="1"/>
  <c r="H583" i="34" s="1"/>
  <c r="I583" i="34" s="1"/>
  <c r="J583" i="34" s="1"/>
  <c r="K583" i="34" s="1"/>
  <c r="L583" i="34" s="1"/>
  <c r="M583" i="34" s="1"/>
  <c r="N583" i="34" s="1"/>
  <c r="O583" i="34" s="1"/>
  <c r="P583" i="34" s="1"/>
  <c r="Q583" i="34" s="1"/>
  <c r="R583" i="34" s="1"/>
  <c r="S583" i="34" s="1"/>
  <c r="C579" i="31"/>
  <c r="D579" i="31" s="1"/>
  <c r="E579" i="31" s="1"/>
  <c r="F579" i="31" s="1"/>
  <c r="G579" i="31" s="1"/>
  <c r="H579" i="31" s="1"/>
  <c r="I579" i="31" s="1"/>
  <c r="J579" i="31" s="1"/>
  <c r="K579" i="31" s="1"/>
  <c r="L579" i="31" s="1"/>
  <c r="M579" i="31" s="1"/>
  <c r="B579" i="34"/>
  <c r="C576" i="31"/>
  <c r="D576" i="31" s="1"/>
  <c r="E576" i="31" s="1"/>
  <c r="F576" i="31" s="1"/>
  <c r="G576" i="31" s="1"/>
  <c r="H576" i="31" s="1"/>
  <c r="I576" i="31" s="1"/>
  <c r="J576" i="31" s="1"/>
  <c r="K576" i="31" s="1"/>
  <c r="L576" i="31" s="1"/>
  <c r="M576" i="31" s="1"/>
  <c r="B576" i="34"/>
  <c r="C570" i="31"/>
  <c r="D570" i="31" s="1"/>
  <c r="E570" i="31" s="1"/>
  <c r="F570" i="31" s="1"/>
  <c r="G570" i="31" s="1"/>
  <c r="H570" i="31" s="1"/>
  <c r="I570" i="31" s="1"/>
  <c r="J570" i="31" s="1"/>
  <c r="K570" i="31" s="1"/>
  <c r="L570" i="31" s="1"/>
  <c r="M570" i="31" s="1"/>
  <c r="B570" i="34"/>
  <c r="C570" i="34" s="1"/>
  <c r="D570" i="34" s="1"/>
  <c r="E570" i="34" s="1"/>
  <c r="F570" i="34" s="1"/>
  <c r="G570" i="34" s="1"/>
  <c r="H570" i="34" s="1"/>
  <c r="I570" i="34" s="1"/>
  <c r="J570" i="34" s="1"/>
  <c r="K570" i="34" s="1"/>
  <c r="L570" i="34" s="1"/>
  <c r="M570" i="34" s="1"/>
  <c r="N570" i="34" s="1"/>
  <c r="O570" i="34" s="1"/>
  <c r="P570" i="34" s="1"/>
  <c r="Q570" i="34" s="1"/>
  <c r="R570" i="34" s="1"/>
  <c r="S570" i="34" s="1"/>
  <c r="C566" i="31"/>
  <c r="D566" i="31" s="1"/>
  <c r="E566" i="31" s="1"/>
  <c r="F566" i="31" s="1"/>
  <c r="G566" i="31" s="1"/>
  <c r="H566" i="31" s="1"/>
  <c r="I566" i="31" s="1"/>
  <c r="J566" i="31" s="1"/>
  <c r="K566" i="31" s="1"/>
  <c r="L566" i="31" s="1"/>
  <c r="M566" i="31" s="1"/>
  <c r="C563" i="31"/>
  <c r="D563" i="31" s="1"/>
  <c r="E563" i="31" s="1"/>
  <c r="F563" i="31" s="1"/>
  <c r="G563" i="31" s="1"/>
  <c r="H563" i="31" s="1"/>
  <c r="I563" i="31" s="1"/>
  <c r="J563" i="31" s="1"/>
  <c r="K563" i="31" s="1"/>
  <c r="L563" i="31" s="1"/>
  <c r="M563" i="31" s="1"/>
  <c r="C558" i="31"/>
  <c r="D558" i="31" s="1"/>
  <c r="E558" i="31" s="1"/>
  <c r="F558" i="31" s="1"/>
  <c r="G558" i="31" s="1"/>
  <c r="H558" i="31" s="1"/>
  <c r="I558" i="31" s="1"/>
  <c r="J558" i="31" s="1"/>
  <c r="K558" i="31" s="1"/>
  <c r="L558" i="31" s="1"/>
  <c r="M558" i="31" s="1"/>
  <c r="C554" i="31"/>
  <c r="D554" i="31" s="1"/>
  <c r="E554" i="31" s="1"/>
  <c r="F554" i="31" s="1"/>
  <c r="G554" i="31" s="1"/>
  <c r="H554" i="31" s="1"/>
  <c r="I554" i="31" s="1"/>
  <c r="J554" i="31" s="1"/>
  <c r="K554" i="31" s="1"/>
  <c r="L554" i="31" s="1"/>
  <c r="M554" i="31" s="1"/>
  <c r="B554" i="34"/>
  <c r="C546" i="31"/>
  <c r="D546" i="31" s="1"/>
  <c r="E546" i="31" s="1"/>
  <c r="F546" i="31" s="1"/>
  <c r="G546" i="31" s="1"/>
  <c r="H546" i="31" s="1"/>
  <c r="I546" i="31" s="1"/>
  <c r="J546" i="31" s="1"/>
  <c r="K546" i="31" s="1"/>
  <c r="L546" i="31" s="1"/>
  <c r="M546" i="31" s="1"/>
  <c r="B546" i="34"/>
  <c r="C542" i="31"/>
  <c r="D542" i="31" s="1"/>
  <c r="E542" i="31" s="1"/>
  <c r="F542" i="31" s="1"/>
  <c r="G542" i="31" s="1"/>
  <c r="H542" i="31" s="1"/>
  <c r="I542" i="31" s="1"/>
  <c r="J542" i="31" s="1"/>
  <c r="K542" i="31" s="1"/>
  <c r="L542" i="31" s="1"/>
  <c r="M542" i="31" s="1"/>
  <c r="C538" i="31"/>
  <c r="D538" i="31" s="1"/>
  <c r="E538" i="31" s="1"/>
  <c r="F538" i="31" s="1"/>
  <c r="G538" i="31" s="1"/>
  <c r="H538" i="31" s="1"/>
  <c r="I538" i="31" s="1"/>
  <c r="J538" i="31" s="1"/>
  <c r="K538" i="31" s="1"/>
  <c r="L538" i="31" s="1"/>
  <c r="M538" i="31" s="1"/>
  <c r="B538" i="34"/>
  <c r="C525" i="31"/>
  <c r="D525" i="31" s="1"/>
  <c r="E525" i="31" s="1"/>
  <c r="F525" i="31" s="1"/>
  <c r="G525" i="31" s="1"/>
  <c r="H525" i="31" s="1"/>
  <c r="I525" i="31" s="1"/>
  <c r="J525" i="31" s="1"/>
  <c r="K525" i="31" s="1"/>
  <c r="L525" i="31" s="1"/>
  <c r="M525" i="31" s="1"/>
  <c r="B525" i="34"/>
  <c r="C519" i="31"/>
  <c r="D519" i="31" s="1"/>
  <c r="E519" i="31" s="1"/>
  <c r="F519" i="31" s="1"/>
  <c r="G519" i="31" s="1"/>
  <c r="H519" i="31" s="1"/>
  <c r="I519" i="31" s="1"/>
  <c r="J519" i="31" s="1"/>
  <c r="K519" i="31" s="1"/>
  <c r="L519" i="31" s="1"/>
  <c r="M519" i="31" s="1"/>
  <c r="C516" i="31"/>
  <c r="D516" i="31" s="1"/>
  <c r="E516" i="31" s="1"/>
  <c r="F516" i="31" s="1"/>
  <c r="G516" i="31" s="1"/>
  <c r="H516" i="31" s="1"/>
  <c r="I516" i="31" s="1"/>
  <c r="J516" i="31" s="1"/>
  <c r="K516" i="31" s="1"/>
  <c r="L516" i="31" s="1"/>
  <c r="M516" i="31" s="1"/>
  <c r="C514" i="31"/>
  <c r="D514" i="31" s="1"/>
  <c r="E514" i="31" s="1"/>
  <c r="F514" i="31" s="1"/>
  <c r="G514" i="31" s="1"/>
  <c r="H514" i="31" s="1"/>
  <c r="I514" i="31" s="1"/>
  <c r="J514" i="31" s="1"/>
  <c r="K514" i="31" s="1"/>
  <c r="L514" i="31" s="1"/>
  <c r="M514" i="31" s="1"/>
  <c r="B514" i="34"/>
  <c r="C511" i="31"/>
  <c r="D511" i="31" s="1"/>
  <c r="E511" i="31" s="1"/>
  <c r="F511" i="31" s="1"/>
  <c r="G511" i="31" s="1"/>
  <c r="H511" i="31" s="1"/>
  <c r="I511" i="31" s="1"/>
  <c r="J511" i="31" s="1"/>
  <c r="K511" i="31" s="1"/>
  <c r="L511" i="31" s="1"/>
  <c r="M511" i="31" s="1"/>
  <c r="C500" i="31"/>
  <c r="D500" i="31" s="1"/>
  <c r="E500" i="31" s="1"/>
  <c r="F500" i="31" s="1"/>
  <c r="G500" i="31" s="1"/>
  <c r="H500" i="31" s="1"/>
  <c r="I500" i="31" s="1"/>
  <c r="J500" i="31" s="1"/>
  <c r="K500" i="31" s="1"/>
  <c r="L500" i="31" s="1"/>
  <c r="M500" i="31" s="1"/>
  <c r="C491" i="31"/>
  <c r="D491" i="31" s="1"/>
  <c r="E491" i="31" s="1"/>
  <c r="F491" i="31" s="1"/>
  <c r="G491" i="31" s="1"/>
  <c r="H491" i="31" s="1"/>
  <c r="I491" i="31" s="1"/>
  <c r="J491" i="31" s="1"/>
  <c r="K491" i="31" s="1"/>
  <c r="L491" i="31" s="1"/>
  <c r="M491" i="31" s="1"/>
  <c r="C482" i="31"/>
  <c r="D482" i="31" s="1"/>
  <c r="E482" i="31" s="1"/>
  <c r="F482" i="31" s="1"/>
  <c r="G482" i="31" s="1"/>
  <c r="H482" i="31" s="1"/>
  <c r="I482" i="31" s="1"/>
  <c r="J482" i="31" s="1"/>
  <c r="K482" i="31" s="1"/>
  <c r="L482" i="31" s="1"/>
  <c r="M482" i="31" s="1"/>
  <c r="B482" i="34"/>
  <c r="C473" i="31"/>
  <c r="D473" i="31" s="1"/>
  <c r="E473" i="31" s="1"/>
  <c r="F473" i="31" s="1"/>
  <c r="G473" i="31" s="1"/>
  <c r="H473" i="31" s="1"/>
  <c r="I473" i="31" s="1"/>
  <c r="J473" i="31" s="1"/>
  <c r="K473" i="31" s="1"/>
  <c r="L473" i="31" s="1"/>
  <c r="M473" i="31" s="1"/>
  <c r="C461" i="31"/>
  <c r="D461" i="31" s="1"/>
  <c r="E461" i="31" s="1"/>
  <c r="F461" i="31" s="1"/>
  <c r="G461" i="31" s="1"/>
  <c r="H461" i="31" s="1"/>
  <c r="I461" i="31" s="1"/>
  <c r="J461" i="31" s="1"/>
  <c r="K461" i="31" s="1"/>
  <c r="L461" i="31" s="1"/>
  <c r="M461" i="31" s="1"/>
  <c r="B461" i="34"/>
  <c r="C452" i="31"/>
  <c r="D452" i="31" s="1"/>
  <c r="E452" i="31" s="1"/>
  <c r="F452" i="31" s="1"/>
  <c r="G452" i="31" s="1"/>
  <c r="H452" i="31" s="1"/>
  <c r="I452" i="31" s="1"/>
  <c r="J452" i="31" s="1"/>
  <c r="K452" i="31" s="1"/>
  <c r="L452" i="31" s="1"/>
  <c r="M452" i="31" s="1"/>
  <c r="B452" i="34"/>
  <c r="C450" i="31"/>
  <c r="D450" i="31" s="1"/>
  <c r="E450" i="31" s="1"/>
  <c r="F450" i="31" s="1"/>
  <c r="G450" i="31" s="1"/>
  <c r="H450" i="31" s="1"/>
  <c r="I450" i="31" s="1"/>
  <c r="J450" i="31" s="1"/>
  <c r="K450" i="31" s="1"/>
  <c r="L450" i="31" s="1"/>
  <c r="M450" i="31" s="1"/>
  <c r="C448" i="31"/>
  <c r="D448" i="31" s="1"/>
  <c r="E448" i="31" s="1"/>
  <c r="F448" i="31" s="1"/>
  <c r="G448" i="31" s="1"/>
  <c r="H448" i="31" s="1"/>
  <c r="I448" i="31" s="1"/>
  <c r="J448" i="31" s="1"/>
  <c r="K448" i="31" s="1"/>
  <c r="L448" i="31" s="1"/>
  <c r="M448" i="31" s="1"/>
  <c r="B448" i="34"/>
  <c r="C437" i="31"/>
  <c r="D437" i="31" s="1"/>
  <c r="E437" i="31" s="1"/>
  <c r="F437" i="31" s="1"/>
  <c r="G437" i="31" s="1"/>
  <c r="H437" i="31" s="1"/>
  <c r="I437" i="31" s="1"/>
  <c r="J437" i="31" s="1"/>
  <c r="K437" i="31" s="1"/>
  <c r="L437" i="31" s="1"/>
  <c r="M437" i="31" s="1"/>
  <c r="B437" i="34"/>
  <c r="C434" i="31"/>
  <c r="D434" i="31" s="1"/>
  <c r="E434" i="31" s="1"/>
  <c r="F434" i="31" s="1"/>
  <c r="G434" i="31" s="1"/>
  <c r="H434" i="31" s="1"/>
  <c r="I434" i="31" s="1"/>
  <c r="J434" i="31" s="1"/>
  <c r="K434" i="31" s="1"/>
  <c r="L434" i="31" s="1"/>
  <c r="M434" i="31" s="1"/>
  <c r="B416" i="34"/>
  <c r="C416" i="31"/>
  <c r="D416" i="31" s="1"/>
  <c r="E416" i="31" s="1"/>
  <c r="F416" i="31" s="1"/>
  <c r="G416" i="31" s="1"/>
  <c r="H416" i="31" s="1"/>
  <c r="I416" i="31" s="1"/>
  <c r="J416" i="31" s="1"/>
  <c r="K416" i="31" s="1"/>
  <c r="L416" i="31" s="1"/>
  <c r="M416" i="31" s="1"/>
  <c r="C410" i="31"/>
  <c r="D410" i="31" s="1"/>
  <c r="E410" i="31" s="1"/>
  <c r="F410" i="31" s="1"/>
  <c r="G410" i="31" s="1"/>
  <c r="H410" i="31" s="1"/>
  <c r="I410" i="31" s="1"/>
  <c r="J410" i="31" s="1"/>
  <c r="K410" i="31" s="1"/>
  <c r="L410" i="31" s="1"/>
  <c r="M410" i="31" s="1"/>
  <c r="B404" i="34"/>
  <c r="C404" i="31"/>
  <c r="D404" i="31" s="1"/>
  <c r="E404" i="31" s="1"/>
  <c r="F404" i="31" s="1"/>
  <c r="G404" i="31" s="1"/>
  <c r="H404" i="31" s="1"/>
  <c r="I404" i="31" s="1"/>
  <c r="J404" i="31" s="1"/>
  <c r="K404" i="31" s="1"/>
  <c r="L404" i="31" s="1"/>
  <c r="M404" i="31" s="1"/>
  <c r="C367" i="31"/>
  <c r="D367" i="31" s="1"/>
  <c r="E367" i="31" s="1"/>
  <c r="F367" i="31" s="1"/>
  <c r="G367" i="31" s="1"/>
  <c r="H367" i="31" s="1"/>
  <c r="I367" i="31" s="1"/>
  <c r="J367" i="31" s="1"/>
  <c r="K367" i="31" s="1"/>
  <c r="L367" i="31" s="1"/>
  <c r="M367" i="31" s="1"/>
  <c r="B367" i="34"/>
  <c r="B362" i="34"/>
  <c r="C362" i="31"/>
  <c r="D362" i="31" s="1"/>
  <c r="E362" i="31" s="1"/>
  <c r="F362" i="31" s="1"/>
  <c r="G362" i="31" s="1"/>
  <c r="H362" i="31" s="1"/>
  <c r="I362" i="31" s="1"/>
  <c r="J362" i="31" s="1"/>
  <c r="K362" i="31" s="1"/>
  <c r="L362" i="31" s="1"/>
  <c r="M362" i="31" s="1"/>
  <c r="C357" i="31"/>
  <c r="D357" i="31" s="1"/>
  <c r="E357" i="31" s="1"/>
  <c r="F357" i="31" s="1"/>
  <c r="G357" i="31" s="1"/>
  <c r="H357" i="31" s="1"/>
  <c r="I357" i="31" s="1"/>
  <c r="J357" i="31" s="1"/>
  <c r="K357" i="31" s="1"/>
  <c r="L357" i="31" s="1"/>
  <c r="M357" i="31" s="1"/>
  <c r="B357" i="34"/>
  <c r="B339" i="34"/>
  <c r="C339" i="31"/>
  <c r="D339" i="31" s="1"/>
  <c r="E339" i="31" s="1"/>
  <c r="F339" i="31" s="1"/>
  <c r="G339" i="31" s="1"/>
  <c r="H339" i="31" s="1"/>
  <c r="I339" i="31" s="1"/>
  <c r="J339" i="31" s="1"/>
  <c r="K339" i="31" s="1"/>
  <c r="L339" i="31" s="1"/>
  <c r="M339" i="31" s="1"/>
  <c r="C238" i="31"/>
  <c r="D238" i="31" s="1"/>
  <c r="E238" i="31" s="1"/>
  <c r="F238" i="31" s="1"/>
  <c r="G238" i="31" s="1"/>
  <c r="H238" i="31" s="1"/>
  <c r="I238" i="31" s="1"/>
  <c r="J238" i="31" s="1"/>
  <c r="K238" i="31" s="1"/>
  <c r="L238" i="31" s="1"/>
  <c r="M238" i="31" s="1"/>
  <c r="B238" i="34"/>
  <c r="C225" i="31"/>
  <c r="D225" i="31" s="1"/>
  <c r="E225" i="31" s="1"/>
  <c r="F225" i="31" s="1"/>
  <c r="G225" i="31" s="1"/>
  <c r="H225" i="31" s="1"/>
  <c r="I225" i="31" s="1"/>
  <c r="J225" i="31" s="1"/>
  <c r="K225" i="31" s="1"/>
  <c r="L225" i="31" s="1"/>
  <c r="M225" i="31" s="1"/>
  <c r="B225" i="34"/>
  <c r="C218" i="31"/>
  <c r="D218" i="31" s="1"/>
  <c r="E218" i="31" s="1"/>
  <c r="F218" i="31" s="1"/>
  <c r="G218" i="31" s="1"/>
  <c r="H218" i="31" s="1"/>
  <c r="I218" i="31" s="1"/>
  <c r="J218" i="31" s="1"/>
  <c r="K218" i="31" s="1"/>
  <c r="L218" i="31" s="1"/>
  <c r="M218" i="31" s="1"/>
  <c r="B218" i="34"/>
  <c r="C506" i="31"/>
  <c r="D506" i="31" s="1"/>
  <c r="E506" i="31" s="1"/>
  <c r="F506" i="31" s="1"/>
  <c r="G506" i="31" s="1"/>
  <c r="H506" i="31" s="1"/>
  <c r="I506" i="31" s="1"/>
  <c r="J506" i="31" s="1"/>
  <c r="K506" i="31" s="1"/>
  <c r="L506" i="31" s="1"/>
  <c r="M506" i="31" s="1"/>
  <c r="B506" i="34"/>
  <c r="C485" i="31"/>
  <c r="D485" i="31" s="1"/>
  <c r="E485" i="31" s="1"/>
  <c r="F485" i="31" s="1"/>
  <c r="G485" i="31" s="1"/>
  <c r="H485" i="31" s="1"/>
  <c r="I485" i="31" s="1"/>
  <c r="J485" i="31" s="1"/>
  <c r="K485" i="31" s="1"/>
  <c r="L485" i="31" s="1"/>
  <c r="M485" i="31" s="1"/>
  <c r="B485" i="34"/>
  <c r="C450" i="34"/>
  <c r="D450" i="34" s="1"/>
  <c r="E450" i="34" s="1"/>
  <c r="F450" i="34" s="1"/>
  <c r="G450" i="34" s="1"/>
  <c r="H450" i="34" s="1"/>
  <c r="I450" i="34" s="1"/>
  <c r="J450" i="34" s="1"/>
  <c r="K450" i="34" s="1"/>
  <c r="L450" i="34" s="1"/>
  <c r="M450" i="34" s="1"/>
  <c r="N450" i="34" s="1"/>
  <c r="O450" i="34" s="1"/>
  <c r="P450" i="34" s="1"/>
  <c r="Q450" i="34" s="1"/>
  <c r="R450" i="34" s="1"/>
  <c r="S450" i="34" s="1"/>
  <c r="C445" i="31"/>
  <c r="D445" i="31" s="1"/>
  <c r="E445" i="31" s="1"/>
  <c r="F445" i="31" s="1"/>
  <c r="G445" i="31" s="1"/>
  <c r="H445" i="31" s="1"/>
  <c r="I445" i="31" s="1"/>
  <c r="J445" i="31" s="1"/>
  <c r="K445" i="31" s="1"/>
  <c r="L445" i="31" s="1"/>
  <c r="M445" i="31" s="1"/>
  <c r="B445" i="34"/>
  <c r="C431" i="31"/>
  <c r="D431" i="31" s="1"/>
  <c r="E431" i="31" s="1"/>
  <c r="F431" i="31" s="1"/>
  <c r="G431" i="31" s="1"/>
  <c r="H431" i="31" s="1"/>
  <c r="I431" i="31" s="1"/>
  <c r="J431" i="31" s="1"/>
  <c r="K431" i="31" s="1"/>
  <c r="L431" i="31" s="1"/>
  <c r="M431" i="31" s="1"/>
  <c r="B431" i="34"/>
  <c r="C415" i="31"/>
  <c r="D415" i="31" s="1"/>
  <c r="E415" i="31" s="1"/>
  <c r="F415" i="31" s="1"/>
  <c r="G415" i="31" s="1"/>
  <c r="H415" i="31" s="1"/>
  <c r="I415" i="31" s="1"/>
  <c r="J415" i="31" s="1"/>
  <c r="K415" i="31" s="1"/>
  <c r="L415" i="31" s="1"/>
  <c r="M415" i="31" s="1"/>
  <c r="B415" i="34"/>
  <c r="C410" i="34"/>
  <c r="D410" i="34" s="1"/>
  <c r="E410" i="34" s="1"/>
  <c r="F410" i="34" s="1"/>
  <c r="G410" i="34" s="1"/>
  <c r="H410" i="34" s="1"/>
  <c r="I410" i="34" s="1"/>
  <c r="J410" i="34" s="1"/>
  <c r="K410" i="34" s="1"/>
  <c r="L410" i="34" s="1"/>
  <c r="M410" i="34" s="1"/>
  <c r="N410" i="34" s="1"/>
  <c r="O410" i="34" s="1"/>
  <c r="P410" i="34" s="1"/>
  <c r="Q410" i="34" s="1"/>
  <c r="R410" i="34" s="1"/>
  <c r="S410" i="34" s="1"/>
  <c r="C384" i="31"/>
  <c r="D384" i="31" s="1"/>
  <c r="E384" i="31" s="1"/>
  <c r="F384" i="31" s="1"/>
  <c r="G384" i="31" s="1"/>
  <c r="H384" i="31" s="1"/>
  <c r="I384" i="31" s="1"/>
  <c r="J384" i="31" s="1"/>
  <c r="K384" i="31" s="1"/>
  <c r="L384" i="31" s="1"/>
  <c r="M384" i="31" s="1"/>
  <c r="B384" i="34"/>
  <c r="C375" i="31"/>
  <c r="D375" i="31" s="1"/>
  <c r="E375" i="31" s="1"/>
  <c r="F375" i="31" s="1"/>
  <c r="G375" i="31" s="1"/>
  <c r="H375" i="31" s="1"/>
  <c r="I375" i="31" s="1"/>
  <c r="J375" i="31" s="1"/>
  <c r="K375" i="31" s="1"/>
  <c r="L375" i="31" s="1"/>
  <c r="M375" i="31" s="1"/>
  <c r="B375" i="34"/>
  <c r="C366" i="31"/>
  <c r="D366" i="31" s="1"/>
  <c r="E366" i="31" s="1"/>
  <c r="F366" i="31" s="1"/>
  <c r="G366" i="31" s="1"/>
  <c r="H366" i="31" s="1"/>
  <c r="I366" i="31" s="1"/>
  <c r="J366" i="31" s="1"/>
  <c r="K366" i="31" s="1"/>
  <c r="L366" i="31" s="1"/>
  <c r="M366" i="31" s="1"/>
  <c r="B366" i="34"/>
  <c r="C351" i="31"/>
  <c r="D351" i="31" s="1"/>
  <c r="E351" i="31" s="1"/>
  <c r="F351" i="31" s="1"/>
  <c r="G351" i="31" s="1"/>
  <c r="H351" i="31" s="1"/>
  <c r="I351" i="31" s="1"/>
  <c r="J351" i="31" s="1"/>
  <c r="K351" i="31" s="1"/>
  <c r="L351" i="31" s="1"/>
  <c r="M351" i="31" s="1"/>
  <c r="B351" i="34"/>
  <c r="C601" i="34"/>
  <c r="D601" i="34" s="1"/>
  <c r="E601" i="34" s="1"/>
  <c r="F601" i="34" s="1"/>
  <c r="G601" i="34" s="1"/>
  <c r="H601" i="34" s="1"/>
  <c r="I601" i="34" s="1"/>
  <c r="J601" i="34" s="1"/>
  <c r="K601" i="34" s="1"/>
  <c r="L601" i="34" s="1"/>
  <c r="M601" i="34" s="1"/>
  <c r="N601" i="34" s="1"/>
  <c r="O601" i="34" s="1"/>
  <c r="P601" i="34" s="1"/>
  <c r="Q601" i="34" s="1"/>
  <c r="R601" i="34" s="1"/>
  <c r="S601" i="34" s="1"/>
  <c r="C582" i="31"/>
  <c r="D582" i="31" s="1"/>
  <c r="E582" i="31" s="1"/>
  <c r="F582" i="31" s="1"/>
  <c r="G582" i="31" s="1"/>
  <c r="H582" i="31" s="1"/>
  <c r="I582" i="31" s="1"/>
  <c r="J582" i="31" s="1"/>
  <c r="K582" i="31" s="1"/>
  <c r="L582" i="31" s="1"/>
  <c r="M582" i="31" s="1"/>
  <c r="B582" i="34"/>
  <c r="C549" i="31"/>
  <c r="D549" i="31" s="1"/>
  <c r="E549" i="31" s="1"/>
  <c r="F549" i="31" s="1"/>
  <c r="G549" i="31" s="1"/>
  <c r="H549" i="31" s="1"/>
  <c r="I549" i="31" s="1"/>
  <c r="J549" i="31" s="1"/>
  <c r="K549" i="31" s="1"/>
  <c r="L549" i="31" s="1"/>
  <c r="M549" i="31" s="1"/>
  <c r="B549" i="34"/>
  <c r="C545" i="31"/>
  <c r="D545" i="31" s="1"/>
  <c r="E545" i="31" s="1"/>
  <c r="F545" i="31" s="1"/>
  <c r="G545" i="31" s="1"/>
  <c r="H545" i="31" s="1"/>
  <c r="I545" i="31" s="1"/>
  <c r="J545" i="31" s="1"/>
  <c r="K545" i="31" s="1"/>
  <c r="L545" i="31" s="1"/>
  <c r="M545" i="31" s="1"/>
  <c r="B545" i="34"/>
  <c r="C597" i="31"/>
  <c r="D597" i="31" s="1"/>
  <c r="E597" i="31" s="1"/>
  <c r="F597" i="31" s="1"/>
  <c r="G597" i="31" s="1"/>
  <c r="H597" i="31" s="1"/>
  <c r="I597" i="31" s="1"/>
  <c r="J597" i="31" s="1"/>
  <c r="K597" i="31" s="1"/>
  <c r="L597" i="31" s="1"/>
  <c r="M597" i="31" s="1"/>
  <c r="B597" i="34"/>
  <c r="C573" i="31"/>
  <c r="D573" i="31" s="1"/>
  <c r="E573" i="31" s="1"/>
  <c r="F573" i="31" s="1"/>
  <c r="G573" i="31" s="1"/>
  <c r="H573" i="31" s="1"/>
  <c r="I573" i="31" s="1"/>
  <c r="J573" i="31" s="1"/>
  <c r="K573" i="31" s="1"/>
  <c r="L573" i="31" s="1"/>
  <c r="M573" i="31" s="1"/>
  <c r="B573" i="34"/>
  <c r="C569" i="34"/>
  <c r="D569" i="34" s="1"/>
  <c r="E569" i="34" s="1"/>
  <c r="F569" i="34" s="1"/>
  <c r="G569" i="34" s="1"/>
  <c r="H569" i="34" s="1"/>
  <c r="I569" i="34" s="1"/>
  <c r="J569" i="34" s="1"/>
  <c r="K569" i="34" s="1"/>
  <c r="L569" i="34" s="1"/>
  <c r="M569" i="34" s="1"/>
  <c r="N569" i="34" s="1"/>
  <c r="O569" i="34" s="1"/>
  <c r="P569" i="34" s="1"/>
  <c r="Q569" i="34" s="1"/>
  <c r="R569" i="34" s="1"/>
  <c r="S569" i="34" s="1"/>
  <c r="C537" i="34"/>
  <c r="D537" i="34" s="1"/>
  <c r="E537" i="34" s="1"/>
  <c r="F537" i="34" s="1"/>
  <c r="G537" i="34" s="1"/>
  <c r="H537" i="34" s="1"/>
  <c r="I537" i="34" s="1"/>
  <c r="J537" i="34" s="1"/>
  <c r="K537" i="34" s="1"/>
  <c r="L537" i="34" s="1"/>
  <c r="M537" i="34" s="1"/>
  <c r="N537" i="34" s="1"/>
  <c r="O537" i="34" s="1"/>
  <c r="P537" i="34" s="1"/>
  <c r="Q537" i="34" s="1"/>
  <c r="R537" i="34" s="1"/>
  <c r="S537" i="34" s="1"/>
  <c r="C530" i="31"/>
  <c r="D530" i="31" s="1"/>
  <c r="E530" i="31" s="1"/>
  <c r="F530" i="31" s="1"/>
  <c r="G530" i="31" s="1"/>
  <c r="H530" i="31" s="1"/>
  <c r="I530" i="31" s="1"/>
  <c r="J530" i="31" s="1"/>
  <c r="K530" i="31" s="1"/>
  <c r="L530" i="31" s="1"/>
  <c r="M530" i="31" s="1"/>
  <c r="B530" i="34"/>
  <c r="C527" i="34"/>
  <c r="D527" i="34" s="1"/>
  <c r="E527" i="34" s="1"/>
  <c r="F527" i="34" s="1"/>
  <c r="G527" i="34" s="1"/>
  <c r="H527" i="34" s="1"/>
  <c r="I527" i="34" s="1"/>
  <c r="J527" i="34" s="1"/>
  <c r="K527" i="34" s="1"/>
  <c r="L527" i="34" s="1"/>
  <c r="M527" i="34" s="1"/>
  <c r="N527" i="34" s="1"/>
  <c r="O527" i="34" s="1"/>
  <c r="P527" i="34" s="1"/>
  <c r="Q527" i="34" s="1"/>
  <c r="R527" i="34" s="1"/>
  <c r="S527" i="34" s="1"/>
  <c r="C524" i="34"/>
  <c r="D524" i="34" s="1"/>
  <c r="E524" i="34" s="1"/>
  <c r="F524" i="34" s="1"/>
  <c r="G524" i="34" s="1"/>
  <c r="H524" i="34" s="1"/>
  <c r="I524" i="34" s="1"/>
  <c r="J524" i="34" s="1"/>
  <c r="K524" i="34" s="1"/>
  <c r="L524" i="34" s="1"/>
  <c r="M524" i="34" s="1"/>
  <c r="N524" i="34" s="1"/>
  <c r="O524" i="34" s="1"/>
  <c r="P524" i="34" s="1"/>
  <c r="Q524" i="34" s="1"/>
  <c r="R524" i="34" s="1"/>
  <c r="S524" i="34" s="1"/>
  <c r="C521" i="34"/>
  <c r="D521" i="34" s="1"/>
  <c r="E521" i="34" s="1"/>
  <c r="F521" i="34" s="1"/>
  <c r="G521" i="34" s="1"/>
  <c r="H521" i="34" s="1"/>
  <c r="I521" i="34" s="1"/>
  <c r="J521" i="34" s="1"/>
  <c r="K521" i="34" s="1"/>
  <c r="L521" i="34" s="1"/>
  <c r="M521" i="34" s="1"/>
  <c r="N521" i="34" s="1"/>
  <c r="O521" i="34" s="1"/>
  <c r="P521" i="34" s="1"/>
  <c r="Q521" i="34" s="1"/>
  <c r="R521" i="34" s="1"/>
  <c r="S521" i="34" s="1"/>
  <c r="C508" i="34"/>
  <c r="D508" i="34" s="1"/>
  <c r="E508" i="34" s="1"/>
  <c r="F508" i="34" s="1"/>
  <c r="G508" i="34" s="1"/>
  <c r="H508" i="34" s="1"/>
  <c r="I508" i="34" s="1"/>
  <c r="J508" i="34" s="1"/>
  <c r="K508" i="34" s="1"/>
  <c r="L508" i="34" s="1"/>
  <c r="M508" i="34" s="1"/>
  <c r="N508" i="34" s="1"/>
  <c r="O508" i="34" s="1"/>
  <c r="P508" i="34" s="1"/>
  <c r="Q508" i="34" s="1"/>
  <c r="R508" i="34" s="1"/>
  <c r="S508" i="34" s="1"/>
  <c r="C496" i="31"/>
  <c r="D496" i="31" s="1"/>
  <c r="E496" i="31" s="1"/>
  <c r="F496" i="31" s="1"/>
  <c r="G496" i="31" s="1"/>
  <c r="H496" i="31" s="1"/>
  <c r="I496" i="31" s="1"/>
  <c r="J496" i="31" s="1"/>
  <c r="K496" i="31" s="1"/>
  <c r="L496" i="31" s="1"/>
  <c r="M496" i="31" s="1"/>
  <c r="B496" i="34"/>
  <c r="C493" i="31"/>
  <c r="D493" i="31" s="1"/>
  <c r="E493" i="31" s="1"/>
  <c r="F493" i="31" s="1"/>
  <c r="G493" i="31" s="1"/>
  <c r="H493" i="31" s="1"/>
  <c r="I493" i="31" s="1"/>
  <c r="J493" i="31" s="1"/>
  <c r="K493" i="31" s="1"/>
  <c r="L493" i="31" s="1"/>
  <c r="M493" i="31" s="1"/>
  <c r="B493" i="34"/>
  <c r="C469" i="31"/>
  <c r="D469" i="31" s="1"/>
  <c r="E469" i="31" s="1"/>
  <c r="F469" i="31" s="1"/>
  <c r="G469" i="31" s="1"/>
  <c r="H469" i="31" s="1"/>
  <c r="I469" i="31" s="1"/>
  <c r="J469" i="31" s="1"/>
  <c r="K469" i="31" s="1"/>
  <c r="L469" i="31" s="1"/>
  <c r="M469" i="31" s="1"/>
  <c r="B469" i="34"/>
  <c r="C466" i="31"/>
  <c r="D466" i="31" s="1"/>
  <c r="E466" i="31" s="1"/>
  <c r="F466" i="31" s="1"/>
  <c r="G466" i="31" s="1"/>
  <c r="H466" i="31" s="1"/>
  <c r="I466" i="31" s="1"/>
  <c r="J466" i="31" s="1"/>
  <c r="K466" i="31" s="1"/>
  <c r="L466" i="31" s="1"/>
  <c r="M466" i="31" s="1"/>
  <c r="B466" i="34"/>
  <c r="C463" i="34"/>
  <c r="D463" i="34" s="1"/>
  <c r="E463" i="34" s="1"/>
  <c r="F463" i="34" s="1"/>
  <c r="G463" i="34" s="1"/>
  <c r="H463" i="34" s="1"/>
  <c r="I463" i="34" s="1"/>
  <c r="J463" i="34" s="1"/>
  <c r="K463" i="34" s="1"/>
  <c r="L463" i="34" s="1"/>
  <c r="M463" i="34" s="1"/>
  <c r="N463" i="34" s="1"/>
  <c r="O463" i="34" s="1"/>
  <c r="P463" i="34" s="1"/>
  <c r="Q463" i="34" s="1"/>
  <c r="R463" i="34" s="1"/>
  <c r="S463" i="34" s="1"/>
  <c r="C443" i="31"/>
  <c r="D443" i="31" s="1"/>
  <c r="E443" i="31" s="1"/>
  <c r="F443" i="31" s="1"/>
  <c r="G443" i="31" s="1"/>
  <c r="H443" i="31" s="1"/>
  <c r="I443" i="31" s="1"/>
  <c r="J443" i="31" s="1"/>
  <c r="K443" i="31" s="1"/>
  <c r="L443" i="31" s="1"/>
  <c r="M443" i="31" s="1"/>
  <c r="B443" i="34"/>
  <c r="C428" i="34"/>
  <c r="D428" i="34" s="1"/>
  <c r="E428" i="34" s="1"/>
  <c r="F428" i="34" s="1"/>
  <c r="G428" i="34" s="1"/>
  <c r="H428" i="34" s="1"/>
  <c r="I428" i="34" s="1"/>
  <c r="J428" i="34" s="1"/>
  <c r="K428" i="34" s="1"/>
  <c r="L428" i="34" s="1"/>
  <c r="M428" i="34" s="1"/>
  <c r="N428" i="34" s="1"/>
  <c r="O428" i="34" s="1"/>
  <c r="P428" i="34" s="1"/>
  <c r="Q428" i="34" s="1"/>
  <c r="R428" i="34" s="1"/>
  <c r="S428" i="34" s="1"/>
  <c r="C414" i="31"/>
  <c r="D414" i="31" s="1"/>
  <c r="E414" i="31" s="1"/>
  <c r="F414" i="31" s="1"/>
  <c r="G414" i="31" s="1"/>
  <c r="H414" i="31" s="1"/>
  <c r="I414" i="31" s="1"/>
  <c r="J414" i="31" s="1"/>
  <c r="K414" i="31" s="1"/>
  <c r="L414" i="31" s="1"/>
  <c r="M414" i="31" s="1"/>
  <c r="B414" i="34"/>
  <c r="C407" i="31"/>
  <c r="D407" i="31" s="1"/>
  <c r="E407" i="31" s="1"/>
  <c r="F407" i="31" s="1"/>
  <c r="G407" i="31" s="1"/>
  <c r="H407" i="31" s="1"/>
  <c r="I407" i="31" s="1"/>
  <c r="J407" i="31" s="1"/>
  <c r="K407" i="31" s="1"/>
  <c r="L407" i="31" s="1"/>
  <c r="M407" i="31" s="1"/>
  <c r="B407" i="34"/>
  <c r="C396" i="31"/>
  <c r="D396" i="31" s="1"/>
  <c r="E396" i="31" s="1"/>
  <c r="F396" i="31" s="1"/>
  <c r="G396" i="31" s="1"/>
  <c r="H396" i="31" s="1"/>
  <c r="I396" i="31" s="1"/>
  <c r="J396" i="31" s="1"/>
  <c r="K396" i="31" s="1"/>
  <c r="L396" i="31" s="1"/>
  <c r="M396" i="31" s="1"/>
  <c r="B396" i="34"/>
  <c r="C389" i="31"/>
  <c r="D389" i="31" s="1"/>
  <c r="E389" i="31" s="1"/>
  <c r="F389" i="31" s="1"/>
  <c r="G389" i="31" s="1"/>
  <c r="H389" i="31" s="1"/>
  <c r="I389" i="31" s="1"/>
  <c r="J389" i="31" s="1"/>
  <c r="K389" i="31" s="1"/>
  <c r="L389" i="31" s="1"/>
  <c r="M389" i="31" s="1"/>
  <c r="B389" i="34"/>
  <c r="C383" i="31"/>
  <c r="D383" i="31" s="1"/>
  <c r="E383" i="31" s="1"/>
  <c r="F383" i="31" s="1"/>
  <c r="G383" i="31" s="1"/>
  <c r="H383" i="31" s="1"/>
  <c r="I383" i="31" s="1"/>
  <c r="J383" i="31" s="1"/>
  <c r="K383" i="31" s="1"/>
  <c r="L383" i="31" s="1"/>
  <c r="M383" i="31" s="1"/>
  <c r="B383" i="34"/>
  <c r="C374" i="31"/>
  <c r="D374" i="31" s="1"/>
  <c r="E374" i="31" s="1"/>
  <c r="F374" i="31" s="1"/>
  <c r="G374" i="31" s="1"/>
  <c r="H374" i="31" s="1"/>
  <c r="I374" i="31" s="1"/>
  <c r="J374" i="31" s="1"/>
  <c r="K374" i="31" s="1"/>
  <c r="L374" i="31" s="1"/>
  <c r="M374" i="31" s="1"/>
  <c r="B374" i="34"/>
  <c r="B370" i="34"/>
  <c r="C370" i="31"/>
  <c r="D370" i="31" s="1"/>
  <c r="E370" i="31" s="1"/>
  <c r="F370" i="31" s="1"/>
  <c r="G370" i="31" s="1"/>
  <c r="H370" i="31" s="1"/>
  <c r="I370" i="31" s="1"/>
  <c r="J370" i="31" s="1"/>
  <c r="K370" i="31" s="1"/>
  <c r="L370" i="31" s="1"/>
  <c r="M370" i="31" s="1"/>
  <c r="C361" i="31"/>
  <c r="D361" i="31" s="1"/>
  <c r="E361" i="31" s="1"/>
  <c r="F361" i="31" s="1"/>
  <c r="G361" i="31" s="1"/>
  <c r="H361" i="31" s="1"/>
  <c r="I361" i="31" s="1"/>
  <c r="J361" i="31" s="1"/>
  <c r="K361" i="31" s="1"/>
  <c r="L361" i="31" s="1"/>
  <c r="M361" i="31" s="1"/>
  <c r="B361" i="34"/>
  <c r="B356" i="34"/>
  <c r="C356" i="31"/>
  <c r="D356" i="31" s="1"/>
  <c r="E356" i="31" s="1"/>
  <c r="F356" i="31" s="1"/>
  <c r="G356" i="31" s="1"/>
  <c r="H356" i="31" s="1"/>
  <c r="I356" i="31" s="1"/>
  <c r="J356" i="31" s="1"/>
  <c r="K356" i="31" s="1"/>
  <c r="L356" i="31" s="1"/>
  <c r="M356" i="31" s="1"/>
  <c r="C315" i="31"/>
  <c r="D315" i="31" s="1"/>
  <c r="E315" i="31" s="1"/>
  <c r="F315" i="31" s="1"/>
  <c r="G315" i="31" s="1"/>
  <c r="H315" i="31" s="1"/>
  <c r="I315" i="31" s="1"/>
  <c r="J315" i="31" s="1"/>
  <c r="K315" i="31" s="1"/>
  <c r="L315" i="31" s="1"/>
  <c r="M315" i="31" s="1"/>
  <c r="B315" i="34"/>
  <c r="B305" i="34"/>
  <c r="C305" i="31"/>
  <c r="D305" i="31" s="1"/>
  <c r="E305" i="31" s="1"/>
  <c r="F305" i="31" s="1"/>
  <c r="G305" i="31" s="1"/>
  <c r="H305" i="31" s="1"/>
  <c r="I305" i="31" s="1"/>
  <c r="J305" i="31" s="1"/>
  <c r="K305" i="31" s="1"/>
  <c r="L305" i="31" s="1"/>
  <c r="M305" i="31" s="1"/>
  <c r="C449" i="31"/>
  <c r="D449" i="31" s="1"/>
  <c r="E449" i="31" s="1"/>
  <c r="F449" i="31" s="1"/>
  <c r="G449" i="31" s="1"/>
  <c r="H449" i="31" s="1"/>
  <c r="I449" i="31" s="1"/>
  <c r="J449" i="31" s="1"/>
  <c r="K449" i="31" s="1"/>
  <c r="L449" i="31" s="1"/>
  <c r="M449" i="31" s="1"/>
  <c r="B449" i="34"/>
  <c r="C444" i="34"/>
  <c r="D444" i="34" s="1"/>
  <c r="E444" i="34" s="1"/>
  <c r="F444" i="34" s="1"/>
  <c r="G444" i="34" s="1"/>
  <c r="H444" i="34" s="1"/>
  <c r="I444" i="34" s="1"/>
  <c r="J444" i="34" s="1"/>
  <c r="K444" i="34" s="1"/>
  <c r="L444" i="34" s="1"/>
  <c r="M444" i="34" s="1"/>
  <c r="N444" i="34" s="1"/>
  <c r="O444" i="34" s="1"/>
  <c r="P444" i="34" s="1"/>
  <c r="Q444" i="34" s="1"/>
  <c r="R444" i="34" s="1"/>
  <c r="S444" i="34" s="1"/>
  <c r="C436" i="31"/>
  <c r="D436" i="31" s="1"/>
  <c r="E436" i="31" s="1"/>
  <c r="F436" i="31" s="1"/>
  <c r="G436" i="31" s="1"/>
  <c r="H436" i="31" s="1"/>
  <c r="I436" i="31" s="1"/>
  <c r="J436" i="31" s="1"/>
  <c r="K436" i="31" s="1"/>
  <c r="L436" i="31" s="1"/>
  <c r="M436" i="31" s="1"/>
  <c r="B436" i="34"/>
  <c r="C425" i="31"/>
  <c r="D425" i="31" s="1"/>
  <c r="E425" i="31" s="1"/>
  <c r="F425" i="31" s="1"/>
  <c r="G425" i="31" s="1"/>
  <c r="H425" i="31" s="1"/>
  <c r="I425" i="31" s="1"/>
  <c r="J425" i="31" s="1"/>
  <c r="K425" i="31" s="1"/>
  <c r="L425" i="31" s="1"/>
  <c r="M425" i="31" s="1"/>
  <c r="B425" i="34"/>
  <c r="C420" i="31"/>
  <c r="D420" i="31" s="1"/>
  <c r="E420" i="31" s="1"/>
  <c r="F420" i="31" s="1"/>
  <c r="G420" i="31" s="1"/>
  <c r="H420" i="31" s="1"/>
  <c r="I420" i="31" s="1"/>
  <c r="J420" i="31" s="1"/>
  <c r="K420" i="31" s="1"/>
  <c r="L420" i="31" s="1"/>
  <c r="M420" i="31" s="1"/>
  <c r="B420" i="34"/>
  <c r="C418" i="34"/>
  <c r="D418" i="34" s="1"/>
  <c r="E418" i="34" s="1"/>
  <c r="F418" i="34" s="1"/>
  <c r="G418" i="34" s="1"/>
  <c r="H418" i="34" s="1"/>
  <c r="I418" i="34" s="1"/>
  <c r="J418" i="34" s="1"/>
  <c r="K418" i="34" s="1"/>
  <c r="L418" i="34" s="1"/>
  <c r="M418" i="34" s="1"/>
  <c r="N418" i="34" s="1"/>
  <c r="O418" i="34" s="1"/>
  <c r="P418" i="34" s="1"/>
  <c r="Q418" i="34" s="1"/>
  <c r="R418" i="34" s="1"/>
  <c r="S418" i="34" s="1"/>
  <c r="C411" i="31"/>
  <c r="D411" i="31" s="1"/>
  <c r="E411" i="31" s="1"/>
  <c r="F411" i="31" s="1"/>
  <c r="G411" i="31" s="1"/>
  <c r="H411" i="31" s="1"/>
  <c r="I411" i="31" s="1"/>
  <c r="J411" i="31" s="1"/>
  <c r="K411" i="31" s="1"/>
  <c r="L411" i="31" s="1"/>
  <c r="M411" i="31" s="1"/>
  <c r="B411" i="34"/>
  <c r="C408" i="31"/>
  <c r="D408" i="31" s="1"/>
  <c r="E408" i="31" s="1"/>
  <c r="F408" i="31" s="1"/>
  <c r="G408" i="31" s="1"/>
  <c r="H408" i="31" s="1"/>
  <c r="I408" i="31" s="1"/>
  <c r="J408" i="31" s="1"/>
  <c r="K408" i="31" s="1"/>
  <c r="L408" i="31" s="1"/>
  <c r="M408" i="31" s="1"/>
  <c r="C406" i="31"/>
  <c r="D406" i="31" s="1"/>
  <c r="E406" i="31" s="1"/>
  <c r="F406" i="31" s="1"/>
  <c r="G406" i="31" s="1"/>
  <c r="H406" i="31" s="1"/>
  <c r="I406" i="31" s="1"/>
  <c r="J406" i="31" s="1"/>
  <c r="K406" i="31" s="1"/>
  <c r="L406" i="31" s="1"/>
  <c r="M406" i="31" s="1"/>
  <c r="B406" i="34"/>
  <c r="C403" i="31"/>
  <c r="D403" i="31" s="1"/>
  <c r="E403" i="31" s="1"/>
  <c r="F403" i="31" s="1"/>
  <c r="G403" i="31" s="1"/>
  <c r="H403" i="31" s="1"/>
  <c r="I403" i="31" s="1"/>
  <c r="J403" i="31" s="1"/>
  <c r="K403" i="31" s="1"/>
  <c r="L403" i="31" s="1"/>
  <c r="M403" i="31" s="1"/>
  <c r="B403" i="34"/>
  <c r="C400" i="31"/>
  <c r="D400" i="31" s="1"/>
  <c r="E400" i="31" s="1"/>
  <c r="F400" i="31" s="1"/>
  <c r="G400" i="31" s="1"/>
  <c r="H400" i="31" s="1"/>
  <c r="I400" i="31" s="1"/>
  <c r="J400" i="31" s="1"/>
  <c r="K400" i="31" s="1"/>
  <c r="L400" i="31" s="1"/>
  <c r="M400" i="31" s="1"/>
  <c r="B400" i="34"/>
  <c r="C390" i="31"/>
  <c r="D390" i="31" s="1"/>
  <c r="E390" i="31" s="1"/>
  <c r="F390" i="31" s="1"/>
  <c r="G390" i="31" s="1"/>
  <c r="H390" i="31" s="1"/>
  <c r="I390" i="31" s="1"/>
  <c r="J390" i="31" s="1"/>
  <c r="K390" i="31" s="1"/>
  <c r="L390" i="31" s="1"/>
  <c r="M390" i="31" s="1"/>
  <c r="B390" i="34"/>
  <c r="C378" i="34"/>
  <c r="D378" i="34" s="1"/>
  <c r="E378" i="34" s="1"/>
  <c r="F378" i="34" s="1"/>
  <c r="G378" i="34" s="1"/>
  <c r="H378" i="34" s="1"/>
  <c r="I378" i="34" s="1"/>
  <c r="J378" i="34" s="1"/>
  <c r="K378" i="34" s="1"/>
  <c r="L378" i="34" s="1"/>
  <c r="M378" i="34" s="1"/>
  <c r="N378" i="34" s="1"/>
  <c r="O378" i="34" s="1"/>
  <c r="P378" i="34" s="1"/>
  <c r="Q378" i="34" s="1"/>
  <c r="R378" i="34" s="1"/>
  <c r="S378" i="34" s="1"/>
  <c r="C352" i="31"/>
  <c r="D352" i="31" s="1"/>
  <c r="E352" i="31" s="1"/>
  <c r="F352" i="31" s="1"/>
  <c r="G352" i="31" s="1"/>
  <c r="H352" i="31" s="1"/>
  <c r="I352" i="31" s="1"/>
  <c r="J352" i="31" s="1"/>
  <c r="K352" i="31" s="1"/>
  <c r="L352" i="31" s="1"/>
  <c r="M352" i="31" s="1"/>
  <c r="B352" i="34"/>
  <c r="C349" i="31"/>
  <c r="D349" i="31" s="1"/>
  <c r="E349" i="31" s="1"/>
  <c r="F349" i="31" s="1"/>
  <c r="G349" i="31" s="1"/>
  <c r="H349" i="31" s="1"/>
  <c r="I349" i="31" s="1"/>
  <c r="J349" i="31" s="1"/>
  <c r="K349" i="31" s="1"/>
  <c r="L349" i="31" s="1"/>
  <c r="M349" i="31" s="1"/>
  <c r="B349" i="34"/>
  <c r="C346" i="31"/>
  <c r="D346" i="31" s="1"/>
  <c r="E346" i="31" s="1"/>
  <c r="F346" i="31" s="1"/>
  <c r="G346" i="31" s="1"/>
  <c r="H346" i="31" s="1"/>
  <c r="I346" i="31" s="1"/>
  <c r="J346" i="31" s="1"/>
  <c r="K346" i="31" s="1"/>
  <c r="L346" i="31" s="1"/>
  <c r="M346" i="31" s="1"/>
  <c r="C343" i="31"/>
  <c r="D343" i="31" s="1"/>
  <c r="E343" i="31" s="1"/>
  <c r="F343" i="31" s="1"/>
  <c r="G343" i="31" s="1"/>
  <c r="H343" i="31" s="1"/>
  <c r="I343" i="31" s="1"/>
  <c r="J343" i="31" s="1"/>
  <c r="K343" i="31" s="1"/>
  <c r="L343" i="31" s="1"/>
  <c r="M343" i="31" s="1"/>
  <c r="B343" i="34"/>
  <c r="C340" i="31"/>
  <c r="D340" i="31" s="1"/>
  <c r="E340" i="31" s="1"/>
  <c r="F340" i="31" s="1"/>
  <c r="G340" i="31" s="1"/>
  <c r="H340" i="31" s="1"/>
  <c r="I340" i="31" s="1"/>
  <c r="J340" i="31" s="1"/>
  <c r="K340" i="31" s="1"/>
  <c r="L340" i="31" s="1"/>
  <c r="M340" i="31" s="1"/>
  <c r="C338" i="31"/>
  <c r="D338" i="31" s="1"/>
  <c r="E338" i="31" s="1"/>
  <c r="F338" i="31" s="1"/>
  <c r="G338" i="31" s="1"/>
  <c r="H338" i="31" s="1"/>
  <c r="I338" i="31" s="1"/>
  <c r="J338" i="31" s="1"/>
  <c r="K338" i="31" s="1"/>
  <c r="L338" i="31" s="1"/>
  <c r="M338" i="31" s="1"/>
  <c r="C335" i="31"/>
  <c r="D335" i="31" s="1"/>
  <c r="E335" i="31" s="1"/>
  <c r="F335" i="31" s="1"/>
  <c r="G335" i="31" s="1"/>
  <c r="H335" i="31" s="1"/>
  <c r="I335" i="31" s="1"/>
  <c r="J335" i="31" s="1"/>
  <c r="K335" i="31" s="1"/>
  <c r="L335" i="31" s="1"/>
  <c r="M335" i="31" s="1"/>
  <c r="B335" i="34"/>
  <c r="C332" i="31"/>
  <c r="D332" i="31" s="1"/>
  <c r="E332" i="31" s="1"/>
  <c r="F332" i="31" s="1"/>
  <c r="G332" i="31" s="1"/>
  <c r="H332" i="31" s="1"/>
  <c r="I332" i="31" s="1"/>
  <c r="J332" i="31" s="1"/>
  <c r="K332" i="31" s="1"/>
  <c r="L332" i="31" s="1"/>
  <c r="M332" i="31" s="1"/>
  <c r="B332" i="34"/>
  <c r="C330" i="31"/>
  <c r="D330" i="31" s="1"/>
  <c r="E330" i="31" s="1"/>
  <c r="F330" i="31" s="1"/>
  <c r="G330" i="31" s="1"/>
  <c r="H330" i="31" s="1"/>
  <c r="I330" i="31" s="1"/>
  <c r="J330" i="31" s="1"/>
  <c r="K330" i="31" s="1"/>
  <c r="L330" i="31" s="1"/>
  <c r="M330" i="31" s="1"/>
  <c r="B330" i="34"/>
  <c r="C326" i="31"/>
  <c r="D326" i="31" s="1"/>
  <c r="E326" i="31" s="1"/>
  <c r="F326" i="31" s="1"/>
  <c r="G326" i="31" s="1"/>
  <c r="H326" i="31" s="1"/>
  <c r="I326" i="31" s="1"/>
  <c r="J326" i="31" s="1"/>
  <c r="K326" i="31" s="1"/>
  <c r="L326" i="31" s="1"/>
  <c r="M326" i="31" s="1"/>
  <c r="B326" i="34"/>
  <c r="C321" i="34"/>
  <c r="D321" i="34" s="1"/>
  <c r="E321" i="34" s="1"/>
  <c r="F321" i="34" s="1"/>
  <c r="G321" i="34" s="1"/>
  <c r="H321" i="34" s="1"/>
  <c r="I321" i="34" s="1"/>
  <c r="J321" i="34" s="1"/>
  <c r="K321" i="34" s="1"/>
  <c r="L321" i="34" s="1"/>
  <c r="M321" i="34" s="1"/>
  <c r="N321" i="34" s="1"/>
  <c r="O321" i="34" s="1"/>
  <c r="P321" i="34" s="1"/>
  <c r="Q321" i="34" s="1"/>
  <c r="R321" i="34" s="1"/>
  <c r="S321" i="34" s="1"/>
  <c r="C306" i="34"/>
  <c r="D306" i="34" s="1"/>
  <c r="E306" i="34" s="1"/>
  <c r="F306" i="34" s="1"/>
  <c r="G306" i="34" s="1"/>
  <c r="H306" i="34" s="1"/>
  <c r="I306" i="34" s="1"/>
  <c r="J306" i="34" s="1"/>
  <c r="K306" i="34" s="1"/>
  <c r="L306" i="34" s="1"/>
  <c r="M306" i="34" s="1"/>
  <c r="N306" i="34" s="1"/>
  <c r="O306" i="34" s="1"/>
  <c r="P306" i="34" s="1"/>
  <c r="Q306" i="34" s="1"/>
  <c r="R306" i="34" s="1"/>
  <c r="S306" i="34" s="1"/>
  <c r="C303" i="31"/>
  <c r="D303" i="31" s="1"/>
  <c r="E303" i="31" s="1"/>
  <c r="F303" i="31" s="1"/>
  <c r="G303" i="31" s="1"/>
  <c r="H303" i="31" s="1"/>
  <c r="I303" i="31" s="1"/>
  <c r="J303" i="31" s="1"/>
  <c r="K303" i="31" s="1"/>
  <c r="L303" i="31" s="1"/>
  <c r="M303" i="31" s="1"/>
  <c r="C301" i="31"/>
  <c r="D301" i="31" s="1"/>
  <c r="E301" i="31" s="1"/>
  <c r="F301" i="31" s="1"/>
  <c r="G301" i="31" s="1"/>
  <c r="H301" i="31" s="1"/>
  <c r="I301" i="31" s="1"/>
  <c r="J301" i="31" s="1"/>
  <c r="K301" i="31" s="1"/>
  <c r="L301" i="31" s="1"/>
  <c r="M301" i="31" s="1"/>
  <c r="B301" i="34"/>
  <c r="C297" i="31"/>
  <c r="D297" i="31" s="1"/>
  <c r="E297" i="31" s="1"/>
  <c r="F297" i="31" s="1"/>
  <c r="G297" i="31" s="1"/>
  <c r="H297" i="31" s="1"/>
  <c r="I297" i="31" s="1"/>
  <c r="J297" i="31" s="1"/>
  <c r="K297" i="31" s="1"/>
  <c r="L297" i="31" s="1"/>
  <c r="M297" i="31" s="1"/>
  <c r="B297" i="34"/>
  <c r="C289" i="31"/>
  <c r="D289" i="31" s="1"/>
  <c r="E289" i="31" s="1"/>
  <c r="F289" i="31" s="1"/>
  <c r="G289" i="31" s="1"/>
  <c r="H289" i="31" s="1"/>
  <c r="I289" i="31" s="1"/>
  <c r="J289" i="31" s="1"/>
  <c r="K289" i="31" s="1"/>
  <c r="L289" i="31" s="1"/>
  <c r="M289" i="31" s="1"/>
  <c r="C286" i="31"/>
  <c r="D286" i="31" s="1"/>
  <c r="E286" i="31" s="1"/>
  <c r="F286" i="31" s="1"/>
  <c r="G286" i="31" s="1"/>
  <c r="H286" i="31" s="1"/>
  <c r="I286" i="31" s="1"/>
  <c r="J286" i="31" s="1"/>
  <c r="K286" i="31" s="1"/>
  <c r="L286" i="31" s="1"/>
  <c r="M286" i="31" s="1"/>
  <c r="C284" i="31"/>
  <c r="D284" i="31" s="1"/>
  <c r="E284" i="31" s="1"/>
  <c r="F284" i="31" s="1"/>
  <c r="G284" i="31" s="1"/>
  <c r="H284" i="31" s="1"/>
  <c r="I284" i="31" s="1"/>
  <c r="J284" i="31" s="1"/>
  <c r="K284" i="31" s="1"/>
  <c r="L284" i="31" s="1"/>
  <c r="M284" i="31" s="1"/>
  <c r="B284" i="34"/>
  <c r="C278" i="31"/>
  <c r="D278" i="31" s="1"/>
  <c r="E278" i="31" s="1"/>
  <c r="F278" i="31" s="1"/>
  <c r="G278" i="31" s="1"/>
  <c r="H278" i="31" s="1"/>
  <c r="I278" i="31" s="1"/>
  <c r="J278" i="31" s="1"/>
  <c r="K278" i="31" s="1"/>
  <c r="L278" i="31" s="1"/>
  <c r="M278" i="31" s="1"/>
  <c r="B278" i="34"/>
  <c r="C272" i="34"/>
  <c r="D272" i="34" s="1"/>
  <c r="E272" i="34" s="1"/>
  <c r="F272" i="34" s="1"/>
  <c r="G272" i="34" s="1"/>
  <c r="H272" i="34" s="1"/>
  <c r="I272" i="34" s="1"/>
  <c r="J272" i="34" s="1"/>
  <c r="K272" i="34" s="1"/>
  <c r="L272" i="34" s="1"/>
  <c r="M272" i="34" s="1"/>
  <c r="N272" i="34" s="1"/>
  <c r="O272" i="34" s="1"/>
  <c r="P272" i="34" s="1"/>
  <c r="Q272" i="34" s="1"/>
  <c r="R272" i="34" s="1"/>
  <c r="S272" i="34" s="1"/>
  <c r="C257" i="31"/>
  <c r="D257" i="31" s="1"/>
  <c r="E257" i="31" s="1"/>
  <c r="F257" i="31" s="1"/>
  <c r="G257" i="31" s="1"/>
  <c r="H257" i="31" s="1"/>
  <c r="I257" i="31" s="1"/>
  <c r="J257" i="31" s="1"/>
  <c r="K257" i="31" s="1"/>
  <c r="L257" i="31" s="1"/>
  <c r="M257" i="31" s="1"/>
  <c r="B257" i="34"/>
  <c r="C247" i="31"/>
  <c r="D247" i="31" s="1"/>
  <c r="E247" i="31" s="1"/>
  <c r="F247" i="31" s="1"/>
  <c r="G247" i="31" s="1"/>
  <c r="H247" i="31" s="1"/>
  <c r="I247" i="31" s="1"/>
  <c r="J247" i="31" s="1"/>
  <c r="K247" i="31" s="1"/>
  <c r="L247" i="31" s="1"/>
  <c r="M247" i="31" s="1"/>
  <c r="C245" i="34"/>
  <c r="D245" i="34" s="1"/>
  <c r="E245" i="34" s="1"/>
  <c r="F245" i="34" s="1"/>
  <c r="G245" i="34" s="1"/>
  <c r="H245" i="34" s="1"/>
  <c r="I245" i="34" s="1"/>
  <c r="J245" i="34" s="1"/>
  <c r="K245" i="34" s="1"/>
  <c r="L245" i="34" s="1"/>
  <c r="M245" i="34" s="1"/>
  <c r="N245" i="34" s="1"/>
  <c r="O245" i="34" s="1"/>
  <c r="P245" i="34" s="1"/>
  <c r="Q245" i="34" s="1"/>
  <c r="R245" i="34" s="1"/>
  <c r="S245" i="34" s="1"/>
  <c r="C237" i="31"/>
  <c r="D237" i="31" s="1"/>
  <c r="E237" i="31" s="1"/>
  <c r="F237" i="31" s="1"/>
  <c r="G237" i="31" s="1"/>
  <c r="H237" i="31" s="1"/>
  <c r="I237" i="31" s="1"/>
  <c r="J237" i="31" s="1"/>
  <c r="K237" i="31" s="1"/>
  <c r="L237" i="31" s="1"/>
  <c r="M237" i="31" s="1"/>
  <c r="C223" i="31"/>
  <c r="D223" i="31" s="1"/>
  <c r="E223" i="31" s="1"/>
  <c r="F223" i="31" s="1"/>
  <c r="G223" i="31" s="1"/>
  <c r="H223" i="31" s="1"/>
  <c r="I223" i="31" s="1"/>
  <c r="J223" i="31" s="1"/>
  <c r="K223" i="31" s="1"/>
  <c r="L223" i="31" s="1"/>
  <c r="M223" i="31" s="1"/>
  <c r="B223" i="34"/>
  <c r="C216" i="31"/>
  <c r="D216" i="31" s="1"/>
  <c r="E216" i="31" s="1"/>
  <c r="F216" i="31" s="1"/>
  <c r="G216" i="31" s="1"/>
  <c r="H216" i="31" s="1"/>
  <c r="I216" i="31" s="1"/>
  <c r="J216" i="31" s="1"/>
  <c r="K216" i="31" s="1"/>
  <c r="L216" i="31" s="1"/>
  <c r="M216" i="31" s="1"/>
  <c r="C213" i="34"/>
  <c r="D213" i="34" s="1"/>
  <c r="E213" i="34" s="1"/>
  <c r="F213" i="34" s="1"/>
  <c r="G213" i="34" s="1"/>
  <c r="H213" i="34" s="1"/>
  <c r="I213" i="34" s="1"/>
  <c r="J213" i="34" s="1"/>
  <c r="K213" i="34" s="1"/>
  <c r="L213" i="34" s="1"/>
  <c r="M213" i="34" s="1"/>
  <c r="N213" i="34" s="1"/>
  <c r="O213" i="34" s="1"/>
  <c r="P213" i="34" s="1"/>
  <c r="Q213" i="34" s="1"/>
  <c r="R213" i="34" s="1"/>
  <c r="S213" i="34" s="1"/>
  <c r="C209" i="31"/>
  <c r="D209" i="31" s="1"/>
  <c r="E209" i="31" s="1"/>
  <c r="F209" i="31" s="1"/>
  <c r="G209" i="31" s="1"/>
  <c r="H209" i="31" s="1"/>
  <c r="I209" i="31" s="1"/>
  <c r="J209" i="31" s="1"/>
  <c r="K209" i="31" s="1"/>
  <c r="L209" i="31" s="1"/>
  <c r="M209" i="31" s="1"/>
  <c r="B209" i="34"/>
  <c r="C206" i="31"/>
  <c r="D206" i="31" s="1"/>
  <c r="E206" i="31" s="1"/>
  <c r="F206" i="31" s="1"/>
  <c r="G206" i="31" s="1"/>
  <c r="H206" i="31" s="1"/>
  <c r="I206" i="31" s="1"/>
  <c r="J206" i="31" s="1"/>
  <c r="K206" i="31" s="1"/>
  <c r="L206" i="31" s="1"/>
  <c r="M206" i="31" s="1"/>
  <c r="B206" i="34"/>
  <c r="C200" i="31"/>
  <c r="D200" i="31" s="1"/>
  <c r="E200" i="31" s="1"/>
  <c r="F200" i="31" s="1"/>
  <c r="G200" i="31" s="1"/>
  <c r="H200" i="31" s="1"/>
  <c r="I200" i="31" s="1"/>
  <c r="J200" i="31" s="1"/>
  <c r="K200" i="31" s="1"/>
  <c r="L200" i="31" s="1"/>
  <c r="M200" i="31" s="1"/>
  <c r="C198" i="31"/>
  <c r="D198" i="31" s="1"/>
  <c r="E198" i="31" s="1"/>
  <c r="F198" i="31" s="1"/>
  <c r="G198" i="31" s="1"/>
  <c r="H198" i="31" s="1"/>
  <c r="I198" i="31" s="1"/>
  <c r="J198" i="31" s="1"/>
  <c r="K198" i="31" s="1"/>
  <c r="L198" i="31" s="1"/>
  <c r="M198" i="31" s="1"/>
  <c r="C195" i="34"/>
  <c r="D195" i="34" s="1"/>
  <c r="E195" i="34" s="1"/>
  <c r="F195" i="34" s="1"/>
  <c r="G195" i="34" s="1"/>
  <c r="H195" i="34" s="1"/>
  <c r="I195" i="34" s="1"/>
  <c r="J195" i="34" s="1"/>
  <c r="K195" i="34" s="1"/>
  <c r="L195" i="34" s="1"/>
  <c r="M195" i="34" s="1"/>
  <c r="N195" i="34" s="1"/>
  <c r="O195" i="34" s="1"/>
  <c r="P195" i="34" s="1"/>
  <c r="Q195" i="34" s="1"/>
  <c r="R195" i="34" s="1"/>
  <c r="S195" i="34" s="1"/>
  <c r="C190" i="31"/>
  <c r="D190" i="31" s="1"/>
  <c r="E190" i="31" s="1"/>
  <c r="F190" i="31" s="1"/>
  <c r="G190" i="31" s="1"/>
  <c r="H190" i="31" s="1"/>
  <c r="I190" i="31" s="1"/>
  <c r="J190" i="31" s="1"/>
  <c r="K190" i="31" s="1"/>
  <c r="L190" i="31" s="1"/>
  <c r="M190" i="31" s="1"/>
  <c r="B190" i="34"/>
  <c r="B179" i="34"/>
  <c r="C179" i="31"/>
  <c r="D179" i="31" s="1"/>
  <c r="E179" i="31" s="1"/>
  <c r="F179" i="31" s="1"/>
  <c r="G179" i="31" s="1"/>
  <c r="H179" i="31" s="1"/>
  <c r="I179" i="31" s="1"/>
  <c r="J179" i="31" s="1"/>
  <c r="K179" i="31" s="1"/>
  <c r="L179" i="31" s="1"/>
  <c r="M179" i="31" s="1"/>
  <c r="B171" i="34"/>
  <c r="C171" i="31"/>
  <c r="D171" i="31" s="1"/>
  <c r="E171" i="31" s="1"/>
  <c r="F171" i="31" s="1"/>
  <c r="G171" i="31" s="1"/>
  <c r="H171" i="31" s="1"/>
  <c r="I171" i="31" s="1"/>
  <c r="J171" i="31" s="1"/>
  <c r="K171" i="31" s="1"/>
  <c r="L171" i="31" s="1"/>
  <c r="M171" i="31" s="1"/>
  <c r="C145" i="31"/>
  <c r="D145" i="31" s="1"/>
  <c r="E145" i="31" s="1"/>
  <c r="F145" i="31" s="1"/>
  <c r="G145" i="31" s="1"/>
  <c r="H145" i="31" s="1"/>
  <c r="I145" i="31" s="1"/>
  <c r="J145" i="31" s="1"/>
  <c r="K145" i="31" s="1"/>
  <c r="L145" i="31" s="1"/>
  <c r="M145" i="31" s="1"/>
  <c r="B145" i="34"/>
  <c r="C140" i="31"/>
  <c r="D140" i="31" s="1"/>
  <c r="E140" i="31" s="1"/>
  <c r="F140" i="31" s="1"/>
  <c r="G140" i="31" s="1"/>
  <c r="H140" i="31" s="1"/>
  <c r="I140" i="31" s="1"/>
  <c r="J140" i="31" s="1"/>
  <c r="K140" i="31" s="1"/>
  <c r="L140" i="31" s="1"/>
  <c r="M140" i="31" s="1"/>
  <c r="B140" i="34"/>
  <c r="B135" i="34"/>
  <c r="C135" i="31"/>
  <c r="D135" i="31" s="1"/>
  <c r="E135" i="31" s="1"/>
  <c r="F135" i="31" s="1"/>
  <c r="G135" i="31" s="1"/>
  <c r="H135" i="31" s="1"/>
  <c r="I135" i="31" s="1"/>
  <c r="J135" i="31" s="1"/>
  <c r="K135" i="31" s="1"/>
  <c r="L135" i="31" s="1"/>
  <c r="M135" i="31" s="1"/>
  <c r="C130" i="31"/>
  <c r="D130" i="31" s="1"/>
  <c r="E130" i="31" s="1"/>
  <c r="F130" i="31" s="1"/>
  <c r="G130" i="31" s="1"/>
  <c r="H130" i="31" s="1"/>
  <c r="I130" i="31" s="1"/>
  <c r="J130" i="31" s="1"/>
  <c r="K130" i="31" s="1"/>
  <c r="L130" i="31" s="1"/>
  <c r="M130" i="31" s="1"/>
  <c r="B130" i="34"/>
  <c r="C393" i="31"/>
  <c r="D393" i="31" s="1"/>
  <c r="E393" i="31" s="1"/>
  <c r="F393" i="31" s="1"/>
  <c r="G393" i="31" s="1"/>
  <c r="H393" i="31" s="1"/>
  <c r="I393" i="31" s="1"/>
  <c r="J393" i="31" s="1"/>
  <c r="K393" i="31" s="1"/>
  <c r="L393" i="31" s="1"/>
  <c r="M393" i="31" s="1"/>
  <c r="B393" i="34"/>
  <c r="C386" i="31"/>
  <c r="D386" i="31" s="1"/>
  <c r="E386" i="31" s="1"/>
  <c r="F386" i="31" s="1"/>
  <c r="G386" i="31" s="1"/>
  <c r="H386" i="31" s="1"/>
  <c r="I386" i="31" s="1"/>
  <c r="J386" i="31" s="1"/>
  <c r="K386" i="31" s="1"/>
  <c r="L386" i="31" s="1"/>
  <c r="M386" i="31" s="1"/>
  <c r="B386" i="34"/>
  <c r="C372" i="31"/>
  <c r="D372" i="31" s="1"/>
  <c r="E372" i="31" s="1"/>
  <c r="F372" i="31" s="1"/>
  <c r="G372" i="31" s="1"/>
  <c r="H372" i="31" s="1"/>
  <c r="I372" i="31" s="1"/>
  <c r="J372" i="31" s="1"/>
  <c r="K372" i="31" s="1"/>
  <c r="L372" i="31" s="1"/>
  <c r="M372" i="31" s="1"/>
  <c r="C365" i="31"/>
  <c r="D365" i="31" s="1"/>
  <c r="E365" i="31" s="1"/>
  <c r="F365" i="31" s="1"/>
  <c r="G365" i="31" s="1"/>
  <c r="H365" i="31" s="1"/>
  <c r="I365" i="31" s="1"/>
  <c r="J365" i="31" s="1"/>
  <c r="K365" i="31" s="1"/>
  <c r="L365" i="31" s="1"/>
  <c r="M365" i="31" s="1"/>
  <c r="B365" i="34"/>
  <c r="C358" i="31"/>
  <c r="D358" i="31" s="1"/>
  <c r="E358" i="31" s="1"/>
  <c r="F358" i="31" s="1"/>
  <c r="G358" i="31" s="1"/>
  <c r="H358" i="31" s="1"/>
  <c r="I358" i="31" s="1"/>
  <c r="J358" i="31" s="1"/>
  <c r="K358" i="31" s="1"/>
  <c r="L358" i="31" s="1"/>
  <c r="M358" i="31" s="1"/>
  <c r="C348" i="31"/>
  <c r="D348" i="31" s="1"/>
  <c r="E348" i="31" s="1"/>
  <c r="F348" i="31" s="1"/>
  <c r="G348" i="31" s="1"/>
  <c r="H348" i="31" s="1"/>
  <c r="I348" i="31" s="1"/>
  <c r="J348" i="31" s="1"/>
  <c r="K348" i="31" s="1"/>
  <c r="L348" i="31" s="1"/>
  <c r="M348" i="31" s="1"/>
  <c r="C323" i="31"/>
  <c r="D323" i="31" s="1"/>
  <c r="E323" i="31" s="1"/>
  <c r="F323" i="31" s="1"/>
  <c r="G323" i="31" s="1"/>
  <c r="H323" i="31" s="1"/>
  <c r="I323" i="31" s="1"/>
  <c r="J323" i="31" s="1"/>
  <c r="K323" i="31" s="1"/>
  <c r="L323" i="31" s="1"/>
  <c r="M323" i="31" s="1"/>
  <c r="C317" i="31"/>
  <c r="D317" i="31" s="1"/>
  <c r="E317" i="31" s="1"/>
  <c r="F317" i="31" s="1"/>
  <c r="G317" i="31" s="1"/>
  <c r="H317" i="31" s="1"/>
  <c r="I317" i="31" s="1"/>
  <c r="J317" i="31" s="1"/>
  <c r="K317" i="31" s="1"/>
  <c r="L317" i="31" s="1"/>
  <c r="M317" i="31" s="1"/>
  <c r="B317" i="34"/>
  <c r="C314" i="31"/>
  <c r="D314" i="31" s="1"/>
  <c r="E314" i="31" s="1"/>
  <c r="F314" i="31" s="1"/>
  <c r="G314" i="31" s="1"/>
  <c r="H314" i="31" s="1"/>
  <c r="I314" i="31" s="1"/>
  <c r="J314" i="31" s="1"/>
  <c r="K314" i="31" s="1"/>
  <c r="L314" i="31" s="1"/>
  <c r="M314" i="31" s="1"/>
  <c r="B314" i="34"/>
  <c r="C309" i="31"/>
  <c r="D309" i="31" s="1"/>
  <c r="E309" i="31" s="1"/>
  <c r="F309" i="31" s="1"/>
  <c r="G309" i="31" s="1"/>
  <c r="H309" i="31" s="1"/>
  <c r="I309" i="31" s="1"/>
  <c r="J309" i="31" s="1"/>
  <c r="K309" i="31" s="1"/>
  <c r="L309" i="31" s="1"/>
  <c r="M309" i="31" s="1"/>
  <c r="C300" i="31"/>
  <c r="D300" i="31" s="1"/>
  <c r="E300" i="31" s="1"/>
  <c r="F300" i="31" s="1"/>
  <c r="G300" i="31" s="1"/>
  <c r="H300" i="31" s="1"/>
  <c r="I300" i="31" s="1"/>
  <c r="J300" i="31" s="1"/>
  <c r="K300" i="31" s="1"/>
  <c r="L300" i="31" s="1"/>
  <c r="M300" i="31" s="1"/>
  <c r="C275" i="31"/>
  <c r="D275" i="31" s="1"/>
  <c r="E275" i="31" s="1"/>
  <c r="F275" i="31" s="1"/>
  <c r="G275" i="31" s="1"/>
  <c r="H275" i="31" s="1"/>
  <c r="I275" i="31" s="1"/>
  <c r="J275" i="31" s="1"/>
  <c r="K275" i="31" s="1"/>
  <c r="L275" i="31" s="1"/>
  <c r="M275" i="31" s="1"/>
  <c r="B275" i="34"/>
  <c r="C269" i="31"/>
  <c r="D269" i="31" s="1"/>
  <c r="E269" i="31" s="1"/>
  <c r="F269" i="31" s="1"/>
  <c r="G269" i="31" s="1"/>
  <c r="H269" i="31" s="1"/>
  <c r="I269" i="31" s="1"/>
  <c r="J269" i="31" s="1"/>
  <c r="K269" i="31" s="1"/>
  <c r="L269" i="31" s="1"/>
  <c r="M269" i="31" s="1"/>
  <c r="C266" i="31"/>
  <c r="D266" i="31" s="1"/>
  <c r="E266" i="31" s="1"/>
  <c r="F266" i="31" s="1"/>
  <c r="G266" i="31" s="1"/>
  <c r="H266" i="31" s="1"/>
  <c r="I266" i="31" s="1"/>
  <c r="J266" i="31" s="1"/>
  <c r="K266" i="31" s="1"/>
  <c r="L266" i="31" s="1"/>
  <c r="M266" i="31" s="1"/>
  <c r="C251" i="31"/>
  <c r="D251" i="31" s="1"/>
  <c r="E251" i="31" s="1"/>
  <c r="F251" i="31" s="1"/>
  <c r="G251" i="31" s="1"/>
  <c r="H251" i="31" s="1"/>
  <c r="I251" i="31" s="1"/>
  <c r="J251" i="31" s="1"/>
  <c r="K251" i="31" s="1"/>
  <c r="L251" i="31" s="1"/>
  <c r="M251" i="31" s="1"/>
  <c r="B251" i="34"/>
  <c r="C244" i="31"/>
  <c r="D244" i="31" s="1"/>
  <c r="E244" i="31" s="1"/>
  <c r="F244" i="31" s="1"/>
  <c r="G244" i="31" s="1"/>
  <c r="H244" i="31" s="1"/>
  <c r="I244" i="31" s="1"/>
  <c r="J244" i="31" s="1"/>
  <c r="K244" i="31" s="1"/>
  <c r="L244" i="31" s="1"/>
  <c r="M244" i="31" s="1"/>
  <c r="B244" i="34"/>
  <c r="C240" i="31"/>
  <c r="D240" i="31" s="1"/>
  <c r="E240" i="31" s="1"/>
  <c r="F240" i="31" s="1"/>
  <c r="G240" i="31" s="1"/>
  <c r="H240" i="31" s="1"/>
  <c r="I240" i="31" s="1"/>
  <c r="J240" i="31" s="1"/>
  <c r="K240" i="31" s="1"/>
  <c r="L240" i="31" s="1"/>
  <c r="M240" i="31" s="1"/>
  <c r="C226" i="31"/>
  <c r="D226" i="31" s="1"/>
  <c r="E226" i="31" s="1"/>
  <c r="F226" i="31" s="1"/>
  <c r="G226" i="31" s="1"/>
  <c r="H226" i="31" s="1"/>
  <c r="I226" i="31" s="1"/>
  <c r="J226" i="31" s="1"/>
  <c r="K226" i="31" s="1"/>
  <c r="L226" i="31" s="1"/>
  <c r="M226" i="31" s="1"/>
  <c r="B226" i="34"/>
  <c r="C222" i="31"/>
  <c r="D222" i="31" s="1"/>
  <c r="E222" i="31" s="1"/>
  <c r="F222" i="31" s="1"/>
  <c r="G222" i="31" s="1"/>
  <c r="H222" i="31" s="1"/>
  <c r="I222" i="31" s="1"/>
  <c r="J222" i="31" s="1"/>
  <c r="K222" i="31" s="1"/>
  <c r="L222" i="31" s="1"/>
  <c r="M222" i="31" s="1"/>
  <c r="B222" i="34"/>
  <c r="C219" i="31"/>
  <c r="D219" i="31" s="1"/>
  <c r="E219" i="31" s="1"/>
  <c r="F219" i="31" s="1"/>
  <c r="G219" i="31" s="1"/>
  <c r="H219" i="31" s="1"/>
  <c r="I219" i="31" s="1"/>
  <c r="J219" i="31" s="1"/>
  <c r="K219" i="31" s="1"/>
  <c r="L219" i="31" s="1"/>
  <c r="M219" i="31" s="1"/>
  <c r="B219" i="34"/>
  <c r="C216" i="34"/>
  <c r="D216" i="34" s="1"/>
  <c r="E216" i="34" s="1"/>
  <c r="F216" i="34" s="1"/>
  <c r="G216" i="34" s="1"/>
  <c r="H216" i="34" s="1"/>
  <c r="I216" i="34" s="1"/>
  <c r="J216" i="34" s="1"/>
  <c r="K216" i="34" s="1"/>
  <c r="L216" i="34" s="1"/>
  <c r="M216" i="34" s="1"/>
  <c r="N216" i="34" s="1"/>
  <c r="O216" i="34" s="1"/>
  <c r="P216" i="34" s="1"/>
  <c r="Q216" i="34" s="1"/>
  <c r="R216" i="34" s="1"/>
  <c r="S216" i="34" s="1"/>
  <c r="C208" i="31"/>
  <c r="D208" i="31" s="1"/>
  <c r="E208" i="31" s="1"/>
  <c r="F208" i="31" s="1"/>
  <c r="G208" i="31" s="1"/>
  <c r="H208" i="31" s="1"/>
  <c r="I208" i="31" s="1"/>
  <c r="J208" i="31" s="1"/>
  <c r="K208" i="31" s="1"/>
  <c r="L208" i="31" s="1"/>
  <c r="M208" i="31" s="1"/>
  <c r="C203" i="31"/>
  <c r="D203" i="31" s="1"/>
  <c r="E203" i="31" s="1"/>
  <c r="F203" i="31" s="1"/>
  <c r="G203" i="31" s="1"/>
  <c r="H203" i="31" s="1"/>
  <c r="I203" i="31" s="1"/>
  <c r="J203" i="31" s="1"/>
  <c r="K203" i="31" s="1"/>
  <c r="L203" i="31" s="1"/>
  <c r="M203" i="31" s="1"/>
  <c r="B203" i="34"/>
  <c r="C200" i="34"/>
  <c r="D200" i="34" s="1"/>
  <c r="E200" i="34" s="1"/>
  <c r="F200" i="34" s="1"/>
  <c r="G200" i="34" s="1"/>
  <c r="H200" i="34" s="1"/>
  <c r="I200" i="34" s="1"/>
  <c r="J200" i="34" s="1"/>
  <c r="K200" i="34" s="1"/>
  <c r="L200" i="34" s="1"/>
  <c r="M200" i="34" s="1"/>
  <c r="N200" i="34" s="1"/>
  <c r="O200" i="34" s="1"/>
  <c r="P200" i="34" s="1"/>
  <c r="Q200" i="34" s="1"/>
  <c r="R200" i="34" s="1"/>
  <c r="S200" i="34" s="1"/>
  <c r="C186" i="31"/>
  <c r="D186" i="31" s="1"/>
  <c r="E186" i="31" s="1"/>
  <c r="F186" i="31" s="1"/>
  <c r="G186" i="31" s="1"/>
  <c r="H186" i="31" s="1"/>
  <c r="I186" i="31" s="1"/>
  <c r="J186" i="31" s="1"/>
  <c r="K186" i="31" s="1"/>
  <c r="L186" i="31" s="1"/>
  <c r="M186" i="31" s="1"/>
  <c r="B186" i="34"/>
  <c r="C182" i="31"/>
  <c r="D182" i="31" s="1"/>
  <c r="E182" i="31" s="1"/>
  <c r="F182" i="31" s="1"/>
  <c r="G182" i="31" s="1"/>
  <c r="H182" i="31" s="1"/>
  <c r="I182" i="31" s="1"/>
  <c r="J182" i="31" s="1"/>
  <c r="K182" i="31" s="1"/>
  <c r="L182" i="31" s="1"/>
  <c r="M182" i="31" s="1"/>
  <c r="C159" i="31"/>
  <c r="D159" i="31" s="1"/>
  <c r="E159" i="31" s="1"/>
  <c r="F159" i="31" s="1"/>
  <c r="G159" i="31" s="1"/>
  <c r="H159" i="31" s="1"/>
  <c r="I159" i="31" s="1"/>
  <c r="J159" i="31" s="1"/>
  <c r="K159" i="31" s="1"/>
  <c r="L159" i="31" s="1"/>
  <c r="M159" i="31" s="1"/>
  <c r="B159" i="34"/>
  <c r="B144" i="34"/>
  <c r="C144" i="31"/>
  <c r="D144" i="31" s="1"/>
  <c r="E144" i="31" s="1"/>
  <c r="F144" i="31" s="1"/>
  <c r="G144" i="31" s="1"/>
  <c r="H144" i="31" s="1"/>
  <c r="I144" i="31" s="1"/>
  <c r="J144" i="31" s="1"/>
  <c r="K144" i="31" s="1"/>
  <c r="L144" i="31" s="1"/>
  <c r="M144" i="31" s="1"/>
  <c r="C139" i="31"/>
  <c r="D139" i="31" s="1"/>
  <c r="E139" i="31" s="1"/>
  <c r="F139" i="31" s="1"/>
  <c r="G139" i="31" s="1"/>
  <c r="H139" i="31" s="1"/>
  <c r="I139" i="31" s="1"/>
  <c r="J139" i="31" s="1"/>
  <c r="K139" i="31" s="1"/>
  <c r="L139" i="31" s="1"/>
  <c r="M139" i="31" s="1"/>
  <c r="B139" i="34"/>
  <c r="B117" i="34"/>
  <c r="C117" i="31"/>
  <c r="D117" i="31" s="1"/>
  <c r="E117" i="31" s="1"/>
  <c r="F117" i="31" s="1"/>
  <c r="G117" i="31" s="1"/>
  <c r="H117" i="31" s="1"/>
  <c r="I117" i="31" s="1"/>
  <c r="J117" i="31" s="1"/>
  <c r="K117" i="31" s="1"/>
  <c r="L117" i="31" s="1"/>
  <c r="M117" i="31" s="1"/>
  <c r="C103" i="31"/>
  <c r="D103" i="31" s="1"/>
  <c r="E103" i="31" s="1"/>
  <c r="F103" i="31" s="1"/>
  <c r="G103" i="31" s="1"/>
  <c r="H103" i="31" s="1"/>
  <c r="I103" i="31" s="1"/>
  <c r="J103" i="31" s="1"/>
  <c r="K103" i="31" s="1"/>
  <c r="L103" i="31" s="1"/>
  <c r="M103" i="31" s="1"/>
  <c r="B103" i="34"/>
  <c r="C369" i="31"/>
  <c r="D369" i="31" s="1"/>
  <c r="E369" i="31" s="1"/>
  <c r="F369" i="31" s="1"/>
  <c r="G369" i="31" s="1"/>
  <c r="H369" i="31" s="1"/>
  <c r="I369" i="31" s="1"/>
  <c r="J369" i="31" s="1"/>
  <c r="K369" i="31" s="1"/>
  <c r="L369" i="31" s="1"/>
  <c r="M369" i="31" s="1"/>
  <c r="B369" i="34"/>
  <c r="C360" i="31"/>
  <c r="D360" i="31" s="1"/>
  <c r="E360" i="31" s="1"/>
  <c r="F360" i="31" s="1"/>
  <c r="G360" i="31" s="1"/>
  <c r="H360" i="31" s="1"/>
  <c r="I360" i="31" s="1"/>
  <c r="J360" i="31" s="1"/>
  <c r="K360" i="31" s="1"/>
  <c r="L360" i="31" s="1"/>
  <c r="M360" i="31" s="1"/>
  <c r="B360" i="34"/>
  <c r="C355" i="31"/>
  <c r="D355" i="31" s="1"/>
  <c r="E355" i="31" s="1"/>
  <c r="F355" i="31" s="1"/>
  <c r="G355" i="31" s="1"/>
  <c r="H355" i="31" s="1"/>
  <c r="I355" i="31" s="1"/>
  <c r="J355" i="31" s="1"/>
  <c r="K355" i="31" s="1"/>
  <c r="L355" i="31" s="1"/>
  <c r="M355" i="31" s="1"/>
  <c r="B355" i="34"/>
  <c r="C329" i="31"/>
  <c r="D329" i="31" s="1"/>
  <c r="E329" i="31" s="1"/>
  <c r="F329" i="31" s="1"/>
  <c r="G329" i="31" s="1"/>
  <c r="H329" i="31" s="1"/>
  <c r="I329" i="31" s="1"/>
  <c r="J329" i="31" s="1"/>
  <c r="K329" i="31" s="1"/>
  <c r="L329" i="31" s="1"/>
  <c r="M329" i="31" s="1"/>
  <c r="B329" i="34"/>
  <c r="C320" i="31"/>
  <c r="D320" i="31" s="1"/>
  <c r="E320" i="31" s="1"/>
  <c r="F320" i="31" s="1"/>
  <c r="G320" i="31" s="1"/>
  <c r="H320" i="31" s="1"/>
  <c r="I320" i="31" s="1"/>
  <c r="J320" i="31" s="1"/>
  <c r="K320" i="31" s="1"/>
  <c r="L320" i="31" s="1"/>
  <c r="M320" i="31" s="1"/>
  <c r="B320" i="34"/>
  <c r="C313" i="31"/>
  <c r="D313" i="31" s="1"/>
  <c r="E313" i="31" s="1"/>
  <c r="F313" i="31" s="1"/>
  <c r="G313" i="31" s="1"/>
  <c r="H313" i="31" s="1"/>
  <c r="I313" i="31" s="1"/>
  <c r="J313" i="31" s="1"/>
  <c r="K313" i="31" s="1"/>
  <c r="L313" i="31" s="1"/>
  <c r="M313" i="31" s="1"/>
  <c r="B313" i="34"/>
  <c r="C296" i="31"/>
  <c r="D296" i="31" s="1"/>
  <c r="E296" i="31" s="1"/>
  <c r="F296" i="31" s="1"/>
  <c r="G296" i="31" s="1"/>
  <c r="H296" i="31" s="1"/>
  <c r="I296" i="31" s="1"/>
  <c r="J296" i="31" s="1"/>
  <c r="K296" i="31" s="1"/>
  <c r="L296" i="31" s="1"/>
  <c r="M296" i="31" s="1"/>
  <c r="B296" i="34"/>
  <c r="C293" i="31"/>
  <c r="D293" i="31" s="1"/>
  <c r="E293" i="31" s="1"/>
  <c r="F293" i="31" s="1"/>
  <c r="G293" i="31" s="1"/>
  <c r="H293" i="31" s="1"/>
  <c r="I293" i="31" s="1"/>
  <c r="J293" i="31" s="1"/>
  <c r="K293" i="31" s="1"/>
  <c r="L293" i="31" s="1"/>
  <c r="M293" i="31" s="1"/>
  <c r="B293" i="34"/>
  <c r="C263" i="31"/>
  <c r="D263" i="31" s="1"/>
  <c r="E263" i="31" s="1"/>
  <c r="F263" i="31" s="1"/>
  <c r="G263" i="31" s="1"/>
  <c r="H263" i="31" s="1"/>
  <c r="I263" i="31" s="1"/>
  <c r="J263" i="31" s="1"/>
  <c r="K263" i="31" s="1"/>
  <c r="L263" i="31" s="1"/>
  <c r="M263" i="31" s="1"/>
  <c r="B263" i="34"/>
  <c r="C260" i="31"/>
  <c r="D260" i="31" s="1"/>
  <c r="E260" i="31" s="1"/>
  <c r="F260" i="31" s="1"/>
  <c r="G260" i="31" s="1"/>
  <c r="H260" i="31" s="1"/>
  <c r="I260" i="31" s="1"/>
  <c r="J260" i="31" s="1"/>
  <c r="K260" i="31" s="1"/>
  <c r="L260" i="31" s="1"/>
  <c r="M260" i="31" s="1"/>
  <c r="B260" i="34"/>
  <c r="C254" i="31"/>
  <c r="D254" i="31" s="1"/>
  <c r="E254" i="31" s="1"/>
  <c r="F254" i="31" s="1"/>
  <c r="G254" i="31" s="1"/>
  <c r="H254" i="31" s="1"/>
  <c r="I254" i="31" s="1"/>
  <c r="J254" i="31" s="1"/>
  <c r="K254" i="31" s="1"/>
  <c r="L254" i="31" s="1"/>
  <c r="M254" i="31" s="1"/>
  <c r="B254" i="34"/>
  <c r="C250" i="31"/>
  <c r="D250" i="31" s="1"/>
  <c r="E250" i="31" s="1"/>
  <c r="F250" i="31" s="1"/>
  <c r="G250" i="31" s="1"/>
  <c r="H250" i="31" s="1"/>
  <c r="I250" i="31" s="1"/>
  <c r="J250" i="31" s="1"/>
  <c r="K250" i="31" s="1"/>
  <c r="L250" i="31" s="1"/>
  <c r="M250" i="31" s="1"/>
  <c r="B250" i="34"/>
  <c r="C243" i="31"/>
  <c r="D243" i="31" s="1"/>
  <c r="E243" i="31" s="1"/>
  <c r="F243" i="31" s="1"/>
  <c r="G243" i="31" s="1"/>
  <c r="H243" i="31" s="1"/>
  <c r="I243" i="31" s="1"/>
  <c r="J243" i="31" s="1"/>
  <c r="K243" i="31" s="1"/>
  <c r="L243" i="31" s="1"/>
  <c r="M243" i="31" s="1"/>
  <c r="B243" i="34"/>
  <c r="C240" i="34"/>
  <c r="D240" i="34" s="1"/>
  <c r="E240" i="34" s="1"/>
  <c r="F240" i="34" s="1"/>
  <c r="G240" i="34" s="1"/>
  <c r="H240" i="34" s="1"/>
  <c r="I240" i="34" s="1"/>
  <c r="J240" i="34" s="1"/>
  <c r="K240" i="34" s="1"/>
  <c r="L240" i="34" s="1"/>
  <c r="M240" i="34" s="1"/>
  <c r="N240" i="34" s="1"/>
  <c r="O240" i="34" s="1"/>
  <c r="P240" i="34" s="1"/>
  <c r="Q240" i="34" s="1"/>
  <c r="R240" i="34" s="1"/>
  <c r="S240" i="34" s="1"/>
  <c r="C234" i="31"/>
  <c r="D234" i="31" s="1"/>
  <c r="E234" i="31" s="1"/>
  <c r="F234" i="31" s="1"/>
  <c r="G234" i="31" s="1"/>
  <c r="H234" i="31" s="1"/>
  <c r="I234" i="31" s="1"/>
  <c r="J234" i="31" s="1"/>
  <c r="K234" i="31" s="1"/>
  <c r="L234" i="31" s="1"/>
  <c r="M234" i="31" s="1"/>
  <c r="B234" i="34"/>
  <c r="C212" i="31"/>
  <c r="D212" i="31" s="1"/>
  <c r="E212" i="31" s="1"/>
  <c r="F212" i="31" s="1"/>
  <c r="G212" i="31" s="1"/>
  <c r="H212" i="31" s="1"/>
  <c r="I212" i="31" s="1"/>
  <c r="J212" i="31" s="1"/>
  <c r="K212" i="31" s="1"/>
  <c r="L212" i="31" s="1"/>
  <c r="M212" i="31" s="1"/>
  <c r="B212" i="34"/>
  <c r="C208" i="34"/>
  <c r="D208" i="34" s="1"/>
  <c r="E208" i="34" s="1"/>
  <c r="F208" i="34" s="1"/>
  <c r="G208" i="34" s="1"/>
  <c r="H208" i="34" s="1"/>
  <c r="I208" i="34" s="1"/>
  <c r="J208" i="34" s="1"/>
  <c r="K208" i="34" s="1"/>
  <c r="L208" i="34" s="1"/>
  <c r="M208" i="34" s="1"/>
  <c r="N208" i="34" s="1"/>
  <c r="O208" i="34" s="1"/>
  <c r="P208" i="34" s="1"/>
  <c r="Q208" i="34" s="1"/>
  <c r="R208" i="34" s="1"/>
  <c r="S208" i="34" s="1"/>
  <c r="C202" i="31"/>
  <c r="D202" i="31" s="1"/>
  <c r="E202" i="31" s="1"/>
  <c r="F202" i="31" s="1"/>
  <c r="G202" i="31" s="1"/>
  <c r="H202" i="31" s="1"/>
  <c r="I202" i="31" s="1"/>
  <c r="J202" i="31" s="1"/>
  <c r="K202" i="31" s="1"/>
  <c r="L202" i="31" s="1"/>
  <c r="M202" i="31" s="1"/>
  <c r="B202" i="34"/>
  <c r="C194" i="31"/>
  <c r="D194" i="31" s="1"/>
  <c r="E194" i="31" s="1"/>
  <c r="F194" i="31" s="1"/>
  <c r="G194" i="31" s="1"/>
  <c r="H194" i="31" s="1"/>
  <c r="I194" i="31" s="1"/>
  <c r="J194" i="31" s="1"/>
  <c r="K194" i="31" s="1"/>
  <c r="L194" i="31" s="1"/>
  <c r="M194" i="31" s="1"/>
  <c r="B194" i="34"/>
  <c r="C189" i="31"/>
  <c r="D189" i="31" s="1"/>
  <c r="E189" i="31" s="1"/>
  <c r="F189" i="31" s="1"/>
  <c r="G189" i="31" s="1"/>
  <c r="H189" i="31" s="1"/>
  <c r="I189" i="31" s="1"/>
  <c r="J189" i="31" s="1"/>
  <c r="K189" i="31" s="1"/>
  <c r="L189" i="31" s="1"/>
  <c r="M189" i="31" s="1"/>
  <c r="B189" i="34"/>
  <c r="B185" i="34"/>
  <c r="C185" i="31"/>
  <c r="D185" i="31" s="1"/>
  <c r="E185" i="31" s="1"/>
  <c r="F185" i="31" s="1"/>
  <c r="G185" i="31" s="1"/>
  <c r="H185" i="31" s="1"/>
  <c r="I185" i="31" s="1"/>
  <c r="J185" i="31" s="1"/>
  <c r="K185" i="31" s="1"/>
  <c r="L185" i="31" s="1"/>
  <c r="M185" i="31" s="1"/>
  <c r="C175" i="31"/>
  <c r="D175" i="31" s="1"/>
  <c r="E175" i="31" s="1"/>
  <c r="F175" i="31" s="1"/>
  <c r="G175" i="31" s="1"/>
  <c r="H175" i="31" s="1"/>
  <c r="I175" i="31" s="1"/>
  <c r="J175" i="31" s="1"/>
  <c r="K175" i="31" s="1"/>
  <c r="L175" i="31" s="1"/>
  <c r="M175" i="31" s="1"/>
  <c r="B175" i="34"/>
  <c r="C170" i="31"/>
  <c r="D170" i="31" s="1"/>
  <c r="E170" i="31" s="1"/>
  <c r="F170" i="31" s="1"/>
  <c r="G170" i="31" s="1"/>
  <c r="H170" i="31" s="1"/>
  <c r="I170" i="31" s="1"/>
  <c r="J170" i="31" s="1"/>
  <c r="K170" i="31" s="1"/>
  <c r="L170" i="31" s="1"/>
  <c r="M170" i="31" s="1"/>
  <c r="B170" i="34"/>
  <c r="C134" i="31"/>
  <c r="D134" i="31" s="1"/>
  <c r="E134" i="31" s="1"/>
  <c r="F134" i="31" s="1"/>
  <c r="G134" i="31" s="1"/>
  <c r="H134" i="31" s="1"/>
  <c r="I134" i="31" s="1"/>
  <c r="J134" i="31" s="1"/>
  <c r="K134" i="31" s="1"/>
  <c r="L134" i="31" s="1"/>
  <c r="M134" i="31" s="1"/>
  <c r="C197" i="31"/>
  <c r="D197" i="31" s="1"/>
  <c r="E197" i="31" s="1"/>
  <c r="F197" i="31" s="1"/>
  <c r="G197" i="31" s="1"/>
  <c r="H197" i="31" s="1"/>
  <c r="I197" i="31" s="1"/>
  <c r="J197" i="31" s="1"/>
  <c r="K197" i="31" s="1"/>
  <c r="L197" i="31" s="1"/>
  <c r="M197" i="31" s="1"/>
  <c r="B197" i="34"/>
  <c r="C188" i="31"/>
  <c r="D188" i="31" s="1"/>
  <c r="E188" i="31" s="1"/>
  <c r="F188" i="31" s="1"/>
  <c r="G188" i="31" s="1"/>
  <c r="H188" i="31" s="1"/>
  <c r="I188" i="31" s="1"/>
  <c r="J188" i="31" s="1"/>
  <c r="K188" i="31" s="1"/>
  <c r="L188" i="31" s="1"/>
  <c r="M188" i="31" s="1"/>
  <c r="B188" i="34"/>
  <c r="C184" i="31"/>
  <c r="D184" i="31" s="1"/>
  <c r="E184" i="31" s="1"/>
  <c r="F184" i="31" s="1"/>
  <c r="G184" i="31" s="1"/>
  <c r="H184" i="31" s="1"/>
  <c r="I184" i="31" s="1"/>
  <c r="J184" i="31" s="1"/>
  <c r="K184" i="31" s="1"/>
  <c r="L184" i="31" s="1"/>
  <c r="M184" i="31" s="1"/>
  <c r="B184" i="34"/>
  <c r="C181" i="31"/>
  <c r="D181" i="31" s="1"/>
  <c r="E181" i="31" s="1"/>
  <c r="F181" i="31" s="1"/>
  <c r="G181" i="31" s="1"/>
  <c r="H181" i="31" s="1"/>
  <c r="I181" i="31" s="1"/>
  <c r="J181" i="31" s="1"/>
  <c r="K181" i="31" s="1"/>
  <c r="L181" i="31" s="1"/>
  <c r="M181" i="31" s="1"/>
  <c r="B181" i="34"/>
  <c r="C178" i="31"/>
  <c r="D178" i="31" s="1"/>
  <c r="E178" i="31" s="1"/>
  <c r="F178" i="31" s="1"/>
  <c r="G178" i="31" s="1"/>
  <c r="H178" i="31" s="1"/>
  <c r="I178" i="31" s="1"/>
  <c r="J178" i="31" s="1"/>
  <c r="K178" i="31" s="1"/>
  <c r="L178" i="31" s="1"/>
  <c r="M178" i="31" s="1"/>
  <c r="B178" i="34"/>
  <c r="C157" i="31"/>
  <c r="D157" i="31" s="1"/>
  <c r="E157" i="31" s="1"/>
  <c r="F157" i="31" s="1"/>
  <c r="G157" i="31" s="1"/>
  <c r="H157" i="31" s="1"/>
  <c r="I157" i="31" s="1"/>
  <c r="J157" i="31" s="1"/>
  <c r="K157" i="31" s="1"/>
  <c r="L157" i="31" s="1"/>
  <c r="M157" i="31" s="1"/>
  <c r="B157" i="34"/>
  <c r="C143" i="31"/>
  <c r="D143" i="31" s="1"/>
  <c r="E143" i="31" s="1"/>
  <c r="F143" i="31" s="1"/>
  <c r="G143" i="31" s="1"/>
  <c r="H143" i="31" s="1"/>
  <c r="I143" i="31" s="1"/>
  <c r="J143" i="31" s="1"/>
  <c r="K143" i="31" s="1"/>
  <c r="L143" i="31" s="1"/>
  <c r="M143" i="31" s="1"/>
  <c r="B143" i="34"/>
  <c r="C392" i="34"/>
  <c r="D392" i="34" s="1"/>
  <c r="E392" i="34" s="1"/>
  <c r="F392" i="34" s="1"/>
  <c r="G392" i="34" s="1"/>
  <c r="H392" i="34" s="1"/>
  <c r="I392" i="34" s="1"/>
  <c r="J392" i="34" s="1"/>
  <c r="K392" i="34" s="1"/>
  <c r="L392" i="34" s="1"/>
  <c r="C385" i="31"/>
  <c r="D385" i="31" s="1"/>
  <c r="E385" i="31" s="1"/>
  <c r="F385" i="31" s="1"/>
  <c r="G385" i="31" s="1"/>
  <c r="H385" i="31" s="1"/>
  <c r="I385" i="31" s="1"/>
  <c r="J385" i="31" s="1"/>
  <c r="K385" i="31" s="1"/>
  <c r="L385" i="31" s="1"/>
  <c r="M385" i="31" s="1"/>
  <c r="B385" i="34"/>
  <c r="C379" i="31"/>
  <c r="D379" i="31" s="1"/>
  <c r="E379" i="31" s="1"/>
  <c r="F379" i="31" s="1"/>
  <c r="G379" i="31" s="1"/>
  <c r="H379" i="31" s="1"/>
  <c r="I379" i="31" s="1"/>
  <c r="J379" i="31" s="1"/>
  <c r="K379" i="31" s="1"/>
  <c r="L379" i="31" s="1"/>
  <c r="M379" i="31" s="1"/>
  <c r="B379" i="34"/>
  <c r="C376" i="34"/>
  <c r="D376" i="34" s="1"/>
  <c r="E376" i="34" s="1"/>
  <c r="F376" i="34" s="1"/>
  <c r="G376" i="34" s="1"/>
  <c r="H376" i="34" s="1"/>
  <c r="I376" i="34" s="1"/>
  <c r="J376" i="34" s="1"/>
  <c r="K376" i="34" s="1"/>
  <c r="L376" i="34" s="1"/>
  <c r="M376" i="34" s="1"/>
  <c r="N376" i="34" s="1"/>
  <c r="O376" i="34" s="1"/>
  <c r="P376" i="34" s="1"/>
  <c r="Q376" i="34" s="1"/>
  <c r="R376" i="34" s="1"/>
  <c r="S376" i="34" s="1"/>
  <c r="C371" i="31"/>
  <c r="D371" i="31" s="1"/>
  <c r="E371" i="31" s="1"/>
  <c r="F371" i="31" s="1"/>
  <c r="G371" i="31" s="1"/>
  <c r="H371" i="31" s="1"/>
  <c r="I371" i="31" s="1"/>
  <c r="J371" i="31" s="1"/>
  <c r="K371" i="31" s="1"/>
  <c r="L371" i="31" s="1"/>
  <c r="M371" i="31" s="1"/>
  <c r="B371" i="34"/>
  <c r="C364" i="34"/>
  <c r="D364" i="34" s="1"/>
  <c r="E364" i="34" s="1"/>
  <c r="F364" i="34" s="1"/>
  <c r="G364" i="34" s="1"/>
  <c r="H364" i="34" s="1"/>
  <c r="I364" i="34" s="1"/>
  <c r="J364" i="34" s="1"/>
  <c r="K364" i="34" s="1"/>
  <c r="L364" i="34" s="1"/>
  <c r="M364" i="34" s="1"/>
  <c r="N364" i="34" s="1"/>
  <c r="O364" i="34" s="1"/>
  <c r="P364" i="34" s="1"/>
  <c r="Q364" i="34" s="1"/>
  <c r="R364" i="34" s="1"/>
  <c r="S364" i="34" s="1"/>
  <c r="C354" i="31"/>
  <c r="D354" i="31" s="1"/>
  <c r="E354" i="31" s="1"/>
  <c r="F354" i="31" s="1"/>
  <c r="G354" i="31" s="1"/>
  <c r="H354" i="31" s="1"/>
  <c r="I354" i="31" s="1"/>
  <c r="J354" i="31" s="1"/>
  <c r="K354" i="31" s="1"/>
  <c r="L354" i="31" s="1"/>
  <c r="M354" i="31" s="1"/>
  <c r="B354" i="34"/>
  <c r="C350" i="31"/>
  <c r="D350" i="31" s="1"/>
  <c r="E350" i="31" s="1"/>
  <c r="F350" i="31" s="1"/>
  <c r="G350" i="31" s="1"/>
  <c r="H350" i="31" s="1"/>
  <c r="I350" i="31" s="1"/>
  <c r="J350" i="31" s="1"/>
  <c r="K350" i="31" s="1"/>
  <c r="L350" i="31" s="1"/>
  <c r="M350" i="31" s="1"/>
  <c r="B350" i="34"/>
  <c r="C347" i="31"/>
  <c r="D347" i="31" s="1"/>
  <c r="E347" i="31" s="1"/>
  <c r="F347" i="31" s="1"/>
  <c r="G347" i="31" s="1"/>
  <c r="H347" i="31" s="1"/>
  <c r="I347" i="31" s="1"/>
  <c r="J347" i="31" s="1"/>
  <c r="K347" i="31" s="1"/>
  <c r="L347" i="31" s="1"/>
  <c r="M347" i="31" s="1"/>
  <c r="B347" i="34"/>
  <c r="C344" i="31"/>
  <c r="D344" i="31" s="1"/>
  <c r="E344" i="31" s="1"/>
  <c r="F344" i="31" s="1"/>
  <c r="G344" i="31" s="1"/>
  <c r="H344" i="31" s="1"/>
  <c r="I344" i="31" s="1"/>
  <c r="J344" i="31" s="1"/>
  <c r="K344" i="31" s="1"/>
  <c r="L344" i="31" s="1"/>
  <c r="M344" i="31" s="1"/>
  <c r="B344" i="34"/>
  <c r="C342" i="34"/>
  <c r="D342" i="34" s="1"/>
  <c r="E342" i="34" s="1"/>
  <c r="F342" i="34" s="1"/>
  <c r="G342" i="34" s="1"/>
  <c r="H342" i="34" s="1"/>
  <c r="I342" i="34" s="1"/>
  <c r="J342" i="34" s="1"/>
  <c r="K342" i="34" s="1"/>
  <c r="L342" i="34" s="1"/>
  <c r="M342" i="34" s="1"/>
  <c r="N342" i="34" s="1"/>
  <c r="O342" i="34" s="1"/>
  <c r="P342" i="34" s="1"/>
  <c r="Q342" i="34" s="1"/>
  <c r="R342" i="34" s="1"/>
  <c r="S342" i="34" s="1"/>
  <c r="C333" i="31"/>
  <c r="D333" i="31" s="1"/>
  <c r="E333" i="31" s="1"/>
  <c r="F333" i="31" s="1"/>
  <c r="G333" i="31" s="1"/>
  <c r="H333" i="31" s="1"/>
  <c r="I333" i="31" s="1"/>
  <c r="J333" i="31" s="1"/>
  <c r="K333" i="31" s="1"/>
  <c r="L333" i="31" s="1"/>
  <c r="M333" i="31" s="1"/>
  <c r="B333" i="34"/>
  <c r="C331" i="34"/>
  <c r="D331" i="34" s="1"/>
  <c r="E331" i="34" s="1"/>
  <c r="F331" i="34" s="1"/>
  <c r="G331" i="34" s="1"/>
  <c r="H331" i="34" s="1"/>
  <c r="I331" i="34" s="1"/>
  <c r="J331" i="34" s="1"/>
  <c r="K331" i="34" s="1"/>
  <c r="L331" i="34" s="1"/>
  <c r="M331" i="34" s="1"/>
  <c r="N331" i="34" s="1"/>
  <c r="O331" i="34" s="1"/>
  <c r="P331" i="34" s="1"/>
  <c r="Q331" i="34" s="1"/>
  <c r="R331" i="34" s="1"/>
  <c r="S331" i="34" s="1"/>
  <c r="C328" i="34"/>
  <c r="D328" i="34" s="1"/>
  <c r="E328" i="34" s="1"/>
  <c r="F328" i="34" s="1"/>
  <c r="G328" i="34" s="1"/>
  <c r="H328" i="34" s="1"/>
  <c r="I328" i="34" s="1"/>
  <c r="J328" i="34" s="1"/>
  <c r="K328" i="34" s="1"/>
  <c r="L328" i="34" s="1"/>
  <c r="M328" i="34" s="1"/>
  <c r="N328" i="34" s="1"/>
  <c r="O328" i="34" s="1"/>
  <c r="P328" i="34" s="1"/>
  <c r="Q328" i="34" s="1"/>
  <c r="R328" i="34" s="1"/>
  <c r="S328" i="34" s="1"/>
  <c r="C319" i="31"/>
  <c r="D319" i="31" s="1"/>
  <c r="E319" i="31" s="1"/>
  <c r="F319" i="31" s="1"/>
  <c r="G319" i="31" s="1"/>
  <c r="H319" i="31" s="1"/>
  <c r="I319" i="31" s="1"/>
  <c r="J319" i="31" s="1"/>
  <c r="K319" i="31" s="1"/>
  <c r="L319" i="31" s="1"/>
  <c r="M319" i="31" s="1"/>
  <c r="B319" i="34"/>
  <c r="C316" i="34"/>
  <c r="D316" i="34" s="1"/>
  <c r="E316" i="34" s="1"/>
  <c r="F316" i="34" s="1"/>
  <c r="G316" i="34" s="1"/>
  <c r="H316" i="34" s="1"/>
  <c r="I316" i="34" s="1"/>
  <c r="J316" i="34" s="1"/>
  <c r="K316" i="34" s="1"/>
  <c r="L316" i="34" s="1"/>
  <c r="M316" i="34" s="1"/>
  <c r="N316" i="34" s="1"/>
  <c r="O316" i="34" s="1"/>
  <c r="P316" i="34" s="1"/>
  <c r="Q316" i="34" s="1"/>
  <c r="R316" i="34" s="1"/>
  <c r="S316" i="34" s="1"/>
  <c r="C311" i="31"/>
  <c r="D311" i="31" s="1"/>
  <c r="E311" i="31" s="1"/>
  <c r="F311" i="31" s="1"/>
  <c r="G311" i="31" s="1"/>
  <c r="H311" i="31" s="1"/>
  <c r="I311" i="31" s="1"/>
  <c r="J311" i="31" s="1"/>
  <c r="K311" i="31" s="1"/>
  <c r="L311" i="31" s="1"/>
  <c r="M311" i="31" s="1"/>
  <c r="B311" i="34"/>
  <c r="C292" i="34"/>
  <c r="D292" i="34" s="1"/>
  <c r="E292" i="34" s="1"/>
  <c r="F292" i="34" s="1"/>
  <c r="G292" i="34" s="1"/>
  <c r="H292" i="34" s="1"/>
  <c r="I292" i="34" s="1"/>
  <c r="J292" i="34" s="1"/>
  <c r="K292" i="34" s="1"/>
  <c r="L292" i="34" s="1"/>
  <c r="M292" i="34" s="1"/>
  <c r="N292" i="34" s="1"/>
  <c r="O292" i="34" s="1"/>
  <c r="P292" i="34" s="1"/>
  <c r="Q292" i="34" s="1"/>
  <c r="R292" i="34" s="1"/>
  <c r="S292" i="34" s="1"/>
  <c r="C290" i="34"/>
  <c r="D290" i="34" s="1"/>
  <c r="E290" i="34" s="1"/>
  <c r="F290" i="34" s="1"/>
  <c r="G290" i="34" s="1"/>
  <c r="H290" i="34" s="1"/>
  <c r="I290" i="34" s="1"/>
  <c r="J290" i="34" s="1"/>
  <c r="K290" i="34" s="1"/>
  <c r="L290" i="34" s="1"/>
  <c r="M290" i="34" s="1"/>
  <c r="N290" i="34" s="1"/>
  <c r="O290" i="34" s="1"/>
  <c r="P290" i="34" s="1"/>
  <c r="Q290" i="34" s="1"/>
  <c r="R290" i="34" s="1"/>
  <c r="S290" i="34" s="1"/>
  <c r="C283" i="34"/>
  <c r="D283" i="34" s="1"/>
  <c r="E283" i="34" s="1"/>
  <c r="F283" i="34" s="1"/>
  <c r="G283" i="34" s="1"/>
  <c r="H283" i="34" s="1"/>
  <c r="I283" i="34" s="1"/>
  <c r="J283" i="34" s="1"/>
  <c r="K283" i="34" s="1"/>
  <c r="L283" i="34" s="1"/>
  <c r="M283" i="34" s="1"/>
  <c r="N283" i="34" s="1"/>
  <c r="O283" i="34" s="1"/>
  <c r="P283" i="34" s="1"/>
  <c r="Q283" i="34" s="1"/>
  <c r="R283" i="34" s="1"/>
  <c r="S283" i="34" s="1"/>
  <c r="C280" i="34"/>
  <c r="D280" i="34" s="1"/>
  <c r="E280" i="34" s="1"/>
  <c r="F280" i="34" s="1"/>
  <c r="G280" i="34" s="1"/>
  <c r="H280" i="34" s="1"/>
  <c r="I280" i="34" s="1"/>
  <c r="J280" i="34" s="1"/>
  <c r="K280" i="34" s="1"/>
  <c r="L280" i="34" s="1"/>
  <c r="M280" i="34" s="1"/>
  <c r="N280" i="34" s="1"/>
  <c r="O280" i="34" s="1"/>
  <c r="P280" i="34" s="1"/>
  <c r="Q280" i="34" s="1"/>
  <c r="R280" i="34" s="1"/>
  <c r="S280" i="34" s="1"/>
  <c r="C277" i="34"/>
  <c r="D277" i="34" s="1"/>
  <c r="E277" i="34" s="1"/>
  <c r="F277" i="34" s="1"/>
  <c r="G277" i="34" s="1"/>
  <c r="H277" i="34" s="1"/>
  <c r="I277" i="34" s="1"/>
  <c r="J277" i="34" s="1"/>
  <c r="K277" i="34" s="1"/>
  <c r="L277" i="34" s="1"/>
  <c r="M277" i="34" s="1"/>
  <c r="N277" i="34" s="1"/>
  <c r="O277" i="34" s="1"/>
  <c r="P277" i="34" s="1"/>
  <c r="Q277" i="34" s="1"/>
  <c r="R277" i="34" s="1"/>
  <c r="S277" i="34" s="1"/>
  <c r="C271" i="34"/>
  <c r="D271" i="34" s="1"/>
  <c r="E271" i="34" s="1"/>
  <c r="F271" i="34" s="1"/>
  <c r="G271" i="34" s="1"/>
  <c r="H271" i="34" s="1"/>
  <c r="I271" i="34" s="1"/>
  <c r="J271" i="34" s="1"/>
  <c r="K271" i="34" s="1"/>
  <c r="L271" i="34" s="1"/>
  <c r="M271" i="34" s="1"/>
  <c r="N271" i="34" s="1"/>
  <c r="O271" i="34" s="1"/>
  <c r="P271" i="34" s="1"/>
  <c r="Q271" i="34" s="1"/>
  <c r="R271" i="34" s="1"/>
  <c r="S271" i="34" s="1"/>
  <c r="C268" i="31"/>
  <c r="D268" i="31" s="1"/>
  <c r="E268" i="31" s="1"/>
  <c r="F268" i="31" s="1"/>
  <c r="G268" i="31" s="1"/>
  <c r="H268" i="31" s="1"/>
  <c r="I268" i="31" s="1"/>
  <c r="J268" i="31" s="1"/>
  <c r="K268" i="31" s="1"/>
  <c r="L268" i="31" s="1"/>
  <c r="M268" i="31" s="1"/>
  <c r="C265" i="34"/>
  <c r="D265" i="34" s="1"/>
  <c r="E265" i="34" s="1"/>
  <c r="F265" i="34" s="1"/>
  <c r="G265" i="34" s="1"/>
  <c r="H265" i="34" s="1"/>
  <c r="I265" i="34" s="1"/>
  <c r="J265" i="34" s="1"/>
  <c r="K265" i="34" s="1"/>
  <c r="L265" i="34" s="1"/>
  <c r="M265" i="34" s="1"/>
  <c r="N265" i="34" s="1"/>
  <c r="O265" i="34" s="1"/>
  <c r="P265" i="34" s="1"/>
  <c r="Q265" i="34" s="1"/>
  <c r="R265" i="34" s="1"/>
  <c r="S265" i="34" s="1"/>
  <c r="C259" i="31"/>
  <c r="D259" i="31" s="1"/>
  <c r="E259" i="31" s="1"/>
  <c r="F259" i="31" s="1"/>
  <c r="G259" i="31" s="1"/>
  <c r="H259" i="31" s="1"/>
  <c r="I259" i="31" s="1"/>
  <c r="J259" i="31" s="1"/>
  <c r="K259" i="31" s="1"/>
  <c r="L259" i="31" s="1"/>
  <c r="M259" i="31" s="1"/>
  <c r="B259" i="34"/>
  <c r="C256" i="34"/>
  <c r="D256" i="34" s="1"/>
  <c r="E256" i="34" s="1"/>
  <c r="F256" i="34" s="1"/>
  <c r="G256" i="34" s="1"/>
  <c r="H256" i="34" s="1"/>
  <c r="I256" i="34" s="1"/>
  <c r="J256" i="34" s="1"/>
  <c r="K256" i="34" s="1"/>
  <c r="L256" i="34" s="1"/>
  <c r="M256" i="34" s="1"/>
  <c r="N256" i="34" s="1"/>
  <c r="O256" i="34" s="1"/>
  <c r="P256" i="34" s="1"/>
  <c r="Q256" i="34" s="1"/>
  <c r="R256" i="34" s="1"/>
  <c r="S256" i="34" s="1"/>
  <c r="C253" i="34"/>
  <c r="D253" i="34" s="1"/>
  <c r="E253" i="34" s="1"/>
  <c r="F253" i="34" s="1"/>
  <c r="G253" i="34" s="1"/>
  <c r="H253" i="34" s="1"/>
  <c r="I253" i="34" s="1"/>
  <c r="J253" i="34" s="1"/>
  <c r="K253" i="34" s="1"/>
  <c r="L253" i="34" s="1"/>
  <c r="M253" i="34" s="1"/>
  <c r="N253" i="34" s="1"/>
  <c r="O253" i="34" s="1"/>
  <c r="P253" i="34" s="1"/>
  <c r="Q253" i="34" s="1"/>
  <c r="R253" i="34" s="1"/>
  <c r="S253" i="34" s="1"/>
  <c r="C249" i="31"/>
  <c r="D249" i="31" s="1"/>
  <c r="E249" i="31" s="1"/>
  <c r="F249" i="31" s="1"/>
  <c r="G249" i="31" s="1"/>
  <c r="H249" i="31" s="1"/>
  <c r="I249" i="31" s="1"/>
  <c r="J249" i="31" s="1"/>
  <c r="K249" i="31" s="1"/>
  <c r="L249" i="31" s="1"/>
  <c r="M249" i="31" s="1"/>
  <c r="B249" i="34"/>
  <c r="C239" i="31"/>
  <c r="D239" i="31" s="1"/>
  <c r="E239" i="31" s="1"/>
  <c r="F239" i="31" s="1"/>
  <c r="G239" i="31" s="1"/>
  <c r="H239" i="31" s="1"/>
  <c r="I239" i="31" s="1"/>
  <c r="J239" i="31" s="1"/>
  <c r="K239" i="31" s="1"/>
  <c r="L239" i="31" s="1"/>
  <c r="M239" i="31" s="1"/>
  <c r="B239" i="34"/>
  <c r="C236" i="31"/>
  <c r="D236" i="31" s="1"/>
  <c r="E236" i="31" s="1"/>
  <c r="F236" i="31" s="1"/>
  <c r="G236" i="31" s="1"/>
  <c r="H236" i="31" s="1"/>
  <c r="I236" i="31" s="1"/>
  <c r="J236" i="31" s="1"/>
  <c r="K236" i="31" s="1"/>
  <c r="L236" i="31" s="1"/>
  <c r="M236" i="31" s="1"/>
  <c r="C231" i="34"/>
  <c r="D231" i="34" s="1"/>
  <c r="E231" i="34" s="1"/>
  <c r="F231" i="34" s="1"/>
  <c r="G231" i="34" s="1"/>
  <c r="H231" i="34" s="1"/>
  <c r="I231" i="34" s="1"/>
  <c r="J231" i="34" s="1"/>
  <c r="K231" i="34" s="1"/>
  <c r="L231" i="34" s="1"/>
  <c r="M231" i="34" s="1"/>
  <c r="N231" i="34" s="1"/>
  <c r="O231" i="34" s="1"/>
  <c r="P231" i="34" s="1"/>
  <c r="Q231" i="34" s="1"/>
  <c r="R231" i="34" s="1"/>
  <c r="S231" i="34" s="1"/>
  <c r="C228" i="31"/>
  <c r="D228" i="31" s="1"/>
  <c r="E228" i="31" s="1"/>
  <c r="F228" i="31" s="1"/>
  <c r="G228" i="31" s="1"/>
  <c r="H228" i="31" s="1"/>
  <c r="I228" i="31" s="1"/>
  <c r="J228" i="31" s="1"/>
  <c r="K228" i="31" s="1"/>
  <c r="L228" i="31" s="1"/>
  <c r="M228" i="31" s="1"/>
  <c r="B228" i="34"/>
  <c r="C221" i="31"/>
  <c r="D221" i="31" s="1"/>
  <c r="E221" i="31" s="1"/>
  <c r="F221" i="31" s="1"/>
  <c r="G221" i="31" s="1"/>
  <c r="H221" i="31" s="1"/>
  <c r="I221" i="31" s="1"/>
  <c r="J221" i="31" s="1"/>
  <c r="K221" i="31" s="1"/>
  <c r="L221" i="31" s="1"/>
  <c r="M221" i="31" s="1"/>
  <c r="C217" i="31"/>
  <c r="D217" i="31" s="1"/>
  <c r="E217" i="31" s="1"/>
  <c r="F217" i="31" s="1"/>
  <c r="G217" i="31" s="1"/>
  <c r="H217" i="31" s="1"/>
  <c r="I217" i="31" s="1"/>
  <c r="J217" i="31" s="1"/>
  <c r="K217" i="31" s="1"/>
  <c r="L217" i="31" s="1"/>
  <c r="M217" i="31" s="1"/>
  <c r="C211" i="31"/>
  <c r="D211" i="31" s="1"/>
  <c r="E211" i="31" s="1"/>
  <c r="F211" i="31" s="1"/>
  <c r="G211" i="31" s="1"/>
  <c r="H211" i="31" s="1"/>
  <c r="I211" i="31" s="1"/>
  <c r="J211" i="31" s="1"/>
  <c r="K211" i="31" s="1"/>
  <c r="L211" i="31" s="1"/>
  <c r="M211" i="31" s="1"/>
  <c r="B211" i="34"/>
  <c r="B193" i="34"/>
  <c r="C193" i="31"/>
  <c r="D193" i="31" s="1"/>
  <c r="E193" i="31" s="1"/>
  <c r="F193" i="31" s="1"/>
  <c r="G193" i="31" s="1"/>
  <c r="H193" i="31" s="1"/>
  <c r="I193" i="31" s="1"/>
  <c r="J193" i="31" s="1"/>
  <c r="K193" i="31" s="1"/>
  <c r="L193" i="31" s="1"/>
  <c r="M193" i="31" s="1"/>
  <c r="C177" i="31"/>
  <c r="D177" i="31" s="1"/>
  <c r="E177" i="31" s="1"/>
  <c r="F177" i="31" s="1"/>
  <c r="G177" i="31" s="1"/>
  <c r="H177" i="31" s="1"/>
  <c r="I177" i="31" s="1"/>
  <c r="J177" i="31" s="1"/>
  <c r="K177" i="31" s="1"/>
  <c r="L177" i="31" s="1"/>
  <c r="M177" i="31" s="1"/>
  <c r="B177" i="34"/>
  <c r="C174" i="34"/>
  <c r="D174" i="34" s="1"/>
  <c r="E174" i="34" s="1"/>
  <c r="F174" i="34" s="1"/>
  <c r="G174" i="34" s="1"/>
  <c r="H174" i="34" s="1"/>
  <c r="I174" i="34" s="1"/>
  <c r="J174" i="34" s="1"/>
  <c r="K174" i="34" s="1"/>
  <c r="L174" i="34" s="1"/>
  <c r="M174" i="34" s="1"/>
  <c r="N174" i="34" s="1"/>
  <c r="O174" i="34" s="1"/>
  <c r="P174" i="34" s="1"/>
  <c r="Q174" i="34" s="1"/>
  <c r="R174" i="34" s="1"/>
  <c r="S174" i="34" s="1"/>
  <c r="B169" i="34"/>
  <c r="C169" i="31"/>
  <c r="D169" i="31" s="1"/>
  <c r="E169" i="31" s="1"/>
  <c r="F169" i="31" s="1"/>
  <c r="G169" i="31" s="1"/>
  <c r="H169" i="31" s="1"/>
  <c r="I169" i="31" s="1"/>
  <c r="J169" i="31" s="1"/>
  <c r="K169" i="31" s="1"/>
  <c r="L169" i="31" s="1"/>
  <c r="M169" i="31" s="1"/>
  <c r="C165" i="31"/>
  <c r="D165" i="31" s="1"/>
  <c r="E165" i="31" s="1"/>
  <c r="F165" i="31" s="1"/>
  <c r="G165" i="31" s="1"/>
  <c r="H165" i="31" s="1"/>
  <c r="I165" i="31" s="1"/>
  <c r="J165" i="31" s="1"/>
  <c r="K165" i="31" s="1"/>
  <c r="L165" i="31" s="1"/>
  <c r="M165" i="31" s="1"/>
  <c r="B165" i="34"/>
  <c r="B148" i="34"/>
  <c r="C148" i="31"/>
  <c r="D148" i="31" s="1"/>
  <c r="E148" i="31" s="1"/>
  <c r="F148" i="31" s="1"/>
  <c r="G148" i="31" s="1"/>
  <c r="H148" i="31" s="1"/>
  <c r="I148" i="31" s="1"/>
  <c r="J148" i="31" s="1"/>
  <c r="K148" i="31" s="1"/>
  <c r="L148" i="31" s="1"/>
  <c r="M148" i="31" s="1"/>
  <c r="B137" i="34"/>
  <c r="C137" i="31"/>
  <c r="D137" i="31" s="1"/>
  <c r="E137" i="31" s="1"/>
  <c r="F137" i="31" s="1"/>
  <c r="G137" i="31" s="1"/>
  <c r="H137" i="31" s="1"/>
  <c r="I137" i="31" s="1"/>
  <c r="J137" i="31" s="1"/>
  <c r="K137" i="31" s="1"/>
  <c r="L137" i="31" s="1"/>
  <c r="M137" i="31" s="1"/>
  <c r="B123" i="34"/>
  <c r="C123" i="31"/>
  <c r="D123" i="31" s="1"/>
  <c r="E123" i="31" s="1"/>
  <c r="F123" i="31" s="1"/>
  <c r="G123" i="31" s="1"/>
  <c r="H123" i="31" s="1"/>
  <c r="I123" i="31" s="1"/>
  <c r="J123" i="31" s="1"/>
  <c r="K123" i="31" s="1"/>
  <c r="L123" i="31" s="1"/>
  <c r="M123" i="31" s="1"/>
  <c r="C287" i="31"/>
  <c r="D287" i="31" s="1"/>
  <c r="E287" i="31" s="1"/>
  <c r="F287" i="31" s="1"/>
  <c r="G287" i="31" s="1"/>
  <c r="H287" i="31" s="1"/>
  <c r="I287" i="31" s="1"/>
  <c r="J287" i="31" s="1"/>
  <c r="K287" i="31" s="1"/>
  <c r="L287" i="31" s="1"/>
  <c r="M287" i="31" s="1"/>
  <c r="B287" i="34"/>
  <c r="C262" i="31"/>
  <c r="D262" i="31" s="1"/>
  <c r="E262" i="31" s="1"/>
  <c r="F262" i="31" s="1"/>
  <c r="G262" i="31" s="1"/>
  <c r="H262" i="31" s="1"/>
  <c r="I262" i="31" s="1"/>
  <c r="J262" i="31" s="1"/>
  <c r="K262" i="31" s="1"/>
  <c r="L262" i="31" s="1"/>
  <c r="M262" i="31" s="1"/>
  <c r="B262" i="34"/>
  <c r="C258" i="31"/>
  <c r="D258" i="31" s="1"/>
  <c r="E258" i="31" s="1"/>
  <c r="F258" i="31" s="1"/>
  <c r="G258" i="31" s="1"/>
  <c r="H258" i="31" s="1"/>
  <c r="I258" i="31" s="1"/>
  <c r="J258" i="31" s="1"/>
  <c r="K258" i="31" s="1"/>
  <c r="L258" i="31" s="1"/>
  <c r="M258" i="31" s="1"/>
  <c r="B258" i="34"/>
  <c r="C252" i="31"/>
  <c r="D252" i="31" s="1"/>
  <c r="E252" i="31" s="1"/>
  <c r="F252" i="31" s="1"/>
  <c r="G252" i="31" s="1"/>
  <c r="H252" i="31" s="1"/>
  <c r="I252" i="31" s="1"/>
  <c r="J252" i="31" s="1"/>
  <c r="K252" i="31" s="1"/>
  <c r="L252" i="31" s="1"/>
  <c r="M252" i="31" s="1"/>
  <c r="B252" i="34"/>
  <c r="C246" i="31"/>
  <c r="D246" i="31" s="1"/>
  <c r="E246" i="31" s="1"/>
  <c r="F246" i="31" s="1"/>
  <c r="G246" i="31" s="1"/>
  <c r="H246" i="31" s="1"/>
  <c r="I246" i="31" s="1"/>
  <c r="J246" i="31" s="1"/>
  <c r="K246" i="31" s="1"/>
  <c r="L246" i="31" s="1"/>
  <c r="M246" i="31" s="1"/>
  <c r="B246" i="34"/>
  <c r="C233" i="31"/>
  <c r="D233" i="31" s="1"/>
  <c r="E233" i="31" s="1"/>
  <c r="F233" i="31" s="1"/>
  <c r="G233" i="31" s="1"/>
  <c r="H233" i="31" s="1"/>
  <c r="I233" i="31" s="1"/>
  <c r="J233" i="31" s="1"/>
  <c r="K233" i="31" s="1"/>
  <c r="L233" i="31" s="1"/>
  <c r="M233" i="31" s="1"/>
  <c r="B233" i="34"/>
  <c r="C227" i="31"/>
  <c r="D227" i="31" s="1"/>
  <c r="E227" i="31" s="1"/>
  <c r="F227" i="31" s="1"/>
  <c r="G227" i="31" s="1"/>
  <c r="H227" i="31" s="1"/>
  <c r="I227" i="31" s="1"/>
  <c r="J227" i="31" s="1"/>
  <c r="K227" i="31" s="1"/>
  <c r="L227" i="31" s="1"/>
  <c r="M227" i="31" s="1"/>
  <c r="B227" i="34"/>
  <c r="C214" i="31"/>
  <c r="D214" i="31" s="1"/>
  <c r="E214" i="31" s="1"/>
  <c r="F214" i="31" s="1"/>
  <c r="G214" i="31" s="1"/>
  <c r="H214" i="31" s="1"/>
  <c r="I214" i="31" s="1"/>
  <c r="J214" i="31" s="1"/>
  <c r="K214" i="31" s="1"/>
  <c r="L214" i="31" s="1"/>
  <c r="M214" i="31" s="1"/>
  <c r="B214" i="34"/>
  <c r="C207" i="31"/>
  <c r="D207" i="31" s="1"/>
  <c r="E207" i="31" s="1"/>
  <c r="F207" i="31" s="1"/>
  <c r="G207" i="31" s="1"/>
  <c r="H207" i="31" s="1"/>
  <c r="I207" i="31" s="1"/>
  <c r="J207" i="31" s="1"/>
  <c r="K207" i="31" s="1"/>
  <c r="L207" i="31" s="1"/>
  <c r="M207" i="31" s="1"/>
  <c r="C205" i="31"/>
  <c r="D205" i="31" s="1"/>
  <c r="E205" i="31" s="1"/>
  <c r="F205" i="31" s="1"/>
  <c r="G205" i="31" s="1"/>
  <c r="H205" i="31" s="1"/>
  <c r="I205" i="31" s="1"/>
  <c r="J205" i="31" s="1"/>
  <c r="K205" i="31" s="1"/>
  <c r="L205" i="31" s="1"/>
  <c r="M205" i="31" s="1"/>
  <c r="B196" i="34"/>
  <c r="C196" i="31"/>
  <c r="D196" i="31" s="1"/>
  <c r="E196" i="31" s="1"/>
  <c r="F196" i="31" s="1"/>
  <c r="G196" i="31" s="1"/>
  <c r="H196" i="31" s="1"/>
  <c r="I196" i="31" s="1"/>
  <c r="J196" i="31" s="1"/>
  <c r="K196" i="31" s="1"/>
  <c r="L196" i="31" s="1"/>
  <c r="M196" i="31" s="1"/>
  <c r="C187" i="31"/>
  <c r="D187" i="31" s="1"/>
  <c r="E187" i="31" s="1"/>
  <c r="F187" i="31" s="1"/>
  <c r="G187" i="31" s="1"/>
  <c r="H187" i="31" s="1"/>
  <c r="I187" i="31" s="1"/>
  <c r="J187" i="31" s="1"/>
  <c r="K187" i="31" s="1"/>
  <c r="L187" i="31" s="1"/>
  <c r="M187" i="31" s="1"/>
  <c r="B187" i="34"/>
  <c r="C180" i="31"/>
  <c r="D180" i="31" s="1"/>
  <c r="E180" i="31" s="1"/>
  <c r="F180" i="31" s="1"/>
  <c r="G180" i="31" s="1"/>
  <c r="H180" i="31" s="1"/>
  <c r="I180" i="31" s="1"/>
  <c r="J180" i="31" s="1"/>
  <c r="K180" i="31" s="1"/>
  <c r="L180" i="31" s="1"/>
  <c r="M180" i="31" s="1"/>
  <c r="B152" i="34"/>
  <c r="C152" i="31"/>
  <c r="D152" i="31" s="1"/>
  <c r="E152" i="31" s="1"/>
  <c r="F152" i="31" s="1"/>
  <c r="G152" i="31" s="1"/>
  <c r="H152" i="31" s="1"/>
  <c r="I152" i="31" s="1"/>
  <c r="J152" i="31" s="1"/>
  <c r="K152" i="31" s="1"/>
  <c r="L152" i="31" s="1"/>
  <c r="M152" i="31" s="1"/>
  <c r="C147" i="31"/>
  <c r="D147" i="31" s="1"/>
  <c r="E147" i="31" s="1"/>
  <c r="F147" i="31" s="1"/>
  <c r="G147" i="31" s="1"/>
  <c r="H147" i="31" s="1"/>
  <c r="I147" i="31" s="1"/>
  <c r="J147" i="31" s="1"/>
  <c r="K147" i="31" s="1"/>
  <c r="L147" i="31" s="1"/>
  <c r="M147" i="31" s="1"/>
  <c r="C111" i="31"/>
  <c r="D111" i="31" s="1"/>
  <c r="E111" i="31" s="1"/>
  <c r="F111" i="31" s="1"/>
  <c r="G111" i="31" s="1"/>
  <c r="H111" i="31" s="1"/>
  <c r="I111" i="31" s="1"/>
  <c r="J111" i="31" s="1"/>
  <c r="K111" i="31" s="1"/>
  <c r="L111" i="31" s="1"/>
  <c r="M111" i="31" s="1"/>
  <c r="B111" i="34"/>
  <c r="B96" i="34"/>
  <c r="C96" i="31"/>
  <c r="D96" i="31" s="1"/>
  <c r="E96" i="31" s="1"/>
  <c r="F96" i="31" s="1"/>
  <c r="G96" i="31" s="1"/>
  <c r="H96" i="31" s="1"/>
  <c r="I96" i="31" s="1"/>
  <c r="J96" i="31" s="1"/>
  <c r="K96" i="31" s="1"/>
  <c r="L96" i="31" s="1"/>
  <c r="M96" i="31" s="1"/>
  <c r="C391" i="31"/>
  <c r="D391" i="31" s="1"/>
  <c r="E391" i="31" s="1"/>
  <c r="F391" i="31" s="1"/>
  <c r="G391" i="31" s="1"/>
  <c r="H391" i="31" s="1"/>
  <c r="I391" i="31" s="1"/>
  <c r="J391" i="31" s="1"/>
  <c r="K391" i="31" s="1"/>
  <c r="L391" i="31" s="1"/>
  <c r="M391" i="31" s="1"/>
  <c r="B391" i="34"/>
  <c r="C368" i="31"/>
  <c r="D368" i="31" s="1"/>
  <c r="E368" i="31" s="1"/>
  <c r="F368" i="31" s="1"/>
  <c r="G368" i="31" s="1"/>
  <c r="H368" i="31" s="1"/>
  <c r="I368" i="31" s="1"/>
  <c r="J368" i="31" s="1"/>
  <c r="K368" i="31" s="1"/>
  <c r="L368" i="31" s="1"/>
  <c r="M368" i="31" s="1"/>
  <c r="B368" i="34"/>
  <c r="C341" i="31"/>
  <c r="D341" i="31" s="1"/>
  <c r="E341" i="31" s="1"/>
  <c r="F341" i="31" s="1"/>
  <c r="G341" i="31" s="1"/>
  <c r="H341" i="31" s="1"/>
  <c r="I341" i="31" s="1"/>
  <c r="J341" i="31" s="1"/>
  <c r="K341" i="31" s="1"/>
  <c r="L341" i="31" s="1"/>
  <c r="M341" i="31" s="1"/>
  <c r="B341" i="34"/>
  <c r="C322" i="34"/>
  <c r="D322" i="34" s="1"/>
  <c r="E322" i="34" s="1"/>
  <c r="F322" i="34" s="1"/>
  <c r="G322" i="34" s="1"/>
  <c r="H322" i="34" s="1"/>
  <c r="I322" i="34" s="1"/>
  <c r="J322" i="34" s="1"/>
  <c r="K322" i="34" s="1"/>
  <c r="L322" i="34" s="1"/>
  <c r="C318" i="31"/>
  <c r="D318" i="31" s="1"/>
  <c r="E318" i="31" s="1"/>
  <c r="F318" i="31" s="1"/>
  <c r="G318" i="31" s="1"/>
  <c r="H318" i="31" s="1"/>
  <c r="I318" i="31" s="1"/>
  <c r="J318" i="31" s="1"/>
  <c r="K318" i="31" s="1"/>
  <c r="L318" i="31" s="1"/>
  <c r="M318" i="31" s="1"/>
  <c r="B318" i="34"/>
  <c r="C310" i="31"/>
  <c r="D310" i="31" s="1"/>
  <c r="E310" i="31" s="1"/>
  <c r="F310" i="31" s="1"/>
  <c r="G310" i="31" s="1"/>
  <c r="H310" i="31" s="1"/>
  <c r="I310" i="31" s="1"/>
  <c r="J310" i="31" s="1"/>
  <c r="K310" i="31" s="1"/>
  <c r="L310" i="31" s="1"/>
  <c r="M310" i="31" s="1"/>
  <c r="B310" i="34"/>
  <c r="C295" i="31"/>
  <c r="D295" i="31" s="1"/>
  <c r="E295" i="31" s="1"/>
  <c r="F295" i="31" s="1"/>
  <c r="G295" i="31" s="1"/>
  <c r="H295" i="31" s="1"/>
  <c r="I295" i="31" s="1"/>
  <c r="J295" i="31" s="1"/>
  <c r="K295" i="31" s="1"/>
  <c r="L295" i="31" s="1"/>
  <c r="M295" i="31" s="1"/>
  <c r="B295" i="34"/>
  <c r="C285" i="34"/>
  <c r="D285" i="34" s="1"/>
  <c r="E285" i="34" s="1"/>
  <c r="F285" i="34" s="1"/>
  <c r="G285" i="34" s="1"/>
  <c r="H285" i="34" s="1"/>
  <c r="I285" i="34" s="1"/>
  <c r="J285" i="34" s="1"/>
  <c r="K285" i="34" s="1"/>
  <c r="L285" i="34" s="1"/>
  <c r="M285" i="34" s="1"/>
  <c r="N285" i="34" s="1"/>
  <c r="O285" i="34" s="1"/>
  <c r="P285" i="34" s="1"/>
  <c r="Q285" i="34" s="1"/>
  <c r="R285" i="34" s="1"/>
  <c r="S285" i="34" s="1"/>
  <c r="C282" i="31"/>
  <c r="D282" i="31" s="1"/>
  <c r="E282" i="31" s="1"/>
  <c r="F282" i="31" s="1"/>
  <c r="G282" i="31" s="1"/>
  <c r="H282" i="31" s="1"/>
  <c r="I282" i="31" s="1"/>
  <c r="J282" i="31" s="1"/>
  <c r="K282" i="31" s="1"/>
  <c r="L282" i="31" s="1"/>
  <c r="M282" i="31" s="1"/>
  <c r="B282" i="34"/>
  <c r="C276" i="34"/>
  <c r="D276" i="34" s="1"/>
  <c r="E276" i="34" s="1"/>
  <c r="F276" i="34" s="1"/>
  <c r="G276" i="34" s="1"/>
  <c r="H276" i="34" s="1"/>
  <c r="I276" i="34" s="1"/>
  <c r="J276" i="34" s="1"/>
  <c r="K276" i="34" s="1"/>
  <c r="L276" i="34" s="1"/>
  <c r="M276" i="34" s="1"/>
  <c r="N276" i="34" s="1"/>
  <c r="O276" i="34" s="1"/>
  <c r="P276" i="34" s="1"/>
  <c r="Q276" i="34" s="1"/>
  <c r="R276" i="34" s="1"/>
  <c r="S276" i="34" s="1"/>
  <c r="C273" i="34"/>
  <c r="D273" i="34" s="1"/>
  <c r="E273" i="34" s="1"/>
  <c r="F273" i="34" s="1"/>
  <c r="G273" i="34" s="1"/>
  <c r="H273" i="34" s="1"/>
  <c r="I273" i="34" s="1"/>
  <c r="J273" i="34" s="1"/>
  <c r="K273" i="34" s="1"/>
  <c r="L273" i="34" s="1"/>
  <c r="M273" i="34" s="1"/>
  <c r="N273" i="34" s="1"/>
  <c r="O273" i="34" s="1"/>
  <c r="P273" i="34" s="1"/>
  <c r="Q273" i="34" s="1"/>
  <c r="R273" i="34" s="1"/>
  <c r="S273" i="34" s="1"/>
  <c r="C270" i="31"/>
  <c r="D270" i="31" s="1"/>
  <c r="E270" i="31" s="1"/>
  <c r="F270" i="31" s="1"/>
  <c r="G270" i="31" s="1"/>
  <c r="H270" i="31" s="1"/>
  <c r="I270" i="31" s="1"/>
  <c r="J270" i="31" s="1"/>
  <c r="K270" i="31" s="1"/>
  <c r="L270" i="31" s="1"/>
  <c r="M270" i="31" s="1"/>
  <c r="B270" i="34"/>
  <c r="C255" i="34"/>
  <c r="D255" i="34" s="1"/>
  <c r="E255" i="34" s="1"/>
  <c r="F255" i="34" s="1"/>
  <c r="G255" i="34" s="1"/>
  <c r="H255" i="34" s="1"/>
  <c r="I255" i="34" s="1"/>
  <c r="J255" i="34" s="1"/>
  <c r="K255" i="34" s="1"/>
  <c r="L255" i="34" s="1"/>
  <c r="M255" i="34" s="1"/>
  <c r="N255" i="34" s="1"/>
  <c r="O255" i="34" s="1"/>
  <c r="P255" i="34" s="1"/>
  <c r="Q255" i="34" s="1"/>
  <c r="R255" i="34" s="1"/>
  <c r="S255" i="34" s="1"/>
  <c r="C232" i="31"/>
  <c r="D232" i="31" s="1"/>
  <c r="E232" i="31" s="1"/>
  <c r="F232" i="31" s="1"/>
  <c r="G232" i="31" s="1"/>
  <c r="H232" i="31" s="1"/>
  <c r="I232" i="31" s="1"/>
  <c r="J232" i="31" s="1"/>
  <c r="K232" i="31" s="1"/>
  <c r="L232" i="31" s="1"/>
  <c r="M232" i="31" s="1"/>
  <c r="C224" i="31"/>
  <c r="D224" i="31" s="1"/>
  <c r="E224" i="31" s="1"/>
  <c r="F224" i="31" s="1"/>
  <c r="G224" i="31" s="1"/>
  <c r="H224" i="31" s="1"/>
  <c r="I224" i="31" s="1"/>
  <c r="J224" i="31" s="1"/>
  <c r="K224" i="31" s="1"/>
  <c r="L224" i="31" s="1"/>
  <c r="M224" i="31" s="1"/>
  <c r="C220" i="31"/>
  <c r="D220" i="31" s="1"/>
  <c r="E220" i="31" s="1"/>
  <c r="F220" i="31" s="1"/>
  <c r="G220" i="31" s="1"/>
  <c r="H220" i="31" s="1"/>
  <c r="I220" i="31" s="1"/>
  <c r="J220" i="31" s="1"/>
  <c r="K220" i="31" s="1"/>
  <c r="L220" i="31" s="1"/>
  <c r="M220" i="31" s="1"/>
  <c r="C210" i="31"/>
  <c r="D210" i="31" s="1"/>
  <c r="E210" i="31" s="1"/>
  <c r="F210" i="31" s="1"/>
  <c r="G210" i="31" s="1"/>
  <c r="H210" i="31" s="1"/>
  <c r="I210" i="31" s="1"/>
  <c r="J210" i="31" s="1"/>
  <c r="K210" i="31" s="1"/>
  <c r="L210" i="31" s="1"/>
  <c r="M210" i="31" s="1"/>
  <c r="C192" i="31"/>
  <c r="D192" i="31" s="1"/>
  <c r="E192" i="31" s="1"/>
  <c r="F192" i="31" s="1"/>
  <c r="G192" i="31" s="1"/>
  <c r="H192" i="31" s="1"/>
  <c r="I192" i="31" s="1"/>
  <c r="J192" i="31" s="1"/>
  <c r="K192" i="31" s="1"/>
  <c r="L192" i="31" s="1"/>
  <c r="M192" i="31" s="1"/>
  <c r="B192" i="34"/>
  <c r="C183" i="31"/>
  <c r="D183" i="31" s="1"/>
  <c r="E183" i="31" s="1"/>
  <c r="F183" i="31" s="1"/>
  <c r="G183" i="31" s="1"/>
  <c r="H183" i="31" s="1"/>
  <c r="I183" i="31" s="1"/>
  <c r="J183" i="31" s="1"/>
  <c r="K183" i="31" s="1"/>
  <c r="L183" i="31" s="1"/>
  <c r="M183" i="31" s="1"/>
  <c r="C167" i="31"/>
  <c r="D167" i="31" s="1"/>
  <c r="E167" i="31" s="1"/>
  <c r="F167" i="31" s="1"/>
  <c r="G167" i="31" s="1"/>
  <c r="H167" i="31" s="1"/>
  <c r="I167" i="31" s="1"/>
  <c r="J167" i="31" s="1"/>
  <c r="K167" i="31" s="1"/>
  <c r="L167" i="31" s="1"/>
  <c r="M167" i="31" s="1"/>
  <c r="B151" i="34"/>
  <c r="C151" i="31"/>
  <c r="D151" i="31" s="1"/>
  <c r="E151" i="31" s="1"/>
  <c r="F151" i="31" s="1"/>
  <c r="G151" i="31" s="1"/>
  <c r="H151" i="31" s="1"/>
  <c r="I151" i="31" s="1"/>
  <c r="J151" i="31" s="1"/>
  <c r="K151" i="31" s="1"/>
  <c r="L151" i="31" s="1"/>
  <c r="M151" i="31" s="1"/>
  <c r="C106" i="31"/>
  <c r="D106" i="31" s="1"/>
  <c r="E106" i="31" s="1"/>
  <c r="F106" i="31" s="1"/>
  <c r="G106" i="31" s="1"/>
  <c r="H106" i="31" s="1"/>
  <c r="I106" i="31" s="1"/>
  <c r="J106" i="31" s="1"/>
  <c r="K106" i="31" s="1"/>
  <c r="L106" i="31" s="1"/>
  <c r="M106" i="31" s="1"/>
  <c r="B106" i="34"/>
  <c r="B84" i="34"/>
  <c r="C84" i="31"/>
  <c r="D84" i="31" s="1"/>
  <c r="E84" i="31" s="1"/>
  <c r="F84" i="31" s="1"/>
  <c r="G84" i="31" s="1"/>
  <c r="H84" i="31" s="1"/>
  <c r="I84" i="31" s="1"/>
  <c r="J84" i="31" s="1"/>
  <c r="K84" i="31" s="1"/>
  <c r="L84" i="31" s="1"/>
  <c r="M84" i="31" s="1"/>
  <c r="C230" i="31"/>
  <c r="D230" i="31" s="1"/>
  <c r="E230" i="31" s="1"/>
  <c r="F230" i="31" s="1"/>
  <c r="G230" i="31" s="1"/>
  <c r="H230" i="31" s="1"/>
  <c r="I230" i="31" s="1"/>
  <c r="J230" i="31" s="1"/>
  <c r="K230" i="31" s="1"/>
  <c r="L230" i="31" s="1"/>
  <c r="M230" i="31" s="1"/>
  <c r="B230" i="34"/>
  <c r="C191" i="31"/>
  <c r="D191" i="31" s="1"/>
  <c r="E191" i="31" s="1"/>
  <c r="F191" i="31" s="1"/>
  <c r="G191" i="31" s="1"/>
  <c r="H191" i="31" s="1"/>
  <c r="I191" i="31" s="1"/>
  <c r="J191" i="31" s="1"/>
  <c r="K191" i="31" s="1"/>
  <c r="L191" i="31" s="1"/>
  <c r="M191" i="31" s="1"/>
  <c r="B191" i="34"/>
  <c r="C172" i="31"/>
  <c r="D172" i="31" s="1"/>
  <c r="E172" i="31" s="1"/>
  <c r="F172" i="31" s="1"/>
  <c r="G172" i="31" s="1"/>
  <c r="H172" i="31" s="1"/>
  <c r="I172" i="31" s="1"/>
  <c r="J172" i="31" s="1"/>
  <c r="K172" i="31" s="1"/>
  <c r="L172" i="31" s="1"/>
  <c r="M172" i="31" s="1"/>
  <c r="B172" i="34"/>
  <c r="B131" i="34"/>
  <c r="C131" i="31"/>
  <c r="D131" i="31" s="1"/>
  <c r="E131" i="31" s="1"/>
  <c r="F131" i="31" s="1"/>
  <c r="G131" i="31" s="1"/>
  <c r="H131" i="31" s="1"/>
  <c r="I131" i="31" s="1"/>
  <c r="J131" i="31" s="1"/>
  <c r="K131" i="31" s="1"/>
  <c r="L131" i="31" s="1"/>
  <c r="M131" i="31" s="1"/>
  <c r="C126" i="31"/>
  <c r="D126" i="31" s="1"/>
  <c r="E126" i="31" s="1"/>
  <c r="F126" i="31" s="1"/>
  <c r="G126" i="31" s="1"/>
  <c r="H126" i="31" s="1"/>
  <c r="I126" i="31" s="1"/>
  <c r="J126" i="31" s="1"/>
  <c r="K126" i="31" s="1"/>
  <c r="L126" i="31" s="1"/>
  <c r="M126" i="31" s="1"/>
  <c r="B126" i="34"/>
  <c r="B105" i="34"/>
  <c r="C105" i="31"/>
  <c r="D105" i="31" s="1"/>
  <c r="E105" i="31" s="1"/>
  <c r="F105" i="31" s="1"/>
  <c r="G105" i="31" s="1"/>
  <c r="H105" i="31" s="1"/>
  <c r="I105" i="31" s="1"/>
  <c r="J105" i="31" s="1"/>
  <c r="K105" i="31" s="1"/>
  <c r="L105" i="31" s="1"/>
  <c r="M105" i="31" s="1"/>
  <c r="C102" i="31"/>
  <c r="D102" i="31" s="1"/>
  <c r="E102" i="31" s="1"/>
  <c r="F102" i="31" s="1"/>
  <c r="G102" i="31" s="1"/>
  <c r="H102" i="31" s="1"/>
  <c r="I102" i="31" s="1"/>
  <c r="J102" i="31" s="1"/>
  <c r="K102" i="31" s="1"/>
  <c r="L102" i="31" s="1"/>
  <c r="M102" i="31" s="1"/>
  <c r="B102" i="34"/>
  <c r="C99" i="31"/>
  <c r="D99" i="31" s="1"/>
  <c r="E99" i="31" s="1"/>
  <c r="F99" i="31" s="1"/>
  <c r="G99" i="31" s="1"/>
  <c r="H99" i="31" s="1"/>
  <c r="I99" i="31" s="1"/>
  <c r="J99" i="31" s="1"/>
  <c r="K99" i="31" s="1"/>
  <c r="L99" i="31" s="1"/>
  <c r="M99" i="31" s="1"/>
  <c r="B99" i="34"/>
  <c r="C90" i="31"/>
  <c r="D90" i="31" s="1"/>
  <c r="E90" i="31" s="1"/>
  <c r="F90" i="31" s="1"/>
  <c r="G90" i="31" s="1"/>
  <c r="H90" i="31" s="1"/>
  <c r="I90" i="31" s="1"/>
  <c r="J90" i="31" s="1"/>
  <c r="K90" i="31" s="1"/>
  <c r="L90" i="31" s="1"/>
  <c r="M90" i="31" s="1"/>
  <c r="B90" i="34"/>
  <c r="C86" i="34"/>
  <c r="D86" i="34" s="1"/>
  <c r="E86" i="34" s="1"/>
  <c r="F86" i="34" s="1"/>
  <c r="G86" i="34" s="1"/>
  <c r="H86" i="34" s="1"/>
  <c r="I86" i="34" s="1"/>
  <c r="J86" i="34" s="1"/>
  <c r="K86" i="34" s="1"/>
  <c r="L86" i="34" s="1"/>
  <c r="M86" i="34" s="1"/>
  <c r="N86" i="34" s="1"/>
  <c r="O86" i="34" s="1"/>
  <c r="P86" i="34" s="1"/>
  <c r="Q86" i="34" s="1"/>
  <c r="R86" i="34" s="1"/>
  <c r="S86" i="34" s="1"/>
  <c r="C73" i="34"/>
  <c r="D73" i="34" s="1"/>
  <c r="E73" i="34" s="1"/>
  <c r="F73" i="34" s="1"/>
  <c r="G73" i="34" s="1"/>
  <c r="H73" i="34" s="1"/>
  <c r="I73" i="34" s="1"/>
  <c r="J73" i="34" s="1"/>
  <c r="K73" i="34" s="1"/>
  <c r="L73" i="34" s="1"/>
  <c r="M73" i="34" s="1"/>
  <c r="N73" i="34" s="1"/>
  <c r="O73" i="34" s="1"/>
  <c r="P73" i="34" s="1"/>
  <c r="Q73" i="34" s="1"/>
  <c r="R73" i="34" s="1"/>
  <c r="S73" i="34" s="1"/>
  <c r="C70" i="31"/>
  <c r="D70" i="31" s="1"/>
  <c r="E70" i="31" s="1"/>
  <c r="F70" i="31" s="1"/>
  <c r="G70" i="31" s="1"/>
  <c r="H70" i="31" s="1"/>
  <c r="I70" i="31" s="1"/>
  <c r="J70" i="31" s="1"/>
  <c r="K70" i="31" s="1"/>
  <c r="L70" i="31" s="1"/>
  <c r="M70" i="31" s="1"/>
  <c r="C60" i="34"/>
  <c r="D60" i="34" s="1"/>
  <c r="E60" i="34" s="1"/>
  <c r="F60" i="34" s="1"/>
  <c r="G60" i="34" s="1"/>
  <c r="H60" i="34" s="1"/>
  <c r="I60" i="34" s="1"/>
  <c r="J60" i="34" s="1"/>
  <c r="K60" i="34" s="1"/>
  <c r="L60" i="34" s="1"/>
  <c r="M60" i="34" s="1"/>
  <c r="N60" i="34" s="1"/>
  <c r="O60" i="34" s="1"/>
  <c r="P60" i="34" s="1"/>
  <c r="Q60" i="34" s="1"/>
  <c r="R60" i="34" s="1"/>
  <c r="S60" i="34" s="1"/>
  <c r="C53" i="31"/>
  <c r="D53" i="31" s="1"/>
  <c r="E53" i="31" s="1"/>
  <c r="F53" i="31" s="1"/>
  <c r="G53" i="31" s="1"/>
  <c r="H53" i="31" s="1"/>
  <c r="I53" i="31" s="1"/>
  <c r="J53" i="31" s="1"/>
  <c r="K53" i="31" s="1"/>
  <c r="L53" i="31" s="1"/>
  <c r="M53" i="31" s="1"/>
  <c r="B53" i="34"/>
  <c r="C47" i="31"/>
  <c r="D47" i="31" s="1"/>
  <c r="E47" i="31" s="1"/>
  <c r="F47" i="31" s="1"/>
  <c r="G47" i="31" s="1"/>
  <c r="H47" i="31" s="1"/>
  <c r="I47" i="31" s="1"/>
  <c r="J47" i="31" s="1"/>
  <c r="K47" i="31" s="1"/>
  <c r="L47" i="31" s="1"/>
  <c r="M47" i="31" s="1"/>
  <c r="B47" i="34"/>
  <c r="C41" i="31"/>
  <c r="D41" i="31" s="1"/>
  <c r="E41" i="31" s="1"/>
  <c r="F41" i="31" s="1"/>
  <c r="G41" i="31" s="1"/>
  <c r="H41" i="31" s="1"/>
  <c r="I41" i="31" s="1"/>
  <c r="J41" i="31" s="1"/>
  <c r="K41" i="31" s="1"/>
  <c r="L41" i="31" s="1"/>
  <c r="M41" i="31" s="1"/>
  <c r="C38" i="31"/>
  <c r="D38" i="31" s="1"/>
  <c r="E38" i="31" s="1"/>
  <c r="F38" i="31" s="1"/>
  <c r="G38" i="31" s="1"/>
  <c r="H38" i="31" s="1"/>
  <c r="I38" i="31" s="1"/>
  <c r="J38" i="31" s="1"/>
  <c r="K38" i="31" s="1"/>
  <c r="L38" i="31" s="1"/>
  <c r="M38" i="31" s="1"/>
  <c r="B38" i="34"/>
  <c r="C34" i="31"/>
  <c r="D34" i="31" s="1"/>
  <c r="E34" i="31" s="1"/>
  <c r="F34" i="31" s="1"/>
  <c r="G34" i="31" s="1"/>
  <c r="H34" i="31" s="1"/>
  <c r="I34" i="31" s="1"/>
  <c r="J34" i="31" s="1"/>
  <c r="K34" i="31" s="1"/>
  <c r="L34" i="31" s="1"/>
  <c r="M34" i="31" s="1"/>
  <c r="B34" i="34"/>
  <c r="C31" i="34"/>
  <c r="D31" i="34" s="1"/>
  <c r="E31" i="34" s="1"/>
  <c r="F31" i="34" s="1"/>
  <c r="G31" i="34" s="1"/>
  <c r="H31" i="34" s="1"/>
  <c r="I31" i="34" s="1"/>
  <c r="J31" i="34" s="1"/>
  <c r="K31" i="34" s="1"/>
  <c r="L31" i="34" s="1"/>
  <c r="M31" i="34" s="1"/>
  <c r="N31" i="34" s="1"/>
  <c r="O31" i="34" s="1"/>
  <c r="P31" i="34" s="1"/>
  <c r="Q31" i="34" s="1"/>
  <c r="R31" i="34" s="1"/>
  <c r="S31" i="34" s="1"/>
  <c r="C23" i="31"/>
  <c r="D23" i="31" s="1"/>
  <c r="E23" i="31" s="1"/>
  <c r="F23" i="31" s="1"/>
  <c r="G23" i="31" s="1"/>
  <c r="H23" i="31" s="1"/>
  <c r="I23" i="31" s="1"/>
  <c r="J23" i="31" s="1"/>
  <c r="K23" i="31" s="1"/>
  <c r="L23" i="31" s="1"/>
  <c r="M23" i="31" s="1"/>
  <c r="B23" i="34"/>
  <c r="C15" i="34"/>
  <c r="D15" i="34" s="1"/>
  <c r="E15" i="34" s="1"/>
  <c r="F15" i="34" s="1"/>
  <c r="G15" i="34" s="1"/>
  <c r="H15" i="34" s="1"/>
  <c r="I15" i="34" s="1"/>
  <c r="J15" i="34" s="1"/>
  <c r="K15" i="34" s="1"/>
  <c r="L15" i="34" s="1"/>
  <c r="M15" i="34" s="1"/>
  <c r="N15" i="34" s="1"/>
  <c r="O15" i="34" s="1"/>
  <c r="P15" i="34" s="1"/>
  <c r="Q15" i="34" s="1"/>
  <c r="R15" i="34" s="1"/>
  <c r="S15" i="34" s="1"/>
  <c r="C10" i="31"/>
  <c r="D10" i="31" s="1"/>
  <c r="E10" i="31" s="1"/>
  <c r="F10" i="31" s="1"/>
  <c r="G10" i="31" s="1"/>
  <c r="H10" i="31" s="1"/>
  <c r="I10" i="31" s="1"/>
  <c r="J10" i="31" s="1"/>
  <c r="K10" i="31" s="1"/>
  <c r="L10" i="31" s="1"/>
  <c r="M10" i="31" s="1"/>
  <c r="B10" i="34"/>
  <c r="C95" i="31"/>
  <c r="D95" i="31" s="1"/>
  <c r="E95" i="31" s="1"/>
  <c r="F95" i="31" s="1"/>
  <c r="G95" i="31" s="1"/>
  <c r="H95" i="31" s="1"/>
  <c r="I95" i="31" s="1"/>
  <c r="J95" i="31" s="1"/>
  <c r="K95" i="31" s="1"/>
  <c r="L95" i="31" s="1"/>
  <c r="M95" i="31" s="1"/>
  <c r="B95" i="34"/>
  <c r="C79" i="31"/>
  <c r="D79" i="31" s="1"/>
  <c r="E79" i="31" s="1"/>
  <c r="F79" i="31" s="1"/>
  <c r="G79" i="31" s="1"/>
  <c r="H79" i="31" s="1"/>
  <c r="I79" i="31" s="1"/>
  <c r="J79" i="31" s="1"/>
  <c r="K79" i="31" s="1"/>
  <c r="L79" i="31" s="1"/>
  <c r="M79" i="31" s="1"/>
  <c r="B79" i="34"/>
  <c r="C76" i="31"/>
  <c r="D76" i="31" s="1"/>
  <c r="E76" i="31" s="1"/>
  <c r="F76" i="31" s="1"/>
  <c r="G76" i="31" s="1"/>
  <c r="H76" i="31" s="1"/>
  <c r="I76" i="31" s="1"/>
  <c r="J76" i="31" s="1"/>
  <c r="K76" i="31" s="1"/>
  <c r="L76" i="31" s="1"/>
  <c r="M76" i="31" s="1"/>
  <c r="B76" i="34"/>
  <c r="C70" i="34"/>
  <c r="D70" i="34" s="1"/>
  <c r="E70" i="34" s="1"/>
  <c r="F70" i="34" s="1"/>
  <c r="G70" i="34" s="1"/>
  <c r="H70" i="34" s="1"/>
  <c r="I70" i="34" s="1"/>
  <c r="J70" i="34" s="1"/>
  <c r="K70" i="34" s="1"/>
  <c r="L70" i="34" s="1"/>
  <c r="M70" i="34" s="1"/>
  <c r="N70" i="34" s="1"/>
  <c r="O70" i="34" s="1"/>
  <c r="P70" i="34" s="1"/>
  <c r="Q70" i="34" s="1"/>
  <c r="R70" i="34" s="1"/>
  <c r="S70" i="34" s="1"/>
  <c r="C67" i="31"/>
  <c r="D67" i="31" s="1"/>
  <c r="E67" i="31" s="1"/>
  <c r="F67" i="31" s="1"/>
  <c r="G67" i="31" s="1"/>
  <c r="H67" i="31" s="1"/>
  <c r="I67" i="31" s="1"/>
  <c r="J67" i="31" s="1"/>
  <c r="K67" i="31" s="1"/>
  <c r="L67" i="31" s="1"/>
  <c r="M67" i="31" s="1"/>
  <c r="B67" i="34"/>
  <c r="C59" i="31"/>
  <c r="D59" i="31" s="1"/>
  <c r="E59" i="31" s="1"/>
  <c r="F59" i="31" s="1"/>
  <c r="G59" i="31" s="1"/>
  <c r="H59" i="31" s="1"/>
  <c r="I59" i="31" s="1"/>
  <c r="J59" i="31" s="1"/>
  <c r="K59" i="31" s="1"/>
  <c r="L59" i="31" s="1"/>
  <c r="M59" i="31" s="1"/>
  <c r="B59" i="34"/>
  <c r="C56" i="31"/>
  <c r="D56" i="31" s="1"/>
  <c r="E56" i="31" s="1"/>
  <c r="F56" i="31" s="1"/>
  <c r="G56" i="31" s="1"/>
  <c r="H56" i="31" s="1"/>
  <c r="I56" i="31" s="1"/>
  <c r="J56" i="31" s="1"/>
  <c r="K56" i="31" s="1"/>
  <c r="L56" i="31" s="1"/>
  <c r="M56" i="31" s="1"/>
  <c r="B56" i="34"/>
  <c r="C46" i="31"/>
  <c r="D46" i="31" s="1"/>
  <c r="E46" i="31" s="1"/>
  <c r="F46" i="31" s="1"/>
  <c r="G46" i="31" s="1"/>
  <c r="H46" i="31" s="1"/>
  <c r="I46" i="31" s="1"/>
  <c r="J46" i="31" s="1"/>
  <c r="K46" i="31" s="1"/>
  <c r="L46" i="31" s="1"/>
  <c r="M46" i="31" s="1"/>
  <c r="B46" i="34"/>
  <c r="C44" i="31"/>
  <c r="D44" i="31" s="1"/>
  <c r="E44" i="31" s="1"/>
  <c r="F44" i="31" s="1"/>
  <c r="G44" i="31" s="1"/>
  <c r="H44" i="31" s="1"/>
  <c r="I44" i="31" s="1"/>
  <c r="J44" i="31" s="1"/>
  <c r="K44" i="31" s="1"/>
  <c r="L44" i="31" s="1"/>
  <c r="M44" i="31" s="1"/>
  <c r="B44" i="34"/>
  <c r="C37" i="31"/>
  <c r="D37" i="31" s="1"/>
  <c r="E37" i="31" s="1"/>
  <c r="F37" i="31" s="1"/>
  <c r="G37" i="31" s="1"/>
  <c r="H37" i="31" s="1"/>
  <c r="I37" i="31" s="1"/>
  <c r="J37" i="31" s="1"/>
  <c r="K37" i="31" s="1"/>
  <c r="L37" i="31" s="1"/>
  <c r="M37" i="31" s="1"/>
  <c r="B37" i="34"/>
  <c r="C28" i="31"/>
  <c r="D28" i="31" s="1"/>
  <c r="E28" i="31" s="1"/>
  <c r="F28" i="31" s="1"/>
  <c r="G28" i="31" s="1"/>
  <c r="H28" i="31" s="1"/>
  <c r="I28" i="31" s="1"/>
  <c r="J28" i="31" s="1"/>
  <c r="K28" i="31" s="1"/>
  <c r="L28" i="31" s="1"/>
  <c r="M28" i="31" s="1"/>
  <c r="B28" i="34"/>
  <c r="C19" i="34"/>
  <c r="D19" i="34" s="1"/>
  <c r="E19" i="34" s="1"/>
  <c r="F19" i="34" s="1"/>
  <c r="G19" i="34" s="1"/>
  <c r="H19" i="34" s="1"/>
  <c r="I19" i="34" s="1"/>
  <c r="J19" i="34" s="1"/>
  <c r="K19" i="34" s="1"/>
  <c r="L19" i="34" s="1"/>
  <c r="M19" i="34" s="1"/>
  <c r="N19" i="34" s="1"/>
  <c r="O19" i="34" s="1"/>
  <c r="P19" i="34" s="1"/>
  <c r="Q19" i="34" s="1"/>
  <c r="R19" i="34" s="1"/>
  <c r="S19" i="34" s="1"/>
  <c r="C9" i="31"/>
  <c r="D9" i="31" s="1"/>
  <c r="E9" i="31" s="1"/>
  <c r="F9" i="31" s="1"/>
  <c r="G9" i="31" s="1"/>
  <c r="H9" i="31" s="1"/>
  <c r="I9" i="31" s="1"/>
  <c r="J9" i="31" s="1"/>
  <c r="K9" i="31" s="1"/>
  <c r="L9" i="31" s="1"/>
  <c r="M9" i="31" s="1"/>
  <c r="B9" i="34"/>
  <c r="C6" i="31"/>
  <c r="D6" i="31" s="1"/>
  <c r="E6" i="31" s="1"/>
  <c r="F6" i="31" s="1"/>
  <c r="G6" i="31" s="1"/>
  <c r="H6" i="31" s="1"/>
  <c r="I6" i="31" s="1"/>
  <c r="J6" i="31" s="1"/>
  <c r="K6" i="31" s="1"/>
  <c r="L6" i="31" s="1"/>
  <c r="M6" i="31" s="1"/>
  <c r="B6" i="34"/>
  <c r="C173" i="31"/>
  <c r="D173" i="31" s="1"/>
  <c r="E173" i="31" s="1"/>
  <c r="F173" i="31" s="1"/>
  <c r="G173" i="31" s="1"/>
  <c r="H173" i="31" s="1"/>
  <c r="I173" i="31" s="1"/>
  <c r="J173" i="31" s="1"/>
  <c r="K173" i="31" s="1"/>
  <c r="L173" i="31" s="1"/>
  <c r="M173" i="31" s="1"/>
  <c r="B173" i="34"/>
  <c r="C163" i="34"/>
  <c r="D163" i="34" s="1"/>
  <c r="E163" i="34" s="1"/>
  <c r="F163" i="34" s="1"/>
  <c r="G163" i="34" s="1"/>
  <c r="H163" i="34" s="1"/>
  <c r="I163" i="34" s="1"/>
  <c r="J163" i="34" s="1"/>
  <c r="K163" i="34" s="1"/>
  <c r="L163" i="34" s="1"/>
  <c r="M163" i="34" s="1"/>
  <c r="N163" i="34" s="1"/>
  <c r="O163" i="34" s="1"/>
  <c r="P163" i="34" s="1"/>
  <c r="Q163" i="34" s="1"/>
  <c r="R163" i="34" s="1"/>
  <c r="S163" i="34" s="1"/>
  <c r="C160" i="34"/>
  <c r="D160" i="34" s="1"/>
  <c r="E160" i="34" s="1"/>
  <c r="F160" i="34" s="1"/>
  <c r="G160" i="34" s="1"/>
  <c r="H160" i="34" s="1"/>
  <c r="I160" i="34" s="1"/>
  <c r="J160" i="34" s="1"/>
  <c r="K160" i="34" s="1"/>
  <c r="L160" i="34" s="1"/>
  <c r="M160" i="34" s="1"/>
  <c r="N160" i="34" s="1"/>
  <c r="O160" i="34" s="1"/>
  <c r="P160" i="34" s="1"/>
  <c r="Q160" i="34" s="1"/>
  <c r="R160" i="34" s="1"/>
  <c r="S160" i="34" s="1"/>
  <c r="C156" i="31"/>
  <c r="D156" i="31" s="1"/>
  <c r="E156" i="31" s="1"/>
  <c r="F156" i="31" s="1"/>
  <c r="G156" i="31" s="1"/>
  <c r="H156" i="31" s="1"/>
  <c r="I156" i="31" s="1"/>
  <c r="J156" i="31" s="1"/>
  <c r="K156" i="31" s="1"/>
  <c r="L156" i="31" s="1"/>
  <c r="M156" i="31" s="1"/>
  <c r="B156" i="34"/>
  <c r="C146" i="31"/>
  <c r="D146" i="31" s="1"/>
  <c r="E146" i="31" s="1"/>
  <c r="F146" i="31" s="1"/>
  <c r="G146" i="31" s="1"/>
  <c r="H146" i="31" s="1"/>
  <c r="I146" i="31" s="1"/>
  <c r="J146" i="31" s="1"/>
  <c r="K146" i="31" s="1"/>
  <c r="L146" i="31" s="1"/>
  <c r="M146" i="31" s="1"/>
  <c r="B146" i="34"/>
  <c r="C142" i="31"/>
  <c r="D142" i="31" s="1"/>
  <c r="E142" i="31" s="1"/>
  <c r="F142" i="31" s="1"/>
  <c r="G142" i="31" s="1"/>
  <c r="H142" i="31" s="1"/>
  <c r="I142" i="31" s="1"/>
  <c r="J142" i="31" s="1"/>
  <c r="K142" i="31" s="1"/>
  <c r="L142" i="31" s="1"/>
  <c r="M142" i="31" s="1"/>
  <c r="C136" i="31"/>
  <c r="D136" i="31" s="1"/>
  <c r="E136" i="31" s="1"/>
  <c r="F136" i="31" s="1"/>
  <c r="G136" i="31" s="1"/>
  <c r="H136" i="31" s="1"/>
  <c r="I136" i="31" s="1"/>
  <c r="J136" i="31" s="1"/>
  <c r="K136" i="31" s="1"/>
  <c r="L136" i="31" s="1"/>
  <c r="M136" i="31" s="1"/>
  <c r="B136" i="34"/>
  <c r="C129" i="34"/>
  <c r="D129" i="34" s="1"/>
  <c r="E129" i="34" s="1"/>
  <c r="F129" i="34" s="1"/>
  <c r="G129" i="34" s="1"/>
  <c r="H129" i="34" s="1"/>
  <c r="I129" i="34" s="1"/>
  <c r="J129" i="34" s="1"/>
  <c r="K129" i="34" s="1"/>
  <c r="L129" i="34" s="1"/>
  <c r="M129" i="34" s="1"/>
  <c r="N129" i="34" s="1"/>
  <c r="O129" i="34" s="1"/>
  <c r="P129" i="34" s="1"/>
  <c r="Q129" i="34" s="1"/>
  <c r="R129" i="34" s="1"/>
  <c r="S129" i="34" s="1"/>
  <c r="C125" i="31"/>
  <c r="D125" i="31" s="1"/>
  <c r="E125" i="31" s="1"/>
  <c r="F125" i="31" s="1"/>
  <c r="G125" i="31" s="1"/>
  <c r="H125" i="31" s="1"/>
  <c r="I125" i="31" s="1"/>
  <c r="J125" i="31" s="1"/>
  <c r="K125" i="31" s="1"/>
  <c r="L125" i="31" s="1"/>
  <c r="M125" i="31" s="1"/>
  <c r="B125" i="34"/>
  <c r="C122" i="34"/>
  <c r="D122" i="34" s="1"/>
  <c r="E122" i="34" s="1"/>
  <c r="F122" i="34" s="1"/>
  <c r="G122" i="34" s="1"/>
  <c r="H122" i="34" s="1"/>
  <c r="I122" i="34" s="1"/>
  <c r="J122" i="34" s="1"/>
  <c r="K122" i="34" s="1"/>
  <c r="L122" i="34" s="1"/>
  <c r="C119" i="34"/>
  <c r="D119" i="34" s="1"/>
  <c r="E119" i="34" s="1"/>
  <c r="F119" i="34" s="1"/>
  <c r="G119" i="34" s="1"/>
  <c r="H119" i="34" s="1"/>
  <c r="I119" i="34" s="1"/>
  <c r="J119" i="34" s="1"/>
  <c r="K119" i="34" s="1"/>
  <c r="L119" i="34" s="1"/>
  <c r="M119" i="34" s="1"/>
  <c r="N119" i="34" s="1"/>
  <c r="O119" i="34" s="1"/>
  <c r="P119" i="34" s="1"/>
  <c r="Q119" i="34" s="1"/>
  <c r="R119" i="34" s="1"/>
  <c r="S119" i="34" s="1"/>
  <c r="C114" i="31"/>
  <c r="D114" i="31" s="1"/>
  <c r="E114" i="31" s="1"/>
  <c r="F114" i="31" s="1"/>
  <c r="G114" i="31" s="1"/>
  <c r="H114" i="31" s="1"/>
  <c r="I114" i="31" s="1"/>
  <c r="J114" i="31" s="1"/>
  <c r="K114" i="31" s="1"/>
  <c r="L114" i="31" s="1"/>
  <c r="M114" i="31" s="1"/>
  <c r="C81" i="34"/>
  <c r="D81" i="34" s="1"/>
  <c r="E81" i="34" s="1"/>
  <c r="F81" i="34" s="1"/>
  <c r="G81" i="34" s="1"/>
  <c r="H81" i="34" s="1"/>
  <c r="I81" i="34" s="1"/>
  <c r="J81" i="34" s="1"/>
  <c r="K81" i="34" s="1"/>
  <c r="L81" i="34" s="1"/>
  <c r="M81" i="34" s="1"/>
  <c r="N81" i="34" s="1"/>
  <c r="O81" i="34" s="1"/>
  <c r="P81" i="34" s="1"/>
  <c r="Q81" i="34" s="1"/>
  <c r="R81" i="34" s="1"/>
  <c r="S81" i="34" s="1"/>
  <c r="C66" i="31"/>
  <c r="D66" i="31" s="1"/>
  <c r="E66" i="31" s="1"/>
  <c r="F66" i="31" s="1"/>
  <c r="G66" i="31" s="1"/>
  <c r="H66" i="31" s="1"/>
  <c r="I66" i="31" s="1"/>
  <c r="J66" i="31" s="1"/>
  <c r="K66" i="31" s="1"/>
  <c r="L66" i="31" s="1"/>
  <c r="M66" i="31" s="1"/>
  <c r="B66" i="34"/>
  <c r="C62" i="34"/>
  <c r="D62" i="34" s="1"/>
  <c r="E62" i="34" s="1"/>
  <c r="F62" i="34" s="1"/>
  <c r="G62" i="34" s="1"/>
  <c r="H62" i="34" s="1"/>
  <c r="I62" i="34" s="1"/>
  <c r="J62" i="34" s="1"/>
  <c r="K62" i="34" s="1"/>
  <c r="L62" i="34" s="1"/>
  <c r="M62" i="34" s="1"/>
  <c r="N62" i="34" s="1"/>
  <c r="O62" i="34" s="1"/>
  <c r="P62" i="34" s="1"/>
  <c r="Q62" i="34" s="1"/>
  <c r="R62" i="34" s="1"/>
  <c r="S62" i="34" s="1"/>
  <c r="C49" i="31"/>
  <c r="D49" i="31" s="1"/>
  <c r="E49" i="31" s="1"/>
  <c r="F49" i="31" s="1"/>
  <c r="G49" i="31" s="1"/>
  <c r="H49" i="31" s="1"/>
  <c r="I49" i="31" s="1"/>
  <c r="J49" i="31" s="1"/>
  <c r="K49" i="31" s="1"/>
  <c r="L49" i="31" s="1"/>
  <c r="M49" i="31" s="1"/>
  <c r="B49" i="34"/>
  <c r="C43" i="31"/>
  <c r="D43" i="31" s="1"/>
  <c r="E43" i="31" s="1"/>
  <c r="F43" i="31" s="1"/>
  <c r="G43" i="31" s="1"/>
  <c r="H43" i="31" s="1"/>
  <c r="I43" i="31" s="1"/>
  <c r="J43" i="31" s="1"/>
  <c r="K43" i="31" s="1"/>
  <c r="L43" i="31" s="1"/>
  <c r="M43" i="31" s="1"/>
  <c r="C40" i="31"/>
  <c r="D40" i="31" s="1"/>
  <c r="E40" i="31" s="1"/>
  <c r="F40" i="31" s="1"/>
  <c r="G40" i="31" s="1"/>
  <c r="H40" i="31" s="1"/>
  <c r="I40" i="31" s="1"/>
  <c r="J40" i="31" s="1"/>
  <c r="K40" i="31" s="1"/>
  <c r="L40" i="31" s="1"/>
  <c r="M40" i="31" s="1"/>
  <c r="B40" i="34"/>
  <c r="C30" i="31"/>
  <c r="D30" i="31" s="1"/>
  <c r="E30" i="31" s="1"/>
  <c r="F30" i="31" s="1"/>
  <c r="G30" i="31" s="1"/>
  <c r="H30" i="31" s="1"/>
  <c r="I30" i="31" s="1"/>
  <c r="J30" i="31" s="1"/>
  <c r="K30" i="31" s="1"/>
  <c r="L30" i="31" s="1"/>
  <c r="M30" i="31" s="1"/>
  <c r="B30" i="34"/>
  <c r="C27" i="31"/>
  <c r="D27" i="31" s="1"/>
  <c r="E27" i="31" s="1"/>
  <c r="F27" i="31" s="1"/>
  <c r="G27" i="31" s="1"/>
  <c r="H27" i="31" s="1"/>
  <c r="I27" i="31" s="1"/>
  <c r="J27" i="31" s="1"/>
  <c r="K27" i="31" s="1"/>
  <c r="L27" i="31" s="1"/>
  <c r="M27" i="31" s="1"/>
  <c r="B27" i="34"/>
  <c r="C18" i="31"/>
  <c r="D18" i="31" s="1"/>
  <c r="E18" i="31" s="1"/>
  <c r="F18" i="31" s="1"/>
  <c r="G18" i="31" s="1"/>
  <c r="H18" i="31" s="1"/>
  <c r="I18" i="31" s="1"/>
  <c r="J18" i="31" s="1"/>
  <c r="K18" i="31" s="1"/>
  <c r="L18" i="31" s="1"/>
  <c r="M18" i="31" s="1"/>
  <c r="B18" i="34"/>
  <c r="C14" i="31"/>
  <c r="D14" i="31" s="1"/>
  <c r="E14" i="31" s="1"/>
  <c r="F14" i="31" s="1"/>
  <c r="G14" i="31" s="1"/>
  <c r="H14" i="31" s="1"/>
  <c r="I14" i="31" s="1"/>
  <c r="J14" i="31" s="1"/>
  <c r="K14" i="31" s="1"/>
  <c r="L14" i="31" s="1"/>
  <c r="M14" i="31" s="1"/>
  <c r="B14" i="34"/>
  <c r="C5" i="31"/>
  <c r="D5" i="31" s="1"/>
  <c r="E5" i="31" s="1"/>
  <c r="F5" i="31" s="1"/>
  <c r="G5" i="31" s="1"/>
  <c r="H5" i="31" s="1"/>
  <c r="I5" i="31" s="1"/>
  <c r="J5" i="31" s="1"/>
  <c r="K5" i="31" s="1"/>
  <c r="L5" i="31" s="1"/>
  <c r="M5" i="31" s="1"/>
  <c r="B5" i="34"/>
  <c r="C199" i="34"/>
  <c r="D199" i="34" s="1"/>
  <c r="E199" i="34" s="1"/>
  <c r="F199" i="34" s="1"/>
  <c r="G199" i="34" s="1"/>
  <c r="H199" i="34" s="1"/>
  <c r="I199" i="34" s="1"/>
  <c r="J199" i="34" s="1"/>
  <c r="K199" i="34" s="1"/>
  <c r="L199" i="34" s="1"/>
  <c r="M199" i="34" s="1"/>
  <c r="N199" i="34" s="1"/>
  <c r="O199" i="34" s="1"/>
  <c r="P199" i="34" s="1"/>
  <c r="Q199" i="34" s="1"/>
  <c r="R199" i="34" s="1"/>
  <c r="S199" i="34" s="1"/>
  <c r="C176" i="34"/>
  <c r="D176" i="34" s="1"/>
  <c r="E176" i="34" s="1"/>
  <c r="F176" i="34" s="1"/>
  <c r="G176" i="34" s="1"/>
  <c r="H176" i="34" s="1"/>
  <c r="I176" i="34" s="1"/>
  <c r="J176" i="34" s="1"/>
  <c r="K176" i="34" s="1"/>
  <c r="L176" i="34" s="1"/>
  <c r="M176" i="34" s="1"/>
  <c r="N176" i="34" s="1"/>
  <c r="O176" i="34" s="1"/>
  <c r="P176" i="34" s="1"/>
  <c r="Q176" i="34" s="1"/>
  <c r="R176" i="34" s="1"/>
  <c r="S176" i="34" s="1"/>
  <c r="C166" i="34"/>
  <c r="D166" i="34" s="1"/>
  <c r="E166" i="34" s="1"/>
  <c r="F166" i="34" s="1"/>
  <c r="G166" i="34" s="1"/>
  <c r="H166" i="34" s="1"/>
  <c r="I166" i="34" s="1"/>
  <c r="J166" i="34" s="1"/>
  <c r="K166" i="34" s="1"/>
  <c r="L166" i="34" s="1"/>
  <c r="M166" i="34" s="1"/>
  <c r="N166" i="34" s="1"/>
  <c r="O166" i="34" s="1"/>
  <c r="P166" i="34" s="1"/>
  <c r="Q166" i="34" s="1"/>
  <c r="R166" i="34" s="1"/>
  <c r="S166" i="34" s="1"/>
  <c r="C162" i="31"/>
  <c r="D162" i="31" s="1"/>
  <c r="E162" i="31" s="1"/>
  <c r="F162" i="31" s="1"/>
  <c r="G162" i="31" s="1"/>
  <c r="H162" i="31" s="1"/>
  <c r="I162" i="31" s="1"/>
  <c r="J162" i="31" s="1"/>
  <c r="K162" i="31" s="1"/>
  <c r="L162" i="31" s="1"/>
  <c r="M162" i="31" s="1"/>
  <c r="B162" i="34"/>
  <c r="C155" i="31"/>
  <c r="D155" i="31" s="1"/>
  <c r="E155" i="31" s="1"/>
  <c r="F155" i="31" s="1"/>
  <c r="G155" i="31" s="1"/>
  <c r="H155" i="31" s="1"/>
  <c r="I155" i="31" s="1"/>
  <c r="J155" i="31" s="1"/>
  <c r="K155" i="31" s="1"/>
  <c r="L155" i="31" s="1"/>
  <c r="M155" i="31" s="1"/>
  <c r="B155" i="34"/>
  <c r="C149" i="31"/>
  <c r="D149" i="31" s="1"/>
  <c r="E149" i="31" s="1"/>
  <c r="F149" i="31" s="1"/>
  <c r="G149" i="31" s="1"/>
  <c r="H149" i="31" s="1"/>
  <c r="I149" i="31" s="1"/>
  <c r="J149" i="31" s="1"/>
  <c r="K149" i="31" s="1"/>
  <c r="L149" i="31" s="1"/>
  <c r="M149" i="31" s="1"/>
  <c r="B149" i="34"/>
  <c r="C138" i="31"/>
  <c r="D138" i="31" s="1"/>
  <c r="E138" i="31" s="1"/>
  <c r="F138" i="31" s="1"/>
  <c r="G138" i="31" s="1"/>
  <c r="H138" i="31" s="1"/>
  <c r="I138" i="31" s="1"/>
  <c r="J138" i="31" s="1"/>
  <c r="K138" i="31" s="1"/>
  <c r="L138" i="31" s="1"/>
  <c r="M138" i="31" s="1"/>
  <c r="B138" i="34"/>
  <c r="C133" i="31"/>
  <c r="D133" i="31" s="1"/>
  <c r="E133" i="31" s="1"/>
  <c r="F133" i="31" s="1"/>
  <c r="G133" i="31" s="1"/>
  <c r="H133" i="31" s="1"/>
  <c r="I133" i="31" s="1"/>
  <c r="J133" i="31" s="1"/>
  <c r="K133" i="31" s="1"/>
  <c r="L133" i="31" s="1"/>
  <c r="M133" i="31" s="1"/>
  <c r="B133" i="34"/>
  <c r="C124" i="31"/>
  <c r="D124" i="31" s="1"/>
  <c r="E124" i="31" s="1"/>
  <c r="F124" i="31" s="1"/>
  <c r="G124" i="31" s="1"/>
  <c r="H124" i="31" s="1"/>
  <c r="I124" i="31" s="1"/>
  <c r="J124" i="31" s="1"/>
  <c r="K124" i="31" s="1"/>
  <c r="L124" i="31" s="1"/>
  <c r="M124" i="31" s="1"/>
  <c r="B124" i="34"/>
  <c r="C108" i="31"/>
  <c r="D108" i="31" s="1"/>
  <c r="E108" i="31" s="1"/>
  <c r="F108" i="31" s="1"/>
  <c r="G108" i="31" s="1"/>
  <c r="H108" i="31" s="1"/>
  <c r="I108" i="31" s="1"/>
  <c r="J108" i="31" s="1"/>
  <c r="K108" i="31" s="1"/>
  <c r="L108" i="31" s="1"/>
  <c r="M108" i="31" s="1"/>
  <c r="B108" i="34"/>
  <c r="C101" i="31"/>
  <c r="D101" i="31" s="1"/>
  <c r="E101" i="31" s="1"/>
  <c r="F101" i="31" s="1"/>
  <c r="G101" i="31" s="1"/>
  <c r="H101" i="31" s="1"/>
  <c r="I101" i="31" s="1"/>
  <c r="J101" i="31" s="1"/>
  <c r="K101" i="31" s="1"/>
  <c r="L101" i="31" s="1"/>
  <c r="M101" i="31" s="1"/>
  <c r="B101" i="34"/>
  <c r="C98" i="31"/>
  <c r="D98" i="31" s="1"/>
  <c r="E98" i="31" s="1"/>
  <c r="F98" i="31" s="1"/>
  <c r="G98" i="31" s="1"/>
  <c r="H98" i="31" s="1"/>
  <c r="I98" i="31" s="1"/>
  <c r="J98" i="31" s="1"/>
  <c r="K98" i="31" s="1"/>
  <c r="L98" i="31" s="1"/>
  <c r="M98" i="31" s="1"/>
  <c r="B98" i="34"/>
  <c r="C94" i="31"/>
  <c r="D94" i="31" s="1"/>
  <c r="E94" i="31" s="1"/>
  <c r="F94" i="31" s="1"/>
  <c r="G94" i="31" s="1"/>
  <c r="H94" i="31" s="1"/>
  <c r="I94" i="31" s="1"/>
  <c r="J94" i="31" s="1"/>
  <c r="K94" i="31" s="1"/>
  <c r="L94" i="31" s="1"/>
  <c r="M94" i="31" s="1"/>
  <c r="B94" i="34"/>
  <c r="C92" i="31"/>
  <c r="D92" i="31" s="1"/>
  <c r="E92" i="31" s="1"/>
  <c r="F92" i="31" s="1"/>
  <c r="G92" i="31" s="1"/>
  <c r="H92" i="31" s="1"/>
  <c r="I92" i="31" s="1"/>
  <c r="J92" i="31" s="1"/>
  <c r="K92" i="31" s="1"/>
  <c r="L92" i="31" s="1"/>
  <c r="M92" i="31" s="1"/>
  <c r="B92" i="34"/>
  <c r="C89" i="34"/>
  <c r="D89" i="34" s="1"/>
  <c r="E89" i="34" s="1"/>
  <c r="F89" i="34" s="1"/>
  <c r="G89" i="34" s="1"/>
  <c r="H89" i="34" s="1"/>
  <c r="I89" i="34" s="1"/>
  <c r="J89" i="34" s="1"/>
  <c r="K89" i="34" s="1"/>
  <c r="L89" i="34" s="1"/>
  <c r="M89" i="34" s="1"/>
  <c r="N89" i="34" s="1"/>
  <c r="O89" i="34" s="1"/>
  <c r="P89" i="34" s="1"/>
  <c r="Q89" i="34" s="1"/>
  <c r="R89" i="34" s="1"/>
  <c r="S89" i="34" s="1"/>
  <c r="C85" i="31"/>
  <c r="D85" i="31" s="1"/>
  <c r="E85" i="31" s="1"/>
  <c r="F85" i="31" s="1"/>
  <c r="G85" i="31" s="1"/>
  <c r="H85" i="31" s="1"/>
  <c r="I85" i="31" s="1"/>
  <c r="J85" i="31" s="1"/>
  <c r="K85" i="31" s="1"/>
  <c r="L85" i="31" s="1"/>
  <c r="M85" i="31" s="1"/>
  <c r="C78" i="31"/>
  <c r="D78" i="31" s="1"/>
  <c r="E78" i="31" s="1"/>
  <c r="F78" i="31" s="1"/>
  <c r="G78" i="31" s="1"/>
  <c r="H78" i="31" s="1"/>
  <c r="I78" i="31" s="1"/>
  <c r="J78" i="31" s="1"/>
  <c r="K78" i="31" s="1"/>
  <c r="L78" i="31" s="1"/>
  <c r="M78" i="31" s="1"/>
  <c r="C75" i="31"/>
  <c r="D75" i="31" s="1"/>
  <c r="E75" i="31" s="1"/>
  <c r="F75" i="31" s="1"/>
  <c r="G75" i="31" s="1"/>
  <c r="H75" i="31" s="1"/>
  <c r="I75" i="31" s="1"/>
  <c r="J75" i="31" s="1"/>
  <c r="K75" i="31" s="1"/>
  <c r="L75" i="31" s="1"/>
  <c r="M75" i="31" s="1"/>
  <c r="C52" i="31"/>
  <c r="D52" i="31" s="1"/>
  <c r="E52" i="31" s="1"/>
  <c r="F52" i="31" s="1"/>
  <c r="G52" i="31" s="1"/>
  <c r="H52" i="31" s="1"/>
  <c r="I52" i="31" s="1"/>
  <c r="J52" i="31" s="1"/>
  <c r="K52" i="31" s="1"/>
  <c r="L52" i="31" s="1"/>
  <c r="M52" i="31" s="1"/>
  <c r="B52" i="34"/>
  <c r="C22" i="31"/>
  <c r="D22" i="31" s="1"/>
  <c r="E22" i="31" s="1"/>
  <c r="F22" i="31" s="1"/>
  <c r="G22" i="31" s="1"/>
  <c r="H22" i="31" s="1"/>
  <c r="I22" i="31" s="1"/>
  <c r="J22" i="31" s="1"/>
  <c r="K22" i="31" s="1"/>
  <c r="L22" i="31" s="1"/>
  <c r="M22" i="31" s="1"/>
  <c r="B22" i="34"/>
  <c r="C22" i="34" s="1"/>
  <c r="D22" i="34" s="1"/>
  <c r="E22" i="34" s="1"/>
  <c r="F22" i="34" s="1"/>
  <c r="G22" i="34" s="1"/>
  <c r="H22" i="34" s="1"/>
  <c r="I22" i="34" s="1"/>
  <c r="J22" i="34" s="1"/>
  <c r="K22" i="34" s="1"/>
  <c r="L22" i="34" s="1"/>
  <c r="M22" i="34" s="1"/>
  <c r="N22" i="34" s="1"/>
  <c r="O22" i="34" s="1"/>
  <c r="P22" i="34" s="1"/>
  <c r="Q22" i="34" s="1"/>
  <c r="R22" i="34" s="1"/>
  <c r="S22" i="34" s="1"/>
  <c r="C17" i="31"/>
  <c r="D17" i="31" s="1"/>
  <c r="E17" i="31" s="1"/>
  <c r="F17" i="31" s="1"/>
  <c r="G17" i="31" s="1"/>
  <c r="H17" i="31" s="1"/>
  <c r="I17" i="31" s="1"/>
  <c r="J17" i="31" s="1"/>
  <c r="K17" i="31" s="1"/>
  <c r="L17" i="31" s="1"/>
  <c r="M17" i="31" s="1"/>
  <c r="C13" i="31"/>
  <c r="D13" i="31" s="1"/>
  <c r="E13" i="31" s="1"/>
  <c r="F13" i="31" s="1"/>
  <c r="G13" i="31" s="1"/>
  <c r="H13" i="31" s="1"/>
  <c r="I13" i="31" s="1"/>
  <c r="J13" i="31" s="1"/>
  <c r="K13" i="31" s="1"/>
  <c r="L13" i="31" s="1"/>
  <c r="M13" i="31" s="1"/>
  <c r="C8" i="31"/>
  <c r="D8" i="31" s="1"/>
  <c r="E8" i="31" s="1"/>
  <c r="F8" i="31" s="1"/>
  <c r="G8" i="31" s="1"/>
  <c r="H8" i="31" s="1"/>
  <c r="I8" i="31" s="1"/>
  <c r="J8" i="31" s="1"/>
  <c r="K8" i="31" s="1"/>
  <c r="L8" i="31" s="1"/>
  <c r="M8" i="31" s="1"/>
  <c r="B8" i="34"/>
  <c r="C88" i="31"/>
  <c r="D88" i="31" s="1"/>
  <c r="E88" i="31" s="1"/>
  <c r="F88" i="31" s="1"/>
  <c r="G88" i="31" s="1"/>
  <c r="H88" i="31" s="1"/>
  <c r="I88" i="31" s="1"/>
  <c r="J88" i="31" s="1"/>
  <c r="K88" i="31" s="1"/>
  <c r="L88" i="31" s="1"/>
  <c r="M88" i="31" s="1"/>
  <c r="B88" i="34"/>
  <c r="C69" i="31"/>
  <c r="D69" i="31" s="1"/>
  <c r="E69" i="31" s="1"/>
  <c r="F69" i="31" s="1"/>
  <c r="G69" i="31" s="1"/>
  <c r="H69" i="31" s="1"/>
  <c r="I69" i="31" s="1"/>
  <c r="J69" i="31" s="1"/>
  <c r="K69" i="31" s="1"/>
  <c r="L69" i="31" s="1"/>
  <c r="M69" i="31" s="1"/>
  <c r="B69" i="34"/>
  <c r="C65" i="31"/>
  <c r="D65" i="31" s="1"/>
  <c r="E65" i="31" s="1"/>
  <c r="F65" i="31" s="1"/>
  <c r="G65" i="31" s="1"/>
  <c r="H65" i="31" s="1"/>
  <c r="I65" i="31" s="1"/>
  <c r="J65" i="31" s="1"/>
  <c r="K65" i="31" s="1"/>
  <c r="L65" i="31" s="1"/>
  <c r="M65" i="31" s="1"/>
  <c r="B65" i="34"/>
  <c r="C63" i="31"/>
  <c r="D63" i="31" s="1"/>
  <c r="E63" i="31" s="1"/>
  <c r="F63" i="31" s="1"/>
  <c r="G63" i="31" s="1"/>
  <c r="H63" i="31" s="1"/>
  <c r="I63" i="31" s="1"/>
  <c r="J63" i="31" s="1"/>
  <c r="K63" i="31" s="1"/>
  <c r="L63" i="31" s="1"/>
  <c r="M63" i="31" s="1"/>
  <c r="B63" i="34"/>
  <c r="C61" i="31"/>
  <c r="D61" i="31" s="1"/>
  <c r="E61" i="31" s="1"/>
  <c r="F61" i="31" s="1"/>
  <c r="G61" i="31" s="1"/>
  <c r="H61" i="31" s="1"/>
  <c r="I61" i="31" s="1"/>
  <c r="J61" i="31" s="1"/>
  <c r="K61" i="31" s="1"/>
  <c r="L61" i="31" s="1"/>
  <c r="M61" i="31" s="1"/>
  <c r="B61" i="34"/>
  <c r="C58" i="31"/>
  <c r="D58" i="31" s="1"/>
  <c r="E58" i="31" s="1"/>
  <c r="F58" i="31" s="1"/>
  <c r="G58" i="31" s="1"/>
  <c r="H58" i="31" s="1"/>
  <c r="I58" i="31" s="1"/>
  <c r="J58" i="31" s="1"/>
  <c r="K58" i="31" s="1"/>
  <c r="L58" i="31" s="1"/>
  <c r="M58" i="31" s="1"/>
  <c r="B58" i="34"/>
  <c r="C55" i="31"/>
  <c r="D55" i="31" s="1"/>
  <c r="E55" i="31" s="1"/>
  <c r="F55" i="31" s="1"/>
  <c r="G55" i="31" s="1"/>
  <c r="H55" i="31" s="1"/>
  <c r="I55" i="31" s="1"/>
  <c r="J55" i="31" s="1"/>
  <c r="K55" i="31" s="1"/>
  <c r="L55" i="31" s="1"/>
  <c r="M55" i="31" s="1"/>
  <c r="B55" i="34"/>
  <c r="C36" i="31"/>
  <c r="D36" i="31" s="1"/>
  <c r="E36" i="31" s="1"/>
  <c r="F36" i="31" s="1"/>
  <c r="G36" i="31" s="1"/>
  <c r="H36" i="31" s="1"/>
  <c r="I36" i="31" s="1"/>
  <c r="J36" i="31" s="1"/>
  <c r="K36" i="31" s="1"/>
  <c r="L36" i="31" s="1"/>
  <c r="M36" i="31" s="1"/>
  <c r="B36" i="34"/>
  <c r="C26" i="31"/>
  <c r="D26" i="31" s="1"/>
  <c r="E26" i="31" s="1"/>
  <c r="F26" i="31" s="1"/>
  <c r="G26" i="31" s="1"/>
  <c r="H26" i="31" s="1"/>
  <c r="I26" i="31" s="1"/>
  <c r="J26" i="31" s="1"/>
  <c r="K26" i="31" s="1"/>
  <c r="L26" i="31" s="1"/>
  <c r="M26" i="31" s="1"/>
  <c r="B26" i="34"/>
  <c r="C21" i="31"/>
  <c r="D21" i="31" s="1"/>
  <c r="E21" i="31" s="1"/>
  <c r="F21" i="31" s="1"/>
  <c r="G21" i="31" s="1"/>
  <c r="H21" i="31" s="1"/>
  <c r="I21" i="31" s="1"/>
  <c r="J21" i="31" s="1"/>
  <c r="K21" i="31" s="1"/>
  <c r="L21" i="31" s="1"/>
  <c r="M21" i="31" s="1"/>
  <c r="B21" i="34"/>
  <c r="C4" i="31"/>
  <c r="D4" i="31" s="1"/>
  <c r="E4" i="31" s="1"/>
  <c r="F4" i="31" s="1"/>
  <c r="G4" i="31" s="1"/>
  <c r="H4" i="31" s="1"/>
  <c r="I4" i="31" s="1"/>
  <c r="J4" i="31" s="1"/>
  <c r="K4" i="31" s="1"/>
  <c r="L4" i="31" s="1"/>
  <c r="M4" i="31" s="1"/>
  <c r="B4" i="34"/>
  <c r="C168" i="31"/>
  <c r="D168" i="31" s="1"/>
  <c r="E168" i="31" s="1"/>
  <c r="F168" i="31" s="1"/>
  <c r="G168" i="31" s="1"/>
  <c r="H168" i="31" s="1"/>
  <c r="I168" i="31" s="1"/>
  <c r="J168" i="31" s="1"/>
  <c r="K168" i="31" s="1"/>
  <c r="L168" i="31" s="1"/>
  <c r="M168" i="31" s="1"/>
  <c r="B168" i="34"/>
  <c r="C164" i="31"/>
  <c r="D164" i="31" s="1"/>
  <c r="E164" i="31" s="1"/>
  <c r="F164" i="31" s="1"/>
  <c r="G164" i="31" s="1"/>
  <c r="H164" i="31" s="1"/>
  <c r="I164" i="31" s="1"/>
  <c r="J164" i="31" s="1"/>
  <c r="K164" i="31" s="1"/>
  <c r="L164" i="31" s="1"/>
  <c r="M164" i="31" s="1"/>
  <c r="C161" i="34"/>
  <c r="D161" i="34" s="1"/>
  <c r="E161" i="34" s="1"/>
  <c r="F161" i="34" s="1"/>
  <c r="G161" i="34" s="1"/>
  <c r="H161" i="34" s="1"/>
  <c r="I161" i="34" s="1"/>
  <c r="J161" i="34" s="1"/>
  <c r="K161" i="34" s="1"/>
  <c r="L161" i="34" s="1"/>
  <c r="M161" i="34" s="1"/>
  <c r="N161" i="34" s="1"/>
  <c r="O161" i="34" s="1"/>
  <c r="P161" i="34" s="1"/>
  <c r="Q161" i="34" s="1"/>
  <c r="R161" i="34" s="1"/>
  <c r="S161" i="34" s="1"/>
  <c r="C158" i="31"/>
  <c r="D158" i="31" s="1"/>
  <c r="E158" i="31" s="1"/>
  <c r="F158" i="31" s="1"/>
  <c r="G158" i="31" s="1"/>
  <c r="H158" i="31" s="1"/>
  <c r="I158" i="31" s="1"/>
  <c r="J158" i="31" s="1"/>
  <c r="K158" i="31" s="1"/>
  <c r="L158" i="31" s="1"/>
  <c r="M158" i="31" s="1"/>
  <c r="B158" i="34"/>
  <c r="C154" i="31"/>
  <c r="D154" i="31" s="1"/>
  <c r="E154" i="31" s="1"/>
  <c r="F154" i="31" s="1"/>
  <c r="G154" i="31" s="1"/>
  <c r="H154" i="31" s="1"/>
  <c r="I154" i="31" s="1"/>
  <c r="J154" i="31" s="1"/>
  <c r="K154" i="31" s="1"/>
  <c r="L154" i="31" s="1"/>
  <c r="M154" i="31" s="1"/>
  <c r="B154" i="34"/>
  <c r="C121" i="34"/>
  <c r="D121" i="34" s="1"/>
  <c r="E121" i="34" s="1"/>
  <c r="F121" i="34" s="1"/>
  <c r="G121" i="34" s="1"/>
  <c r="H121" i="34" s="1"/>
  <c r="I121" i="34" s="1"/>
  <c r="J121" i="34" s="1"/>
  <c r="K121" i="34" s="1"/>
  <c r="L121" i="34" s="1"/>
  <c r="M121" i="34" s="1"/>
  <c r="N121" i="34" s="1"/>
  <c r="O121" i="34" s="1"/>
  <c r="P121" i="34" s="1"/>
  <c r="Q121" i="34" s="1"/>
  <c r="R121" i="34" s="1"/>
  <c r="S121" i="34" s="1"/>
  <c r="C118" i="34"/>
  <c r="D118" i="34" s="1"/>
  <c r="E118" i="34" s="1"/>
  <c r="F118" i="34" s="1"/>
  <c r="G118" i="34" s="1"/>
  <c r="H118" i="34" s="1"/>
  <c r="I118" i="34" s="1"/>
  <c r="J118" i="34" s="1"/>
  <c r="K118" i="34" s="1"/>
  <c r="L118" i="34" s="1"/>
  <c r="M118" i="34" s="1"/>
  <c r="N118" i="34" s="1"/>
  <c r="O118" i="34" s="1"/>
  <c r="P118" i="34" s="1"/>
  <c r="Q118" i="34" s="1"/>
  <c r="R118" i="34" s="1"/>
  <c r="S118" i="34" s="1"/>
  <c r="C113" i="31"/>
  <c r="D113" i="31" s="1"/>
  <c r="E113" i="31" s="1"/>
  <c r="F113" i="31" s="1"/>
  <c r="G113" i="31" s="1"/>
  <c r="H113" i="31" s="1"/>
  <c r="I113" i="31" s="1"/>
  <c r="J113" i="31" s="1"/>
  <c r="K113" i="31" s="1"/>
  <c r="L113" i="31" s="1"/>
  <c r="M113" i="31" s="1"/>
  <c r="B113" i="34"/>
  <c r="C104" i="31"/>
  <c r="D104" i="31" s="1"/>
  <c r="E104" i="31" s="1"/>
  <c r="F104" i="31" s="1"/>
  <c r="G104" i="31" s="1"/>
  <c r="H104" i="31" s="1"/>
  <c r="I104" i="31" s="1"/>
  <c r="J104" i="31" s="1"/>
  <c r="K104" i="31" s="1"/>
  <c r="L104" i="31" s="1"/>
  <c r="M104" i="31" s="1"/>
  <c r="C97" i="34"/>
  <c r="D97" i="34" s="1"/>
  <c r="E97" i="34" s="1"/>
  <c r="F97" i="34" s="1"/>
  <c r="G97" i="34" s="1"/>
  <c r="H97" i="34" s="1"/>
  <c r="I97" i="34" s="1"/>
  <c r="J97" i="34" s="1"/>
  <c r="K97" i="34" s="1"/>
  <c r="L97" i="34" s="1"/>
  <c r="M97" i="34" s="1"/>
  <c r="N97" i="34" s="1"/>
  <c r="O97" i="34" s="1"/>
  <c r="P97" i="34" s="1"/>
  <c r="Q97" i="34" s="1"/>
  <c r="R97" i="34" s="1"/>
  <c r="S97" i="34" s="1"/>
  <c r="C91" i="31"/>
  <c r="D91" i="31" s="1"/>
  <c r="E91" i="31" s="1"/>
  <c r="F91" i="31" s="1"/>
  <c r="G91" i="31" s="1"/>
  <c r="H91" i="31" s="1"/>
  <c r="I91" i="31" s="1"/>
  <c r="J91" i="31" s="1"/>
  <c r="K91" i="31" s="1"/>
  <c r="L91" i="31" s="1"/>
  <c r="M91" i="31" s="1"/>
  <c r="C87" i="31"/>
  <c r="D87" i="31" s="1"/>
  <c r="E87" i="31" s="1"/>
  <c r="F87" i="31" s="1"/>
  <c r="G87" i="31" s="1"/>
  <c r="H87" i="31" s="1"/>
  <c r="I87" i="31" s="1"/>
  <c r="J87" i="31" s="1"/>
  <c r="K87" i="31" s="1"/>
  <c r="L87" i="31" s="1"/>
  <c r="M87" i="31" s="1"/>
  <c r="B87" i="34"/>
  <c r="C82" i="31"/>
  <c r="D82" i="31" s="1"/>
  <c r="E82" i="31" s="1"/>
  <c r="F82" i="31" s="1"/>
  <c r="G82" i="31" s="1"/>
  <c r="H82" i="31" s="1"/>
  <c r="I82" i="31" s="1"/>
  <c r="J82" i="31" s="1"/>
  <c r="K82" i="31" s="1"/>
  <c r="L82" i="31" s="1"/>
  <c r="M82" i="31" s="1"/>
  <c r="B82" i="34"/>
  <c r="C80" i="31"/>
  <c r="D80" i="31" s="1"/>
  <c r="E80" i="31" s="1"/>
  <c r="F80" i="31" s="1"/>
  <c r="G80" i="31" s="1"/>
  <c r="H80" i="31" s="1"/>
  <c r="I80" i="31" s="1"/>
  <c r="J80" i="31" s="1"/>
  <c r="K80" i="31" s="1"/>
  <c r="L80" i="31" s="1"/>
  <c r="M80" i="31" s="1"/>
  <c r="B80" i="34"/>
  <c r="C77" i="31"/>
  <c r="D77" i="31" s="1"/>
  <c r="E77" i="31" s="1"/>
  <c r="F77" i="31" s="1"/>
  <c r="G77" i="31" s="1"/>
  <c r="H77" i="31" s="1"/>
  <c r="I77" i="31" s="1"/>
  <c r="J77" i="31" s="1"/>
  <c r="K77" i="31" s="1"/>
  <c r="L77" i="31" s="1"/>
  <c r="M77" i="31" s="1"/>
  <c r="C74" i="31"/>
  <c r="D74" i="31" s="1"/>
  <c r="E74" i="31" s="1"/>
  <c r="F74" i="31" s="1"/>
  <c r="G74" i="31" s="1"/>
  <c r="H74" i="31" s="1"/>
  <c r="I74" i="31" s="1"/>
  <c r="J74" i="31" s="1"/>
  <c r="K74" i="31" s="1"/>
  <c r="L74" i="31" s="1"/>
  <c r="M74" i="31" s="1"/>
  <c r="B74" i="34"/>
  <c r="C72" i="34"/>
  <c r="D72" i="34" s="1"/>
  <c r="E72" i="34" s="1"/>
  <c r="F72" i="34" s="1"/>
  <c r="G72" i="34" s="1"/>
  <c r="H72" i="34" s="1"/>
  <c r="I72" i="34" s="1"/>
  <c r="J72" i="34" s="1"/>
  <c r="K72" i="34" s="1"/>
  <c r="L72" i="34" s="1"/>
  <c r="C57" i="31"/>
  <c r="D57" i="31" s="1"/>
  <c r="E57" i="31" s="1"/>
  <c r="F57" i="31" s="1"/>
  <c r="G57" i="31" s="1"/>
  <c r="H57" i="31" s="1"/>
  <c r="I57" i="31" s="1"/>
  <c r="J57" i="31" s="1"/>
  <c r="K57" i="31" s="1"/>
  <c r="L57" i="31" s="1"/>
  <c r="M57" i="31" s="1"/>
  <c r="C45" i="34"/>
  <c r="D45" i="34" s="1"/>
  <c r="E45" i="34" s="1"/>
  <c r="F45" i="34" s="1"/>
  <c r="G45" i="34" s="1"/>
  <c r="H45" i="34" s="1"/>
  <c r="I45" i="34" s="1"/>
  <c r="J45" i="34" s="1"/>
  <c r="K45" i="34" s="1"/>
  <c r="L45" i="34" s="1"/>
  <c r="M45" i="34" s="1"/>
  <c r="N45" i="34" s="1"/>
  <c r="O45" i="34" s="1"/>
  <c r="P45" i="34" s="1"/>
  <c r="Q45" i="34" s="1"/>
  <c r="R45" i="34" s="1"/>
  <c r="S45" i="34" s="1"/>
  <c r="C39" i="31"/>
  <c r="D39" i="31" s="1"/>
  <c r="E39" i="31" s="1"/>
  <c r="F39" i="31" s="1"/>
  <c r="G39" i="31" s="1"/>
  <c r="H39" i="31" s="1"/>
  <c r="I39" i="31" s="1"/>
  <c r="J39" i="31" s="1"/>
  <c r="K39" i="31" s="1"/>
  <c r="L39" i="31" s="1"/>
  <c r="M39" i="31" s="1"/>
  <c r="C32" i="31"/>
  <c r="D32" i="31" s="1"/>
  <c r="E32" i="31" s="1"/>
  <c r="F32" i="31" s="1"/>
  <c r="G32" i="31" s="1"/>
  <c r="H32" i="31" s="1"/>
  <c r="I32" i="31" s="1"/>
  <c r="J32" i="31" s="1"/>
  <c r="K32" i="31" s="1"/>
  <c r="L32" i="31" s="1"/>
  <c r="M32" i="31" s="1"/>
  <c r="B32" i="34"/>
  <c r="C25" i="31"/>
  <c r="D25" i="31" s="1"/>
  <c r="E25" i="31" s="1"/>
  <c r="F25" i="31" s="1"/>
  <c r="G25" i="31" s="1"/>
  <c r="H25" i="31" s="1"/>
  <c r="I25" i="31" s="1"/>
  <c r="J25" i="31" s="1"/>
  <c r="K25" i="31" s="1"/>
  <c r="L25" i="31" s="1"/>
  <c r="M25" i="31" s="1"/>
  <c r="B25" i="34"/>
  <c r="C12" i="31"/>
  <c r="D12" i="31" s="1"/>
  <c r="E12" i="31" s="1"/>
  <c r="F12" i="31" s="1"/>
  <c r="G12" i="31" s="1"/>
  <c r="H12" i="31" s="1"/>
  <c r="I12" i="31" s="1"/>
  <c r="J12" i="31" s="1"/>
  <c r="K12" i="31" s="1"/>
  <c r="L12" i="31" s="1"/>
  <c r="M12" i="31" s="1"/>
  <c r="B12" i="34"/>
  <c r="C7" i="31"/>
  <c r="D7" i="31" s="1"/>
  <c r="E7" i="31" s="1"/>
  <c r="F7" i="31" s="1"/>
  <c r="G7" i="31" s="1"/>
  <c r="H7" i="31" s="1"/>
  <c r="I7" i="31" s="1"/>
  <c r="J7" i="31" s="1"/>
  <c r="K7" i="31" s="1"/>
  <c r="L7" i="31" s="1"/>
  <c r="M7" i="31" s="1"/>
  <c r="C3" i="31"/>
  <c r="D3" i="31" s="1"/>
  <c r="E3" i="31" s="1"/>
  <c r="F3" i="31" s="1"/>
  <c r="G3" i="31" s="1"/>
  <c r="H3" i="31" s="1"/>
  <c r="I3" i="31" s="1"/>
  <c r="J3" i="31" s="1"/>
  <c r="K3" i="31" s="1"/>
  <c r="L3" i="31" s="1"/>
  <c r="M3" i="31" s="1"/>
  <c r="B3" i="34"/>
  <c r="C164" i="34"/>
  <c r="D164" i="34" s="1"/>
  <c r="E164" i="34" s="1"/>
  <c r="F164" i="34" s="1"/>
  <c r="G164" i="34" s="1"/>
  <c r="H164" i="34" s="1"/>
  <c r="I164" i="34" s="1"/>
  <c r="J164" i="34" s="1"/>
  <c r="K164" i="34" s="1"/>
  <c r="L164" i="34" s="1"/>
  <c r="M164" i="34" s="1"/>
  <c r="N164" i="34" s="1"/>
  <c r="O164" i="34" s="1"/>
  <c r="P164" i="34" s="1"/>
  <c r="Q164" i="34" s="1"/>
  <c r="R164" i="34" s="1"/>
  <c r="S164" i="34" s="1"/>
  <c r="C141" i="31"/>
  <c r="D141" i="31" s="1"/>
  <c r="E141" i="31" s="1"/>
  <c r="F141" i="31" s="1"/>
  <c r="G141" i="31" s="1"/>
  <c r="H141" i="31" s="1"/>
  <c r="I141" i="31" s="1"/>
  <c r="J141" i="31" s="1"/>
  <c r="K141" i="31" s="1"/>
  <c r="L141" i="31" s="1"/>
  <c r="M141" i="31" s="1"/>
  <c r="B141" i="34"/>
  <c r="C127" i="31"/>
  <c r="D127" i="31" s="1"/>
  <c r="E127" i="31" s="1"/>
  <c r="F127" i="31" s="1"/>
  <c r="G127" i="31" s="1"/>
  <c r="H127" i="31" s="1"/>
  <c r="I127" i="31" s="1"/>
  <c r="J127" i="31" s="1"/>
  <c r="K127" i="31" s="1"/>
  <c r="L127" i="31" s="1"/>
  <c r="M127" i="31" s="1"/>
  <c r="B127" i="34"/>
  <c r="C110" i="31"/>
  <c r="D110" i="31" s="1"/>
  <c r="E110" i="31" s="1"/>
  <c r="F110" i="31" s="1"/>
  <c r="G110" i="31" s="1"/>
  <c r="H110" i="31" s="1"/>
  <c r="I110" i="31" s="1"/>
  <c r="J110" i="31" s="1"/>
  <c r="K110" i="31" s="1"/>
  <c r="L110" i="31" s="1"/>
  <c r="M110" i="31" s="1"/>
  <c r="B110" i="34"/>
  <c r="C107" i="31"/>
  <c r="D107" i="31" s="1"/>
  <c r="E107" i="31" s="1"/>
  <c r="F107" i="31" s="1"/>
  <c r="G107" i="31" s="1"/>
  <c r="H107" i="31" s="1"/>
  <c r="I107" i="31" s="1"/>
  <c r="J107" i="31" s="1"/>
  <c r="K107" i="31" s="1"/>
  <c r="L107" i="31" s="1"/>
  <c r="M107" i="31" s="1"/>
  <c r="B107" i="34"/>
  <c r="C51" i="31"/>
  <c r="D51" i="31" s="1"/>
  <c r="E51" i="31" s="1"/>
  <c r="F51" i="31" s="1"/>
  <c r="G51" i="31" s="1"/>
  <c r="H51" i="31" s="1"/>
  <c r="I51" i="31" s="1"/>
  <c r="J51" i="31" s="1"/>
  <c r="K51" i="31" s="1"/>
  <c r="L51" i="31" s="1"/>
  <c r="M51" i="31" s="1"/>
  <c r="B51" i="34"/>
  <c r="C48" i="31"/>
  <c r="D48" i="31" s="1"/>
  <c r="E48" i="31" s="1"/>
  <c r="F48" i="31" s="1"/>
  <c r="G48" i="31" s="1"/>
  <c r="H48" i="31" s="1"/>
  <c r="I48" i="31" s="1"/>
  <c r="J48" i="31" s="1"/>
  <c r="K48" i="31" s="1"/>
  <c r="L48" i="31" s="1"/>
  <c r="M48" i="31" s="1"/>
  <c r="B48" i="34"/>
  <c r="C42" i="31"/>
  <c r="D42" i="31" s="1"/>
  <c r="E42" i="31" s="1"/>
  <c r="F42" i="31" s="1"/>
  <c r="G42" i="31" s="1"/>
  <c r="H42" i="31" s="1"/>
  <c r="I42" i="31" s="1"/>
  <c r="J42" i="31" s="1"/>
  <c r="K42" i="31" s="1"/>
  <c r="L42" i="31" s="1"/>
  <c r="M42" i="31" s="1"/>
  <c r="B42" i="34"/>
  <c r="C42" i="34" s="1"/>
  <c r="D42" i="34" s="1"/>
  <c r="E42" i="34" s="1"/>
  <c r="F42" i="34" s="1"/>
  <c r="G42" i="34" s="1"/>
  <c r="H42" i="34" s="1"/>
  <c r="I42" i="34" s="1"/>
  <c r="J42" i="34" s="1"/>
  <c r="K42" i="34" s="1"/>
  <c r="L42" i="34" s="1"/>
  <c r="M42" i="34" s="1"/>
  <c r="N42" i="34" s="1"/>
  <c r="O42" i="34" s="1"/>
  <c r="P42" i="34" s="1"/>
  <c r="Q42" i="34" s="1"/>
  <c r="R42" i="34" s="1"/>
  <c r="S42" i="34" s="1"/>
  <c r="C35" i="31"/>
  <c r="D35" i="31" s="1"/>
  <c r="E35" i="31" s="1"/>
  <c r="F35" i="31" s="1"/>
  <c r="G35" i="31" s="1"/>
  <c r="H35" i="31" s="1"/>
  <c r="I35" i="31" s="1"/>
  <c r="J35" i="31" s="1"/>
  <c r="K35" i="31" s="1"/>
  <c r="L35" i="31" s="1"/>
  <c r="M35" i="31" s="1"/>
  <c r="C20" i="31"/>
  <c r="D20" i="31" s="1"/>
  <c r="E20" i="31" s="1"/>
  <c r="F20" i="31" s="1"/>
  <c r="G20" i="31" s="1"/>
  <c r="H20" i="31" s="1"/>
  <c r="I20" i="31" s="1"/>
  <c r="J20" i="31" s="1"/>
  <c r="K20" i="31" s="1"/>
  <c r="L20" i="31" s="1"/>
  <c r="M20" i="31" s="1"/>
  <c r="B20" i="34"/>
  <c r="C16" i="31"/>
  <c r="D16" i="31" s="1"/>
  <c r="E16" i="31" s="1"/>
  <c r="F16" i="31" s="1"/>
  <c r="G16" i="31" s="1"/>
  <c r="H16" i="31" s="1"/>
  <c r="I16" i="31" s="1"/>
  <c r="J16" i="31" s="1"/>
  <c r="K16" i="31" s="1"/>
  <c r="L16" i="31" s="1"/>
  <c r="M16" i="31" s="1"/>
  <c r="B16" i="34"/>
  <c r="C71" i="31"/>
  <c r="D71" i="31" s="1"/>
  <c r="E71" i="31" s="1"/>
  <c r="F71" i="31" s="1"/>
  <c r="G71" i="31" s="1"/>
  <c r="H71" i="31" s="1"/>
  <c r="I71" i="31" s="1"/>
  <c r="J71" i="31" s="1"/>
  <c r="K71" i="31" s="1"/>
  <c r="L71" i="31" s="1"/>
  <c r="M71" i="31" s="1"/>
  <c r="B71" i="34"/>
  <c r="C68" i="31"/>
  <c r="D68" i="31" s="1"/>
  <c r="E68" i="31" s="1"/>
  <c r="F68" i="31" s="1"/>
  <c r="G68" i="31" s="1"/>
  <c r="H68" i="31" s="1"/>
  <c r="I68" i="31" s="1"/>
  <c r="J68" i="31" s="1"/>
  <c r="K68" i="31" s="1"/>
  <c r="L68" i="31" s="1"/>
  <c r="M68" i="31" s="1"/>
  <c r="B68" i="34"/>
  <c r="C54" i="31"/>
  <c r="D54" i="31" s="1"/>
  <c r="E54" i="31" s="1"/>
  <c r="F54" i="31" s="1"/>
  <c r="G54" i="31" s="1"/>
  <c r="H54" i="31" s="1"/>
  <c r="I54" i="31" s="1"/>
  <c r="J54" i="31" s="1"/>
  <c r="K54" i="31" s="1"/>
  <c r="L54" i="31" s="1"/>
  <c r="M54" i="31" s="1"/>
  <c r="B54" i="34"/>
  <c r="C50" i="31"/>
  <c r="D50" i="31" s="1"/>
  <c r="E50" i="31" s="1"/>
  <c r="F50" i="31" s="1"/>
  <c r="G50" i="31" s="1"/>
  <c r="H50" i="31" s="1"/>
  <c r="I50" i="31" s="1"/>
  <c r="J50" i="31" s="1"/>
  <c r="K50" i="31" s="1"/>
  <c r="L50" i="31" s="1"/>
  <c r="M50" i="31" s="1"/>
  <c r="B50" i="34"/>
  <c r="C24" i="31"/>
  <c r="D24" i="31" s="1"/>
  <c r="E24" i="31" s="1"/>
  <c r="F24" i="31" s="1"/>
  <c r="G24" i="31" s="1"/>
  <c r="H24" i="31" s="1"/>
  <c r="I24" i="31" s="1"/>
  <c r="J24" i="31" s="1"/>
  <c r="K24" i="31" s="1"/>
  <c r="L24" i="31" s="1"/>
  <c r="M24" i="31" s="1"/>
  <c r="B24" i="34"/>
  <c r="C11" i="34"/>
  <c r="D11" i="34" s="1"/>
  <c r="E11" i="34" s="1"/>
  <c r="F11" i="34" s="1"/>
  <c r="G11" i="34" s="1"/>
  <c r="H11" i="34" s="1"/>
  <c r="I11" i="34" s="1"/>
  <c r="J11" i="34" s="1"/>
  <c r="K11" i="34" s="1"/>
  <c r="L11" i="34" s="1"/>
  <c r="M11" i="34" s="1"/>
  <c r="N11" i="34" s="1"/>
  <c r="O11" i="34" s="1"/>
  <c r="P11" i="34" s="1"/>
  <c r="Q11" i="34" s="1"/>
  <c r="R11" i="34" s="1"/>
  <c r="S11" i="34" s="1"/>
  <c r="B2" i="34"/>
  <c r="C2" i="34" s="1"/>
  <c r="D2" i="34" s="1"/>
  <c r="E2" i="34" s="1"/>
  <c r="F2" i="34" s="1"/>
  <c r="B1" i="34"/>
  <c r="C1" i="34" s="1"/>
  <c r="G2" i="31"/>
  <c r="H2" i="31" s="1"/>
  <c r="I2" i="31" s="1"/>
  <c r="J2" i="31" s="1"/>
  <c r="K2" i="31" s="1"/>
  <c r="L2" i="31" s="1"/>
  <c r="M2" i="31" s="1"/>
  <c r="D1" i="31"/>
  <c r="E1" i="31" s="1"/>
  <c r="F1" i="31" s="1"/>
  <c r="G1" i="31" s="1"/>
  <c r="H1" i="31" s="1"/>
  <c r="I1" i="31" s="1"/>
  <c r="J1" i="31" s="1"/>
  <c r="K1" i="31" s="1"/>
  <c r="L1" i="31" s="1"/>
  <c r="M1" i="31" s="1"/>
  <c r="C8" i="2"/>
  <c r="B2" i="13"/>
  <c r="C2" i="13"/>
  <c r="D2" i="13"/>
  <c r="E2" i="13"/>
  <c r="F2" i="13"/>
  <c r="H2" i="13"/>
  <c r="I2" i="13"/>
  <c r="K2" i="13"/>
  <c r="L2" i="13"/>
  <c r="N2" i="13"/>
  <c r="O2" i="13"/>
  <c r="P2" i="13"/>
  <c r="Q2" i="13"/>
  <c r="R2" i="13"/>
  <c r="S2" i="13"/>
  <c r="A2" i="13"/>
  <c r="C2" i="2"/>
  <c r="B2" i="2"/>
  <c r="H2" i="1"/>
  <c r="H617" i="2"/>
  <c r="G617" i="2"/>
  <c r="F617" i="2"/>
  <c r="E617" i="2"/>
  <c r="D617" i="2"/>
  <c r="F615" i="2"/>
  <c r="D615" i="2"/>
  <c r="G615" i="2"/>
  <c r="E615" i="2"/>
  <c r="H615" i="2"/>
  <c r="F2" i="1"/>
  <c r="F614" i="1" s="1"/>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7" i="2"/>
  <c r="C6" i="2"/>
  <c r="C5" i="2"/>
  <c r="C4" i="2"/>
  <c r="G2" i="2"/>
  <c r="F2" i="2"/>
  <c r="E2" i="2"/>
  <c r="D2" i="2"/>
  <c r="B2" i="1"/>
  <c r="L2" i="1"/>
  <c r="L616" i="1" s="1"/>
  <c r="K2" i="1"/>
  <c r="I2" i="1"/>
  <c r="I614" i="1" s="1"/>
  <c r="E2" i="1"/>
  <c r="D2" i="1"/>
  <c r="C2" i="1"/>
  <c r="A2" i="1"/>
  <c r="C572" i="34" l="1"/>
  <c r="D572" i="34" s="1"/>
  <c r="E572" i="34" s="1"/>
  <c r="F572" i="34" s="1"/>
  <c r="G572" i="34" s="1"/>
  <c r="H572" i="34" s="1"/>
  <c r="I572" i="34" s="1"/>
  <c r="J572" i="34" s="1"/>
  <c r="K572" i="34" s="1"/>
  <c r="L572" i="34" s="1"/>
  <c r="M572" i="34" s="1"/>
  <c r="N572" i="34" s="1"/>
  <c r="O572" i="34" s="1"/>
  <c r="P572" i="34" s="1"/>
  <c r="Q572" i="34" s="1"/>
  <c r="R572" i="34" s="1"/>
  <c r="S572" i="34" s="1"/>
  <c r="C142" i="34"/>
  <c r="D142" i="34" s="1"/>
  <c r="E142" i="34" s="1"/>
  <c r="F142" i="34" s="1"/>
  <c r="G142" i="34" s="1"/>
  <c r="H142" i="34" s="1"/>
  <c r="I142" i="34" s="1"/>
  <c r="J142" i="34" s="1"/>
  <c r="K142" i="34" s="1"/>
  <c r="L142" i="34" s="1"/>
  <c r="M142" i="34" s="1"/>
  <c r="N142" i="34" s="1"/>
  <c r="O142" i="34" s="1"/>
  <c r="P142" i="34" s="1"/>
  <c r="Q142" i="34" s="1"/>
  <c r="R142" i="34" s="1"/>
  <c r="S142" i="34" s="1"/>
  <c r="C29" i="34"/>
  <c r="D29" i="34" s="1"/>
  <c r="E29" i="34" s="1"/>
  <c r="F29" i="34" s="1"/>
  <c r="G29" i="34" s="1"/>
  <c r="H29" i="34" s="1"/>
  <c r="I29" i="34" s="1"/>
  <c r="J29" i="34" s="1"/>
  <c r="K29" i="34" s="1"/>
  <c r="L29" i="34" s="1"/>
  <c r="M29" i="34" s="1"/>
  <c r="N29" i="34" s="1"/>
  <c r="O29" i="34" s="1"/>
  <c r="P29" i="34" s="1"/>
  <c r="Q29" i="34" s="1"/>
  <c r="R29" i="34" s="1"/>
  <c r="S29" i="34" s="1"/>
  <c r="C52" i="34"/>
  <c r="D52" i="34" s="1"/>
  <c r="E52" i="34" s="1"/>
  <c r="F52" i="34" s="1"/>
  <c r="G52" i="34" s="1"/>
  <c r="H52" i="34" s="1"/>
  <c r="I52" i="34" s="1"/>
  <c r="J52" i="34" s="1"/>
  <c r="K52" i="34" s="1"/>
  <c r="L52" i="34" s="1"/>
  <c r="M52" i="34" s="1"/>
  <c r="N52" i="34" s="1"/>
  <c r="O52" i="34" s="1"/>
  <c r="P52" i="34" s="1"/>
  <c r="Q52" i="34" s="1"/>
  <c r="R52" i="34" s="1"/>
  <c r="S52" i="34" s="1"/>
  <c r="C94" i="34"/>
  <c r="D94" i="34" s="1"/>
  <c r="E94" i="34" s="1"/>
  <c r="F94" i="34" s="1"/>
  <c r="G94" i="34" s="1"/>
  <c r="H94" i="34" s="1"/>
  <c r="I94" i="34" s="1"/>
  <c r="J94" i="34" s="1"/>
  <c r="K94" i="34" s="1"/>
  <c r="L94" i="34" s="1"/>
  <c r="M94" i="34" s="1"/>
  <c r="N94" i="34" s="1"/>
  <c r="O94" i="34" s="1"/>
  <c r="P94" i="34" s="1"/>
  <c r="Q94" i="34" s="1"/>
  <c r="R94" i="34" s="1"/>
  <c r="S94" i="34" s="1"/>
  <c r="C114" i="34"/>
  <c r="D114" i="34" s="1"/>
  <c r="E114" i="34" s="1"/>
  <c r="F114" i="34" s="1"/>
  <c r="G114" i="34" s="1"/>
  <c r="H114" i="34" s="1"/>
  <c r="I114" i="34" s="1"/>
  <c r="J114" i="34" s="1"/>
  <c r="K114" i="34" s="1"/>
  <c r="L114" i="34" s="1"/>
  <c r="M114" i="34" s="1"/>
  <c r="N114" i="34" s="1"/>
  <c r="O114" i="34" s="1"/>
  <c r="P114" i="34" s="1"/>
  <c r="Q114" i="34" s="1"/>
  <c r="R114" i="34" s="1"/>
  <c r="S114" i="34" s="1"/>
  <c r="C149" i="34"/>
  <c r="D149" i="34" s="1"/>
  <c r="E149" i="34" s="1"/>
  <c r="F149" i="34" s="1"/>
  <c r="G149" i="34" s="1"/>
  <c r="H149" i="34" s="1"/>
  <c r="I149" i="34" s="1"/>
  <c r="J149" i="34" s="1"/>
  <c r="K149" i="34" s="1"/>
  <c r="L149" i="34" s="1"/>
  <c r="M149" i="34" s="1"/>
  <c r="N149" i="34" s="1"/>
  <c r="O149" i="34" s="1"/>
  <c r="P149" i="34" s="1"/>
  <c r="Q149" i="34" s="1"/>
  <c r="R149" i="34" s="1"/>
  <c r="S149" i="34" s="1"/>
  <c r="C125" i="34"/>
  <c r="D125" i="34" s="1"/>
  <c r="E125" i="34" s="1"/>
  <c r="F125" i="34" s="1"/>
  <c r="G125" i="34" s="1"/>
  <c r="H125" i="34" s="1"/>
  <c r="I125" i="34" s="1"/>
  <c r="J125" i="34" s="1"/>
  <c r="K125" i="34" s="1"/>
  <c r="L125" i="34" s="1"/>
  <c r="M125" i="34" s="1"/>
  <c r="N125" i="34" s="1"/>
  <c r="O125" i="34" s="1"/>
  <c r="P125" i="34" s="1"/>
  <c r="Q125" i="34" s="1"/>
  <c r="R125" i="34" s="1"/>
  <c r="S125" i="34" s="1"/>
  <c r="C150" i="34"/>
  <c r="D150" i="34" s="1"/>
  <c r="E150" i="34" s="1"/>
  <c r="F150" i="34" s="1"/>
  <c r="G150" i="34" s="1"/>
  <c r="H150" i="34" s="1"/>
  <c r="I150" i="34" s="1"/>
  <c r="J150" i="34" s="1"/>
  <c r="K150" i="34" s="1"/>
  <c r="L150" i="34" s="1"/>
  <c r="M150" i="34" s="1"/>
  <c r="N150" i="34" s="1"/>
  <c r="O150" i="34" s="1"/>
  <c r="P150" i="34" s="1"/>
  <c r="Q150" i="34" s="1"/>
  <c r="R150" i="34" s="1"/>
  <c r="S150" i="34" s="1"/>
  <c r="C192" i="34"/>
  <c r="D192" i="34" s="1"/>
  <c r="E192" i="34" s="1"/>
  <c r="F192" i="34" s="1"/>
  <c r="G192" i="34" s="1"/>
  <c r="H192" i="34" s="1"/>
  <c r="I192" i="34" s="1"/>
  <c r="J192" i="34" s="1"/>
  <c r="K192" i="34" s="1"/>
  <c r="L192" i="34" s="1"/>
  <c r="M192" i="34" s="1"/>
  <c r="N192" i="34" s="1"/>
  <c r="O192" i="34" s="1"/>
  <c r="P192" i="34" s="1"/>
  <c r="Q192" i="34" s="1"/>
  <c r="R192" i="34" s="1"/>
  <c r="S192" i="34" s="1"/>
  <c r="C458" i="34"/>
  <c r="D458" i="34" s="1"/>
  <c r="E458" i="34" s="1"/>
  <c r="F458" i="34" s="1"/>
  <c r="G458" i="34" s="1"/>
  <c r="H458" i="34" s="1"/>
  <c r="I458" i="34" s="1"/>
  <c r="J458" i="34" s="1"/>
  <c r="K458" i="34" s="1"/>
  <c r="L458" i="34" s="1"/>
  <c r="M458" i="34" s="1"/>
  <c r="N458" i="34" s="1"/>
  <c r="O458" i="34" s="1"/>
  <c r="P458" i="34" s="1"/>
  <c r="Q458" i="34" s="1"/>
  <c r="R458" i="34" s="1"/>
  <c r="S458" i="34" s="1"/>
  <c r="C448" i="34"/>
  <c r="D448" i="34" s="1"/>
  <c r="E448" i="34" s="1"/>
  <c r="F448" i="34" s="1"/>
  <c r="G448" i="34" s="1"/>
  <c r="H448" i="34" s="1"/>
  <c r="I448" i="34" s="1"/>
  <c r="J448" i="34" s="1"/>
  <c r="K448" i="34" s="1"/>
  <c r="L448" i="34" s="1"/>
  <c r="M448" i="34" s="1"/>
  <c r="N448" i="34" s="1"/>
  <c r="O448" i="34" s="1"/>
  <c r="P448" i="34" s="1"/>
  <c r="Q448" i="34" s="1"/>
  <c r="R448" i="34" s="1"/>
  <c r="S448" i="34" s="1"/>
  <c r="C482" i="34"/>
  <c r="D482" i="34" s="1"/>
  <c r="E482" i="34" s="1"/>
  <c r="F482" i="34" s="1"/>
  <c r="G482" i="34" s="1"/>
  <c r="H482" i="34" s="1"/>
  <c r="I482" i="34" s="1"/>
  <c r="J482" i="34" s="1"/>
  <c r="K482" i="34" s="1"/>
  <c r="L482" i="34" s="1"/>
  <c r="M482" i="34" s="1"/>
  <c r="N482" i="34" s="1"/>
  <c r="O482" i="34" s="1"/>
  <c r="P482" i="34" s="1"/>
  <c r="Q482" i="34" s="1"/>
  <c r="R482" i="34" s="1"/>
  <c r="S482" i="34" s="1"/>
  <c r="C552" i="34"/>
  <c r="D552" i="34" s="1"/>
  <c r="E552" i="34" s="1"/>
  <c r="F552" i="34" s="1"/>
  <c r="G552" i="34" s="1"/>
  <c r="H552" i="34" s="1"/>
  <c r="I552" i="34" s="1"/>
  <c r="J552" i="34" s="1"/>
  <c r="K552" i="34" s="1"/>
  <c r="L552" i="34" s="1"/>
  <c r="M552" i="34" s="1"/>
  <c r="N552" i="34" s="1"/>
  <c r="O552" i="34" s="1"/>
  <c r="P552" i="34" s="1"/>
  <c r="Q552" i="34" s="1"/>
  <c r="R552" i="34" s="1"/>
  <c r="S552" i="34" s="1"/>
  <c r="C561" i="34"/>
  <c r="D561" i="34" s="1"/>
  <c r="E561" i="34" s="1"/>
  <c r="F561" i="34" s="1"/>
  <c r="G561" i="34" s="1"/>
  <c r="H561" i="34" s="1"/>
  <c r="I561" i="34" s="1"/>
  <c r="J561" i="34" s="1"/>
  <c r="K561" i="34" s="1"/>
  <c r="L561" i="34" s="1"/>
  <c r="M561" i="34" s="1"/>
  <c r="N561" i="34" s="1"/>
  <c r="O561" i="34" s="1"/>
  <c r="P561" i="34" s="1"/>
  <c r="Q561" i="34" s="1"/>
  <c r="R561" i="34" s="1"/>
  <c r="S561" i="34" s="1"/>
  <c r="C591" i="34"/>
  <c r="D591" i="34" s="1"/>
  <c r="E591" i="34" s="1"/>
  <c r="F591" i="34" s="1"/>
  <c r="G591" i="34" s="1"/>
  <c r="H591" i="34" s="1"/>
  <c r="I591" i="34" s="1"/>
  <c r="J591" i="34" s="1"/>
  <c r="K591" i="34" s="1"/>
  <c r="L591" i="34" s="1"/>
  <c r="M591" i="34" s="1"/>
  <c r="N591" i="34" s="1"/>
  <c r="O591" i="34" s="1"/>
  <c r="P591" i="34" s="1"/>
  <c r="Q591" i="34" s="1"/>
  <c r="R591" i="34" s="1"/>
  <c r="S591" i="34" s="1"/>
  <c r="C288" i="34"/>
  <c r="D288" i="34" s="1"/>
  <c r="E288" i="34" s="1"/>
  <c r="F288" i="34" s="1"/>
  <c r="G288" i="34" s="1"/>
  <c r="H288" i="34" s="1"/>
  <c r="I288" i="34" s="1"/>
  <c r="J288" i="34" s="1"/>
  <c r="K288" i="34" s="1"/>
  <c r="L288" i="34" s="1"/>
  <c r="M288" i="34" s="1"/>
  <c r="N288" i="34" s="1"/>
  <c r="O288" i="34" s="1"/>
  <c r="P288" i="34" s="1"/>
  <c r="Q288" i="34" s="1"/>
  <c r="R288" i="34" s="1"/>
  <c r="S288" i="34" s="1"/>
  <c r="C422" i="34"/>
  <c r="D422" i="34" s="1"/>
  <c r="E422" i="34" s="1"/>
  <c r="F422" i="34" s="1"/>
  <c r="G422" i="34" s="1"/>
  <c r="H422" i="34" s="1"/>
  <c r="I422" i="34" s="1"/>
  <c r="J422" i="34" s="1"/>
  <c r="K422" i="34" s="1"/>
  <c r="L422" i="34" s="1"/>
  <c r="M422" i="34" s="1"/>
  <c r="N422" i="34" s="1"/>
  <c r="O422" i="34" s="1"/>
  <c r="P422" i="34" s="1"/>
  <c r="Q422" i="34" s="1"/>
  <c r="R422" i="34" s="1"/>
  <c r="S422" i="34" s="1"/>
  <c r="C128" i="34"/>
  <c r="D128" i="34" s="1"/>
  <c r="E128" i="34" s="1"/>
  <c r="F128" i="34" s="1"/>
  <c r="G128" i="34" s="1"/>
  <c r="H128" i="34" s="1"/>
  <c r="I128" i="34" s="1"/>
  <c r="J128" i="34" s="1"/>
  <c r="K128" i="34" s="1"/>
  <c r="L128" i="34" s="1"/>
  <c r="M128" i="34" s="1"/>
  <c r="N128" i="34" s="1"/>
  <c r="O128" i="34" s="1"/>
  <c r="P128" i="34" s="1"/>
  <c r="Q128" i="34" s="1"/>
  <c r="R128" i="34" s="1"/>
  <c r="S128" i="34" s="1"/>
  <c r="C8" i="34"/>
  <c r="D8" i="34" s="1"/>
  <c r="E8" i="34" s="1"/>
  <c r="F8" i="34" s="1"/>
  <c r="G8" i="34" s="1"/>
  <c r="H8" i="34" s="1"/>
  <c r="I8" i="34" s="1"/>
  <c r="J8" i="34" s="1"/>
  <c r="K8" i="34" s="1"/>
  <c r="L8" i="34" s="1"/>
  <c r="M8" i="34" s="1"/>
  <c r="N8" i="34" s="1"/>
  <c r="O8" i="34" s="1"/>
  <c r="P8" i="34" s="1"/>
  <c r="Q8" i="34" s="1"/>
  <c r="R8" i="34" s="1"/>
  <c r="S8" i="34" s="1"/>
  <c r="C587" i="34"/>
  <c r="D587" i="34" s="1"/>
  <c r="E587" i="34" s="1"/>
  <c r="F587" i="34" s="1"/>
  <c r="G587" i="34" s="1"/>
  <c r="H587" i="34" s="1"/>
  <c r="I587" i="34" s="1"/>
  <c r="J587" i="34" s="1"/>
  <c r="K587" i="34" s="1"/>
  <c r="L587" i="34" s="1"/>
  <c r="M587" i="34" s="1"/>
  <c r="N587" i="34" s="1"/>
  <c r="O587" i="34" s="1"/>
  <c r="P587" i="34" s="1"/>
  <c r="Q587" i="34" s="1"/>
  <c r="R587" i="34" s="1"/>
  <c r="S587" i="34" s="1"/>
  <c r="C548" i="34"/>
  <c r="D548" i="34" s="1"/>
  <c r="E548" i="34" s="1"/>
  <c r="F548" i="34" s="1"/>
  <c r="G548" i="34" s="1"/>
  <c r="H548" i="34" s="1"/>
  <c r="I548" i="34" s="1"/>
  <c r="J548" i="34" s="1"/>
  <c r="K548" i="34" s="1"/>
  <c r="L548" i="34" s="1"/>
  <c r="M548" i="34" s="1"/>
  <c r="N548" i="34" s="1"/>
  <c r="O548" i="34" s="1"/>
  <c r="P548" i="34" s="1"/>
  <c r="Q548" i="34" s="1"/>
  <c r="R548" i="34" s="1"/>
  <c r="S548" i="34" s="1"/>
  <c r="C559" i="34"/>
  <c r="D559" i="34" s="1"/>
  <c r="E559" i="34" s="1"/>
  <c r="F559" i="34" s="1"/>
  <c r="G559" i="34" s="1"/>
  <c r="H559" i="34" s="1"/>
  <c r="I559" i="34" s="1"/>
  <c r="J559" i="34" s="1"/>
  <c r="K559" i="34" s="1"/>
  <c r="L559" i="34" s="1"/>
  <c r="M559" i="34" s="1"/>
  <c r="N559" i="34" s="1"/>
  <c r="O559" i="34" s="1"/>
  <c r="P559" i="34" s="1"/>
  <c r="Q559" i="34" s="1"/>
  <c r="R559" i="34" s="1"/>
  <c r="S559" i="34" s="1"/>
  <c r="C302" i="34"/>
  <c r="D302" i="34" s="1"/>
  <c r="E302" i="34" s="1"/>
  <c r="F302" i="34" s="1"/>
  <c r="G302" i="34" s="1"/>
  <c r="H302" i="34" s="1"/>
  <c r="I302" i="34" s="1"/>
  <c r="J302" i="34" s="1"/>
  <c r="K302" i="34" s="1"/>
  <c r="L302" i="34" s="1"/>
  <c r="M302" i="34" s="1"/>
  <c r="N302" i="34" s="1"/>
  <c r="O302" i="34" s="1"/>
  <c r="P302" i="34" s="1"/>
  <c r="Q302" i="34" s="1"/>
  <c r="R302" i="34" s="1"/>
  <c r="S302" i="34" s="1"/>
  <c r="C100" i="34"/>
  <c r="D100" i="34" s="1"/>
  <c r="E100" i="34" s="1"/>
  <c r="F100" i="34" s="1"/>
  <c r="G100" i="34" s="1"/>
  <c r="H100" i="34" s="1"/>
  <c r="I100" i="34" s="1"/>
  <c r="J100" i="34" s="1"/>
  <c r="K100" i="34" s="1"/>
  <c r="L100" i="34" s="1"/>
  <c r="M100" i="34" s="1"/>
  <c r="N100" i="34" s="1"/>
  <c r="O100" i="34" s="1"/>
  <c r="P100" i="34" s="1"/>
  <c r="Q100" i="34" s="1"/>
  <c r="R100" i="34" s="1"/>
  <c r="S100" i="34" s="1"/>
  <c r="C132" i="34"/>
  <c r="D132" i="34" s="1"/>
  <c r="E132" i="34" s="1"/>
  <c r="F132" i="34" s="1"/>
  <c r="G132" i="34" s="1"/>
  <c r="H132" i="34" s="1"/>
  <c r="I132" i="34" s="1"/>
  <c r="J132" i="34" s="1"/>
  <c r="K132" i="34" s="1"/>
  <c r="L132" i="34" s="1"/>
  <c r="M132" i="34" s="1"/>
  <c r="N132" i="34" s="1"/>
  <c r="O132" i="34" s="1"/>
  <c r="P132" i="34" s="1"/>
  <c r="Q132" i="34" s="1"/>
  <c r="R132" i="34" s="1"/>
  <c r="S132" i="34" s="1"/>
  <c r="C109" i="34"/>
  <c r="D109" i="34" s="1"/>
  <c r="E109" i="34" s="1"/>
  <c r="F109" i="34" s="1"/>
  <c r="G109" i="34" s="1"/>
  <c r="H109" i="34" s="1"/>
  <c r="I109" i="34" s="1"/>
  <c r="J109" i="34" s="1"/>
  <c r="K109" i="34" s="1"/>
  <c r="L109" i="34" s="1"/>
  <c r="M109" i="34" s="1"/>
  <c r="N109" i="34" s="1"/>
  <c r="O109" i="34" s="1"/>
  <c r="P109" i="34" s="1"/>
  <c r="Q109" i="34" s="1"/>
  <c r="R109" i="34" s="1"/>
  <c r="S109" i="34" s="1"/>
  <c r="C308" i="34"/>
  <c r="D308" i="34" s="1"/>
  <c r="E308" i="34" s="1"/>
  <c r="F308" i="34" s="1"/>
  <c r="G308" i="34" s="1"/>
  <c r="H308" i="34" s="1"/>
  <c r="I308" i="34" s="1"/>
  <c r="J308" i="34" s="1"/>
  <c r="K308" i="34" s="1"/>
  <c r="L308" i="34" s="1"/>
  <c r="M308" i="34" s="1"/>
  <c r="N308" i="34" s="1"/>
  <c r="O308" i="34" s="1"/>
  <c r="P308" i="34" s="1"/>
  <c r="Q308" i="34" s="1"/>
  <c r="R308" i="34" s="1"/>
  <c r="S308" i="34" s="1"/>
  <c r="C580" i="34"/>
  <c r="D580" i="34" s="1"/>
  <c r="E580" i="34" s="1"/>
  <c r="F580" i="34" s="1"/>
  <c r="G580" i="34" s="1"/>
  <c r="H580" i="34" s="1"/>
  <c r="I580" i="34" s="1"/>
  <c r="J580" i="34" s="1"/>
  <c r="K580" i="34" s="1"/>
  <c r="L580" i="34" s="1"/>
  <c r="M580" i="34" s="1"/>
  <c r="N580" i="34" s="1"/>
  <c r="O580" i="34" s="1"/>
  <c r="P580" i="34" s="1"/>
  <c r="Q580" i="34" s="1"/>
  <c r="R580" i="34" s="1"/>
  <c r="S580" i="34" s="1"/>
  <c r="C495" i="34"/>
  <c r="D495" i="34" s="1"/>
  <c r="E495" i="34" s="1"/>
  <c r="F495" i="34" s="1"/>
  <c r="G495" i="34" s="1"/>
  <c r="H495" i="34" s="1"/>
  <c r="I495" i="34" s="1"/>
  <c r="J495" i="34" s="1"/>
  <c r="K495" i="34" s="1"/>
  <c r="L495" i="34" s="1"/>
  <c r="M495" i="34" s="1"/>
  <c r="N495" i="34" s="1"/>
  <c r="O495" i="34" s="1"/>
  <c r="P495" i="34" s="1"/>
  <c r="Q495" i="34" s="1"/>
  <c r="R495" i="34" s="1"/>
  <c r="S495" i="34" s="1"/>
  <c r="C540" i="34"/>
  <c r="D540" i="34" s="1"/>
  <c r="E540" i="34" s="1"/>
  <c r="F540" i="34" s="1"/>
  <c r="G540" i="34" s="1"/>
  <c r="H540" i="34" s="1"/>
  <c r="I540" i="34" s="1"/>
  <c r="J540" i="34" s="1"/>
  <c r="K540" i="34" s="1"/>
  <c r="L540" i="34" s="1"/>
  <c r="M540" i="34" s="1"/>
  <c r="N540" i="34" s="1"/>
  <c r="O540" i="34" s="1"/>
  <c r="P540" i="34" s="1"/>
  <c r="Q540" i="34" s="1"/>
  <c r="R540" i="34" s="1"/>
  <c r="S540" i="34" s="1"/>
  <c r="C560" i="34"/>
  <c r="D560" i="34" s="1"/>
  <c r="E560" i="34" s="1"/>
  <c r="F560" i="34" s="1"/>
  <c r="G560" i="34" s="1"/>
  <c r="H560" i="34" s="1"/>
  <c r="I560" i="34" s="1"/>
  <c r="J560" i="34" s="1"/>
  <c r="K560" i="34" s="1"/>
  <c r="L560" i="34" s="1"/>
  <c r="M560" i="34" s="1"/>
  <c r="N560" i="34" s="1"/>
  <c r="O560" i="34" s="1"/>
  <c r="P560" i="34" s="1"/>
  <c r="Q560" i="34" s="1"/>
  <c r="R560" i="34" s="1"/>
  <c r="S560" i="34" s="1"/>
  <c r="C201" i="34"/>
  <c r="D201" i="34" s="1"/>
  <c r="E201" i="34" s="1"/>
  <c r="F201" i="34" s="1"/>
  <c r="G201" i="34" s="1"/>
  <c r="H201" i="34" s="1"/>
  <c r="I201" i="34" s="1"/>
  <c r="J201" i="34" s="1"/>
  <c r="K201" i="34" s="1"/>
  <c r="L201" i="34" s="1"/>
  <c r="M201" i="34" s="1"/>
  <c r="N201" i="34" s="1"/>
  <c r="O201" i="34" s="1"/>
  <c r="P201" i="34" s="1"/>
  <c r="Q201" i="34" s="1"/>
  <c r="R201" i="34" s="1"/>
  <c r="S201" i="34" s="1"/>
  <c r="C116" i="34"/>
  <c r="D116" i="34" s="1"/>
  <c r="E116" i="34" s="1"/>
  <c r="F116" i="34" s="1"/>
  <c r="G116" i="34" s="1"/>
  <c r="H116" i="34" s="1"/>
  <c r="I116" i="34" s="1"/>
  <c r="J116" i="34" s="1"/>
  <c r="K116" i="34" s="1"/>
  <c r="L116" i="34" s="1"/>
  <c r="M116" i="34" s="1"/>
  <c r="N116" i="34" s="1"/>
  <c r="O116" i="34" s="1"/>
  <c r="P116" i="34" s="1"/>
  <c r="Q116" i="34" s="1"/>
  <c r="R116" i="34" s="1"/>
  <c r="S116" i="34" s="1"/>
  <c r="C43" i="34"/>
  <c r="D43" i="34" s="1"/>
  <c r="E43" i="34" s="1"/>
  <c r="F43" i="34" s="1"/>
  <c r="G43" i="34" s="1"/>
  <c r="H43" i="34" s="1"/>
  <c r="I43" i="34" s="1"/>
  <c r="J43" i="34" s="1"/>
  <c r="K43" i="34" s="1"/>
  <c r="L43" i="34" s="1"/>
  <c r="M43" i="34" s="1"/>
  <c r="N43" i="34" s="1"/>
  <c r="O43" i="34" s="1"/>
  <c r="P43" i="34" s="1"/>
  <c r="Q43" i="34" s="1"/>
  <c r="R43" i="34" s="1"/>
  <c r="S43" i="34" s="1"/>
  <c r="M122" i="34"/>
  <c r="N122" i="34" s="1"/>
  <c r="O122" i="34" s="1"/>
  <c r="P122" i="34" s="1"/>
  <c r="Q122" i="34" s="1"/>
  <c r="R122" i="34" s="1"/>
  <c r="S122" i="34" s="1"/>
  <c r="C115" i="34"/>
  <c r="D115" i="34" s="1"/>
  <c r="E115" i="34" s="1"/>
  <c r="F115" i="34" s="1"/>
  <c r="G115" i="34" s="1"/>
  <c r="H115" i="34" s="1"/>
  <c r="I115" i="34" s="1"/>
  <c r="J115" i="34" s="1"/>
  <c r="K115" i="34" s="1"/>
  <c r="L115" i="34" s="1"/>
  <c r="M115" i="34" s="1"/>
  <c r="N115" i="34" s="1"/>
  <c r="O115" i="34" s="1"/>
  <c r="P115" i="34" s="1"/>
  <c r="Q115" i="34" s="1"/>
  <c r="R115" i="34" s="1"/>
  <c r="S115" i="34" s="1"/>
  <c r="C204" i="34"/>
  <c r="D204" i="34" s="1"/>
  <c r="E204" i="34" s="1"/>
  <c r="F204" i="34" s="1"/>
  <c r="G204" i="34" s="1"/>
  <c r="H204" i="34" s="1"/>
  <c r="I204" i="34" s="1"/>
  <c r="J204" i="34" s="1"/>
  <c r="K204" i="34" s="1"/>
  <c r="L204" i="34" s="1"/>
  <c r="M204" i="34" s="1"/>
  <c r="N204" i="34" s="1"/>
  <c r="O204" i="34" s="1"/>
  <c r="P204" i="34" s="1"/>
  <c r="Q204" i="34" s="1"/>
  <c r="R204" i="34" s="1"/>
  <c r="S204" i="34" s="1"/>
  <c r="C513" i="34"/>
  <c r="D513" i="34" s="1"/>
  <c r="E513" i="34" s="1"/>
  <c r="F513" i="34" s="1"/>
  <c r="G513" i="34" s="1"/>
  <c r="H513" i="34" s="1"/>
  <c r="I513" i="34" s="1"/>
  <c r="J513" i="34" s="1"/>
  <c r="K513" i="34" s="1"/>
  <c r="L513" i="34" s="1"/>
  <c r="M513" i="34" s="1"/>
  <c r="N513" i="34" s="1"/>
  <c r="O513" i="34" s="1"/>
  <c r="P513" i="34" s="1"/>
  <c r="Q513" i="34" s="1"/>
  <c r="R513" i="34" s="1"/>
  <c r="S513" i="34" s="1"/>
  <c r="C556" i="34"/>
  <c r="D556" i="34" s="1"/>
  <c r="E556" i="34" s="1"/>
  <c r="F556" i="34" s="1"/>
  <c r="G556" i="34" s="1"/>
  <c r="H556" i="34" s="1"/>
  <c r="I556" i="34" s="1"/>
  <c r="J556" i="34" s="1"/>
  <c r="K556" i="34" s="1"/>
  <c r="L556" i="34" s="1"/>
  <c r="M556" i="34" s="1"/>
  <c r="N556" i="34" s="1"/>
  <c r="O556" i="34" s="1"/>
  <c r="P556" i="34" s="1"/>
  <c r="Q556" i="34" s="1"/>
  <c r="R556" i="34" s="1"/>
  <c r="S556" i="34" s="1"/>
  <c r="C608" i="34"/>
  <c r="D608" i="34" s="1"/>
  <c r="E608" i="34" s="1"/>
  <c r="F608" i="34" s="1"/>
  <c r="G608" i="34" s="1"/>
  <c r="H608" i="34" s="1"/>
  <c r="I608" i="34" s="1"/>
  <c r="J608" i="34" s="1"/>
  <c r="K608" i="34" s="1"/>
  <c r="L608" i="34" s="1"/>
  <c r="M608" i="34" s="1"/>
  <c r="N608" i="34" s="1"/>
  <c r="O608" i="34" s="1"/>
  <c r="P608" i="34" s="1"/>
  <c r="Q608" i="34" s="1"/>
  <c r="R608" i="34" s="1"/>
  <c r="S608" i="34" s="1"/>
  <c r="C574" i="34"/>
  <c r="D574" i="34" s="1"/>
  <c r="E574" i="34" s="1"/>
  <c r="F574" i="34" s="1"/>
  <c r="G574" i="34" s="1"/>
  <c r="H574" i="34" s="1"/>
  <c r="I574" i="34" s="1"/>
  <c r="J574" i="34" s="1"/>
  <c r="K574" i="34" s="1"/>
  <c r="L574" i="34" s="1"/>
  <c r="M574" i="34" s="1"/>
  <c r="N574" i="34" s="1"/>
  <c r="O574" i="34" s="1"/>
  <c r="P574" i="34" s="1"/>
  <c r="Q574" i="34" s="1"/>
  <c r="R574" i="34" s="1"/>
  <c r="S574" i="34" s="1"/>
  <c r="C536" i="34"/>
  <c r="D536" i="34" s="1"/>
  <c r="E536" i="34" s="1"/>
  <c r="F536" i="34" s="1"/>
  <c r="G536" i="34" s="1"/>
  <c r="H536" i="34" s="1"/>
  <c r="I536" i="34" s="1"/>
  <c r="J536" i="34" s="1"/>
  <c r="K536" i="34" s="1"/>
  <c r="L536" i="34" s="1"/>
  <c r="M536" i="34" s="1"/>
  <c r="N536" i="34" s="1"/>
  <c r="O536" i="34" s="1"/>
  <c r="P536" i="34" s="1"/>
  <c r="Q536" i="34" s="1"/>
  <c r="R536" i="34" s="1"/>
  <c r="S536" i="34" s="1"/>
  <c r="C499" i="34"/>
  <c r="D499" i="34" s="1"/>
  <c r="E499" i="34" s="1"/>
  <c r="F499" i="34" s="1"/>
  <c r="G499" i="34" s="1"/>
  <c r="H499" i="34" s="1"/>
  <c r="I499" i="34" s="1"/>
  <c r="J499" i="34" s="1"/>
  <c r="K499" i="34" s="1"/>
  <c r="L499" i="34" s="1"/>
  <c r="M499" i="34" s="1"/>
  <c r="N499" i="34" s="1"/>
  <c r="O499" i="34" s="1"/>
  <c r="P499" i="34" s="1"/>
  <c r="Q499" i="34" s="1"/>
  <c r="R499" i="34" s="1"/>
  <c r="S499" i="34" s="1"/>
  <c r="C551" i="34"/>
  <c r="D551" i="34" s="1"/>
  <c r="E551" i="34" s="1"/>
  <c r="F551" i="34" s="1"/>
  <c r="G551" i="34" s="1"/>
  <c r="H551" i="34" s="1"/>
  <c r="I551" i="34" s="1"/>
  <c r="J551" i="34" s="1"/>
  <c r="K551" i="34" s="1"/>
  <c r="L551" i="34" s="1"/>
  <c r="M551" i="34" s="1"/>
  <c r="N551" i="34" s="1"/>
  <c r="O551" i="34" s="1"/>
  <c r="P551" i="34" s="1"/>
  <c r="Q551" i="34" s="1"/>
  <c r="R551" i="34" s="1"/>
  <c r="S551" i="34" s="1"/>
  <c r="C487" i="34"/>
  <c r="D487" i="34" s="1"/>
  <c r="E487" i="34" s="1"/>
  <c r="F487" i="34" s="1"/>
  <c r="G487" i="34" s="1"/>
  <c r="H487" i="34" s="1"/>
  <c r="I487" i="34" s="1"/>
  <c r="J487" i="34" s="1"/>
  <c r="K487" i="34" s="1"/>
  <c r="L487" i="34" s="1"/>
  <c r="M487" i="34" s="1"/>
  <c r="N487" i="34" s="1"/>
  <c r="O487" i="34" s="1"/>
  <c r="P487" i="34" s="1"/>
  <c r="Q487" i="34" s="1"/>
  <c r="R487" i="34" s="1"/>
  <c r="S487" i="34" s="1"/>
  <c r="M72" i="34"/>
  <c r="N72" i="34" s="1"/>
  <c r="O72" i="34" s="1"/>
  <c r="P72" i="34" s="1"/>
  <c r="Q72" i="34" s="1"/>
  <c r="R72" i="34" s="1"/>
  <c r="S72" i="34" s="1"/>
  <c r="C101" i="34"/>
  <c r="D101" i="34" s="1"/>
  <c r="E101" i="34" s="1"/>
  <c r="F101" i="34" s="1"/>
  <c r="G101" i="34" s="1"/>
  <c r="H101" i="34" s="1"/>
  <c r="I101" i="34" s="1"/>
  <c r="J101" i="34" s="1"/>
  <c r="K101" i="34" s="1"/>
  <c r="L101" i="34" s="1"/>
  <c r="M101" i="34" s="1"/>
  <c r="N101" i="34" s="1"/>
  <c r="O101" i="34" s="1"/>
  <c r="P101" i="34" s="1"/>
  <c r="Q101" i="34" s="1"/>
  <c r="R101" i="34" s="1"/>
  <c r="S101" i="34" s="1"/>
  <c r="C162" i="34"/>
  <c r="D162" i="34" s="1"/>
  <c r="E162" i="34" s="1"/>
  <c r="F162" i="34" s="1"/>
  <c r="G162" i="34" s="1"/>
  <c r="H162" i="34" s="1"/>
  <c r="I162" i="34" s="1"/>
  <c r="J162" i="34" s="1"/>
  <c r="K162" i="34" s="1"/>
  <c r="L162" i="34" s="1"/>
  <c r="M162" i="34" s="1"/>
  <c r="N162" i="34" s="1"/>
  <c r="O162" i="34" s="1"/>
  <c r="P162" i="34" s="1"/>
  <c r="Q162" i="34" s="1"/>
  <c r="R162" i="34" s="1"/>
  <c r="S162" i="34" s="1"/>
  <c r="C83" i="34"/>
  <c r="D83" i="34" s="1"/>
  <c r="E83" i="34" s="1"/>
  <c r="F83" i="34" s="1"/>
  <c r="G83" i="34" s="1"/>
  <c r="H83" i="34" s="1"/>
  <c r="I83" i="34" s="1"/>
  <c r="J83" i="34" s="1"/>
  <c r="K83" i="34" s="1"/>
  <c r="L83" i="34" s="1"/>
  <c r="M83" i="34" s="1"/>
  <c r="N83" i="34" s="1"/>
  <c r="O83" i="34" s="1"/>
  <c r="P83" i="34" s="1"/>
  <c r="Q83" i="34" s="1"/>
  <c r="R83" i="34" s="1"/>
  <c r="S83" i="34" s="1"/>
  <c r="C28" i="34"/>
  <c r="D28" i="34" s="1"/>
  <c r="E28" i="34" s="1"/>
  <c r="F28" i="34" s="1"/>
  <c r="G28" i="34" s="1"/>
  <c r="H28" i="34" s="1"/>
  <c r="I28" i="34" s="1"/>
  <c r="J28" i="34" s="1"/>
  <c r="K28" i="34" s="1"/>
  <c r="L28" i="34" s="1"/>
  <c r="M28" i="34" s="1"/>
  <c r="N28" i="34" s="1"/>
  <c r="O28" i="34" s="1"/>
  <c r="P28" i="34" s="1"/>
  <c r="Q28" i="34" s="1"/>
  <c r="R28" i="34" s="1"/>
  <c r="S28" i="34" s="1"/>
  <c r="C191" i="34"/>
  <c r="D191" i="34" s="1"/>
  <c r="E191" i="34" s="1"/>
  <c r="F191" i="34" s="1"/>
  <c r="G191" i="34" s="1"/>
  <c r="H191" i="34" s="1"/>
  <c r="I191" i="34" s="1"/>
  <c r="J191" i="34" s="1"/>
  <c r="K191" i="34" s="1"/>
  <c r="L191" i="34" s="1"/>
  <c r="M191" i="34" s="1"/>
  <c r="N191" i="34" s="1"/>
  <c r="O191" i="34" s="1"/>
  <c r="P191" i="34" s="1"/>
  <c r="Q191" i="34" s="1"/>
  <c r="R191" i="34" s="1"/>
  <c r="S191" i="34" s="1"/>
  <c r="C462" i="34"/>
  <c r="D462" i="34" s="1"/>
  <c r="E462" i="34" s="1"/>
  <c r="F462" i="34" s="1"/>
  <c r="G462" i="34" s="1"/>
  <c r="H462" i="34" s="1"/>
  <c r="I462" i="34" s="1"/>
  <c r="J462" i="34" s="1"/>
  <c r="K462" i="34" s="1"/>
  <c r="L462" i="34" s="1"/>
  <c r="M462" i="34" s="1"/>
  <c r="N462" i="34" s="1"/>
  <c r="O462" i="34" s="1"/>
  <c r="P462" i="34" s="1"/>
  <c r="Q462" i="34" s="1"/>
  <c r="R462" i="34" s="1"/>
  <c r="S462" i="34" s="1"/>
  <c r="C426" i="34"/>
  <c r="D426" i="34" s="1"/>
  <c r="E426" i="34" s="1"/>
  <c r="F426" i="34" s="1"/>
  <c r="G426" i="34" s="1"/>
  <c r="H426" i="34" s="1"/>
  <c r="I426" i="34" s="1"/>
  <c r="J426" i="34" s="1"/>
  <c r="K426" i="34" s="1"/>
  <c r="L426" i="34" s="1"/>
  <c r="M426" i="34" s="1"/>
  <c r="N426" i="34" s="1"/>
  <c r="O426" i="34" s="1"/>
  <c r="P426" i="34" s="1"/>
  <c r="Q426" i="34" s="1"/>
  <c r="R426" i="34" s="1"/>
  <c r="S426" i="34" s="1"/>
  <c r="C382" i="34"/>
  <c r="D382" i="34" s="1"/>
  <c r="E382" i="34" s="1"/>
  <c r="F382" i="34" s="1"/>
  <c r="G382" i="34" s="1"/>
  <c r="H382" i="34" s="1"/>
  <c r="I382" i="34" s="1"/>
  <c r="J382" i="34" s="1"/>
  <c r="K382" i="34" s="1"/>
  <c r="L382" i="34" s="1"/>
  <c r="M382" i="34" s="1"/>
  <c r="N382" i="34" s="1"/>
  <c r="O382" i="34" s="1"/>
  <c r="P382" i="34" s="1"/>
  <c r="Q382" i="34" s="1"/>
  <c r="R382" i="34" s="1"/>
  <c r="S382" i="34" s="1"/>
  <c r="C609" i="34"/>
  <c r="D609" i="34" s="1"/>
  <c r="E609" i="34" s="1"/>
  <c r="F609" i="34" s="1"/>
  <c r="G609" i="34" s="1"/>
  <c r="H609" i="34" s="1"/>
  <c r="I609" i="34" s="1"/>
  <c r="J609" i="34" s="1"/>
  <c r="K609" i="34" s="1"/>
  <c r="L609" i="34" s="1"/>
  <c r="M609" i="34" s="1"/>
  <c r="N609" i="34" s="1"/>
  <c r="O609" i="34" s="1"/>
  <c r="P609" i="34" s="1"/>
  <c r="Q609" i="34" s="1"/>
  <c r="R609" i="34" s="1"/>
  <c r="S609" i="34" s="1"/>
  <c r="C590" i="34"/>
  <c r="D590" i="34" s="1"/>
  <c r="E590" i="34" s="1"/>
  <c r="F590" i="34" s="1"/>
  <c r="G590" i="34" s="1"/>
  <c r="H590" i="34" s="1"/>
  <c r="I590" i="34" s="1"/>
  <c r="J590" i="34" s="1"/>
  <c r="K590" i="34" s="1"/>
  <c r="L590" i="34" s="1"/>
  <c r="M590" i="34" s="1"/>
  <c r="N590" i="34" s="1"/>
  <c r="O590" i="34" s="1"/>
  <c r="P590" i="34" s="1"/>
  <c r="Q590" i="34" s="1"/>
  <c r="R590" i="34" s="1"/>
  <c r="S590" i="34" s="1"/>
  <c r="C71" i="34"/>
  <c r="D71" i="34" s="1"/>
  <c r="E71" i="34" s="1"/>
  <c r="F71" i="34" s="1"/>
  <c r="G71" i="34" s="1"/>
  <c r="H71" i="34" s="1"/>
  <c r="I71" i="34" s="1"/>
  <c r="J71" i="34" s="1"/>
  <c r="K71" i="34" s="1"/>
  <c r="L71" i="34" s="1"/>
  <c r="M71" i="34" s="1"/>
  <c r="N71" i="34" s="1"/>
  <c r="O71" i="34" s="1"/>
  <c r="P71" i="34" s="1"/>
  <c r="Q71" i="34" s="1"/>
  <c r="R71" i="34" s="1"/>
  <c r="S71" i="34" s="1"/>
  <c r="C10" i="34"/>
  <c r="D10" i="34" s="1"/>
  <c r="E10" i="34" s="1"/>
  <c r="F10" i="34" s="1"/>
  <c r="G10" i="34" s="1"/>
  <c r="H10" i="34" s="1"/>
  <c r="I10" i="34" s="1"/>
  <c r="J10" i="34" s="1"/>
  <c r="K10" i="34" s="1"/>
  <c r="L10" i="34" s="1"/>
  <c r="M10" i="34" s="1"/>
  <c r="N10" i="34" s="1"/>
  <c r="O10" i="34" s="1"/>
  <c r="P10" i="34" s="1"/>
  <c r="Q10" i="34" s="1"/>
  <c r="R10" i="34" s="1"/>
  <c r="S10" i="34" s="1"/>
  <c r="C38" i="34"/>
  <c r="D38" i="34" s="1"/>
  <c r="E38" i="34" s="1"/>
  <c r="F38" i="34" s="1"/>
  <c r="G38" i="34" s="1"/>
  <c r="H38" i="34" s="1"/>
  <c r="I38" i="34" s="1"/>
  <c r="J38" i="34" s="1"/>
  <c r="K38" i="34" s="1"/>
  <c r="L38" i="34" s="1"/>
  <c r="M38" i="34" s="1"/>
  <c r="N38" i="34" s="1"/>
  <c r="O38" i="34" s="1"/>
  <c r="P38" i="34" s="1"/>
  <c r="Q38" i="34" s="1"/>
  <c r="R38" i="34" s="1"/>
  <c r="S38" i="34" s="1"/>
  <c r="C64" i="34"/>
  <c r="D64" i="34" s="1"/>
  <c r="E64" i="34" s="1"/>
  <c r="F64" i="34" s="1"/>
  <c r="G64" i="34" s="1"/>
  <c r="H64" i="34" s="1"/>
  <c r="I64" i="34" s="1"/>
  <c r="J64" i="34" s="1"/>
  <c r="K64" i="34" s="1"/>
  <c r="L64" i="34" s="1"/>
  <c r="M64" i="34" s="1"/>
  <c r="N64" i="34" s="1"/>
  <c r="O64" i="34" s="1"/>
  <c r="P64" i="34" s="1"/>
  <c r="Q64" i="34" s="1"/>
  <c r="R64" i="34" s="1"/>
  <c r="S64" i="34" s="1"/>
  <c r="C126" i="34"/>
  <c r="D126" i="34" s="1"/>
  <c r="E126" i="34" s="1"/>
  <c r="F126" i="34" s="1"/>
  <c r="G126" i="34" s="1"/>
  <c r="H126" i="34" s="1"/>
  <c r="I126" i="34" s="1"/>
  <c r="J126" i="34" s="1"/>
  <c r="K126" i="34" s="1"/>
  <c r="L126" i="34" s="1"/>
  <c r="M126" i="34" s="1"/>
  <c r="N126" i="34" s="1"/>
  <c r="O126" i="34" s="1"/>
  <c r="P126" i="34" s="1"/>
  <c r="Q126" i="34" s="1"/>
  <c r="R126" i="34" s="1"/>
  <c r="S126" i="34" s="1"/>
  <c r="C282" i="34"/>
  <c r="D282" i="34" s="1"/>
  <c r="E282" i="34" s="1"/>
  <c r="F282" i="34" s="1"/>
  <c r="G282" i="34" s="1"/>
  <c r="H282" i="34" s="1"/>
  <c r="I282" i="34" s="1"/>
  <c r="J282" i="34" s="1"/>
  <c r="K282" i="34" s="1"/>
  <c r="L282" i="34" s="1"/>
  <c r="M282" i="34" s="1"/>
  <c r="N282" i="34" s="1"/>
  <c r="O282" i="34" s="1"/>
  <c r="P282" i="34" s="1"/>
  <c r="Q282" i="34" s="1"/>
  <c r="R282" i="34" s="1"/>
  <c r="S282" i="34" s="1"/>
  <c r="C153" i="34"/>
  <c r="D153" i="34" s="1"/>
  <c r="E153" i="34" s="1"/>
  <c r="F153" i="34" s="1"/>
  <c r="G153" i="34" s="1"/>
  <c r="H153" i="34" s="1"/>
  <c r="I153" i="34" s="1"/>
  <c r="J153" i="34" s="1"/>
  <c r="K153" i="34" s="1"/>
  <c r="L153" i="34" s="1"/>
  <c r="M153" i="34" s="1"/>
  <c r="N153" i="34" s="1"/>
  <c r="O153" i="34" s="1"/>
  <c r="P153" i="34" s="1"/>
  <c r="Q153" i="34" s="1"/>
  <c r="R153" i="34" s="1"/>
  <c r="S153" i="34" s="1"/>
  <c r="C500" i="34"/>
  <c r="D500" i="34" s="1"/>
  <c r="E500" i="34" s="1"/>
  <c r="F500" i="34" s="1"/>
  <c r="G500" i="34" s="1"/>
  <c r="H500" i="34" s="1"/>
  <c r="I500" i="34" s="1"/>
  <c r="J500" i="34" s="1"/>
  <c r="K500" i="34" s="1"/>
  <c r="L500" i="34" s="1"/>
  <c r="M500" i="34" s="1"/>
  <c r="N500" i="34" s="1"/>
  <c r="O500" i="34" s="1"/>
  <c r="P500" i="34" s="1"/>
  <c r="Q500" i="34" s="1"/>
  <c r="R500" i="34" s="1"/>
  <c r="S500" i="34" s="1"/>
  <c r="C520" i="34"/>
  <c r="D520" i="34" s="1"/>
  <c r="E520" i="34" s="1"/>
  <c r="F520" i="34" s="1"/>
  <c r="G520" i="34" s="1"/>
  <c r="H520" i="34" s="1"/>
  <c r="I520" i="34" s="1"/>
  <c r="J520" i="34" s="1"/>
  <c r="K520" i="34" s="1"/>
  <c r="L520" i="34" s="1"/>
  <c r="M520" i="34" s="1"/>
  <c r="N520" i="34" s="1"/>
  <c r="O520" i="34" s="1"/>
  <c r="P520" i="34" s="1"/>
  <c r="Q520" i="34" s="1"/>
  <c r="R520" i="34" s="1"/>
  <c r="S520" i="34" s="1"/>
  <c r="C266" i="34"/>
  <c r="D266" i="34" s="1"/>
  <c r="E266" i="34" s="1"/>
  <c r="F266" i="34" s="1"/>
  <c r="G266" i="34" s="1"/>
  <c r="H266" i="34" s="1"/>
  <c r="I266" i="34" s="1"/>
  <c r="J266" i="34" s="1"/>
  <c r="K266" i="34" s="1"/>
  <c r="L266" i="34" s="1"/>
  <c r="M266" i="34" s="1"/>
  <c r="N266" i="34" s="1"/>
  <c r="O266" i="34" s="1"/>
  <c r="P266" i="34" s="1"/>
  <c r="Q266" i="34" s="1"/>
  <c r="R266" i="34" s="1"/>
  <c r="S266" i="34" s="1"/>
  <c r="C558" i="34"/>
  <c r="D558" i="34" s="1"/>
  <c r="E558" i="34" s="1"/>
  <c r="F558" i="34" s="1"/>
  <c r="G558" i="34" s="1"/>
  <c r="H558" i="34" s="1"/>
  <c r="I558" i="34" s="1"/>
  <c r="J558" i="34" s="1"/>
  <c r="K558" i="34" s="1"/>
  <c r="L558" i="34" s="1"/>
  <c r="M558" i="34" s="1"/>
  <c r="N558" i="34" s="1"/>
  <c r="O558" i="34" s="1"/>
  <c r="P558" i="34" s="1"/>
  <c r="Q558" i="34" s="1"/>
  <c r="R558" i="34" s="1"/>
  <c r="S558" i="34" s="1"/>
  <c r="C518" i="34"/>
  <c r="D518" i="34" s="1"/>
  <c r="E518" i="34" s="1"/>
  <c r="F518" i="34" s="1"/>
  <c r="G518" i="34" s="1"/>
  <c r="H518" i="34" s="1"/>
  <c r="I518" i="34" s="1"/>
  <c r="J518" i="34" s="1"/>
  <c r="K518" i="34" s="1"/>
  <c r="L518" i="34" s="1"/>
  <c r="M518" i="34" s="1"/>
  <c r="N518" i="34" s="1"/>
  <c r="O518" i="34" s="1"/>
  <c r="P518" i="34" s="1"/>
  <c r="Q518" i="34" s="1"/>
  <c r="R518" i="34" s="1"/>
  <c r="S518" i="34" s="1"/>
  <c r="C291" i="34"/>
  <c r="D291" i="34" s="1"/>
  <c r="E291" i="34" s="1"/>
  <c r="F291" i="34" s="1"/>
  <c r="G291" i="34" s="1"/>
  <c r="H291" i="34" s="1"/>
  <c r="I291" i="34" s="1"/>
  <c r="J291" i="34" s="1"/>
  <c r="K291" i="34" s="1"/>
  <c r="L291" i="34" s="1"/>
  <c r="M291" i="34" s="1"/>
  <c r="N291" i="34" s="1"/>
  <c r="O291" i="34" s="1"/>
  <c r="P291" i="34" s="1"/>
  <c r="Q291" i="34" s="1"/>
  <c r="R291" i="34" s="1"/>
  <c r="S291" i="34" s="1"/>
  <c r="M322" i="34"/>
  <c r="N322" i="34" s="1"/>
  <c r="O322" i="34" s="1"/>
  <c r="P322" i="34" s="1"/>
  <c r="Q322" i="34" s="1"/>
  <c r="R322" i="34" s="1"/>
  <c r="S322" i="34" s="1"/>
  <c r="C269" i="34"/>
  <c r="D269" i="34" s="1"/>
  <c r="E269" i="34" s="1"/>
  <c r="F269" i="34" s="1"/>
  <c r="G269" i="34" s="1"/>
  <c r="H269" i="34" s="1"/>
  <c r="I269" i="34" s="1"/>
  <c r="J269" i="34" s="1"/>
  <c r="K269" i="34" s="1"/>
  <c r="L269" i="34" s="1"/>
  <c r="M269" i="34" s="1"/>
  <c r="N269" i="34" s="1"/>
  <c r="O269" i="34" s="1"/>
  <c r="P269" i="34" s="1"/>
  <c r="Q269" i="34" s="1"/>
  <c r="R269" i="34" s="1"/>
  <c r="S269" i="34" s="1"/>
  <c r="C511" i="34"/>
  <c r="D511" i="34" s="1"/>
  <c r="E511" i="34" s="1"/>
  <c r="F511" i="34" s="1"/>
  <c r="G511" i="34" s="1"/>
  <c r="H511" i="34" s="1"/>
  <c r="I511" i="34" s="1"/>
  <c r="J511" i="34" s="1"/>
  <c r="K511" i="34" s="1"/>
  <c r="L511" i="34" s="1"/>
  <c r="M511" i="34" s="1"/>
  <c r="N511" i="34" s="1"/>
  <c r="O511" i="34" s="1"/>
  <c r="P511" i="34" s="1"/>
  <c r="Q511" i="34" s="1"/>
  <c r="R511" i="34" s="1"/>
  <c r="S511" i="34" s="1"/>
  <c r="C526" i="34"/>
  <c r="D526" i="34" s="1"/>
  <c r="E526" i="34" s="1"/>
  <c r="F526" i="34" s="1"/>
  <c r="G526" i="34" s="1"/>
  <c r="H526" i="34" s="1"/>
  <c r="I526" i="34" s="1"/>
  <c r="J526" i="34" s="1"/>
  <c r="K526" i="34" s="1"/>
  <c r="L526" i="34" s="1"/>
  <c r="M526" i="34" s="1"/>
  <c r="N526" i="34" s="1"/>
  <c r="O526" i="34" s="1"/>
  <c r="P526" i="34" s="1"/>
  <c r="Q526" i="34" s="1"/>
  <c r="R526" i="34" s="1"/>
  <c r="S526" i="34" s="1"/>
  <c r="C564" i="34"/>
  <c r="D564" i="34" s="1"/>
  <c r="E564" i="34" s="1"/>
  <c r="F564" i="34" s="1"/>
  <c r="G564" i="34" s="1"/>
  <c r="H564" i="34" s="1"/>
  <c r="I564" i="34" s="1"/>
  <c r="J564" i="34" s="1"/>
  <c r="K564" i="34" s="1"/>
  <c r="L564" i="34" s="1"/>
  <c r="M564" i="34" s="1"/>
  <c r="N564" i="34" s="1"/>
  <c r="O564" i="34" s="1"/>
  <c r="P564" i="34" s="1"/>
  <c r="Q564" i="34" s="1"/>
  <c r="R564" i="34" s="1"/>
  <c r="S564" i="34" s="1"/>
  <c r="C594" i="34"/>
  <c r="D594" i="34" s="1"/>
  <c r="E594" i="34" s="1"/>
  <c r="F594" i="34" s="1"/>
  <c r="G594" i="34" s="1"/>
  <c r="H594" i="34" s="1"/>
  <c r="I594" i="34" s="1"/>
  <c r="J594" i="34" s="1"/>
  <c r="K594" i="34" s="1"/>
  <c r="L594" i="34" s="1"/>
  <c r="M594" i="34" s="1"/>
  <c r="N594" i="34" s="1"/>
  <c r="O594" i="34" s="1"/>
  <c r="P594" i="34" s="1"/>
  <c r="Q594" i="34" s="1"/>
  <c r="R594" i="34" s="1"/>
  <c r="S594" i="34" s="1"/>
  <c r="C248" i="34"/>
  <c r="D248" i="34" s="1"/>
  <c r="E248" i="34" s="1"/>
  <c r="F248" i="34" s="1"/>
  <c r="G248" i="34" s="1"/>
  <c r="H248" i="34" s="1"/>
  <c r="I248" i="34" s="1"/>
  <c r="J248" i="34" s="1"/>
  <c r="K248" i="34" s="1"/>
  <c r="L248" i="34" s="1"/>
  <c r="M248" i="34" s="1"/>
  <c r="N248" i="34" s="1"/>
  <c r="O248" i="34" s="1"/>
  <c r="P248" i="34" s="1"/>
  <c r="Q248" i="34" s="1"/>
  <c r="R248" i="34" s="1"/>
  <c r="S248" i="34" s="1"/>
  <c r="C112" i="34"/>
  <c r="D112" i="34" s="1"/>
  <c r="E112" i="34" s="1"/>
  <c r="F112" i="34" s="1"/>
  <c r="G112" i="34" s="1"/>
  <c r="H112" i="34" s="1"/>
  <c r="I112" i="34" s="1"/>
  <c r="J112" i="34" s="1"/>
  <c r="K112" i="34" s="1"/>
  <c r="L112" i="34" s="1"/>
  <c r="M112" i="34" s="1"/>
  <c r="N112" i="34" s="1"/>
  <c r="O112" i="34" s="1"/>
  <c r="P112" i="34" s="1"/>
  <c r="Q112" i="34" s="1"/>
  <c r="R112" i="34" s="1"/>
  <c r="S112" i="34" s="1"/>
  <c r="C167" i="34"/>
  <c r="D167" i="34" s="1"/>
  <c r="E167" i="34" s="1"/>
  <c r="F167" i="34" s="1"/>
  <c r="G167" i="34" s="1"/>
  <c r="H167" i="34" s="1"/>
  <c r="I167" i="34" s="1"/>
  <c r="J167" i="34" s="1"/>
  <c r="K167" i="34" s="1"/>
  <c r="L167" i="34" s="1"/>
  <c r="M167" i="34" s="1"/>
  <c r="N167" i="34" s="1"/>
  <c r="O167" i="34" s="1"/>
  <c r="P167" i="34" s="1"/>
  <c r="Q167" i="34" s="1"/>
  <c r="R167" i="34" s="1"/>
  <c r="S167" i="34" s="1"/>
  <c r="C324" i="34"/>
  <c r="D324" i="34" s="1"/>
  <c r="E324" i="34" s="1"/>
  <c r="F324" i="34" s="1"/>
  <c r="G324" i="34" s="1"/>
  <c r="H324" i="34" s="1"/>
  <c r="I324" i="34" s="1"/>
  <c r="J324" i="34" s="1"/>
  <c r="K324" i="34" s="1"/>
  <c r="L324" i="34" s="1"/>
  <c r="M324" i="34" s="1"/>
  <c r="N324" i="34" s="1"/>
  <c r="O324" i="34" s="1"/>
  <c r="P324" i="34" s="1"/>
  <c r="Q324" i="34" s="1"/>
  <c r="R324" i="34" s="1"/>
  <c r="S324" i="34" s="1"/>
  <c r="C169" i="34"/>
  <c r="D169" i="34" s="1"/>
  <c r="E169" i="34" s="1"/>
  <c r="F169" i="34" s="1"/>
  <c r="G169" i="34" s="1"/>
  <c r="H169" i="34" s="1"/>
  <c r="I169" i="34" s="1"/>
  <c r="J169" i="34" s="1"/>
  <c r="K169" i="34" s="1"/>
  <c r="L169" i="34" s="1"/>
  <c r="M169" i="34" s="1"/>
  <c r="N169" i="34" s="1"/>
  <c r="O169" i="34" s="1"/>
  <c r="P169" i="34" s="1"/>
  <c r="Q169" i="34" s="1"/>
  <c r="R169" i="34" s="1"/>
  <c r="S169" i="34" s="1"/>
  <c r="C346" i="34"/>
  <c r="D346" i="34" s="1"/>
  <c r="E346" i="34" s="1"/>
  <c r="F346" i="34" s="1"/>
  <c r="G346" i="34" s="1"/>
  <c r="H346" i="34" s="1"/>
  <c r="I346" i="34" s="1"/>
  <c r="J346" i="34" s="1"/>
  <c r="K346" i="34" s="1"/>
  <c r="L346" i="34" s="1"/>
  <c r="M346" i="34" s="1"/>
  <c r="N346" i="34" s="1"/>
  <c r="O346" i="34" s="1"/>
  <c r="P346" i="34" s="1"/>
  <c r="Q346" i="34" s="1"/>
  <c r="R346" i="34" s="1"/>
  <c r="S346" i="34" s="1"/>
  <c r="C476" i="34"/>
  <c r="D476" i="34" s="1"/>
  <c r="E476" i="34" s="1"/>
  <c r="F476" i="34" s="1"/>
  <c r="G476" i="34" s="1"/>
  <c r="H476" i="34" s="1"/>
  <c r="I476" i="34" s="1"/>
  <c r="J476" i="34" s="1"/>
  <c r="K476" i="34" s="1"/>
  <c r="L476" i="34" s="1"/>
  <c r="M476" i="34" s="1"/>
  <c r="N476" i="34" s="1"/>
  <c r="O476" i="34" s="1"/>
  <c r="P476" i="34" s="1"/>
  <c r="Q476" i="34" s="1"/>
  <c r="R476" i="34" s="1"/>
  <c r="S476" i="34" s="1"/>
  <c r="C567" i="34"/>
  <c r="D567" i="34" s="1"/>
  <c r="E567" i="34" s="1"/>
  <c r="F567" i="34" s="1"/>
  <c r="G567" i="34" s="1"/>
  <c r="H567" i="34" s="1"/>
  <c r="I567" i="34" s="1"/>
  <c r="J567" i="34" s="1"/>
  <c r="K567" i="34" s="1"/>
  <c r="L567" i="34" s="1"/>
  <c r="M567" i="34" s="1"/>
  <c r="N567" i="34" s="1"/>
  <c r="O567" i="34" s="1"/>
  <c r="P567" i="34" s="1"/>
  <c r="Q567" i="34" s="1"/>
  <c r="R567" i="34" s="1"/>
  <c r="S567" i="34" s="1"/>
  <c r="C33" i="34"/>
  <c r="D33" i="34" s="1"/>
  <c r="E33" i="34" s="1"/>
  <c r="F33" i="34" s="1"/>
  <c r="G33" i="34" s="1"/>
  <c r="H33" i="34" s="1"/>
  <c r="I33" i="34" s="1"/>
  <c r="J33" i="34" s="1"/>
  <c r="K33" i="34" s="1"/>
  <c r="L33" i="34" s="1"/>
  <c r="M33" i="34" s="1"/>
  <c r="N33" i="34" s="1"/>
  <c r="O33" i="34" s="1"/>
  <c r="P33" i="34" s="1"/>
  <c r="Q33" i="34" s="1"/>
  <c r="R33" i="34" s="1"/>
  <c r="S33" i="34" s="1"/>
  <c r="C120" i="34"/>
  <c r="D120" i="34" s="1"/>
  <c r="E120" i="34" s="1"/>
  <c r="F120" i="34" s="1"/>
  <c r="G120" i="34" s="1"/>
  <c r="H120" i="34" s="1"/>
  <c r="I120" i="34" s="1"/>
  <c r="J120" i="34" s="1"/>
  <c r="K120" i="34" s="1"/>
  <c r="L120" i="34" s="1"/>
  <c r="M120" i="34" s="1"/>
  <c r="N120" i="34" s="1"/>
  <c r="O120" i="34" s="1"/>
  <c r="P120" i="34" s="1"/>
  <c r="Q120" i="34" s="1"/>
  <c r="R120" i="34" s="1"/>
  <c r="S120" i="34" s="1"/>
  <c r="C13" i="34"/>
  <c r="D13" i="34" s="1"/>
  <c r="E13" i="34" s="1"/>
  <c r="F13" i="34" s="1"/>
  <c r="G13" i="34" s="1"/>
  <c r="H13" i="34" s="1"/>
  <c r="I13" i="34" s="1"/>
  <c r="J13" i="34" s="1"/>
  <c r="K13" i="34" s="1"/>
  <c r="L13" i="34" s="1"/>
  <c r="M13" i="34" s="1"/>
  <c r="N13" i="34" s="1"/>
  <c r="O13" i="34" s="1"/>
  <c r="P13" i="34" s="1"/>
  <c r="Q13" i="34" s="1"/>
  <c r="R13" i="34" s="1"/>
  <c r="S13" i="34" s="1"/>
  <c r="C207" i="34"/>
  <c r="D207" i="34" s="1"/>
  <c r="E207" i="34" s="1"/>
  <c r="F207" i="34" s="1"/>
  <c r="G207" i="34" s="1"/>
  <c r="H207" i="34" s="1"/>
  <c r="I207" i="34" s="1"/>
  <c r="J207" i="34" s="1"/>
  <c r="K207" i="34" s="1"/>
  <c r="L207" i="34" s="1"/>
  <c r="M207" i="34" s="1"/>
  <c r="N207" i="34" s="1"/>
  <c r="O207" i="34" s="1"/>
  <c r="P207" i="34" s="1"/>
  <c r="Q207" i="34" s="1"/>
  <c r="R207" i="34" s="1"/>
  <c r="S207" i="34" s="1"/>
  <c r="C446" i="34"/>
  <c r="D446" i="34" s="1"/>
  <c r="E446" i="34" s="1"/>
  <c r="F446" i="34" s="1"/>
  <c r="G446" i="34" s="1"/>
  <c r="H446" i="34" s="1"/>
  <c r="I446" i="34" s="1"/>
  <c r="J446" i="34" s="1"/>
  <c r="K446" i="34" s="1"/>
  <c r="L446" i="34" s="1"/>
  <c r="M446" i="34" s="1"/>
  <c r="N446" i="34" s="1"/>
  <c r="O446" i="34" s="1"/>
  <c r="P446" i="34" s="1"/>
  <c r="Q446" i="34" s="1"/>
  <c r="R446" i="34" s="1"/>
  <c r="S446" i="34" s="1"/>
  <c r="C593" i="34"/>
  <c r="D593" i="34" s="1"/>
  <c r="E593" i="34" s="1"/>
  <c r="F593" i="34" s="1"/>
  <c r="G593" i="34" s="1"/>
  <c r="H593" i="34" s="1"/>
  <c r="I593" i="34" s="1"/>
  <c r="J593" i="34" s="1"/>
  <c r="K593" i="34" s="1"/>
  <c r="L593" i="34" s="1"/>
  <c r="M593" i="34" s="1"/>
  <c r="N593" i="34" s="1"/>
  <c r="O593" i="34" s="1"/>
  <c r="P593" i="34" s="1"/>
  <c r="Q593" i="34" s="1"/>
  <c r="R593" i="34" s="1"/>
  <c r="S593" i="34" s="1"/>
  <c r="C481" i="34"/>
  <c r="D481" i="34" s="1"/>
  <c r="E481" i="34" s="1"/>
  <c r="F481" i="34" s="1"/>
  <c r="G481" i="34" s="1"/>
  <c r="H481" i="34" s="1"/>
  <c r="I481" i="34" s="1"/>
  <c r="J481" i="34" s="1"/>
  <c r="K481" i="34" s="1"/>
  <c r="L481" i="34" s="1"/>
  <c r="M481" i="34" s="1"/>
  <c r="N481" i="34" s="1"/>
  <c r="O481" i="34" s="1"/>
  <c r="P481" i="34" s="1"/>
  <c r="Q481" i="34" s="1"/>
  <c r="R481" i="34" s="1"/>
  <c r="S481" i="34" s="1"/>
  <c r="C504" i="34"/>
  <c r="D504" i="34" s="1"/>
  <c r="E504" i="34" s="1"/>
  <c r="F504" i="34" s="1"/>
  <c r="G504" i="34" s="1"/>
  <c r="H504" i="34" s="1"/>
  <c r="I504" i="34" s="1"/>
  <c r="J504" i="34" s="1"/>
  <c r="K504" i="34" s="1"/>
  <c r="L504" i="34" s="1"/>
  <c r="M504" i="34" s="1"/>
  <c r="N504" i="34" s="1"/>
  <c r="O504" i="34" s="1"/>
  <c r="P504" i="34" s="1"/>
  <c r="Q504" i="34" s="1"/>
  <c r="R504" i="34" s="1"/>
  <c r="S504" i="34" s="1"/>
  <c r="C413" i="34"/>
  <c r="D413" i="34" s="1"/>
  <c r="E413" i="34" s="1"/>
  <c r="F413" i="34" s="1"/>
  <c r="G413" i="34" s="1"/>
  <c r="H413" i="34" s="1"/>
  <c r="I413" i="34" s="1"/>
  <c r="J413" i="34" s="1"/>
  <c r="K413" i="34" s="1"/>
  <c r="L413" i="34" s="1"/>
  <c r="M413" i="34" s="1"/>
  <c r="N413" i="34" s="1"/>
  <c r="O413" i="34" s="1"/>
  <c r="P413" i="34" s="1"/>
  <c r="Q413" i="34" s="1"/>
  <c r="R413" i="34" s="1"/>
  <c r="S413" i="34" s="1"/>
  <c r="C578" i="34"/>
  <c r="D578" i="34" s="1"/>
  <c r="E578" i="34" s="1"/>
  <c r="F578" i="34" s="1"/>
  <c r="G578" i="34" s="1"/>
  <c r="H578" i="34" s="1"/>
  <c r="I578" i="34" s="1"/>
  <c r="J578" i="34" s="1"/>
  <c r="K578" i="34" s="1"/>
  <c r="L578" i="34" s="1"/>
  <c r="M578" i="34" s="1"/>
  <c r="N578" i="34" s="1"/>
  <c r="O578" i="34" s="1"/>
  <c r="P578" i="34" s="1"/>
  <c r="Q578" i="34" s="1"/>
  <c r="R578" i="34" s="1"/>
  <c r="S578" i="34" s="1"/>
  <c r="C93" i="34"/>
  <c r="D93" i="34" s="1"/>
  <c r="E93" i="34" s="1"/>
  <c r="F93" i="34" s="1"/>
  <c r="G93" i="34" s="1"/>
  <c r="H93" i="34" s="1"/>
  <c r="I93" i="34" s="1"/>
  <c r="J93" i="34" s="1"/>
  <c r="K93" i="34" s="1"/>
  <c r="L93" i="34" s="1"/>
  <c r="M93" i="34" s="1"/>
  <c r="N93" i="34" s="1"/>
  <c r="O93" i="34" s="1"/>
  <c r="P93" i="34" s="1"/>
  <c r="Q93" i="34" s="1"/>
  <c r="R93" i="34" s="1"/>
  <c r="S93" i="34" s="1"/>
  <c r="C307" i="34"/>
  <c r="D307" i="34" s="1"/>
  <c r="E307" i="34" s="1"/>
  <c r="F307" i="34" s="1"/>
  <c r="G307" i="34" s="1"/>
  <c r="H307" i="34" s="1"/>
  <c r="I307" i="34" s="1"/>
  <c r="J307" i="34" s="1"/>
  <c r="K307" i="34" s="1"/>
  <c r="L307" i="34" s="1"/>
  <c r="M307" i="34" s="1"/>
  <c r="N307" i="34" s="1"/>
  <c r="O307" i="34" s="1"/>
  <c r="P307" i="34" s="1"/>
  <c r="Q307" i="34" s="1"/>
  <c r="R307" i="34" s="1"/>
  <c r="S307" i="34" s="1"/>
  <c r="C233" i="34"/>
  <c r="D233" i="34" s="1"/>
  <c r="E233" i="34" s="1"/>
  <c r="F233" i="34" s="1"/>
  <c r="G233" i="34" s="1"/>
  <c r="H233" i="34" s="1"/>
  <c r="I233" i="34" s="1"/>
  <c r="J233" i="34" s="1"/>
  <c r="K233" i="34" s="1"/>
  <c r="L233" i="34" s="1"/>
  <c r="M233" i="34" s="1"/>
  <c r="N233" i="34" s="1"/>
  <c r="O233" i="34" s="1"/>
  <c r="P233" i="34" s="1"/>
  <c r="Q233" i="34" s="1"/>
  <c r="R233" i="34" s="1"/>
  <c r="S233" i="34" s="1"/>
  <c r="M392" i="34"/>
  <c r="N392" i="34" s="1"/>
  <c r="O392" i="34" s="1"/>
  <c r="P392" i="34" s="1"/>
  <c r="Q392" i="34" s="1"/>
  <c r="R392" i="34" s="1"/>
  <c r="S392" i="34" s="1"/>
  <c r="C408" i="34"/>
  <c r="D408" i="34" s="1"/>
  <c r="E408" i="34" s="1"/>
  <c r="F408" i="34" s="1"/>
  <c r="G408" i="34" s="1"/>
  <c r="H408" i="34" s="1"/>
  <c r="I408" i="34" s="1"/>
  <c r="J408" i="34" s="1"/>
  <c r="K408" i="34" s="1"/>
  <c r="L408" i="34" s="1"/>
  <c r="M408" i="34" s="1"/>
  <c r="N408" i="34" s="1"/>
  <c r="O408" i="34" s="1"/>
  <c r="P408" i="34" s="1"/>
  <c r="Q408" i="34" s="1"/>
  <c r="R408" i="34" s="1"/>
  <c r="S408" i="34" s="1"/>
  <c r="C261" i="34"/>
  <c r="D261" i="34" s="1"/>
  <c r="E261" i="34" s="1"/>
  <c r="F261" i="34" s="1"/>
  <c r="G261" i="34" s="1"/>
  <c r="H261" i="34" s="1"/>
  <c r="I261" i="34" s="1"/>
  <c r="J261" i="34" s="1"/>
  <c r="K261" i="34" s="1"/>
  <c r="L261" i="34" s="1"/>
  <c r="M261" i="34" s="1"/>
  <c r="N261" i="34" s="1"/>
  <c r="O261" i="34" s="1"/>
  <c r="P261" i="34" s="1"/>
  <c r="Q261" i="34" s="1"/>
  <c r="R261" i="34" s="1"/>
  <c r="S261" i="34" s="1"/>
  <c r="C503" i="34"/>
  <c r="D503" i="34" s="1"/>
  <c r="E503" i="34" s="1"/>
  <c r="F503" i="34" s="1"/>
  <c r="G503" i="34" s="1"/>
  <c r="H503" i="34" s="1"/>
  <c r="I503" i="34" s="1"/>
  <c r="J503" i="34" s="1"/>
  <c r="K503" i="34" s="1"/>
  <c r="L503" i="34" s="1"/>
  <c r="M503" i="34" s="1"/>
  <c r="N503" i="34" s="1"/>
  <c r="O503" i="34" s="1"/>
  <c r="P503" i="34" s="1"/>
  <c r="Q503" i="34" s="1"/>
  <c r="R503" i="34" s="1"/>
  <c r="S503" i="34" s="1"/>
  <c r="C538" i="34"/>
  <c r="D538" i="34" s="1"/>
  <c r="E538" i="34" s="1"/>
  <c r="F538" i="34" s="1"/>
  <c r="G538" i="34" s="1"/>
  <c r="H538" i="34" s="1"/>
  <c r="I538" i="34" s="1"/>
  <c r="J538" i="34" s="1"/>
  <c r="K538" i="34" s="1"/>
  <c r="L538" i="34" s="1"/>
  <c r="M538" i="34" s="1"/>
  <c r="N538" i="34" s="1"/>
  <c r="O538" i="34" s="1"/>
  <c r="P538" i="34" s="1"/>
  <c r="Q538" i="34" s="1"/>
  <c r="R538" i="34" s="1"/>
  <c r="S538" i="34" s="1"/>
  <c r="C579" i="34"/>
  <c r="D579" i="34" s="1"/>
  <c r="E579" i="34" s="1"/>
  <c r="F579" i="34" s="1"/>
  <c r="G579" i="34" s="1"/>
  <c r="H579" i="34" s="1"/>
  <c r="I579" i="34" s="1"/>
  <c r="J579" i="34" s="1"/>
  <c r="K579" i="34" s="1"/>
  <c r="L579" i="34" s="1"/>
  <c r="M579" i="34" s="1"/>
  <c r="N579" i="34" s="1"/>
  <c r="O579" i="34" s="1"/>
  <c r="P579" i="34" s="1"/>
  <c r="Q579" i="34" s="1"/>
  <c r="R579" i="34" s="1"/>
  <c r="S579" i="34" s="1"/>
  <c r="C353" i="34"/>
  <c r="D353" i="34" s="1"/>
  <c r="E353" i="34" s="1"/>
  <c r="F353" i="34" s="1"/>
  <c r="G353" i="34" s="1"/>
  <c r="H353" i="34" s="1"/>
  <c r="I353" i="34" s="1"/>
  <c r="J353" i="34" s="1"/>
  <c r="K353" i="34" s="1"/>
  <c r="L353" i="34" s="1"/>
  <c r="M353" i="34" s="1"/>
  <c r="N353" i="34" s="1"/>
  <c r="O353" i="34" s="1"/>
  <c r="P353" i="34" s="1"/>
  <c r="Q353" i="34" s="1"/>
  <c r="R353" i="34" s="1"/>
  <c r="S353" i="34" s="1"/>
  <c r="C455" i="34"/>
  <c r="D455" i="34" s="1"/>
  <c r="E455" i="34" s="1"/>
  <c r="F455" i="34" s="1"/>
  <c r="G455" i="34" s="1"/>
  <c r="H455" i="34" s="1"/>
  <c r="I455" i="34" s="1"/>
  <c r="J455" i="34" s="1"/>
  <c r="K455" i="34" s="1"/>
  <c r="L455" i="34" s="1"/>
  <c r="M455" i="34" s="1"/>
  <c r="N455" i="34" s="1"/>
  <c r="O455" i="34" s="1"/>
  <c r="P455" i="34" s="1"/>
  <c r="Q455" i="34" s="1"/>
  <c r="R455" i="34" s="1"/>
  <c r="S455" i="34" s="1"/>
  <c r="C534" i="34"/>
  <c r="D534" i="34" s="1"/>
  <c r="E534" i="34" s="1"/>
  <c r="F534" i="34" s="1"/>
  <c r="G534" i="34" s="1"/>
  <c r="H534" i="34" s="1"/>
  <c r="I534" i="34" s="1"/>
  <c r="J534" i="34" s="1"/>
  <c r="K534" i="34" s="1"/>
  <c r="L534" i="34" s="1"/>
  <c r="M534" i="34" s="1"/>
  <c r="N534" i="34" s="1"/>
  <c r="O534" i="34" s="1"/>
  <c r="P534" i="34" s="1"/>
  <c r="Q534" i="34" s="1"/>
  <c r="R534" i="34" s="1"/>
  <c r="S534" i="34" s="1"/>
  <c r="C596" i="34"/>
  <c r="D596" i="34" s="1"/>
  <c r="E596" i="34" s="1"/>
  <c r="F596" i="34" s="1"/>
  <c r="G596" i="34" s="1"/>
  <c r="H596" i="34" s="1"/>
  <c r="I596" i="34" s="1"/>
  <c r="J596" i="34" s="1"/>
  <c r="K596" i="34" s="1"/>
  <c r="L596" i="34" s="1"/>
  <c r="M596" i="34" s="1"/>
  <c r="N596" i="34" s="1"/>
  <c r="O596" i="34" s="1"/>
  <c r="P596" i="34" s="1"/>
  <c r="Q596" i="34" s="1"/>
  <c r="R596" i="34" s="1"/>
  <c r="S596" i="34" s="1"/>
  <c r="C381" i="34"/>
  <c r="D381" i="34" s="1"/>
  <c r="E381" i="34" s="1"/>
  <c r="F381" i="34" s="1"/>
  <c r="G381" i="34" s="1"/>
  <c r="H381" i="34" s="1"/>
  <c r="I381" i="34" s="1"/>
  <c r="J381" i="34" s="1"/>
  <c r="K381" i="34" s="1"/>
  <c r="L381" i="34" s="1"/>
  <c r="M381" i="34" s="1"/>
  <c r="N381" i="34" s="1"/>
  <c r="O381" i="34" s="1"/>
  <c r="P381" i="34" s="1"/>
  <c r="Q381" i="34" s="1"/>
  <c r="R381" i="34" s="1"/>
  <c r="S381" i="34" s="1"/>
  <c r="C498" i="34"/>
  <c r="D498" i="34" s="1"/>
  <c r="E498" i="34" s="1"/>
  <c r="F498" i="34" s="1"/>
  <c r="G498" i="34" s="1"/>
  <c r="H498" i="34" s="1"/>
  <c r="I498" i="34" s="1"/>
  <c r="J498" i="34" s="1"/>
  <c r="K498" i="34" s="1"/>
  <c r="L498" i="34" s="1"/>
  <c r="M498" i="34" s="1"/>
  <c r="N498" i="34" s="1"/>
  <c r="O498" i="34" s="1"/>
  <c r="P498" i="34" s="1"/>
  <c r="Q498" i="34" s="1"/>
  <c r="R498" i="34" s="1"/>
  <c r="S498" i="34" s="1"/>
  <c r="C531" i="34"/>
  <c r="D531" i="34" s="1"/>
  <c r="E531" i="34" s="1"/>
  <c r="F531" i="34" s="1"/>
  <c r="G531" i="34" s="1"/>
  <c r="H531" i="34" s="1"/>
  <c r="I531" i="34" s="1"/>
  <c r="J531" i="34" s="1"/>
  <c r="K531" i="34" s="1"/>
  <c r="L531" i="34" s="1"/>
  <c r="M531" i="34" s="1"/>
  <c r="N531" i="34" s="1"/>
  <c r="O531" i="34" s="1"/>
  <c r="P531" i="34" s="1"/>
  <c r="Q531" i="34" s="1"/>
  <c r="R531" i="34" s="1"/>
  <c r="S531" i="34" s="1"/>
  <c r="C298" i="34"/>
  <c r="D298" i="34" s="1"/>
  <c r="E298" i="34" s="1"/>
  <c r="F298" i="34" s="1"/>
  <c r="G298" i="34" s="1"/>
  <c r="H298" i="34" s="1"/>
  <c r="I298" i="34" s="1"/>
  <c r="J298" i="34" s="1"/>
  <c r="K298" i="34" s="1"/>
  <c r="L298" i="34" s="1"/>
  <c r="M298" i="34" s="1"/>
  <c r="N298" i="34" s="1"/>
  <c r="O298" i="34" s="1"/>
  <c r="P298" i="34" s="1"/>
  <c r="Q298" i="34" s="1"/>
  <c r="R298" i="34" s="1"/>
  <c r="S298" i="34" s="1"/>
  <c r="C398" i="34"/>
  <c r="D398" i="34" s="1"/>
  <c r="E398" i="34" s="1"/>
  <c r="F398" i="34" s="1"/>
  <c r="G398" i="34" s="1"/>
  <c r="H398" i="34" s="1"/>
  <c r="I398" i="34" s="1"/>
  <c r="J398" i="34" s="1"/>
  <c r="K398" i="34" s="1"/>
  <c r="L398" i="34" s="1"/>
  <c r="M398" i="34" s="1"/>
  <c r="N398" i="34" s="1"/>
  <c r="O398" i="34" s="1"/>
  <c r="P398" i="34" s="1"/>
  <c r="Q398" i="34" s="1"/>
  <c r="R398" i="34" s="1"/>
  <c r="S398" i="34" s="1"/>
  <c r="C417" i="34"/>
  <c r="D417" i="34" s="1"/>
  <c r="E417" i="34" s="1"/>
  <c r="F417" i="34" s="1"/>
  <c r="G417" i="34" s="1"/>
  <c r="H417" i="34" s="1"/>
  <c r="I417" i="34" s="1"/>
  <c r="J417" i="34" s="1"/>
  <c r="K417" i="34" s="1"/>
  <c r="L417" i="34" s="1"/>
  <c r="M417" i="34" s="1"/>
  <c r="N417" i="34" s="1"/>
  <c r="O417" i="34" s="1"/>
  <c r="P417" i="34" s="1"/>
  <c r="Q417" i="34" s="1"/>
  <c r="R417" i="34" s="1"/>
  <c r="S417" i="34" s="1"/>
  <c r="C457" i="34"/>
  <c r="D457" i="34" s="1"/>
  <c r="E457" i="34" s="1"/>
  <c r="F457" i="34" s="1"/>
  <c r="G457" i="34" s="1"/>
  <c r="H457" i="34" s="1"/>
  <c r="I457" i="34" s="1"/>
  <c r="J457" i="34" s="1"/>
  <c r="K457" i="34" s="1"/>
  <c r="L457" i="34" s="1"/>
  <c r="M457" i="34" s="1"/>
  <c r="N457" i="34" s="1"/>
  <c r="O457" i="34" s="1"/>
  <c r="P457" i="34" s="1"/>
  <c r="Q457" i="34" s="1"/>
  <c r="R457" i="34" s="1"/>
  <c r="S457" i="34" s="1"/>
  <c r="C581" i="34"/>
  <c r="D581" i="34" s="1"/>
  <c r="E581" i="34" s="1"/>
  <c r="F581" i="34" s="1"/>
  <c r="G581" i="34" s="1"/>
  <c r="H581" i="34" s="1"/>
  <c r="I581" i="34" s="1"/>
  <c r="J581" i="34" s="1"/>
  <c r="K581" i="34" s="1"/>
  <c r="L581" i="34" s="1"/>
  <c r="M581" i="34" s="1"/>
  <c r="N581" i="34" s="1"/>
  <c r="O581" i="34" s="1"/>
  <c r="P581" i="34" s="1"/>
  <c r="Q581" i="34" s="1"/>
  <c r="R581" i="34" s="1"/>
  <c r="S581" i="34" s="1"/>
  <c r="C394" i="34"/>
  <c r="D394" i="34" s="1"/>
  <c r="E394" i="34" s="1"/>
  <c r="F394" i="34" s="1"/>
  <c r="G394" i="34" s="1"/>
  <c r="H394" i="34" s="1"/>
  <c r="I394" i="34" s="1"/>
  <c r="J394" i="34" s="1"/>
  <c r="K394" i="34" s="1"/>
  <c r="L394" i="34" s="1"/>
  <c r="M394" i="34" s="1"/>
  <c r="N394" i="34" s="1"/>
  <c r="O394" i="34" s="1"/>
  <c r="P394" i="34" s="1"/>
  <c r="Q394" i="34" s="1"/>
  <c r="R394" i="34" s="1"/>
  <c r="S394" i="34" s="1"/>
  <c r="C77" i="34"/>
  <c r="D77" i="34" s="1"/>
  <c r="E77" i="34" s="1"/>
  <c r="F77" i="34" s="1"/>
  <c r="G77" i="34" s="1"/>
  <c r="H77" i="34" s="1"/>
  <c r="I77" i="34" s="1"/>
  <c r="J77" i="34" s="1"/>
  <c r="K77" i="34" s="1"/>
  <c r="L77" i="34" s="1"/>
  <c r="M77" i="34" s="1"/>
  <c r="N77" i="34" s="1"/>
  <c r="O77" i="34" s="1"/>
  <c r="P77" i="34" s="1"/>
  <c r="Q77" i="34" s="1"/>
  <c r="R77" i="34" s="1"/>
  <c r="S77" i="34" s="1"/>
  <c r="C221" i="34"/>
  <c r="D221" i="34" s="1"/>
  <c r="E221" i="34" s="1"/>
  <c r="F221" i="34" s="1"/>
  <c r="G221" i="34" s="1"/>
  <c r="H221" i="34" s="1"/>
  <c r="I221" i="34" s="1"/>
  <c r="J221" i="34" s="1"/>
  <c r="K221" i="34" s="1"/>
  <c r="L221" i="34" s="1"/>
  <c r="M221" i="34" s="1"/>
  <c r="N221" i="34" s="1"/>
  <c r="O221" i="34" s="1"/>
  <c r="P221" i="34" s="1"/>
  <c r="Q221" i="34" s="1"/>
  <c r="R221" i="34" s="1"/>
  <c r="S221" i="34" s="1"/>
  <c r="C369" i="34"/>
  <c r="D369" i="34" s="1"/>
  <c r="E369" i="34" s="1"/>
  <c r="F369" i="34" s="1"/>
  <c r="G369" i="34" s="1"/>
  <c r="H369" i="34" s="1"/>
  <c r="I369" i="34" s="1"/>
  <c r="J369" i="34" s="1"/>
  <c r="K369" i="34" s="1"/>
  <c r="L369" i="34" s="1"/>
  <c r="M369" i="34" s="1"/>
  <c r="N369" i="34" s="1"/>
  <c r="O369" i="34" s="1"/>
  <c r="P369" i="34" s="1"/>
  <c r="Q369" i="34" s="1"/>
  <c r="R369" i="34" s="1"/>
  <c r="S369" i="34" s="1"/>
  <c r="C461" i="34"/>
  <c r="D461" i="34" s="1"/>
  <c r="E461" i="34" s="1"/>
  <c r="F461" i="34" s="1"/>
  <c r="G461" i="34" s="1"/>
  <c r="H461" i="34" s="1"/>
  <c r="I461" i="34" s="1"/>
  <c r="J461" i="34" s="1"/>
  <c r="K461" i="34" s="1"/>
  <c r="L461" i="34" s="1"/>
  <c r="M461" i="34" s="1"/>
  <c r="N461" i="34" s="1"/>
  <c r="O461" i="34" s="1"/>
  <c r="P461" i="34" s="1"/>
  <c r="Q461" i="34" s="1"/>
  <c r="R461" i="34" s="1"/>
  <c r="S461" i="34" s="1"/>
  <c r="C39" i="34"/>
  <c r="D39" i="34" s="1"/>
  <c r="E39" i="34" s="1"/>
  <c r="F39" i="34" s="1"/>
  <c r="G39" i="34" s="1"/>
  <c r="H39" i="34" s="1"/>
  <c r="I39" i="34" s="1"/>
  <c r="J39" i="34" s="1"/>
  <c r="K39" i="34" s="1"/>
  <c r="L39" i="34" s="1"/>
  <c r="M39" i="34" s="1"/>
  <c r="N39" i="34" s="1"/>
  <c r="O39" i="34" s="1"/>
  <c r="P39" i="34" s="1"/>
  <c r="Q39" i="34" s="1"/>
  <c r="R39" i="34" s="1"/>
  <c r="S39" i="34" s="1"/>
  <c r="C107" i="34"/>
  <c r="D107" i="34" s="1"/>
  <c r="E107" i="34" s="1"/>
  <c r="F107" i="34" s="1"/>
  <c r="G107" i="34" s="1"/>
  <c r="H107" i="34" s="1"/>
  <c r="I107" i="34" s="1"/>
  <c r="J107" i="34" s="1"/>
  <c r="K107" i="34" s="1"/>
  <c r="L107" i="34" s="1"/>
  <c r="M107" i="34" s="1"/>
  <c r="N107" i="34" s="1"/>
  <c r="O107" i="34" s="1"/>
  <c r="P107" i="34" s="1"/>
  <c r="Q107" i="34" s="1"/>
  <c r="R107" i="34" s="1"/>
  <c r="S107" i="34" s="1"/>
  <c r="C106" i="34"/>
  <c r="D106" i="34" s="1"/>
  <c r="E106" i="34" s="1"/>
  <c r="F106" i="34" s="1"/>
  <c r="G106" i="34" s="1"/>
  <c r="H106" i="34" s="1"/>
  <c r="I106" i="34" s="1"/>
  <c r="J106" i="34" s="1"/>
  <c r="K106" i="34" s="1"/>
  <c r="L106" i="34" s="1"/>
  <c r="M106" i="34" s="1"/>
  <c r="N106" i="34" s="1"/>
  <c r="O106" i="34" s="1"/>
  <c r="P106" i="34" s="1"/>
  <c r="Q106" i="34" s="1"/>
  <c r="R106" i="34" s="1"/>
  <c r="S106" i="34" s="1"/>
  <c r="C249" i="34"/>
  <c r="D249" i="34" s="1"/>
  <c r="E249" i="34" s="1"/>
  <c r="F249" i="34" s="1"/>
  <c r="G249" i="34" s="1"/>
  <c r="H249" i="34" s="1"/>
  <c r="I249" i="34" s="1"/>
  <c r="J249" i="34" s="1"/>
  <c r="K249" i="34" s="1"/>
  <c r="L249" i="34" s="1"/>
  <c r="M249" i="34" s="1"/>
  <c r="N249" i="34" s="1"/>
  <c r="O249" i="34" s="1"/>
  <c r="P249" i="34" s="1"/>
  <c r="Q249" i="34" s="1"/>
  <c r="R249" i="34" s="1"/>
  <c r="S249" i="34" s="1"/>
  <c r="C311" i="34"/>
  <c r="D311" i="34" s="1"/>
  <c r="E311" i="34" s="1"/>
  <c r="F311" i="34" s="1"/>
  <c r="G311" i="34" s="1"/>
  <c r="H311" i="34" s="1"/>
  <c r="I311" i="34" s="1"/>
  <c r="J311" i="34" s="1"/>
  <c r="K311" i="34" s="1"/>
  <c r="L311" i="34" s="1"/>
  <c r="M311" i="34" s="1"/>
  <c r="N311" i="34" s="1"/>
  <c r="O311" i="34" s="1"/>
  <c r="P311" i="34" s="1"/>
  <c r="Q311" i="34" s="1"/>
  <c r="R311" i="34" s="1"/>
  <c r="S311" i="34" s="1"/>
  <c r="C354" i="34"/>
  <c r="D354" i="34" s="1"/>
  <c r="E354" i="34" s="1"/>
  <c r="F354" i="34" s="1"/>
  <c r="G354" i="34" s="1"/>
  <c r="H354" i="34" s="1"/>
  <c r="I354" i="34" s="1"/>
  <c r="J354" i="34" s="1"/>
  <c r="K354" i="34" s="1"/>
  <c r="L354" i="34" s="1"/>
  <c r="M354" i="34" s="1"/>
  <c r="N354" i="34" s="1"/>
  <c r="O354" i="34" s="1"/>
  <c r="P354" i="34" s="1"/>
  <c r="Q354" i="34" s="1"/>
  <c r="R354" i="34" s="1"/>
  <c r="S354" i="34" s="1"/>
  <c r="C385" i="34"/>
  <c r="D385" i="34" s="1"/>
  <c r="E385" i="34" s="1"/>
  <c r="F385" i="34" s="1"/>
  <c r="G385" i="34" s="1"/>
  <c r="H385" i="34" s="1"/>
  <c r="I385" i="34" s="1"/>
  <c r="J385" i="34" s="1"/>
  <c r="K385" i="34" s="1"/>
  <c r="L385" i="34" s="1"/>
  <c r="M385" i="34" s="1"/>
  <c r="N385" i="34" s="1"/>
  <c r="O385" i="34" s="1"/>
  <c r="P385" i="34" s="1"/>
  <c r="Q385" i="34" s="1"/>
  <c r="R385" i="34" s="1"/>
  <c r="S385" i="34" s="1"/>
  <c r="C189" i="34"/>
  <c r="D189" i="34" s="1"/>
  <c r="E189" i="34" s="1"/>
  <c r="F189" i="34" s="1"/>
  <c r="G189" i="34" s="1"/>
  <c r="H189" i="34" s="1"/>
  <c r="I189" i="34" s="1"/>
  <c r="J189" i="34" s="1"/>
  <c r="K189" i="34" s="1"/>
  <c r="L189" i="34" s="1"/>
  <c r="M189" i="34" s="1"/>
  <c r="N189" i="34" s="1"/>
  <c r="O189" i="34" s="1"/>
  <c r="P189" i="34" s="1"/>
  <c r="Q189" i="34" s="1"/>
  <c r="R189" i="34" s="1"/>
  <c r="S189" i="34" s="1"/>
  <c r="C254" i="34"/>
  <c r="D254" i="34" s="1"/>
  <c r="E254" i="34" s="1"/>
  <c r="F254" i="34" s="1"/>
  <c r="G254" i="34" s="1"/>
  <c r="H254" i="34" s="1"/>
  <c r="I254" i="34" s="1"/>
  <c r="J254" i="34" s="1"/>
  <c r="K254" i="34" s="1"/>
  <c r="L254" i="34" s="1"/>
  <c r="M254" i="34" s="1"/>
  <c r="N254" i="34" s="1"/>
  <c r="O254" i="34" s="1"/>
  <c r="P254" i="34" s="1"/>
  <c r="Q254" i="34" s="1"/>
  <c r="R254" i="34" s="1"/>
  <c r="S254" i="34" s="1"/>
  <c r="C293" i="34"/>
  <c r="D293" i="34" s="1"/>
  <c r="E293" i="34" s="1"/>
  <c r="F293" i="34" s="1"/>
  <c r="G293" i="34" s="1"/>
  <c r="H293" i="34" s="1"/>
  <c r="I293" i="34" s="1"/>
  <c r="J293" i="34" s="1"/>
  <c r="K293" i="34" s="1"/>
  <c r="L293" i="34" s="1"/>
  <c r="M293" i="34" s="1"/>
  <c r="N293" i="34" s="1"/>
  <c r="O293" i="34" s="1"/>
  <c r="P293" i="34" s="1"/>
  <c r="Q293" i="34" s="1"/>
  <c r="R293" i="34" s="1"/>
  <c r="S293" i="34" s="1"/>
  <c r="C386" i="34"/>
  <c r="D386" i="34" s="1"/>
  <c r="E386" i="34" s="1"/>
  <c r="F386" i="34" s="1"/>
  <c r="G386" i="34" s="1"/>
  <c r="H386" i="34" s="1"/>
  <c r="I386" i="34" s="1"/>
  <c r="J386" i="34" s="1"/>
  <c r="K386" i="34" s="1"/>
  <c r="L386" i="34" s="1"/>
  <c r="M386" i="34" s="1"/>
  <c r="N386" i="34" s="1"/>
  <c r="O386" i="34" s="1"/>
  <c r="P386" i="34" s="1"/>
  <c r="Q386" i="34" s="1"/>
  <c r="R386" i="34" s="1"/>
  <c r="S386" i="34" s="1"/>
  <c r="C284" i="34"/>
  <c r="D284" i="34" s="1"/>
  <c r="E284" i="34" s="1"/>
  <c r="F284" i="34" s="1"/>
  <c r="G284" i="34" s="1"/>
  <c r="H284" i="34" s="1"/>
  <c r="I284" i="34" s="1"/>
  <c r="J284" i="34" s="1"/>
  <c r="K284" i="34" s="1"/>
  <c r="L284" i="34" s="1"/>
  <c r="M284" i="34" s="1"/>
  <c r="N284" i="34" s="1"/>
  <c r="O284" i="34" s="1"/>
  <c r="P284" i="34" s="1"/>
  <c r="Q284" i="34" s="1"/>
  <c r="R284" i="34" s="1"/>
  <c r="S284" i="34" s="1"/>
  <c r="C349" i="34"/>
  <c r="D349" i="34" s="1"/>
  <c r="E349" i="34" s="1"/>
  <c r="F349" i="34" s="1"/>
  <c r="G349" i="34" s="1"/>
  <c r="H349" i="34" s="1"/>
  <c r="I349" i="34" s="1"/>
  <c r="J349" i="34" s="1"/>
  <c r="K349" i="34" s="1"/>
  <c r="L349" i="34" s="1"/>
  <c r="M349" i="34" s="1"/>
  <c r="N349" i="34" s="1"/>
  <c r="O349" i="34" s="1"/>
  <c r="P349" i="34" s="1"/>
  <c r="Q349" i="34" s="1"/>
  <c r="R349" i="34" s="1"/>
  <c r="S349" i="34" s="1"/>
  <c r="C469" i="34"/>
  <c r="D469" i="34" s="1"/>
  <c r="E469" i="34" s="1"/>
  <c r="F469" i="34" s="1"/>
  <c r="G469" i="34" s="1"/>
  <c r="H469" i="34" s="1"/>
  <c r="I469" i="34" s="1"/>
  <c r="J469" i="34" s="1"/>
  <c r="K469" i="34" s="1"/>
  <c r="L469" i="34" s="1"/>
  <c r="M469" i="34" s="1"/>
  <c r="N469" i="34" s="1"/>
  <c r="O469" i="34" s="1"/>
  <c r="P469" i="34" s="1"/>
  <c r="Q469" i="34" s="1"/>
  <c r="R469" i="34" s="1"/>
  <c r="S469" i="34" s="1"/>
  <c r="C573" i="34"/>
  <c r="D573" i="34" s="1"/>
  <c r="E573" i="34" s="1"/>
  <c r="F573" i="34" s="1"/>
  <c r="G573" i="34" s="1"/>
  <c r="H573" i="34" s="1"/>
  <c r="I573" i="34" s="1"/>
  <c r="J573" i="34" s="1"/>
  <c r="K573" i="34" s="1"/>
  <c r="L573" i="34" s="1"/>
  <c r="M573" i="34" s="1"/>
  <c r="N573" i="34" s="1"/>
  <c r="O573" i="34" s="1"/>
  <c r="P573" i="34" s="1"/>
  <c r="Q573" i="34" s="1"/>
  <c r="R573" i="34" s="1"/>
  <c r="S573" i="34" s="1"/>
  <c r="C431" i="34"/>
  <c r="D431" i="34" s="1"/>
  <c r="E431" i="34" s="1"/>
  <c r="F431" i="34" s="1"/>
  <c r="G431" i="34" s="1"/>
  <c r="H431" i="34" s="1"/>
  <c r="I431" i="34" s="1"/>
  <c r="J431" i="34" s="1"/>
  <c r="K431" i="34" s="1"/>
  <c r="L431" i="34" s="1"/>
  <c r="M431" i="34" s="1"/>
  <c r="N431" i="34" s="1"/>
  <c r="O431" i="34" s="1"/>
  <c r="P431" i="34" s="1"/>
  <c r="Q431" i="34" s="1"/>
  <c r="R431" i="34" s="1"/>
  <c r="S431" i="34" s="1"/>
  <c r="C181" i="34"/>
  <c r="D181" i="34" s="1"/>
  <c r="E181" i="34" s="1"/>
  <c r="F181" i="34" s="1"/>
  <c r="G181" i="34" s="1"/>
  <c r="H181" i="34" s="1"/>
  <c r="I181" i="34" s="1"/>
  <c r="J181" i="34" s="1"/>
  <c r="K181" i="34" s="1"/>
  <c r="L181" i="34" s="1"/>
  <c r="M181" i="34" s="1"/>
  <c r="N181" i="34" s="1"/>
  <c r="O181" i="34" s="1"/>
  <c r="P181" i="34" s="1"/>
  <c r="Q181" i="34" s="1"/>
  <c r="R181" i="34" s="1"/>
  <c r="S181" i="34" s="1"/>
  <c r="C329" i="34"/>
  <c r="D329" i="34" s="1"/>
  <c r="E329" i="34" s="1"/>
  <c r="F329" i="34" s="1"/>
  <c r="G329" i="34" s="1"/>
  <c r="H329" i="34" s="1"/>
  <c r="I329" i="34" s="1"/>
  <c r="J329" i="34" s="1"/>
  <c r="K329" i="34" s="1"/>
  <c r="L329" i="34" s="1"/>
  <c r="M329" i="34" s="1"/>
  <c r="N329" i="34" s="1"/>
  <c r="O329" i="34" s="1"/>
  <c r="P329" i="34" s="1"/>
  <c r="Q329" i="34" s="1"/>
  <c r="R329" i="34" s="1"/>
  <c r="S329" i="34" s="1"/>
  <c r="C566" i="34"/>
  <c r="D566" i="34" s="1"/>
  <c r="E566" i="34" s="1"/>
  <c r="F566" i="34" s="1"/>
  <c r="G566" i="34" s="1"/>
  <c r="H566" i="34" s="1"/>
  <c r="I566" i="34" s="1"/>
  <c r="J566" i="34" s="1"/>
  <c r="K566" i="34" s="1"/>
  <c r="L566" i="34" s="1"/>
  <c r="M566" i="34" s="1"/>
  <c r="N566" i="34" s="1"/>
  <c r="O566" i="34" s="1"/>
  <c r="P566" i="34" s="1"/>
  <c r="Q566" i="34" s="1"/>
  <c r="R566" i="34" s="1"/>
  <c r="S566" i="34" s="1"/>
  <c r="C475" i="34"/>
  <c r="D475" i="34" s="1"/>
  <c r="E475" i="34" s="1"/>
  <c r="F475" i="34" s="1"/>
  <c r="G475" i="34" s="1"/>
  <c r="H475" i="34" s="1"/>
  <c r="I475" i="34" s="1"/>
  <c r="J475" i="34" s="1"/>
  <c r="K475" i="34" s="1"/>
  <c r="L475" i="34" s="1"/>
  <c r="M475" i="34" s="1"/>
  <c r="N475" i="34" s="1"/>
  <c r="O475" i="34" s="1"/>
  <c r="P475" i="34" s="1"/>
  <c r="Q475" i="34" s="1"/>
  <c r="R475" i="34" s="1"/>
  <c r="S475" i="34" s="1"/>
  <c r="C65" i="34"/>
  <c r="D65" i="34" s="1"/>
  <c r="C230" i="34"/>
  <c r="D230" i="34" s="1"/>
  <c r="E230" i="34" s="1"/>
  <c r="F230" i="34" s="1"/>
  <c r="G230" i="34" s="1"/>
  <c r="H230" i="34" s="1"/>
  <c r="I230" i="34" s="1"/>
  <c r="J230" i="34" s="1"/>
  <c r="K230" i="34" s="1"/>
  <c r="L230" i="34" s="1"/>
  <c r="M230" i="34" s="1"/>
  <c r="N230" i="34" s="1"/>
  <c r="O230" i="34" s="1"/>
  <c r="P230" i="34" s="1"/>
  <c r="Q230" i="34" s="1"/>
  <c r="R230" i="34" s="1"/>
  <c r="S230" i="34" s="1"/>
  <c r="C175" i="34"/>
  <c r="D175" i="34" s="1"/>
  <c r="E175" i="34" s="1"/>
  <c r="F175" i="34" s="1"/>
  <c r="G175" i="34" s="1"/>
  <c r="H175" i="34" s="1"/>
  <c r="I175" i="34" s="1"/>
  <c r="J175" i="34" s="1"/>
  <c r="K175" i="34" s="1"/>
  <c r="L175" i="34" s="1"/>
  <c r="M175" i="34" s="1"/>
  <c r="N175" i="34" s="1"/>
  <c r="O175" i="34" s="1"/>
  <c r="P175" i="34" s="1"/>
  <c r="Q175" i="34" s="1"/>
  <c r="R175" i="34" s="1"/>
  <c r="S175" i="34" s="1"/>
  <c r="C202" i="34"/>
  <c r="D202" i="34" s="1"/>
  <c r="E202" i="34" s="1"/>
  <c r="F202" i="34" s="1"/>
  <c r="G202" i="34" s="1"/>
  <c r="H202" i="34" s="1"/>
  <c r="I202" i="34" s="1"/>
  <c r="J202" i="34" s="1"/>
  <c r="K202" i="34" s="1"/>
  <c r="L202" i="34" s="1"/>
  <c r="M202" i="34" s="1"/>
  <c r="N202" i="34" s="1"/>
  <c r="O202" i="34" s="1"/>
  <c r="P202" i="34" s="1"/>
  <c r="Q202" i="34" s="1"/>
  <c r="R202" i="34" s="1"/>
  <c r="S202" i="34" s="1"/>
  <c r="C243" i="34"/>
  <c r="D243" i="34" s="1"/>
  <c r="E243" i="34" s="1"/>
  <c r="F243" i="34" s="1"/>
  <c r="G243" i="34" s="1"/>
  <c r="H243" i="34" s="1"/>
  <c r="I243" i="34" s="1"/>
  <c r="J243" i="34" s="1"/>
  <c r="K243" i="34" s="1"/>
  <c r="L243" i="34" s="1"/>
  <c r="M243" i="34" s="1"/>
  <c r="N243" i="34" s="1"/>
  <c r="O243" i="34" s="1"/>
  <c r="P243" i="34" s="1"/>
  <c r="Q243" i="34" s="1"/>
  <c r="R243" i="34" s="1"/>
  <c r="S243" i="34" s="1"/>
  <c r="C263" i="34"/>
  <c r="D263" i="34" s="1"/>
  <c r="E263" i="34" s="1"/>
  <c r="F263" i="34" s="1"/>
  <c r="G263" i="34" s="1"/>
  <c r="H263" i="34" s="1"/>
  <c r="I263" i="34" s="1"/>
  <c r="J263" i="34" s="1"/>
  <c r="K263" i="34" s="1"/>
  <c r="L263" i="34" s="1"/>
  <c r="M263" i="34" s="1"/>
  <c r="N263" i="34" s="1"/>
  <c r="O263" i="34" s="1"/>
  <c r="P263" i="34" s="1"/>
  <c r="Q263" i="34" s="1"/>
  <c r="R263" i="34" s="1"/>
  <c r="S263" i="34" s="1"/>
  <c r="C300" i="34"/>
  <c r="D300" i="34" s="1"/>
  <c r="E300" i="34" s="1"/>
  <c r="F300" i="34" s="1"/>
  <c r="G300" i="34" s="1"/>
  <c r="H300" i="34" s="1"/>
  <c r="I300" i="34" s="1"/>
  <c r="J300" i="34" s="1"/>
  <c r="K300" i="34" s="1"/>
  <c r="L300" i="34" s="1"/>
  <c r="M300" i="34" s="1"/>
  <c r="N300" i="34" s="1"/>
  <c r="O300" i="34" s="1"/>
  <c r="P300" i="34" s="1"/>
  <c r="Q300" i="34" s="1"/>
  <c r="R300" i="34" s="1"/>
  <c r="S300" i="34" s="1"/>
  <c r="C247" i="34"/>
  <c r="D247" i="34" s="1"/>
  <c r="E247" i="34" s="1"/>
  <c r="F247" i="34" s="1"/>
  <c r="G247" i="34" s="1"/>
  <c r="H247" i="34" s="1"/>
  <c r="I247" i="34" s="1"/>
  <c r="J247" i="34" s="1"/>
  <c r="K247" i="34" s="1"/>
  <c r="L247" i="34" s="1"/>
  <c r="M247" i="34" s="1"/>
  <c r="N247" i="34" s="1"/>
  <c r="O247" i="34" s="1"/>
  <c r="P247" i="34" s="1"/>
  <c r="Q247" i="34" s="1"/>
  <c r="R247" i="34" s="1"/>
  <c r="S247" i="34" s="1"/>
  <c r="C297" i="34"/>
  <c r="D297" i="34" s="1"/>
  <c r="E297" i="34" s="1"/>
  <c r="F297" i="34" s="1"/>
  <c r="G297" i="34" s="1"/>
  <c r="H297" i="34" s="1"/>
  <c r="I297" i="34" s="1"/>
  <c r="J297" i="34" s="1"/>
  <c r="K297" i="34" s="1"/>
  <c r="L297" i="34" s="1"/>
  <c r="M297" i="34" s="1"/>
  <c r="N297" i="34" s="1"/>
  <c r="O297" i="34" s="1"/>
  <c r="P297" i="34" s="1"/>
  <c r="Q297" i="34" s="1"/>
  <c r="R297" i="34" s="1"/>
  <c r="S297" i="34" s="1"/>
  <c r="C425" i="34"/>
  <c r="D425" i="34" s="1"/>
  <c r="E425" i="34" s="1"/>
  <c r="F425" i="34" s="1"/>
  <c r="G425" i="34" s="1"/>
  <c r="H425" i="34" s="1"/>
  <c r="I425" i="34" s="1"/>
  <c r="J425" i="34" s="1"/>
  <c r="K425" i="34" s="1"/>
  <c r="L425" i="34" s="1"/>
  <c r="M425" i="34" s="1"/>
  <c r="N425" i="34" s="1"/>
  <c r="O425" i="34" s="1"/>
  <c r="P425" i="34" s="1"/>
  <c r="Q425" i="34" s="1"/>
  <c r="R425" i="34" s="1"/>
  <c r="S425" i="34" s="1"/>
  <c r="C305" i="34"/>
  <c r="D305" i="34" s="1"/>
  <c r="E305" i="34" s="1"/>
  <c r="F305" i="34" s="1"/>
  <c r="G305" i="34" s="1"/>
  <c r="H305" i="34" s="1"/>
  <c r="I305" i="34" s="1"/>
  <c r="J305" i="34" s="1"/>
  <c r="K305" i="34" s="1"/>
  <c r="L305" i="34" s="1"/>
  <c r="M305" i="34" s="1"/>
  <c r="N305" i="34" s="1"/>
  <c r="O305" i="34" s="1"/>
  <c r="P305" i="34" s="1"/>
  <c r="Q305" i="34" s="1"/>
  <c r="R305" i="34" s="1"/>
  <c r="S305" i="34" s="1"/>
  <c r="C370" i="34"/>
  <c r="D370" i="34" s="1"/>
  <c r="E370" i="34" s="1"/>
  <c r="F370" i="34" s="1"/>
  <c r="G370" i="34" s="1"/>
  <c r="H370" i="34" s="1"/>
  <c r="I370" i="34" s="1"/>
  <c r="J370" i="34" s="1"/>
  <c r="K370" i="34" s="1"/>
  <c r="L370" i="34" s="1"/>
  <c r="M370" i="34" s="1"/>
  <c r="N370" i="34" s="1"/>
  <c r="O370" i="34" s="1"/>
  <c r="P370" i="34" s="1"/>
  <c r="Q370" i="34" s="1"/>
  <c r="R370" i="34" s="1"/>
  <c r="S370" i="34" s="1"/>
  <c r="C530" i="34"/>
  <c r="D530" i="34" s="1"/>
  <c r="E530" i="34" s="1"/>
  <c r="F530" i="34" s="1"/>
  <c r="G530" i="34" s="1"/>
  <c r="H530" i="34" s="1"/>
  <c r="I530" i="34" s="1"/>
  <c r="J530" i="34" s="1"/>
  <c r="K530" i="34" s="1"/>
  <c r="L530" i="34" s="1"/>
  <c r="M530" i="34" s="1"/>
  <c r="N530" i="34" s="1"/>
  <c r="O530" i="34" s="1"/>
  <c r="P530" i="34" s="1"/>
  <c r="Q530" i="34" s="1"/>
  <c r="R530" i="34" s="1"/>
  <c r="S530" i="34" s="1"/>
  <c r="C542" i="34"/>
  <c r="D542" i="34" s="1"/>
  <c r="E542" i="34" s="1"/>
  <c r="F542" i="34" s="1"/>
  <c r="G542" i="34" s="1"/>
  <c r="H542" i="34" s="1"/>
  <c r="I542" i="34" s="1"/>
  <c r="J542" i="34" s="1"/>
  <c r="K542" i="34" s="1"/>
  <c r="L542" i="34" s="1"/>
  <c r="M542" i="34" s="1"/>
  <c r="N542" i="34" s="1"/>
  <c r="O542" i="34" s="1"/>
  <c r="P542" i="34" s="1"/>
  <c r="Q542" i="34" s="1"/>
  <c r="R542" i="34" s="1"/>
  <c r="S542" i="34" s="1"/>
  <c r="C78" i="34"/>
  <c r="D78" i="34" s="1"/>
  <c r="E78" i="34" s="1"/>
  <c r="F78" i="34" s="1"/>
  <c r="G78" i="34" s="1"/>
  <c r="H78" i="34" s="1"/>
  <c r="I78" i="34" s="1"/>
  <c r="J78" i="34" s="1"/>
  <c r="K78" i="34" s="1"/>
  <c r="L78" i="34" s="1"/>
  <c r="M78" i="34" s="1"/>
  <c r="N78" i="34" s="1"/>
  <c r="O78" i="34" s="1"/>
  <c r="P78" i="34" s="1"/>
  <c r="Q78" i="34" s="1"/>
  <c r="R78" i="34" s="1"/>
  <c r="S78" i="34" s="1"/>
  <c r="C35" i="34"/>
  <c r="D35" i="34" s="1"/>
  <c r="E35" i="34" s="1"/>
  <c r="F35" i="34" s="1"/>
  <c r="G35" i="34" s="1"/>
  <c r="H35" i="34" s="1"/>
  <c r="I35" i="34" s="1"/>
  <c r="J35" i="34" s="1"/>
  <c r="K35" i="34" s="1"/>
  <c r="L35" i="34" s="1"/>
  <c r="M35" i="34" s="1"/>
  <c r="N35" i="34" s="1"/>
  <c r="O35" i="34" s="1"/>
  <c r="P35" i="34" s="1"/>
  <c r="Q35" i="34" s="1"/>
  <c r="R35" i="34" s="1"/>
  <c r="S35" i="34" s="1"/>
  <c r="C110" i="34"/>
  <c r="D110" i="34" s="1"/>
  <c r="E110" i="34" s="1"/>
  <c r="F110" i="34" s="1"/>
  <c r="G110" i="34" s="1"/>
  <c r="H110" i="34" s="1"/>
  <c r="I110" i="34" s="1"/>
  <c r="J110" i="34" s="1"/>
  <c r="K110" i="34" s="1"/>
  <c r="L110" i="34" s="1"/>
  <c r="M110" i="34" s="1"/>
  <c r="N110" i="34" s="1"/>
  <c r="O110" i="34" s="1"/>
  <c r="P110" i="34" s="1"/>
  <c r="Q110" i="34" s="1"/>
  <c r="R110" i="34" s="1"/>
  <c r="S110" i="34" s="1"/>
  <c r="C80" i="34"/>
  <c r="D80" i="34" s="1"/>
  <c r="E80" i="34" s="1"/>
  <c r="F80" i="34" s="1"/>
  <c r="G80" i="34" s="1"/>
  <c r="H80" i="34" s="1"/>
  <c r="I80" i="34" s="1"/>
  <c r="J80" i="34" s="1"/>
  <c r="K80" i="34" s="1"/>
  <c r="L80" i="34" s="1"/>
  <c r="M80" i="34" s="1"/>
  <c r="N80" i="34" s="1"/>
  <c r="O80" i="34" s="1"/>
  <c r="P80" i="34" s="1"/>
  <c r="Q80" i="34" s="1"/>
  <c r="R80" i="34" s="1"/>
  <c r="S80" i="34" s="1"/>
  <c r="C59" i="34"/>
  <c r="D59" i="34" s="1"/>
  <c r="E59" i="34" s="1"/>
  <c r="F59" i="34" s="1"/>
  <c r="G59" i="34" s="1"/>
  <c r="H59" i="34" s="1"/>
  <c r="I59" i="34" s="1"/>
  <c r="J59" i="34" s="1"/>
  <c r="K59" i="34" s="1"/>
  <c r="L59" i="34" s="1"/>
  <c r="M59" i="34" s="1"/>
  <c r="N59" i="34" s="1"/>
  <c r="O59" i="34" s="1"/>
  <c r="P59" i="34" s="1"/>
  <c r="Q59" i="34" s="1"/>
  <c r="R59" i="34" s="1"/>
  <c r="S59" i="34" s="1"/>
  <c r="C53" i="34"/>
  <c r="D53" i="34" s="1"/>
  <c r="E53" i="34" s="1"/>
  <c r="F53" i="34" s="1"/>
  <c r="G53" i="34" s="1"/>
  <c r="H53" i="34" s="1"/>
  <c r="I53" i="34" s="1"/>
  <c r="J53" i="34" s="1"/>
  <c r="K53" i="34" s="1"/>
  <c r="L53" i="34" s="1"/>
  <c r="M53" i="34" s="1"/>
  <c r="N53" i="34" s="1"/>
  <c r="O53" i="34" s="1"/>
  <c r="P53" i="34" s="1"/>
  <c r="Q53" i="34" s="1"/>
  <c r="R53" i="34" s="1"/>
  <c r="S53" i="34" s="1"/>
  <c r="C172" i="34"/>
  <c r="D172" i="34" s="1"/>
  <c r="E172" i="34" s="1"/>
  <c r="F172" i="34" s="1"/>
  <c r="G172" i="34" s="1"/>
  <c r="H172" i="34" s="1"/>
  <c r="I172" i="34" s="1"/>
  <c r="J172" i="34" s="1"/>
  <c r="K172" i="34" s="1"/>
  <c r="L172" i="34" s="1"/>
  <c r="M172" i="34" s="1"/>
  <c r="N172" i="34" s="1"/>
  <c r="O172" i="34" s="1"/>
  <c r="P172" i="34" s="1"/>
  <c r="Q172" i="34" s="1"/>
  <c r="R172" i="34" s="1"/>
  <c r="S172" i="34" s="1"/>
  <c r="C180" i="34"/>
  <c r="D180" i="34" s="1"/>
  <c r="E180" i="34" s="1"/>
  <c r="F180" i="34" s="1"/>
  <c r="G180" i="34" s="1"/>
  <c r="H180" i="34" s="1"/>
  <c r="I180" i="34" s="1"/>
  <c r="J180" i="34" s="1"/>
  <c r="K180" i="34" s="1"/>
  <c r="L180" i="34" s="1"/>
  <c r="M180" i="34" s="1"/>
  <c r="N180" i="34" s="1"/>
  <c r="O180" i="34" s="1"/>
  <c r="P180" i="34" s="1"/>
  <c r="Q180" i="34" s="1"/>
  <c r="R180" i="34" s="1"/>
  <c r="S180" i="34" s="1"/>
  <c r="C236" i="34"/>
  <c r="D236" i="34" s="1"/>
  <c r="E236" i="34" s="1"/>
  <c r="F236" i="34" s="1"/>
  <c r="G236" i="34" s="1"/>
  <c r="H236" i="34" s="1"/>
  <c r="I236" i="34" s="1"/>
  <c r="J236" i="34" s="1"/>
  <c r="K236" i="34" s="1"/>
  <c r="L236" i="34" s="1"/>
  <c r="M236" i="34" s="1"/>
  <c r="N236" i="34" s="1"/>
  <c r="O236" i="34" s="1"/>
  <c r="P236" i="34" s="1"/>
  <c r="Q236" i="34" s="1"/>
  <c r="R236" i="34" s="1"/>
  <c r="S236" i="34" s="1"/>
  <c r="C177" i="34"/>
  <c r="D177" i="34" s="1"/>
  <c r="E177" i="34" s="1"/>
  <c r="F177" i="34" s="1"/>
  <c r="G177" i="34" s="1"/>
  <c r="H177" i="34" s="1"/>
  <c r="I177" i="34" s="1"/>
  <c r="J177" i="34" s="1"/>
  <c r="K177" i="34" s="1"/>
  <c r="L177" i="34" s="1"/>
  <c r="M177" i="34" s="1"/>
  <c r="N177" i="34" s="1"/>
  <c r="O177" i="34" s="1"/>
  <c r="P177" i="34" s="1"/>
  <c r="Q177" i="34" s="1"/>
  <c r="R177" i="34" s="1"/>
  <c r="S177" i="34" s="1"/>
  <c r="C228" i="34"/>
  <c r="D228" i="34" s="1"/>
  <c r="E228" i="34" s="1"/>
  <c r="F228" i="34" s="1"/>
  <c r="G228" i="34" s="1"/>
  <c r="H228" i="34" s="1"/>
  <c r="I228" i="34" s="1"/>
  <c r="J228" i="34" s="1"/>
  <c r="K228" i="34" s="1"/>
  <c r="L228" i="34" s="1"/>
  <c r="M228" i="34" s="1"/>
  <c r="N228" i="34" s="1"/>
  <c r="O228" i="34" s="1"/>
  <c r="P228" i="34" s="1"/>
  <c r="Q228" i="34" s="1"/>
  <c r="R228" i="34" s="1"/>
  <c r="S228" i="34" s="1"/>
  <c r="C344" i="34"/>
  <c r="D344" i="34" s="1"/>
  <c r="E344" i="34" s="1"/>
  <c r="F344" i="34" s="1"/>
  <c r="G344" i="34" s="1"/>
  <c r="H344" i="34" s="1"/>
  <c r="I344" i="34" s="1"/>
  <c r="J344" i="34" s="1"/>
  <c r="K344" i="34" s="1"/>
  <c r="L344" i="34" s="1"/>
  <c r="M344" i="34" s="1"/>
  <c r="N344" i="34" s="1"/>
  <c r="O344" i="34" s="1"/>
  <c r="P344" i="34" s="1"/>
  <c r="Q344" i="34" s="1"/>
  <c r="R344" i="34" s="1"/>
  <c r="S344" i="34" s="1"/>
  <c r="C103" i="34"/>
  <c r="D103" i="34" s="1"/>
  <c r="E103" i="34" s="1"/>
  <c r="F103" i="34" s="1"/>
  <c r="G103" i="34" s="1"/>
  <c r="H103" i="34" s="1"/>
  <c r="I103" i="34" s="1"/>
  <c r="J103" i="34" s="1"/>
  <c r="K103" i="34" s="1"/>
  <c r="L103" i="34" s="1"/>
  <c r="M103" i="34" s="1"/>
  <c r="N103" i="34" s="1"/>
  <c r="O103" i="34" s="1"/>
  <c r="P103" i="34" s="1"/>
  <c r="Q103" i="34" s="1"/>
  <c r="R103" i="34" s="1"/>
  <c r="S103" i="34" s="1"/>
  <c r="C159" i="34"/>
  <c r="D159" i="34" s="1"/>
  <c r="E159" i="34" s="1"/>
  <c r="F159" i="34" s="1"/>
  <c r="G159" i="34" s="1"/>
  <c r="H159" i="34" s="1"/>
  <c r="I159" i="34" s="1"/>
  <c r="J159" i="34" s="1"/>
  <c r="K159" i="34" s="1"/>
  <c r="L159" i="34" s="1"/>
  <c r="M159" i="34" s="1"/>
  <c r="N159" i="34" s="1"/>
  <c r="O159" i="34" s="1"/>
  <c r="P159" i="34" s="1"/>
  <c r="Q159" i="34" s="1"/>
  <c r="R159" i="34" s="1"/>
  <c r="S159" i="34" s="1"/>
  <c r="C171" i="34"/>
  <c r="D171" i="34" s="1"/>
  <c r="E171" i="34" s="1"/>
  <c r="F171" i="34" s="1"/>
  <c r="G171" i="34" s="1"/>
  <c r="H171" i="34" s="1"/>
  <c r="I171" i="34" s="1"/>
  <c r="J171" i="34" s="1"/>
  <c r="K171" i="34" s="1"/>
  <c r="L171" i="34" s="1"/>
  <c r="M171" i="34" s="1"/>
  <c r="N171" i="34" s="1"/>
  <c r="O171" i="34" s="1"/>
  <c r="P171" i="34" s="1"/>
  <c r="Q171" i="34" s="1"/>
  <c r="R171" i="34" s="1"/>
  <c r="S171" i="34" s="1"/>
  <c r="C485" i="34"/>
  <c r="D485" i="34" s="1"/>
  <c r="E485" i="34" s="1"/>
  <c r="F485" i="34" s="1"/>
  <c r="G485" i="34" s="1"/>
  <c r="H485" i="34" s="1"/>
  <c r="I485" i="34" s="1"/>
  <c r="J485" i="34" s="1"/>
  <c r="K485" i="34" s="1"/>
  <c r="L485" i="34" s="1"/>
  <c r="M485" i="34" s="1"/>
  <c r="N485" i="34" s="1"/>
  <c r="O485" i="34" s="1"/>
  <c r="P485" i="34" s="1"/>
  <c r="Q485" i="34" s="1"/>
  <c r="R485" i="34" s="1"/>
  <c r="S485" i="34" s="1"/>
  <c r="C525" i="34"/>
  <c r="D525" i="34" s="1"/>
  <c r="E525" i="34" s="1"/>
  <c r="F525" i="34" s="1"/>
  <c r="G525" i="34" s="1"/>
  <c r="H525" i="34" s="1"/>
  <c r="I525" i="34" s="1"/>
  <c r="J525" i="34" s="1"/>
  <c r="K525" i="34" s="1"/>
  <c r="L525" i="34" s="1"/>
  <c r="M525" i="34" s="1"/>
  <c r="N525" i="34" s="1"/>
  <c r="O525" i="34" s="1"/>
  <c r="P525" i="34" s="1"/>
  <c r="Q525" i="34" s="1"/>
  <c r="R525" i="34" s="1"/>
  <c r="S525" i="34" s="1"/>
  <c r="C554" i="34"/>
  <c r="D554" i="34" s="1"/>
  <c r="E554" i="34" s="1"/>
  <c r="F554" i="34" s="1"/>
  <c r="G554" i="34" s="1"/>
  <c r="H554" i="34" s="1"/>
  <c r="I554" i="34" s="1"/>
  <c r="J554" i="34" s="1"/>
  <c r="K554" i="34" s="1"/>
  <c r="L554" i="34" s="1"/>
  <c r="M554" i="34" s="1"/>
  <c r="N554" i="34" s="1"/>
  <c r="O554" i="34" s="1"/>
  <c r="P554" i="34" s="1"/>
  <c r="Q554" i="34" s="1"/>
  <c r="R554" i="34" s="1"/>
  <c r="S554" i="34" s="1"/>
  <c r="C576" i="34"/>
  <c r="D576" i="34" s="1"/>
  <c r="E576" i="34" s="1"/>
  <c r="F576" i="34" s="1"/>
  <c r="G576" i="34" s="1"/>
  <c r="H576" i="34" s="1"/>
  <c r="I576" i="34" s="1"/>
  <c r="J576" i="34" s="1"/>
  <c r="K576" i="34" s="1"/>
  <c r="L576" i="34" s="1"/>
  <c r="M576" i="34" s="1"/>
  <c r="N576" i="34" s="1"/>
  <c r="O576" i="34" s="1"/>
  <c r="P576" i="34" s="1"/>
  <c r="Q576" i="34" s="1"/>
  <c r="R576" i="34" s="1"/>
  <c r="S576" i="34" s="1"/>
  <c r="C604" i="34"/>
  <c r="D604" i="34" s="1"/>
  <c r="E604" i="34" s="1"/>
  <c r="F604" i="34" s="1"/>
  <c r="G604" i="34" s="1"/>
  <c r="H604" i="34" s="1"/>
  <c r="I604" i="34" s="1"/>
  <c r="J604" i="34" s="1"/>
  <c r="K604" i="34" s="1"/>
  <c r="L604" i="34" s="1"/>
  <c r="M604" i="34" s="1"/>
  <c r="N604" i="34" s="1"/>
  <c r="O604" i="34" s="1"/>
  <c r="P604" i="34" s="1"/>
  <c r="Q604" i="34" s="1"/>
  <c r="R604" i="34" s="1"/>
  <c r="S604" i="34" s="1"/>
  <c r="C599" i="34"/>
  <c r="D599" i="34" s="1"/>
  <c r="E599" i="34" s="1"/>
  <c r="F599" i="34" s="1"/>
  <c r="G599" i="34" s="1"/>
  <c r="H599" i="34" s="1"/>
  <c r="I599" i="34" s="1"/>
  <c r="J599" i="34" s="1"/>
  <c r="K599" i="34" s="1"/>
  <c r="L599" i="34" s="1"/>
  <c r="M599" i="34" s="1"/>
  <c r="N599" i="34" s="1"/>
  <c r="O599" i="34" s="1"/>
  <c r="P599" i="34" s="1"/>
  <c r="Q599" i="34" s="1"/>
  <c r="R599" i="34" s="1"/>
  <c r="S599" i="34" s="1"/>
  <c r="C483" i="34"/>
  <c r="D483" i="34" s="1"/>
  <c r="E483" i="34" s="1"/>
  <c r="F483" i="34" s="1"/>
  <c r="G483" i="34" s="1"/>
  <c r="H483" i="34" s="1"/>
  <c r="I483" i="34" s="1"/>
  <c r="J483" i="34" s="1"/>
  <c r="K483" i="34" s="1"/>
  <c r="L483" i="34" s="1"/>
  <c r="M483" i="34" s="1"/>
  <c r="N483" i="34" s="1"/>
  <c r="O483" i="34" s="1"/>
  <c r="P483" i="34" s="1"/>
  <c r="Q483" i="34" s="1"/>
  <c r="R483" i="34" s="1"/>
  <c r="S483" i="34" s="1"/>
  <c r="C522" i="34"/>
  <c r="D522" i="34" s="1"/>
  <c r="E522" i="34" s="1"/>
  <c r="F522" i="34" s="1"/>
  <c r="G522" i="34" s="1"/>
  <c r="H522" i="34" s="1"/>
  <c r="I522" i="34" s="1"/>
  <c r="J522" i="34" s="1"/>
  <c r="K522" i="34" s="1"/>
  <c r="L522" i="34" s="1"/>
  <c r="M522" i="34" s="1"/>
  <c r="N522" i="34" s="1"/>
  <c r="O522" i="34" s="1"/>
  <c r="P522" i="34" s="1"/>
  <c r="Q522" i="34" s="1"/>
  <c r="R522" i="34" s="1"/>
  <c r="S522" i="34" s="1"/>
  <c r="C359" i="34"/>
  <c r="D359" i="34" s="1"/>
  <c r="E359" i="34" s="1"/>
  <c r="F359" i="34" s="1"/>
  <c r="G359" i="34" s="1"/>
  <c r="H359" i="34" s="1"/>
  <c r="I359" i="34" s="1"/>
  <c r="J359" i="34" s="1"/>
  <c r="K359" i="34" s="1"/>
  <c r="L359" i="34" s="1"/>
  <c r="M359" i="34" s="1"/>
  <c r="N359" i="34" s="1"/>
  <c r="O359" i="34" s="1"/>
  <c r="P359" i="34" s="1"/>
  <c r="Q359" i="34" s="1"/>
  <c r="R359" i="34" s="1"/>
  <c r="S359" i="34" s="1"/>
  <c r="C528" i="34"/>
  <c r="D528" i="34" s="1"/>
  <c r="E528" i="34" s="1"/>
  <c r="F528" i="34" s="1"/>
  <c r="G528" i="34" s="1"/>
  <c r="H528" i="34" s="1"/>
  <c r="I528" i="34" s="1"/>
  <c r="J528" i="34" s="1"/>
  <c r="K528" i="34" s="1"/>
  <c r="L528" i="34" s="1"/>
  <c r="M528" i="34" s="1"/>
  <c r="N528" i="34" s="1"/>
  <c r="O528" i="34" s="1"/>
  <c r="P528" i="34" s="1"/>
  <c r="Q528" i="34" s="1"/>
  <c r="R528" i="34" s="1"/>
  <c r="S528" i="34" s="1"/>
  <c r="C550" i="34"/>
  <c r="D550" i="34" s="1"/>
  <c r="E550" i="34" s="1"/>
  <c r="F550" i="34" s="1"/>
  <c r="G550" i="34" s="1"/>
  <c r="H550" i="34" s="1"/>
  <c r="I550" i="34" s="1"/>
  <c r="J550" i="34" s="1"/>
  <c r="K550" i="34" s="1"/>
  <c r="L550" i="34" s="1"/>
  <c r="M550" i="34" s="1"/>
  <c r="N550" i="34" s="1"/>
  <c r="O550" i="34" s="1"/>
  <c r="P550" i="34" s="1"/>
  <c r="Q550" i="34" s="1"/>
  <c r="R550" i="34" s="1"/>
  <c r="S550" i="34" s="1"/>
  <c r="C607" i="34"/>
  <c r="D607" i="34" s="1"/>
  <c r="E607" i="34" s="1"/>
  <c r="F607" i="34" s="1"/>
  <c r="G607" i="34" s="1"/>
  <c r="H607" i="34" s="1"/>
  <c r="I607" i="34" s="1"/>
  <c r="J607" i="34" s="1"/>
  <c r="K607" i="34" s="1"/>
  <c r="L607" i="34" s="1"/>
  <c r="M607" i="34" s="1"/>
  <c r="N607" i="34" s="1"/>
  <c r="O607" i="34" s="1"/>
  <c r="P607" i="34" s="1"/>
  <c r="Q607" i="34" s="1"/>
  <c r="R607" i="34" s="1"/>
  <c r="S607" i="34" s="1"/>
  <c r="C377" i="34"/>
  <c r="D377" i="34" s="1"/>
  <c r="E377" i="34" s="1"/>
  <c r="F377" i="34" s="1"/>
  <c r="G377" i="34" s="1"/>
  <c r="H377" i="34" s="1"/>
  <c r="I377" i="34" s="1"/>
  <c r="J377" i="34" s="1"/>
  <c r="K377" i="34" s="1"/>
  <c r="L377" i="34" s="1"/>
  <c r="M377" i="34" s="1"/>
  <c r="N377" i="34" s="1"/>
  <c r="O377" i="34" s="1"/>
  <c r="P377" i="34" s="1"/>
  <c r="Q377" i="34" s="1"/>
  <c r="R377" i="34" s="1"/>
  <c r="S377" i="34" s="1"/>
  <c r="C337" i="34"/>
  <c r="D337" i="34" s="1"/>
  <c r="E337" i="34" s="1"/>
  <c r="F337" i="34" s="1"/>
  <c r="G337" i="34" s="1"/>
  <c r="H337" i="34" s="1"/>
  <c r="I337" i="34" s="1"/>
  <c r="J337" i="34" s="1"/>
  <c r="K337" i="34" s="1"/>
  <c r="L337" i="34" s="1"/>
  <c r="M337" i="34" s="1"/>
  <c r="N337" i="34" s="1"/>
  <c r="O337" i="34" s="1"/>
  <c r="P337" i="34" s="1"/>
  <c r="Q337" i="34" s="1"/>
  <c r="R337" i="34" s="1"/>
  <c r="S337" i="34" s="1"/>
  <c r="C395" i="34"/>
  <c r="D395" i="34" s="1"/>
  <c r="E395" i="34" s="1"/>
  <c r="F395" i="34" s="1"/>
  <c r="G395" i="34" s="1"/>
  <c r="H395" i="34" s="1"/>
  <c r="I395" i="34" s="1"/>
  <c r="J395" i="34" s="1"/>
  <c r="K395" i="34" s="1"/>
  <c r="L395" i="34" s="1"/>
  <c r="M395" i="34" s="1"/>
  <c r="N395" i="34" s="1"/>
  <c r="O395" i="34" s="1"/>
  <c r="P395" i="34" s="1"/>
  <c r="Q395" i="34" s="1"/>
  <c r="R395" i="34" s="1"/>
  <c r="S395" i="34" s="1"/>
  <c r="C442" i="34"/>
  <c r="D442" i="34" s="1"/>
  <c r="E442" i="34" s="1"/>
  <c r="F442" i="34" s="1"/>
  <c r="G442" i="34" s="1"/>
  <c r="H442" i="34" s="1"/>
  <c r="I442" i="34" s="1"/>
  <c r="J442" i="34" s="1"/>
  <c r="K442" i="34" s="1"/>
  <c r="L442" i="34" s="1"/>
  <c r="M442" i="34" s="1"/>
  <c r="N442" i="34" s="1"/>
  <c r="O442" i="34" s="1"/>
  <c r="P442" i="34" s="1"/>
  <c r="Q442" i="34" s="1"/>
  <c r="R442" i="34" s="1"/>
  <c r="S442" i="34" s="1"/>
  <c r="C478" i="34"/>
  <c r="D478" i="34" s="1"/>
  <c r="E478" i="34" s="1"/>
  <c r="F478" i="34" s="1"/>
  <c r="G478" i="34" s="1"/>
  <c r="H478" i="34" s="1"/>
  <c r="I478" i="34" s="1"/>
  <c r="J478" i="34" s="1"/>
  <c r="K478" i="34" s="1"/>
  <c r="L478" i="34" s="1"/>
  <c r="M478" i="34" s="1"/>
  <c r="N478" i="34" s="1"/>
  <c r="O478" i="34" s="1"/>
  <c r="P478" i="34" s="1"/>
  <c r="Q478" i="34" s="1"/>
  <c r="R478" i="34" s="1"/>
  <c r="S478" i="34" s="1"/>
  <c r="C501" i="34"/>
  <c r="D501" i="34" s="1"/>
  <c r="E501" i="34" s="1"/>
  <c r="F501" i="34" s="1"/>
  <c r="G501" i="34" s="1"/>
  <c r="H501" i="34" s="1"/>
  <c r="I501" i="34" s="1"/>
  <c r="J501" i="34" s="1"/>
  <c r="K501" i="34" s="1"/>
  <c r="L501" i="34" s="1"/>
  <c r="M501" i="34" s="1"/>
  <c r="N501" i="34" s="1"/>
  <c r="O501" i="34" s="1"/>
  <c r="P501" i="34" s="1"/>
  <c r="Q501" i="34" s="1"/>
  <c r="R501" i="34" s="1"/>
  <c r="S501" i="34" s="1"/>
  <c r="C16" i="34"/>
  <c r="D16" i="34" s="1"/>
  <c r="E16" i="34" s="1"/>
  <c r="F16" i="34" s="1"/>
  <c r="G16" i="34" s="1"/>
  <c r="H16" i="34" s="1"/>
  <c r="I16" i="34" s="1"/>
  <c r="J16" i="34" s="1"/>
  <c r="K16" i="34" s="1"/>
  <c r="L16" i="34" s="1"/>
  <c r="M16" i="34" s="1"/>
  <c r="N16" i="34" s="1"/>
  <c r="O16" i="34" s="1"/>
  <c r="P16" i="34" s="1"/>
  <c r="Q16" i="34" s="1"/>
  <c r="R16" i="34" s="1"/>
  <c r="S16" i="34" s="1"/>
  <c r="C48" i="34"/>
  <c r="D48" i="34" s="1"/>
  <c r="E48" i="34" s="1"/>
  <c r="F48" i="34" s="1"/>
  <c r="G48" i="34" s="1"/>
  <c r="H48" i="34" s="1"/>
  <c r="I48" i="34" s="1"/>
  <c r="J48" i="34" s="1"/>
  <c r="K48" i="34" s="1"/>
  <c r="L48" i="34" s="1"/>
  <c r="M48" i="34" s="1"/>
  <c r="N48" i="34" s="1"/>
  <c r="O48" i="34" s="1"/>
  <c r="P48" i="34" s="1"/>
  <c r="Q48" i="34" s="1"/>
  <c r="R48" i="34" s="1"/>
  <c r="S48" i="34" s="1"/>
  <c r="C27" i="34"/>
  <c r="D27" i="34" s="1"/>
  <c r="E27" i="34" s="1"/>
  <c r="F27" i="34" s="1"/>
  <c r="G27" i="34" s="1"/>
  <c r="H27" i="34" s="1"/>
  <c r="I27" i="34" s="1"/>
  <c r="J27" i="34" s="1"/>
  <c r="K27" i="34" s="1"/>
  <c r="L27" i="34" s="1"/>
  <c r="M27" i="34" s="1"/>
  <c r="N27" i="34" s="1"/>
  <c r="O27" i="34" s="1"/>
  <c r="P27" i="34" s="1"/>
  <c r="Q27" i="34" s="1"/>
  <c r="R27" i="34" s="1"/>
  <c r="S27" i="34" s="1"/>
  <c r="C6" i="34"/>
  <c r="D6" i="34" s="1"/>
  <c r="E6" i="34" s="1"/>
  <c r="F6" i="34" s="1"/>
  <c r="G6" i="34" s="1"/>
  <c r="H6" i="34" s="1"/>
  <c r="I6" i="34" s="1"/>
  <c r="J6" i="34" s="1"/>
  <c r="K6" i="34" s="1"/>
  <c r="L6" i="34" s="1"/>
  <c r="M6" i="34" s="1"/>
  <c r="N6" i="34" s="1"/>
  <c r="O6" i="34" s="1"/>
  <c r="P6" i="34" s="1"/>
  <c r="Q6" i="34" s="1"/>
  <c r="R6" i="34" s="1"/>
  <c r="S6" i="34" s="1"/>
  <c r="C95" i="34"/>
  <c r="D95" i="34" s="1"/>
  <c r="E95" i="34" s="1"/>
  <c r="F95" i="34" s="1"/>
  <c r="G95" i="34" s="1"/>
  <c r="H95" i="34" s="1"/>
  <c r="I95" i="34" s="1"/>
  <c r="J95" i="34" s="1"/>
  <c r="K95" i="34" s="1"/>
  <c r="L95" i="34" s="1"/>
  <c r="M95" i="34" s="1"/>
  <c r="N95" i="34" s="1"/>
  <c r="O95" i="34" s="1"/>
  <c r="P95" i="34" s="1"/>
  <c r="Q95" i="34" s="1"/>
  <c r="R95" i="34" s="1"/>
  <c r="S95" i="34" s="1"/>
  <c r="C34" i="34"/>
  <c r="D34" i="34" s="1"/>
  <c r="E34" i="34" s="1"/>
  <c r="F34" i="34" s="1"/>
  <c r="G34" i="34" s="1"/>
  <c r="H34" i="34" s="1"/>
  <c r="I34" i="34" s="1"/>
  <c r="J34" i="34" s="1"/>
  <c r="K34" i="34" s="1"/>
  <c r="L34" i="34" s="1"/>
  <c r="M34" i="34" s="1"/>
  <c r="N34" i="34" s="1"/>
  <c r="O34" i="34" s="1"/>
  <c r="P34" i="34" s="1"/>
  <c r="Q34" i="34" s="1"/>
  <c r="R34" i="34" s="1"/>
  <c r="S34" i="34" s="1"/>
  <c r="C214" i="34"/>
  <c r="D214" i="34" s="1"/>
  <c r="E214" i="34" s="1"/>
  <c r="F214" i="34" s="1"/>
  <c r="G214" i="34" s="1"/>
  <c r="H214" i="34" s="1"/>
  <c r="I214" i="34" s="1"/>
  <c r="J214" i="34" s="1"/>
  <c r="K214" i="34" s="1"/>
  <c r="L214" i="34" s="1"/>
  <c r="M214" i="34" s="1"/>
  <c r="N214" i="34" s="1"/>
  <c r="O214" i="34" s="1"/>
  <c r="P214" i="34" s="1"/>
  <c r="Q214" i="34" s="1"/>
  <c r="R214" i="34" s="1"/>
  <c r="S214" i="34" s="1"/>
  <c r="C268" i="34"/>
  <c r="D268" i="34" s="1"/>
  <c r="E268" i="34" s="1"/>
  <c r="F268" i="34" s="1"/>
  <c r="G268" i="34" s="1"/>
  <c r="H268" i="34" s="1"/>
  <c r="I268" i="34" s="1"/>
  <c r="J268" i="34" s="1"/>
  <c r="K268" i="34" s="1"/>
  <c r="L268" i="34" s="1"/>
  <c r="M268" i="34" s="1"/>
  <c r="N268" i="34" s="1"/>
  <c r="O268" i="34" s="1"/>
  <c r="P268" i="34" s="1"/>
  <c r="Q268" i="34" s="1"/>
  <c r="R268" i="34" s="1"/>
  <c r="S268" i="34" s="1"/>
  <c r="C355" i="34"/>
  <c r="D355" i="34" s="1"/>
  <c r="E355" i="34" s="1"/>
  <c r="F355" i="34" s="1"/>
  <c r="G355" i="34" s="1"/>
  <c r="H355" i="34" s="1"/>
  <c r="I355" i="34" s="1"/>
  <c r="J355" i="34" s="1"/>
  <c r="K355" i="34" s="1"/>
  <c r="L355" i="34" s="1"/>
  <c r="M355" i="34" s="1"/>
  <c r="N355" i="34" s="1"/>
  <c r="O355" i="34" s="1"/>
  <c r="P355" i="34" s="1"/>
  <c r="Q355" i="34" s="1"/>
  <c r="R355" i="34" s="1"/>
  <c r="S355" i="34" s="1"/>
  <c r="C275" i="34"/>
  <c r="D275" i="34" s="1"/>
  <c r="E275" i="34" s="1"/>
  <c r="F275" i="34" s="1"/>
  <c r="G275" i="34" s="1"/>
  <c r="H275" i="34" s="1"/>
  <c r="I275" i="34" s="1"/>
  <c r="J275" i="34" s="1"/>
  <c r="K275" i="34" s="1"/>
  <c r="L275" i="34" s="1"/>
  <c r="M275" i="34" s="1"/>
  <c r="N275" i="34" s="1"/>
  <c r="O275" i="34" s="1"/>
  <c r="P275" i="34" s="1"/>
  <c r="Q275" i="34" s="1"/>
  <c r="R275" i="34" s="1"/>
  <c r="S275" i="34" s="1"/>
  <c r="C206" i="34"/>
  <c r="D206" i="34" s="1"/>
  <c r="E206" i="34" s="1"/>
  <c r="F206" i="34" s="1"/>
  <c r="G206" i="34" s="1"/>
  <c r="H206" i="34" s="1"/>
  <c r="I206" i="34" s="1"/>
  <c r="J206" i="34" s="1"/>
  <c r="K206" i="34" s="1"/>
  <c r="L206" i="34" s="1"/>
  <c r="M206" i="34" s="1"/>
  <c r="N206" i="34" s="1"/>
  <c r="O206" i="34" s="1"/>
  <c r="P206" i="34" s="1"/>
  <c r="Q206" i="34" s="1"/>
  <c r="R206" i="34" s="1"/>
  <c r="S206" i="34" s="1"/>
  <c r="C332" i="34"/>
  <c r="D332" i="34" s="1"/>
  <c r="E332" i="34" s="1"/>
  <c r="F332" i="34" s="1"/>
  <c r="G332" i="34" s="1"/>
  <c r="H332" i="34" s="1"/>
  <c r="I332" i="34" s="1"/>
  <c r="J332" i="34" s="1"/>
  <c r="K332" i="34" s="1"/>
  <c r="L332" i="34" s="1"/>
  <c r="M332" i="34" s="1"/>
  <c r="N332" i="34" s="1"/>
  <c r="O332" i="34" s="1"/>
  <c r="P332" i="34" s="1"/>
  <c r="Q332" i="34" s="1"/>
  <c r="R332" i="34" s="1"/>
  <c r="S332" i="34" s="1"/>
  <c r="C400" i="34"/>
  <c r="D400" i="34" s="1"/>
  <c r="E400" i="34" s="1"/>
  <c r="F400" i="34" s="1"/>
  <c r="G400" i="34" s="1"/>
  <c r="H400" i="34" s="1"/>
  <c r="I400" i="34" s="1"/>
  <c r="J400" i="34" s="1"/>
  <c r="K400" i="34" s="1"/>
  <c r="L400" i="34" s="1"/>
  <c r="M400" i="34" s="1"/>
  <c r="N400" i="34" s="1"/>
  <c r="O400" i="34" s="1"/>
  <c r="P400" i="34" s="1"/>
  <c r="Q400" i="34" s="1"/>
  <c r="R400" i="34" s="1"/>
  <c r="S400" i="34" s="1"/>
  <c r="C383" i="34"/>
  <c r="D383" i="34" s="1"/>
  <c r="E383" i="34" s="1"/>
  <c r="F383" i="34" s="1"/>
  <c r="G383" i="34" s="1"/>
  <c r="H383" i="34" s="1"/>
  <c r="I383" i="34" s="1"/>
  <c r="J383" i="34" s="1"/>
  <c r="K383" i="34" s="1"/>
  <c r="L383" i="34" s="1"/>
  <c r="M383" i="34" s="1"/>
  <c r="N383" i="34" s="1"/>
  <c r="O383" i="34" s="1"/>
  <c r="P383" i="34" s="1"/>
  <c r="Q383" i="34" s="1"/>
  <c r="R383" i="34" s="1"/>
  <c r="S383" i="34" s="1"/>
  <c r="C414" i="34"/>
  <c r="D414" i="34" s="1"/>
  <c r="E414" i="34" s="1"/>
  <c r="F414" i="34" s="1"/>
  <c r="G414" i="34" s="1"/>
  <c r="H414" i="34" s="1"/>
  <c r="I414" i="34" s="1"/>
  <c r="J414" i="34" s="1"/>
  <c r="K414" i="34" s="1"/>
  <c r="L414" i="34" s="1"/>
  <c r="M414" i="34" s="1"/>
  <c r="N414" i="34" s="1"/>
  <c r="O414" i="34" s="1"/>
  <c r="P414" i="34" s="1"/>
  <c r="Q414" i="34" s="1"/>
  <c r="R414" i="34" s="1"/>
  <c r="S414" i="34" s="1"/>
  <c r="C549" i="34"/>
  <c r="D549" i="34" s="1"/>
  <c r="E549" i="34" s="1"/>
  <c r="F549" i="34" s="1"/>
  <c r="G549" i="34" s="1"/>
  <c r="H549" i="34" s="1"/>
  <c r="I549" i="34" s="1"/>
  <c r="J549" i="34" s="1"/>
  <c r="K549" i="34" s="1"/>
  <c r="L549" i="34" s="1"/>
  <c r="M549" i="34" s="1"/>
  <c r="N549" i="34" s="1"/>
  <c r="O549" i="34" s="1"/>
  <c r="P549" i="34" s="1"/>
  <c r="Q549" i="34" s="1"/>
  <c r="R549" i="34" s="1"/>
  <c r="S549" i="34" s="1"/>
  <c r="C366" i="34"/>
  <c r="D366" i="34" s="1"/>
  <c r="E366" i="34" s="1"/>
  <c r="F366" i="34" s="1"/>
  <c r="G366" i="34" s="1"/>
  <c r="H366" i="34" s="1"/>
  <c r="I366" i="34" s="1"/>
  <c r="J366" i="34" s="1"/>
  <c r="K366" i="34" s="1"/>
  <c r="L366" i="34" s="1"/>
  <c r="M366" i="34" s="1"/>
  <c r="N366" i="34" s="1"/>
  <c r="O366" i="34" s="1"/>
  <c r="P366" i="34" s="1"/>
  <c r="Q366" i="34" s="1"/>
  <c r="R366" i="34" s="1"/>
  <c r="S366" i="34" s="1"/>
  <c r="C452" i="34"/>
  <c r="D452" i="34" s="1"/>
  <c r="E452" i="34" s="1"/>
  <c r="F452" i="34" s="1"/>
  <c r="G452" i="34" s="1"/>
  <c r="H452" i="34" s="1"/>
  <c r="I452" i="34" s="1"/>
  <c r="J452" i="34" s="1"/>
  <c r="K452" i="34" s="1"/>
  <c r="L452" i="34" s="1"/>
  <c r="M452" i="34" s="1"/>
  <c r="N452" i="34" s="1"/>
  <c r="O452" i="34" s="1"/>
  <c r="P452" i="34" s="1"/>
  <c r="Q452" i="34" s="1"/>
  <c r="R452" i="34" s="1"/>
  <c r="S452" i="34" s="1"/>
  <c r="D1" i="34"/>
  <c r="E1" i="34" s="1"/>
  <c r="F1" i="34" s="1"/>
  <c r="G1" i="34" s="1"/>
  <c r="H1" i="34" s="1"/>
  <c r="I1" i="34" s="1"/>
  <c r="J1" i="34" s="1"/>
  <c r="K1" i="34" s="1"/>
  <c r="L1" i="34" s="1"/>
  <c r="M1" i="34" s="1"/>
  <c r="N1" i="34" s="1"/>
  <c r="O1" i="34" s="1"/>
  <c r="P1" i="34" s="1"/>
  <c r="Q1" i="34" s="1"/>
  <c r="R1" i="34" s="1"/>
  <c r="S1" i="34" s="1"/>
  <c r="C20" i="34"/>
  <c r="D20" i="34" s="1"/>
  <c r="E20" i="34" s="1"/>
  <c r="F20" i="34" s="1"/>
  <c r="G20" i="34" s="1"/>
  <c r="H20" i="34" s="1"/>
  <c r="I20" i="34" s="1"/>
  <c r="J20" i="34" s="1"/>
  <c r="K20" i="34" s="1"/>
  <c r="L20" i="34" s="1"/>
  <c r="M20" i="34" s="1"/>
  <c r="N20" i="34" s="1"/>
  <c r="O20" i="34" s="1"/>
  <c r="P20" i="34" s="1"/>
  <c r="Q20" i="34" s="1"/>
  <c r="R20" i="34" s="1"/>
  <c r="S20" i="34" s="1"/>
  <c r="C51" i="34"/>
  <c r="D51" i="34" s="1"/>
  <c r="E51" i="34" s="1"/>
  <c r="F51" i="34" s="1"/>
  <c r="G51" i="34" s="1"/>
  <c r="H51" i="34" s="1"/>
  <c r="I51" i="34" s="1"/>
  <c r="J51" i="34" s="1"/>
  <c r="K51" i="34" s="1"/>
  <c r="L51" i="34" s="1"/>
  <c r="M51" i="34" s="1"/>
  <c r="N51" i="34" s="1"/>
  <c r="O51" i="34" s="1"/>
  <c r="P51" i="34" s="1"/>
  <c r="Q51" i="34" s="1"/>
  <c r="R51" i="34" s="1"/>
  <c r="S51" i="34" s="1"/>
  <c r="C158" i="34"/>
  <c r="D158" i="34" s="1"/>
  <c r="E158" i="34" s="1"/>
  <c r="F158" i="34" s="1"/>
  <c r="G158" i="34" s="1"/>
  <c r="H158" i="34" s="1"/>
  <c r="I158" i="34" s="1"/>
  <c r="J158" i="34" s="1"/>
  <c r="K158" i="34" s="1"/>
  <c r="L158" i="34" s="1"/>
  <c r="M158" i="34" s="1"/>
  <c r="N158" i="34" s="1"/>
  <c r="O158" i="34" s="1"/>
  <c r="P158" i="34" s="1"/>
  <c r="Q158" i="34" s="1"/>
  <c r="R158" i="34" s="1"/>
  <c r="S158" i="34" s="1"/>
  <c r="C55" i="34"/>
  <c r="D55" i="34" s="1"/>
  <c r="E55" i="34" s="1"/>
  <c r="F55" i="34" s="1"/>
  <c r="G55" i="34" s="1"/>
  <c r="H55" i="34" s="1"/>
  <c r="I55" i="34" s="1"/>
  <c r="J55" i="34" s="1"/>
  <c r="K55" i="34" s="1"/>
  <c r="L55" i="34" s="1"/>
  <c r="M55" i="34" s="1"/>
  <c r="N55" i="34" s="1"/>
  <c r="O55" i="34" s="1"/>
  <c r="P55" i="34" s="1"/>
  <c r="Q55" i="34" s="1"/>
  <c r="R55" i="34" s="1"/>
  <c r="S55" i="34" s="1"/>
  <c r="E65" i="34"/>
  <c r="F65" i="34" s="1"/>
  <c r="G65" i="34" s="1"/>
  <c r="H65" i="34" s="1"/>
  <c r="I65" i="34" s="1"/>
  <c r="J65" i="34" s="1"/>
  <c r="K65" i="34" s="1"/>
  <c r="L65" i="34" s="1"/>
  <c r="M65" i="34" s="1"/>
  <c r="N65" i="34" s="1"/>
  <c r="O65" i="34" s="1"/>
  <c r="P65" i="34" s="1"/>
  <c r="Q65" i="34" s="1"/>
  <c r="R65" i="34" s="1"/>
  <c r="S65" i="34" s="1"/>
  <c r="C96" i="34"/>
  <c r="D96" i="34" s="1"/>
  <c r="E96" i="34" s="1"/>
  <c r="F96" i="34" s="1"/>
  <c r="G96" i="34" s="1"/>
  <c r="H96" i="34" s="1"/>
  <c r="I96" i="34" s="1"/>
  <c r="J96" i="34" s="1"/>
  <c r="K96" i="34" s="1"/>
  <c r="L96" i="34" s="1"/>
  <c r="M96" i="34" s="1"/>
  <c r="N96" i="34" s="1"/>
  <c r="O96" i="34" s="1"/>
  <c r="P96" i="34" s="1"/>
  <c r="Q96" i="34" s="1"/>
  <c r="R96" i="34" s="1"/>
  <c r="S96" i="34" s="1"/>
  <c r="C252" i="34"/>
  <c r="D252" i="34" s="1"/>
  <c r="E252" i="34" s="1"/>
  <c r="F252" i="34" s="1"/>
  <c r="G252" i="34" s="1"/>
  <c r="H252" i="34" s="1"/>
  <c r="I252" i="34" s="1"/>
  <c r="J252" i="34" s="1"/>
  <c r="K252" i="34" s="1"/>
  <c r="L252" i="34" s="1"/>
  <c r="M252" i="34" s="1"/>
  <c r="N252" i="34" s="1"/>
  <c r="O252" i="34" s="1"/>
  <c r="P252" i="34" s="1"/>
  <c r="Q252" i="34" s="1"/>
  <c r="R252" i="34" s="1"/>
  <c r="S252" i="34" s="1"/>
  <c r="C165" i="34"/>
  <c r="D165" i="34" s="1"/>
  <c r="E165" i="34" s="1"/>
  <c r="F165" i="34" s="1"/>
  <c r="G165" i="34" s="1"/>
  <c r="H165" i="34" s="1"/>
  <c r="I165" i="34" s="1"/>
  <c r="J165" i="34" s="1"/>
  <c r="K165" i="34" s="1"/>
  <c r="L165" i="34" s="1"/>
  <c r="M165" i="34" s="1"/>
  <c r="N165" i="34" s="1"/>
  <c r="O165" i="34" s="1"/>
  <c r="P165" i="34" s="1"/>
  <c r="Q165" i="34" s="1"/>
  <c r="R165" i="34" s="1"/>
  <c r="S165" i="34" s="1"/>
  <c r="C193" i="34"/>
  <c r="D193" i="34" s="1"/>
  <c r="E193" i="34" s="1"/>
  <c r="F193" i="34" s="1"/>
  <c r="G193" i="34" s="1"/>
  <c r="H193" i="34" s="1"/>
  <c r="I193" i="34" s="1"/>
  <c r="J193" i="34" s="1"/>
  <c r="K193" i="34" s="1"/>
  <c r="L193" i="34" s="1"/>
  <c r="M193" i="34" s="1"/>
  <c r="N193" i="34" s="1"/>
  <c r="O193" i="34" s="1"/>
  <c r="P193" i="34" s="1"/>
  <c r="Q193" i="34" s="1"/>
  <c r="R193" i="34" s="1"/>
  <c r="S193" i="34" s="1"/>
  <c r="C157" i="34"/>
  <c r="D157" i="34" s="1"/>
  <c r="E157" i="34" s="1"/>
  <c r="F157" i="34" s="1"/>
  <c r="G157" i="34" s="1"/>
  <c r="H157" i="34" s="1"/>
  <c r="I157" i="34" s="1"/>
  <c r="J157" i="34" s="1"/>
  <c r="K157" i="34" s="1"/>
  <c r="L157" i="34" s="1"/>
  <c r="M157" i="34" s="1"/>
  <c r="N157" i="34" s="1"/>
  <c r="O157" i="34" s="1"/>
  <c r="P157" i="34" s="1"/>
  <c r="Q157" i="34" s="1"/>
  <c r="R157" i="34" s="1"/>
  <c r="S157" i="34" s="1"/>
  <c r="C188" i="34"/>
  <c r="D188" i="34" s="1"/>
  <c r="E188" i="34" s="1"/>
  <c r="F188" i="34" s="1"/>
  <c r="G188" i="34" s="1"/>
  <c r="H188" i="34" s="1"/>
  <c r="I188" i="34" s="1"/>
  <c r="J188" i="34" s="1"/>
  <c r="K188" i="34" s="1"/>
  <c r="L188" i="34" s="1"/>
  <c r="M188" i="34" s="1"/>
  <c r="N188" i="34" s="1"/>
  <c r="O188" i="34" s="1"/>
  <c r="P188" i="34" s="1"/>
  <c r="Q188" i="34" s="1"/>
  <c r="R188" i="34" s="1"/>
  <c r="S188" i="34" s="1"/>
  <c r="C313" i="34"/>
  <c r="D313" i="34" s="1"/>
  <c r="E313" i="34" s="1"/>
  <c r="F313" i="34" s="1"/>
  <c r="G313" i="34" s="1"/>
  <c r="H313" i="34" s="1"/>
  <c r="I313" i="34" s="1"/>
  <c r="J313" i="34" s="1"/>
  <c r="K313" i="34" s="1"/>
  <c r="L313" i="34" s="1"/>
  <c r="M313" i="34" s="1"/>
  <c r="N313" i="34" s="1"/>
  <c r="O313" i="34" s="1"/>
  <c r="P313" i="34" s="1"/>
  <c r="Q313" i="34" s="1"/>
  <c r="R313" i="34" s="1"/>
  <c r="S313" i="34" s="1"/>
  <c r="C358" i="34"/>
  <c r="D358" i="34" s="1"/>
  <c r="E358" i="34" s="1"/>
  <c r="F358" i="34" s="1"/>
  <c r="G358" i="34" s="1"/>
  <c r="H358" i="34" s="1"/>
  <c r="I358" i="34" s="1"/>
  <c r="J358" i="34" s="1"/>
  <c r="K358" i="34" s="1"/>
  <c r="L358" i="34" s="1"/>
  <c r="M358" i="34" s="1"/>
  <c r="N358" i="34" s="1"/>
  <c r="O358" i="34" s="1"/>
  <c r="P358" i="34" s="1"/>
  <c r="Q358" i="34" s="1"/>
  <c r="R358" i="34" s="1"/>
  <c r="S358" i="34" s="1"/>
  <c r="C289" i="34"/>
  <c r="D289" i="34" s="1"/>
  <c r="E289" i="34" s="1"/>
  <c r="F289" i="34" s="1"/>
  <c r="G289" i="34" s="1"/>
  <c r="H289" i="34" s="1"/>
  <c r="I289" i="34" s="1"/>
  <c r="J289" i="34" s="1"/>
  <c r="K289" i="34" s="1"/>
  <c r="L289" i="34" s="1"/>
  <c r="M289" i="34" s="1"/>
  <c r="N289" i="34" s="1"/>
  <c r="O289" i="34" s="1"/>
  <c r="P289" i="34" s="1"/>
  <c r="Q289" i="34" s="1"/>
  <c r="R289" i="34" s="1"/>
  <c r="S289" i="34" s="1"/>
  <c r="C338" i="34"/>
  <c r="D338" i="34" s="1"/>
  <c r="E338" i="34" s="1"/>
  <c r="F338" i="34" s="1"/>
  <c r="G338" i="34" s="1"/>
  <c r="H338" i="34" s="1"/>
  <c r="I338" i="34" s="1"/>
  <c r="J338" i="34" s="1"/>
  <c r="K338" i="34" s="1"/>
  <c r="L338" i="34" s="1"/>
  <c r="M338" i="34" s="1"/>
  <c r="N338" i="34" s="1"/>
  <c r="O338" i="34" s="1"/>
  <c r="P338" i="34" s="1"/>
  <c r="Q338" i="34" s="1"/>
  <c r="R338" i="34" s="1"/>
  <c r="S338" i="34" s="1"/>
  <c r="C362" i="34"/>
  <c r="D362" i="34" s="1"/>
  <c r="E362" i="34" s="1"/>
  <c r="F362" i="34" s="1"/>
  <c r="G362" i="34" s="1"/>
  <c r="H362" i="34" s="1"/>
  <c r="I362" i="34" s="1"/>
  <c r="J362" i="34" s="1"/>
  <c r="K362" i="34" s="1"/>
  <c r="L362" i="34" s="1"/>
  <c r="M362" i="34" s="1"/>
  <c r="N362" i="34" s="1"/>
  <c r="O362" i="34" s="1"/>
  <c r="P362" i="34" s="1"/>
  <c r="Q362" i="34" s="1"/>
  <c r="R362" i="34" s="1"/>
  <c r="S362" i="34" s="1"/>
  <c r="C141" i="34"/>
  <c r="D141" i="34" s="1"/>
  <c r="E141" i="34" s="1"/>
  <c r="F141" i="34" s="1"/>
  <c r="G141" i="34" s="1"/>
  <c r="H141" i="34" s="1"/>
  <c r="I141" i="34" s="1"/>
  <c r="J141" i="34" s="1"/>
  <c r="K141" i="34" s="1"/>
  <c r="L141" i="34" s="1"/>
  <c r="M141" i="34" s="1"/>
  <c r="N141" i="34" s="1"/>
  <c r="O141" i="34" s="1"/>
  <c r="P141" i="34" s="1"/>
  <c r="Q141" i="34" s="1"/>
  <c r="R141" i="34" s="1"/>
  <c r="S141" i="34" s="1"/>
  <c r="C25" i="34"/>
  <c r="D25" i="34" s="1"/>
  <c r="E25" i="34" s="1"/>
  <c r="F25" i="34" s="1"/>
  <c r="G25" i="34" s="1"/>
  <c r="H25" i="34" s="1"/>
  <c r="I25" i="34" s="1"/>
  <c r="J25" i="34" s="1"/>
  <c r="K25" i="34" s="1"/>
  <c r="L25" i="34" s="1"/>
  <c r="M25" i="34" s="1"/>
  <c r="N25" i="34" s="1"/>
  <c r="O25" i="34" s="1"/>
  <c r="P25" i="34" s="1"/>
  <c r="Q25" i="34" s="1"/>
  <c r="R25" i="34" s="1"/>
  <c r="S25" i="34" s="1"/>
  <c r="C87" i="34"/>
  <c r="D87" i="34" s="1"/>
  <c r="E87" i="34" s="1"/>
  <c r="F87" i="34" s="1"/>
  <c r="G87" i="34" s="1"/>
  <c r="H87" i="34" s="1"/>
  <c r="I87" i="34" s="1"/>
  <c r="J87" i="34" s="1"/>
  <c r="K87" i="34" s="1"/>
  <c r="L87" i="34" s="1"/>
  <c r="M87" i="34" s="1"/>
  <c r="N87" i="34" s="1"/>
  <c r="O87" i="34" s="1"/>
  <c r="P87" i="34" s="1"/>
  <c r="Q87" i="34" s="1"/>
  <c r="R87" i="34" s="1"/>
  <c r="S87" i="34" s="1"/>
  <c r="C17" i="34"/>
  <c r="D17" i="34" s="1"/>
  <c r="E17" i="34" s="1"/>
  <c r="F17" i="34" s="1"/>
  <c r="G17" i="34" s="1"/>
  <c r="H17" i="34" s="1"/>
  <c r="I17" i="34" s="1"/>
  <c r="J17" i="34" s="1"/>
  <c r="K17" i="34" s="1"/>
  <c r="L17" i="34" s="1"/>
  <c r="M17" i="34" s="1"/>
  <c r="N17" i="34" s="1"/>
  <c r="O17" i="34" s="1"/>
  <c r="P17" i="34" s="1"/>
  <c r="Q17" i="34" s="1"/>
  <c r="R17" i="34" s="1"/>
  <c r="S17" i="34" s="1"/>
  <c r="C98" i="34"/>
  <c r="D98" i="34" s="1"/>
  <c r="E98" i="34" s="1"/>
  <c r="F98" i="34" s="1"/>
  <c r="G98" i="34" s="1"/>
  <c r="H98" i="34" s="1"/>
  <c r="I98" i="34" s="1"/>
  <c r="J98" i="34" s="1"/>
  <c r="K98" i="34" s="1"/>
  <c r="L98" i="34" s="1"/>
  <c r="M98" i="34" s="1"/>
  <c r="N98" i="34" s="1"/>
  <c r="O98" i="34" s="1"/>
  <c r="P98" i="34" s="1"/>
  <c r="Q98" i="34" s="1"/>
  <c r="R98" i="34" s="1"/>
  <c r="S98" i="34" s="1"/>
  <c r="C155" i="34"/>
  <c r="D155" i="34" s="1"/>
  <c r="E155" i="34" s="1"/>
  <c r="F155" i="34" s="1"/>
  <c r="G155" i="34" s="1"/>
  <c r="H155" i="34" s="1"/>
  <c r="I155" i="34" s="1"/>
  <c r="J155" i="34" s="1"/>
  <c r="K155" i="34" s="1"/>
  <c r="L155" i="34" s="1"/>
  <c r="M155" i="34" s="1"/>
  <c r="N155" i="34" s="1"/>
  <c r="O155" i="34" s="1"/>
  <c r="P155" i="34" s="1"/>
  <c r="Q155" i="34" s="1"/>
  <c r="R155" i="34" s="1"/>
  <c r="S155" i="34" s="1"/>
  <c r="C210" i="34"/>
  <c r="D210" i="34" s="1"/>
  <c r="E210" i="34" s="1"/>
  <c r="F210" i="34" s="1"/>
  <c r="G210" i="34" s="1"/>
  <c r="H210" i="34" s="1"/>
  <c r="I210" i="34" s="1"/>
  <c r="J210" i="34" s="1"/>
  <c r="K210" i="34" s="1"/>
  <c r="L210" i="34" s="1"/>
  <c r="M210" i="34" s="1"/>
  <c r="N210" i="34" s="1"/>
  <c r="O210" i="34" s="1"/>
  <c r="P210" i="34" s="1"/>
  <c r="Q210" i="34" s="1"/>
  <c r="R210" i="34" s="1"/>
  <c r="S210" i="34" s="1"/>
  <c r="C147" i="34"/>
  <c r="D147" i="34" s="1"/>
  <c r="E147" i="34" s="1"/>
  <c r="F147" i="34" s="1"/>
  <c r="G147" i="34" s="1"/>
  <c r="H147" i="34" s="1"/>
  <c r="I147" i="34" s="1"/>
  <c r="J147" i="34" s="1"/>
  <c r="K147" i="34" s="1"/>
  <c r="L147" i="34" s="1"/>
  <c r="M147" i="34" s="1"/>
  <c r="N147" i="34" s="1"/>
  <c r="O147" i="34" s="1"/>
  <c r="P147" i="34" s="1"/>
  <c r="Q147" i="34" s="1"/>
  <c r="R147" i="34" s="1"/>
  <c r="S147" i="34" s="1"/>
  <c r="C341" i="34"/>
  <c r="D341" i="34" s="1"/>
  <c r="E341" i="34" s="1"/>
  <c r="F341" i="34" s="1"/>
  <c r="G341" i="34" s="1"/>
  <c r="H341" i="34" s="1"/>
  <c r="I341" i="34" s="1"/>
  <c r="J341" i="34" s="1"/>
  <c r="K341" i="34" s="1"/>
  <c r="L341" i="34" s="1"/>
  <c r="M341" i="34" s="1"/>
  <c r="N341" i="34" s="1"/>
  <c r="O341" i="34" s="1"/>
  <c r="P341" i="34" s="1"/>
  <c r="Q341" i="34" s="1"/>
  <c r="R341" i="34" s="1"/>
  <c r="S341" i="34" s="1"/>
  <c r="C111" i="34"/>
  <c r="D111" i="34" s="1"/>
  <c r="E111" i="34" s="1"/>
  <c r="F111" i="34" s="1"/>
  <c r="G111" i="34" s="1"/>
  <c r="H111" i="34" s="1"/>
  <c r="I111" i="34" s="1"/>
  <c r="J111" i="34" s="1"/>
  <c r="K111" i="34" s="1"/>
  <c r="L111" i="34" s="1"/>
  <c r="M111" i="34" s="1"/>
  <c r="N111" i="34" s="1"/>
  <c r="O111" i="34" s="1"/>
  <c r="P111" i="34" s="1"/>
  <c r="Q111" i="34" s="1"/>
  <c r="R111" i="34" s="1"/>
  <c r="S111" i="34" s="1"/>
  <c r="C227" i="34"/>
  <c r="D227" i="34" s="1"/>
  <c r="E227" i="34" s="1"/>
  <c r="F227" i="34" s="1"/>
  <c r="G227" i="34" s="1"/>
  <c r="H227" i="34" s="1"/>
  <c r="I227" i="34" s="1"/>
  <c r="J227" i="34" s="1"/>
  <c r="K227" i="34" s="1"/>
  <c r="L227" i="34" s="1"/>
  <c r="M227" i="34" s="1"/>
  <c r="N227" i="34" s="1"/>
  <c r="O227" i="34" s="1"/>
  <c r="P227" i="34" s="1"/>
  <c r="Q227" i="34" s="1"/>
  <c r="R227" i="34" s="1"/>
  <c r="S227" i="34" s="1"/>
  <c r="C211" i="34"/>
  <c r="D211" i="34" s="1"/>
  <c r="E211" i="34" s="1"/>
  <c r="F211" i="34" s="1"/>
  <c r="G211" i="34" s="1"/>
  <c r="H211" i="34" s="1"/>
  <c r="I211" i="34" s="1"/>
  <c r="J211" i="34" s="1"/>
  <c r="K211" i="34" s="1"/>
  <c r="L211" i="34" s="1"/>
  <c r="M211" i="34" s="1"/>
  <c r="N211" i="34" s="1"/>
  <c r="O211" i="34" s="1"/>
  <c r="P211" i="34" s="1"/>
  <c r="Q211" i="34" s="1"/>
  <c r="R211" i="34" s="1"/>
  <c r="S211" i="34" s="1"/>
  <c r="C239" i="34"/>
  <c r="D239" i="34" s="1"/>
  <c r="E239" i="34" s="1"/>
  <c r="F239" i="34" s="1"/>
  <c r="G239" i="34" s="1"/>
  <c r="H239" i="34" s="1"/>
  <c r="I239" i="34" s="1"/>
  <c r="J239" i="34" s="1"/>
  <c r="K239" i="34" s="1"/>
  <c r="L239" i="34" s="1"/>
  <c r="M239" i="34" s="1"/>
  <c r="N239" i="34" s="1"/>
  <c r="O239" i="34" s="1"/>
  <c r="P239" i="34" s="1"/>
  <c r="Q239" i="34" s="1"/>
  <c r="R239" i="34" s="1"/>
  <c r="S239" i="34" s="1"/>
  <c r="C350" i="34"/>
  <c r="D350" i="34" s="1"/>
  <c r="E350" i="34" s="1"/>
  <c r="F350" i="34" s="1"/>
  <c r="G350" i="34" s="1"/>
  <c r="H350" i="34" s="1"/>
  <c r="I350" i="34" s="1"/>
  <c r="J350" i="34" s="1"/>
  <c r="K350" i="34" s="1"/>
  <c r="L350" i="34" s="1"/>
  <c r="M350" i="34" s="1"/>
  <c r="N350" i="34" s="1"/>
  <c r="O350" i="34" s="1"/>
  <c r="P350" i="34" s="1"/>
  <c r="Q350" i="34" s="1"/>
  <c r="R350" i="34" s="1"/>
  <c r="S350" i="34" s="1"/>
  <c r="C379" i="34"/>
  <c r="D379" i="34" s="1"/>
  <c r="E379" i="34" s="1"/>
  <c r="F379" i="34" s="1"/>
  <c r="G379" i="34" s="1"/>
  <c r="H379" i="34" s="1"/>
  <c r="I379" i="34" s="1"/>
  <c r="J379" i="34" s="1"/>
  <c r="K379" i="34" s="1"/>
  <c r="L379" i="34" s="1"/>
  <c r="M379" i="34" s="1"/>
  <c r="N379" i="34" s="1"/>
  <c r="O379" i="34" s="1"/>
  <c r="P379" i="34" s="1"/>
  <c r="Q379" i="34" s="1"/>
  <c r="R379" i="34" s="1"/>
  <c r="S379" i="34" s="1"/>
  <c r="C250" i="34"/>
  <c r="D250" i="34" s="1"/>
  <c r="E250" i="34" s="1"/>
  <c r="F250" i="34" s="1"/>
  <c r="G250" i="34" s="1"/>
  <c r="H250" i="34" s="1"/>
  <c r="I250" i="34" s="1"/>
  <c r="J250" i="34" s="1"/>
  <c r="K250" i="34" s="1"/>
  <c r="L250" i="34" s="1"/>
  <c r="M250" i="34" s="1"/>
  <c r="N250" i="34" s="1"/>
  <c r="O250" i="34" s="1"/>
  <c r="P250" i="34" s="1"/>
  <c r="Q250" i="34" s="1"/>
  <c r="R250" i="34" s="1"/>
  <c r="S250" i="34" s="1"/>
  <c r="C393" i="34"/>
  <c r="D393" i="34" s="1"/>
  <c r="E393" i="34" s="1"/>
  <c r="F393" i="34" s="1"/>
  <c r="G393" i="34" s="1"/>
  <c r="H393" i="34" s="1"/>
  <c r="I393" i="34" s="1"/>
  <c r="J393" i="34" s="1"/>
  <c r="K393" i="34" s="1"/>
  <c r="L393" i="34" s="1"/>
  <c r="M393" i="34" s="1"/>
  <c r="N393" i="34" s="1"/>
  <c r="O393" i="34" s="1"/>
  <c r="P393" i="34" s="1"/>
  <c r="Q393" i="34" s="1"/>
  <c r="R393" i="34" s="1"/>
  <c r="S393" i="34" s="1"/>
  <c r="C257" i="34"/>
  <c r="D257" i="34" s="1"/>
  <c r="E257" i="34" s="1"/>
  <c r="F257" i="34" s="1"/>
  <c r="G257" i="34" s="1"/>
  <c r="H257" i="34" s="1"/>
  <c r="I257" i="34" s="1"/>
  <c r="J257" i="34" s="1"/>
  <c r="K257" i="34" s="1"/>
  <c r="L257" i="34" s="1"/>
  <c r="M257" i="34" s="1"/>
  <c r="N257" i="34" s="1"/>
  <c r="O257" i="34" s="1"/>
  <c r="P257" i="34" s="1"/>
  <c r="Q257" i="34" s="1"/>
  <c r="R257" i="34" s="1"/>
  <c r="S257" i="34" s="1"/>
  <c r="C352" i="34"/>
  <c r="D352" i="34" s="1"/>
  <c r="E352" i="34" s="1"/>
  <c r="F352" i="34" s="1"/>
  <c r="G352" i="34" s="1"/>
  <c r="H352" i="34" s="1"/>
  <c r="I352" i="34" s="1"/>
  <c r="J352" i="34" s="1"/>
  <c r="K352" i="34" s="1"/>
  <c r="L352" i="34" s="1"/>
  <c r="M352" i="34" s="1"/>
  <c r="N352" i="34" s="1"/>
  <c r="O352" i="34" s="1"/>
  <c r="P352" i="34" s="1"/>
  <c r="Q352" i="34" s="1"/>
  <c r="R352" i="34" s="1"/>
  <c r="S352" i="34" s="1"/>
  <c r="C443" i="34"/>
  <c r="D443" i="34" s="1"/>
  <c r="E443" i="34" s="1"/>
  <c r="F443" i="34" s="1"/>
  <c r="G443" i="34" s="1"/>
  <c r="H443" i="34" s="1"/>
  <c r="I443" i="34" s="1"/>
  <c r="J443" i="34" s="1"/>
  <c r="K443" i="34" s="1"/>
  <c r="L443" i="34" s="1"/>
  <c r="M443" i="34" s="1"/>
  <c r="N443" i="34" s="1"/>
  <c r="O443" i="34" s="1"/>
  <c r="P443" i="34" s="1"/>
  <c r="Q443" i="34" s="1"/>
  <c r="R443" i="34" s="1"/>
  <c r="S443" i="34" s="1"/>
  <c r="C597" i="34"/>
  <c r="D597" i="34" s="1"/>
  <c r="E597" i="34" s="1"/>
  <c r="F597" i="34" s="1"/>
  <c r="G597" i="34" s="1"/>
  <c r="H597" i="34" s="1"/>
  <c r="I597" i="34" s="1"/>
  <c r="J597" i="34" s="1"/>
  <c r="K597" i="34" s="1"/>
  <c r="L597" i="34" s="1"/>
  <c r="M597" i="34" s="1"/>
  <c r="N597" i="34" s="1"/>
  <c r="O597" i="34" s="1"/>
  <c r="P597" i="34" s="1"/>
  <c r="Q597" i="34" s="1"/>
  <c r="R597" i="34" s="1"/>
  <c r="S597" i="34" s="1"/>
  <c r="C582" i="34"/>
  <c r="D582" i="34" s="1"/>
  <c r="E582" i="34" s="1"/>
  <c r="F582" i="34" s="1"/>
  <c r="G582" i="34" s="1"/>
  <c r="H582" i="34" s="1"/>
  <c r="I582" i="34" s="1"/>
  <c r="J582" i="34" s="1"/>
  <c r="K582" i="34" s="1"/>
  <c r="L582" i="34" s="1"/>
  <c r="M582" i="34" s="1"/>
  <c r="N582" i="34" s="1"/>
  <c r="O582" i="34" s="1"/>
  <c r="P582" i="34" s="1"/>
  <c r="Q582" i="34" s="1"/>
  <c r="R582" i="34" s="1"/>
  <c r="S582" i="34" s="1"/>
  <c r="C76" i="34"/>
  <c r="D76" i="34" s="1"/>
  <c r="E76" i="34" s="1"/>
  <c r="F76" i="34" s="1"/>
  <c r="G76" i="34" s="1"/>
  <c r="H76" i="34" s="1"/>
  <c r="I76" i="34" s="1"/>
  <c r="J76" i="34" s="1"/>
  <c r="K76" i="34" s="1"/>
  <c r="L76" i="34" s="1"/>
  <c r="M76" i="34" s="1"/>
  <c r="N76" i="34" s="1"/>
  <c r="O76" i="34" s="1"/>
  <c r="P76" i="34" s="1"/>
  <c r="Q76" i="34" s="1"/>
  <c r="R76" i="34" s="1"/>
  <c r="S76" i="34" s="1"/>
  <c r="C220" i="34"/>
  <c r="D220" i="34" s="1"/>
  <c r="E220" i="34" s="1"/>
  <c r="F220" i="34" s="1"/>
  <c r="G220" i="34" s="1"/>
  <c r="H220" i="34" s="1"/>
  <c r="I220" i="34" s="1"/>
  <c r="J220" i="34" s="1"/>
  <c r="K220" i="34" s="1"/>
  <c r="L220" i="34" s="1"/>
  <c r="M220" i="34" s="1"/>
  <c r="N220" i="34" s="1"/>
  <c r="O220" i="34" s="1"/>
  <c r="P220" i="34" s="1"/>
  <c r="Q220" i="34" s="1"/>
  <c r="R220" i="34" s="1"/>
  <c r="S220" i="34" s="1"/>
  <c r="C178" i="34"/>
  <c r="D178" i="34" s="1"/>
  <c r="E178" i="34" s="1"/>
  <c r="F178" i="34" s="1"/>
  <c r="G178" i="34" s="1"/>
  <c r="H178" i="34" s="1"/>
  <c r="I178" i="34" s="1"/>
  <c r="J178" i="34" s="1"/>
  <c r="K178" i="34" s="1"/>
  <c r="L178" i="34" s="1"/>
  <c r="M178" i="34" s="1"/>
  <c r="N178" i="34" s="1"/>
  <c r="O178" i="34" s="1"/>
  <c r="P178" i="34" s="1"/>
  <c r="Q178" i="34" s="1"/>
  <c r="R178" i="34" s="1"/>
  <c r="S178" i="34" s="1"/>
  <c r="C197" i="34"/>
  <c r="D197" i="34" s="1"/>
  <c r="E197" i="34" s="1"/>
  <c r="F197" i="34" s="1"/>
  <c r="G197" i="34" s="1"/>
  <c r="H197" i="34" s="1"/>
  <c r="I197" i="34" s="1"/>
  <c r="J197" i="34" s="1"/>
  <c r="K197" i="34" s="1"/>
  <c r="L197" i="34" s="1"/>
  <c r="M197" i="34" s="1"/>
  <c r="N197" i="34" s="1"/>
  <c r="O197" i="34" s="1"/>
  <c r="P197" i="34" s="1"/>
  <c r="Q197" i="34" s="1"/>
  <c r="R197" i="34" s="1"/>
  <c r="S197" i="34" s="1"/>
  <c r="C320" i="34"/>
  <c r="D320" i="34" s="1"/>
  <c r="E320" i="34" s="1"/>
  <c r="F320" i="34" s="1"/>
  <c r="G320" i="34" s="1"/>
  <c r="H320" i="34" s="1"/>
  <c r="I320" i="34" s="1"/>
  <c r="J320" i="34" s="1"/>
  <c r="K320" i="34" s="1"/>
  <c r="L320" i="34" s="1"/>
  <c r="M320" i="34" s="1"/>
  <c r="N320" i="34" s="1"/>
  <c r="O320" i="34" s="1"/>
  <c r="P320" i="34" s="1"/>
  <c r="Q320" i="34" s="1"/>
  <c r="R320" i="34" s="1"/>
  <c r="S320" i="34" s="1"/>
  <c r="C198" i="34"/>
  <c r="D198" i="34" s="1"/>
  <c r="E198" i="34" s="1"/>
  <c r="F198" i="34" s="1"/>
  <c r="G198" i="34" s="1"/>
  <c r="H198" i="34" s="1"/>
  <c r="I198" i="34" s="1"/>
  <c r="J198" i="34" s="1"/>
  <c r="K198" i="34" s="1"/>
  <c r="L198" i="34" s="1"/>
  <c r="M198" i="34" s="1"/>
  <c r="N198" i="34" s="1"/>
  <c r="O198" i="34" s="1"/>
  <c r="P198" i="34" s="1"/>
  <c r="Q198" i="34" s="1"/>
  <c r="R198" i="34" s="1"/>
  <c r="S198" i="34" s="1"/>
  <c r="C222" i="34"/>
  <c r="D222" i="34" s="1"/>
  <c r="E222" i="34" s="1"/>
  <c r="F222" i="34" s="1"/>
  <c r="G222" i="34" s="1"/>
  <c r="H222" i="34" s="1"/>
  <c r="I222" i="34" s="1"/>
  <c r="J222" i="34" s="1"/>
  <c r="K222" i="34" s="1"/>
  <c r="L222" i="34" s="1"/>
  <c r="M222" i="34" s="1"/>
  <c r="N222" i="34" s="1"/>
  <c r="O222" i="34" s="1"/>
  <c r="P222" i="34" s="1"/>
  <c r="Q222" i="34" s="1"/>
  <c r="R222" i="34" s="1"/>
  <c r="S222" i="34" s="1"/>
  <c r="C251" i="34"/>
  <c r="D251" i="34" s="1"/>
  <c r="E251" i="34" s="1"/>
  <c r="F251" i="34" s="1"/>
  <c r="G251" i="34" s="1"/>
  <c r="H251" i="34" s="1"/>
  <c r="I251" i="34" s="1"/>
  <c r="J251" i="34" s="1"/>
  <c r="K251" i="34" s="1"/>
  <c r="L251" i="34" s="1"/>
  <c r="M251" i="34" s="1"/>
  <c r="N251" i="34" s="1"/>
  <c r="O251" i="34" s="1"/>
  <c r="P251" i="34" s="1"/>
  <c r="Q251" i="34" s="1"/>
  <c r="R251" i="34" s="1"/>
  <c r="S251" i="34" s="1"/>
  <c r="C546" i="34"/>
  <c r="D546" i="34" s="1"/>
  <c r="E546" i="34" s="1"/>
  <c r="F546" i="34" s="1"/>
  <c r="G546" i="34" s="1"/>
  <c r="H546" i="34" s="1"/>
  <c r="I546" i="34" s="1"/>
  <c r="J546" i="34" s="1"/>
  <c r="K546" i="34" s="1"/>
  <c r="L546" i="34" s="1"/>
  <c r="M546" i="34" s="1"/>
  <c r="N546" i="34" s="1"/>
  <c r="O546" i="34" s="1"/>
  <c r="P546" i="34" s="1"/>
  <c r="Q546" i="34" s="1"/>
  <c r="R546" i="34" s="1"/>
  <c r="S546" i="34" s="1"/>
  <c r="C429" i="34"/>
  <c r="D429" i="34" s="1"/>
  <c r="E429" i="34" s="1"/>
  <c r="F429" i="34" s="1"/>
  <c r="G429" i="34" s="1"/>
  <c r="H429" i="34" s="1"/>
  <c r="I429" i="34" s="1"/>
  <c r="J429" i="34" s="1"/>
  <c r="K429" i="34" s="1"/>
  <c r="L429" i="34" s="1"/>
  <c r="M429" i="34" s="1"/>
  <c r="N429" i="34" s="1"/>
  <c r="O429" i="34" s="1"/>
  <c r="P429" i="34" s="1"/>
  <c r="Q429" i="34" s="1"/>
  <c r="R429" i="34" s="1"/>
  <c r="S429" i="34" s="1"/>
  <c r="C547" i="34"/>
  <c r="D547" i="34" s="1"/>
  <c r="E547" i="34" s="1"/>
  <c r="F547" i="34" s="1"/>
  <c r="G547" i="34" s="1"/>
  <c r="H547" i="34" s="1"/>
  <c r="I547" i="34" s="1"/>
  <c r="J547" i="34" s="1"/>
  <c r="K547" i="34" s="1"/>
  <c r="L547" i="34" s="1"/>
  <c r="M547" i="34" s="1"/>
  <c r="N547" i="34" s="1"/>
  <c r="O547" i="34" s="1"/>
  <c r="P547" i="34" s="1"/>
  <c r="Q547" i="34" s="1"/>
  <c r="R547" i="34" s="1"/>
  <c r="S547" i="34" s="1"/>
  <c r="C586" i="34"/>
  <c r="D586" i="34" s="1"/>
  <c r="E586" i="34" s="1"/>
  <c r="F586" i="34" s="1"/>
  <c r="G586" i="34" s="1"/>
  <c r="H586" i="34" s="1"/>
  <c r="I586" i="34" s="1"/>
  <c r="J586" i="34" s="1"/>
  <c r="K586" i="34" s="1"/>
  <c r="L586" i="34" s="1"/>
  <c r="M586" i="34" s="1"/>
  <c r="N586" i="34" s="1"/>
  <c r="O586" i="34" s="1"/>
  <c r="P586" i="34" s="1"/>
  <c r="Q586" i="34" s="1"/>
  <c r="R586" i="34" s="1"/>
  <c r="S586" i="34" s="1"/>
  <c r="C512" i="34"/>
  <c r="D512" i="34" s="1"/>
  <c r="E512" i="34" s="1"/>
  <c r="F512" i="34" s="1"/>
  <c r="G512" i="34" s="1"/>
  <c r="H512" i="34" s="1"/>
  <c r="I512" i="34" s="1"/>
  <c r="J512" i="34" s="1"/>
  <c r="K512" i="34" s="1"/>
  <c r="L512" i="34" s="1"/>
  <c r="M512" i="34" s="1"/>
  <c r="N512" i="34" s="1"/>
  <c r="O512" i="34" s="1"/>
  <c r="P512" i="34" s="1"/>
  <c r="Q512" i="34" s="1"/>
  <c r="R512" i="34" s="1"/>
  <c r="S512" i="34" s="1"/>
  <c r="C562" i="34"/>
  <c r="D562" i="34" s="1"/>
  <c r="E562" i="34" s="1"/>
  <c r="F562" i="34" s="1"/>
  <c r="G562" i="34" s="1"/>
  <c r="H562" i="34" s="1"/>
  <c r="I562" i="34" s="1"/>
  <c r="J562" i="34" s="1"/>
  <c r="K562" i="34" s="1"/>
  <c r="L562" i="34" s="1"/>
  <c r="M562" i="34" s="1"/>
  <c r="N562" i="34" s="1"/>
  <c r="O562" i="34" s="1"/>
  <c r="P562" i="34" s="1"/>
  <c r="Q562" i="34" s="1"/>
  <c r="R562" i="34" s="1"/>
  <c r="S562" i="34" s="1"/>
  <c r="C267" i="34"/>
  <c r="D267" i="34" s="1"/>
  <c r="E267" i="34" s="1"/>
  <c r="F267" i="34" s="1"/>
  <c r="G267" i="34" s="1"/>
  <c r="H267" i="34" s="1"/>
  <c r="I267" i="34" s="1"/>
  <c r="J267" i="34" s="1"/>
  <c r="K267" i="34" s="1"/>
  <c r="L267" i="34" s="1"/>
  <c r="M267" i="34" s="1"/>
  <c r="N267" i="34" s="1"/>
  <c r="O267" i="34" s="1"/>
  <c r="P267" i="34" s="1"/>
  <c r="Q267" i="34" s="1"/>
  <c r="R267" i="34" s="1"/>
  <c r="S267" i="34" s="1"/>
  <c r="C541" i="34"/>
  <c r="D541" i="34" s="1"/>
  <c r="E541" i="34" s="1"/>
  <c r="F541" i="34" s="1"/>
  <c r="G541" i="34" s="1"/>
  <c r="H541" i="34" s="1"/>
  <c r="I541" i="34" s="1"/>
  <c r="J541" i="34" s="1"/>
  <c r="K541" i="34" s="1"/>
  <c r="L541" i="34" s="1"/>
  <c r="M541" i="34" s="1"/>
  <c r="N541" i="34" s="1"/>
  <c r="O541" i="34" s="1"/>
  <c r="P541" i="34" s="1"/>
  <c r="Q541" i="34" s="1"/>
  <c r="R541" i="34" s="1"/>
  <c r="S541" i="34" s="1"/>
  <c r="C473" i="34"/>
  <c r="D473" i="34" s="1"/>
  <c r="E473" i="34" s="1"/>
  <c r="F473" i="34" s="1"/>
  <c r="G473" i="34" s="1"/>
  <c r="H473" i="34" s="1"/>
  <c r="I473" i="34" s="1"/>
  <c r="J473" i="34" s="1"/>
  <c r="K473" i="34" s="1"/>
  <c r="L473" i="34" s="1"/>
  <c r="M473" i="34" s="1"/>
  <c r="N473" i="34" s="1"/>
  <c r="O473" i="34" s="1"/>
  <c r="P473" i="34" s="1"/>
  <c r="Q473" i="34" s="1"/>
  <c r="R473" i="34" s="1"/>
  <c r="S473" i="34" s="1"/>
  <c r="C598" i="34"/>
  <c r="D598" i="34" s="1"/>
  <c r="E598" i="34" s="1"/>
  <c r="F598" i="34" s="1"/>
  <c r="G598" i="34" s="1"/>
  <c r="H598" i="34" s="1"/>
  <c r="I598" i="34" s="1"/>
  <c r="J598" i="34" s="1"/>
  <c r="K598" i="34" s="1"/>
  <c r="L598" i="34" s="1"/>
  <c r="M598" i="34" s="1"/>
  <c r="N598" i="34" s="1"/>
  <c r="O598" i="34" s="1"/>
  <c r="P598" i="34" s="1"/>
  <c r="Q598" i="34" s="1"/>
  <c r="R598" i="34" s="1"/>
  <c r="S598" i="34" s="1"/>
  <c r="C24" i="34"/>
  <c r="D24" i="34" s="1"/>
  <c r="E24" i="34" s="1"/>
  <c r="F24" i="34" s="1"/>
  <c r="G24" i="34" s="1"/>
  <c r="H24" i="34" s="1"/>
  <c r="I24" i="34" s="1"/>
  <c r="J24" i="34" s="1"/>
  <c r="K24" i="34" s="1"/>
  <c r="L24" i="34" s="1"/>
  <c r="M24" i="34" s="1"/>
  <c r="N24" i="34" s="1"/>
  <c r="O24" i="34" s="1"/>
  <c r="P24" i="34" s="1"/>
  <c r="Q24" i="34" s="1"/>
  <c r="R24" i="34" s="1"/>
  <c r="S24" i="34" s="1"/>
  <c r="C57" i="34"/>
  <c r="D57" i="34" s="1"/>
  <c r="E57" i="34" s="1"/>
  <c r="F57" i="34" s="1"/>
  <c r="G57" i="34" s="1"/>
  <c r="H57" i="34" s="1"/>
  <c r="I57" i="34" s="1"/>
  <c r="J57" i="34" s="1"/>
  <c r="K57" i="34" s="1"/>
  <c r="L57" i="34" s="1"/>
  <c r="M57" i="34" s="1"/>
  <c r="N57" i="34" s="1"/>
  <c r="O57" i="34" s="1"/>
  <c r="P57" i="34" s="1"/>
  <c r="Q57" i="34" s="1"/>
  <c r="R57" i="34" s="1"/>
  <c r="S57" i="34" s="1"/>
  <c r="C127" i="34"/>
  <c r="D127" i="34" s="1"/>
  <c r="E127" i="34" s="1"/>
  <c r="F127" i="34" s="1"/>
  <c r="G127" i="34" s="1"/>
  <c r="H127" i="34" s="1"/>
  <c r="I127" i="34" s="1"/>
  <c r="J127" i="34" s="1"/>
  <c r="K127" i="34" s="1"/>
  <c r="L127" i="34" s="1"/>
  <c r="M127" i="34" s="1"/>
  <c r="N127" i="34" s="1"/>
  <c r="O127" i="34" s="1"/>
  <c r="P127" i="34" s="1"/>
  <c r="Q127" i="34" s="1"/>
  <c r="R127" i="34" s="1"/>
  <c r="S127" i="34" s="1"/>
  <c r="C12" i="34"/>
  <c r="D12" i="34" s="1"/>
  <c r="E12" i="34" s="1"/>
  <c r="F12" i="34" s="1"/>
  <c r="G12" i="34" s="1"/>
  <c r="H12" i="34" s="1"/>
  <c r="I12" i="34" s="1"/>
  <c r="J12" i="34" s="1"/>
  <c r="K12" i="34" s="1"/>
  <c r="L12" i="34" s="1"/>
  <c r="M12" i="34" s="1"/>
  <c r="N12" i="34" s="1"/>
  <c r="O12" i="34" s="1"/>
  <c r="P12" i="34" s="1"/>
  <c r="Q12" i="34" s="1"/>
  <c r="R12" i="34" s="1"/>
  <c r="S12" i="34" s="1"/>
  <c r="C82" i="34"/>
  <c r="D82" i="34" s="1"/>
  <c r="E82" i="34" s="1"/>
  <c r="F82" i="34" s="1"/>
  <c r="G82" i="34" s="1"/>
  <c r="H82" i="34" s="1"/>
  <c r="I82" i="34" s="1"/>
  <c r="J82" i="34" s="1"/>
  <c r="K82" i="34" s="1"/>
  <c r="L82" i="34" s="1"/>
  <c r="M82" i="34" s="1"/>
  <c r="N82" i="34" s="1"/>
  <c r="O82" i="34" s="1"/>
  <c r="P82" i="34" s="1"/>
  <c r="Q82" i="34" s="1"/>
  <c r="R82" i="34" s="1"/>
  <c r="S82" i="34" s="1"/>
  <c r="C113" i="34"/>
  <c r="D113" i="34" s="1"/>
  <c r="E113" i="34" s="1"/>
  <c r="F113" i="34" s="1"/>
  <c r="G113" i="34" s="1"/>
  <c r="H113" i="34" s="1"/>
  <c r="I113" i="34" s="1"/>
  <c r="J113" i="34" s="1"/>
  <c r="K113" i="34" s="1"/>
  <c r="L113" i="34" s="1"/>
  <c r="M113" i="34" s="1"/>
  <c r="N113" i="34" s="1"/>
  <c r="O113" i="34" s="1"/>
  <c r="P113" i="34" s="1"/>
  <c r="Q113" i="34" s="1"/>
  <c r="R113" i="34" s="1"/>
  <c r="S113" i="34" s="1"/>
  <c r="C88" i="34"/>
  <c r="D88" i="34" s="1"/>
  <c r="E88" i="34" s="1"/>
  <c r="F88" i="34" s="1"/>
  <c r="G88" i="34" s="1"/>
  <c r="H88" i="34" s="1"/>
  <c r="I88" i="34" s="1"/>
  <c r="J88" i="34" s="1"/>
  <c r="K88" i="34" s="1"/>
  <c r="L88" i="34" s="1"/>
  <c r="M88" i="34" s="1"/>
  <c r="N88" i="34" s="1"/>
  <c r="O88" i="34" s="1"/>
  <c r="P88" i="34" s="1"/>
  <c r="Q88" i="34" s="1"/>
  <c r="R88" i="34" s="1"/>
  <c r="S88" i="34" s="1"/>
  <c r="C92" i="34"/>
  <c r="D92" i="34" s="1"/>
  <c r="E92" i="34" s="1"/>
  <c r="F92" i="34" s="1"/>
  <c r="G92" i="34" s="1"/>
  <c r="H92" i="34" s="1"/>
  <c r="I92" i="34" s="1"/>
  <c r="J92" i="34" s="1"/>
  <c r="K92" i="34" s="1"/>
  <c r="L92" i="34" s="1"/>
  <c r="M92" i="34" s="1"/>
  <c r="N92" i="34" s="1"/>
  <c r="O92" i="34" s="1"/>
  <c r="P92" i="34" s="1"/>
  <c r="Q92" i="34" s="1"/>
  <c r="R92" i="34" s="1"/>
  <c r="S92" i="34" s="1"/>
  <c r="C108" i="34"/>
  <c r="D108" i="34" s="1"/>
  <c r="E108" i="34" s="1"/>
  <c r="F108" i="34" s="1"/>
  <c r="G108" i="34" s="1"/>
  <c r="H108" i="34" s="1"/>
  <c r="I108" i="34" s="1"/>
  <c r="J108" i="34" s="1"/>
  <c r="K108" i="34" s="1"/>
  <c r="L108" i="34" s="1"/>
  <c r="M108" i="34" s="1"/>
  <c r="N108" i="34" s="1"/>
  <c r="O108" i="34" s="1"/>
  <c r="P108" i="34" s="1"/>
  <c r="Q108" i="34" s="1"/>
  <c r="R108" i="34" s="1"/>
  <c r="S108" i="34" s="1"/>
  <c r="C49" i="34"/>
  <c r="D49" i="34" s="1"/>
  <c r="E49" i="34" s="1"/>
  <c r="F49" i="34" s="1"/>
  <c r="G49" i="34" s="1"/>
  <c r="H49" i="34" s="1"/>
  <c r="I49" i="34" s="1"/>
  <c r="J49" i="34" s="1"/>
  <c r="K49" i="34" s="1"/>
  <c r="L49" i="34" s="1"/>
  <c r="M49" i="34" s="1"/>
  <c r="N49" i="34" s="1"/>
  <c r="O49" i="34" s="1"/>
  <c r="P49" i="34" s="1"/>
  <c r="Q49" i="34" s="1"/>
  <c r="R49" i="34" s="1"/>
  <c r="S49" i="34" s="1"/>
  <c r="C146" i="34"/>
  <c r="D146" i="34" s="1"/>
  <c r="E146" i="34" s="1"/>
  <c r="F146" i="34" s="1"/>
  <c r="G146" i="34" s="1"/>
  <c r="H146" i="34" s="1"/>
  <c r="I146" i="34" s="1"/>
  <c r="J146" i="34" s="1"/>
  <c r="K146" i="34" s="1"/>
  <c r="L146" i="34" s="1"/>
  <c r="M146" i="34" s="1"/>
  <c r="N146" i="34" s="1"/>
  <c r="O146" i="34" s="1"/>
  <c r="P146" i="34" s="1"/>
  <c r="Q146" i="34" s="1"/>
  <c r="R146" i="34" s="1"/>
  <c r="S146" i="34" s="1"/>
  <c r="C37" i="34"/>
  <c r="D37" i="34" s="1"/>
  <c r="E37" i="34" s="1"/>
  <c r="F37" i="34" s="1"/>
  <c r="G37" i="34" s="1"/>
  <c r="H37" i="34" s="1"/>
  <c r="I37" i="34" s="1"/>
  <c r="J37" i="34" s="1"/>
  <c r="K37" i="34" s="1"/>
  <c r="L37" i="34" s="1"/>
  <c r="M37" i="34" s="1"/>
  <c r="N37" i="34" s="1"/>
  <c r="O37" i="34" s="1"/>
  <c r="P37" i="34" s="1"/>
  <c r="Q37" i="34" s="1"/>
  <c r="R37" i="34" s="1"/>
  <c r="S37" i="34" s="1"/>
  <c r="C79" i="34"/>
  <c r="D79" i="34" s="1"/>
  <c r="E79" i="34" s="1"/>
  <c r="F79" i="34" s="1"/>
  <c r="G79" i="34" s="1"/>
  <c r="H79" i="34" s="1"/>
  <c r="I79" i="34" s="1"/>
  <c r="J79" i="34" s="1"/>
  <c r="K79" i="34" s="1"/>
  <c r="L79" i="34" s="1"/>
  <c r="M79" i="34" s="1"/>
  <c r="N79" i="34" s="1"/>
  <c r="O79" i="34" s="1"/>
  <c r="P79" i="34" s="1"/>
  <c r="Q79" i="34" s="1"/>
  <c r="R79" i="34" s="1"/>
  <c r="S79" i="34" s="1"/>
  <c r="C90" i="34"/>
  <c r="D90" i="34" s="1"/>
  <c r="E90" i="34" s="1"/>
  <c r="F90" i="34" s="1"/>
  <c r="G90" i="34" s="1"/>
  <c r="H90" i="34" s="1"/>
  <c r="I90" i="34" s="1"/>
  <c r="J90" i="34" s="1"/>
  <c r="K90" i="34" s="1"/>
  <c r="L90" i="34" s="1"/>
  <c r="M90" i="34" s="1"/>
  <c r="N90" i="34" s="1"/>
  <c r="O90" i="34" s="1"/>
  <c r="P90" i="34" s="1"/>
  <c r="Q90" i="34" s="1"/>
  <c r="R90" i="34" s="1"/>
  <c r="S90" i="34" s="1"/>
  <c r="C224" i="34"/>
  <c r="D224" i="34" s="1"/>
  <c r="E224" i="34" s="1"/>
  <c r="F224" i="34" s="1"/>
  <c r="G224" i="34" s="1"/>
  <c r="H224" i="34" s="1"/>
  <c r="I224" i="34" s="1"/>
  <c r="J224" i="34" s="1"/>
  <c r="K224" i="34" s="1"/>
  <c r="L224" i="34" s="1"/>
  <c r="M224" i="34" s="1"/>
  <c r="N224" i="34" s="1"/>
  <c r="O224" i="34" s="1"/>
  <c r="P224" i="34" s="1"/>
  <c r="Q224" i="34" s="1"/>
  <c r="R224" i="34" s="1"/>
  <c r="S224" i="34" s="1"/>
  <c r="C205" i="34"/>
  <c r="D205" i="34" s="1"/>
  <c r="E205" i="34" s="1"/>
  <c r="F205" i="34" s="1"/>
  <c r="G205" i="34" s="1"/>
  <c r="H205" i="34" s="1"/>
  <c r="I205" i="34" s="1"/>
  <c r="J205" i="34" s="1"/>
  <c r="K205" i="34" s="1"/>
  <c r="L205" i="34" s="1"/>
  <c r="M205" i="34" s="1"/>
  <c r="N205" i="34" s="1"/>
  <c r="O205" i="34" s="1"/>
  <c r="P205" i="34" s="1"/>
  <c r="Q205" i="34" s="1"/>
  <c r="R205" i="34" s="1"/>
  <c r="S205" i="34" s="1"/>
  <c r="C270" i="34"/>
  <c r="D270" i="34" s="1"/>
  <c r="E270" i="34" s="1"/>
  <c r="F270" i="34" s="1"/>
  <c r="G270" i="34" s="1"/>
  <c r="H270" i="34" s="1"/>
  <c r="I270" i="34" s="1"/>
  <c r="J270" i="34" s="1"/>
  <c r="K270" i="34" s="1"/>
  <c r="L270" i="34" s="1"/>
  <c r="M270" i="34" s="1"/>
  <c r="N270" i="34" s="1"/>
  <c r="O270" i="34" s="1"/>
  <c r="P270" i="34" s="1"/>
  <c r="Q270" i="34" s="1"/>
  <c r="R270" i="34" s="1"/>
  <c r="S270" i="34" s="1"/>
  <c r="C295" i="34"/>
  <c r="D295" i="34" s="1"/>
  <c r="E295" i="34" s="1"/>
  <c r="F295" i="34" s="1"/>
  <c r="G295" i="34" s="1"/>
  <c r="H295" i="34" s="1"/>
  <c r="I295" i="34" s="1"/>
  <c r="J295" i="34" s="1"/>
  <c r="K295" i="34" s="1"/>
  <c r="L295" i="34" s="1"/>
  <c r="M295" i="34" s="1"/>
  <c r="N295" i="34" s="1"/>
  <c r="O295" i="34" s="1"/>
  <c r="P295" i="34" s="1"/>
  <c r="Q295" i="34" s="1"/>
  <c r="R295" i="34" s="1"/>
  <c r="S295" i="34" s="1"/>
  <c r="C217" i="34"/>
  <c r="D217" i="34" s="1"/>
  <c r="E217" i="34" s="1"/>
  <c r="F217" i="34" s="1"/>
  <c r="G217" i="34" s="1"/>
  <c r="H217" i="34" s="1"/>
  <c r="I217" i="34" s="1"/>
  <c r="J217" i="34" s="1"/>
  <c r="K217" i="34" s="1"/>
  <c r="L217" i="34" s="1"/>
  <c r="M217" i="34" s="1"/>
  <c r="N217" i="34" s="1"/>
  <c r="O217" i="34" s="1"/>
  <c r="P217" i="34" s="1"/>
  <c r="Q217" i="34" s="1"/>
  <c r="R217" i="34" s="1"/>
  <c r="S217" i="34" s="1"/>
  <c r="C287" i="34"/>
  <c r="D287" i="34" s="1"/>
  <c r="E287" i="34" s="1"/>
  <c r="F287" i="34" s="1"/>
  <c r="G287" i="34" s="1"/>
  <c r="H287" i="34" s="1"/>
  <c r="I287" i="34" s="1"/>
  <c r="J287" i="34" s="1"/>
  <c r="K287" i="34" s="1"/>
  <c r="L287" i="34" s="1"/>
  <c r="M287" i="34" s="1"/>
  <c r="N287" i="34" s="1"/>
  <c r="O287" i="34" s="1"/>
  <c r="P287" i="34" s="1"/>
  <c r="Q287" i="34" s="1"/>
  <c r="R287" i="34" s="1"/>
  <c r="S287" i="34" s="1"/>
  <c r="C259" i="34"/>
  <c r="D259" i="34" s="1"/>
  <c r="E259" i="34" s="1"/>
  <c r="F259" i="34" s="1"/>
  <c r="G259" i="34" s="1"/>
  <c r="H259" i="34" s="1"/>
  <c r="I259" i="34" s="1"/>
  <c r="J259" i="34" s="1"/>
  <c r="K259" i="34" s="1"/>
  <c r="L259" i="34" s="1"/>
  <c r="M259" i="34" s="1"/>
  <c r="N259" i="34" s="1"/>
  <c r="O259" i="34" s="1"/>
  <c r="P259" i="34" s="1"/>
  <c r="Q259" i="34" s="1"/>
  <c r="R259" i="34" s="1"/>
  <c r="S259" i="34" s="1"/>
  <c r="C347" i="34"/>
  <c r="D347" i="34" s="1"/>
  <c r="E347" i="34" s="1"/>
  <c r="F347" i="34" s="1"/>
  <c r="G347" i="34" s="1"/>
  <c r="H347" i="34" s="1"/>
  <c r="I347" i="34" s="1"/>
  <c r="J347" i="34" s="1"/>
  <c r="K347" i="34" s="1"/>
  <c r="L347" i="34" s="1"/>
  <c r="M347" i="34" s="1"/>
  <c r="N347" i="34" s="1"/>
  <c r="O347" i="34" s="1"/>
  <c r="P347" i="34" s="1"/>
  <c r="Q347" i="34" s="1"/>
  <c r="R347" i="34" s="1"/>
  <c r="S347" i="34" s="1"/>
  <c r="C143" i="34"/>
  <c r="D143" i="34" s="1"/>
  <c r="E143" i="34" s="1"/>
  <c r="F143" i="34" s="1"/>
  <c r="G143" i="34" s="1"/>
  <c r="H143" i="34" s="1"/>
  <c r="I143" i="34" s="1"/>
  <c r="J143" i="34" s="1"/>
  <c r="K143" i="34" s="1"/>
  <c r="L143" i="34" s="1"/>
  <c r="M143" i="34" s="1"/>
  <c r="N143" i="34" s="1"/>
  <c r="O143" i="34" s="1"/>
  <c r="P143" i="34" s="1"/>
  <c r="Q143" i="34" s="1"/>
  <c r="R143" i="34" s="1"/>
  <c r="S143" i="34" s="1"/>
  <c r="C184" i="34"/>
  <c r="D184" i="34" s="1"/>
  <c r="E184" i="34" s="1"/>
  <c r="F184" i="34" s="1"/>
  <c r="G184" i="34" s="1"/>
  <c r="H184" i="34" s="1"/>
  <c r="I184" i="34" s="1"/>
  <c r="J184" i="34" s="1"/>
  <c r="K184" i="34" s="1"/>
  <c r="L184" i="34" s="1"/>
  <c r="M184" i="34" s="1"/>
  <c r="N184" i="34" s="1"/>
  <c r="O184" i="34" s="1"/>
  <c r="P184" i="34" s="1"/>
  <c r="Q184" i="34" s="1"/>
  <c r="R184" i="34" s="1"/>
  <c r="S184" i="34" s="1"/>
  <c r="C194" i="34"/>
  <c r="D194" i="34" s="1"/>
  <c r="E194" i="34" s="1"/>
  <c r="F194" i="34" s="1"/>
  <c r="G194" i="34" s="1"/>
  <c r="H194" i="34" s="1"/>
  <c r="I194" i="34" s="1"/>
  <c r="J194" i="34" s="1"/>
  <c r="K194" i="34" s="1"/>
  <c r="L194" i="34" s="1"/>
  <c r="M194" i="34" s="1"/>
  <c r="N194" i="34" s="1"/>
  <c r="O194" i="34" s="1"/>
  <c r="P194" i="34" s="1"/>
  <c r="Q194" i="34" s="1"/>
  <c r="R194" i="34" s="1"/>
  <c r="S194" i="34" s="1"/>
  <c r="C260" i="34"/>
  <c r="D260" i="34" s="1"/>
  <c r="E260" i="34" s="1"/>
  <c r="F260" i="34" s="1"/>
  <c r="G260" i="34" s="1"/>
  <c r="H260" i="34" s="1"/>
  <c r="I260" i="34" s="1"/>
  <c r="J260" i="34" s="1"/>
  <c r="K260" i="34" s="1"/>
  <c r="L260" i="34" s="1"/>
  <c r="M260" i="34" s="1"/>
  <c r="N260" i="34" s="1"/>
  <c r="O260" i="34" s="1"/>
  <c r="P260" i="34" s="1"/>
  <c r="Q260" i="34" s="1"/>
  <c r="R260" i="34" s="1"/>
  <c r="S260" i="34" s="1"/>
  <c r="C296" i="34"/>
  <c r="D296" i="34" s="1"/>
  <c r="E296" i="34" s="1"/>
  <c r="F296" i="34" s="1"/>
  <c r="G296" i="34" s="1"/>
  <c r="H296" i="34" s="1"/>
  <c r="I296" i="34" s="1"/>
  <c r="J296" i="34" s="1"/>
  <c r="K296" i="34" s="1"/>
  <c r="L296" i="34" s="1"/>
  <c r="M296" i="34" s="1"/>
  <c r="N296" i="34" s="1"/>
  <c r="O296" i="34" s="1"/>
  <c r="P296" i="34" s="1"/>
  <c r="Q296" i="34" s="1"/>
  <c r="R296" i="34" s="1"/>
  <c r="S296" i="34" s="1"/>
  <c r="C323" i="34"/>
  <c r="D323" i="34" s="1"/>
  <c r="E323" i="34" s="1"/>
  <c r="F323" i="34" s="1"/>
  <c r="G323" i="34" s="1"/>
  <c r="H323" i="34" s="1"/>
  <c r="I323" i="34" s="1"/>
  <c r="J323" i="34" s="1"/>
  <c r="K323" i="34" s="1"/>
  <c r="L323" i="34" s="1"/>
  <c r="M323" i="34" s="1"/>
  <c r="N323" i="34" s="1"/>
  <c r="O323" i="34" s="1"/>
  <c r="P323" i="34" s="1"/>
  <c r="Q323" i="34" s="1"/>
  <c r="R323" i="34" s="1"/>
  <c r="S323" i="34" s="1"/>
  <c r="C139" i="34"/>
  <c r="D139" i="34" s="1"/>
  <c r="E139" i="34" s="1"/>
  <c r="F139" i="34" s="1"/>
  <c r="G139" i="34" s="1"/>
  <c r="H139" i="34" s="1"/>
  <c r="I139" i="34" s="1"/>
  <c r="J139" i="34" s="1"/>
  <c r="K139" i="34" s="1"/>
  <c r="L139" i="34" s="1"/>
  <c r="M139" i="34" s="1"/>
  <c r="N139" i="34" s="1"/>
  <c r="O139" i="34" s="1"/>
  <c r="P139" i="34" s="1"/>
  <c r="Q139" i="34" s="1"/>
  <c r="R139" i="34" s="1"/>
  <c r="S139" i="34" s="1"/>
  <c r="C286" i="34"/>
  <c r="D286" i="34" s="1"/>
  <c r="E286" i="34" s="1"/>
  <c r="F286" i="34" s="1"/>
  <c r="G286" i="34" s="1"/>
  <c r="H286" i="34" s="1"/>
  <c r="I286" i="34" s="1"/>
  <c r="J286" i="34" s="1"/>
  <c r="K286" i="34" s="1"/>
  <c r="L286" i="34" s="1"/>
  <c r="M286" i="34" s="1"/>
  <c r="N286" i="34" s="1"/>
  <c r="O286" i="34" s="1"/>
  <c r="P286" i="34" s="1"/>
  <c r="Q286" i="34" s="1"/>
  <c r="R286" i="34" s="1"/>
  <c r="S286" i="34" s="1"/>
  <c r="C278" i="34"/>
  <c r="D278" i="34" s="1"/>
  <c r="E278" i="34" s="1"/>
  <c r="F278" i="34" s="1"/>
  <c r="G278" i="34" s="1"/>
  <c r="H278" i="34" s="1"/>
  <c r="I278" i="34" s="1"/>
  <c r="J278" i="34" s="1"/>
  <c r="K278" i="34" s="1"/>
  <c r="L278" i="34" s="1"/>
  <c r="M278" i="34" s="1"/>
  <c r="N278" i="34" s="1"/>
  <c r="O278" i="34" s="1"/>
  <c r="P278" i="34" s="1"/>
  <c r="Q278" i="34" s="1"/>
  <c r="R278" i="34" s="1"/>
  <c r="S278" i="34" s="1"/>
  <c r="C301" i="34"/>
  <c r="D301" i="34" s="1"/>
  <c r="E301" i="34" s="1"/>
  <c r="F301" i="34" s="1"/>
  <c r="G301" i="34" s="1"/>
  <c r="H301" i="34" s="1"/>
  <c r="I301" i="34" s="1"/>
  <c r="J301" i="34" s="1"/>
  <c r="K301" i="34" s="1"/>
  <c r="L301" i="34" s="1"/>
  <c r="M301" i="34" s="1"/>
  <c r="N301" i="34" s="1"/>
  <c r="O301" i="34" s="1"/>
  <c r="P301" i="34" s="1"/>
  <c r="Q301" i="34" s="1"/>
  <c r="R301" i="34" s="1"/>
  <c r="S301" i="34" s="1"/>
  <c r="C411" i="34"/>
  <c r="D411" i="34" s="1"/>
  <c r="E411" i="34" s="1"/>
  <c r="F411" i="34" s="1"/>
  <c r="G411" i="34" s="1"/>
  <c r="H411" i="34" s="1"/>
  <c r="I411" i="34" s="1"/>
  <c r="J411" i="34" s="1"/>
  <c r="K411" i="34" s="1"/>
  <c r="L411" i="34" s="1"/>
  <c r="M411" i="34" s="1"/>
  <c r="N411" i="34" s="1"/>
  <c r="O411" i="34" s="1"/>
  <c r="P411" i="34" s="1"/>
  <c r="Q411" i="34" s="1"/>
  <c r="R411" i="34" s="1"/>
  <c r="S411" i="34" s="1"/>
  <c r="C436" i="34"/>
  <c r="D436" i="34" s="1"/>
  <c r="E436" i="34" s="1"/>
  <c r="F436" i="34" s="1"/>
  <c r="G436" i="34" s="1"/>
  <c r="H436" i="34" s="1"/>
  <c r="I436" i="34" s="1"/>
  <c r="J436" i="34" s="1"/>
  <c r="K436" i="34" s="1"/>
  <c r="L436" i="34" s="1"/>
  <c r="M436" i="34" s="1"/>
  <c r="N436" i="34" s="1"/>
  <c r="O436" i="34" s="1"/>
  <c r="P436" i="34" s="1"/>
  <c r="Q436" i="34" s="1"/>
  <c r="R436" i="34" s="1"/>
  <c r="S436" i="34" s="1"/>
  <c r="C466" i="34"/>
  <c r="D466" i="34" s="1"/>
  <c r="E466" i="34" s="1"/>
  <c r="F466" i="34" s="1"/>
  <c r="G466" i="34" s="1"/>
  <c r="H466" i="34" s="1"/>
  <c r="I466" i="34" s="1"/>
  <c r="J466" i="34" s="1"/>
  <c r="K466" i="34" s="1"/>
  <c r="L466" i="34" s="1"/>
  <c r="M466" i="34" s="1"/>
  <c r="N466" i="34" s="1"/>
  <c r="O466" i="34" s="1"/>
  <c r="P466" i="34" s="1"/>
  <c r="Q466" i="34" s="1"/>
  <c r="R466" i="34" s="1"/>
  <c r="S466" i="34" s="1"/>
  <c r="C415" i="34"/>
  <c r="D415" i="34" s="1"/>
  <c r="E415" i="34" s="1"/>
  <c r="F415" i="34" s="1"/>
  <c r="G415" i="34" s="1"/>
  <c r="H415" i="34" s="1"/>
  <c r="I415" i="34" s="1"/>
  <c r="J415" i="34" s="1"/>
  <c r="K415" i="34" s="1"/>
  <c r="L415" i="34" s="1"/>
  <c r="M415" i="34" s="1"/>
  <c r="N415" i="34" s="1"/>
  <c r="O415" i="34" s="1"/>
  <c r="P415" i="34" s="1"/>
  <c r="Q415" i="34" s="1"/>
  <c r="R415" i="34" s="1"/>
  <c r="S415" i="34" s="1"/>
  <c r="C516" i="34"/>
  <c r="D516" i="34" s="1"/>
  <c r="E516" i="34" s="1"/>
  <c r="F516" i="34" s="1"/>
  <c r="G516" i="34" s="1"/>
  <c r="H516" i="34" s="1"/>
  <c r="I516" i="34" s="1"/>
  <c r="J516" i="34" s="1"/>
  <c r="K516" i="34" s="1"/>
  <c r="L516" i="34" s="1"/>
  <c r="M516" i="34" s="1"/>
  <c r="N516" i="34" s="1"/>
  <c r="O516" i="34" s="1"/>
  <c r="P516" i="34" s="1"/>
  <c r="Q516" i="34" s="1"/>
  <c r="R516" i="34" s="1"/>
  <c r="S516" i="34" s="1"/>
  <c r="C514" i="34"/>
  <c r="D514" i="34" s="1"/>
  <c r="E514" i="34" s="1"/>
  <c r="F514" i="34" s="1"/>
  <c r="G514" i="34" s="1"/>
  <c r="H514" i="34" s="1"/>
  <c r="I514" i="34" s="1"/>
  <c r="J514" i="34" s="1"/>
  <c r="K514" i="34" s="1"/>
  <c r="L514" i="34" s="1"/>
  <c r="M514" i="34" s="1"/>
  <c r="N514" i="34" s="1"/>
  <c r="O514" i="34" s="1"/>
  <c r="P514" i="34" s="1"/>
  <c r="Q514" i="34" s="1"/>
  <c r="R514" i="34" s="1"/>
  <c r="S514" i="34" s="1"/>
  <c r="C515" i="34"/>
  <c r="D515" i="34" s="1"/>
  <c r="E515" i="34" s="1"/>
  <c r="F515" i="34" s="1"/>
  <c r="G515" i="34" s="1"/>
  <c r="H515" i="34" s="1"/>
  <c r="I515" i="34" s="1"/>
  <c r="J515" i="34" s="1"/>
  <c r="K515" i="34" s="1"/>
  <c r="L515" i="34" s="1"/>
  <c r="M515" i="34" s="1"/>
  <c r="N515" i="34" s="1"/>
  <c r="O515" i="34" s="1"/>
  <c r="P515" i="34" s="1"/>
  <c r="Q515" i="34" s="1"/>
  <c r="R515" i="34" s="1"/>
  <c r="S515" i="34" s="1"/>
  <c r="C557" i="34"/>
  <c r="D557" i="34" s="1"/>
  <c r="E557" i="34" s="1"/>
  <c r="F557" i="34" s="1"/>
  <c r="G557" i="34" s="1"/>
  <c r="H557" i="34" s="1"/>
  <c r="I557" i="34" s="1"/>
  <c r="J557" i="34" s="1"/>
  <c r="K557" i="34" s="1"/>
  <c r="L557" i="34" s="1"/>
  <c r="M557" i="34" s="1"/>
  <c r="N557" i="34" s="1"/>
  <c r="O557" i="34" s="1"/>
  <c r="P557" i="34" s="1"/>
  <c r="Q557" i="34" s="1"/>
  <c r="R557" i="34" s="1"/>
  <c r="S557" i="34" s="1"/>
  <c r="C363" i="34"/>
  <c r="D363" i="34" s="1"/>
  <c r="E363" i="34" s="1"/>
  <c r="F363" i="34" s="1"/>
  <c r="G363" i="34" s="1"/>
  <c r="H363" i="34" s="1"/>
  <c r="I363" i="34" s="1"/>
  <c r="J363" i="34" s="1"/>
  <c r="K363" i="34" s="1"/>
  <c r="L363" i="34" s="1"/>
  <c r="M363" i="34" s="1"/>
  <c r="N363" i="34" s="1"/>
  <c r="O363" i="34" s="1"/>
  <c r="P363" i="34" s="1"/>
  <c r="Q363" i="34" s="1"/>
  <c r="R363" i="34" s="1"/>
  <c r="S363" i="34" s="1"/>
  <c r="C470" i="34"/>
  <c r="D470" i="34" s="1"/>
  <c r="E470" i="34" s="1"/>
  <c r="F470" i="34" s="1"/>
  <c r="G470" i="34" s="1"/>
  <c r="H470" i="34" s="1"/>
  <c r="I470" i="34" s="1"/>
  <c r="J470" i="34" s="1"/>
  <c r="K470" i="34" s="1"/>
  <c r="L470" i="34" s="1"/>
  <c r="M470" i="34" s="1"/>
  <c r="N470" i="34" s="1"/>
  <c r="O470" i="34" s="1"/>
  <c r="P470" i="34" s="1"/>
  <c r="Q470" i="34" s="1"/>
  <c r="R470" i="34" s="1"/>
  <c r="S470" i="34" s="1"/>
  <c r="C401" i="34"/>
  <c r="D401" i="34" s="1"/>
  <c r="E401" i="34" s="1"/>
  <c r="F401" i="34" s="1"/>
  <c r="G401" i="34" s="1"/>
  <c r="H401" i="34" s="1"/>
  <c r="I401" i="34" s="1"/>
  <c r="J401" i="34" s="1"/>
  <c r="K401" i="34" s="1"/>
  <c r="L401" i="34" s="1"/>
  <c r="M401" i="34" s="1"/>
  <c r="N401" i="34" s="1"/>
  <c r="O401" i="34" s="1"/>
  <c r="P401" i="34" s="1"/>
  <c r="Q401" i="34" s="1"/>
  <c r="R401" i="34" s="1"/>
  <c r="S401" i="34" s="1"/>
  <c r="C451" i="34"/>
  <c r="D451" i="34" s="1"/>
  <c r="E451" i="34" s="1"/>
  <c r="F451" i="34" s="1"/>
  <c r="G451" i="34" s="1"/>
  <c r="H451" i="34" s="1"/>
  <c r="I451" i="34" s="1"/>
  <c r="J451" i="34" s="1"/>
  <c r="K451" i="34" s="1"/>
  <c r="L451" i="34" s="1"/>
  <c r="M451" i="34" s="1"/>
  <c r="N451" i="34" s="1"/>
  <c r="O451" i="34" s="1"/>
  <c r="P451" i="34" s="1"/>
  <c r="Q451" i="34" s="1"/>
  <c r="R451" i="34" s="1"/>
  <c r="S451" i="34" s="1"/>
  <c r="C509" i="34"/>
  <c r="D509" i="34" s="1"/>
  <c r="E509" i="34" s="1"/>
  <c r="F509" i="34" s="1"/>
  <c r="G509" i="34" s="1"/>
  <c r="H509" i="34" s="1"/>
  <c r="I509" i="34" s="1"/>
  <c r="J509" i="34" s="1"/>
  <c r="K509" i="34" s="1"/>
  <c r="L509" i="34" s="1"/>
  <c r="M509" i="34" s="1"/>
  <c r="N509" i="34" s="1"/>
  <c r="O509" i="34" s="1"/>
  <c r="P509" i="34" s="1"/>
  <c r="Q509" i="34" s="1"/>
  <c r="R509" i="34" s="1"/>
  <c r="S509" i="34" s="1"/>
  <c r="C327" i="34"/>
  <c r="D327" i="34" s="1"/>
  <c r="E327" i="34" s="1"/>
  <c r="F327" i="34" s="1"/>
  <c r="G327" i="34" s="1"/>
  <c r="H327" i="34" s="1"/>
  <c r="I327" i="34" s="1"/>
  <c r="J327" i="34" s="1"/>
  <c r="K327" i="34" s="1"/>
  <c r="L327" i="34" s="1"/>
  <c r="M327" i="34" s="1"/>
  <c r="N327" i="34" s="1"/>
  <c r="O327" i="34" s="1"/>
  <c r="P327" i="34" s="1"/>
  <c r="Q327" i="34" s="1"/>
  <c r="R327" i="34" s="1"/>
  <c r="S327" i="34" s="1"/>
  <c r="C402" i="34"/>
  <c r="D402" i="34" s="1"/>
  <c r="E402" i="34" s="1"/>
  <c r="F402" i="34" s="1"/>
  <c r="G402" i="34" s="1"/>
  <c r="H402" i="34" s="1"/>
  <c r="I402" i="34" s="1"/>
  <c r="J402" i="34" s="1"/>
  <c r="K402" i="34" s="1"/>
  <c r="L402" i="34" s="1"/>
  <c r="M402" i="34" s="1"/>
  <c r="N402" i="34" s="1"/>
  <c r="O402" i="34" s="1"/>
  <c r="P402" i="34" s="1"/>
  <c r="Q402" i="34" s="1"/>
  <c r="R402" i="34" s="1"/>
  <c r="S402" i="34" s="1"/>
  <c r="C424" i="34"/>
  <c r="D424" i="34" s="1"/>
  <c r="E424" i="34" s="1"/>
  <c r="F424" i="34" s="1"/>
  <c r="G424" i="34" s="1"/>
  <c r="H424" i="34" s="1"/>
  <c r="I424" i="34" s="1"/>
  <c r="J424" i="34" s="1"/>
  <c r="K424" i="34" s="1"/>
  <c r="L424" i="34" s="1"/>
  <c r="M424" i="34" s="1"/>
  <c r="N424" i="34" s="1"/>
  <c r="O424" i="34" s="1"/>
  <c r="P424" i="34" s="1"/>
  <c r="Q424" i="34" s="1"/>
  <c r="R424" i="34" s="1"/>
  <c r="S424" i="34" s="1"/>
  <c r="C460" i="34"/>
  <c r="D460" i="34" s="1"/>
  <c r="E460" i="34" s="1"/>
  <c r="F460" i="34" s="1"/>
  <c r="G460" i="34" s="1"/>
  <c r="H460" i="34" s="1"/>
  <c r="I460" i="34" s="1"/>
  <c r="J460" i="34" s="1"/>
  <c r="K460" i="34" s="1"/>
  <c r="L460" i="34" s="1"/>
  <c r="M460" i="34" s="1"/>
  <c r="N460" i="34" s="1"/>
  <c r="O460" i="34" s="1"/>
  <c r="P460" i="34" s="1"/>
  <c r="Q460" i="34" s="1"/>
  <c r="R460" i="34" s="1"/>
  <c r="S460" i="34" s="1"/>
  <c r="C388" i="34"/>
  <c r="D388" i="34" s="1"/>
  <c r="E388" i="34" s="1"/>
  <c r="F388" i="34" s="1"/>
  <c r="G388" i="34" s="1"/>
  <c r="H388" i="34" s="1"/>
  <c r="I388" i="34" s="1"/>
  <c r="J388" i="34" s="1"/>
  <c r="K388" i="34" s="1"/>
  <c r="L388" i="34" s="1"/>
  <c r="M388" i="34" s="1"/>
  <c r="N388" i="34" s="1"/>
  <c r="O388" i="34" s="1"/>
  <c r="P388" i="34" s="1"/>
  <c r="Q388" i="34" s="1"/>
  <c r="R388" i="34" s="1"/>
  <c r="S388" i="34" s="1"/>
  <c r="C427" i="34"/>
  <c r="D427" i="34" s="1"/>
  <c r="E427" i="34" s="1"/>
  <c r="F427" i="34" s="1"/>
  <c r="G427" i="34" s="1"/>
  <c r="H427" i="34" s="1"/>
  <c r="I427" i="34" s="1"/>
  <c r="J427" i="34" s="1"/>
  <c r="K427" i="34" s="1"/>
  <c r="L427" i="34" s="1"/>
  <c r="M427" i="34" s="1"/>
  <c r="N427" i="34" s="1"/>
  <c r="O427" i="34" s="1"/>
  <c r="P427" i="34" s="1"/>
  <c r="Q427" i="34" s="1"/>
  <c r="R427" i="34" s="1"/>
  <c r="S427" i="34" s="1"/>
  <c r="C91" i="34"/>
  <c r="D91" i="34" s="1"/>
  <c r="E91" i="34" s="1"/>
  <c r="F91" i="34" s="1"/>
  <c r="G91" i="34" s="1"/>
  <c r="H91" i="34" s="1"/>
  <c r="I91" i="34" s="1"/>
  <c r="J91" i="34" s="1"/>
  <c r="K91" i="34" s="1"/>
  <c r="L91" i="34" s="1"/>
  <c r="M91" i="34" s="1"/>
  <c r="N91" i="34" s="1"/>
  <c r="O91" i="34" s="1"/>
  <c r="P91" i="34" s="1"/>
  <c r="Q91" i="34" s="1"/>
  <c r="R91" i="34" s="1"/>
  <c r="S91" i="34" s="1"/>
  <c r="C151" i="34"/>
  <c r="D151" i="34" s="1"/>
  <c r="E151" i="34" s="1"/>
  <c r="F151" i="34" s="1"/>
  <c r="G151" i="34" s="1"/>
  <c r="H151" i="34" s="1"/>
  <c r="I151" i="34" s="1"/>
  <c r="J151" i="34" s="1"/>
  <c r="K151" i="34" s="1"/>
  <c r="L151" i="34" s="1"/>
  <c r="M151" i="34" s="1"/>
  <c r="N151" i="34" s="1"/>
  <c r="O151" i="34" s="1"/>
  <c r="P151" i="34" s="1"/>
  <c r="Q151" i="34" s="1"/>
  <c r="R151" i="34" s="1"/>
  <c r="S151" i="34" s="1"/>
  <c r="C135" i="34"/>
  <c r="D135" i="34" s="1"/>
  <c r="E135" i="34" s="1"/>
  <c r="F135" i="34" s="1"/>
  <c r="G135" i="34" s="1"/>
  <c r="H135" i="34" s="1"/>
  <c r="I135" i="34" s="1"/>
  <c r="J135" i="34" s="1"/>
  <c r="K135" i="34" s="1"/>
  <c r="L135" i="34" s="1"/>
  <c r="M135" i="34" s="1"/>
  <c r="N135" i="34" s="1"/>
  <c r="O135" i="34" s="1"/>
  <c r="P135" i="34" s="1"/>
  <c r="Q135" i="34" s="1"/>
  <c r="R135" i="34" s="1"/>
  <c r="S135" i="34" s="1"/>
  <c r="C179" i="34"/>
  <c r="D179" i="34" s="1"/>
  <c r="E179" i="34" s="1"/>
  <c r="F179" i="34" s="1"/>
  <c r="G179" i="34" s="1"/>
  <c r="H179" i="34" s="1"/>
  <c r="I179" i="34" s="1"/>
  <c r="J179" i="34" s="1"/>
  <c r="K179" i="34" s="1"/>
  <c r="L179" i="34" s="1"/>
  <c r="M179" i="34" s="1"/>
  <c r="N179" i="34" s="1"/>
  <c r="O179" i="34" s="1"/>
  <c r="P179" i="34" s="1"/>
  <c r="Q179" i="34" s="1"/>
  <c r="R179" i="34" s="1"/>
  <c r="S179" i="34" s="1"/>
  <c r="C356" i="34"/>
  <c r="D356" i="34" s="1"/>
  <c r="E356" i="34" s="1"/>
  <c r="F356" i="34" s="1"/>
  <c r="G356" i="34" s="1"/>
  <c r="H356" i="34" s="1"/>
  <c r="I356" i="34" s="1"/>
  <c r="J356" i="34" s="1"/>
  <c r="K356" i="34" s="1"/>
  <c r="L356" i="34" s="1"/>
  <c r="M356" i="34" s="1"/>
  <c r="N356" i="34" s="1"/>
  <c r="O356" i="34" s="1"/>
  <c r="P356" i="34" s="1"/>
  <c r="Q356" i="34" s="1"/>
  <c r="R356" i="34" s="1"/>
  <c r="S356" i="34" s="1"/>
  <c r="C339" i="34"/>
  <c r="D339" i="34" s="1"/>
  <c r="E339" i="34" s="1"/>
  <c r="F339" i="34" s="1"/>
  <c r="G339" i="34" s="1"/>
  <c r="H339" i="34" s="1"/>
  <c r="I339" i="34" s="1"/>
  <c r="J339" i="34" s="1"/>
  <c r="K339" i="34" s="1"/>
  <c r="L339" i="34" s="1"/>
  <c r="M339" i="34" s="1"/>
  <c r="N339" i="34" s="1"/>
  <c r="O339" i="34" s="1"/>
  <c r="P339" i="34" s="1"/>
  <c r="Q339" i="34" s="1"/>
  <c r="R339" i="34" s="1"/>
  <c r="S339" i="34" s="1"/>
  <c r="C404" i="34"/>
  <c r="D404" i="34" s="1"/>
  <c r="E404" i="34" s="1"/>
  <c r="F404" i="34" s="1"/>
  <c r="G404" i="34" s="1"/>
  <c r="H404" i="34" s="1"/>
  <c r="I404" i="34" s="1"/>
  <c r="J404" i="34" s="1"/>
  <c r="K404" i="34" s="1"/>
  <c r="L404" i="34" s="1"/>
  <c r="M404" i="34" s="1"/>
  <c r="N404" i="34" s="1"/>
  <c r="O404" i="34" s="1"/>
  <c r="P404" i="34" s="1"/>
  <c r="Q404" i="34" s="1"/>
  <c r="R404" i="34" s="1"/>
  <c r="S404" i="34" s="1"/>
  <c r="C229" i="34"/>
  <c r="D229" i="34" s="1"/>
  <c r="E229" i="34" s="1"/>
  <c r="F229" i="34" s="1"/>
  <c r="G229" i="34" s="1"/>
  <c r="H229" i="34" s="1"/>
  <c r="I229" i="34" s="1"/>
  <c r="J229" i="34" s="1"/>
  <c r="K229" i="34" s="1"/>
  <c r="L229" i="34" s="1"/>
  <c r="M229" i="34" s="1"/>
  <c r="N229" i="34" s="1"/>
  <c r="O229" i="34" s="1"/>
  <c r="P229" i="34" s="1"/>
  <c r="Q229" i="34" s="1"/>
  <c r="R229" i="34" s="1"/>
  <c r="S229" i="34" s="1"/>
  <c r="C299" i="34"/>
  <c r="D299" i="34" s="1"/>
  <c r="E299" i="34" s="1"/>
  <c r="F299" i="34" s="1"/>
  <c r="G299" i="34" s="1"/>
  <c r="H299" i="34" s="1"/>
  <c r="I299" i="34" s="1"/>
  <c r="J299" i="34" s="1"/>
  <c r="K299" i="34" s="1"/>
  <c r="L299" i="34" s="1"/>
  <c r="M299" i="34" s="1"/>
  <c r="N299" i="34" s="1"/>
  <c r="O299" i="34" s="1"/>
  <c r="P299" i="34" s="1"/>
  <c r="Q299" i="34" s="1"/>
  <c r="R299" i="34" s="1"/>
  <c r="S299" i="34" s="1"/>
  <c r="C519" i="34"/>
  <c r="D519" i="34" s="1"/>
  <c r="E519" i="34" s="1"/>
  <c r="F519" i="34" s="1"/>
  <c r="G519" i="34" s="1"/>
  <c r="H519" i="34" s="1"/>
  <c r="I519" i="34" s="1"/>
  <c r="J519" i="34" s="1"/>
  <c r="K519" i="34" s="1"/>
  <c r="L519" i="34" s="1"/>
  <c r="M519" i="34" s="1"/>
  <c r="N519" i="34" s="1"/>
  <c r="O519" i="34" s="1"/>
  <c r="P519" i="34" s="1"/>
  <c r="Q519" i="34" s="1"/>
  <c r="R519" i="34" s="1"/>
  <c r="S519" i="34" s="1"/>
  <c r="C41" i="34"/>
  <c r="D41" i="34" s="1"/>
  <c r="E41" i="34" s="1"/>
  <c r="F41" i="34" s="1"/>
  <c r="G41" i="34" s="1"/>
  <c r="H41" i="34" s="1"/>
  <c r="I41" i="34" s="1"/>
  <c r="J41" i="34" s="1"/>
  <c r="K41" i="34" s="1"/>
  <c r="L41" i="34" s="1"/>
  <c r="M41" i="34" s="1"/>
  <c r="N41" i="34" s="1"/>
  <c r="O41" i="34" s="1"/>
  <c r="P41" i="34" s="1"/>
  <c r="Q41" i="34" s="1"/>
  <c r="R41" i="34" s="1"/>
  <c r="S41" i="34" s="1"/>
  <c r="C196" i="34"/>
  <c r="D196" i="34" s="1"/>
  <c r="E196" i="34" s="1"/>
  <c r="F196" i="34" s="1"/>
  <c r="G196" i="34" s="1"/>
  <c r="H196" i="34" s="1"/>
  <c r="I196" i="34" s="1"/>
  <c r="J196" i="34" s="1"/>
  <c r="K196" i="34" s="1"/>
  <c r="L196" i="34" s="1"/>
  <c r="M196" i="34" s="1"/>
  <c r="N196" i="34" s="1"/>
  <c r="O196" i="34" s="1"/>
  <c r="P196" i="34" s="1"/>
  <c r="Q196" i="34" s="1"/>
  <c r="R196" i="34" s="1"/>
  <c r="S196" i="34" s="1"/>
  <c r="C50" i="34"/>
  <c r="D50" i="34" s="1"/>
  <c r="E50" i="34" s="1"/>
  <c r="F50" i="34" s="1"/>
  <c r="G50" i="34" s="1"/>
  <c r="H50" i="34" s="1"/>
  <c r="I50" i="34" s="1"/>
  <c r="J50" i="34" s="1"/>
  <c r="K50" i="34" s="1"/>
  <c r="L50" i="34" s="1"/>
  <c r="M50" i="34" s="1"/>
  <c r="N50" i="34" s="1"/>
  <c r="O50" i="34" s="1"/>
  <c r="P50" i="34" s="1"/>
  <c r="Q50" i="34" s="1"/>
  <c r="R50" i="34" s="1"/>
  <c r="S50" i="34" s="1"/>
  <c r="C7" i="34"/>
  <c r="D7" i="34" s="1"/>
  <c r="E7" i="34" s="1"/>
  <c r="F7" i="34" s="1"/>
  <c r="G7" i="34" s="1"/>
  <c r="H7" i="34" s="1"/>
  <c r="I7" i="34" s="1"/>
  <c r="J7" i="34" s="1"/>
  <c r="K7" i="34" s="1"/>
  <c r="L7" i="34" s="1"/>
  <c r="M7" i="34" s="1"/>
  <c r="N7" i="34" s="1"/>
  <c r="O7" i="34" s="1"/>
  <c r="P7" i="34" s="1"/>
  <c r="Q7" i="34" s="1"/>
  <c r="R7" i="34" s="1"/>
  <c r="S7" i="34" s="1"/>
  <c r="C104" i="34"/>
  <c r="D104" i="34" s="1"/>
  <c r="E104" i="34" s="1"/>
  <c r="F104" i="34" s="1"/>
  <c r="G104" i="34" s="1"/>
  <c r="H104" i="34" s="1"/>
  <c r="I104" i="34" s="1"/>
  <c r="J104" i="34" s="1"/>
  <c r="K104" i="34" s="1"/>
  <c r="L104" i="34" s="1"/>
  <c r="M104" i="34" s="1"/>
  <c r="N104" i="34" s="1"/>
  <c r="O104" i="34" s="1"/>
  <c r="P104" i="34" s="1"/>
  <c r="Q104" i="34" s="1"/>
  <c r="R104" i="34" s="1"/>
  <c r="S104" i="34" s="1"/>
  <c r="C74" i="34"/>
  <c r="D74" i="34" s="1"/>
  <c r="E74" i="34" s="1"/>
  <c r="F74" i="34" s="1"/>
  <c r="G74" i="34" s="1"/>
  <c r="H74" i="34" s="1"/>
  <c r="I74" i="34" s="1"/>
  <c r="J74" i="34" s="1"/>
  <c r="K74" i="34" s="1"/>
  <c r="L74" i="34" s="1"/>
  <c r="M74" i="34" s="1"/>
  <c r="N74" i="34" s="1"/>
  <c r="O74" i="34" s="1"/>
  <c r="P74" i="34" s="1"/>
  <c r="Q74" i="34" s="1"/>
  <c r="R74" i="34" s="1"/>
  <c r="S74" i="34" s="1"/>
  <c r="C21" i="34"/>
  <c r="D21" i="34" s="1"/>
  <c r="E21" i="34" s="1"/>
  <c r="F21" i="34" s="1"/>
  <c r="G21" i="34" s="1"/>
  <c r="H21" i="34" s="1"/>
  <c r="I21" i="34" s="1"/>
  <c r="J21" i="34" s="1"/>
  <c r="K21" i="34" s="1"/>
  <c r="L21" i="34" s="1"/>
  <c r="M21" i="34" s="1"/>
  <c r="N21" i="34" s="1"/>
  <c r="O21" i="34" s="1"/>
  <c r="P21" i="34" s="1"/>
  <c r="Q21" i="34" s="1"/>
  <c r="R21" i="34" s="1"/>
  <c r="S21" i="34" s="1"/>
  <c r="C58" i="34"/>
  <c r="D58" i="34" s="1"/>
  <c r="E58" i="34" s="1"/>
  <c r="F58" i="34" s="1"/>
  <c r="G58" i="34" s="1"/>
  <c r="H58" i="34" s="1"/>
  <c r="I58" i="34" s="1"/>
  <c r="J58" i="34" s="1"/>
  <c r="K58" i="34" s="1"/>
  <c r="L58" i="34" s="1"/>
  <c r="M58" i="34" s="1"/>
  <c r="N58" i="34" s="1"/>
  <c r="O58" i="34" s="1"/>
  <c r="P58" i="34" s="1"/>
  <c r="Q58" i="34" s="1"/>
  <c r="R58" i="34" s="1"/>
  <c r="S58" i="34" s="1"/>
  <c r="C69" i="34"/>
  <c r="D69" i="34" s="1"/>
  <c r="E69" i="34" s="1"/>
  <c r="F69" i="34" s="1"/>
  <c r="G69" i="34" s="1"/>
  <c r="H69" i="34" s="1"/>
  <c r="I69" i="34" s="1"/>
  <c r="J69" i="34" s="1"/>
  <c r="K69" i="34" s="1"/>
  <c r="L69" i="34" s="1"/>
  <c r="M69" i="34" s="1"/>
  <c r="N69" i="34" s="1"/>
  <c r="O69" i="34" s="1"/>
  <c r="P69" i="34" s="1"/>
  <c r="Q69" i="34" s="1"/>
  <c r="R69" i="34" s="1"/>
  <c r="S69" i="34" s="1"/>
  <c r="C124" i="34"/>
  <c r="D124" i="34" s="1"/>
  <c r="E124" i="34" s="1"/>
  <c r="F124" i="34" s="1"/>
  <c r="G124" i="34" s="1"/>
  <c r="H124" i="34" s="1"/>
  <c r="I124" i="34" s="1"/>
  <c r="J124" i="34" s="1"/>
  <c r="K124" i="34" s="1"/>
  <c r="L124" i="34" s="1"/>
  <c r="M124" i="34" s="1"/>
  <c r="N124" i="34" s="1"/>
  <c r="O124" i="34" s="1"/>
  <c r="P124" i="34" s="1"/>
  <c r="Q124" i="34" s="1"/>
  <c r="R124" i="34" s="1"/>
  <c r="S124" i="34" s="1"/>
  <c r="C5" i="34"/>
  <c r="D5" i="34" s="1"/>
  <c r="E5" i="34" s="1"/>
  <c r="F5" i="34" s="1"/>
  <c r="G5" i="34" s="1"/>
  <c r="H5" i="34" s="1"/>
  <c r="I5" i="34" s="1"/>
  <c r="J5" i="34" s="1"/>
  <c r="K5" i="34" s="1"/>
  <c r="L5" i="34" s="1"/>
  <c r="M5" i="34" s="1"/>
  <c r="N5" i="34" s="1"/>
  <c r="O5" i="34" s="1"/>
  <c r="P5" i="34" s="1"/>
  <c r="Q5" i="34" s="1"/>
  <c r="R5" i="34" s="1"/>
  <c r="S5" i="34" s="1"/>
  <c r="C30" i="34"/>
  <c r="D30" i="34" s="1"/>
  <c r="E30" i="34" s="1"/>
  <c r="F30" i="34" s="1"/>
  <c r="G30" i="34" s="1"/>
  <c r="H30" i="34" s="1"/>
  <c r="I30" i="34" s="1"/>
  <c r="J30" i="34" s="1"/>
  <c r="K30" i="34" s="1"/>
  <c r="L30" i="34" s="1"/>
  <c r="M30" i="34" s="1"/>
  <c r="N30" i="34" s="1"/>
  <c r="O30" i="34" s="1"/>
  <c r="P30" i="34" s="1"/>
  <c r="Q30" i="34" s="1"/>
  <c r="R30" i="34" s="1"/>
  <c r="S30" i="34" s="1"/>
  <c r="C66" i="34"/>
  <c r="D66" i="34" s="1"/>
  <c r="E66" i="34" s="1"/>
  <c r="F66" i="34" s="1"/>
  <c r="G66" i="34" s="1"/>
  <c r="H66" i="34" s="1"/>
  <c r="I66" i="34" s="1"/>
  <c r="J66" i="34" s="1"/>
  <c r="K66" i="34" s="1"/>
  <c r="L66" i="34" s="1"/>
  <c r="M66" i="34" s="1"/>
  <c r="N66" i="34" s="1"/>
  <c r="O66" i="34" s="1"/>
  <c r="P66" i="34" s="1"/>
  <c r="Q66" i="34" s="1"/>
  <c r="R66" i="34" s="1"/>
  <c r="S66" i="34" s="1"/>
  <c r="C156" i="34"/>
  <c r="D156" i="34" s="1"/>
  <c r="E156" i="34" s="1"/>
  <c r="F156" i="34" s="1"/>
  <c r="G156" i="34" s="1"/>
  <c r="H156" i="34" s="1"/>
  <c r="I156" i="34" s="1"/>
  <c r="J156" i="34" s="1"/>
  <c r="K156" i="34" s="1"/>
  <c r="L156" i="34" s="1"/>
  <c r="M156" i="34" s="1"/>
  <c r="N156" i="34" s="1"/>
  <c r="O156" i="34" s="1"/>
  <c r="P156" i="34" s="1"/>
  <c r="Q156" i="34" s="1"/>
  <c r="R156" i="34" s="1"/>
  <c r="S156" i="34" s="1"/>
  <c r="C9" i="34"/>
  <c r="D9" i="34" s="1"/>
  <c r="E9" i="34" s="1"/>
  <c r="F9" i="34" s="1"/>
  <c r="G9" i="34" s="1"/>
  <c r="H9" i="34" s="1"/>
  <c r="I9" i="34" s="1"/>
  <c r="J9" i="34" s="1"/>
  <c r="K9" i="34" s="1"/>
  <c r="L9" i="34" s="1"/>
  <c r="M9" i="34" s="1"/>
  <c r="N9" i="34" s="1"/>
  <c r="O9" i="34" s="1"/>
  <c r="P9" i="34" s="1"/>
  <c r="Q9" i="34" s="1"/>
  <c r="R9" i="34" s="1"/>
  <c r="S9" i="34" s="1"/>
  <c r="C44" i="34"/>
  <c r="D44" i="34" s="1"/>
  <c r="E44" i="34" s="1"/>
  <c r="F44" i="34" s="1"/>
  <c r="G44" i="34" s="1"/>
  <c r="H44" i="34" s="1"/>
  <c r="I44" i="34" s="1"/>
  <c r="J44" i="34" s="1"/>
  <c r="K44" i="34" s="1"/>
  <c r="L44" i="34" s="1"/>
  <c r="M44" i="34" s="1"/>
  <c r="N44" i="34" s="1"/>
  <c r="O44" i="34" s="1"/>
  <c r="P44" i="34" s="1"/>
  <c r="Q44" i="34" s="1"/>
  <c r="R44" i="34" s="1"/>
  <c r="S44" i="34" s="1"/>
  <c r="C67" i="34"/>
  <c r="D67" i="34" s="1"/>
  <c r="E67" i="34" s="1"/>
  <c r="F67" i="34" s="1"/>
  <c r="G67" i="34" s="1"/>
  <c r="H67" i="34" s="1"/>
  <c r="I67" i="34" s="1"/>
  <c r="J67" i="34" s="1"/>
  <c r="K67" i="34" s="1"/>
  <c r="L67" i="34" s="1"/>
  <c r="M67" i="34" s="1"/>
  <c r="N67" i="34" s="1"/>
  <c r="O67" i="34" s="1"/>
  <c r="P67" i="34" s="1"/>
  <c r="Q67" i="34" s="1"/>
  <c r="R67" i="34" s="1"/>
  <c r="S67" i="34" s="1"/>
  <c r="C99" i="34"/>
  <c r="D99" i="34" s="1"/>
  <c r="E99" i="34" s="1"/>
  <c r="F99" i="34" s="1"/>
  <c r="G99" i="34" s="1"/>
  <c r="H99" i="34" s="1"/>
  <c r="I99" i="34" s="1"/>
  <c r="J99" i="34" s="1"/>
  <c r="K99" i="34" s="1"/>
  <c r="L99" i="34" s="1"/>
  <c r="M99" i="34" s="1"/>
  <c r="N99" i="34" s="1"/>
  <c r="O99" i="34" s="1"/>
  <c r="P99" i="34" s="1"/>
  <c r="Q99" i="34" s="1"/>
  <c r="R99" i="34" s="1"/>
  <c r="S99" i="34" s="1"/>
  <c r="C105" i="34"/>
  <c r="D105" i="34" s="1"/>
  <c r="E105" i="34" s="1"/>
  <c r="F105" i="34" s="1"/>
  <c r="G105" i="34" s="1"/>
  <c r="H105" i="34" s="1"/>
  <c r="I105" i="34" s="1"/>
  <c r="J105" i="34" s="1"/>
  <c r="K105" i="34" s="1"/>
  <c r="L105" i="34" s="1"/>
  <c r="M105" i="34" s="1"/>
  <c r="N105" i="34" s="1"/>
  <c r="O105" i="34" s="1"/>
  <c r="P105" i="34" s="1"/>
  <c r="Q105" i="34" s="1"/>
  <c r="R105" i="34" s="1"/>
  <c r="S105" i="34" s="1"/>
  <c r="C183" i="34"/>
  <c r="D183" i="34" s="1"/>
  <c r="E183" i="34" s="1"/>
  <c r="F183" i="34" s="1"/>
  <c r="G183" i="34" s="1"/>
  <c r="H183" i="34" s="1"/>
  <c r="I183" i="34" s="1"/>
  <c r="J183" i="34" s="1"/>
  <c r="K183" i="34" s="1"/>
  <c r="L183" i="34" s="1"/>
  <c r="M183" i="34" s="1"/>
  <c r="N183" i="34" s="1"/>
  <c r="O183" i="34" s="1"/>
  <c r="P183" i="34" s="1"/>
  <c r="Q183" i="34" s="1"/>
  <c r="R183" i="34" s="1"/>
  <c r="S183" i="34" s="1"/>
  <c r="C232" i="34"/>
  <c r="D232" i="34" s="1"/>
  <c r="E232" i="34" s="1"/>
  <c r="F232" i="34" s="1"/>
  <c r="G232" i="34" s="1"/>
  <c r="H232" i="34" s="1"/>
  <c r="I232" i="34" s="1"/>
  <c r="J232" i="34" s="1"/>
  <c r="K232" i="34" s="1"/>
  <c r="L232" i="34" s="1"/>
  <c r="M232" i="34" s="1"/>
  <c r="N232" i="34" s="1"/>
  <c r="O232" i="34" s="1"/>
  <c r="P232" i="34" s="1"/>
  <c r="Q232" i="34" s="1"/>
  <c r="R232" i="34" s="1"/>
  <c r="S232" i="34" s="1"/>
  <c r="C310" i="34"/>
  <c r="D310" i="34" s="1"/>
  <c r="E310" i="34" s="1"/>
  <c r="F310" i="34" s="1"/>
  <c r="G310" i="34" s="1"/>
  <c r="H310" i="34" s="1"/>
  <c r="I310" i="34" s="1"/>
  <c r="J310" i="34" s="1"/>
  <c r="K310" i="34" s="1"/>
  <c r="L310" i="34" s="1"/>
  <c r="M310" i="34" s="1"/>
  <c r="N310" i="34" s="1"/>
  <c r="O310" i="34" s="1"/>
  <c r="P310" i="34" s="1"/>
  <c r="Q310" i="34" s="1"/>
  <c r="R310" i="34" s="1"/>
  <c r="S310" i="34" s="1"/>
  <c r="C368" i="34"/>
  <c r="D368" i="34" s="1"/>
  <c r="E368" i="34" s="1"/>
  <c r="F368" i="34" s="1"/>
  <c r="G368" i="34" s="1"/>
  <c r="H368" i="34" s="1"/>
  <c r="I368" i="34" s="1"/>
  <c r="J368" i="34" s="1"/>
  <c r="K368" i="34" s="1"/>
  <c r="L368" i="34" s="1"/>
  <c r="M368" i="34" s="1"/>
  <c r="N368" i="34" s="1"/>
  <c r="O368" i="34" s="1"/>
  <c r="P368" i="34" s="1"/>
  <c r="Q368" i="34" s="1"/>
  <c r="R368" i="34" s="1"/>
  <c r="S368" i="34" s="1"/>
  <c r="C258" i="34"/>
  <c r="D258" i="34" s="1"/>
  <c r="E258" i="34" s="1"/>
  <c r="F258" i="34" s="1"/>
  <c r="G258" i="34" s="1"/>
  <c r="H258" i="34" s="1"/>
  <c r="I258" i="34" s="1"/>
  <c r="J258" i="34" s="1"/>
  <c r="K258" i="34" s="1"/>
  <c r="L258" i="34" s="1"/>
  <c r="M258" i="34" s="1"/>
  <c r="N258" i="34" s="1"/>
  <c r="O258" i="34" s="1"/>
  <c r="P258" i="34" s="1"/>
  <c r="Q258" i="34" s="1"/>
  <c r="R258" i="34" s="1"/>
  <c r="S258" i="34" s="1"/>
  <c r="C123" i="34"/>
  <c r="D123" i="34" s="1"/>
  <c r="E123" i="34" s="1"/>
  <c r="F123" i="34" s="1"/>
  <c r="G123" i="34" s="1"/>
  <c r="H123" i="34" s="1"/>
  <c r="I123" i="34" s="1"/>
  <c r="J123" i="34" s="1"/>
  <c r="K123" i="34" s="1"/>
  <c r="L123" i="34" s="1"/>
  <c r="M123" i="34" s="1"/>
  <c r="N123" i="34" s="1"/>
  <c r="O123" i="34" s="1"/>
  <c r="P123" i="34" s="1"/>
  <c r="Q123" i="34" s="1"/>
  <c r="R123" i="34" s="1"/>
  <c r="S123" i="34" s="1"/>
  <c r="C333" i="34"/>
  <c r="D333" i="34" s="1"/>
  <c r="E333" i="34" s="1"/>
  <c r="F333" i="34" s="1"/>
  <c r="G333" i="34" s="1"/>
  <c r="H333" i="34" s="1"/>
  <c r="I333" i="34" s="1"/>
  <c r="J333" i="34" s="1"/>
  <c r="K333" i="34" s="1"/>
  <c r="L333" i="34" s="1"/>
  <c r="M333" i="34" s="1"/>
  <c r="N333" i="34" s="1"/>
  <c r="O333" i="34" s="1"/>
  <c r="P333" i="34" s="1"/>
  <c r="Q333" i="34" s="1"/>
  <c r="R333" i="34" s="1"/>
  <c r="S333" i="34" s="1"/>
  <c r="C182" i="34"/>
  <c r="D182" i="34" s="1"/>
  <c r="E182" i="34" s="1"/>
  <c r="F182" i="34" s="1"/>
  <c r="G182" i="34" s="1"/>
  <c r="H182" i="34" s="1"/>
  <c r="I182" i="34" s="1"/>
  <c r="J182" i="34" s="1"/>
  <c r="K182" i="34" s="1"/>
  <c r="L182" i="34" s="1"/>
  <c r="M182" i="34" s="1"/>
  <c r="N182" i="34" s="1"/>
  <c r="O182" i="34" s="1"/>
  <c r="P182" i="34" s="1"/>
  <c r="Q182" i="34" s="1"/>
  <c r="R182" i="34" s="1"/>
  <c r="S182" i="34" s="1"/>
  <c r="C309" i="34"/>
  <c r="D309" i="34" s="1"/>
  <c r="E309" i="34" s="1"/>
  <c r="F309" i="34" s="1"/>
  <c r="G309" i="34" s="1"/>
  <c r="H309" i="34" s="1"/>
  <c r="I309" i="34" s="1"/>
  <c r="J309" i="34" s="1"/>
  <c r="K309" i="34" s="1"/>
  <c r="L309" i="34" s="1"/>
  <c r="M309" i="34" s="1"/>
  <c r="N309" i="34" s="1"/>
  <c r="O309" i="34" s="1"/>
  <c r="P309" i="34" s="1"/>
  <c r="Q309" i="34" s="1"/>
  <c r="R309" i="34" s="1"/>
  <c r="S309" i="34" s="1"/>
  <c r="C348" i="34"/>
  <c r="D348" i="34" s="1"/>
  <c r="E348" i="34" s="1"/>
  <c r="F348" i="34" s="1"/>
  <c r="G348" i="34" s="1"/>
  <c r="H348" i="34" s="1"/>
  <c r="I348" i="34" s="1"/>
  <c r="J348" i="34" s="1"/>
  <c r="K348" i="34" s="1"/>
  <c r="L348" i="34" s="1"/>
  <c r="M348" i="34" s="1"/>
  <c r="N348" i="34" s="1"/>
  <c r="O348" i="34" s="1"/>
  <c r="P348" i="34" s="1"/>
  <c r="Q348" i="34" s="1"/>
  <c r="R348" i="34" s="1"/>
  <c r="S348" i="34" s="1"/>
  <c r="C372" i="34"/>
  <c r="D372" i="34" s="1"/>
  <c r="E372" i="34" s="1"/>
  <c r="F372" i="34" s="1"/>
  <c r="G372" i="34" s="1"/>
  <c r="H372" i="34" s="1"/>
  <c r="I372" i="34" s="1"/>
  <c r="J372" i="34" s="1"/>
  <c r="K372" i="34" s="1"/>
  <c r="L372" i="34" s="1"/>
  <c r="M372" i="34" s="1"/>
  <c r="N372" i="34" s="1"/>
  <c r="O372" i="34" s="1"/>
  <c r="P372" i="34" s="1"/>
  <c r="Q372" i="34" s="1"/>
  <c r="R372" i="34" s="1"/>
  <c r="S372" i="34" s="1"/>
  <c r="C144" i="34"/>
  <c r="D144" i="34" s="1"/>
  <c r="E144" i="34" s="1"/>
  <c r="F144" i="34" s="1"/>
  <c r="G144" i="34" s="1"/>
  <c r="H144" i="34" s="1"/>
  <c r="I144" i="34" s="1"/>
  <c r="J144" i="34" s="1"/>
  <c r="K144" i="34" s="1"/>
  <c r="L144" i="34" s="1"/>
  <c r="M144" i="34" s="1"/>
  <c r="N144" i="34" s="1"/>
  <c r="O144" i="34" s="1"/>
  <c r="P144" i="34" s="1"/>
  <c r="Q144" i="34" s="1"/>
  <c r="R144" i="34" s="1"/>
  <c r="S144" i="34" s="1"/>
  <c r="C203" i="34"/>
  <c r="D203" i="34" s="1"/>
  <c r="E203" i="34" s="1"/>
  <c r="F203" i="34" s="1"/>
  <c r="G203" i="34" s="1"/>
  <c r="H203" i="34" s="1"/>
  <c r="I203" i="34" s="1"/>
  <c r="J203" i="34" s="1"/>
  <c r="K203" i="34" s="1"/>
  <c r="L203" i="34" s="1"/>
  <c r="M203" i="34" s="1"/>
  <c r="N203" i="34" s="1"/>
  <c r="O203" i="34" s="1"/>
  <c r="P203" i="34" s="1"/>
  <c r="Q203" i="34" s="1"/>
  <c r="R203" i="34" s="1"/>
  <c r="S203" i="34" s="1"/>
  <c r="C226" i="34"/>
  <c r="D226" i="34" s="1"/>
  <c r="E226" i="34" s="1"/>
  <c r="F226" i="34" s="1"/>
  <c r="G226" i="34" s="1"/>
  <c r="H226" i="34" s="1"/>
  <c r="I226" i="34" s="1"/>
  <c r="J226" i="34" s="1"/>
  <c r="K226" i="34" s="1"/>
  <c r="L226" i="34" s="1"/>
  <c r="M226" i="34" s="1"/>
  <c r="N226" i="34" s="1"/>
  <c r="O226" i="34" s="1"/>
  <c r="P226" i="34" s="1"/>
  <c r="Q226" i="34" s="1"/>
  <c r="R226" i="34" s="1"/>
  <c r="S226" i="34" s="1"/>
  <c r="C303" i="34"/>
  <c r="D303" i="34" s="1"/>
  <c r="E303" i="34" s="1"/>
  <c r="F303" i="34" s="1"/>
  <c r="G303" i="34" s="1"/>
  <c r="H303" i="34" s="1"/>
  <c r="I303" i="34" s="1"/>
  <c r="J303" i="34" s="1"/>
  <c r="K303" i="34" s="1"/>
  <c r="L303" i="34" s="1"/>
  <c r="M303" i="34" s="1"/>
  <c r="N303" i="34" s="1"/>
  <c r="O303" i="34" s="1"/>
  <c r="P303" i="34" s="1"/>
  <c r="Q303" i="34" s="1"/>
  <c r="R303" i="34" s="1"/>
  <c r="S303" i="34" s="1"/>
  <c r="C340" i="34"/>
  <c r="D340" i="34" s="1"/>
  <c r="E340" i="34" s="1"/>
  <c r="F340" i="34" s="1"/>
  <c r="G340" i="34" s="1"/>
  <c r="H340" i="34" s="1"/>
  <c r="I340" i="34" s="1"/>
  <c r="J340" i="34" s="1"/>
  <c r="K340" i="34" s="1"/>
  <c r="L340" i="34" s="1"/>
  <c r="M340" i="34" s="1"/>
  <c r="N340" i="34" s="1"/>
  <c r="O340" i="34" s="1"/>
  <c r="P340" i="34" s="1"/>
  <c r="Q340" i="34" s="1"/>
  <c r="R340" i="34" s="1"/>
  <c r="S340" i="34" s="1"/>
  <c r="C140" i="34"/>
  <c r="D140" i="34" s="1"/>
  <c r="E140" i="34" s="1"/>
  <c r="F140" i="34" s="1"/>
  <c r="G140" i="34" s="1"/>
  <c r="H140" i="34" s="1"/>
  <c r="I140" i="34" s="1"/>
  <c r="J140" i="34" s="1"/>
  <c r="K140" i="34" s="1"/>
  <c r="L140" i="34" s="1"/>
  <c r="M140" i="34" s="1"/>
  <c r="N140" i="34" s="1"/>
  <c r="O140" i="34" s="1"/>
  <c r="P140" i="34" s="1"/>
  <c r="Q140" i="34" s="1"/>
  <c r="R140" i="34" s="1"/>
  <c r="S140" i="34" s="1"/>
  <c r="C190" i="34"/>
  <c r="D190" i="34" s="1"/>
  <c r="E190" i="34" s="1"/>
  <c r="F190" i="34" s="1"/>
  <c r="G190" i="34" s="1"/>
  <c r="H190" i="34" s="1"/>
  <c r="I190" i="34" s="1"/>
  <c r="J190" i="34" s="1"/>
  <c r="K190" i="34" s="1"/>
  <c r="L190" i="34" s="1"/>
  <c r="M190" i="34" s="1"/>
  <c r="N190" i="34" s="1"/>
  <c r="O190" i="34" s="1"/>
  <c r="P190" i="34" s="1"/>
  <c r="Q190" i="34" s="1"/>
  <c r="R190" i="34" s="1"/>
  <c r="S190" i="34" s="1"/>
  <c r="C209" i="34"/>
  <c r="D209" i="34" s="1"/>
  <c r="E209" i="34" s="1"/>
  <c r="F209" i="34" s="1"/>
  <c r="G209" i="34" s="1"/>
  <c r="H209" i="34" s="1"/>
  <c r="I209" i="34" s="1"/>
  <c r="J209" i="34" s="1"/>
  <c r="K209" i="34" s="1"/>
  <c r="L209" i="34" s="1"/>
  <c r="M209" i="34" s="1"/>
  <c r="N209" i="34" s="1"/>
  <c r="O209" i="34" s="1"/>
  <c r="P209" i="34" s="1"/>
  <c r="Q209" i="34" s="1"/>
  <c r="R209" i="34" s="1"/>
  <c r="S209" i="34" s="1"/>
  <c r="C335" i="34"/>
  <c r="D335" i="34" s="1"/>
  <c r="E335" i="34" s="1"/>
  <c r="F335" i="34" s="1"/>
  <c r="G335" i="34" s="1"/>
  <c r="H335" i="34" s="1"/>
  <c r="I335" i="34" s="1"/>
  <c r="J335" i="34" s="1"/>
  <c r="K335" i="34" s="1"/>
  <c r="L335" i="34" s="1"/>
  <c r="M335" i="34" s="1"/>
  <c r="N335" i="34" s="1"/>
  <c r="O335" i="34" s="1"/>
  <c r="P335" i="34" s="1"/>
  <c r="Q335" i="34" s="1"/>
  <c r="R335" i="34" s="1"/>
  <c r="S335" i="34" s="1"/>
  <c r="C403" i="34"/>
  <c r="D403" i="34" s="1"/>
  <c r="E403" i="34" s="1"/>
  <c r="F403" i="34" s="1"/>
  <c r="G403" i="34" s="1"/>
  <c r="H403" i="34" s="1"/>
  <c r="I403" i="34" s="1"/>
  <c r="J403" i="34" s="1"/>
  <c r="K403" i="34" s="1"/>
  <c r="L403" i="34" s="1"/>
  <c r="M403" i="34" s="1"/>
  <c r="N403" i="34" s="1"/>
  <c r="O403" i="34" s="1"/>
  <c r="P403" i="34" s="1"/>
  <c r="Q403" i="34" s="1"/>
  <c r="R403" i="34" s="1"/>
  <c r="S403" i="34" s="1"/>
  <c r="C420" i="34"/>
  <c r="D420" i="34" s="1"/>
  <c r="E420" i="34" s="1"/>
  <c r="F420" i="34" s="1"/>
  <c r="G420" i="34" s="1"/>
  <c r="H420" i="34" s="1"/>
  <c r="I420" i="34" s="1"/>
  <c r="J420" i="34" s="1"/>
  <c r="K420" i="34" s="1"/>
  <c r="L420" i="34" s="1"/>
  <c r="M420" i="34" s="1"/>
  <c r="N420" i="34" s="1"/>
  <c r="O420" i="34" s="1"/>
  <c r="P420" i="34" s="1"/>
  <c r="Q420" i="34" s="1"/>
  <c r="R420" i="34" s="1"/>
  <c r="S420" i="34" s="1"/>
  <c r="C449" i="34"/>
  <c r="D449" i="34" s="1"/>
  <c r="E449" i="34" s="1"/>
  <c r="F449" i="34" s="1"/>
  <c r="G449" i="34" s="1"/>
  <c r="H449" i="34" s="1"/>
  <c r="I449" i="34" s="1"/>
  <c r="J449" i="34" s="1"/>
  <c r="K449" i="34" s="1"/>
  <c r="L449" i="34" s="1"/>
  <c r="M449" i="34" s="1"/>
  <c r="N449" i="34" s="1"/>
  <c r="O449" i="34" s="1"/>
  <c r="P449" i="34" s="1"/>
  <c r="Q449" i="34" s="1"/>
  <c r="R449" i="34" s="1"/>
  <c r="S449" i="34" s="1"/>
  <c r="C361" i="34"/>
  <c r="D361" i="34" s="1"/>
  <c r="E361" i="34" s="1"/>
  <c r="F361" i="34" s="1"/>
  <c r="G361" i="34" s="1"/>
  <c r="H361" i="34" s="1"/>
  <c r="I361" i="34" s="1"/>
  <c r="J361" i="34" s="1"/>
  <c r="K361" i="34" s="1"/>
  <c r="L361" i="34" s="1"/>
  <c r="M361" i="34" s="1"/>
  <c r="N361" i="34" s="1"/>
  <c r="O361" i="34" s="1"/>
  <c r="P361" i="34" s="1"/>
  <c r="Q361" i="34" s="1"/>
  <c r="R361" i="34" s="1"/>
  <c r="S361" i="34" s="1"/>
  <c r="C389" i="34"/>
  <c r="D389" i="34" s="1"/>
  <c r="E389" i="34" s="1"/>
  <c r="F389" i="34" s="1"/>
  <c r="G389" i="34" s="1"/>
  <c r="H389" i="34" s="1"/>
  <c r="I389" i="34" s="1"/>
  <c r="J389" i="34" s="1"/>
  <c r="K389" i="34" s="1"/>
  <c r="L389" i="34" s="1"/>
  <c r="M389" i="34" s="1"/>
  <c r="N389" i="34" s="1"/>
  <c r="O389" i="34" s="1"/>
  <c r="P389" i="34" s="1"/>
  <c r="Q389" i="34" s="1"/>
  <c r="R389" i="34" s="1"/>
  <c r="S389" i="34" s="1"/>
  <c r="C375" i="34"/>
  <c r="D375" i="34" s="1"/>
  <c r="E375" i="34" s="1"/>
  <c r="F375" i="34" s="1"/>
  <c r="G375" i="34" s="1"/>
  <c r="H375" i="34" s="1"/>
  <c r="I375" i="34" s="1"/>
  <c r="J375" i="34" s="1"/>
  <c r="K375" i="34" s="1"/>
  <c r="L375" i="34" s="1"/>
  <c r="M375" i="34" s="1"/>
  <c r="N375" i="34" s="1"/>
  <c r="O375" i="34" s="1"/>
  <c r="P375" i="34" s="1"/>
  <c r="Q375" i="34" s="1"/>
  <c r="R375" i="34" s="1"/>
  <c r="S375" i="34" s="1"/>
  <c r="C491" i="34"/>
  <c r="D491" i="34" s="1"/>
  <c r="E491" i="34" s="1"/>
  <c r="F491" i="34" s="1"/>
  <c r="G491" i="34" s="1"/>
  <c r="H491" i="34" s="1"/>
  <c r="I491" i="34" s="1"/>
  <c r="J491" i="34" s="1"/>
  <c r="K491" i="34" s="1"/>
  <c r="L491" i="34" s="1"/>
  <c r="M491" i="34" s="1"/>
  <c r="N491" i="34" s="1"/>
  <c r="O491" i="34" s="1"/>
  <c r="P491" i="34" s="1"/>
  <c r="Q491" i="34" s="1"/>
  <c r="R491" i="34" s="1"/>
  <c r="S491" i="34" s="1"/>
  <c r="C218" i="34"/>
  <c r="D218" i="34" s="1"/>
  <c r="E218" i="34" s="1"/>
  <c r="F218" i="34" s="1"/>
  <c r="G218" i="34" s="1"/>
  <c r="H218" i="34" s="1"/>
  <c r="I218" i="34" s="1"/>
  <c r="J218" i="34" s="1"/>
  <c r="K218" i="34" s="1"/>
  <c r="L218" i="34" s="1"/>
  <c r="M218" i="34" s="1"/>
  <c r="N218" i="34" s="1"/>
  <c r="O218" i="34" s="1"/>
  <c r="P218" i="34" s="1"/>
  <c r="Q218" i="34" s="1"/>
  <c r="R218" i="34" s="1"/>
  <c r="S218" i="34" s="1"/>
  <c r="C357" i="34"/>
  <c r="D357" i="34" s="1"/>
  <c r="E357" i="34" s="1"/>
  <c r="F357" i="34" s="1"/>
  <c r="G357" i="34" s="1"/>
  <c r="H357" i="34" s="1"/>
  <c r="I357" i="34" s="1"/>
  <c r="J357" i="34" s="1"/>
  <c r="K357" i="34" s="1"/>
  <c r="L357" i="34" s="1"/>
  <c r="M357" i="34" s="1"/>
  <c r="N357" i="34" s="1"/>
  <c r="O357" i="34" s="1"/>
  <c r="P357" i="34" s="1"/>
  <c r="Q357" i="34" s="1"/>
  <c r="R357" i="34" s="1"/>
  <c r="S357" i="34" s="1"/>
  <c r="C488" i="34"/>
  <c r="D488" i="34" s="1"/>
  <c r="E488" i="34" s="1"/>
  <c r="F488" i="34" s="1"/>
  <c r="G488" i="34" s="1"/>
  <c r="H488" i="34" s="1"/>
  <c r="I488" i="34" s="1"/>
  <c r="J488" i="34" s="1"/>
  <c r="K488" i="34" s="1"/>
  <c r="L488" i="34" s="1"/>
  <c r="M488" i="34" s="1"/>
  <c r="N488" i="34" s="1"/>
  <c r="O488" i="34" s="1"/>
  <c r="P488" i="34" s="1"/>
  <c r="Q488" i="34" s="1"/>
  <c r="R488" i="34" s="1"/>
  <c r="S488" i="34" s="1"/>
  <c r="C264" i="34"/>
  <c r="D264" i="34" s="1"/>
  <c r="E264" i="34" s="1"/>
  <c r="F264" i="34" s="1"/>
  <c r="G264" i="34" s="1"/>
  <c r="H264" i="34" s="1"/>
  <c r="I264" i="34" s="1"/>
  <c r="J264" i="34" s="1"/>
  <c r="K264" i="34" s="1"/>
  <c r="L264" i="34" s="1"/>
  <c r="M264" i="34" s="1"/>
  <c r="N264" i="34" s="1"/>
  <c r="O264" i="34" s="1"/>
  <c r="P264" i="34" s="1"/>
  <c r="Q264" i="34" s="1"/>
  <c r="R264" i="34" s="1"/>
  <c r="S264" i="34" s="1"/>
  <c r="C325" i="34"/>
  <c r="D325" i="34" s="1"/>
  <c r="E325" i="34" s="1"/>
  <c r="F325" i="34" s="1"/>
  <c r="G325" i="34" s="1"/>
  <c r="H325" i="34" s="1"/>
  <c r="I325" i="34" s="1"/>
  <c r="J325" i="34" s="1"/>
  <c r="K325" i="34" s="1"/>
  <c r="L325" i="34" s="1"/>
  <c r="M325" i="34" s="1"/>
  <c r="N325" i="34" s="1"/>
  <c r="O325" i="34" s="1"/>
  <c r="P325" i="34" s="1"/>
  <c r="Q325" i="34" s="1"/>
  <c r="R325" i="34" s="1"/>
  <c r="S325" i="34" s="1"/>
  <c r="C435" i="34"/>
  <c r="D435" i="34" s="1"/>
  <c r="E435" i="34" s="1"/>
  <c r="F435" i="34" s="1"/>
  <c r="G435" i="34" s="1"/>
  <c r="H435" i="34" s="1"/>
  <c r="I435" i="34" s="1"/>
  <c r="J435" i="34" s="1"/>
  <c r="K435" i="34" s="1"/>
  <c r="L435" i="34" s="1"/>
  <c r="M435" i="34" s="1"/>
  <c r="N435" i="34" s="1"/>
  <c r="O435" i="34" s="1"/>
  <c r="P435" i="34" s="1"/>
  <c r="Q435" i="34" s="1"/>
  <c r="R435" i="34" s="1"/>
  <c r="S435" i="34" s="1"/>
  <c r="C438" i="34"/>
  <c r="D438" i="34" s="1"/>
  <c r="E438" i="34" s="1"/>
  <c r="F438" i="34" s="1"/>
  <c r="G438" i="34" s="1"/>
  <c r="H438" i="34" s="1"/>
  <c r="I438" i="34" s="1"/>
  <c r="J438" i="34" s="1"/>
  <c r="K438" i="34" s="1"/>
  <c r="L438" i="34" s="1"/>
  <c r="M438" i="34" s="1"/>
  <c r="N438" i="34" s="1"/>
  <c r="O438" i="34" s="1"/>
  <c r="P438" i="34" s="1"/>
  <c r="Q438" i="34" s="1"/>
  <c r="R438" i="34" s="1"/>
  <c r="S438" i="34" s="1"/>
  <c r="C419" i="34"/>
  <c r="D419" i="34" s="1"/>
  <c r="E419" i="34" s="1"/>
  <c r="F419" i="34" s="1"/>
  <c r="G419" i="34" s="1"/>
  <c r="H419" i="34" s="1"/>
  <c r="I419" i="34" s="1"/>
  <c r="J419" i="34" s="1"/>
  <c r="K419" i="34" s="1"/>
  <c r="L419" i="34" s="1"/>
  <c r="M419" i="34" s="1"/>
  <c r="N419" i="34" s="1"/>
  <c r="O419" i="34" s="1"/>
  <c r="P419" i="34" s="1"/>
  <c r="Q419" i="34" s="1"/>
  <c r="R419" i="34" s="1"/>
  <c r="S419" i="34" s="1"/>
  <c r="C439" i="34"/>
  <c r="D439" i="34" s="1"/>
  <c r="E439" i="34" s="1"/>
  <c r="F439" i="34" s="1"/>
  <c r="G439" i="34" s="1"/>
  <c r="H439" i="34" s="1"/>
  <c r="I439" i="34" s="1"/>
  <c r="J439" i="34" s="1"/>
  <c r="K439" i="34" s="1"/>
  <c r="L439" i="34" s="1"/>
  <c r="M439" i="34" s="1"/>
  <c r="N439" i="34" s="1"/>
  <c r="O439" i="34" s="1"/>
  <c r="P439" i="34" s="1"/>
  <c r="Q439" i="34" s="1"/>
  <c r="R439" i="34" s="1"/>
  <c r="S439" i="34" s="1"/>
  <c r="C474" i="34"/>
  <c r="D474" i="34" s="1"/>
  <c r="E474" i="34" s="1"/>
  <c r="F474" i="34" s="1"/>
  <c r="G474" i="34" s="1"/>
  <c r="H474" i="34" s="1"/>
  <c r="I474" i="34" s="1"/>
  <c r="J474" i="34" s="1"/>
  <c r="K474" i="34" s="1"/>
  <c r="L474" i="34" s="1"/>
  <c r="M474" i="34" s="1"/>
  <c r="N474" i="34" s="1"/>
  <c r="O474" i="34" s="1"/>
  <c r="P474" i="34" s="1"/>
  <c r="Q474" i="34" s="1"/>
  <c r="R474" i="34" s="1"/>
  <c r="S474" i="34" s="1"/>
  <c r="C235" i="34"/>
  <c r="D235" i="34" s="1"/>
  <c r="E235" i="34" s="1"/>
  <c r="F235" i="34" s="1"/>
  <c r="G235" i="34" s="1"/>
  <c r="H235" i="34" s="1"/>
  <c r="I235" i="34" s="1"/>
  <c r="J235" i="34" s="1"/>
  <c r="K235" i="34" s="1"/>
  <c r="L235" i="34" s="1"/>
  <c r="M235" i="34" s="1"/>
  <c r="N235" i="34" s="1"/>
  <c r="O235" i="34" s="1"/>
  <c r="P235" i="34" s="1"/>
  <c r="Q235" i="34" s="1"/>
  <c r="R235" i="34" s="1"/>
  <c r="S235" i="34" s="1"/>
  <c r="C294" i="34"/>
  <c r="D294" i="34" s="1"/>
  <c r="E294" i="34" s="1"/>
  <c r="F294" i="34" s="1"/>
  <c r="G294" i="34" s="1"/>
  <c r="H294" i="34" s="1"/>
  <c r="I294" i="34" s="1"/>
  <c r="J294" i="34" s="1"/>
  <c r="K294" i="34" s="1"/>
  <c r="L294" i="34" s="1"/>
  <c r="M294" i="34" s="1"/>
  <c r="N294" i="34" s="1"/>
  <c r="O294" i="34" s="1"/>
  <c r="P294" i="34" s="1"/>
  <c r="Q294" i="34" s="1"/>
  <c r="R294" i="34" s="1"/>
  <c r="S294" i="34" s="1"/>
  <c r="C447" i="34"/>
  <c r="D447" i="34" s="1"/>
  <c r="E447" i="34" s="1"/>
  <c r="F447" i="34" s="1"/>
  <c r="G447" i="34" s="1"/>
  <c r="H447" i="34" s="1"/>
  <c r="I447" i="34" s="1"/>
  <c r="J447" i="34" s="1"/>
  <c r="K447" i="34" s="1"/>
  <c r="L447" i="34" s="1"/>
  <c r="M447" i="34" s="1"/>
  <c r="N447" i="34" s="1"/>
  <c r="O447" i="34" s="1"/>
  <c r="P447" i="34" s="1"/>
  <c r="Q447" i="34" s="1"/>
  <c r="R447" i="34" s="1"/>
  <c r="S447" i="34" s="1"/>
  <c r="C523" i="34"/>
  <c r="D523" i="34" s="1"/>
  <c r="E523" i="34" s="1"/>
  <c r="F523" i="34" s="1"/>
  <c r="G523" i="34" s="1"/>
  <c r="H523" i="34" s="1"/>
  <c r="I523" i="34" s="1"/>
  <c r="J523" i="34" s="1"/>
  <c r="K523" i="34" s="1"/>
  <c r="L523" i="34" s="1"/>
  <c r="M523" i="34" s="1"/>
  <c r="N523" i="34" s="1"/>
  <c r="O523" i="34" s="1"/>
  <c r="P523" i="34" s="1"/>
  <c r="Q523" i="34" s="1"/>
  <c r="R523" i="34" s="1"/>
  <c r="S523" i="34" s="1"/>
  <c r="C544" i="34"/>
  <c r="D544" i="34" s="1"/>
  <c r="E544" i="34" s="1"/>
  <c r="F544" i="34" s="1"/>
  <c r="G544" i="34" s="1"/>
  <c r="H544" i="34" s="1"/>
  <c r="I544" i="34" s="1"/>
  <c r="J544" i="34" s="1"/>
  <c r="K544" i="34" s="1"/>
  <c r="L544" i="34" s="1"/>
  <c r="M544" i="34" s="1"/>
  <c r="N544" i="34" s="1"/>
  <c r="O544" i="34" s="1"/>
  <c r="P544" i="34" s="1"/>
  <c r="Q544" i="34" s="1"/>
  <c r="R544" i="34" s="1"/>
  <c r="S544" i="34" s="1"/>
  <c r="C563" i="34"/>
  <c r="D563" i="34" s="1"/>
  <c r="E563" i="34" s="1"/>
  <c r="F563" i="34" s="1"/>
  <c r="G563" i="34" s="1"/>
  <c r="H563" i="34" s="1"/>
  <c r="I563" i="34" s="1"/>
  <c r="J563" i="34" s="1"/>
  <c r="K563" i="34" s="1"/>
  <c r="L563" i="34" s="1"/>
  <c r="M563" i="34" s="1"/>
  <c r="N563" i="34" s="1"/>
  <c r="O563" i="34" s="1"/>
  <c r="P563" i="34" s="1"/>
  <c r="Q563" i="34" s="1"/>
  <c r="R563" i="34" s="1"/>
  <c r="S563" i="34" s="1"/>
  <c r="C434" i="34"/>
  <c r="D434" i="34" s="1"/>
  <c r="E434" i="34" s="1"/>
  <c r="F434" i="34" s="1"/>
  <c r="G434" i="34" s="1"/>
  <c r="H434" i="34" s="1"/>
  <c r="I434" i="34" s="1"/>
  <c r="J434" i="34" s="1"/>
  <c r="K434" i="34" s="1"/>
  <c r="L434" i="34" s="1"/>
  <c r="M434" i="34" s="1"/>
  <c r="N434" i="34" s="1"/>
  <c r="O434" i="34" s="1"/>
  <c r="P434" i="34" s="1"/>
  <c r="Q434" i="34" s="1"/>
  <c r="R434" i="34" s="1"/>
  <c r="S434" i="34" s="1"/>
  <c r="C409" i="34"/>
  <c r="D409" i="34" s="1"/>
  <c r="E409" i="34" s="1"/>
  <c r="F409" i="34" s="1"/>
  <c r="G409" i="34" s="1"/>
  <c r="H409" i="34" s="1"/>
  <c r="I409" i="34" s="1"/>
  <c r="J409" i="34" s="1"/>
  <c r="K409" i="34" s="1"/>
  <c r="L409" i="34" s="1"/>
  <c r="M409" i="34" s="1"/>
  <c r="N409" i="34" s="1"/>
  <c r="O409" i="34" s="1"/>
  <c r="P409" i="34" s="1"/>
  <c r="Q409" i="34" s="1"/>
  <c r="R409" i="34" s="1"/>
  <c r="S409" i="34" s="1"/>
  <c r="C490" i="34"/>
  <c r="D490" i="34" s="1"/>
  <c r="E490" i="34" s="1"/>
  <c r="F490" i="34" s="1"/>
  <c r="G490" i="34" s="1"/>
  <c r="H490" i="34" s="1"/>
  <c r="I490" i="34" s="1"/>
  <c r="J490" i="34" s="1"/>
  <c r="K490" i="34" s="1"/>
  <c r="L490" i="34" s="1"/>
  <c r="M490" i="34" s="1"/>
  <c r="N490" i="34" s="1"/>
  <c r="O490" i="34" s="1"/>
  <c r="P490" i="34" s="1"/>
  <c r="Q490" i="34" s="1"/>
  <c r="R490" i="34" s="1"/>
  <c r="S490" i="34" s="1"/>
  <c r="H589" i="34"/>
  <c r="I589" i="34" s="1"/>
  <c r="J589" i="34" s="1"/>
  <c r="K589" i="34" s="1"/>
  <c r="L589" i="34" s="1"/>
  <c r="M589" i="34" s="1"/>
  <c r="N589" i="34" s="1"/>
  <c r="O589" i="34" s="1"/>
  <c r="P589" i="34" s="1"/>
  <c r="Q589" i="34" s="1"/>
  <c r="R589" i="34" s="1"/>
  <c r="S589" i="34" s="1"/>
  <c r="C54" i="34"/>
  <c r="D54" i="34" s="1"/>
  <c r="E54" i="34" s="1"/>
  <c r="F54" i="34" s="1"/>
  <c r="G54" i="34" s="1"/>
  <c r="H54" i="34" s="1"/>
  <c r="I54" i="34" s="1"/>
  <c r="J54" i="34" s="1"/>
  <c r="K54" i="34" s="1"/>
  <c r="L54" i="34" s="1"/>
  <c r="M54" i="34" s="1"/>
  <c r="N54" i="34" s="1"/>
  <c r="O54" i="34" s="1"/>
  <c r="P54" i="34" s="1"/>
  <c r="Q54" i="34" s="1"/>
  <c r="R54" i="34" s="1"/>
  <c r="S54" i="34" s="1"/>
  <c r="C3" i="34"/>
  <c r="D3" i="34" s="1"/>
  <c r="E3" i="34" s="1"/>
  <c r="F3" i="34" s="1"/>
  <c r="G3" i="34" s="1"/>
  <c r="H3" i="34" s="1"/>
  <c r="I3" i="34" s="1"/>
  <c r="J3" i="34" s="1"/>
  <c r="K3" i="34" s="1"/>
  <c r="L3" i="34" s="1"/>
  <c r="M3" i="34" s="1"/>
  <c r="N3" i="34" s="1"/>
  <c r="O3" i="34" s="1"/>
  <c r="P3" i="34" s="1"/>
  <c r="Q3" i="34" s="1"/>
  <c r="R3" i="34" s="1"/>
  <c r="S3" i="34" s="1"/>
  <c r="C32" i="34"/>
  <c r="D32" i="34" s="1"/>
  <c r="E32" i="34" s="1"/>
  <c r="F32" i="34" s="1"/>
  <c r="G32" i="34" s="1"/>
  <c r="H32" i="34" s="1"/>
  <c r="I32" i="34" s="1"/>
  <c r="J32" i="34" s="1"/>
  <c r="K32" i="34" s="1"/>
  <c r="L32" i="34" s="1"/>
  <c r="M32" i="34" s="1"/>
  <c r="N32" i="34" s="1"/>
  <c r="O32" i="34" s="1"/>
  <c r="P32" i="34" s="1"/>
  <c r="Q32" i="34" s="1"/>
  <c r="R32" i="34" s="1"/>
  <c r="S32" i="34" s="1"/>
  <c r="C168" i="34"/>
  <c r="D168" i="34" s="1"/>
  <c r="E168" i="34" s="1"/>
  <c r="F168" i="34" s="1"/>
  <c r="G168" i="34" s="1"/>
  <c r="H168" i="34" s="1"/>
  <c r="I168" i="34" s="1"/>
  <c r="J168" i="34" s="1"/>
  <c r="K168" i="34" s="1"/>
  <c r="L168" i="34" s="1"/>
  <c r="M168" i="34" s="1"/>
  <c r="N168" i="34" s="1"/>
  <c r="O168" i="34" s="1"/>
  <c r="P168" i="34" s="1"/>
  <c r="Q168" i="34" s="1"/>
  <c r="R168" i="34" s="1"/>
  <c r="S168" i="34" s="1"/>
  <c r="C26" i="34"/>
  <c r="D26" i="34" s="1"/>
  <c r="E26" i="34" s="1"/>
  <c r="F26" i="34" s="1"/>
  <c r="G26" i="34" s="1"/>
  <c r="H26" i="34" s="1"/>
  <c r="I26" i="34" s="1"/>
  <c r="J26" i="34" s="1"/>
  <c r="K26" i="34" s="1"/>
  <c r="L26" i="34" s="1"/>
  <c r="M26" i="34" s="1"/>
  <c r="N26" i="34" s="1"/>
  <c r="O26" i="34" s="1"/>
  <c r="P26" i="34" s="1"/>
  <c r="Q26" i="34" s="1"/>
  <c r="R26" i="34" s="1"/>
  <c r="S26" i="34" s="1"/>
  <c r="C61" i="34"/>
  <c r="D61" i="34" s="1"/>
  <c r="E61" i="34" s="1"/>
  <c r="F61" i="34" s="1"/>
  <c r="G61" i="34" s="1"/>
  <c r="H61" i="34" s="1"/>
  <c r="I61" i="34" s="1"/>
  <c r="J61" i="34" s="1"/>
  <c r="K61" i="34" s="1"/>
  <c r="L61" i="34" s="1"/>
  <c r="M61" i="34" s="1"/>
  <c r="N61" i="34" s="1"/>
  <c r="O61" i="34" s="1"/>
  <c r="P61" i="34" s="1"/>
  <c r="Q61" i="34" s="1"/>
  <c r="R61" i="34" s="1"/>
  <c r="S61" i="34" s="1"/>
  <c r="C75" i="34"/>
  <c r="D75" i="34" s="1"/>
  <c r="E75" i="34" s="1"/>
  <c r="F75" i="34" s="1"/>
  <c r="G75" i="34" s="1"/>
  <c r="H75" i="34" s="1"/>
  <c r="I75" i="34" s="1"/>
  <c r="J75" i="34" s="1"/>
  <c r="K75" i="34" s="1"/>
  <c r="L75" i="34" s="1"/>
  <c r="M75" i="34" s="1"/>
  <c r="N75" i="34" s="1"/>
  <c r="O75" i="34" s="1"/>
  <c r="P75" i="34" s="1"/>
  <c r="Q75" i="34" s="1"/>
  <c r="R75" i="34" s="1"/>
  <c r="S75" i="34" s="1"/>
  <c r="C133" i="34"/>
  <c r="D133" i="34" s="1"/>
  <c r="E133" i="34" s="1"/>
  <c r="F133" i="34" s="1"/>
  <c r="G133" i="34" s="1"/>
  <c r="H133" i="34" s="1"/>
  <c r="I133" i="34" s="1"/>
  <c r="J133" i="34" s="1"/>
  <c r="K133" i="34" s="1"/>
  <c r="L133" i="34" s="1"/>
  <c r="M133" i="34" s="1"/>
  <c r="N133" i="34" s="1"/>
  <c r="O133" i="34" s="1"/>
  <c r="P133" i="34" s="1"/>
  <c r="Q133" i="34" s="1"/>
  <c r="R133" i="34" s="1"/>
  <c r="S133" i="34" s="1"/>
  <c r="C14" i="34"/>
  <c r="D14" i="34" s="1"/>
  <c r="E14" i="34" s="1"/>
  <c r="F14" i="34" s="1"/>
  <c r="G14" i="34" s="1"/>
  <c r="H14" i="34" s="1"/>
  <c r="I14" i="34" s="1"/>
  <c r="J14" i="34" s="1"/>
  <c r="K14" i="34" s="1"/>
  <c r="L14" i="34" s="1"/>
  <c r="M14" i="34" s="1"/>
  <c r="N14" i="34" s="1"/>
  <c r="O14" i="34" s="1"/>
  <c r="P14" i="34" s="1"/>
  <c r="Q14" i="34" s="1"/>
  <c r="R14" i="34" s="1"/>
  <c r="S14" i="34" s="1"/>
  <c r="C40" i="34"/>
  <c r="D40" i="34" s="1"/>
  <c r="E40" i="34" s="1"/>
  <c r="F40" i="34" s="1"/>
  <c r="G40" i="34" s="1"/>
  <c r="H40" i="34" s="1"/>
  <c r="I40" i="34" s="1"/>
  <c r="J40" i="34" s="1"/>
  <c r="K40" i="34" s="1"/>
  <c r="L40" i="34" s="1"/>
  <c r="M40" i="34" s="1"/>
  <c r="N40" i="34" s="1"/>
  <c r="O40" i="34" s="1"/>
  <c r="P40" i="34" s="1"/>
  <c r="Q40" i="34" s="1"/>
  <c r="R40" i="34" s="1"/>
  <c r="S40" i="34" s="1"/>
  <c r="C136" i="34"/>
  <c r="D136" i="34" s="1"/>
  <c r="E136" i="34" s="1"/>
  <c r="F136" i="34" s="1"/>
  <c r="G136" i="34" s="1"/>
  <c r="H136" i="34" s="1"/>
  <c r="I136" i="34" s="1"/>
  <c r="J136" i="34" s="1"/>
  <c r="K136" i="34" s="1"/>
  <c r="L136" i="34" s="1"/>
  <c r="M136" i="34" s="1"/>
  <c r="N136" i="34" s="1"/>
  <c r="O136" i="34" s="1"/>
  <c r="P136" i="34" s="1"/>
  <c r="Q136" i="34" s="1"/>
  <c r="R136" i="34" s="1"/>
  <c r="S136" i="34" s="1"/>
  <c r="C46" i="34"/>
  <c r="D46" i="34" s="1"/>
  <c r="E46" i="34" s="1"/>
  <c r="F46" i="34" s="1"/>
  <c r="G46" i="34" s="1"/>
  <c r="H46" i="34" s="1"/>
  <c r="I46" i="34" s="1"/>
  <c r="J46" i="34" s="1"/>
  <c r="K46" i="34" s="1"/>
  <c r="L46" i="34" s="1"/>
  <c r="M46" i="34" s="1"/>
  <c r="N46" i="34" s="1"/>
  <c r="O46" i="34" s="1"/>
  <c r="P46" i="34" s="1"/>
  <c r="Q46" i="34" s="1"/>
  <c r="R46" i="34" s="1"/>
  <c r="S46" i="34" s="1"/>
  <c r="C102" i="34"/>
  <c r="D102" i="34" s="1"/>
  <c r="E102" i="34" s="1"/>
  <c r="F102" i="34" s="1"/>
  <c r="G102" i="34" s="1"/>
  <c r="H102" i="34" s="1"/>
  <c r="I102" i="34" s="1"/>
  <c r="J102" i="34" s="1"/>
  <c r="K102" i="34" s="1"/>
  <c r="L102" i="34" s="1"/>
  <c r="M102" i="34" s="1"/>
  <c r="N102" i="34" s="1"/>
  <c r="O102" i="34" s="1"/>
  <c r="P102" i="34" s="1"/>
  <c r="Q102" i="34" s="1"/>
  <c r="R102" i="34" s="1"/>
  <c r="S102" i="34" s="1"/>
  <c r="C84" i="34"/>
  <c r="D84" i="34" s="1"/>
  <c r="E84" i="34" s="1"/>
  <c r="F84" i="34" s="1"/>
  <c r="G84" i="34" s="1"/>
  <c r="H84" i="34" s="1"/>
  <c r="I84" i="34" s="1"/>
  <c r="J84" i="34" s="1"/>
  <c r="K84" i="34" s="1"/>
  <c r="L84" i="34" s="1"/>
  <c r="M84" i="34" s="1"/>
  <c r="N84" i="34" s="1"/>
  <c r="O84" i="34" s="1"/>
  <c r="P84" i="34" s="1"/>
  <c r="Q84" i="34" s="1"/>
  <c r="R84" i="34" s="1"/>
  <c r="S84" i="34" s="1"/>
  <c r="C318" i="34"/>
  <c r="D318" i="34" s="1"/>
  <c r="E318" i="34" s="1"/>
  <c r="F318" i="34" s="1"/>
  <c r="G318" i="34" s="1"/>
  <c r="H318" i="34" s="1"/>
  <c r="I318" i="34" s="1"/>
  <c r="J318" i="34" s="1"/>
  <c r="K318" i="34" s="1"/>
  <c r="L318" i="34" s="1"/>
  <c r="M318" i="34" s="1"/>
  <c r="N318" i="34" s="1"/>
  <c r="O318" i="34" s="1"/>
  <c r="P318" i="34" s="1"/>
  <c r="Q318" i="34" s="1"/>
  <c r="R318" i="34" s="1"/>
  <c r="S318" i="34" s="1"/>
  <c r="C391" i="34"/>
  <c r="D391" i="34" s="1"/>
  <c r="E391" i="34" s="1"/>
  <c r="F391" i="34" s="1"/>
  <c r="G391" i="34" s="1"/>
  <c r="H391" i="34" s="1"/>
  <c r="I391" i="34" s="1"/>
  <c r="J391" i="34" s="1"/>
  <c r="K391" i="34" s="1"/>
  <c r="L391" i="34" s="1"/>
  <c r="M391" i="34" s="1"/>
  <c r="N391" i="34" s="1"/>
  <c r="O391" i="34" s="1"/>
  <c r="P391" i="34" s="1"/>
  <c r="Q391" i="34" s="1"/>
  <c r="R391" i="34" s="1"/>
  <c r="S391" i="34" s="1"/>
  <c r="C152" i="34"/>
  <c r="D152" i="34" s="1"/>
  <c r="E152" i="34" s="1"/>
  <c r="F152" i="34" s="1"/>
  <c r="G152" i="34" s="1"/>
  <c r="H152" i="34" s="1"/>
  <c r="I152" i="34" s="1"/>
  <c r="J152" i="34" s="1"/>
  <c r="K152" i="34" s="1"/>
  <c r="L152" i="34" s="1"/>
  <c r="M152" i="34" s="1"/>
  <c r="N152" i="34" s="1"/>
  <c r="O152" i="34" s="1"/>
  <c r="P152" i="34" s="1"/>
  <c r="Q152" i="34" s="1"/>
  <c r="R152" i="34" s="1"/>
  <c r="S152" i="34" s="1"/>
  <c r="C262" i="34"/>
  <c r="D262" i="34" s="1"/>
  <c r="E262" i="34" s="1"/>
  <c r="F262" i="34" s="1"/>
  <c r="G262" i="34" s="1"/>
  <c r="H262" i="34" s="1"/>
  <c r="I262" i="34" s="1"/>
  <c r="J262" i="34" s="1"/>
  <c r="K262" i="34" s="1"/>
  <c r="L262" i="34" s="1"/>
  <c r="M262" i="34" s="1"/>
  <c r="N262" i="34" s="1"/>
  <c r="O262" i="34" s="1"/>
  <c r="P262" i="34" s="1"/>
  <c r="Q262" i="34" s="1"/>
  <c r="R262" i="34" s="1"/>
  <c r="S262" i="34" s="1"/>
  <c r="C137" i="34"/>
  <c r="D137" i="34" s="1"/>
  <c r="E137" i="34" s="1"/>
  <c r="F137" i="34" s="1"/>
  <c r="G137" i="34" s="1"/>
  <c r="H137" i="34" s="1"/>
  <c r="I137" i="34" s="1"/>
  <c r="J137" i="34" s="1"/>
  <c r="K137" i="34" s="1"/>
  <c r="L137" i="34" s="1"/>
  <c r="M137" i="34" s="1"/>
  <c r="N137" i="34" s="1"/>
  <c r="O137" i="34" s="1"/>
  <c r="P137" i="34" s="1"/>
  <c r="Q137" i="34" s="1"/>
  <c r="R137" i="34" s="1"/>
  <c r="S137" i="34" s="1"/>
  <c r="C185" i="34"/>
  <c r="D185" i="34" s="1"/>
  <c r="E185" i="34" s="1"/>
  <c r="F185" i="34" s="1"/>
  <c r="G185" i="34" s="1"/>
  <c r="H185" i="34" s="1"/>
  <c r="I185" i="34" s="1"/>
  <c r="J185" i="34" s="1"/>
  <c r="K185" i="34" s="1"/>
  <c r="L185" i="34" s="1"/>
  <c r="M185" i="34" s="1"/>
  <c r="N185" i="34" s="1"/>
  <c r="O185" i="34" s="1"/>
  <c r="P185" i="34" s="1"/>
  <c r="Q185" i="34" s="1"/>
  <c r="R185" i="34" s="1"/>
  <c r="S185" i="34" s="1"/>
  <c r="C212" i="34"/>
  <c r="D212" i="34" s="1"/>
  <c r="E212" i="34" s="1"/>
  <c r="F212" i="34" s="1"/>
  <c r="G212" i="34" s="1"/>
  <c r="H212" i="34" s="1"/>
  <c r="I212" i="34" s="1"/>
  <c r="J212" i="34" s="1"/>
  <c r="K212" i="34" s="1"/>
  <c r="L212" i="34" s="1"/>
  <c r="M212" i="34" s="1"/>
  <c r="N212" i="34" s="1"/>
  <c r="O212" i="34" s="1"/>
  <c r="P212" i="34" s="1"/>
  <c r="Q212" i="34" s="1"/>
  <c r="R212" i="34" s="1"/>
  <c r="S212" i="34" s="1"/>
  <c r="C237" i="34"/>
  <c r="D237" i="34" s="1"/>
  <c r="E237" i="34" s="1"/>
  <c r="F237" i="34" s="1"/>
  <c r="G237" i="34" s="1"/>
  <c r="H237" i="34" s="1"/>
  <c r="I237" i="34" s="1"/>
  <c r="J237" i="34" s="1"/>
  <c r="K237" i="34" s="1"/>
  <c r="L237" i="34" s="1"/>
  <c r="M237" i="34" s="1"/>
  <c r="N237" i="34" s="1"/>
  <c r="O237" i="34" s="1"/>
  <c r="P237" i="34" s="1"/>
  <c r="Q237" i="34" s="1"/>
  <c r="R237" i="34" s="1"/>
  <c r="S237" i="34" s="1"/>
  <c r="C314" i="34"/>
  <c r="D314" i="34" s="1"/>
  <c r="E314" i="34" s="1"/>
  <c r="F314" i="34" s="1"/>
  <c r="G314" i="34" s="1"/>
  <c r="H314" i="34" s="1"/>
  <c r="I314" i="34" s="1"/>
  <c r="J314" i="34" s="1"/>
  <c r="K314" i="34" s="1"/>
  <c r="L314" i="34" s="1"/>
  <c r="M314" i="34" s="1"/>
  <c r="N314" i="34" s="1"/>
  <c r="O314" i="34" s="1"/>
  <c r="P314" i="34" s="1"/>
  <c r="Q314" i="34" s="1"/>
  <c r="R314" i="34" s="1"/>
  <c r="S314" i="34" s="1"/>
  <c r="C145" i="34"/>
  <c r="D145" i="34" s="1"/>
  <c r="E145" i="34" s="1"/>
  <c r="F145" i="34" s="1"/>
  <c r="G145" i="34" s="1"/>
  <c r="H145" i="34" s="1"/>
  <c r="I145" i="34" s="1"/>
  <c r="J145" i="34" s="1"/>
  <c r="K145" i="34" s="1"/>
  <c r="L145" i="34" s="1"/>
  <c r="M145" i="34" s="1"/>
  <c r="N145" i="34" s="1"/>
  <c r="O145" i="34" s="1"/>
  <c r="P145" i="34" s="1"/>
  <c r="Q145" i="34" s="1"/>
  <c r="R145" i="34" s="1"/>
  <c r="S145" i="34" s="1"/>
  <c r="C326" i="34"/>
  <c r="D326" i="34" s="1"/>
  <c r="E326" i="34" s="1"/>
  <c r="F326" i="34" s="1"/>
  <c r="G326" i="34" s="1"/>
  <c r="H326" i="34" s="1"/>
  <c r="I326" i="34" s="1"/>
  <c r="J326" i="34" s="1"/>
  <c r="K326" i="34" s="1"/>
  <c r="L326" i="34" s="1"/>
  <c r="M326" i="34" s="1"/>
  <c r="N326" i="34" s="1"/>
  <c r="O326" i="34" s="1"/>
  <c r="P326" i="34" s="1"/>
  <c r="Q326" i="34" s="1"/>
  <c r="R326" i="34" s="1"/>
  <c r="S326" i="34" s="1"/>
  <c r="C406" i="34"/>
  <c r="D406" i="34" s="1"/>
  <c r="E406" i="34" s="1"/>
  <c r="F406" i="34" s="1"/>
  <c r="G406" i="34" s="1"/>
  <c r="H406" i="34" s="1"/>
  <c r="I406" i="34" s="1"/>
  <c r="J406" i="34" s="1"/>
  <c r="K406" i="34" s="1"/>
  <c r="L406" i="34" s="1"/>
  <c r="M406" i="34" s="1"/>
  <c r="N406" i="34" s="1"/>
  <c r="O406" i="34" s="1"/>
  <c r="P406" i="34" s="1"/>
  <c r="Q406" i="34" s="1"/>
  <c r="R406" i="34" s="1"/>
  <c r="S406" i="34" s="1"/>
  <c r="C396" i="34"/>
  <c r="D396" i="34" s="1"/>
  <c r="E396" i="34" s="1"/>
  <c r="F396" i="34" s="1"/>
  <c r="G396" i="34" s="1"/>
  <c r="H396" i="34" s="1"/>
  <c r="I396" i="34" s="1"/>
  <c r="J396" i="34" s="1"/>
  <c r="K396" i="34" s="1"/>
  <c r="L396" i="34" s="1"/>
  <c r="M396" i="34" s="1"/>
  <c r="N396" i="34" s="1"/>
  <c r="O396" i="34" s="1"/>
  <c r="P396" i="34" s="1"/>
  <c r="Q396" i="34" s="1"/>
  <c r="R396" i="34" s="1"/>
  <c r="S396" i="34" s="1"/>
  <c r="C493" i="34"/>
  <c r="D493" i="34" s="1"/>
  <c r="E493" i="34" s="1"/>
  <c r="F493" i="34" s="1"/>
  <c r="G493" i="34" s="1"/>
  <c r="H493" i="34" s="1"/>
  <c r="I493" i="34" s="1"/>
  <c r="J493" i="34" s="1"/>
  <c r="K493" i="34" s="1"/>
  <c r="L493" i="34" s="1"/>
  <c r="M493" i="34" s="1"/>
  <c r="N493" i="34" s="1"/>
  <c r="O493" i="34" s="1"/>
  <c r="P493" i="34" s="1"/>
  <c r="Q493" i="34" s="1"/>
  <c r="R493" i="34" s="1"/>
  <c r="S493" i="34" s="1"/>
  <c r="C384" i="34"/>
  <c r="D384" i="34" s="1"/>
  <c r="E384" i="34" s="1"/>
  <c r="F384" i="34" s="1"/>
  <c r="G384" i="34" s="1"/>
  <c r="H384" i="34" s="1"/>
  <c r="I384" i="34" s="1"/>
  <c r="J384" i="34" s="1"/>
  <c r="K384" i="34" s="1"/>
  <c r="L384" i="34" s="1"/>
  <c r="M384" i="34" s="1"/>
  <c r="N384" i="34" s="1"/>
  <c r="O384" i="34" s="1"/>
  <c r="P384" i="34" s="1"/>
  <c r="Q384" i="34" s="1"/>
  <c r="R384" i="34" s="1"/>
  <c r="S384" i="34" s="1"/>
  <c r="C445" i="34"/>
  <c r="D445" i="34" s="1"/>
  <c r="E445" i="34" s="1"/>
  <c r="F445" i="34" s="1"/>
  <c r="G445" i="34" s="1"/>
  <c r="H445" i="34" s="1"/>
  <c r="I445" i="34" s="1"/>
  <c r="J445" i="34" s="1"/>
  <c r="K445" i="34" s="1"/>
  <c r="L445" i="34" s="1"/>
  <c r="M445" i="34" s="1"/>
  <c r="N445" i="34" s="1"/>
  <c r="O445" i="34" s="1"/>
  <c r="P445" i="34" s="1"/>
  <c r="Q445" i="34" s="1"/>
  <c r="R445" i="34" s="1"/>
  <c r="S445" i="34" s="1"/>
  <c r="C506" i="34"/>
  <c r="D506" i="34" s="1"/>
  <c r="E506" i="34" s="1"/>
  <c r="F506" i="34" s="1"/>
  <c r="G506" i="34" s="1"/>
  <c r="H506" i="34" s="1"/>
  <c r="I506" i="34" s="1"/>
  <c r="J506" i="34" s="1"/>
  <c r="K506" i="34" s="1"/>
  <c r="L506" i="34" s="1"/>
  <c r="M506" i="34" s="1"/>
  <c r="N506" i="34" s="1"/>
  <c r="O506" i="34" s="1"/>
  <c r="P506" i="34" s="1"/>
  <c r="Q506" i="34" s="1"/>
  <c r="R506" i="34" s="1"/>
  <c r="S506" i="34" s="1"/>
  <c r="C225" i="34"/>
  <c r="D225" i="34" s="1"/>
  <c r="E225" i="34" s="1"/>
  <c r="F225" i="34" s="1"/>
  <c r="G225" i="34" s="1"/>
  <c r="H225" i="34" s="1"/>
  <c r="I225" i="34" s="1"/>
  <c r="J225" i="34" s="1"/>
  <c r="K225" i="34" s="1"/>
  <c r="L225" i="34" s="1"/>
  <c r="M225" i="34" s="1"/>
  <c r="N225" i="34" s="1"/>
  <c r="O225" i="34" s="1"/>
  <c r="P225" i="34" s="1"/>
  <c r="Q225" i="34" s="1"/>
  <c r="R225" i="34" s="1"/>
  <c r="S225" i="34" s="1"/>
  <c r="C416" i="34"/>
  <c r="D416" i="34" s="1"/>
  <c r="E416" i="34" s="1"/>
  <c r="F416" i="34" s="1"/>
  <c r="G416" i="34" s="1"/>
  <c r="H416" i="34" s="1"/>
  <c r="I416" i="34" s="1"/>
  <c r="J416" i="34" s="1"/>
  <c r="K416" i="34" s="1"/>
  <c r="L416" i="34" s="1"/>
  <c r="M416" i="34" s="1"/>
  <c r="N416" i="34" s="1"/>
  <c r="O416" i="34" s="1"/>
  <c r="P416" i="34" s="1"/>
  <c r="Q416" i="34" s="1"/>
  <c r="R416" i="34" s="1"/>
  <c r="S416" i="34" s="1"/>
  <c r="C274" i="34"/>
  <c r="D274" i="34" s="1"/>
  <c r="E274" i="34" s="1"/>
  <c r="F274" i="34" s="1"/>
  <c r="G274" i="34" s="1"/>
  <c r="H274" i="34" s="1"/>
  <c r="I274" i="34" s="1"/>
  <c r="J274" i="34" s="1"/>
  <c r="K274" i="34" s="1"/>
  <c r="L274" i="34" s="1"/>
  <c r="M274" i="34" s="1"/>
  <c r="N274" i="34" s="1"/>
  <c r="O274" i="34" s="1"/>
  <c r="P274" i="34" s="1"/>
  <c r="Q274" i="34" s="1"/>
  <c r="R274" i="34" s="1"/>
  <c r="S274" i="34" s="1"/>
  <c r="C334" i="34"/>
  <c r="D334" i="34" s="1"/>
  <c r="E334" i="34" s="1"/>
  <c r="F334" i="34" s="1"/>
  <c r="G334" i="34" s="1"/>
  <c r="H334" i="34" s="1"/>
  <c r="I334" i="34" s="1"/>
  <c r="J334" i="34" s="1"/>
  <c r="K334" i="34" s="1"/>
  <c r="L334" i="34" s="1"/>
  <c r="M334" i="34" s="1"/>
  <c r="N334" i="34" s="1"/>
  <c r="O334" i="34" s="1"/>
  <c r="P334" i="34" s="1"/>
  <c r="Q334" i="34" s="1"/>
  <c r="R334" i="34" s="1"/>
  <c r="S334" i="34" s="1"/>
  <c r="C397" i="34"/>
  <c r="D397" i="34" s="1"/>
  <c r="E397" i="34" s="1"/>
  <c r="F397" i="34" s="1"/>
  <c r="G397" i="34" s="1"/>
  <c r="H397" i="34" s="1"/>
  <c r="I397" i="34" s="1"/>
  <c r="J397" i="34" s="1"/>
  <c r="K397" i="34" s="1"/>
  <c r="L397" i="34" s="1"/>
  <c r="M397" i="34" s="1"/>
  <c r="N397" i="34" s="1"/>
  <c r="O397" i="34" s="1"/>
  <c r="P397" i="34" s="1"/>
  <c r="Q397" i="34" s="1"/>
  <c r="R397" i="34" s="1"/>
  <c r="S397" i="34" s="1"/>
  <c r="C441" i="34"/>
  <c r="D441" i="34" s="1"/>
  <c r="E441" i="34" s="1"/>
  <c r="F441" i="34" s="1"/>
  <c r="G441" i="34" s="1"/>
  <c r="H441" i="34" s="1"/>
  <c r="I441" i="34" s="1"/>
  <c r="J441" i="34" s="1"/>
  <c r="K441" i="34" s="1"/>
  <c r="L441" i="34" s="1"/>
  <c r="M441" i="34" s="1"/>
  <c r="N441" i="34" s="1"/>
  <c r="O441" i="34" s="1"/>
  <c r="P441" i="34" s="1"/>
  <c r="Q441" i="34" s="1"/>
  <c r="R441" i="34" s="1"/>
  <c r="S441" i="34" s="1"/>
  <c r="C464" i="34"/>
  <c r="D464" i="34" s="1"/>
  <c r="E464" i="34" s="1"/>
  <c r="F464" i="34" s="1"/>
  <c r="G464" i="34" s="1"/>
  <c r="H464" i="34" s="1"/>
  <c r="I464" i="34" s="1"/>
  <c r="J464" i="34" s="1"/>
  <c r="K464" i="34" s="1"/>
  <c r="L464" i="34" s="1"/>
  <c r="M464" i="34" s="1"/>
  <c r="N464" i="34" s="1"/>
  <c r="O464" i="34" s="1"/>
  <c r="P464" i="34" s="1"/>
  <c r="Q464" i="34" s="1"/>
  <c r="R464" i="34" s="1"/>
  <c r="S464" i="34" s="1"/>
  <c r="C421" i="34"/>
  <c r="D421" i="34" s="1"/>
  <c r="E421" i="34" s="1"/>
  <c r="F421" i="34" s="1"/>
  <c r="G421" i="34" s="1"/>
  <c r="H421" i="34" s="1"/>
  <c r="I421" i="34" s="1"/>
  <c r="J421" i="34" s="1"/>
  <c r="K421" i="34" s="1"/>
  <c r="L421" i="34" s="1"/>
  <c r="M421" i="34" s="1"/>
  <c r="N421" i="34" s="1"/>
  <c r="O421" i="34" s="1"/>
  <c r="P421" i="34" s="1"/>
  <c r="Q421" i="34" s="1"/>
  <c r="R421" i="34" s="1"/>
  <c r="S421" i="34" s="1"/>
  <c r="C453" i="34"/>
  <c r="D453" i="34" s="1"/>
  <c r="E453" i="34" s="1"/>
  <c r="F453" i="34" s="1"/>
  <c r="G453" i="34" s="1"/>
  <c r="H453" i="34" s="1"/>
  <c r="I453" i="34" s="1"/>
  <c r="J453" i="34" s="1"/>
  <c r="K453" i="34" s="1"/>
  <c r="L453" i="34" s="1"/>
  <c r="M453" i="34" s="1"/>
  <c r="N453" i="34" s="1"/>
  <c r="O453" i="34" s="1"/>
  <c r="P453" i="34" s="1"/>
  <c r="Q453" i="34" s="1"/>
  <c r="R453" i="34" s="1"/>
  <c r="S453" i="34" s="1"/>
  <c r="C241" i="34"/>
  <c r="D241" i="34" s="1"/>
  <c r="E241" i="34" s="1"/>
  <c r="F241" i="34" s="1"/>
  <c r="G241" i="34" s="1"/>
  <c r="H241" i="34" s="1"/>
  <c r="I241" i="34" s="1"/>
  <c r="J241" i="34" s="1"/>
  <c r="K241" i="34" s="1"/>
  <c r="L241" i="34" s="1"/>
  <c r="M241" i="34" s="1"/>
  <c r="N241" i="34" s="1"/>
  <c r="O241" i="34" s="1"/>
  <c r="P241" i="34" s="1"/>
  <c r="Q241" i="34" s="1"/>
  <c r="R241" i="34" s="1"/>
  <c r="S241" i="34" s="1"/>
  <c r="C345" i="34"/>
  <c r="D345" i="34" s="1"/>
  <c r="E345" i="34" s="1"/>
  <c r="F345" i="34" s="1"/>
  <c r="G345" i="34" s="1"/>
  <c r="H345" i="34" s="1"/>
  <c r="I345" i="34" s="1"/>
  <c r="J345" i="34" s="1"/>
  <c r="K345" i="34" s="1"/>
  <c r="L345" i="34" s="1"/>
  <c r="M345" i="34" s="1"/>
  <c r="N345" i="34" s="1"/>
  <c r="O345" i="34" s="1"/>
  <c r="P345" i="34" s="1"/>
  <c r="Q345" i="34" s="1"/>
  <c r="R345" i="34" s="1"/>
  <c r="S345" i="34" s="1"/>
  <c r="C215" i="34"/>
  <c r="D215" i="34" s="1"/>
  <c r="E215" i="34" s="1"/>
  <c r="F215" i="34" s="1"/>
  <c r="G215" i="34" s="1"/>
  <c r="H215" i="34" s="1"/>
  <c r="I215" i="34" s="1"/>
  <c r="J215" i="34" s="1"/>
  <c r="K215" i="34" s="1"/>
  <c r="L215" i="34" s="1"/>
  <c r="M215" i="34" s="1"/>
  <c r="N215" i="34" s="1"/>
  <c r="O215" i="34" s="1"/>
  <c r="P215" i="34" s="1"/>
  <c r="Q215" i="34" s="1"/>
  <c r="R215" i="34" s="1"/>
  <c r="S215" i="34" s="1"/>
  <c r="C304" i="34"/>
  <c r="D304" i="34" s="1"/>
  <c r="E304" i="34" s="1"/>
  <c r="F304" i="34" s="1"/>
  <c r="G304" i="34" s="1"/>
  <c r="H304" i="34" s="1"/>
  <c r="I304" i="34" s="1"/>
  <c r="J304" i="34" s="1"/>
  <c r="K304" i="34" s="1"/>
  <c r="L304" i="34" s="1"/>
  <c r="M304" i="34" s="1"/>
  <c r="N304" i="34" s="1"/>
  <c r="O304" i="34" s="1"/>
  <c r="P304" i="34" s="1"/>
  <c r="Q304" i="34" s="1"/>
  <c r="R304" i="34" s="1"/>
  <c r="S304" i="34" s="1"/>
  <c r="C454" i="34"/>
  <c r="D454" i="34" s="1"/>
  <c r="E454" i="34" s="1"/>
  <c r="F454" i="34" s="1"/>
  <c r="G454" i="34" s="1"/>
  <c r="H454" i="34" s="1"/>
  <c r="I454" i="34" s="1"/>
  <c r="J454" i="34" s="1"/>
  <c r="K454" i="34" s="1"/>
  <c r="L454" i="34" s="1"/>
  <c r="M454" i="34" s="1"/>
  <c r="N454" i="34" s="1"/>
  <c r="O454" i="34" s="1"/>
  <c r="P454" i="34" s="1"/>
  <c r="Q454" i="34" s="1"/>
  <c r="R454" i="34" s="1"/>
  <c r="S454" i="34" s="1"/>
  <c r="C595" i="34"/>
  <c r="D595" i="34" s="1"/>
  <c r="E595" i="34" s="1"/>
  <c r="F595" i="34" s="1"/>
  <c r="G595" i="34" s="1"/>
  <c r="H595" i="34" s="1"/>
  <c r="I595" i="34" s="1"/>
  <c r="J595" i="34" s="1"/>
  <c r="K595" i="34" s="1"/>
  <c r="L595" i="34" s="1"/>
  <c r="M595" i="34" s="1"/>
  <c r="N595" i="34" s="1"/>
  <c r="O595" i="34" s="1"/>
  <c r="P595" i="34" s="1"/>
  <c r="Q595" i="34" s="1"/>
  <c r="R595" i="34" s="1"/>
  <c r="S595" i="34" s="1"/>
  <c r="C68" i="34"/>
  <c r="D68" i="34" s="1"/>
  <c r="E68" i="34" s="1"/>
  <c r="F68" i="34" s="1"/>
  <c r="G68" i="34" s="1"/>
  <c r="H68" i="34" s="1"/>
  <c r="I68" i="34" s="1"/>
  <c r="J68" i="34" s="1"/>
  <c r="K68" i="34" s="1"/>
  <c r="L68" i="34" s="1"/>
  <c r="M68" i="34" s="1"/>
  <c r="N68" i="34" s="1"/>
  <c r="O68" i="34" s="1"/>
  <c r="P68" i="34" s="1"/>
  <c r="Q68" i="34" s="1"/>
  <c r="R68" i="34" s="1"/>
  <c r="S68" i="34" s="1"/>
  <c r="C154" i="34"/>
  <c r="D154" i="34" s="1"/>
  <c r="E154" i="34" s="1"/>
  <c r="F154" i="34" s="1"/>
  <c r="G154" i="34" s="1"/>
  <c r="H154" i="34" s="1"/>
  <c r="I154" i="34" s="1"/>
  <c r="J154" i="34" s="1"/>
  <c r="K154" i="34" s="1"/>
  <c r="L154" i="34" s="1"/>
  <c r="M154" i="34" s="1"/>
  <c r="N154" i="34" s="1"/>
  <c r="O154" i="34" s="1"/>
  <c r="P154" i="34" s="1"/>
  <c r="Q154" i="34" s="1"/>
  <c r="R154" i="34" s="1"/>
  <c r="S154" i="34" s="1"/>
  <c r="C4" i="34"/>
  <c r="D4" i="34" s="1"/>
  <c r="E4" i="34" s="1"/>
  <c r="F4" i="34" s="1"/>
  <c r="G4" i="34" s="1"/>
  <c r="H4" i="34" s="1"/>
  <c r="I4" i="34" s="1"/>
  <c r="J4" i="34" s="1"/>
  <c r="K4" i="34" s="1"/>
  <c r="L4" i="34" s="1"/>
  <c r="M4" i="34" s="1"/>
  <c r="N4" i="34" s="1"/>
  <c r="O4" i="34" s="1"/>
  <c r="P4" i="34" s="1"/>
  <c r="Q4" i="34" s="1"/>
  <c r="R4" i="34" s="1"/>
  <c r="S4" i="34" s="1"/>
  <c r="C36" i="34"/>
  <c r="D36" i="34" s="1"/>
  <c r="E36" i="34" s="1"/>
  <c r="F36" i="34" s="1"/>
  <c r="G36" i="34" s="1"/>
  <c r="H36" i="34" s="1"/>
  <c r="I36" i="34" s="1"/>
  <c r="J36" i="34" s="1"/>
  <c r="K36" i="34" s="1"/>
  <c r="L36" i="34" s="1"/>
  <c r="M36" i="34" s="1"/>
  <c r="N36" i="34" s="1"/>
  <c r="O36" i="34" s="1"/>
  <c r="P36" i="34" s="1"/>
  <c r="Q36" i="34" s="1"/>
  <c r="R36" i="34" s="1"/>
  <c r="S36" i="34" s="1"/>
  <c r="C63" i="34"/>
  <c r="D63" i="34" s="1"/>
  <c r="E63" i="34" s="1"/>
  <c r="F63" i="34" s="1"/>
  <c r="G63" i="34" s="1"/>
  <c r="H63" i="34" s="1"/>
  <c r="I63" i="34" s="1"/>
  <c r="J63" i="34" s="1"/>
  <c r="K63" i="34" s="1"/>
  <c r="L63" i="34" s="1"/>
  <c r="M63" i="34" s="1"/>
  <c r="N63" i="34" s="1"/>
  <c r="O63" i="34" s="1"/>
  <c r="P63" i="34" s="1"/>
  <c r="Q63" i="34" s="1"/>
  <c r="R63" i="34" s="1"/>
  <c r="S63" i="34" s="1"/>
  <c r="C85" i="34"/>
  <c r="D85" i="34" s="1"/>
  <c r="E85" i="34" s="1"/>
  <c r="F85" i="34" s="1"/>
  <c r="G85" i="34" s="1"/>
  <c r="H85" i="34" s="1"/>
  <c r="I85" i="34" s="1"/>
  <c r="J85" i="34" s="1"/>
  <c r="K85" i="34" s="1"/>
  <c r="L85" i="34" s="1"/>
  <c r="M85" i="34" s="1"/>
  <c r="N85" i="34" s="1"/>
  <c r="O85" i="34" s="1"/>
  <c r="P85" i="34" s="1"/>
  <c r="Q85" i="34" s="1"/>
  <c r="R85" i="34" s="1"/>
  <c r="S85" i="34" s="1"/>
  <c r="C138" i="34"/>
  <c r="D138" i="34" s="1"/>
  <c r="E138" i="34" s="1"/>
  <c r="F138" i="34" s="1"/>
  <c r="G138" i="34" s="1"/>
  <c r="H138" i="34" s="1"/>
  <c r="I138" i="34" s="1"/>
  <c r="J138" i="34" s="1"/>
  <c r="K138" i="34" s="1"/>
  <c r="L138" i="34" s="1"/>
  <c r="M138" i="34" s="1"/>
  <c r="N138" i="34" s="1"/>
  <c r="O138" i="34" s="1"/>
  <c r="P138" i="34" s="1"/>
  <c r="Q138" i="34" s="1"/>
  <c r="R138" i="34" s="1"/>
  <c r="S138" i="34" s="1"/>
  <c r="C18" i="34"/>
  <c r="D18" i="34" s="1"/>
  <c r="E18" i="34" s="1"/>
  <c r="F18" i="34" s="1"/>
  <c r="G18" i="34" s="1"/>
  <c r="H18" i="34" s="1"/>
  <c r="I18" i="34" s="1"/>
  <c r="J18" i="34" s="1"/>
  <c r="K18" i="34" s="1"/>
  <c r="L18" i="34" s="1"/>
  <c r="M18" i="34" s="1"/>
  <c r="N18" i="34" s="1"/>
  <c r="O18" i="34" s="1"/>
  <c r="P18" i="34" s="1"/>
  <c r="Q18" i="34" s="1"/>
  <c r="R18" i="34" s="1"/>
  <c r="S18" i="34" s="1"/>
  <c r="C173" i="34"/>
  <c r="D173" i="34" s="1"/>
  <c r="E173" i="34" s="1"/>
  <c r="F173" i="34" s="1"/>
  <c r="G173" i="34" s="1"/>
  <c r="H173" i="34" s="1"/>
  <c r="I173" i="34" s="1"/>
  <c r="J173" i="34" s="1"/>
  <c r="K173" i="34" s="1"/>
  <c r="L173" i="34" s="1"/>
  <c r="M173" i="34" s="1"/>
  <c r="N173" i="34" s="1"/>
  <c r="O173" i="34" s="1"/>
  <c r="P173" i="34" s="1"/>
  <c r="Q173" i="34" s="1"/>
  <c r="R173" i="34" s="1"/>
  <c r="S173" i="34" s="1"/>
  <c r="C56" i="34"/>
  <c r="D56" i="34" s="1"/>
  <c r="E56" i="34" s="1"/>
  <c r="F56" i="34" s="1"/>
  <c r="G56" i="34" s="1"/>
  <c r="H56" i="34" s="1"/>
  <c r="I56" i="34" s="1"/>
  <c r="J56" i="34" s="1"/>
  <c r="K56" i="34" s="1"/>
  <c r="L56" i="34" s="1"/>
  <c r="M56" i="34" s="1"/>
  <c r="N56" i="34" s="1"/>
  <c r="O56" i="34" s="1"/>
  <c r="P56" i="34" s="1"/>
  <c r="Q56" i="34" s="1"/>
  <c r="R56" i="34" s="1"/>
  <c r="S56" i="34" s="1"/>
  <c r="C23" i="34"/>
  <c r="D23" i="34" s="1"/>
  <c r="E23" i="34" s="1"/>
  <c r="F23" i="34" s="1"/>
  <c r="G23" i="34" s="1"/>
  <c r="H23" i="34" s="1"/>
  <c r="I23" i="34" s="1"/>
  <c r="J23" i="34" s="1"/>
  <c r="K23" i="34" s="1"/>
  <c r="L23" i="34" s="1"/>
  <c r="M23" i="34" s="1"/>
  <c r="N23" i="34" s="1"/>
  <c r="O23" i="34" s="1"/>
  <c r="P23" i="34" s="1"/>
  <c r="Q23" i="34" s="1"/>
  <c r="R23" i="34" s="1"/>
  <c r="S23" i="34" s="1"/>
  <c r="C47" i="34"/>
  <c r="D47" i="34" s="1"/>
  <c r="E47" i="34" s="1"/>
  <c r="F47" i="34" s="1"/>
  <c r="G47" i="34" s="1"/>
  <c r="H47" i="34" s="1"/>
  <c r="I47" i="34" s="1"/>
  <c r="J47" i="34" s="1"/>
  <c r="K47" i="34" s="1"/>
  <c r="L47" i="34" s="1"/>
  <c r="M47" i="34" s="1"/>
  <c r="N47" i="34" s="1"/>
  <c r="O47" i="34" s="1"/>
  <c r="P47" i="34" s="1"/>
  <c r="Q47" i="34" s="1"/>
  <c r="R47" i="34" s="1"/>
  <c r="S47" i="34" s="1"/>
  <c r="C131" i="34"/>
  <c r="D131" i="34" s="1"/>
  <c r="E131" i="34" s="1"/>
  <c r="F131" i="34" s="1"/>
  <c r="G131" i="34" s="1"/>
  <c r="H131" i="34" s="1"/>
  <c r="I131" i="34" s="1"/>
  <c r="J131" i="34" s="1"/>
  <c r="K131" i="34" s="1"/>
  <c r="L131" i="34" s="1"/>
  <c r="M131" i="34" s="1"/>
  <c r="N131" i="34" s="1"/>
  <c r="O131" i="34" s="1"/>
  <c r="P131" i="34" s="1"/>
  <c r="Q131" i="34" s="1"/>
  <c r="R131" i="34" s="1"/>
  <c r="S131" i="34" s="1"/>
  <c r="C187" i="34"/>
  <c r="D187" i="34" s="1"/>
  <c r="E187" i="34" s="1"/>
  <c r="F187" i="34" s="1"/>
  <c r="G187" i="34" s="1"/>
  <c r="H187" i="34" s="1"/>
  <c r="I187" i="34" s="1"/>
  <c r="J187" i="34" s="1"/>
  <c r="K187" i="34" s="1"/>
  <c r="L187" i="34" s="1"/>
  <c r="M187" i="34" s="1"/>
  <c r="N187" i="34" s="1"/>
  <c r="O187" i="34" s="1"/>
  <c r="P187" i="34" s="1"/>
  <c r="Q187" i="34" s="1"/>
  <c r="R187" i="34" s="1"/>
  <c r="S187" i="34" s="1"/>
  <c r="C246" i="34"/>
  <c r="D246" i="34" s="1"/>
  <c r="E246" i="34" s="1"/>
  <c r="F246" i="34" s="1"/>
  <c r="G246" i="34" s="1"/>
  <c r="H246" i="34" s="1"/>
  <c r="I246" i="34" s="1"/>
  <c r="J246" i="34" s="1"/>
  <c r="K246" i="34" s="1"/>
  <c r="L246" i="34" s="1"/>
  <c r="M246" i="34" s="1"/>
  <c r="N246" i="34" s="1"/>
  <c r="O246" i="34" s="1"/>
  <c r="P246" i="34" s="1"/>
  <c r="Q246" i="34" s="1"/>
  <c r="R246" i="34" s="1"/>
  <c r="S246" i="34" s="1"/>
  <c r="C148" i="34"/>
  <c r="D148" i="34" s="1"/>
  <c r="E148" i="34" s="1"/>
  <c r="F148" i="34" s="1"/>
  <c r="G148" i="34" s="1"/>
  <c r="H148" i="34" s="1"/>
  <c r="I148" i="34" s="1"/>
  <c r="J148" i="34" s="1"/>
  <c r="K148" i="34" s="1"/>
  <c r="L148" i="34" s="1"/>
  <c r="M148" i="34" s="1"/>
  <c r="N148" i="34" s="1"/>
  <c r="O148" i="34" s="1"/>
  <c r="P148" i="34" s="1"/>
  <c r="Q148" i="34" s="1"/>
  <c r="R148" i="34" s="1"/>
  <c r="S148" i="34" s="1"/>
  <c r="C319" i="34"/>
  <c r="D319" i="34" s="1"/>
  <c r="E319" i="34" s="1"/>
  <c r="F319" i="34" s="1"/>
  <c r="G319" i="34" s="1"/>
  <c r="H319" i="34" s="1"/>
  <c r="I319" i="34" s="1"/>
  <c r="J319" i="34" s="1"/>
  <c r="K319" i="34" s="1"/>
  <c r="L319" i="34" s="1"/>
  <c r="M319" i="34" s="1"/>
  <c r="N319" i="34" s="1"/>
  <c r="O319" i="34" s="1"/>
  <c r="P319" i="34" s="1"/>
  <c r="Q319" i="34" s="1"/>
  <c r="R319" i="34" s="1"/>
  <c r="S319" i="34" s="1"/>
  <c r="C371" i="34"/>
  <c r="D371" i="34" s="1"/>
  <c r="E371" i="34" s="1"/>
  <c r="F371" i="34" s="1"/>
  <c r="G371" i="34" s="1"/>
  <c r="H371" i="34" s="1"/>
  <c r="I371" i="34" s="1"/>
  <c r="J371" i="34" s="1"/>
  <c r="K371" i="34" s="1"/>
  <c r="L371" i="34" s="1"/>
  <c r="M371" i="34" s="1"/>
  <c r="N371" i="34" s="1"/>
  <c r="O371" i="34" s="1"/>
  <c r="P371" i="34" s="1"/>
  <c r="Q371" i="34" s="1"/>
  <c r="R371" i="34" s="1"/>
  <c r="S371" i="34" s="1"/>
  <c r="C134" i="34"/>
  <c r="D134" i="34" s="1"/>
  <c r="E134" i="34" s="1"/>
  <c r="F134" i="34" s="1"/>
  <c r="G134" i="34" s="1"/>
  <c r="H134" i="34" s="1"/>
  <c r="I134" i="34" s="1"/>
  <c r="J134" i="34" s="1"/>
  <c r="K134" i="34" s="1"/>
  <c r="L134" i="34" s="1"/>
  <c r="M134" i="34" s="1"/>
  <c r="N134" i="34" s="1"/>
  <c r="O134" i="34" s="1"/>
  <c r="P134" i="34" s="1"/>
  <c r="Q134" i="34" s="1"/>
  <c r="R134" i="34" s="1"/>
  <c r="S134" i="34" s="1"/>
  <c r="C170" i="34"/>
  <c r="D170" i="34" s="1"/>
  <c r="E170" i="34" s="1"/>
  <c r="F170" i="34" s="1"/>
  <c r="G170" i="34" s="1"/>
  <c r="H170" i="34" s="1"/>
  <c r="I170" i="34" s="1"/>
  <c r="J170" i="34" s="1"/>
  <c r="K170" i="34" s="1"/>
  <c r="L170" i="34" s="1"/>
  <c r="M170" i="34" s="1"/>
  <c r="N170" i="34" s="1"/>
  <c r="O170" i="34" s="1"/>
  <c r="P170" i="34" s="1"/>
  <c r="Q170" i="34" s="1"/>
  <c r="R170" i="34" s="1"/>
  <c r="S170" i="34" s="1"/>
  <c r="C234" i="34"/>
  <c r="D234" i="34" s="1"/>
  <c r="E234" i="34" s="1"/>
  <c r="F234" i="34" s="1"/>
  <c r="G234" i="34" s="1"/>
  <c r="H234" i="34" s="1"/>
  <c r="I234" i="34" s="1"/>
  <c r="J234" i="34" s="1"/>
  <c r="K234" i="34" s="1"/>
  <c r="L234" i="34" s="1"/>
  <c r="M234" i="34" s="1"/>
  <c r="N234" i="34" s="1"/>
  <c r="O234" i="34" s="1"/>
  <c r="P234" i="34" s="1"/>
  <c r="Q234" i="34" s="1"/>
  <c r="R234" i="34" s="1"/>
  <c r="S234" i="34" s="1"/>
  <c r="C360" i="34"/>
  <c r="D360" i="34" s="1"/>
  <c r="E360" i="34" s="1"/>
  <c r="F360" i="34" s="1"/>
  <c r="G360" i="34" s="1"/>
  <c r="H360" i="34" s="1"/>
  <c r="I360" i="34" s="1"/>
  <c r="J360" i="34" s="1"/>
  <c r="K360" i="34" s="1"/>
  <c r="L360" i="34" s="1"/>
  <c r="M360" i="34" s="1"/>
  <c r="N360" i="34" s="1"/>
  <c r="O360" i="34" s="1"/>
  <c r="P360" i="34" s="1"/>
  <c r="Q360" i="34" s="1"/>
  <c r="R360" i="34" s="1"/>
  <c r="S360" i="34" s="1"/>
  <c r="C117" i="34"/>
  <c r="D117" i="34" s="1"/>
  <c r="E117" i="34" s="1"/>
  <c r="F117" i="34" s="1"/>
  <c r="G117" i="34" s="1"/>
  <c r="H117" i="34" s="1"/>
  <c r="I117" i="34" s="1"/>
  <c r="J117" i="34" s="1"/>
  <c r="K117" i="34" s="1"/>
  <c r="L117" i="34" s="1"/>
  <c r="M117" i="34" s="1"/>
  <c r="N117" i="34" s="1"/>
  <c r="O117" i="34" s="1"/>
  <c r="P117" i="34" s="1"/>
  <c r="Q117" i="34" s="1"/>
  <c r="R117" i="34" s="1"/>
  <c r="S117" i="34" s="1"/>
  <c r="C186" i="34"/>
  <c r="D186" i="34" s="1"/>
  <c r="E186" i="34" s="1"/>
  <c r="F186" i="34" s="1"/>
  <c r="G186" i="34" s="1"/>
  <c r="H186" i="34" s="1"/>
  <c r="I186" i="34" s="1"/>
  <c r="J186" i="34" s="1"/>
  <c r="K186" i="34" s="1"/>
  <c r="L186" i="34" s="1"/>
  <c r="M186" i="34" s="1"/>
  <c r="N186" i="34" s="1"/>
  <c r="O186" i="34" s="1"/>
  <c r="P186" i="34" s="1"/>
  <c r="Q186" i="34" s="1"/>
  <c r="R186" i="34" s="1"/>
  <c r="S186" i="34" s="1"/>
  <c r="C219" i="34"/>
  <c r="D219" i="34" s="1"/>
  <c r="E219" i="34" s="1"/>
  <c r="F219" i="34" s="1"/>
  <c r="G219" i="34" s="1"/>
  <c r="H219" i="34" s="1"/>
  <c r="I219" i="34" s="1"/>
  <c r="J219" i="34" s="1"/>
  <c r="K219" i="34" s="1"/>
  <c r="L219" i="34" s="1"/>
  <c r="M219" i="34" s="1"/>
  <c r="N219" i="34" s="1"/>
  <c r="O219" i="34" s="1"/>
  <c r="P219" i="34" s="1"/>
  <c r="Q219" i="34" s="1"/>
  <c r="R219" i="34" s="1"/>
  <c r="S219" i="34" s="1"/>
  <c r="C244" i="34"/>
  <c r="D244" i="34" s="1"/>
  <c r="E244" i="34" s="1"/>
  <c r="F244" i="34" s="1"/>
  <c r="G244" i="34" s="1"/>
  <c r="H244" i="34" s="1"/>
  <c r="I244" i="34" s="1"/>
  <c r="J244" i="34" s="1"/>
  <c r="K244" i="34" s="1"/>
  <c r="L244" i="34" s="1"/>
  <c r="M244" i="34" s="1"/>
  <c r="N244" i="34" s="1"/>
  <c r="O244" i="34" s="1"/>
  <c r="P244" i="34" s="1"/>
  <c r="Q244" i="34" s="1"/>
  <c r="R244" i="34" s="1"/>
  <c r="S244" i="34" s="1"/>
  <c r="C317" i="34"/>
  <c r="D317" i="34" s="1"/>
  <c r="E317" i="34" s="1"/>
  <c r="F317" i="34" s="1"/>
  <c r="G317" i="34" s="1"/>
  <c r="H317" i="34" s="1"/>
  <c r="I317" i="34" s="1"/>
  <c r="J317" i="34" s="1"/>
  <c r="K317" i="34" s="1"/>
  <c r="L317" i="34" s="1"/>
  <c r="M317" i="34" s="1"/>
  <c r="N317" i="34" s="1"/>
  <c r="O317" i="34" s="1"/>
  <c r="P317" i="34" s="1"/>
  <c r="Q317" i="34" s="1"/>
  <c r="R317" i="34" s="1"/>
  <c r="S317" i="34" s="1"/>
  <c r="C365" i="34"/>
  <c r="D365" i="34" s="1"/>
  <c r="E365" i="34" s="1"/>
  <c r="F365" i="34" s="1"/>
  <c r="G365" i="34" s="1"/>
  <c r="H365" i="34" s="1"/>
  <c r="I365" i="34" s="1"/>
  <c r="J365" i="34" s="1"/>
  <c r="K365" i="34" s="1"/>
  <c r="L365" i="34" s="1"/>
  <c r="M365" i="34" s="1"/>
  <c r="N365" i="34" s="1"/>
  <c r="O365" i="34" s="1"/>
  <c r="P365" i="34" s="1"/>
  <c r="Q365" i="34" s="1"/>
  <c r="R365" i="34" s="1"/>
  <c r="S365" i="34" s="1"/>
  <c r="C130" i="34"/>
  <c r="D130" i="34" s="1"/>
  <c r="E130" i="34" s="1"/>
  <c r="F130" i="34" s="1"/>
  <c r="G130" i="34" s="1"/>
  <c r="H130" i="34" s="1"/>
  <c r="I130" i="34" s="1"/>
  <c r="J130" i="34" s="1"/>
  <c r="K130" i="34" s="1"/>
  <c r="L130" i="34" s="1"/>
  <c r="M130" i="34" s="1"/>
  <c r="N130" i="34" s="1"/>
  <c r="O130" i="34" s="1"/>
  <c r="P130" i="34" s="1"/>
  <c r="Q130" i="34" s="1"/>
  <c r="R130" i="34" s="1"/>
  <c r="S130" i="34" s="1"/>
  <c r="C223" i="34"/>
  <c r="D223" i="34" s="1"/>
  <c r="E223" i="34" s="1"/>
  <c r="F223" i="34" s="1"/>
  <c r="G223" i="34" s="1"/>
  <c r="H223" i="34" s="1"/>
  <c r="I223" i="34" s="1"/>
  <c r="J223" i="34" s="1"/>
  <c r="K223" i="34" s="1"/>
  <c r="L223" i="34" s="1"/>
  <c r="M223" i="34" s="1"/>
  <c r="N223" i="34" s="1"/>
  <c r="O223" i="34" s="1"/>
  <c r="P223" i="34" s="1"/>
  <c r="Q223" i="34" s="1"/>
  <c r="R223" i="34" s="1"/>
  <c r="S223" i="34" s="1"/>
  <c r="C330" i="34"/>
  <c r="D330" i="34" s="1"/>
  <c r="E330" i="34" s="1"/>
  <c r="F330" i="34" s="1"/>
  <c r="G330" i="34" s="1"/>
  <c r="H330" i="34" s="1"/>
  <c r="I330" i="34" s="1"/>
  <c r="J330" i="34" s="1"/>
  <c r="K330" i="34" s="1"/>
  <c r="L330" i="34" s="1"/>
  <c r="M330" i="34" s="1"/>
  <c r="N330" i="34" s="1"/>
  <c r="O330" i="34" s="1"/>
  <c r="P330" i="34" s="1"/>
  <c r="Q330" i="34" s="1"/>
  <c r="R330" i="34" s="1"/>
  <c r="S330" i="34" s="1"/>
  <c r="C343" i="34"/>
  <c r="D343" i="34" s="1"/>
  <c r="E343" i="34" s="1"/>
  <c r="F343" i="34" s="1"/>
  <c r="G343" i="34" s="1"/>
  <c r="H343" i="34" s="1"/>
  <c r="I343" i="34" s="1"/>
  <c r="J343" i="34" s="1"/>
  <c r="K343" i="34" s="1"/>
  <c r="L343" i="34" s="1"/>
  <c r="M343" i="34" s="1"/>
  <c r="N343" i="34" s="1"/>
  <c r="O343" i="34" s="1"/>
  <c r="P343" i="34" s="1"/>
  <c r="Q343" i="34" s="1"/>
  <c r="R343" i="34" s="1"/>
  <c r="S343" i="34" s="1"/>
  <c r="C390" i="34"/>
  <c r="D390" i="34" s="1"/>
  <c r="E390" i="34" s="1"/>
  <c r="F390" i="34" s="1"/>
  <c r="G390" i="34" s="1"/>
  <c r="H390" i="34" s="1"/>
  <c r="I390" i="34" s="1"/>
  <c r="J390" i="34" s="1"/>
  <c r="K390" i="34" s="1"/>
  <c r="L390" i="34" s="1"/>
  <c r="M390" i="34" s="1"/>
  <c r="N390" i="34" s="1"/>
  <c r="O390" i="34" s="1"/>
  <c r="P390" i="34" s="1"/>
  <c r="Q390" i="34" s="1"/>
  <c r="R390" i="34" s="1"/>
  <c r="S390" i="34" s="1"/>
  <c r="C315" i="34"/>
  <c r="D315" i="34" s="1"/>
  <c r="E315" i="34" s="1"/>
  <c r="F315" i="34" s="1"/>
  <c r="G315" i="34" s="1"/>
  <c r="H315" i="34" s="1"/>
  <c r="I315" i="34" s="1"/>
  <c r="J315" i="34" s="1"/>
  <c r="K315" i="34" s="1"/>
  <c r="L315" i="34" s="1"/>
  <c r="M315" i="34" s="1"/>
  <c r="N315" i="34" s="1"/>
  <c r="O315" i="34" s="1"/>
  <c r="P315" i="34" s="1"/>
  <c r="Q315" i="34" s="1"/>
  <c r="R315" i="34" s="1"/>
  <c r="S315" i="34" s="1"/>
  <c r="C374" i="34"/>
  <c r="D374" i="34" s="1"/>
  <c r="E374" i="34" s="1"/>
  <c r="F374" i="34" s="1"/>
  <c r="G374" i="34" s="1"/>
  <c r="H374" i="34" s="1"/>
  <c r="I374" i="34" s="1"/>
  <c r="J374" i="34" s="1"/>
  <c r="K374" i="34" s="1"/>
  <c r="L374" i="34" s="1"/>
  <c r="M374" i="34" s="1"/>
  <c r="N374" i="34" s="1"/>
  <c r="O374" i="34" s="1"/>
  <c r="P374" i="34" s="1"/>
  <c r="Q374" i="34" s="1"/>
  <c r="R374" i="34" s="1"/>
  <c r="S374" i="34" s="1"/>
  <c r="C407" i="34"/>
  <c r="D407" i="34" s="1"/>
  <c r="E407" i="34" s="1"/>
  <c r="F407" i="34" s="1"/>
  <c r="G407" i="34" s="1"/>
  <c r="H407" i="34" s="1"/>
  <c r="I407" i="34" s="1"/>
  <c r="J407" i="34" s="1"/>
  <c r="K407" i="34" s="1"/>
  <c r="L407" i="34" s="1"/>
  <c r="M407" i="34" s="1"/>
  <c r="N407" i="34" s="1"/>
  <c r="O407" i="34" s="1"/>
  <c r="P407" i="34" s="1"/>
  <c r="Q407" i="34" s="1"/>
  <c r="R407" i="34" s="1"/>
  <c r="S407" i="34" s="1"/>
  <c r="C496" i="34"/>
  <c r="D496" i="34" s="1"/>
  <c r="E496" i="34" s="1"/>
  <c r="F496" i="34" s="1"/>
  <c r="G496" i="34" s="1"/>
  <c r="H496" i="34" s="1"/>
  <c r="I496" i="34" s="1"/>
  <c r="J496" i="34" s="1"/>
  <c r="K496" i="34" s="1"/>
  <c r="L496" i="34" s="1"/>
  <c r="M496" i="34" s="1"/>
  <c r="N496" i="34" s="1"/>
  <c r="O496" i="34" s="1"/>
  <c r="P496" i="34" s="1"/>
  <c r="Q496" i="34" s="1"/>
  <c r="R496" i="34" s="1"/>
  <c r="S496" i="34" s="1"/>
  <c r="C545" i="34"/>
  <c r="D545" i="34" s="1"/>
  <c r="E545" i="34" s="1"/>
  <c r="F545" i="34" s="1"/>
  <c r="G545" i="34" s="1"/>
  <c r="H545" i="34" s="1"/>
  <c r="I545" i="34" s="1"/>
  <c r="J545" i="34" s="1"/>
  <c r="K545" i="34" s="1"/>
  <c r="L545" i="34" s="1"/>
  <c r="M545" i="34" s="1"/>
  <c r="N545" i="34" s="1"/>
  <c r="O545" i="34" s="1"/>
  <c r="P545" i="34" s="1"/>
  <c r="Q545" i="34" s="1"/>
  <c r="R545" i="34" s="1"/>
  <c r="S545" i="34" s="1"/>
  <c r="C351" i="34"/>
  <c r="D351" i="34" s="1"/>
  <c r="E351" i="34" s="1"/>
  <c r="F351" i="34" s="1"/>
  <c r="G351" i="34" s="1"/>
  <c r="H351" i="34" s="1"/>
  <c r="I351" i="34" s="1"/>
  <c r="J351" i="34" s="1"/>
  <c r="K351" i="34" s="1"/>
  <c r="L351" i="34" s="1"/>
  <c r="M351" i="34" s="1"/>
  <c r="N351" i="34" s="1"/>
  <c r="O351" i="34" s="1"/>
  <c r="P351" i="34" s="1"/>
  <c r="Q351" i="34" s="1"/>
  <c r="R351" i="34" s="1"/>
  <c r="S351" i="34" s="1"/>
  <c r="C238" i="34"/>
  <c r="D238" i="34" s="1"/>
  <c r="E238" i="34" s="1"/>
  <c r="F238" i="34" s="1"/>
  <c r="G238" i="34" s="1"/>
  <c r="H238" i="34" s="1"/>
  <c r="I238" i="34" s="1"/>
  <c r="J238" i="34" s="1"/>
  <c r="K238" i="34" s="1"/>
  <c r="L238" i="34" s="1"/>
  <c r="M238" i="34" s="1"/>
  <c r="N238" i="34" s="1"/>
  <c r="O238" i="34" s="1"/>
  <c r="P238" i="34" s="1"/>
  <c r="Q238" i="34" s="1"/>
  <c r="R238" i="34" s="1"/>
  <c r="S238" i="34" s="1"/>
  <c r="C367" i="34"/>
  <c r="D367" i="34" s="1"/>
  <c r="E367" i="34" s="1"/>
  <c r="F367" i="34" s="1"/>
  <c r="G367" i="34" s="1"/>
  <c r="H367" i="34" s="1"/>
  <c r="I367" i="34" s="1"/>
  <c r="J367" i="34" s="1"/>
  <c r="K367" i="34" s="1"/>
  <c r="L367" i="34" s="1"/>
  <c r="M367" i="34" s="1"/>
  <c r="N367" i="34" s="1"/>
  <c r="O367" i="34" s="1"/>
  <c r="P367" i="34" s="1"/>
  <c r="Q367" i="34" s="1"/>
  <c r="R367" i="34" s="1"/>
  <c r="S367" i="34" s="1"/>
  <c r="C437" i="34"/>
  <c r="D437" i="34" s="1"/>
  <c r="E437" i="34" s="1"/>
  <c r="F437" i="34" s="1"/>
  <c r="G437" i="34" s="1"/>
  <c r="H437" i="34" s="1"/>
  <c r="I437" i="34" s="1"/>
  <c r="J437" i="34" s="1"/>
  <c r="K437" i="34" s="1"/>
  <c r="L437" i="34" s="1"/>
  <c r="M437" i="34" s="1"/>
  <c r="N437" i="34" s="1"/>
  <c r="O437" i="34" s="1"/>
  <c r="P437" i="34" s="1"/>
  <c r="Q437" i="34" s="1"/>
  <c r="R437" i="34" s="1"/>
  <c r="S437" i="34" s="1"/>
  <c r="C279" i="34"/>
  <c r="D279" i="34" s="1"/>
  <c r="E279" i="34" s="1"/>
  <c r="F279" i="34" s="1"/>
  <c r="G279" i="34" s="1"/>
  <c r="H279" i="34" s="1"/>
  <c r="I279" i="34" s="1"/>
  <c r="J279" i="34" s="1"/>
  <c r="K279" i="34" s="1"/>
  <c r="L279" i="34" s="1"/>
  <c r="M279" i="34" s="1"/>
  <c r="N279" i="34" s="1"/>
  <c r="O279" i="34" s="1"/>
  <c r="P279" i="34" s="1"/>
  <c r="Q279" i="34" s="1"/>
  <c r="R279" i="34" s="1"/>
  <c r="S279" i="34" s="1"/>
  <c r="C405" i="34"/>
  <c r="D405" i="34" s="1"/>
  <c r="E405" i="34" s="1"/>
  <c r="F405" i="34" s="1"/>
  <c r="G405" i="34" s="1"/>
  <c r="H405" i="34" s="1"/>
  <c r="I405" i="34" s="1"/>
  <c r="J405" i="34" s="1"/>
  <c r="K405" i="34" s="1"/>
  <c r="L405" i="34" s="1"/>
  <c r="M405" i="34" s="1"/>
  <c r="N405" i="34" s="1"/>
  <c r="O405" i="34" s="1"/>
  <c r="P405" i="34" s="1"/>
  <c r="Q405" i="34" s="1"/>
  <c r="R405" i="34" s="1"/>
  <c r="S405" i="34" s="1"/>
  <c r="C497" i="34"/>
  <c r="D497" i="34" s="1"/>
  <c r="E497" i="34" s="1"/>
  <c r="F497" i="34" s="1"/>
  <c r="G497" i="34" s="1"/>
  <c r="H497" i="34" s="1"/>
  <c r="I497" i="34" s="1"/>
  <c r="J497" i="34" s="1"/>
  <c r="K497" i="34" s="1"/>
  <c r="L497" i="34" s="1"/>
  <c r="M497" i="34" s="1"/>
  <c r="N497" i="34" s="1"/>
  <c r="O497" i="34" s="1"/>
  <c r="P497" i="34" s="1"/>
  <c r="Q497" i="34" s="1"/>
  <c r="R497" i="34" s="1"/>
  <c r="S497" i="34" s="1"/>
  <c r="C467" i="34"/>
  <c r="D467" i="34" s="1"/>
  <c r="E467" i="34" s="1"/>
  <c r="F467" i="34" s="1"/>
  <c r="G467" i="34" s="1"/>
  <c r="H467" i="34" s="1"/>
  <c r="I467" i="34" s="1"/>
  <c r="J467" i="34" s="1"/>
  <c r="K467" i="34" s="1"/>
  <c r="L467" i="34" s="1"/>
  <c r="M467" i="34" s="1"/>
  <c r="N467" i="34" s="1"/>
  <c r="O467" i="34" s="1"/>
  <c r="P467" i="34" s="1"/>
  <c r="Q467" i="34" s="1"/>
  <c r="R467" i="34" s="1"/>
  <c r="S467" i="34" s="1"/>
  <c r="C423" i="34"/>
  <c r="D423" i="34" s="1"/>
  <c r="E423" i="34" s="1"/>
  <c r="F423" i="34" s="1"/>
  <c r="G423" i="34" s="1"/>
  <c r="H423" i="34" s="1"/>
  <c r="I423" i="34" s="1"/>
  <c r="J423" i="34" s="1"/>
  <c r="K423" i="34" s="1"/>
  <c r="L423" i="34" s="1"/>
  <c r="M423" i="34" s="1"/>
  <c r="N423" i="34" s="1"/>
  <c r="O423" i="34" s="1"/>
  <c r="P423" i="34" s="1"/>
  <c r="Q423" i="34" s="1"/>
  <c r="R423" i="34" s="1"/>
  <c r="S423" i="34" s="1"/>
  <c r="C456" i="34"/>
  <c r="D456" i="34" s="1"/>
  <c r="E456" i="34" s="1"/>
  <c r="F456" i="34" s="1"/>
  <c r="G456" i="34" s="1"/>
  <c r="H456" i="34" s="1"/>
  <c r="I456" i="34" s="1"/>
  <c r="J456" i="34" s="1"/>
  <c r="K456" i="34" s="1"/>
  <c r="L456" i="34" s="1"/>
  <c r="M456" i="34" s="1"/>
  <c r="N456" i="34" s="1"/>
  <c r="O456" i="34" s="1"/>
  <c r="P456" i="34" s="1"/>
  <c r="Q456" i="34" s="1"/>
  <c r="R456" i="34" s="1"/>
  <c r="S456" i="34" s="1"/>
  <c r="C281" i="34"/>
  <c r="D281" i="34" s="1"/>
  <c r="E281" i="34" s="1"/>
  <c r="F281" i="34" s="1"/>
  <c r="G281" i="34" s="1"/>
  <c r="H281" i="34" s="1"/>
  <c r="I281" i="34" s="1"/>
  <c r="J281" i="34" s="1"/>
  <c r="K281" i="34" s="1"/>
  <c r="L281" i="34" s="1"/>
  <c r="M281" i="34" s="1"/>
  <c r="N281" i="34" s="1"/>
  <c r="O281" i="34" s="1"/>
  <c r="P281" i="34" s="1"/>
  <c r="Q281" i="34" s="1"/>
  <c r="R281" i="34" s="1"/>
  <c r="S281" i="34" s="1"/>
  <c r="C373" i="34"/>
  <c r="D373" i="34" s="1"/>
  <c r="E373" i="34" s="1"/>
  <c r="F373" i="34" s="1"/>
  <c r="G373" i="34" s="1"/>
  <c r="H373" i="34" s="1"/>
  <c r="I373" i="34" s="1"/>
  <c r="J373" i="34" s="1"/>
  <c r="K373" i="34" s="1"/>
  <c r="L373" i="34" s="1"/>
  <c r="M373" i="34" s="1"/>
  <c r="N373" i="34" s="1"/>
  <c r="O373" i="34" s="1"/>
  <c r="P373" i="34" s="1"/>
  <c r="Q373" i="34" s="1"/>
  <c r="R373" i="34" s="1"/>
  <c r="S373" i="34" s="1"/>
  <c r="C489" i="34"/>
  <c r="D489" i="34" s="1"/>
  <c r="E489" i="34" s="1"/>
  <c r="F489" i="34" s="1"/>
  <c r="G489" i="34" s="1"/>
  <c r="H489" i="34" s="1"/>
  <c r="I489" i="34" s="1"/>
  <c r="J489" i="34" s="1"/>
  <c r="K489" i="34" s="1"/>
  <c r="L489" i="34" s="1"/>
  <c r="M489" i="34" s="1"/>
  <c r="N489" i="34" s="1"/>
  <c r="O489" i="34" s="1"/>
  <c r="P489" i="34" s="1"/>
  <c r="Q489" i="34" s="1"/>
  <c r="R489" i="34" s="1"/>
  <c r="S489" i="34" s="1"/>
  <c r="C242" i="34"/>
  <c r="D242" i="34" s="1"/>
  <c r="E242" i="34" s="1"/>
  <c r="F242" i="34" s="1"/>
  <c r="G242" i="34" s="1"/>
  <c r="H242" i="34" s="1"/>
  <c r="I242" i="34" s="1"/>
  <c r="J242" i="34" s="1"/>
  <c r="K242" i="34" s="1"/>
  <c r="L242" i="34" s="1"/>
  <c r="M242" i="34" s="1"/>
  <c r="N242" i="34" s="1"/>
  <c r="O242" i="34" s="1"/>
  <c r="P242" i="34" s="1"/>
  <c r="Q242" i="34" s="1"/>
  <c r="R242" i="34" s="1"/>
  <c r="S242" i="34" s="1"/>
  <c r="C533" i="34"/>
  <c r="D533" i="34" s="1"/>
  <c r="E533" i="34" s="1"/>
  <c r="F533" i="34" s="1"/>
  <c r="G533" i="34" s="1"/>
  <c r="H533" i="34" s="1"/>
  <c r="I533" i="34" s="1"/>
  <c r="J533" i="34" s="1"/>
  <c r="K533" i="34" s="1"/>
  <c r="L533" i="34" s="1"/>
  <c r="M533" i="34" s="1"/>
  <c r="N533" i="34" s="1"/>
  <c r="O533" i="34" s="1"/>
  <c r="P533" i="34" s="1"/>
  <c r="Q533" i="34" s="1"/>
  <c r="R533" i="34" s="1"/>
  <c r="S533" i="34" s="1"/>
  <c r="C588" i="34"/>
  <c r="D588" i="34" s="1"/>
  <c r="E588" i="34" s="1"/>
  <c r="F588" i="34" s="1"/>
  <c r="G588" i="34" s="1"/>
  <c r="H588" i="34" s="1"/>
  <c r="I588" i="34" s="1"/>
  <c r="J588" i="34" s="1"/>
  <c r="K588" i="34" s="1"/>
  <c r="L588" i="34" s="1"/>
  <c r="M588" i="34" s="1"/>
  <c r="N588" i="34" s="1"/>
  <c r="O588" i="34" s="1"/>
  <c r="P588" i="34" s="1"/>
  <c r="Q588" i="34" s="1"/>
  <c r="R588" i="34" s="1"/>
  <c r="S588" i="34" s="1"/>
  <c r="C610" i="34"/>
  <c r="D610" i="34" s="1"/>
  <c r="E610" i="34" s="1"/>
  <c r="F610" i="34" s="1"/>
  <c r="G610" i="34" s="1"/>
  <c r="H610" i="34" s="1"/>
  <c r="I610" i="34" s="1"/>
  <c r="J610" i="34" s="1"/>
  <c r="K610" i="34" s="1"/>
  <c r="L610" i="34" s="1"/>
  <c r="M610" i="34" s="1"/>
  <c r="N610" i="34" s="1"/>
  <c r="O610" i="34" s="1"/>
  <c r="P610" i="34" s="1"/>
  <c r="Q610" i="34" s="1"/>
  <c r="R610" i="34" s="1"/>
  <c r="S610" i="34" s="1"/>
  <c r="G2" i="34"/>
  <c r="H2" i="34" s="1"/>
  <c r="I2" i="34" s="1"/>
  <c r="J2" i="34" s="1"/>
  <c r="K2" i="34" s="1"/>
  <c r="L2" i="34" s="1"/>
  <c r="M2" i="34" s="1"/>
  <c r="N2" i="34" s="1"/>
  <c r="O2" i="34" s="1"/>
  <c r="P2" i="34" s="1"/>
  <c r="Q2" i="34" s="1"/>
  <c r="R2" i="34" s="1"/>
  <c r="S2" i="34" s="1"/>
  <c r="L614" i="1"/>
  <c r="F616" i="1"/>
  <c r="I616" i="1"/>
  <c r="C615" i="2"/>
  <c r="C6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Q1" authorId="0" shapeId="0" xr:uid="{0F6BAC44-DE4B-4123-BC32-9DEC59A3C7FA}">
      <text>
        <r>
          <rPr>
            <b/>
            <sz val="9"/>
            <color indexed="81"/>
            <rFont val="Tahoma"/>
            <family val="2"/>
          </rPr>
          <t xml:space="preserve">Casual:
</t>
        </r>
        <r>
          <rPr>
            <sz val="9"/>
            <color indexed="81"/>
            <rFont val="Tahoma"/>
            <family val="2"/>
          </rPr>
          <t xml:space="preserve">Number Of Bike Rented To Customers who Are Not Registered.
</t>
        </r>
      </text>
    </comment>
    <comment ref="R1" authorId="0" shapeId="0" xr:uid="{3CEA6013-1CE2-492A-8AEE-E274EB4D01C2}">
      <text>
        <r>
          <rPr>
            <b/>
            <sz val="9"/>
            <color indexed="81"/>
            <rFont val="Tahoma"/>
            <family val="2"/>
          </rPr>
          <t xml:space="preserve">Registered:
</t>
        </r>
        <r>
          <rPr>
            <sz val="9"/>
            <color indexed="81"/>
            <rFont val="Tahoma"/>
            <family val="2"/>
          </rPr>
          <t xml:space="preserve">Number of Bikes Rented To Members / Registered Customers.
</t>
        </r>
      </text>
    </comment>
    <comment ref="S1" authorId="0" shapeId="0" xr:uid="{61F4D7DE-0F36-4FF7-B0A9-F70F16B51150}">
      <text>
        <r>
          <rPr>
            <b/>
            <sz val="9"/>
            <color indexed="81"/>
            <rFont val="Tahoma"/>
            <family val="2"/>
          </rPr>
          <t xml:space="preserve">Count:
</t>
        </r>
        <r>
          <rPr>
            <sz val="9"/>
            <color indexed="81"/>
            <rFont val="Tahoma"/>
            <family val="2"/>
          </rPr>
          <t xml:space="preserve">Total Number of Bikes Get Rented On Particular Time.
</t>
        </r>
        <r>
          <rPr>
            <b/>
            <i/>
            <sz val="8"/>
            <color indexed="81"/>
            <rFont val="Tahoma"/>
            <family val="2"/>
          </rPr>
          <t>CNT = Registered + Casual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Q1" authorId="0" shapeId="0" xr:uid="{82F2076A-A771-4DBA-BDBA-6463A0741712}">
      <text>
        <r>
          <rPr>
            <b/>
            <sz val="9"/>
            <color indexed="81"/>
            <rFont val="Tahoma"/>
            <family val="2"/>
          </rPr>
          <t xml:space="preserve">Casual:
</t>
        </r>
        <r>
          <rPr>
            <sz val="9"/>
            <color indexed="81"/>
            <rFont val="Tahoma"/>
            <family val="2"/>
          </rPr>
          <t>Number Of Bike Rented To Customers who Are Not Registered.</t>
        </r>
      </text>
    </comment>
    <comment ref="R1" authorId="0" shapeId="0" xr:uid="{898435B8-C108-4055-ADBF-DC499FC7B7F9}">
      <text>
        <r>
          <rPr>
            <b/>
            <sz val="9"/>
            <color indexed="81"/>
            <rFont val="Tahoma"/>
            <family val="2"/>
          </rPr>
          <t xml:space="preserve">Registered:
</t>
        </r>
        <r>
          <rPr>
            <sz val="9"/>
            <color indexed="81"/>
            <rFont val="Tahoma"/>
            <family val="2"/>
          </rPr>
          <t xml:space="preserve">Number of Bikes Rented To Members / Registered Customers.
</t>
        </r>
      </text>
    </comment>
    <comment ref="S1" authorId="0" shapeId="0" xr:uid="{BEB2A579-8179-4CC4-801E-CB4316A9E601}">
      <text>
        <r>
          <rPr>
            <b/>
            <sz val="9"/>
            <color indexed="81"/>
            <rFont val="Tahoma"/>
            <family val="2"/>
          </rPr>
          <t xml:space="preserve">Count:
</t>
        </r>
        <r>
          <rPr>
            <sz val="9"/>
            <color indexed="81"/>
            <rFont val="Tahoma"/>
            <family val="2"/>
          </rPr>
          <t>Total Number of Bikes Get Rented On Particular Time.</t>
        </r>
        <r>
          <rPr>
            <b/>
            <sz val="9"/>
            <color indexed="81"/>
            <rFont val="Tahoma"/>
            <family val="2"/>
          </rPr>
          <t xml:space="preserve">
</t>
        </r>
        <r>
          <rPr>
            <b/>
            <sz val="8"/>
            <color indexed="81"/>
            <rFont val="Tahoma"/>
            <family val="2"/>
          </rPr>
          <t>CNT = Registered + Casual</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<sst xmlns="http://schemas.openxmlformats.org/spreadsheetml/2006/main" count="147" uniqueCount="88">
  <si>
    <t>instant</t>
  </si>
  <si>
    <t>dteday</t>
  </si>
  <si>
    <t>season</t>
  </si>
  <si>
    <t>yr</t>
  </si>
  <si>
    <t>mnth</t>
  </si>
  <si>
    <t>hr</t>
  </si>
  <si>
    <t>holiday</t>
  </si>
  <si>
    <t>weekday</t>
  </si>
  <si>
    <t>weathersit</t>
  </si>
  <si>
    <t>temp</t>
  </si>
  <si>
    <t>atemp</t>
  </si>
  <si>
    <t>hum</t>
  </si>
  <si>
    <t>windspeed</t>
  </si>
  <si>
    <t>casual</t>
  </si>
  <si>
    <t>registered</t>
  </si>
  <si>
    <t>cnt</t>
  </si>
  <si>
    <t>Dteday</t>
  </si>
  <si>
    <t>Season</t>
  </si>
  <si>
    <t>Yr</t>
  </si>
  <si>
    <t>Mnth</t>
  </si>
  <si>
    <t>Hr</t>
  </si>
  <si>
    <t>Holiday</t>
  </si>
  <si>
    <t>Weekday</t>
  </si>
  <si>
    <t>Weathersit</t>
  </si>
  <si>
    <t>Temp</t>
  </si>
  <si>
    <t>Instant</t>
  </si>
  <si>
    <t>Hum</t>
  </si>
  <si>
    <t>Windspeed</t>
  </si>
  <si>
    <t>Casual</t>
  </si>
  <si>
    <t>Registered</t>
  </si>
  <si>
    <t>Cnt</t>
  </si>
  <si>
    <t>Total Hrs</t>
  </si>
  <si>
    <t>Total Weakdays</t>
  </si>
  <si>
    <t>Total Temp</t>
  </si>
  <si>
    <t>Average</t>
  </si>
  <si>
    <t>Total Cnt</t>
  </si>
  <si>
    <t>Total Registered</t>
  </si>
  <si>
    <t>Total Windspeed</t>
  </si>
  <si>
    <t>Total Atemp</t>
  </si>
  <si>
    <t>Total Hum</t>
  </si>
  <si>
    <t>Total Casual</t>
  </si>
  <si>
    <t>Avg Atemp</t>
  </si>
  <si>
    <t>Avg Hum</t>
  </si>
  <si>
    <t>Avg Windspeed</t>
  </si>
  <si>
    <t>Avg Casual</t>
  </si>
  <si>
    <t>Avg Registered</t>
  </si>
  <si>
    <t>Avg Cnt</t>
  </si>
  <si>
    <t>Sum of Registered</t>
  </si>
  <si>
    <t>Row Labels</t>
  </si>
  <si>
    <t>Grand Total</t>
  </si>
  <si>
    <t>N Atemp</t>
  </si>
  <si>
    <t>cnt me se register kitna hua count kitna hua</t>
  </si>
  <si>
    <t>kitne hrs pe kitne count aae</t>
  </si>
  <si>
    <t>weekdays pe kitne count aae</t>
  </si>
  <si>
    <t>weekdays pe kitne hr pe kitne count aae aur unme se kitne registerhue aur uss samay temp. kya tha</t>
  </si>
  <si>
    <t>Sum of Cnt</t>
  </si>
  <si>
    <t>Sum of Casual</t>
  </si>
  <si>
    <t>No.Of Customers And Get Registered On Particular Date</t>
  </si>
  <si>
    <t>Time</t>
  </si>
  <si>
    <t>Days</t>
  </si>
  <si>
    <t>Weather</t>
  </si>
  <si>
    <t>Friday</t>
  </si>
  <si>
    <t>Cloudy</t>
  </si>
  <si>
    <t>n atemp</t>
  </si>
  <si>
    <t>Monday</t>
  </si>
  <si>
    <t>Sunny</t>
  </si>
  <si>
    <t>Saturday</t>
  </si>
  <si>
    <t>Sunday</t>
  </si>
  <si>
    <t>Tuesday</t>
  </si>
  <si>
    <t>Wednesday</t>
  </si>
  <si>
    <t>Thusday</t>
  </si>
  <si>
    <t>Customer Demand On Differ Weather</t>
  </si>
  <si>
    <t>user demand by time</t>
  </si>
  <si>
    <t>Total Count</t>
  </si>
  <si>
    <t>Customer Demand On Different type of Weather</t>
  </si>
  <si>
    <t>Rainy</t>
  </si>
  <si>
    <t>Stromy</t>
  </si>
  <si>
    <t>Total Customers Get Registerd</t>
  </si>
  <si>
    <t>No. Of Customers Visited On Particular Date</t>
  </si>
  <si>
    <t>AfterNoon</t>
  </si>
  <si>
    <t>Evening</t>
  </si>
  <si>
    <t>Morning</t>
  </si>
  <si>
    <t>Night</t>
  </si>
  <si>
    <t>% of Average count</t>
  </si>
  <si>
    <t>Temprature Impact on Rentals</t>
  </si>
  <si>
    <t>No. Of Customer Visits On Weekdays</t>
  </si>
  <si>
    <t>Weather Impact on Rentals by Time</t>
  </si>
  <si>
    <t>Average of  Registrarion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</si>
</sst>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1"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1"/>
      <name val="Calibri"/>
      <family val="2"/>
      <scheme val="minor"/>
    </font>
    <font>
      <sz val="9"/>
      <color indexed="81"/>
      <name val="Tahoma"/>
      <family val="2"/>
    </font>
    <font>
      <b/>
      <sz val="9"/>
      <color indexed="81"/>
      <name val="Tahoma"/>
      <family val="2"/>
    </font>
    <font>
      <b/>
      <i/>
      <sz val="8"/>
      <color indexed="81"/>
      <name val="Tahoma"/>
      <family val="2"/>
    </font>
    <font>
      <b/>
      <sz val="8"/>
      <color indexed="81"/>
      <name val="Tahoma"/>
      <family val="2"/>
    </font>
    <font>
      <b/>
      <i/>
      <sz val="11"/>
      <color rgb="FFCCECFF"/>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CCECFF"/>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8"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89">
    <xf numFmtId="0" fontId="0" fillId="0" borderId="0" xfId="0"/>
    <xf numFmtId="0" fontId="3" fillId="0" borderId="0" xfId="0" applyFont="1" applyAlignment="1">
      <alignment horizontal="center" vertical="center"/>
    </xf>
    <xf numFmtId="0" fontId="4" fillId="2" borderId="1" xfId="0" applyFont="1" applyFill="1" applyBorder="1" applyAlignment="1">
      <alignment horizontal="center" vertical="center"/>
    </xf>
    <xf numFmtId="164" fontId="3" fillId="0" borderId="0" xfId="0" applyNumberFormat="1" applyFont="1" applyAlignment="1">
      <alignment horizontal="center" vertical="center"/>
    </xf>
    <xf numFmtId="0" fontId="1" fillId="0" borderId="0" xfId="0" applyFont="1"/>
    <xf numFmtId="0" fontId="2" fillId="0" borderId="0" xfId="0" applyFont="1" applyAlignment="1">
      <alignment horizontal="center" vertical="center"/>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2" borderId="1" xfId="0" applyFont="1" applyFill="1" applyBorder="1" applyAlignment="1">
      <alignment horizontal="center" vertical="center"/>
    </xf>
    <xf numFmtId="14" fontId="0" fillId="0" borderId="0" xfId="0" applyNumberFormat="1"/>
    <xf numFmtId="0" fontId="0" fillId="0" borderId="0" xfId="0" applyFill="1" applyAlignment="1">
      <alignment horizontal="center" vertical="center"/>
    </xf>
    <xf numFmtId="0" fontId="0" fillId="0" borderId="4" xfId="0" applyBorder="1" applyAlignment="1">
      <alignment horizontal="center" vertical="center"/>
    </xf>
    <xf numFmtId="0" fontId="0" fillId="0" borderId="5" xfId="0" applyNumberFormat="1" applyBorder="1" applyAlignment="1">
      <alignment horizontal="center" vertical="center"/>
    </xf>
    <xf numFmtId="0" fontId="0" fillId="0" borderId="7" xfId="0" applyNumberFormat="1" applyBorder="1" applyAlignment="1">
      <alignment horizontal="center" vertical="center"/>
    </xf>
    <xf numFmtId="0" fontId="5" fillId="6" borderId="8" xfId="0" applyFont="1" applyFill="1" applyBorder="1" applyAlignment="1">
      <alignment horizontal="center" vertical="center"/>
    </xf>
    <xf numFmtId="0" fontId="0" fillId="0" borderId="10" xfId="0" applyNumberFormat="1" applyBorder="1" applyAlignment="1">
      <alignment horizontal="center" vertical="center"/>
    </xf>
    <xf numFmtId="0" fontId="0" fillId="0" borderId="6" xfId="0" applyNumberFormat="1" applyBorder="1" applyAlignment="1">
      <alignment horizontal="center" vertical="center"/>
    </xf>
    <xf numFmtId="0" fontId="0" fillId="0" borderId="0" xfId="0" applyNumberFormat="1" applyBorder="1" applyAlignment="1">
      <alignment horizontal="center" vertical="center"/>
    </xf>
    <xf numFmtId="0" fontId="0" fillId="0" borderId="12" xfId="0" applyNumberFormat="1" applyBorder="1" applyAlignment="1">
      <alignment horizontal="center" vertical="center"/>
    </xf>
    <xf numFmtId="0" fontId="0" fillId="0" borderId="8" xfId="0" applyNumberFormat="1" applyBorder="1" applyAlignment="1">
      <alignment horizontal="center" vertical="center"/>
    </xf>
    <xf numFmtId="0" fontId="0" fillId="0" borderId="9" xfId="0" applyNumberFormat="1" applyBorder="1" applyAlignment="1">
      <alignment horizontal="center" vertical="center"/>
    </xf>
    <xf numFmtId="0" fontId="0" fillId="7" borderId="1" xfId="0" applyFill="1" applyBorder="1" applyAlignment="1">
      <alignment horizontal="center" vertical="center"/>
    </xf>
    <xf numFmtId="0" fontId="4" fillId="2" borderId="1" xfId="0" applyNumberFormat="1" applyFont="1" applyFill="1" applyBorder="1" applyAlignment="1">
      <alignment horizontal="center" vertical="center"/>
    </xf>
    <xf numFmtId="0" fontId="3" fillId="0" borderId="0" xfId="0" applyNumberFormat="1" applyFont="1" applyAlignment="1">
      <alignment horizontal="center" vertical="center"/>
    </xf>
    <xf numFmtId="0" fontId="2" fillId="2" borderId="1" xfId="0" applyFont="1" applyFill="1" applyBorder="1"/>
    <xf numFmtId="0" fontId="0" fillId="8" borderId="0" xfId="0" applyFill="1" applyAlignment="1">
      <alignment horizontal="center" vertical="center"/>
    </xf>
    <xf numFmtId="0" fontId="4" fillId="4" borderId="1" xfId="0" applyFont="1" applyFill="1" applyBorder="1" applyAlignment="1">
      <alignment horizontal="center" vertical="center"/>
    </xf>
    <xf numFmtId="0" fontId="0" fillId="4" borderId="1" xfId="0" applyFill="1" applyBorder="1" applyAlignment="1">
      <alignment horizontal="center" vertical="center"/>
    </xf>
    <xf numFmtId="0" fontId="3" fillId="10" borderId="1" xfId="0" applyFont="1" applyFill="1" applyBorder="1" applyAlignment="1">
      <alignment horizontal="center" vertical="center"/>
    </xf>
    <xf numFmtId="0" fontId="0" fillId="10" borderId="1" xfId="0" applyFill="1" applyBorder="1" applyAlignment="1">
      <alignment horizontal="center" vertical="center"/>
    </xf>
    <xf numFmtId="0" fontId="4" fillId="8" borderId="8" xfId="0" applyFont="1" applyFill="1" applyBorder="1" applyAlignment="1">
      <alignment horizontal="center" vertical="center"/>
    </xf>
    <xf numFmtId="0" fontId="3" fillId="9" borderId="1" xfId="0" applyFont="1" applyFill="1" applyBorder="1" applyAlignment="1">
      <alignment horizontal="center" vertical="center"/>
    </xf>
    <xf numFmtId="0" fontId="0" fillId="9" borderId="1" xfId="0" applyFill="1" applyBorder="1" applyAlignment="1">
      <alignment horizontal="center" vertical="center"/>
    </xf>
    <xf numFmtId="0" fontId="0" fillId="0" borderId="2" xfId="0" pivotButton="1" applyBorder="1" applyAlignment="1">
      <alignment horizontal="center" vertical="center"/>
    </xf>
    <xf numFmtId="14" fontId="0" fillId="0" borderId="4" xfId="0" applyNumberFormat="1" applyBorder="1" applyAlignment="1">
      <alignment horizontal="center" vertical="center"/>
    </xf>
    <xf numFmtId="14" fontId="0" fillId="0" borderId="1" xfId="0" applyNumberFormat="1" applyBorder="1" applyAlignment="1">
      <alignment horizontal="center" vertical="center"/>
    </xf>
    <xf numFmtId="0" fontId="0" fillId="0" borderId="1" xfId="0" applyNumberFormat="1" applyBorder="1" applyAlignment="1">
      <alignment horizontal="center" vertical="center"/>
    </xf>
    <xf numFmtId="0" fontId="0" fillId="6" borderId="1" xfId="0" applyFill="1" applyBorder="1" applyAlignment="1">
      <alignment horizontal="center" vertical="center"/>
    </xf>
    <xf numFmtId="0" fontId="0" fillId="0" borderId="13" xfId="0" applyNumberFormat="1" applyBorder="1" applyAlignment="1">
      <alignment horizontal="center" vertical="center"/>
    </xf>
    <xf numFmtId="0" fontId="0" fillId="0" borderId="14" xfId="0" applyNumberFormat="1" applyBorder="1" applyAlignment="1">
      <alignment horizontal="center" vertical="center"/>
    </xf>
    <xf numFmtId="0" fontId="0" fillId="0" borderId="2" xfId="0" applyNumberFormat="1" applyBorder="1" applyAlignment="1">
      <alignment horizontal="center" vertical="center"/>
    </xf>
    <xf numFmtId="0" fontId="0" fillId="0" borderId="3" xfId="0" applyNumberFormat="1" applyBorder="1" applyAlignment="1">
      <alignment horizontal="center" vertical="center"/>
    </xf>
    <xf numFmtId="0" fontId="0" fillId="0" borderId="4" xfId="0" applyNumberFormat="1" applyBorder="1" applyAlignment="1">
      <alignment horizontal="center" vertical="center"/>
    </xf>
    <xf numFmtId="0" fontId="0" fillId="0" borderId="3" xfId="0" applyBorder="1" applyAlignment="1">
      <alignment horizontal="center" vertical="center"/>
    </xf>
    <xf numFmtId="0" fontId="0" fillId="0" borderId="11" xfId="0" applyNumberFormat="1" applyBorder="1" applyAlignment="1">
      <alignment horizontal="center" vertical="center"/>
    </xf>
    <xf numFmtId="0" fontId="0" fillId="0" borderId="11" xfId="0" applyBorder="1" applyAlignment="1">
      <alignment horizontal="center" vertical="center"/>
    </xf>
    <xf numFmtId="0" fontId="0" fillId="11" borderId="2" xfId="0" applyFill="1" applyBorder="1" applyAlignment="1">
      <alignment horizontal="center" vertical="center"/>
    </xf>
    <xf numFmtId="0" fontId="0" fillId="11" borderId="11" xfId="0" applyFill="1" applyBorder="1" applyAlignment="1">
      <alignment horizontal="center" vertical="center"/>
    </xf>
    <xf numFmtId="0" fontId="0" fillId="11" borderId="1" xfId="0" applyFill="1" applyBorder="1" applyAlignment="1">
      <alignment horizontal="center" vertical="center"/>
    </xf>
    <xf numFmtId="0" fontId="0" fillId="11" borderId="3" xfId="0" applyFill="1" applyBorder="1" applyAlignment="1">
      <alignment horizontal="center" vertical="center"/>
    </xf>
    <xf numFmtId="14" fontId="0" fillId="4" borderId="1" xfId="0" applyNumberFormat="1" applyFill="1" applyBorder="1" applyAlignment="1">
      <alignment horizontal="center" vertical="center"/>
    </xf>
    <xf numFmtId="14" fontId="0" fillId="10" borderId="1" xfId="0" applyNumberFormat="1" applyFill="1" applyBorder="1" applyAlignment="1">
      <alignment horizontal="center" vertical="center"/>
    </xf>
    <xf numFmtId="14" fontId="0" fillId="8" borderId="0" xfId="0" applyNumberFormat="1" applyFill="1" applyAlignment="1">
      <alignment horizontal="center" vertical="center"/>
    </xf>
    <xf numFmtId="14" fontId="0" fillId="9" borderId="1" xfId="0" applyNumberFormat="1" applyFill="1" applyBorder="1" applyAlignment="1">
      <alignment horizontal="center" vertical="center"/>
    </xf>
    <xf numFmtId="0" fontId="4" fillId="9" borderId="1" xfId="0" applyFont="1" applyFill="1" applyBorder="1" applyAlignment="1">
      <alignment horizontal="center" vertical="center"/>
    </xf>
    <xf numFmtId="0" fontId="3" fillId="9" borderId="0" xfId="0" applyFont="1" applyFill="1" applyAlignment="1">
      <alignment horizontal="center" vertical="center"/>
    </xf>
    <xf numFmtId="0" fontId="0" fillId="12" borderId="0" xfId="0" applyFill="1" applyAlignment="1">
      <alignment horizontal="center" vertical="center"/>
    </xf>
    <xf numFmtId="0" fontId="0" fillId="12" borderId="0" xfId="0" applyFill="1"/>
    <xf numFmtId="0" fontId="0" fillId="0" borderId="0" xfId="0" applyBorder="1"/>
    <xf numFmtId="0" fontId="2" fillId="12" borderId="0" xfId="0" applyFont="1" applyFill="1" applyBorder="1" applyAlignment="1">
      <alignment vertical="center"/>
    </xf>
    <xf numFmtId="0" fontId="0" fillId="0" borderId="0" xfId="0" applyAlignment="1"/>
    <xf numFmtId="0" fontId="0" fillId="9" borderId="1" xfId="0" applyFont="1" applyFill="1" applyBorder="1" applyAlignment="1">
      <alignment horizontal="center" vertical="center"/>
    </xf>
    <xf numFmtId="0" fontId="0" fillId="13" borderId="1" xfId="0" applyFill="1" applyBorder="1" applyAlignment="1">
      <alignment horizontal="center" vertical="center"/>
    </xf>
    <xf numFmtId="0" fontId="2" fillId="7" borderId="1" xfId="0" applyFont="1" applyFill="1" applyBorder="1" applyAlignment="1">
      <alignment horizontal="center" vertical="center"/>
    </xf>
    <xf numFmtId="0" fontId="2" fillId="0" borderId="0" xfId="0" applyFont="1" applyFill="1" applyBorder="1" applyAlignment="1">
      <alignment vertical="center"/>
    </xf>
    <xf numFmtId="10" fontId="2" fillId="14" borderId="15" xfId="0" applyNumberFormat="1" applyFont="1" applyFill="1" applyBorder="1" applyAlignment="1">
      <alignment horizontal="center" vertical="center"/>
    </xf>
    <xf numFmtId="1" fontId="0" fillId="0" borderId="8" xfId="0" applyNumberFormat="1" applyBorder="1" applyAlignment="1">
      <alignment horizontal="center" vertical="center"/>
    </xf>
    <xf numFmtId="1" fontId="0" fillId="0" borderId="9" xfId="0" applyNumberFormat="1" applyBorder="1" applyAlignment="1">
      <alignment horizontal="center" vertical="center"/>
    </xf>
    <xf numFmtId="1" fontId="0" fillId="0" borderId="10" xfId="0" applyNumberFormat="1" applyBorder="1" applyAlignment="1">
      <alignment horizontal="center" vertical="center"/>
    </xf>
    <xf numFmtId="165" fontId="0" fillId="0" borderId="8" xfId="0" applyNumberFormat="1" applyBorder="1" applyAlignment="1">
      <alignment horizontal="center" vertical="center"/>
    </xf>
    <xf numFmtId="0" fontId="5" fillId="0" borderId="0" xfId="0" applyFont="1" applyFill="1" applyBorder="1" applyAlignment="1">
      <alignment horizontal="center" vertical="center"/>
    </xf>
    <xf numFmtId="0" fontId="0" fillId="0" borderId="0" xfId="0" applyNumberFormat="1" applyFill="1" applyBorder="1" applyAlignment="1">
      <alignment horizontal="center" vertical="center"/>
    </xf>
    <xf numFmtId="0" fontId="0" fillId="15" borderId="0" xfId="0" applyFill="1"/>
    <xf numFmtId="0" fontId="2" fillId="3" borderId="0" xfId="0" applyFont="1" applyFill="1"/>
    <xf numFmtId="0" fontId="10" fillId="15" borderId="0" xfId="0" applyFont="1" applyFill="1"/>
    <xf numFmtId="0" fontId="2" fillId="6" borderId="12" xfId="0" applyFont="1" applyFill="1" applyBorder="1" applyAlignment="1">
      <alignment horizontal="center" vertical="center"/>
    </xf>
    <xf numFmtId="0" fontId="0" fillId="6" borderId="12" xfId="0" applyFill="1" applyBorder="1" applyAlignment="1">
      <alignment horizontal="center" vertical="center"/>
    </xf>
    <xf numFmtId="0" fontId="2" fillId="6" borderId="6"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cellXfs>
  <cellStyles count="1">
    <cellStyle name="Normal" xfId="0" builtinId="0"/>
  </cellStyles>
  <dxfs count="186">
    <dxf>
      <numFmt numFmtId="19" formatCode="dd/mm/yyyy"/>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val="0"/>
      </font>
    </dxf>
    <dxf>
      <font>
        <b val="0"/>
      </font>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bgColor theme="4" tint="0.59999389629810485"/>
        </patternFill>
      </fill>
    </dxf>
    <dxf>
      <fill>
        <patternFill patternType="solid">
          <bgColor theme="4"/>
        </patternFill>
      </fill>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theme="4" tint="0.59999389629810485"/>
        </patternFill>
      </fill>
    </dxf>
    <dxf>
      <fill>
        <patternFill patternType="solid">
          <bgColor theme="4" tint="0.59999389629810485"/>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theme="4" tint="0.59999389629810485"/>
        </patternFill>
      </fill>
    </dxf>
    <dxf>
      <fill>
        <patternFill patternType="solid">
          <bgColor theme="4" tint="0.59999389629810485"/>
        </patternFill>
      </fill>
    </dxf>
    <dxf>
      <numFmt numFmtId="1" formatCode="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patternType="solid">
          <bgColor theme="4" tint="0.59999389629810485"/>
        </patternFill>
      </fill>
    </dxf>
    <dxf>
      <fill>
        <patternFill patternType="solid">
          <bgColor theme="4" tint="0.59999389629810485"/>
        </patternFill>
      </fill>
    </dxf>
    <dxf>
      <fill>
        <patternFill>
          <bgColor theme="4" tint="0.79998168889431442"/>
        </patternFill>
      </fill>
    </dxf>
    <dxf>
      <fill>
        <patternFill patternType="solid">
          <bgColor theme="4"/>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4"/>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val="0"/>
      </font>
    </dxf>
    <dxf>
      <font>
        <b val="0"/>
      </font>
    </dxf>
    <dxf>
      <fill>
        <patternFill patternType="solid">
          <bgColor theme="4" tint="0.59999389629810485"/>
        </patternFill>
      </fill>
    </dxf>
    <dxf>
      <fill>
        <patternFill patternType="solid">
          <bgColor theme="4" tint="0.59999389629810485"/>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vertical="center"/>
    </dxf>
    <dxf>
      <alignment vertical="center"/>
    </dxf>
    <dxf>
      <alignment vertical="center"/>
    </dxf>
    <dxf>
      <fill>
        <patternFill patternType="solid">
          <bgColor theme="4"/>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bgColor theme="4" tint="0.59999389629810485"/>
        </patternFill>
      </fill>
    </dxf>
    <dxf>
      <fill>
        <patternFill patternType="solid">
          <bgColor theme="4"/>
        </patternFill>
      </fill>
    </dxf>
  </dxfs>
  <tableStyles count="0" defaultTableStyle="TableStyleMedium2" defaultPivotStyle="PivotStyleLight16"/>
  <colors>
    <mruColors>
      <color rgb="FFCCECFF"/>
      <color rgb="FFFF0000"/>
      <color rgb="FFB8E08C"/>
      <color rgb="FF0033CC"/>
      <color rgb="FF3333FF"/>
      <color rgb="FF660066"/>
      <color rgb="FF33CCFF"/>
      <color rgb="FF357FC9"/>
      <color rgb="FFFF0E0B"/>
      <color rgb="FFE0A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Weather </a:t>
            </a:r>
            <a:r>
              <a:rPr lang="en-IN"/>
              <a:t>Impact on Rentals</a:t>
            </a:r>
            <a:endParaRPr lang="en-US"/>
          </a:p>
        </c:rich>
      </c:tx>
      <c:layout>
        <c:manualLayout>
          <c:xMode val="edge"/>
          <c:yMode val="edge"/>
          <c:x val="0.21039136341723516"/>
          <c:y val="0.10149750078232703"/>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6.6528066528066532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5448542313110809E-2"/>
              <c:y val="-4.726100966702474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7.2765072765072769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440922969044452"/>
              <c:y val="-8.281536236541861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815654536689442E-2"/>
              <c:y val="3.91511963260231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220194878237623E-2"/>
              <c:y val="-4.356402818068794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974025974025976E-2"/>
          <c:y val="0.28234139905444144"/>
          <c:w val="0.9573283858998145"/>
          <c:h val="0.71418117848050944"/>
        </c:manualLayout>
      </c:layout>
      <c:pie3DChart>
        <c:varyColors val="1"/>
        <c:ser>
          <c:idx val="0"/>
          <c:order val="0"/>
          <c:tx>
            <c:strRef>
              <c:f>'Pivot Table'!$B$18</c:f>
              <c:strCache>
                <c:ptCount val="1"/>
                <c:pt idx="0">
                  <c:v>Sum of Casual</c:v>
                </c:pt>
              </c:strCache>
            </c:strRef>
          </c:tx>
          <c:explosion val="2"/>
          <c:dPt>
            <c:idx val="0"/>
            <c:bubble3D val="0"/>
            <c:explosion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F8C-473E-A414-C4A136699BFD}"/>
              </c:ext>
            </c:extLst>
          </c:dPt>
          <c:dPt>
            <c:idx val="1"/>
            <c:bubble3D val="0"/>
            <c:explosion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F8C-473E-A414-C4A136699BFD}"/>
              </c:ext>
            </c:extLst>
          </c:dPt>
          <c:dPt>
            <c:idx val="2"/>
            <c:bubble3D val="0"/>
            <c:explosion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F8C-473E-A414-C4A136699BF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F8C-473E-A414-C4A136699BFD}"/>
              </c:ext>
            </c:extLst>
          </c:dPt>
          <c:dLbls>
            <c:dLbl>
              <c:idx val="0"/>
              <c:layout>
                <c:manualLayout>
                  <c:x val="2.5448542313110809E-2"/>
                  <c:y val="-4.72610096670247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8C-473E-A414-C4A136699BFD}"/>
                </c:ext>
              </c:extLst>
            </c:dLbl>
            <c:dLbl>
              <c:idx val="1"/>
              <c:layout>
                <c:manualLayout>
                  <c:x val="-0.11440922969044452"/>
                  <c:y val="-8.28153623654186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8C-473E-A414-C4A136699BFD}"/>
                </c:ext>
              </c:extLst>
            </c:dLbl>
            <c:dLbl>
              <c:idx val="2"/>
              <c:layout>
                <c:manualLayout>
                  <c:x val="-4.7815654536689442E-2"/>
                  <c:y val="3.915119632602315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8C-473E-A414-C4A136699BFD}"/>
                </c:ext>
              </c:extLst>
            </c:dLbl>
            <c:dLbl>
              <c:idx val="3"/>
              <c:layout>
                <c:manualLayout>
                  <c:x val="4.9220194878237623E-2"/>
                  <c:y val="-4.35640281806879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F8C-473E-A414-C4A136699BFD}"/>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Table'!$A$19:$A$23</c:f>
              <c:strCache>
                <c:ptCount val="4"/>
                <c:pt idx="0">
                  <c:v>Cloudy</c:v>
                </c:pt>
                <c:pt idx="1">
                  <c:v>Sunny</c:v>
                </c:pt>
                <c:pt idx="2">
                  <c:v>Rainy</c:v>
                </c:pt>
                <c:pt idx="3">
                  <c:v>Stromy</c:v>
                </c:pt>
              </c:strCache>
            </c:strRef>
          </c:cat>
          <c:val>
            <c:numRef>
              <c:f>'Pivot Table'!$B$19:$B$23</c:f>
              <c:numCache>
                <c:formatCode>General</c:formatCode>
                <c:ptCount val="4"/>
                <c:pt idx="0">
                  <c:v>1894</c:v>
                </c:pt>
                <c:pt idx="1">
                  <c:v>1540</c:v>
                </c:pt>
                <c:pt idx="2">
                  <c:v>1343</c:v>
                </c:pt>
                <c:pt idx="3">
                  <c:v>144</c:v>
                </c:pt>
              </c:numCache>
            </c:numRef>
          </c:val>
          <c:extLst>
            <c:ext xmlns:c16="http://schemas.microsoft.com/office/drawing/2014/chart" uri="{C3380CC4-5D6E-409C-BE32-E72D297353CC}">
              <c16:uniqueId val="{00000000-9551-4E37-A1DC-DEB240F401D2}"/>
            </c:ext>
          </c:extLst>
        </c:ser>
        <c:ser>
          <c:idx val="1"/>
          <c:order val="1"/>
          <c:tx>
            <c:strRef>
              <c:f>'Pivot Table'!$C$18</c:f>
              <c:strCache>
                <c:ptCount val="1"/>
                <c:pt idx="0">
                  <c:v>Sum of Registered</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F8C-473E-A414-C4A136699BF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9F8C-473E-A414-C4A136699BF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9F8C-473E-A414-C4A136699BF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9F8C-473E-A414-C4A136699BF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Table'!$A$19:$A$23</c:f>
              <c:strCache>
                <c:ptCount val="4"/>
                <c:pt idx="0">
                  <c:v>Cloudy</c:v>
                </c:pt>
                <c:pt idx="1">
                  <c:v>Sunny</c:v>
                </c:pt>
                <c:pt idx="2">
                  <c:v>Rainy</c:v>
                </c:pt>
                <c:pt idx="3">
                  <c:v>Stromy</c:v>
                </c:pt>
              </c:strCache>
            </c:strRef>
          </c:cat>
          <c:val>
            <c:numRef>
              <c:f>'Pivot Table'!$C$19:$C$23</c:f>
              <c:numCache>
                <c:formatCode>General</c:formatCode>
                <c:ptCount val="4"/>
                <c:pt idx="0">
                  <c:v>19949</c:v>
                </c:pt>
                <c:pt idx="1">
                  <c:v>6729</c:v>
                </c:pt>
                <c:pt idx="2">
                  <c:v>24070</c:v>
                </c:pt>
                <c:pt idx="3">
                  <c:v>2635</c:v>
                </c:pt>
              </c:numCache>
            </c:numRef>
          </c:val>
          <c:extLst>
            <c:ext xmlns:c16="http://schemas.microsoft.com/office/drawing/2014/chart" uri="{C3380CC4-5D6E-409C-BE32-E72D297353CC}">
              <c16:uniqueId val="{00000001-9551-4E37-A1DC-DEB240F401D2}"/>
            </c:ext>
          </c:extLst>
        </c:ser>
        <c:ser>
          <c:idx val="2"/>
          <c:order val="2"/>
          <c:tx>
            <c:strRef>
              <c:f>'Pivot Table'!$D$18</c:f>
              <c:strCache>
                <c:ptCount val="1"/>
                <c:pt idx="0">
                  <c:v>Sum of Cnt</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9F8C-473E-A414-C4A136699BFD}"/>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9F8C-473E-A414-C4A136699BFD}"/>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9F8C-473E-A414-C4A136699BFD}"/>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9F8C-473E-A414-C4A136699BFD}"/>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Table'!$A$19:$A$23</c:f>
              <c:strCache>
                <c:ptCount val="4"/>
                <c:pt idx="0">
                  <c:v>Cloudy</c:v>
                </c:pt>
                <c:pt idx="1">
                  <c:v>Sunny</c:v>
                </c:pt>
                <c:pt idx="2">
                  <c:v>Rainy</c:v>
                </c:pt>
                <c:pt idx="3">
                  <c:v>Stromy</c:v>
                </c:pt>
              </c:strCache>
            </c:strRef>
          </c:cat>
          <c:val>
            <c:numRef>
              <c:f>'Pivot Table'!$D$19:$D$23</c:f>
              <c:numCache>
                <c:formatCode>General</c:formatCode>
                <c:ptCount val="4"/>
                <c:pt idx="0">
                  <c:v>21843</c:v>
                </c:pt>
                <c:pt idx="1">
                  <c:v>8269</c:v>
                </c:pt>
                <c:pt idx="2">
                  <c:v>25413</c:v>
                </c:pt>
                <c:pt idx="3">
                  <c:v>2779</c:v>
                </c:pt>
              </c:numCache>
            </c:numRef>
          </c:val>
          <c:extLst>
            <c:ext xmlns:c16="http://schemas.microsoft.com/office/drawing/2014/chart" uri="{C3380CC4-5D6E-409C-BE32-E72D297353CC}">
              <c16:uniqueId val="{00000002-9551-4E37-A1DC-DEB240F401D2}"/>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Table!PivotTable7</c:name>
    <c:fmtId val="0"/>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IN">
                <a:solidFill>
                  <a:schemeClr val="accent4">
                    <a:lumMod val="40000"/>
                    <a:lumOff val="60000"/>
                  </a:schemeClr>
                </a:solidFill>
              </a:rPr>
              <a:t>Weekdays</a:t>
            </a:r>
            <a:r>
              <a:rPr lang="en-IN" baseline="0">
                <a:solidFill>
                  <a:schemeClr val="accent4">
                    <a:lumMod val="40000"/>
                    <a:lumOff val="60000"/>
                  </a:schemeClr>
                </a:solidFill>
              </a:rPr>
              <a:t> Customer Visits</a:t>
            </a:r>
            <a:endParaRPr lang="en-IN">
              <a:solidFill>
                <a:schemeClr val="accent4">
                  <a:lumMod val="40000"/>
                  <a:lumOff val="60000"/>
                </a:schemeClr>
              </a:solidFill>
            </a:endParaRPr>
          </a:p>
        </c:rich>
      </c:tx>
      <c:layout>
        <c:manualLayout>
          <c:xMode val="edge"/>
          <c:yMode val="edge"/>
          <c:x val="0.45596160829052168"/>
          <c:y val="2.21274424030329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161916356113026E-2"/>
          <c:y val="0.14249781277340332"/>
          <c:w val="0.73116846955063342"/>
          <c:h val="0.60190762613006721"/>
        </c:manualLayout>
      </c:layout>
      <c:barChart>
        <c:barDir val="col"/>
        <c:grouping val="clustered"/>
        <c:varyColors val="0"/>
        <c:ser>
          <c:idx val="0"/>
          <c:order val="0"/>
          <c:tx>
            <c:strRef>
              <c:f>'Pivot Table'!$B$35</c:f>
              <c:strCache>
                <c:ptCount val="1"/>
                <c:pt idx="0">
                  <c:v>Sum of 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Table'!$A$36:$A$43</c:f>
              <c:strCache>
                <c:ptCount val="7"/>
                <c:pt idx="0">
                  <c:v>Sunday</c:v>
                </c:pt>
                <c:pt idx="1">
                  <c:v>Monday</c:v>
                </c:pt>
                <c:pt idx="2">
                  <c:v>Tuesday</c:v>
                </c:pt>
                <c:pt idx="3">
                  <c:v>Wednesday</c:v>
                </c:pt>
                <c:pt idx="4">
                  <c:v>Friday</c:v>
                </c:pt>
                <c:pt idx="5">
                  <c:v>Saturday</c:v>
                </c:pt>
                <c:pt idx="6">
                  <c:v>Thusday</c:v>
                </c:pt>
              </c:strCache>
            </c:strRef>
          </c:cat>
          <c:val>
            <c:numRef>
              <c:f>'Pivot Table'!$B$36:$B$43</c:f>
              <c:numCache>
                <c:formatCode>General</c:formatCode>
                <c:ptCount val="7"/>
                <c:pt idx="0">
                  <c:v>8450</c:v>
                </c:pt>
                <c:pt idx="1">
                  <c:v>8383</c:v>
                </c:pt>
                <c:pt idx="2">
                  <c:v>8049</c:v>
                </c:pt>
                <c:pt idx="3">
                  <c:v>8458</c:v>
                </c:pt>
                <c:pt idx="4">
                  <c:v>7748</c:v>
                </c:pt>
                <c:pt idx="5">
                  <c:v>8121</c:v>
                </c:pt>
                <c:pt idx="6">
                  <c:v>9095</c:v>
                </c:pt>
              </c:numCache>
            </c:numRef>
          </c:val>
          <c:extLst>
            <c:ext xmlns:c16="http://schemas.microsoft.com/office/drawing/2014/chart" uri="{C3380CC4-5D6E-409C-BE32-E72D297353CC}">
              <c16:uniqueId val="{00000000-18B7-4253-B4B1-8A6FD1A4F684}"/>
            </c:ext>
          </c:extLst>
        </c:ser>
        <c:ser>
          <c:idx val="1"/>
          <c:order val="1"/>
          <c:tx>
            <c:strRef>
              <c:f>'Pivot Table'!$C$35</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Table'!$A$36:$A$43</c:f>
              <c:strCache>
                <c:ptCount val="7"/>
                <c:pt idx="0">
                  <c:v>Sunday</c:v>
                </c:pt>
                <c:pt idx="1">
                  <c:v>Monday</c:v>
                </c:pt>
                <c:pt idx="2">
                  <c:v>Tuesday</c:v>
                </c:pt>
                <c:pt idx="3">
                  <c:v>Wednesday</c:v>
                </c:pt>
                <c:pt idx="4">
                  <c:v>Friday</c:v>
                </c:pt>
                <c:pt idx="5">
                  <c:v>Saturday</c:v>
                </c:pt>
                <c:pt idx="6">
                  <c:v>Thusday</c:v>
                </c:pt>
              </c:strCache>
            </c:strRef>
          </c:cat>
          <c:val>
            <c:numRef>
              <c:f>'Pivot Table'!$C$36:$C$43</c:f>
              <c:numCache>
                <c:formatCode>General</c:formatCode>
                <c:ptCount val="7"/>
                <c:pt idx="0">
                  <c:v>7916</c:v>
                </c:pt>
                <c:pt idx="1">
                  <c:v>7926</c:v>
                </c:pt>
                <c:pt idx="2">
                  <c:v>7705</c:v>
                </c:pt>
                <c:pt idx="3">
                  <c:v>8126</c:v>
                </c:pt>
                <c:pt idx="4">
                  <c:v>6523</c:v>
                </c:pt>
                <c:pt idx="5">
                  <c:v>6644</c:v>
                </c:pt>
                <c:pt idx="6">
                  <c:v>8543</c:v>
                </c:pt>
              </c:numCache>
            </c:numRef>
          </c:val>
          <c:extLst>
            <c:ext xmlns:c16="http://schemas.microsoft.com/office/drawing/2014/chart" uri="{C3380CC4-5D6E-409C-BE32-E72D297353CC}">
              <c16:uniqueId val="{00000001-18B7-4253-B4B1-8A6FD1A4F684}"/>
            </c:ext>
          </c:extLst>
        </c:ser>
        <c:ser>
          <c:idx val="2"/>
          <c:order val="2"/>
          <c:tx>
            <c:strRef>
              <c:f>'Pivot Table'!$D$35</c:f>
              <c:strCache>
                <c:ptCount val="1"/>
                <c:pt idx="0">
                  <c:v>Sum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Table'!$A$36:$A$43</c:f>
              <c:strCache>
                <c:ptCount val="7"/>
                <c:pt idx="0">
                  <c:v>Sunday</c:v>
                </c:pt>
                <c:pt idx="1">
                  <c:v>Monday</c:v>
                </c:pt>
                <c:pt idx="2">
                  <c:v>Tuesday</c:v>
                </c:pt>
                <c:pt idx="3">
                  <c:v>Wednesday</c:v>
                </c:pt>
                <c:pt idx="4">
                  <c:v>Friday</c:v>
                </c:pt>
                <c:pt idx="5">
                  <c:v>Saturday</c:v>
                </c:pt>
                <c:pt idx="6">
                  <c:v>Thusday</c:v>
                </c:pt>
              </c:strCache>
            </c:strRef>
          </c:cat>
          <c:val>
            <c:numRef>
              <c:f>'Pivot Table'!$D$36:$D$43</c:f>
              <c:numCache>
                <c:formatCode>General</c:formatCode>
                <c:ptCount val="7"/>
                <c:pt idx="0">
                  <c:v>534</c:v>
                </c:pt>
                <c:pt idx="1">
                  <c:v>457</c:v>
                </c:pt>
                <c:pt idx="2">
                  <c:v>344</c:v>
                </c:pt>
                <c:pt idx="3">
                  <c:v>332</c:v>
                </c:pt>
                <c:pt idx="4">
                  <c:v>1225</c:v>
                </c:pt>
                <c:pt idx="5">
                  <c:v>1477</c:v>
                </c:pt>
                <c:pt idx="6">
                  <c:v>552</c:v>
                </c:pt>
              </c:numCache>
            </c:numRef>
          </c:val>
          <c:extLst>
            <c:ext xmlns:c16="http://schemas.microsoft.com/office/drawing/2014/chart" uri="{C3380CC4-5D6E-409C-BE32-E72D297353CC}">
              <c16:uniqueId val="{00000002-18B7-4253-B4B1-8A6FD1A4F684}"/>
            </c:ext>
          </c:extLst>
        </c:ser>
        <c:dLbls>
          <c:dLblPos val="outEnd"/>
          <c:showLegendKey val="0"/>
          <c:showVal val="1"/>
          <c:showCatName val="0"/>
          <c:showSerName val="0"/>
          <c:showPercent val="0"/>
          <c:showBubbleSize val="0"/>
        </c:dLbls>
        <c:gapWidth val="100"/>
        <c:overlap val="-24"/>
        <c:axId val="1993067552"/>
        <c:axId val="1993067136"/>
      </c:barChart>
      <c:catAx>
        <c:axId val="19930675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067136"/>
        <c:crosses val="autoZero"/>
        <c:auto val="1"/>
        <c:lblAlgn val="ctr"/>
        <c:lblOffset val="100"/>
        <c:noMultiLvlLbl val="0"/>
      </c:catAx>
      <c:valAx>
        <c:axId val="1993067136"/>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1993067552"/>
        <c:crosses val="autoZero"/>
        <c:crossBetween val="between"/>
      </c:valAx>
      <c:spPr>
        <a:noFill/>
        <a:ln>
          <a:noFill/>
        </a:ln>
        <a:effectLst/>
      </c:spPr>
    </c:plotArea>
    <c:legend>
      <c:legendPos val="r"/>
      <c:layout>
        <c:manualLayout>
          <c:xMode val="edge"/>
          <c:yMode val="edge"/>
          <c:x val="0.77947147781083892"/>
          <c:y val="0.37232648002333041"/>
          <c:w val="0.21009504700268544"/>
          <c:h val="0.2321985272674249"/>
        </c:manualLayout>
      </c:layout>
      <c:overlay val="0"/>
      <c:spPr>
        <a:solidFill>
          <a:schemeClr val="tx1">
            <a:lumMod val="85000"/>
            <a:lumOff val="15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Table!PivotTable4</c:name>
    <c:fmtId val="0"/>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n>
                  <a:noFill/>
                </a:ln>
              </a:rPr>
              <a:t>Customers</a:t>
            </a:r>
            <a:r>
              <a:rPr lang="en-US" baseline="0">
                <a:ln>
                  <a:noFill/>
                </a:ln>
              </a:rPr>
              <a:t> Visited By Date</a:t>
            </a:r>
          </a:p>
        </c:rich>
      </c:tx>
      <c:layout>
        <c:manualLayout>
          <c:xMode val="edge"/>
          <c:yMode val="edge"/>
          <c:x val="0.27244008901061278"/>
          <c:y val="4.0724371140576393E-2"/>
        </c:manualLayout>
      </c:layout>
      <c:overlay val="0"/>
      <c:spPr>
        <a:gradFill>
          <a:gsLst>
            <a:gs pos="87000">
              <a:srgbClr val="282828">
                <a:lumMod val="65000"/>
              </a:srgbClr>
            </a:gs>
            <a:gs pos="98000">
              <a:schemeClr val="accent6">
                <a:lumMod val="60000"/>
                <a:lumOff val="40000"/>
              </a:schemeClr>
            </a:gs>
          </a:gsLst>
          <a:path path="circle">
            <a:fillToRect l="50000" t="50000" r="50000" b="50000"/>
          </a:path>
        </a:grad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E0B"/>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E0B"/>
              </a:solidFill>
              <a:ln w="9525">
                <a:solidFill>
                  <a:schemeClr val="accent1"/>
                </a:solidFill>
                <a:round/>
              </a:ln>
              <a:effectLst>
                <a:outerShdw blurRad="57150" dist="19050" dir="5400000" algn="ctr" rotWithShape="0">
                  <a:srgbClr val="000000">
                    <a:alpha val="63000"/>
                  </a:srgbClr>
                </a:outerShdw>
              </a:effectLst>
            </c:spPr>
          </c:marker>
          <c:trendline>
            <c:spPr>
              <a:ln w="19050" cap="rnd" cmpd="sng">
                <a:solidFill>
                  <a:srgbClr val="FFC000">
                    <a:alpha val="88000"/>
                  </a:srgbClr>
                </a:solidFill>
                <a:prstDash val="solid"/>
                <a:round/>
                <a:tailEnd type="stealth"/>
              </a:ln>
              <a:effectLst/>
            </c:spPr>
            <c:trendlineType val="linear"/>
            <c:dispRSqr val="0"/>
            <c:dispEq val="0"/>
          </c:trendline>
          <c:cat>
            <c:strRef>
              <c:f>'Pivot Table'!$A$53:$A$98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Table'!$B$53:$B$98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6859-421A-A024-EFA30F65CFB4}"/>
            </c:ext>
          </c:extLst>
        </c:ser>
        <c:dLbls>
          <c:showLegendKey val="0"/>
          <c:showVal val="0"/>
          <c:showCatName val="0"/>
          <c:showSerName val="0"/>
          <c:showPercent val="0"/>
          <c:showBubbleSize val="0"/>
        </c:dLbls>
        <c:marker val="1"/>
        <c:smooth val="0"/>
        <c:axId val="1993469968"/>
        <c:axId val="1993464144"/>
      </c:lineChart>
      <c:catAx>
        <c:axId val="19934699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464144"/>
        <c:crosses val="autoZero"/>
        <c:auto val="1"/>
        <c:lblAlgn val="ctr"/>
        <c:lblOffset val="100"/>
        <c:noMultiLvlLbl val="0"/>
      </c:catAx>
      <c:valAx>
        <c:axId val="1993464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469968"/>
        <c:crosses val="autoZero"/>
        <c:crossBetween val="between"/>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a:t>Customer</a:t>
            </a:r>
            <a:r>
              <a:rPr lang="en-IN" i="1" baseline="0"/>
              <a:t> Registrations By Date</a:t>
            </a:r>
            <a:endParaRPr lang="en-IN" i="1"/>
          </a:p>
        </c:rich>
      </c:tx>
      <c:layout>
        <c:manualLayout>
          <c:xMode val="edge"/>
          <c:yMode val="edge"/>
          <c:x val="0.28197764341957254"/>
          <c:y val="0.10317401026958917"/>
        </c:manualLayout>
      </c:layout>
      <c:overlay val="0"/>
      <c:spPr>
        <a:gradFill>
          <a:gsLst>
            <a:gs pos="0">
              <a:schemeClr val="tx1">
                <a:lumMod val="95000"/>
                <a:lumOff val="5000"/>
              </a:schemeClr>
            </a:gs>
            <a:gs pos="78000">
              <a:schemeClr val="accent5">
                <a:lumMod val="50000"/>
              </a:schemeClr>
            </a:gs>
          </a:gsLst>
          <a:path path="circle">
            <a:fillToRect l="50000" t="50000" r="50000" b="50000"/>
          </a:path>
        </a:grad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3"/>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5"/>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7"/>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s>
    <c:view3D>
      <c:rotX val="15"/>
      <c:rotY val="20"/>
      <c:rAngAx val="0"/>
    </c:view3D>
    <c:floor>
      <c:thickness val="0"/>
      <c:spPr>
        <a:noFill/>
        <a:ln>
          <a:noFill/>
        </a:ln>
        <a:effectLst/>
        <a:sp3d/>
      </c:spPr>
    </c:floor>
    <c:sideWall>
      <c:thickness val="0"/>
      <c:spPr>
        <a:gradFill flip="none" rotWithShape="1">
          <a:gsLst>
            <a:gs pos="0">
              <a:schemeClr val="accent5">
                <a:lumMod val="60000"/>
                <a:lumOff val="40000"/>
              </a:schemeClr>
            </a:gs>
            <a:gs pos="100000">
              <a:schemeClr val="dk1">
                <a:lumMod val="85000"/>
                <a:lumOff val="15000"/>
              </a:schemeClr>
            </a:gs>
          </a:gsLst>
          <a:path path="circle">
            <a:fillToRect l="50000" t="50000" r="50000" b="50000"/>
          </a:path>
          <a:tileRect/>
        </a:gradFill>
        <a:ln>
          <a:noFill/>
        </a:ln>
        <a:effectLst/>
        <a:sp3d/>
      </c:spPr>
    </c:sideWall>
    <c:backWall>
      <c:thickness val="0"/>
      <c:spPr>
        <a:gradFill flip="none" rotWithShape="1">
          <a:gsLst>
            <a:gs pos="0">
              <a:schemeClr val="accent5">
                <a:lumMod val="60000"/>
                <a:lumOff val="40000"/>
              </a:schemeClr>
            </a:gs>
            <a:gs pos="100000">
              <a:schemeClr val="dk1">
                <a:lumMod val="85000"/>
                <a:lumOff val="15000"/>
              </a:schemeClr>
            </a:gs>
          </a:gsLst>
          <a:path path="circle">
            <a:fillToRect l="50000" t="50000" r="50000" b="50000"/>
          </a:path>
          <a:tileRect/>
        </a:gradFill>
        <a:ln>
          <a:noFill/>
        </a:ln>
        <a:effectLst/>
        <a:sp3d/>
      </c:spPr>
    </c:backWall>
    <c:plotArea>
      <c:layout/>
      <c:surface3DChart>
        <c:wireframe val="0"/>
        <c:ser>
          <c:idx val="0"/>
          <c:order val="0"/>
          <c:tx>
            <c:strRef>
              <c:f>'Pivot Table'!$B$102</c:f>
              <c:strCache>
                <c:ptCount val="1"/>
                <c:pt idx="0">
                  <c:v>Sum of 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Table'!$A$103:$A$148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Table'!$B$103:$B$148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3FFA-48CC-A5F5-628BF438646D}"/>
            </c:ext>
          </c:extLst>
        </c:ser>
        <c:ser>
          <c:idx val="1"/>
          <c:order val="1"/>
          <c:tx>
            <c:strRef>
              <c:f>'Pivot Table'!$C$102</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Table'!$A$103:$A$148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Table'!$C$103:$C$148</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1-3FFA-48CC-A5F5-628BF438646D}"/>
            </c:ext>
          </c:extLst>
        </c:ser>
        <c:ser>
          <c:idx val="2"/>
          <c:order val="2"/>
          <c:tx>
            <c:strRef>
              <c:f>'Pivot Table'!$D$102</c:f>
              <c:strCache>
                <c:ptCount val="1"/>
                <c:pt idx="0">
                  <c:v>Sum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Table'!$A$103:$A$148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Table'!$D$103:$D$148</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extLst>
            <c:ext xmlns:c16="http://schemas.microsoft.com/office/drawing/2014/chart" uri="{C3380CC4-5D6E-409C-BE32-E72D297353CC}">
              <c16:uniqueId val="{00000002-3FFA-48CC-A5F5-628BF438646D}"/>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1308399648"/>
        <c:axId val="1308395488"/>
        <c:axId val="1417461104"/>
      </c:surface3DChart>
      <c:catAx>
        <c:axId val="1308399648"/>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395488"/>
        <c:crosses val="autoZero"/>
        <c:auto val="1"/>
        <c:lblAlgn val="ctr"/>
        <c:lblOffset val="100"/>
        <c:noMultiLvlLbl val="0"/>
      </c:catAx>
      <c:valAx>
        <c:axId val="1308395488"/>
        <c:scaling>
          <c:orientation val="minMax"/>
        </c:scaling>
        <c:delete val="1"/>
        <c:axPos val="l"/>
        <c:numFmt formatCode="General" sourceLinked="1"/>
        <c:majorTickMark val="none"/>
        <c:minorTickMark val="none"/>
        <c:tickLblPos val="nextTo"/>
        <c:crossAx val="1308399648"/>
        <c:crosses val="autoZero"/>
        <c:crossBetween val="midCat"/>
      </c:valAx>
      <c:serAx>
        <c:axId val="1417461104"/>
        <c:scaling>
          <c:orientation val="minMax"/>
        </c:scaling>
        <c:delete val="0"/>
        <c:axPos val="b"/>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395488"/>
        <c:crosses val="autoZero"/>
      </c:serAx>
      <c:spPr>
        <a:noFill/>
        <a:ln>
          <a:noFill/>
        </a:ln>
        <a:effectLst/>
      </c:spPr>
    </c:plotArea>
    <c:legend>
      <c:legendPos val="t"/>
      <c:layout>
        <c:manualLayout>
          <c:xMode val="edge"/>
          <c:yMode val="edge"/>
          <c:x val="0.31703248031496062"/>
          <c:y val="0.23607723607604078"/>
          <c:w val="0.37218489876265465"/>
          <c:h val="7.9455144008327233E-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30000">
          <a:schemeClr val="dk1">
            <a:lumMod val="62000"/>
            <a:lumOff val="38000"/>
          </a:schemeClr>
        </a:gs>
        <a:gs pos="100000">
          <a:schemeClr val="dk1">
            <a:lumMod val="85000"/>
            <a:lumOff val="15000"/>
          </a:schemeClr>
        </a:gs>
      </a:gsLst>
      <a:path path="circle">
        <a:fillToRect l="50000" t="50000" r="50000" b="50000"/>
      </a:path>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Table!PivotTable8</c:name>
    <c:fmtId val="2"/>
  </c:pivotSource>
  <c:chart>
    <c:title>
      <c:tx>
        <c:rich>
          <a:bodyPr rot="0" spcFirstLastPara="1" vertOverflow="ellipsis" vert="horz" wrap="square" anchor="ctr" anchorCtr="1"/>
          <a:lstStyle/>
          <a:p>
            <a:pPr>
              <a:defRPr sz="1400" b="0" i="0" u="none" strike="noStrike" kern="1200" cap="none" spc="50" baseline="0">
                <a:ln>
                  <a:noFill/>
                </a:ln>
                <a:solidFill>
                  <a:sysClr val="window" lastClr="FFFFFF">
                    <a:lumMod val="85000"/>
                  </a:sysClr>
                </a:solidFill>
                <a:latin typeface="+mn-lt"/>
                <a:ea typeface="+mn-ea"/>
                <a:cs typeface="+mn-cs"/>
              </a:defRPr>
            </a:pPr>
            <a:r>
              <a:rPr lang="en-IN" b="1" i="1">
                <a:ln>
                  <a:noFill/>
                </a:ln>
                <a:solidFill>
                  <a:sysClr val="window" lastClr="FFFFFF">
                    <a:lumMod val="85000"/>
                  </a:sysClr>
                </a:solidFill>
              </a:rPr>
              <a:t>Weather VS Rentals By Time</a:t>
            </a:r>
          </a:p>
        </c:rich>
      </c:tx>
      <c:layout>
        <c:manualLayout>
          <c:xMode val="edge"/>
          <c:yMode val="edge"/>
          <c:x val="0.51161218619123505"/>
          <c:y val="4.0135073933114565E-2"/>
        </c:manualLayout>
      </c:layout>
      <c:overlay val="0"/>
      <c:spPr>
        <a:gradFill>
          <a:gsLst>
            <a:gs pos="81000">
              <a:schemeClr val="bg2">
                <a:lumMod val="10000"/>
              </a:schemeClr>
            </a:gs>
            <a:gs pos="90000">
              <a:schemeClr val="accent4">
                <a:lumMod val="40000"/>
                <a:lumOff val="60000"/>
              </a:schemeClr>
            </a:gs>
            <a:gs pos="98000">
              <a:schemeClr val="accent6">
                <a:lumMod val="50000"/>
              </a:schemeClr>
            </a:gs>
          </a:gsLst>
          <a:lin ang="5400000" scaled="1"/>
        </a:gradFill>
        <a:ln>
          <a:noFill/>
        </a:ln>
        <a:effectLst/>
      </c:spPr>
      <c:txPr>
        <a:bodyPr rot="0" spcFirstLastPara="1" vertOverflow="ellipsis" vert="horz" wrap="square" anchor="ctr" anchorCtr="1"/>
        <a:lstStyle/>
        <a:p>
          <a:pPr>
            <a:defRPr sz="1400" b="0" i="0" u="none" strike="noStrike" kern="1200" cap="none" spc="50" baseline="0">
              <a:ln>
                <a:noFill/>
              </a:ln>
              <a:solidFill>
                <a:sysClr val="window" lastClr="FFFFFF">
                  <a:lumMod val="85000"/>
                </a:sysClr>
              </a:solidFill>
              <a:latin typeface="+mn-lt"/>
              <a:ea typeface="+mn-ea"/>
              <a:cs typeface="+mn-cs"/>
            </a:defRPr>
          </a:pPr>
          <a:endParaRPr lang="en-US"/>
        </a:p>
      </c:txPr>
    </c:title>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ln>
          <a:effectLst>
            <a:glow rad="25400">
              <a:schemeClr val="accent1">
                <a:alpha val="48000"/>
              </a:schemeClr>
            </a:glow>
            <a:softEdge rad="0"/>
          </a:effectLst>
        </c:spPr>
        <c:marker>
          <c:symbol val="circle"/>
          <c:size val="4"/>
          <c:spPr>
            <a:solidFill>
              <a:schemeClr val="accent2">
                <a:lumMod val="60000"/>
                <a:lumOff val="40000"/>
              </a:schemeClr>
            </a:solidFill>
            <a:ln>
              <a:noFill/>
            </a:ln>
            <a:effectLst>
              <a:glow rad="25400">
                <a:schemeClr val="accent1">
                  <a:alpha val="48000"/>
                </a:schemeClr>
              </a:glo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ln>
          <a:effectLst>
            <a:glow rad="63500">
              <a:schemeClr val="accent1">
                <a:satMod val="175000"/>
                <a:alpha val="40000"/>
              </a:schemeClr>
            </a:glow>
            <a:softEdge rad="0"/>
          </a:effectLst>
        </c:spPr>
        <c:marker>
          <c:symbol val="circle"/>
          <c:size val="4"/>
          <c:spPr>
            <a:solidFill>
              <a:schemeClr val="accent1">
                <a:lumMod val="60000"/>
                <a:lumOff val="40000"/>
              </a:schemeClr>
            </a:solidFill>
            <a:ln>
              <a:noFill/>
            </a:ln>
            <a:effectLst>
              <a:glow rad="63500">
                <a:schemeClr val="accent1">
                  <a:satMod val="175000"/>
                  <a:alpha val="40000"/>
                </a:schemeClr>
              </a:glow>
              <a:softEdge rad="0"/>
            </a:effectLst>
          </c:spPr>
        </c:marker>
      </c:pivotFmt>
      <c:pivotFmt>
        <c:idx val="4"/>
        <c:spPr>
          <a:ln w="28575" cap="rnd">
            <a:solidFill>
              <a:srgbClr val="92D050"/>
            </a:solidFill>
          </a:ln>
          <a:effectLst>
            <a:glow rad="12700">
              <a:schemeClr val="accent3">
                <a:satMod val="175000"/>
                <a:alpha val="34000"/>
              </a:schemeClr>
            </a:glow>
          </a:effectLst>
        </c:spPr>
        <c:marker>
          <c:symbol val="circle"/>
          <c:size val="4"/>
          <c:spPr>
            <a:solidFill>
              <a:schemeClr val="accent3">
                <a:lumMod val="60000"/>
                <a:lumOff val="40000"/>
              </a:schemeClr>
            </a:solidFill>
            <a:ln>
              <a:noFill/>
            </a:ln>
            <a:effectLst>
              <a:glow rad="12700">
                <a:schemeClr val="accent3">
                  <a:satMod val="175000"/>
                  <a:alpha val="34000"/>
                </a:schemeClr>
              </a:glow>
            </a:effectLst>
          </c:spPr>
        </c:marker>
      </c:pivotFmt>
    </c:pivotFmts>
    <c:plotArea>
      <c:layout>
        <c:manualLayout>
          <c:layoutTarget val="inner"/>
          <c:xMode val="edge"/>
          <c:yMode val="edge"/>
          <c:x val="0.1662565848287566"/>
          <c:y val="0.17083968503937005"/>
          <c:w val="0.41823640229705089"/>
          <c:h val="0.74517777277840269"/>
        </c:manualLayout>
      </c:layout>
      <c:radarChart>
        <c:radarStyle val="marker"/>
        <c:varyColors val="0"/>
        <c:ser>
          <c:idx val="0"/>
          <c:order val="0"/>
          <c:tx>
            <c:strRef>
              <c:f>'Pivot Table'!$B$154</c:f>
              <c:strCache>
                <c:ptCount val="1"/>
                <c:pt idx="0">
                  <c:v>Sum of Cnt</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40000"/>
                    </a:schemeClr>
                  </a:glow>
                  <a:softEdge rad="0"/>
                </a:effectLst>
              </c:spPr>
            </c:marker>
            <c:bubble3D val="0"/>
            <c:spPr>
              <a:ln w="28575" cap="rnd">
                <a:solidFill>
                  <a:schemeClr val="accent1"/>
                </a:solidFill>
              </a:ln>
              <a:effectLst>
                <a:glow rad="63500">
                  <a:schemeClr val="accent1">
                    <a:satMod val="175000"/>
                    <a:alpha val="40000"/>
                  </a:schemeClr>
                </a:glow>
                <a:softEdge rad="0"/>
              </a:effectLst>
            </c:spPr>
            <c:extLst>
              <c:ext xmlns:c16="http://schemas.microsoft.com/office/drawing/2014/chart" uri="{C3380CC4-5D6E-409C-BE32-E72D297353CC}">
                <c16:uniqueId val="{00000004-618C-4F28-9A73-D5E9AC3A0779}"/>
              </c:ext>
            </c:extLst>
          </c:dPt>
          <c:cat>
            <c:strRef>
              <c:f>'Pivot Table'!$A$155:$A$159</c:f>
              <c:strCache>
                <c:ptCount val="4"/>
                <c:pt idx="0">
                  <c:v>AfterNoon</c:v>
                </c:pt>
                <c:pt idx="1">
                  <c:v>Evening</c:v>
                </c:pt>
                <c:pt idx="2">
                  <c:v>Morning</c:v>
                </c:pt>
                <c:pt idx="3">
                  <c:v>Night</c:v>
                </c:pt>
              </c:strCache>
            </c:strRef>
          </c:cat>
          <c:val>
            <c:numRef>
              <c:f>'Pivot Table'!$B$155:$B$159</c:f>
              <c:numCache>
                <c:formatCode>General</c:formatCode>
                <c:ptCount val="4"/>
                <c:pt idx="0">
                  <c:v>17139</c:v>
                </c:pt>
                <c:pt idx="1">
                  <c:v>15113</c:v>
                </c:pt>
                <c:pt idx="2">
                  <c:v>17132</c:v>
                </c:pt>
                <c:pt idx="3">
                  <c:v>8920</c:v>
                </c:pt>
              </c:numCache>
            </c:numRef>
          </c:val>
          <c:extLst>
            <c:ext xmlns:c16="http://schemas.microsoft.com/office/drawing/2014/chart" uri="{C3380CC4-5D6E-409C-BE32-E72D297353CC}">
              <c16:uniqueId val="{00000000-618C-4F28-9A73-D5E9AC3A0779}"/>
            </c:ext>
          </c:extLst>
        </c:ser>
        <c:ser>
          <c:idx val="1"/>
          <c:order val="1"/>
          <c:tx>
            <c:strRef>
              <c:f>'Pivot Table'!$C$154</c:f>
              <c:strCache>
                <c:ptCount val="1"/>
                <c:pt idx="0">
                  <c:v>Sum of Registered</c:v>
                </c:pt>
              </c:strCache>
            </c:strRef>
          </c:tx>
          <c:spPr>
            <a:ln w="34925" cap="rnd">
              <a:solidFill>
                <a:schemeClr val="accent2"/>
              </a:solidFill>
            </a:ln>
            <a:effectLst>
              <a:glow rad="25400">
                <a:schemeClr val="accent1">
                  <a:alpha val="48000"/>
                </a:schemeClr>
              </a:glow>
              <a:softEdge rad="0"/>
            </a:effectLst>
          </c:spPr>
          <c:marker>
            <c:symbol val="circle"/>
            <c:size val="4"/>
            <c:spPr>
              <a:solidFill>
                <a:schemeClr val="accent2">
                  <a:lumMod val="60000"/>
                  <a:lumOff val="40000"/>
                </a:schemeClr>
              </a:solidFill>
              <a:ln>
                <a:noFill/>
              </a:ln>
              <a:effectLst>
                <a:glow rad="25400">
                  <a:schemeClr val="accent1">
                    <a:alpha val="48000"/>
                  </a:schemeClr>
                </a:glow>
                <a:softEdge rad="0"/>
              </a:effectLst>
            </c:spPr>
          </c:marker>
          <c:cat>
            <c:strRef>
              <c:f>'Pivot Table'!$A$155:$A$159</c:f>
              <c:strCache>
                <c:ptCount val="4"/>
                <c:pt idx="0">
                  <c:v>AfterNoon</c:v>
                </c:pt>
                <c:pt idx="1">
                  <c:v>Evening</c:v>
                </c:pt>
                <c:pt idx="2">
                  <c:v>Morning</c:v>
                </c:pt>
                <c:pt idx="3">
                  <c:v>Night</c:v>
                </c:pt>
              </c:strCache>
            </c:strRef>
          </c:cat>
          <c:val>
            <c:numRef>
              <c:f>'Pivot Table'!$C$155:$C$159</c:f>
              <c:numCache>
                <c:formatCode>General</c:formatCode>
                <c:ptCount val="4"/>
                <c:pt idx="0">
                  <c:v>14649</c:v>
                </c:pt>
                <c:pt idx="1">
                  <c:v>14309</c:v>
                </c:pt>
                <c:pt idx="2">
                  <c:v>16162</c:v>
                </c:pt>
                <c:pt idx="3">
                  <c:v>8263</c:v>
                </c:pt>
              </c:numCache>
            </c:numRef>
          </c:val>
          <c:extLst>
            <c:ext xmlns:c16="http://schemas.microsoft.com/office/drawing/2014/chart" uri="{C3380CC4-5D6E-409C-BE32-E72D297353CC}">
              <c16:uniqueId val="{00000001-618C-4F28-9A73-D5E9AC3A0779}"/>
            </c:ext>
          </c:extLst>
        </c:ser>
        <c:ser>
          <c:idx val="2"/>
          <c:order val="2"/>
          <c:tx>
            <c:strRef>
              <c:f>'Pivot Table'!$D$154</c:f>
              <c:strCache>
                <c:ptCount val="1"/>
                <c:pt idx="0">
                  <c:v>Sum of Casual</c:v>
                </c:pt>
              </c:strCache>
            </c:strRef>
          </c:tx>
          <c:spPr>
            <a:ln w="28575" cap="rnd">
              <a:solidFill>
                <a:srgbClr val="92D050"/>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Pt>
            <c:idx val="1"/>
            <c:marker>
              <c:symbol val="circle"/>
              <c:size val="4"/>
              <c:spPr>
                <a:solidFill>
                  <a:schemeClr val="accent3">
                    <a:lumMod val="60000"/>
                    <a:lumOff val="40000"/>
                  </a:schemeClr>
                </a:solidFill>
                <a:ln>
                  <a:noFill/>
                </a:ln>
                <a:effectLst>
                  <a:glow rad="12700">
                    <a:schemeClr val="accent3">
                      <a:satMod val="175000"/>
                      <a:alpha val="34000"/>
                    </a:schemeClr>
                  </a:glow>
                </a:effectLst>
              </c:spPr>
            </c:marker>
            <c:bubble3D val="0"/>
            <c:spPr>
              <a:ln w="28575" cap="rnd">
                <a:solidFill>
                  <a:srgbClr val="92D050"/>
                </a:solidFill>
              </a:ln>
              <a:effectLst>
                <a:glow rad="12700">
                  <a:schemeClr val="accent3">
                    <a:satMod val="175000"/>
                    <a:alpha val="34000"/>
                  </a:schemeClr>
                </a:glow>
              </a:effectLst>
            </c:spPr>
            <c:extLst>
              <c:ext xmlns:c16="http://schemas.microsoft.com/office/drawing/2014/chart" uri="{C3380CC4-5D6E-409C-BE32-E72D297353CC}">
                <c16:uniqueId val="{00000005-618C-4F28-9A73-D5E9AC3A0779}"/>
              </c:ext>
            </c:extLst>
          </c:dPt>
          <c:cat>
            <c:strRef>
              <c:f>'Pivot Table'!$A$155:$A$159</c:f>
              <c:strCache>
                <c:ptCount val="4"/>
                <c:pt idx="0">
                  <c:v>AfterNoon</c:v>
                </c:pt>
                <c:pt idx="1">
                  <c:v>Evening</c:v>
                </c:pt>
                <c:pt idx="2">
                  <c:v>Morning</c:v>
                </c:pt>
                <c:pt idx="3">
                  <c:v>Night</c:v>
                </c:pt>
              </c:strCache>
            </c:strRef>
          </c:cat>
          <c:val>
            <c:numRef>
              <c:f>'Pivot Table'!$D$155:$D$159</c:f>
              <c:numCache>
                <c:formatCode>General</c:formatCode>
                <c:ptCount val="4"/>
                <c:pt idx="0">
                  <c:v>2490</c:v>
                </c:pt>
                <c:pt idx="1">
                  <c:v>804</c:v>
                </c:pt>
                <c:pt idx="2">
                  <c:v>970</c:v>
                </c:pt>
                <c:pt idx="3">
                  <c:v>657</c:v>
                </c:pt>
              </c:numCache>
            </c:numRef>
          </c:val>
          <c:extLst>
            <c:ext xmlns:c16="http://schemas.microsoft.com/office/drawing/2014/chart" uri="{C3380CC4-5D6E-409C-BE32-E72D297353CC}">
              <c16:uniqueId val="{00000002-618C-4F28-9A73-D5E9AC3A0779}"/>
            </c:ext>
          </c:extLst>
        </c:ser>
        <c:dLbls>
          <c:showLegendKey val="0"/>
          <c:showVal val="0"/>
          <c:showCatName val="0"/>
          <c:showSerName val="0"/>
          <c:showPercent val="0"/>
          <c:showBubbleSize val="0"/>
        </c:dLbls>
        <c:axId val="1671637296"/>
        <c:axId val="1671630640"/>
      </c:radarChart>
      <c:catAx>
        <c:axId val="1671637296"/>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1630640"/>
        <c:crosses val="autoZero"/>
        <c:auto val="1"/>
        <c:lblAlgn val="ctr"/>
        <c:lblOffset val="100"/>
        <c:noMultiLvlLbl val="0"/>
      </c:catAx>
      <c:valAx>
        <c:axId val="1671630640"/>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163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Table!PivotTable9</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i="1"/>
              <a:t>Weather </a:t>
            </a:r>
            <a:r>
              <a:rPr lang="en-IN" sz="1200" i="1"/>
              <a:t>Impact on Rentals</a:t>
            </a:r>
            <a:endParaRPr lang="en-US" sz="1200" i="1"/>
          </a:p>
        </c:rich>
      </c:tx>
      <c:layout>
        <c:manualLayout>
          <c:xMode val="edge"/>
          <c:yMode val="edge"/>
          <c:x val="0.21039136341723516"/>
          <c:y val="0.1014975007823270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6.6528066528066532E-2"/>
              <c:y val="9.2592592592592587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816326530612242E-2"/>
              <c:y val="-8.5929108485499461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layout>
            <c:manualLayout>
              <c:x val="-7.2765072765072769E-2"/>
              <c:y val="-2.777777777777777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440922969044452"/>
              <c:y val="-8.281536236541861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815654536689442E-2"/>
              <c:y val="3.91511963260231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220194878237623E-2"/>
              <c:y val="-4.356402818068794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0816326530612242E-2"/>
              <c:y val="-8.5929108485499461E-3"/>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440922969044452"/>
              <c:y val="-8.281536236541861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815654536689442E-2"/>
              <c:y val="3.91511963260231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220194878237623E-2"/>
              <c:y val="-4.356402818068794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812580558710538E-2"/>
              <c:y val="-0.11083751677401649"/>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3518676859071703E-2"/>
                  <c:h val="8.5394421581644939E-2"/>
                </c:manualLayout>
              </c15:layout>
            </c:ext>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0.11440922969044452"/>
              <c:y val="-8.2815362365418616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7815654536689442E-2"/>
              <c:y val="3.915119632602315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9220194878237623E-2"/>
              <c:y val="-4.356402818068794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973912351865108E-2"/>
          <c:y val="0.28234149162250205"/>
          <c:w val="0.9573283858998145"/>
          <c:h val="0.71418117848050944"/>
        </c:manualLayout>
      </c:layout>
      <c:pie3DChart>
        <c:varyColors val="1"/>
        <c:ser>
          <c:idx val="0"/>
          <c:order val="0"/>
          <c:tx>
            <c:strRef>
              <c:f>'Pivot Table'!$B$18</c:f>
              <c:strCache>
                <c:ptCount val="1"/>
                <c:pt idx="0">
                  <c:v>Sum of Casual</c:v>
                </c:pt>
              </c:strCache>
            </c:strRef>
          </c:tx>
          <c:explosion val="2"/>
          <c:dPt>
            <c:idx val="0"/>
            <c:bubble3D val="0"/>
            <c:explosion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08C-4A5B-AAA0-0DA9B20FDEB1}"/>
              </c:ext>
            </c:extLst>
          </c:dPt>
          <c:dPt>
            <c:idx val="1"/>
            <c:bubble3D val="0"/>
            <c:explosion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08C-4A5B-AAA0-0DA9B20FDEB1}"/>
              </c:ext>
            </c:extLst>
          </c:dPt>
          <c:dPt>
            <c:idx val="2"/>
            <c:bubble3D val="0"/>
            <c:explosion val="3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08C-4A5B-AAA0-0DA9B20FDEB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08C-4A5B-AAA0-0DA9B20FDEB1}"/>
              </c:ext>
            </c:extLst>
          </c:dPt>
          <c:dLbls>
            <c:dLbl>
              <c:idx val="0"/>
              <c:layout>
                <c:manualLayout>
                  <c:x val="1.812580558710538E-2"/>
                  <c:y val="-0.11083751677401649"/>
                </c:manualLayout>
              </c:layout>
              <c:dLblPos val="bestFit"/>
              <c:showLegendKey val="0"/>
              <c:showVal val="0"/>
              <c:showCatName val="0"/>
              <c:showSerName val="0"/>
              <c:showPercent val="1"/>
              <c:showBubbleSize val="0"/>
              <c:extLst>
                <c:ext xmlns:c15="http://schemas.microsoft.com/office/drawing/2012/chart" uri="{CE6537A1-D6FC-4f65-9D91-7224C49458BB}">
                  <c15:layout>
                    <c:manualLayout>
                      <c:w val="8.3518676859071703E-2"/>
                      <c:h val="8.5394421581644939E-2"/>
                    </c:manualLayout>
                  </c15:layout>
                </c:ext>
                <c:ext xmlns:c16="http://schemas.microsoft.com/office/drawing/2014/chart" uri="{C3380CC4-5D6E-409C-BE32-E72D297353CC}">
                  <c16:uniqueId val="{00000001-008C-4A5B-AAA0-0DA9B20FDEB1}"/>
                </c:ext>
              </c:extLst>
            </c:dLbl>
            <c:dLbl>
              <c:idx val="1"/>
              <c:layout>
                <c:manualLayout>
                  <c:x val="-0.11440922969044452"/>
                  <c:y val="-8.281536236541861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8C-4A5B-AAA0-0DA9B20FDEB1}"/>
                </c:ext>
              </c:extLst>
            </c:dLbl>
            <c:dLbl>
              <c:idx val="2"/>
              <c:layout>
                <c:manualLayout>
                  <c:x val="-4.7815654536689442E-2"/>
                  <c:y val="3.915119632602315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08C-4A5B-AAA0-0DA9B20FDEB1}"/>
                </c:ext>
              </c:extLst>
            </c:dLbl>
            <c:dLbl>
              <c:idx val="3"/>
              <c:layout>
                <c:manualLayout>
                  <c:x val="4.9220194878237623E-2"/>
                  <c:y val="-4.35640281806879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08C-4A5B-AAA0-0DA9B20FDEB1}"/>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Table'!$A$19:$A$23</c:f>
              <c:strCache>
                <c:ptCount val="4"/>
                <c:pt idx="0">
                  <c:v>Cloudy</c:v>
                </c:pt>
                <c:pt idx="1">
                  <c:v>Sunny</c:v>
                </c:pt>
                <c:pt idx="2">
                  <c:v>Rainy</c:v>
                </c:pt>
                <c:pt idx="3">
                  <c:v>Stromy</c:v>
                </c:pt>
              </c:strCache>
            </c:strRef>
          </c:cat>
          <c:val>
            <c:numRef>
              <c:f>'Pivot Table'!$B$19:$B$23</c:f>
              <c:numCache>
                <c:formatCode>General</c:formatCode>
                <c:ptCount val="4"/>
                <c:pt idx="0">
                  <c:v>1894</c:v>
                </c:pt>
                <c:pt idx="1">
                  <c:v>1540</c:v>
                </c:pt>
                <c:pt idx="2">
                  <c:v>1343</c:v>
                </c:pt>
                <c:pt idx="3">
                  <c:v>144</c:v>
                </c:pt>
              </c:numCache>
            </c:numRef>
          </c:val>
          <c:extLst>
            <c:ext xmlns:c16="http://schemas.microsoft.com/office/drawing/2014/chart" uri="{C3380CC4-5D6E-409C-BE32-E72D297353CC}">
              <c16:uniqueId val="{00000008-008C-4A5B-AAA0-0DA9B20FDEB1}"/>
            </c:ext>
          </c:extLst>
        </c:ser>
        <c:ser>
          <c:idx val="1"/>
          <c:order val="1"/>
          <c:tx>
            <c:strRef>
              <c:f>'Pivot Table'!$C$18</c:f>
              <c:strCache>
                <c:ptCount val="1"/>
                <c:pt idx="0">
                  <c:v>Sum of Registered</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008C-4A5B-AAA0-0DA9B20FDEB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008C-4A5B-AAA0-0DA9B20FDEB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008C-4A5B-AAA0-0DA9B20FDEB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008C-4A5B-AAA0-0DA9B20FDEB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Table'!$A$19:$A$23</c:f>
              <c:strCache>
                <c:ptCount val="4"/>
                <c:pt idx="0">
                  <c:v>Cloudy</c:v>
                </c:pt>
                <c:pt idx="1">
                  <c:v>Sunny</c:v>
                </c:pt>
                <c:pt idx="2">
                  <c:v>Rainy</c:v>
                </c:pt>
                <c:pt idx="3">
                  <c:v>Stromy</c:v>
                </c:pt>
              </c:strCache>
            </c:strRef>
          </c:cat>
          <c:val>
            <c:numRef>
              <c:f>'Pivot Table'!$C$19:$C$23</c:f>
              <c:numCache>
                <c:formatCode>General</c:formatCode>
                <c:ptCount val="4"/>
                <c:pt idx="0">
                  <c:v>19949</c:v>
                </c:pt>
                <c:pt idx="1">
                  <c:v>6729</c:v>
                </c:pt>
                <c:pt idx="2">
                  <c:v>24070</c:v>
                </c:pt>
                <c:pt idx="3">
                  <c:v>2635</c:v>
                </c:pt>
              </c:numCache>
            </c:numRef>
          </c:val>
          <c:extLst>
            <c:ext xmlns:c16="http://schemas.microsoft.com/office/drawing/2014/chart" uri="{C3380CC4-5D6E-409C-BE32-E72D297353CC}">
              <c16:uniqueId val="{00000011-008C-4A5B-AAA0-0DA9B20FDEB1}"/>
            </c:ext>
          </c:extLst>
        </c:ser>
        <c:ser>
          <c:idx val="2"/>
          <c:order val="2"/>
          <c:tx>
            <c:strRef>
              <c:f>'Pivot Table'!$D$18</c:f>
              <c:strCache>
                <c:ptCount val="1"/>
                <c:pt idx="0">
                  <c:v>Sum of Cnt</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08C-4A5B-AAA0-0DA9B20FDEB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08C-4A5B-AAA0-0DA9B20FDEB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08C-4A5B-AAA0-0DA9B20FDEB1}"/>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08C-4A5B-AAA0-0DA9B20FDEB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Table'!$A$19:$A$23</c:f>
              <c:strCache>
                <c:ptCount val="4"/>
                <c:pt idx="0">
                  <c:v>Cloudy</c:v>
                </c:pt>
                <c:pt idx="1">
                  <c:v>Sunny</c:v>
                </c:pt>
                <c:pt idx="2">
                  <c:v>Rainy</c:v>
                </c:pt>
                <c:pt idx="3">
                  <c:v>Stromy</c:v>
                </c:pt>
              </c:strCache>
            </c:strRef>
          </c:cat>
          <c:val>
            <c:numRef>
              <c:f>'Pivot Table'!$D$19:$D$23</c:f>
              <c:numCache>
                <c:formatCode>General</c:formatCode>
                <c:ptCount val="4"/>
                <c:pt idx="0">
                  <c:v>21843</c:v>
                </c:pt>
                <c:pt idx="1">
                  <c:v>8269</c:v>
                </c:pt>
                <c:pt idx="2">
                  <c:v>25413</c:v>
                </c:pt>
                <c:pt idx="3">
                  <c:v>2779</c:v>
                </c:pt>
              </c:numCache>
            </c:numRef>
          </c:val>
          <c:extLst>
            <c:ext xmlns:c16="http://schemas.microsoft.com/office/drawing/2014/chart" uri="{C3380CC4-5D6E-409C-BE32-E72D297353CC}">
              <c16:uniqueId val="{0000001A-008C-4A5B-AAA0-0DA9B20FDEB1}"/>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84440842787682335"/>
          <c:y val="0.39650849117697534"/>
          <c:w val="0.14910858995137763"/>
          <c:h val="0.40912734271696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Table!PivotTable7</c:name>
    <c:fmtId val="3"/>
  </c:pivotSource>
  <c:chart>
    <c:title>
      <c:tx>
        <c:rich>
          <a:bodyPr rot="0" spcFirstLastPara="1" vertOverflow="ellipsis" vert="horz" wrap="square" anchor="ctr" anchorCtr="1"/>
          <a:lstStyle/>
          <a:p>
            <a:pPr>
              <a:defRPr sz="1600" b="1" i="0" u="none" strike="noStrike" kern="1200" spc="100" baseline="0">
                <a:solidFill>
                  <a:schemeClr val="accent4">
                    <a:lumMod val="40000"/>
                    <a:lumOff val="60000"/>
                  </a:schemeClr>
                </a:solidFill>
                <a:effectLst>
                  <a:outerShdw blurRad="50800" dist="38100" dir="5400000" algn="t" rotWithShape="0">
                    <a:prstClr val="black">
                      <a:alpha val="40000"/>
                    </a:prstClr>
                  </a:outerShdw>
                </a:effectLst>
                <a:latin typeface="+mn-lt"/>
                <a:ea typeface="+mn-ea"/>
                <a:cs typeface="+mn-cs"/>
              </a:defRPr>
            </a:pPr>
            <a:r>
              <a:rPr lang="en-IN" sz="1200" i="1">
                <a:solidFill>
                  <a:schemeClr val="accent4">
                    <a:lumMod val="40000"/>
                    <a:lumOff val="60000"/>
                  </a:schemeClr>
                </a:solidFill>
              </a:rPr>
              <a:t>Weekdays</a:t>
            </a:r>
            <a:r>
              <a:rPr lang="en-IN" sz="1200" i="1" baseline="0">
                <a:solidFill>
                  <a:schemeClr val="accent4">
                    <a:lumMod val="40000"/>
                    <a:lumOff val="60000"/>
                  </a:schemeClr>
                </a:solidFill>
              </a:rPr>
              <a:t> Customer Visits</a:t>
            </a:r>
            <a:endParaRPr lang="en-IN" sz="1200" i="1">
              <a:solidFill>
                <a:schemeClr val="accent4">
                  <a:lumMod val="40000"/>
                  <a:lumOff val="60000"/>
                </a:schemeClr>
              </a:solidFill>
            </a:endParaRPr>
          </a:p>
        </c:rich>
      </c:tx>
      <c:layout>
        <c:manualLayout>
          <c:xMode val="edge"/>
          <c:yMode val="edge"/>
          <c:x val="0.16409372372142803"/>
          <c:y val="2.6935190793458508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General" sourceLinked="0"/>
          <c:spPr>
            <a:noFill/>
            <a:ln>
              <a:noFill/>
            </a:ln>
            <a:effectLst/>
          </c:spPr>
          <c:txPr>
            <a:bodyPr rot="0" spcFirstLastPara="1" vertOverflow="ellipsis" vert="horz" wrap="square" lIns="38100" tIns="7200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5598705501618005E-2"/>
              <c:y val="4.8076923076923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8122977346278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181229773462782E-2"/>
              <c:y val="-4.80769230769230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362459546925568E-3"/>
              <c:y val="1.9230769230769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362459546924974E-3"/>
              <c:y val="-4.8076923076923296E-3"/>
            </c:manualLayout>
          </c:layout>
          <c:numFmt formatCode="General" sourceLinked="0"/>
          <c:spPr>
            <a:noFill/>
            <a:ln>
              <a:noFill/>
            </a:ln>
            <a:effectLst/>
          </c:spPr>
          <c:txPr>
            <a:bodyPr rot="0" spcFirstLastPara="1" vertOverflow="ellipsis" vert="horz" wrap="square" lIns="38100" tIns="7200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2362459546925568E-3"/>
              <c:y val="-1.4423076923076924E-2"/>
            </c:manualLayout>
          </c:layout>
          <c:numFmt formatCode="General" sourceLinked="0"/>
          <c:spPr>
            <a:noFill/>
            <a:ln>
              <a:noFill/>
            </a:ln>
            <a:effectLst/>
          </c:spPr>
          <c:txPr>
            <a:bodyPr rot="0" spcFirstLastPara="1" vertOverflow="ellipsis" vert="horz" wrap="square" lIns="38100" tIns="7200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6.3161916356113026E-2"/>
          <c:y val="0.14249781277340332"/>
          <c:w val="0.75091965446066811"/>
          <c:h val="0.60190762613006721"/>
        </c:manualLayout>
      </c:layout>
      <c:barChart>
        <c:barDir val="col"/>
        <c:grouping val="clustered"/>
        <c:varyColors val="0"/>
        <c:ser>
          <c:idx val="0"/>
          <c:order val="0"/>
          <c:tx>
            <c:strRef>
              <c:f>'Pivot Table'!$B$35</c:f>
              <c:strCache>
                <c:ptCount val="1"/>
                <c:pt idx="0">
                  <c:v>Sum of 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extLst>
              <c:ext xmlns:c16="http://schemas.microsoft.com/office/drawing/2014/chart" uri="{C3380CC4-5D6E-409C-BE32-E72D297353CC}">
                <c16:uniqueId val="{00000006-750C-4A87-97AA-4DA0F5FACFA9}"/>
              </c:ext>
            </c:extLst>
          </c:dPt>
          <c:dPt>
            <c:idx val="3"/>
            <c:invertIfNegative val="0"/>
            <c:bubble3D val="0"/>
            <c:extLst>
              <c:ext xmlns:c16="http://schemas.microsoft.com/office/drawing/2014/chart" uri="{C3380CC4-5D6E-409C-BE32-E72D297353CC}">
                <c16:uniqueId val="{00000005-750C-4A87-97AA-4DA0F5FACFA9}"/>
              </c:ext>
            </c:extLst>
          </c:dPt>
          <c:dLbls>
            <c:dLbl>
              <c:idx val="2"/>
              <c:layout>
                <c:manualLayout>
                  <c:x val="3.2362459546925568E-3"/>
                  <c:y val="-1.442307692307692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0C-4A87-97AA-4DA0F5FACFA9}"/>
                </c:ext>
              </c:extLst>
            </c:dLbl>
            <c:dLbl>
              <c:idx val="3"/>
              <c:layout>
                <c:manualLayout>
                  <c:x val="3.2362459546924974E-3"/>
                  <c:y val="-4.807692307692329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0C-4A87-97AA-4DA0F5FACFA9}"/>
                </c:ext>
              </c:extLst>
            </c:dLbl>
            <c:numFmt formatCode="General" sourceLinked="0"/>
            <c:spPr>
              <a:noFill/>
              <a:ln>
                <a:noFill/>
              </a:ln>
              <a:effectLst/>
            </c:spPr>
            <c:txPr>
              <a:bodyPr rot="0" spcFirstLastPara="1" vertOverflow="ellipsis" vert="horz" wrap="square" lIns="38100" tIns="7200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'Pivot Table'!$A$36:$A$43</c:f>
              <c:strCache>
                <c:ptCount val="7"/>
                <c:pt idx="0">
                  <c:v>Sunday</c:v>
                </c:pt>
                <c:pt idx="1">
                  <c:v>Monday</c:v>
                </c:pt>
                <c:pt idx="2">
                  <c:v>Tuesday</c:v>
                </c:pt>
                <c:pt idx="3">
                  <c:v>Wednesday</c:v>
                </c:pt>
                <c:pt idx="4">
                  <c:v>Friday</c:v>
                </c:pt>
                <c:pt idx="5">
                  <c:v>Saturday</c:v>
                </c:pt>
                <c:pt idx="6">
                  <c:v>Thusday</c:v>
                </c:pt>
              </c:strCache>
            </c:strRef>
          </c:cat>
          <c:val>
            <c:numRef>
              <c:f>'Pivot Table'!$B$36:$B$43</c:f>
              <c:numCache>
                <c:formatCode>General</c:formatCode>
                <c:ptCount val="7"/>
                <c:pt idx="0">
                  <c:v>8450</c:v>
                </c:pt>
                <c:pt idx="1">
                  <c:v>8383</c:v>
                </c:pt>
                <c:pt idx="2">
                  <c:v>8049</c:v>
                </c:pt>
                <c:pt idx="3">
                  <c:v>8458</c:v>
                </c:pt>
                <c:pt idx="4">
                  <c:v>7748</c:v>
                </c:pt>
                <c:pt idx="5">
                  <c:v>8121</c:v>
                </c:pt>
                <c:pt idx="6">
                  <c:v>9095</c:v>
                </c:pt>
              </c:numCache>
            </c:numRef>
          </c:val>
          <c:extLst>
            <c:ext xmlns:c16="http://schemas.microsoft.com/office/drawing/2014/chart" uri="{C3380CC4-5D6E-409C-BE32-E72D297353CC}">
              <c16:uniqueId val="{00000000-7CEA-4E18-8389-4C7FFAD03F34}"/>
            </c:ext>
          </c:extLst>
        </c:ser>
        <c:ser>
          <c:idx val="1"/>
          <c:order val="1"/>
          <c:tx>
            <c:strRef>
              <c:f>'Pivot Table'!$C$35</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4-750C-4A87-97AA-4DA0F5FACFA9}"/>
              </c:ext>
            </c:extLst>
          </c:dPt>
          <c:dPt>
            <c:idx val="4"/>
            <c:invertIfNegative val="0"/>
            <c:bubble3D val="0"/>
            <c:extLst>
              <c:ext xmlns:c16="http://schemas.microsoft.com/office/drawing/2014/chart" uri="{C3380CC4-5D6E-409C-BE32-E72D297353CC}">
                <c16:uniqueId val="{00000003-750C-4A87-97AA-4DA0F5FACFA9}"/>
              </c:ext>
            </c:extLst>
          </c:dPt>
          <c:dPt>
            <c:idx val="5"/>
            <c:invertIfNegative val="0"/>
            <c:bubble3D val="0"/>
            <c:extLst>
              <c:ext xmlns:c16="http://schemas.microsoft.com/office/drawing/2014/chart" uri="{C3380CC4-5D6E-409C-BE32-E72D297353CC}">
                <c16:uniqueId val="{00000002-750C-4A87-97AA-4DA0F5FACFA9}"/>
              </c:ext>
            </c:extLst>
          </c:dPt>
          <c:dPt>
            <c:idx val="6"/>
            <c:invertIfNegative val="0"/>
            <c:bubble3D val="0"/>
            <c:extLst>
              <c:ext xmlns:c16="http://schemas.microsoft.com/office/drawing/2014/chart" uri="{C3380CC4-5D6E-409C-BE32-E72D297353CC}">
                <c16:uniqueId val="{00000001-750C-4A87-97AA-4DA0F5FACFA9}"/>
              </c:ext>
            </c:extLst>
          </c:dPt>
          <c:dLbls>
            <c:dLbl>
              <c:idx val="3"/>
              <c:layout>
                <c:manualLayout>
                  <c:x val="3.2362459546925568E-3"/>
                  <c:y val="1.92307692307692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0C-4A87-97AA-4DA0F5FACFA9}"/>
                </c:ext>
              </c:extLst>
            </c:dLbl>
            <c:dLbl>
              <c:idx val="4"/>
              <c:layout>
                <c:manualLayout>
                  <c:x val="1.6181229773462782E-2"/>
                  <c:y val="-4.80769230769230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0C-4A87-97AA-4DA0F5FACFA9}"/>
                </c:ext>
              </c:extLst>
            </c:dLbl>
            <c:dLbl>
              <c:idx val="5"/>
              <c:layout>
                <c:manualLayout>
                  <c:x val="1.618122977346278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0C-4A87-97AA-4DA0F5FACFA9}"/>
                </c:ext>
              </c:extLst>
            </c:dLbl>
            <c:dLbl>
              <c:idx val="6"/>
              <c:layout>
                <c:manualLayout>
                  <c:x val="3.5598705501618005E-2"/>
                  <c:y val="4.80769230769230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0C-4A87-97AA-4DA0F5FACF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Table'!$A$36:$A$43</c:f>
              <c:strCache>
                <c:ptCount val="7"/>
                <c:pt idx="0">
                  <c:v>Sunday</c:v>
                </c:pt>
                <c:pt idx="1">
                  <c:v>Monday</c:v>
                </c:pt>
                <c:pt idx="2">
                  <c:v>Tuesday</c:v>
                </c:pt>
                <c:pt idx="3">
                  <c:v>Wednesday</c:v>
                </c:pt>
                <c:pt idx="4">
                  <c:v>Friday</c:v>
                </c:pt>
                <c:pt idx="5">
                  <c:v>Saturday</c:v>
                </c:pt>
                <c:pt idx="6">
                  <c:v>Thusday</c:v>
                </c:pt>
              </c:strCache>
            </c:strRef>
          </c:cat>
          <c:val>
            <c:numRef>
              <c:f>'Pivot Table'!$C$36:$C$43</c:f>
              <c:numCache>
                <c:formatCode>General</c:formatCode>
                <c:ptCount val="7"/>
                <c:pt idx="0">
                  <c:v>7916</c:v>
                </c:pt>
                <c:pt idx="1">
                  <c:v>7926</c:v>
                </c:pt>
                <c:pt idx="2">
                  <c:v>7705</c:v>
                </c:pt>
                <c:pt idx="3">
                  <c:v>8126</c:v>
                </c:pt>
                <c:pt idx="4">
                  <c:v>6523</c:v>
                </c:pt>
                <c:pt idx="5">
                  <c:v>6644</c:v>
                </c:pt>
                <c:pt idx="6">
                  <c:v>8543</c:v>
                </c:pt>
              </c:numCache>
            </c:numRef>
          </c:val>
          <c:extLst>
            <c:ext xmlns:c16="http://schemas.microsoft.com/office/drawing/2014/chart" uri="{C3380CC4-5D6E-409C-BE32-E72D297353CC}">
              <c16:uniqueId val="{00000001-7CEA-4E18-8389-4C7FFAD03F34}"/>
            </c:ext>
          </c:extLst>
        </c:ser>
        <c:ser>
          <c:idx val="2"/>
          <c:order val="2"/>
          <c:tx>
            <c:strRef>
              <c:f>'Pivot Table'!$D$35</c:f>
              <c:strCache>
                <c:ptCount val="1"/>
                <c:pt idx="0">
                  <c:v>Sum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Table'!$A$36:$A$43</c:f>
              <c:strCache>
                <c:ptCount val="7"/>
                <c:pt idx="0">
                  <c:v>Sunday</c:v>
                </c:pt>
                <c:pt idx="1">
                  <c:v>Monday</c:v>
                </c:pt>
                <c:pt idx="2">
                  <c:v>Tuesday</c:v>
                </c:pt>
                <c:pt idx="3">
                  <c:v>Wednesday</c:v>
                </c:pt>
                <c:pt idx="4">
                  <c:v>Friday</c:v>
                </c:pt>
                <c:pt idx="5">
                  <c:v>Saturday</c:v>
                </c:pt>
                <c:pt idx="6">
                  <c:v>Thusday</c:v>
                </c:pt>
              </c:strCache>
            </c:strRef>
          </c:cat>
          <c:val>
            <c:numRef>
              <c:f>'Pivot Table'!$D$36:$D$43</c:f>
              <c:numCache>
                <c:formatCode>General</c:formatCode>
                <c:ptCount val="7"/>
                <c:pt idx="0">
                  <c:v>534</c:v>
                </c:pt>
                <c:pt idx="1">
                  <c:v>457</c:v>
                </c:pt>
                <c:pt idx="2">
                  <c:v>344</c:v>
                </c:pt>
                <c:pt idx="3">
                  <c:v>332</c:v>
                </c:pt>
                <c:pt idx="4">
                  <c:v>1225</c:v>
                </c:pt>
                <c:pt idx="5">
                  <c:v>1477</c:v>
                </c:pt>
                <c:pt idx="6">
                  <c:v>552</c:v>
                </c:pt>
              </c:numCache>
            </c:numRef>
          </c:val>
          <c:extLst>
            <c:ext xmlns:c16="http://schemas.microsoft.com/office/drawing/2014/chart" uri="{C3380CC4-5D6E-409C-BE32-E72D297353CC}">
              <c16:uniqueId val="{00000002-7CEA-4E18-8389-4C7FFAD03F34}"/>
            </c:ext>
          </c:extLst>
        </c:ser>
        <c:dLbls>
          <c:showLegendKey val="0"/>
          <c:showVal val="0"/>
          <c:showCatName val="0"/>
          <c:showSerName val="0"/>
          <c:showPercent val="0"/>
          <c:showBubbleSize val="0"/>
        </c:dLbls>
        <c:gapWidth val="148"/>
        <c:overlap val="-100"/>
        <c:axId val="1993067552"/>
        <c:axId val="1993067136"/>
      </c:barChart>
      <c:catAx>
        <c:axId val="19930675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067136"/>
        <c:crosses val="autoZero"/>
        <c:auto val="1"/>
        <c:lblAlgn val="ctr"/>
        <c:lblOffset val="100"/>
        <c:noMultiLvlLbl val="0"/>
      </c:catAx>
      <c:valAx>
        <c:axId val="1993067136"/>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crossAx val="1993067552"/>
        <c:crosses val="autoZero"/>
        <c:crossBetween val="between"/>
      </c:valAx>
      <c:spPr>
        <a:noFill/>
        <a:ln>
          <a:noFill/>
        </a:ln>
        <a:effectLst/>
      </c:spPr>
    </c:plotArea>
    <c:legend>
      <c:legendPos val="r"/>
      <c:layout>
        <c:manualLayout>
          <c:xMode val="edge"/>
          <c:yMode val="edge"/>
          <c:x val="0.82065285528629306"/>
          <c:y val="0.29540354330708657"/>
          <c:w val="0.16891369161379099"/>
          <c:h val="0.69302468201090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Table!PivotTable4</c:name>
    <c:fmtId val="2"/>
  </c:pivotSource>
  <c:chart>
    <c:title>
      <c:tx>
        <c:rich>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n>
                  <a:noFill/>
                </a:ln>
              </a:rPr>
              <a:t>Customers</a:t>
            </a:r>
            <a:r>
              <a:rPr lang="en-US" baseline="0">
                <a:ln>
                  <a:noFill/>
                </a:ln>
              </a:rPr>
              <a:t> Visited By Date</a:t>
            </a:r>
          </a:p>
        </c:rich>
      </c:tx>
      <c:layout>
        <c:manualLayout>
          <c:xMode val="edge"/>
          <c:yMode val="edge"/>
          <c:x val="0.27244008901061278"/>
          <c:y val="4.0724371140576393E-2"/>
        </c:manualLayout>
      </c:layout>
      <c:overlay val="0"/>
      <c:spPr>
        <a:gradFill>
          <a:gsLst>
            <a:gs pos="87000">
              <a:srgbClr val="282828">
                <a:lumMod val="65000"/>
              </a:srgbClr>
            </a:gs>
            <a:gs pos="98000">
              <a:schemeClr val="accent6">
                <a:lumMod val="60000"/>
                <a:lumOff val="40000"/>
              </a:schemeClr>
            </a:gs>
          </a:gsLst>
          <a:path path="circle">
            <a:fillToRect l="50000" t="50000" r="50000" b="50000"/>
          </a:path>
        </a:gradFill>
        <a:ln>
          <a:noFill/>
        </a:ln>
        <a:effectLst/>
      </c:spPr>
      <c:txPr>
        <a:bodyPr rot="0" spcFirstLastPara="1" vertOverflow="ellipsis" vert="horz" wrap="square" anchor="ctr" anchorCtr="1"/>
        <a:lstStyle/>
        <a:p>
          <a:pPr>
            <a:defRPr sz="1600" b="1" i="0" u="none" strike="noStrike" kern="1200" spc="100" baseline="0">
              <a:ln>
                <a:no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E0B"/>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E0B"/>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E0B"/>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2656544442823E-2"/>
          <c:y val="0.228125751522439"/>
          <c:w val="0.92894579555476597"/>
          <c:h val="0.40742678716884528"/>
        </c:manualLayout>
      </c:layout>
      <c:lineChart>
        <c:grouping val="standard"/>
        <c:varyColors val="0"/>
        <c:ser>
          <c:idx val="0"/>
          <c:order val="0"/>
          <c:tx>
            <c:strRef>
              <c:f>'Pivot Table'!$B$52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rgbClr val="FF0E0B"/>
              </a:solidFill>
              <a:ln w="9525">
                <a:solidFill>
                  <a:schemeClr val="accent1"/>
                </a:solidFill>
                <a:round/>
              </a:ln>
              <a:effectLst>
                <a:outerShdw blurRad="57150" dist="19050" dir="5400000" algn="ctr" rotWithShape="0">
                  <a:srgbClr val="000000">
                    <a:alpha val="63000"/>
                  </a:srgbClr>
                </a:outerShdw>
              </a:effectLst>
            </c:spPr>
          </c:marker>
          <c:trendline>
            <c:spPr>
              <a:ln w="19050" cap="rnd" cmpd="sng">
                <a:solidFill>
                  <a:srgbClr val="FFC000">
                    <a:alpha val="88000"/>
                  </a:srgbClr>
                </a:solidFill>
                <a:prstDash val="solid"/>
                <a:round/>
                <a:tailEnd type="stealth"/>
              </a:ln>
              <a:effectLst/>
            </c:spPr>
            <c:trendlineType val="linear"/>
            <c:dispRSqr val="0"/>
            <c:dispEq val="0"/>
          </c:trendline>
          <c:cat>
            <c:strRef>
              <c:f>'Pivot Table'!$A$53:$A$98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Table'!$B$53:$B$98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1-AEC7-4173-AE45-5153F4D5C101}"/>
            </c:ext>
          </c:extLst>
        </c:ser>
        <c:dLbls>
          <c:showLegendKey val="0"/>
          <c:showVal val="0"/>
          <c:showCatName val="0"/>
          <c:showSerName val="0"/>
          <c:showPercent val="0"/>
          <c:showBubbleSize val="0"/>
        </c:dLbls>
        <c:marker val="1"/>
        <c:smooth val="0"/>
        <c:axId val="1993469968"/>
        <c:axId val="1993464144"/>
      </c:lineChart>
      <c:catAx>
        <c:axId val="19934699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464144"/>
        <c:crosses val="autoZero"/>
        <c:auto val="1"/>
        <c:lblAlgn val="ctr"/>
        <c:lblOffset val="100"/>
        <c:noMultiLvlLbl val="0"/>
      </c:catAx>
      <c:valAx>
        <c:axId val="1993464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3469968"/>
        <c:crosses val="autoZero"/>
        <c:crossBetween val="between"/>
      </c:valAx>
      <c:spPr>
        <a:solidFill>
          <a:schemeClr val="tx1">
            <a:lumMod val="95000"/>
            <a:lumOff val="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Table!PivotTable8</c:name>
    <c:fmtId val="4"/>
  </c:pivotSource>
  <c:chart>
    <c:title>
      <c:tx>
        <c:rich>
          <a:bodyPr rot="0" spcFirstLastPara="1" vertOverflow="ellipsis" vert="horz" wrap="square" anchor="ctr" anchorCtr="1"/>
          <a:lstStyle/>
          <a:p>
            <a:pPr>
              <a:defRPr sz="1400" b="0" i="0" u="none" strike="noStrike" kern="1200" cap="none" spc="50" baseline="0">
                <a:ln>
                  <a:noFill/>
                </a:ln>
                <a:solidFill>
                  <a:sysClr val="window" lastClr="FFFFFF">
                    <a:lumMod val="85000"/>
                  </a:sysClr>
                </a:solidFill>
                <a:latin typeface="+mn-lt"/>
                <a:ea typeface="+mn-ea"/>
                <a:cs typeface="+mn-cs"/>
              </a:defRPr>
            </a:pPr>
            <a:r>
              <a:rPr lang="en-IN" b="1" i="1">
                <a:ln>
                  <a:noFill/>
                </a:ln>
                <a:solidFill>
                  <a:sysClr val="window" lastClr="FFFFFF">
                    <a:lumMod val="85000"/>
                  </a:sysClr>
                </a:solidFill>
              </a:rPr>
              <a:t>Weather VS Rentals By Time</a:t>
            </a:r>
          </a:p>
        </c:rich>
      </c:tx>
      <c:layout>
        <c:manualLayout>
          <c:xMode val="edge"/>
          <c:yMode val="edge"/>
          <c:x val="0.41751067807171582"/>
          <c:y val="0.19062043827705766"/>
        </c:manualLayout>
      </c:layout>
      <c:overlay val="0"/>
      <c:spPr>
        <a:gradFill>
          <a:gsLst>
            <a:gs pos="81000">
              <a:schemeClr val="bg2">
                <a:lumMod val="10000"/>
              </a:schemeClr>
            </a:gs>
            <a:gs pos="90000">
              <a:schemeClr val="accent4">
                <a:lumMod val="40000"/>
                <a:lumOff val="60000"/>
              </a:schemeClr>
            </a:gs>
            <a:gs pos="98000">
              <a:schemeClr val="accent6">
                <a:lumMod val="50000"/>
              </a:schemeClr>
            </a:gs>
          </a:gsLst>
          <a:lin ang="5400000" scaled="1"/>
        </a:gradFill>
        <a:ln>
          <a:noFill/>
        </a:ln>
        <a:effectLst/>
      </c:spPr>
      <c:txPr>
        <a:bodyPr rot="0" spcFirstLastPara="1" vertOverflow="ellipsis" vert="horz" wrap="square" anchor="ctr" anchorCtr="1"/>
        <a:lstStyle/>
        <a:p>
          <a:pPr>
            <a:defRPr sz="1400" b="0" i="0" u="none" strike="noStrike" kern="1200" cap="none" spc="50" baseline="0">
              <a:ln>
                <a:noFill/>
              </a:ln>
              <a:solidFill>
                <a:sysClr val="window" lastClr="FFFFFF">
                  <a:lumMod val="85000"/>
                </a:sysClr>
              </a:solidFill>
              <a:latin typeface="+mn-lt"/>
              <a:ea typeface="+mn-ea"/>
              <a:cs typeface="+mn-cs"/>
            </a:defRPr>
          </a:pPr>
          <a:endParaRPr lang="en-US"/>
        </a:p>
      </c:txPr>
    </c:title>
    <c:autoTitleDeleted val="0"/>
    <c:pivotFmts>
      <c:pivotFmt>
        <c:idx val="0"/>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69804"/>
            </a:schemeClr>
          </a:solidFill>
          <a:ln w="34925" cap="rnd" cmpd="sng" algn="ctr">
            <a:solidFill>
              <a:schemeClr val="accent1"/>
            </a:solidFill>
            <a:miter lim="800000"/>
          </a:ln>
          <a:effectLst>
            <a:glow rad="25400">
              <a:schemeClr val="accent1">
                <a:alpha val="48000"/>
              </a:schemeClr>
            </a:glow>
            <a:softEdge rad="0"/>
          </a:effectLst>
        </c:spPr>
        <c:marker>
          <c:spPr>
            <a:solidFill>
              <a:schemeClr val="accent2">
                <a:lumMod val="60000"/>
                <a:lumOff val="40000"/>
              </a:schemeClr>
            </a:solidFill>
            <a:ln>
              <a:noFill/>
            </a:ln>
            <a:effectLst>
              <a:glow rad="25400">
                <a:schemeClr val="accent1">
                  <a:alpha val="48000"/>
                </a:schemeClr>
              </a:glo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69804"/>
            </a:schemeClr>
          </a:solidFill>
          <a:ln w="28575" cap="rnd" cmpd="sng" algn="ctr">
            <a:solidFill>
              <a:srgbClr val="92D050"/>
            </a:solidFill>
            <a:miter lim="800000"/>
          </a:ln>
          <a:effectLst>
            <a:glow rad="76200">
              <a:schemeClr val="accent1">
                <a:satMod val="175000"/>
                <a:alpha val="34000"/>
              </a:schemeClr>
            </a:glow>
          </a:effectLst>
        </c:spPr>
        <c:marker>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69804"/>
            </a:schemeClr>
          </a:solidFill>
          <a:ln w="28575" cap="rnd" cmpd="sng" algn="ctr">
            <a:solidFill>
              <a:schemeClr val="accent1"/>
            </a:solidFill>
            <a:miter lim="800000"/>
          </a:ln>
          <a:effectLst>
            <a:glow rad="63500">
              <a:schemeClr val="accent1">
                <a:satMod val="175000"/>
                <a:alpha val="40000"/>
              </a:schemeClr>
            </a:glow>
            <a:softEdge rad="0"/>
          </a:effectLst>
        </c:spPr>
        <c:marker>
          <c:spPr>
            <a:solidFill>
              <a:schemeClr val="accent1">
                <a:lumMod val="60000"/>
                <a:lumOff val="40000"/>
              </a:schemeClr>
            </a:solidFill>
            <a:ln>
              <a:noFill/>
            </a:ln>
            <a:effectLst>
              <a:glow rad="63500">
                <a:schemeClr val="accent1">
                  <a:satMod val="175000"/>
                  <a:alpha val="40000"/>
                </a:schemeClr>
              </a:glow>
              <a:softEdge rad="0"/>
            </a:effectLst>
          </c:spPr>
        </c:marker>
      </c:pivotFmt>
      <c:pivotFmt>
        <c:idx val="4"/>
        <c:spPr>
          <a:solidFill>
            <a:schemeClr val="accent1">
              <a:alpha val="69804"/>
            </a:schemeClr>
          </a:solidFill>
          <a:ln w="28575" cap="rnd" cmpd="sng" algn="ctr">
            <a:solidFill>
              <a:srgbClr val="92D050"/>
            </a:solidFill>
            <a:miter lim="800000"/>
          </a:ln>
          <a:effectLst>
            <a:glow rad="12700">
              <a:schemeClr val="accent3">
                <a:satMod val="175000"/>
                <a:alpha val="34000"/>
              </a:schemeClr>
            </a:glow>
          </a:effectLst>
        </c:spPr>
        <c:marker>
          <c:spPr>
            <a:solidFill>
              <a:schemeClr val="accent3">
                <a:lumMod val="60000"/>
                <a:lumOff val="40000"/>
              </a:schemeClr>
            </a:solidFill>
            <a:ln>
              <a:noFill/>
            </a:ln>
            <a:effectLst>
              <a:glow rad="12700">
                <a:schemeClr val="accent3">
                  <a:satMod val="175000"/>
                  <a:alpha val="34000"/>
                </a:schemeClr>
              </a:glow>
            </a:effectLst>
          </c:spPr>
        </c:marker>
      </c:pivotFmt>
      <c:pivotFmt>
        <c:idx val="5"/>
        <c:spPr>
          <a:solidFill>
            <a:schemeClr val="accent1">
              <a:alpha val="69804"/>
            </a:schemeClr>
          </a:solidFill>
          <a:ln w="28575" cap="rnd" cmpd="sng" algn="ctr">
            <a:solidFill>
              <a:schemeClr val="accent1"/>
            </a:solidFill>
            <a:miter lim="800000"/>
          </a:ln>
          <a:effectLst>
            <a:glow rad="76200">
              <a:schemeClr val="accent1">
                <a:satMod val="175000"/>
                <a:alpha val="3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alpha val="69804"/>
            </a:schemeClr>
          </a:solidFill>
          <a:ln w="28575" cap="rnd" cmpd="sng" algn="ctr">
            <a:solidFill>
              <a:schemeClr val="accent1"/>
            </a:solidFill>
            <a:miter lim="800000"/>
          </a:ln>
          <a:effectLst>
            <a:glow rad="63500">
              <a:schemeClr val="accent1">
                <a:satMod val="175000"/>
                <a:alpha val="40000"/>
              </a:schemeClr>
            </a:glow>
            <a:softEdge rad="0"/>
          </a:effectLst>
        </c:spPr>
        <c:marker>
          <c:spPr>
            <a:solidFill>
              <a:schemeClr val="accent1">
                <a:lumMod val="60000"/>
                <a:lumOff val="40000"/>
              </a:schemeClr>
            </a:solidFill>
            <a:ln>
              <a:noFill/>
            </a:ln>
            <a:effectLst>
              <a:glow rad="63500">
                <a:schemeClr val="accent1">
                  <a:satMod val="175000"/>
                  <a:alpha val="40000"/>
                </a:schemeClr>
              </a:glow>
              <a:softEdge rad="0"/>
            </a:effectLst>
          </c:spPr>
        </c:marker>
      </c:pivotFmt>
      <c:pivotFmt>
        <c:idx val="7"/>
        <c:spPr>
          <a:solidFill>
            <a:schemeClr val="accent1">
              <a:alpha val="69804"/>
            </a:schemeClr>
          </a:solidFill>
          <a:ln w="34925" cap="rnd" cmpd="sng" algn="ctr">
            <a:solidFill>
              <a:schemeClr val="accent1"/>
            </a:solidFill>
            <a:miter lim="800000"/>
          </a:ln>
          <a:effectLst>
            <a:glow rad="25400">
              <a:schemeClr val="accent1">
                <a:alpha val="48000"/>
              </a:schemeClr>
            </a:glow>
            <a:softEdge rad="0"/>
          </a:effectLst>
        </c:spPr>
        <c:marker>
          <c:spPr>
            <a:solidFill>
              <a:schemeClr val="accent2">
                <a:lumMod val="60000"/>
                <a:lumOff val="40000"/>
              </a:schemeClr>
            </a:solidFill>
            <a:ln>
              <a:noFill/>
            </a:ln>
            <a:effectLst>
              <a:glow rad="25400">
                <a:schemeClr val="accent1">
                  <a:alpha val="48000"/>
                </a:schemeClr>
              </a:glo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alpha val="69804"/>
            </a:schemeClr>
          </a:solidFill>
          <a:ln w="28575" cap="rnd" cmpd="sng" algn="ctr">
            <a:solidFill>
              <a:srgbClr val="92D050"/>
            </a:solidFill>
            <a:miter lim="800000"/>
          </a:ln>
          <a:effectLst>
            <a:glow rad="76200">
              <a:schemeClr val="accent1">
                <a:satMod val="175000"/>
                <a:alpha val="34000"/>
              </a:schemeClr>
            </a:glow>
          </a:effectLst>
        </c:spPr>
        <c:marker>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alpha val="69804"/>
            </a:schemeClr>
          </a:solidFill>
          <a:ln w="28575" cap="rnd" cmpd="sng" algn="ctr">
            <a:solidFill>
              <a:srgbClr val="92D050"/>
            </a:solidFill>
            <a:miter lim="800000"/>
          </a:ln>
          <a:effectLst>
            <a:glow rad="12700">
              <a:schemeClr val="accent3">
                <a:satMod val="175000"/>
                <a:alpha val="34000"/>
              </a:schemeClr>
            </a:glow>
          </a:effectLst>
        </c:spPr>
        <c:marker>
          <c:spPr>
            <a:solidFill>
              <a:schemeClr val="accent3">
                <a:lumMod val="60000"/>
                <a:lumOff val="40000"/>
              </a:schemeClr>
            </a:solidFill>
            <a:ln>
              <a:noFill/>
            </a:ln>
            <a:effectLst>
              <a:glow rad="12700">
                <a:schemeClr val="accent3">
                  <a:satMod val="175000"/>
                  <a:alpha val="34000"/>
                </a:schemeClr>
              </a:glow>
            </a:effectLst>
          </c:spPr>
        </c:marker>
      </c:pivotFmt>
      <c:pivotFmt>
        <c:idx val="1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ln>
          <a:effectLst>
            <a:glow rad="63500">
              <a:schemeClr val="accent1">
                <a:satMod val="175000"/>
                <a:alpha val="40000"/>
              </a:schemeClr>
            </a:glow>
            <a:softEdge rad="0"/>
          </a:effectLst>
        </c:spPr>
        <c:marker>
          <c:symbol val="circle"/>
          <c:size val="4"/>
          <c:spPr>
            <a:solidFill>
              <a:schemeClr val="accent1">
                <a:lumMod val="60000"/>
                <a:lumOff val="40000"/>
              </a:schemeClr>
            </a:solidFill>
            <a:ln>
              <a:noFill/>
            </a:ln>
            <a:effectLst>
              <a:glow rad="63500">
                <a:schemeClr val="accent1">
                  <a:satMod val="175000"/>
                  <a:alpha val="40000"/>
                </a:schemeClr>
              </a:glow>
              <a:softEdge rad="0"/>
            </a:effectLst>
          </c:spPr>
        </c:marker>
      </c:pivotFmt>
      <c:pivotFmt>
        <c:idx val="12"/>
        <c:spPr>
          <a:ln w="34925" cap="rnd">
            <a:solidFill>
              <a:schemeClr val="accent1"/>
            </a:solidFill>
          </a:ln>
          <a:effectLst>
            <a:glow rad="25400">
              <a:schemeClr val="accent1">
                <a:alpha val="48000"/>
              </a:schemeClr>
            </a:glow>
            <a:softEdge rad="0"/>
          </a:effectLst>
        </c:spPr>
        <c:marker>
          <c:symbol val="circle"/>
          <c:size val="4"/>
          <c:spPr>
            <a:solidFill>
              <a:schemeClr val="accent2">
                <a:lumMod val="60000"/>
                <a:lumOff val="40000"/>
              </a:schemeClr>
            </a:solidFill>
            <a:ln>
              <a:noFill/>
            </a:ln>
            <a:effectLst>
              <a:glow rad="25400">
                <a:schemeClr val="accent1">
                  <a:alpha val="48000"/>
                </a:schemeClr>
              </a:glow>
              <a:softEdge rad="0"/>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92D050"/>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92D050"/>
            </a:solidFill>
          </a:ln>
          <a:effectLst>
            <a:glow rad="12700">
              <a:schemeClr val="accent3">
                <a:satMod val="175000"/>
                <a:alpha val="34000"/>
              </a:schemeClr>
            </a:glow>
          </a:effectLst>
        </c:spPr>
        <c:marker>
          <c:symbol val="circle"/>
          <c:size val="4"/>
          <c:spPr>
            <a:solidFill>
              <a:schemeClr val="accent3">
                <a:lumMod val="60000"/>
                <a:lumOff val="40000"/>
              </a:schemeClr>
            </a:solidFill>
            <a:ln>
              <a:noFill/>
            </a:ln>
            <a:effectLst>
              <a:glow rad="12700">
                <a:schemeClr val="accent3">
                  <a:satMod val="175000"/>
                  <a:alpha val="34000"/>
                </a:schemeClr>
              </a:glow>
            </a:effectLst>
          </c:spPr>
        </c:marker>
      </c:pivotFmt>
    </c:pivotFmts>
    <c:plotArea>
      <c:layout>
        <c:manualLayout>
          <c:layoutTarget val="inner"/>
          <c:xMode val="edge"/>
          <c:yMode val="edge"/>
          <c:x val="0.14701115957627597"/>
          <c:y val="0.23107760533506816"/>
          <c:w val="0.37904174927774309"/>
          <c:h val="0.63940319524623312"/>
        </c:manualLayout>
      </c:layout>
      <c:radarChart>
        <c:radarStyle val="marker"/>
        <c:varyColors val="0"/>
        <c:ser>
          <c:idx val="0"/>
          <c:order val="0"/>
          <c:tx>
            <c:strRef>
              <c:f>'Pivot Table'!$B$154</c:f>
              <c:strCache>
                <c:ptCount val="1"/>
                <c:pt idx="0">
                  <c:v>Sum of Cnt</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40000"/>
                    </a:schemeClr>
                  </a:glow>
                  <a:softEdge rad="0"/>
                </a:effectLst>
              </c:spPr>
            </c:marker>
            <c:bubble3D val="0"/>
            <c:spPr>
              <a:ln w="28575" cap="rnd">
                <a:solidFill>
                  <a:schemeClr val="accent1"/>
                </a:solidFill>
              </a:ln>
              <a:effectLst>
                <a:glow rad="63500">
                  <a:schemeClr val="accent1">
                    <a:satMod val="175000"/>
                    <a:alpha val="40000"/>
                  </a:schemeClr>
                </a:glow>
                <a:softEdge rad="0"/>
              </a:effectLst>
            </c:spPr>
            <c:extLst>
              <c:ext xmlns:c16="http://schemas.microsoft.com/office/drawing/2014/chart" uri="{C3380CC4-5D6E-409C-BE32-E72D297353CC}">
                <c16:uniqueId val="{00000001-A6C6-4C66-AEFE-8A1EAA9C79FC}"/>
              </c:ext>
            </c:extLst>
          </c:dPt>
          <c:cat>
            <c:strRef>
              <c:f>'Pivot Table'!$A$155:$A$159</c:f>
              <c:strCache>
                <c:ptCount val="4"/>
                <c:pt idx="0">
                  <c:v>AfterNoon</c:v>
                </c:pt>
                <c:pt idx="1">
                  <c:v>Evening</c:v>
                </c:pt>
                <c:pt idx="2">
                  <c:v>Morning</c:v>
                </c:pt>
                <c:pt idx="3">
                  <c:v>Night</c:v>
                </c:pt>
              </c:strCache>
            </c:strRef>
          </c:cat>
          <c:val>
            <c:numRef>
              <c:f>'Pivot Table'!$B$155:$B$159</c:f>
              <c:numCache>
                <c:formatCode>General</c:formatCode>
                <c:ptCount val="4"/>
                <c:pt idx="0">
                  <c:v>17139</c:v>
                </c:pt>
                <c:pt idx="1">
                  <c:v>15113</c:v>
                </c:pt>
                <c:pt idx="2">
                  <c:v>17132</c:v>
                </c:pt>
                <c:pt idx="3">
                  <c:v>8920</c:v>
                </c:pt>
              </c:numCache>
            </c:numRef>
          </c:val>
          <c:extLst>
            <c:ext xmlns:c16="http://schemas.microsoft.com/office/drawing/2014/chart" uri="{C3380CC4-5D6E-409C-BE32-E72D297353CC}">
              <c16:uniqueId val="{00000002-A6C6-4C66-AEFE-8A1EAA9C79FC}"/>
            </c:ext>
          </c:extLst>
        </c:ser>
        <c:ser>
          <c:idx val="1"/>
          <c:order val="1"/>
          <c:tx>
            <c:strRef>
              <c:f>'Pivot Table'!$C$154</c:f>
              <c:strCache>
                <c:ptCount val="1"/>
                <c:pt idx="0">
                  <c:v>Sum of Registered</c:v>
                </c:pt>
              </c:strCache>
            </c:strRef>
          </c:tx>
          <c:spPr>
            <a:ln w="34925" cap="rnd">
              <a:solidFill>
                <a:schemeClr val="accent2"/>
              </a:solidFill>
            </a:ln>
            <a:effectLst>
              <a:glow rad="25400">
                <a:schemeClr val="accent1">
                  <a:alpha val="48000"/>
                </a:schemeClr>
              </a:glow>
              <a:softEdge rad="0"/>
            </a:effectLst>
          </c:spPr>
          <c:marker>
            <c:symbol val="circle"/>
            <c:size val="4"/>
            <c:spPr>
              <a:solidFill>
                <a:schemeClr val="accent2">
                  <a:lumMod val="60000"/>
                  <a:lumOff val="40000"/>
                </a:schemeClr>
              </a:solidFill>
              <a:ln>
                <a:noFill/>
              </a:ln>
              <a:effectLst>
                <a:glow rad="25400">
                  <a:schemeClr val="accent1">
                    <a:alpha val="48000"/>
                  </a:schemeClr>
                </a:glow>
                <a:softEdge rad="0"/>
              </a:effectLst>
            </c:spPr>
          </c:marker>
          <c:cat>
            <c:strRef>
              <c:f>'Pivot Table'!$A$155:$A$159</c:f>
              <c:strCache>
                <c:ptCount val="4"/>
                <c:pt idx="0">
                  <c:v>AfterNoon</c:v>
                </c:pt>
                <c:pt idx="1">
                  <c:v>Evening</c:v>
                </c:pt>
                <c:pt idx="2">
                  <c:v>Morning</c:v>
                </c:pt>
                <c:pt idx="3">
                  <c:v>Night</c:v>
                </c:pt>
              </c:strCache>
            </c:strRef>
          </c:cat>
          <c:val>
            <c:numRef>
              <c:f>'Pivot Table'!$C$155:$C$159</c:f>
              <c:numCache>
                <c:formatCode>General</c:formatCode>
                <c:ptCount val="4"/>
                <c:pt idx="0">
                  <c:v>14649</c:v>
                </c:pt>
                <c:pt idx="1">
                  <c:v>14309</c:v>
                </c:pt>
                <c:pt idx="2">
                  <c:v>16162</c:v>
                </c:pt>
                <c:pt idx="3">
                  <c:v>8263</c:v>
                </c:pt>
              </c:numCache>
            </c:numRef>
          </c:val>
          <c:extLst>
            <c:ext xmlns:c16="http://schemas.microsoft.com/office/drawing/2014/chart" uri="{C3380CC4-5D6E-409C-BE32-E72D297353CC}">
              <c16:uniqueId val="{00000003-A6C6-4C66-AEFE-8A1EAA9C79FC}"/>
            </c:ext>
          </c:extLst>
        </c:ser>
        <c:ser>
          <c:idx val="2"/>
          <c:order val="2"/>
          <c:tx>
            <c:strRef>
              <c:f>'Pivot Table'!$D$154</c:f>
              <c:strCache>
                <c:ptCount val="1"/>
                <c:pt idx="0">
                  <c:v>Sum of Casual</c:v>
                </c:pt>
              </c:strCache>
            </c:strRef>
          </c:tx>
          <c:spPr>
            <a:ln w="28575" cap="rnd">
              <a:solidFill>
                <a:srgbClr val="92D050"/>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Pt>
            <c:idx val="1"/>
            <c:marker>
              <c:symbol val="circle"/>
              <c:size val="4"/>
              <c:spPr>
                <a:solidFill>
                  <a:schemeClr val="accent3">
                    <a:lumMod val="60000"/>
                    <a:lumOff val="40000"/>
                  </a:schemeClr>
                </a:solidFill>
                <a:ln>
                  <a:noFill/>
                </a:ln>
                <a:effectLst>
                  <a:glow rad="12700">
                    <a:schemeClr val="accent3">
                      <a:satMod val="175000"/>
                      <a:alpha val="34000"/>
                    </a:schemeClr>
                  </a:glow>
                </a:effectLst>
              </c:spPr>
            </c:marker>
            <c:bubble3D val="0"/>
            <c:spPr>
              <a:ln w="28575" cap="rnd">
                <a:solidFill>
                  <a:srgbClr val="92D050"/>
                </a:solidFill>
              </a:ln>
              <a:effectLst>
                <a:glow rad="12700">
                  <a:schemeClr val="accent3">
                    <a:satMod val="175000"/>
                    <a:alpha val="34000"/>
                  </a:schemeClr>
                </a:glow>
              </a:effectLst>
            </c:spPr>
            <c:extLst>
              <c:ext xmlns:c16="http://schemas.microsoft.com/office/drawing/2014/chart" uri="{C3380CC4-5D6E-409C-BE32-E72D297353CC}">
                <c16:uniqueId val="{00000005-A6C6-4C66-AEFE-8A1EAA9C79FC}"/>
              </c:ext>
            </c:extLst>
          </c:dPt>
          <c:cat>
            <c:strRef>
              <c:f>'Pivot Table'!$A$155:$A$159</c:f>
              <c:strCache>
                <c:ptCount val="4"/>
                <c:pt idx="0">
                  <c:v>AfterNoon</c:v>
                </c:pt>
                <c:pt idx="1">
                  <c:v>Evening</c:v>
                </c:pt>
                <c:pt idx="2">
                  <c:v>Morning</c:v>
                </c:pt>
                <c:pt idx="3">
                  <c:v>Night</c:v>
                </c:pt>
              </c:strCache>
            </c:strRef>
          </c:cat>
          <c:val>
            <c:numRef>
              <c:f>'Pivot Table'!$D$155:$D$159</c:f>
              <c:numCache>
                <c:formatCode>General</c:formatCode>
                <c:ptCount val="4"/>
                <c:pt idx="0">
                  <c:v>2490</c:v>
                </c:pt>
                <c:pt idx="1">
                  <c:v>804</c:v>
                </c:pt>
                <c:pt idx="2">
                  <c:v>970</c:v>
                </c:pt>
                <c:pt idx="3">
                  <c:v>657</c:v>
                </c:pt>
              </c:numCache>
            </c:numRef>
          </c:val>
          <c:extLst>
            <c:ext xmlns:c16="http://schemas.microsoft.com/office/drawing/2014/chart" uri="{C3380CC4-5D6E-409C-BE32-E72D297353CC}">
              <c16:uniqueId val="{00000006-A6C6-4C66-AEFE-8A1EAA9C79FC}"/>
            </c:ext>
          </c:extLst>
        </c:ser>
        <c:dLbls>
          <c:showLegendKey val="0"/>
          <c:showVal val="0"/>
          <c:showCatName val="0"/>
          <c:showSerName val="0"/>
          <c:showPercent val="0"/>
          <c:showBubbleSize val="0"/>
        </c:dLbls>
        <c:axId val="1671637296"/>
        <c:axId val="1671630640"/>
      </c:radarChart>
      <c:catAx>
        <c:axId val="1671637296"/>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1630640"/>
        <c:crosses val="autoZero"/>
        <c:auto val="1"/>
        <c:lblAlgn val="ctr"/>
        <c:lblOffset val="100"/>
        <c:noMultiLvlLbl val="0"/>
      </c:catAx>
      <c:valAx>
        <c:axId val="1671630640"/>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163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a:t>Customer</a:t>
            </a:r>
            <a:r>
              <a:rPr lang="en-IN" i="1" baseline="0"/>
              <a:t> Registrations By Date</a:t>
            </a:r>
            <a:endParaRPr lang="en-IN" i="1"/>
          </a:p>
        </c:rich>
      </c:tx>
      <c:layout>
        <c:manualLayout>
          <c:xMode val="edge"/>
          <c:yMode val="edge"/>
          <c:x val="8.646127250708853E-2"/>
          <c:y val="0.13728908886389199"/>
        </c:manualLayout>
      </c:layout>
      <c:overlay val="0"/>
      <c:spPr>
        <a:gradFill>
          <a:gsLst>
            <a:gs pos="0">
              <a:schemeClr val="tx1">
                <a:lumMod val="95000"/>
                <a:lumOff val="5000"/>
              </a:schemeClr>
            </a:gs>
            <a:gs pos="78000">
              <a:schemeClr val="accent5">
                <a:lumMod val="50000"/>
              </a:schemeClr>
            </a:gs>
          </a:gsLst>
          <a:path path="circle">
            <a:fillToRect l="50000" t="50000" r="50000" b="50000"/>
          </a:path>
        </a:grad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3"/>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5"/>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6"/>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7"/>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5"/>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7"/>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8"/>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29"/>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1"/>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2"/>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3"/>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3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5"/>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6"/>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7"/>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8"/>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49"/>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1"/>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
        <c:idx val="5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gradFill flip="none" rotWithShape="1">
          <a:gsLst>
            <a:gs pos="0">
              <a:schemeClr val="accent5">
                <a:lumMod val="60000"/>
                <a:lumOff val="40000"/>
              </a:schemeClr>
            </a:gs>
            <a:gs pos="100000">
              <a:schemeClr val="dk1">
                <a:lumMod val="85000"/>
                <a:lumOff val="15000"/>
              </a:schemeClr>
            </a:gs>
          </a:gsLst>
          <a:path path="circle">
            <a:fillToRect l="50000" t="50000" r="50000" b="50000"/>
          </a:path>
          <a:tileRect/>
        </a:gradFill>
        <a:ln>
          <a:noFill/>
        </a:ln>
        <a:effectLst/>
        <a:sp3d/>
      </c:spPr>
    </c:sideWall>
    <c:backWall>
      <c:thickness val="0"/>
      <c:spPr>
        <a:gradFill flip="none" rotWithShape="1">
          <a:gsLst>
            <a:gs pos="0">
              <a:schemeClr val="accent5">
                <a:lumMod val="60000"/>
                <a:lumOff val="40000"/>
              </a:schemeClr>
            </a:gs>
            <a:gs pos="100000">
              <a:schemeClr val="dk1">
                <a:lumMod val="85000"/>
                <a:lumOff val="15000"/>
              </a:schemeClr>
            </a:gs>
          </a:gsLst>
          <a:path path="circle">
            <a:fillToRect l="50000" t="50000" r="50000" b="50000"/>
          </a:path>
          <a:tileRect/>
        </a:gradFill>
        <a:ln>
          <a:noFill/>
        </a:ln>
        <a:effectLst/>
        <a:sp3d/>
      </c:spPr>
    </c:backWall>
    <c:plotArea>
      <c:layout>
        <c:manualLayout>
          <c:layoutTarget val="inner"/>
          <c:xMode val="edge"/>
          <c:yMode val="edge"/>
          <c:x val="3.5714276583935833E-2"/>
          <c:y val="0.23560090920425447"/>
          <c:w val="0.8111923992247676"/>
          <c:h val="0.64453719777110685"/>
        </c:manualLayout>
      </c:layout>
      <c:surface3DChart>
        <c:wireframe val="0"/>
        <c:ser>
          <c:idx val="0"/>
          <c:order val="0"/>
          <c:tx>
            <c:strRef>
              <c:f>'Pivot Table'!$B$102</c:f>
              <c:strCache>
                <c:ptCount val="1"/>
                <c:pt idx="0">
                  <c:v>Sum of Cnt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Table'!$A$103:$A$148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Table'!$B$103:$B$148</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8336-4443-92D0-E7C9C92DA524}"/>
            </c:ext>
          </c:extLst>
        </c:ser>
        <c:ser>
          <c:idx val="1"/>
          <c:order val="1"/>
          <c:tx>
            <c:strRef>
              <c:f>'Pivot Table'!$C$102</c:f>
              <c:strCache>
                <c:ptCount val="1"/>
                <c:pt idx="0">
                  <c:v>Sum of Registered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Table'!$A$103:$A$148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Table'!$C$103:$C$148</c:f>
              <c:numCache>
                <c:formatCode>General</c:formatCode>
                <c:ptCount val="45"/>
                <c:pt idx="0">
                  <c:v>654</c:v>
                </c:pt>
                <c:pt idx="1">
                  <c:v>670</c:v>
                </c:pt>
                <c:pt idx="2">
                  <c:v>1229</c:v>
                </c:pt>
                <c:pt idx="3">
                  <c:v>1454</c:v>
                </c:pt>
                <c:pt idx="4">
                  <c:v>1518</c:v>
                </c:pt>
                <c:pt idx="5">
                  <c:v>1518</c:v>
                </c:pt>
                <c:pt idx="6">
                  <c:v>1362</c:v>
                </c:pt>
                <c:pt idx="7">
                  <c:v>891</c:v>
                </c:pt>
                <c:pt idx="8">
                  <c:v>768</c:v>
                </c:pt>
                <c:pt idx="9">
                  <c:v>1280</c:v>
                </c:pt>
                <c:pt idx="10">
                  <c:v>1220</c:v>
                </c:pt>
                <c:pt idx="11">
                  <c:v>1137</c:v>
                </c:pt>
                <c:pt idx="12">
                  <c:v>1368</c:v>
                </c:pt>
                <c:pt idx="13">
                  <c:v>1367</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pt idx="31">
                  <c:v>1313</c:v>
                </c:pt>
                <c:pt idx="32">
                  <c:v>1454</c:v>
                </c:pt>
                <c:pt idx="33">
                  <c:v>1489</c:v>
                </c:pt>
                <c:pt idx="34">
                  <c:v>1620</c:v>
                </c:pt>
                <c:pt idx="35">
                  <c:v>905</c:v>
                </c:pt>
                <c:pt idx="36">
                  <c:v>1269</c:v>
                </c:pt>
                <c:pt idx="37">
                  <c:v>1592</c:v>
                </c:pt>
                <c:pt idx="38">
                  <c:v>1466</c:v>
                </c:pt>
                <c:pt idx="39">
                  <c:v>1552</c:v>
                </c:pt>
                <c:pt idx="40">
                  <c:v>1491</c:v>
                </c:pt>
                <c:pt idx="41">
                  <c:v>1597</c:v>
                </c:pt>
                <c:pt idx="42">
                  <c:v>1184</c:v>
                </c:pt>
                <c:pt idx="43">
                  <c:v>1192</c:v>
                </c:pt>
                <c:pt idx="44">
                  <c:v>143</c:v>
                </c:pt>
              </c:numCache>
            </c:numRef>
          </c:val>
          <c:extLst>
            <c:ext xmlns:c16="http://schemas.microsoft.com/office/drawing/2014/chart" uri="{C3380CC4-5D6E-409C-BE32-E72D297353CC}">
              <c16:uniqueId val="{00000001-8336-4443-92D0-E7C9C92DA524}"/>
            </c:ext>
          </c:extLst>
        </c:ser>
        <c:ser>
          <c:idx val="2"/>
          <c:order val="2"/>
          <c:tx>
            <c:strRef>
              <c:f>'Pivot Table'!$D$102</c:f>
              <c:strCache>
                <c:ptCount val="1"/>
                <c:pt idx="0">
                  <c:v>Sum of Casual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cat>
            <c:strRef>
              <c:f>'Pivot Table'!$A$103:$A$148</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'Pivot Table'!$D$103:$D$148</c:f>
              <c:numCache>
                <c:formatCode>General</c:formatCode>
                <c:ptCount val="45"/>
                <c:pt idx="0">
                  <c:v>331</c:v>
                </c:pt>
                <c:pt idx="1">
                  <c:v>131</c:v>
                </c:pt>
                <c:pt idx="2">
                  <c:v>120</c:v>
                </c:pt>
                <c:pt idx="3">
                  <c:v>108</c:v>
                </c:pt>
                <c:pt idx="4">
                  <c:v>82</c:v>
                </c:pt>
                <c:pt idx="5">
                  <c:v>88</c:v>
                </c:pt>
                <c:pt idx="6">
                  <c:v>148</c:v>
                </c:pt>
                <c:pt idx="7">
                  <c:v>68</c:v>
                </c:pt>
                <c:pt idx="8">
                  <c:v>54</c:v>
                </c:pt>
                <c:pt idx="9">
                  <c:v>41</c:v>
                </c:pt>
                <c:pt idx="10">
                  <c:v>43</c:v>
                </c:pt>
                <c:pt idx="11">
                  <c:v>25</c:v>
                </c:pt>
                <c:pt idx="12">
                  <c:v>38</c:v>
                </c:pt>
                <c:pt idx="13">
                  <c:v>54</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pt idx="31">
                  <c:v>47</c:v>
                </c:pt>
                <c:pt idx="32">
                  <c:v>72</c:v>
                </c:pt>
                <c:pt idx="33">
                  <c:v>61</c:v>
                </c:pt>
                <c:pt idx="34">
                  <c:v>88</c:v>
                </c:pt>
                <c:pt idx="35">
                  <c:v>100</c:v>
                </c:pt>
                <c:pt idx="36">
                  <c:v>354</c:v>
                </c:pt>
                <c:pt idx="37">
                  <c:v>120</c:v>
                </c:pt>
                <c:pt idx="38">
                  <c:v>64</c:v>
                </c:pt>
                <c:pt idx="39">
                  <c:v>53</c:v>
                </c:pt>
                <c:pt idx="40">
                  <c:v>47</c:v>
                </c:pt>
                <c:pt idx="41">
                  <c:v>149</c:v>
                </c:pt>
                <c:pt idx="42">
                  <c:v>288</c:v>
                </c:pt>
                <c:pt idx="43">
                  <c:v>397</c:v>
                </c:pt>
                <c:pt idx="44">
                  <c:v>8</c:v>
                </c:pt>
              </c:numCache>
            </c:numRef>
          </c:val>
          <c:extLst>
            <c:ext xmlns:c16="http://schemas.microsoft.com/office/drawing/2014/chart" uri="{C3380CC4-5D6E-409C-BE32-E72D297353CC}">
              <c16:uniqueId val="{00000002-8336-4443-92D0-E7C9C92DA524}"/>
            </c:ext>
          </c:extLst>
        </c:ser>
        <c:bandFmts>
          <c:band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7"/>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8"/>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9"/>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1"/>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2"/>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3"/>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
            <c:idx val="14"/>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effectLst>
                <a:outerShdw blurRad="57150" dist="19050" dir="5400000" algn="ctr" rotWithShape="0">
                  <a:srgbClr val="000000">
                    <a:alpha val="63000"/>
                  </a:srgbClr>
                </a:outerShdw>
              </a:effectLst>
              <a:sp3d/>
            </c:spPr>
          </c:bandFmt>
        </c:bandFmts>
        <c:axId val="1308399648"/>
        <c:axId val="1308395488"/>
        <c:axId val="1417461104"/>
      </c:surface3DChart>
      <c:catAx>
        <c:axId val="1308399648"/>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395488"/>
        <c:crosses val="autoZero"/>
        <c:auto val="1"/>
        <c:lblAlgn val="ctr"/>
        <c:lblOffset val="100"/>
        <c:noMultiLvlLbl val="0"/>
      </c:catAx>
      <c:valAx>
        <c:axId val="1308395488"/>
        <c:scaling>
          <c:orientation val="minMax"/>
        </c:scaling>
        <c:delete val="1"/>
        <c:axPos val="l"/>
        <c:numFmt formatCode="General" sourceLinked="1"/>
        <c:majorTickMark val="none"/>
        <c:minorTickMark val="none"/>
        <c:tickLblPos val="nextTo"/>
        <c:crossAx val="1308399648"/>
        <c:crosses val="autoZero"/>
        <c:crossBetween val="midCat"/>
      </c:valAx>
      <c:serAx>
        <c:axId val="1417461104"/>
        <c:scaling>
          <c:orientation val="minMax"/>
        </c:scaling>
        <c:delete val="0"/>
        <c:axPos val="b"/>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8395488"/>
        <c:crosses val="autoZero"/>
      </c:serAx>
      <c:spPr>
        <a:noFill/>
        <a:ln>
          <a:noFill/>
        </a:ln>
        <a:effectLst/>
      </c:spPr>
    </c:plotArea>
    <c:legend>
      <c:legendPos val="t"/>
      <c:layout>
        <c:manualLayout>
          <c:xMode val="edge"/>
          <c:yMode val="edge"/>
          <c:x val="8.0019664582353892E-2"/>
          <c:y val="0.20684454333585889"/>
          <c:w val="0.77802899631122913"/>
          <c:h val="0.14766455350206678"/>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30000">
          <a:schemeClr val="dk1">
            <a:lumMod val="62000"/>
            <a:lumOff val="38000"/>
          </a:schemeClr>
        </a:gs>
        <a:gs pos="100000">
          <a:schemeClr val="dk1">
            <a:lumMod val="85000"/>
            <a:lumOff val="15000"/>
          </a:schemeClr>
        </a:gs>
      </a:gsLst>
      <a:path path="circle">
        <a:fillToRect l="50000" t="50000" r="50000" b="50000"/>
      </a:path>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[NHIS PROJECT 1.xlsx]Pivot Table!PivotTable9</c:name>
    <c:fmtId val="11"/>
  </c:pivotSource>
  <c:chart>
    <c:title>
      <c:layout>
        <c:manualLayout>
          <c:xMode val="edge"/>
          <c:yMode val="edge"/>
          <c:x val="0.33350000000000002"/>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87671232876712E-2"/>
          <c:y val="0.30812007874015751"/>
          <c:w val="0.80856175169884592"/>
          <c:h val="0.58528762029746273"/>
        </c:manualLayout>
      </c:layout>
      <c:pie3DChart>
        <c:varyColors val="1"/>
        <c:ser>
          <c:idx val="0"/>
          <c:order val="0"/>
          <c:tx>
            <c:strRef>
              <c:f>'Pivot Table'!$B$18</c:f>
              <c:strCache>
                <c:ptCount val="1"/>
                <c:pt idx="0">
                  <c:v>Sum of Casual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DEC-47F6-B3CC-2A3542A2C92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DEC-47F6-B3CC-2A3542A2C92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DEC-47F6-B3CC-2A3542A2C92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DEC-47F6-B3CC-2A3542A2C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Table'!$A$19:$A$23</c:f>
              <c:strCache>
                <c:ptCount val="4"/>
                <c:pt idx="0">
                  <c:v>Cloudy</c:v>
                </c:pt>
                <c:pt idx="1">
                  <c:v>Sunny</c:v>
                </c:pt>
                <c:pt idx="2">
                  <c:v>Rainy</c:v>
                </c:pt>
                <c:pt idx="3">
                  <c:v>Stromy</c:v>
                </c:pt>
              </c:strCache>
            </c:strRef>
          </c:cat>
          <c:val>
            <c:numRef>
              <c:f>'Pivot Table'!$B$19:$B$23</c:f>
              <c:numCache>
                <c:formatCode>General</c:formatCode>
                <c:ptCount val="4"/>
                <c:pt idx="0">
                  <c:v>1894</c:v>
                </c:pt>
                <c:pt idx="1">
                  <c:v>1540</c:v>
                </c:pt>
                <c:pt idx="2">
                  <c:v>1343</c:v>
                </c:pt>
                <c:pt idx="3">
                  <c:v>144</c:v>
                </c:pt>
              </c:numCache>
            </c:numRef>
          </c:val>
          <c:extLst>
            <c:ext xmlns:c16="http://schemas.microsoft.com/office/drawing/2014/chart" uri="{C3380CC4-5D6E-409C-BE32-E72D297353CC}">
              <c16:uniqueId val="{00000008-0DEC-47F6-B3CC-2A3542A2C926}"/>
            </c:ext>
          </c:extLst>
        </c:ser>
        <c:ser>
          <c:idx val="1"/>
          <c:order val="1"/>
          <c:tx>
            <c:strRef>
              <c:f>'Pivot Table'!$C$18</c:f>
              <c:strCache>
                <c:ptCount val="1"/>
                <c:pt idx="0">
                  <c:v>Sum of Registered</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A-0DEC-47F6-B3CC-2A3542A2C92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0DEC-47F6-B3CC-2A3542A2C92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0DEC-47F6-B3CC-2A3542A2C92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0DEC-47F6-B3CC-2A3542A2C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Table'!$A$19:$A$23</c:f>
              <c:strCache>
                <c:ptCount val="4"/>
                <c:pt idx="0">
                  <c:v>Cloudy</c:v>
                </c:pt>
                <c:pt idx="1">
                  <c:v>Sunny</c:v>
                </c:pt>
                <c:pt idx="2">
                  <c:v>Rainy</c:v>
                </c:pt>
                <c:pt idx="3">
                  <c:v>Stromy</c:v>
                </c:pt>
              </c:strCache>
            </c:strRef>
          </c:cat>
          <c:val>
            <c:numRef>
              <c:f>'Pivot Table'!$C$19:$C$23</c:f>
              <c:numCache>
                <c:formatCode>General</c:formatCode>
                <c:ptCount val="4"/>
                <c:pt idx="0">
                  <c:v>19949</c:v>
                </c:pt>
                <c:pt idx="1">
                  <c:v>6729</c:v>
                </c:pt>
                <c:pt idx="2">
                  <c:v>24070</c:v>
                </c:pt>
                <c:pt idx="3">
                  <c:v>2635</c:v>
                </c:pt>
              </c:numCache>
            </c:numRef>
          </c:val>
          <c:extLst>
            <c:ext xmlns:c16="http://schemas.microsoft.com/office/drawing/2014/chart" uri="{C3380CC4-5D6E-409C-BE32-E72D297353CC}">
              <c16:uniqueId val="{00000011-0DEC-47F6-B3CC-2A3542A2C926}"/>
            </c:ext>
          </c:extLst>
        </c:ser>
        <c:ser>
          <c:idx val="2"/>
          <c:order val="2"/>
          <c:tx>
            <c:strRef>
              <c:f>'Pivot Table'!$D$18</c:f>
              <c:strCache>
                <c:ptCount val="1"/>
                <c:pt idx="0">
                  <c:v>Sum of Cnt</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0DEC-47F6-B3CC-2A3542A2C92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0DEC-47F6-B3CC-2A3542A2C926}"/>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0DEC-47F6-B3CC-2A3542A2C926}"/>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0DEC-47F6-B3CC-2A3542A2C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Table'!$A$19:$A$23</c:f>
              <c:strCache>
                <c:ptCount val="4"/>
                <c:pt idx="0">
                  <c:v>Cloudy</c:v>
                </c:pt>
                <c:pt idx="1">
                  <c:v>Sunny</c:v>
                </c:pt>
                <c:pt idx="2">
                  <c:v>Rainy</c:v>
                </c:pt>
                <c:pt idx="3">
                  <c:v>Stromy</c:v>
                </c:pt>
              </c:strCache>
            </c:strRef>
          </c:cat>
          <c:val>
            <c:numRef>
              <c:f>'Pivot Table'!$D$19:$D$23</c:f>
              <c:numCache>
                <c:formatCode>General</c:formatCode>
                <c:ptCount val="4"/>
                <c:pt idx="0">
                  <c:v>21843</c:v>
                </c:pt>
                <c:pt idx="1">
                  <c:v>8269</c:v>
                </c:pt>
                <c:pt idx="2">
                  <c:v>25413</c:v>
                </c:pt>
                <c:pt idx="3">
                  <c:v>2779</c:v>
                </c:pt>
              </c:numCache>
            </c:numRef>
          </c:val>
          <c:extLst>
            <c:ext xmlns:c16="http://schemas.microsoft.com/office/drawing/2014/chart" uri="{C3380CC4-5D6E-409C-BE32-E72D297353CC}">
              <c16:uniqueId val="{0000001A-0DEC-47F6-B3CC-2A3542A2C92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Temprature Impact on Rentals</cx:v>
        </cx:txData>
      </cx:tx>
      <cx:spPr>
        <a:gradFill>
          <a:gsLst>
            <a:gs pos="4000">
              <a:schemeClr val="accent6">
                <a:lumMod val="40000"/>
                <a:lumOff val="60000"/>
              </a:schemeClr>
            </a:gs>
            <a:gs pos="89000">
              <a:schemeClr val="accent6">
                <a:lumMod val="75000"/>
              </a:schemeClr>
            </a:gs>
          </a:gsLst>
          <a:path path="shape">
            <a:fillToRect l="50000" t="50000" r="50000" b="50000"/>
          </a:path>
        </a:gradFill>
      </cx:spPr>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1" i="1" u="none" strike="noStrike" baseline="0">
              <a:solidFill>
                <a:sysClr val="windowText" lastClr="000000"/>
              </a:solidFill>
              <a:latin typeface="Calibri" panose="020F0502020204030204"/>
            </a:rPr>
            <a:t>Temprature Impact on Rentals</a:t>
          </a:r>
        </a:p>
      </cx:txPr>
    </cx:title>
    <cx:plotArea>
      <cx:plotAreaRegion>
        <cx:plotSurface>
          <cx:spPr>
            <a:pattFill prst="pct90">
              <a:fgClr>
                <a:schemeClr val="tx1">
                  <a:lumMod val="95000"/>
                  <a:lumOff val="5000"/>
                </a:schemeClr>
              </a:fgClr>
              <a:bgClr>
                <a:schemeClr val="bg1"/>
              </a:bgClr>
            </a:pattFill>
          </cx:spPr>
        </cx:plotSurface>
        <cx:series layoutId="funnel" uniqueId="{FCC9FE3E-6FDE-4F77-BBA6-9DB78CF645DB}">
          <cx:tx>
            <cx:txData>
              <cx:f>_xlchart.v2.1</cx:f>
              <cx:v>% of Average count</cx:v>
            </cx:txData>
          </cx:tx>
          <cx:spPr>
            <a:gradFill flip="none" rotWithShape="1">
              <a:gsLst>
                <a:gs pos="30000">
                  <a:srgbClr val="55773B"/>
                </a:gs>
                <a:gs pos="12000">
                  <a:schemeClr val="accent6">
                    <a:lumMod val="50000"/>
                  </a:schemeClr>
                </a:gs>
                <a:gs pos="62000">
                  <a:srgbClr val="B8E08C"/>
                </a:gs>
              </a:gsLst>
              <a:lin ang="5400000" scaled="1"/>
              <a:tileRect/>
            </a:gradFill>
          </cx:spPr>
          <cx:dataLabels>
            <cx:spPr>
              <a:solidFill>
                <a:schemeClr val="accent5">
                  <a:lumMod val="50000"/>
                </a:schemeClr>
              </a:solidFill>
              <a:effectLst>
                <a:outerShdw blurRad="50800" dist="50800" dir="5400000" algn="ctr" rotWithShape="0">
                  <a:schemeClr val="bg1"/>
                </a:outerShdw>
              </a:effectLst>
            </cx:spPr>
            <cx:visibility seriesName="0" categoryName="0" value="1"/>
            <cx:separator>, </cx:separator>
          </cx:dataLabels>
          <cx:dataId val="0"/>
        </cx:series>
      </cx:plotAreaRegion>
      <cx:axis id="0">
        <cx:catScaling gapWidth="0.100000001"/>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tx1">
        <a:lumMod val="95000"/>
        <a:lumOff val="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Temprature Impact on Rentals</cx:v>
        </cx:txData>
      </cx:tx>
      <cx:spPr>
        <a:gradFill>
          <a:gsLst>
            <a:gs pos="4000">
              <a:schemeClr val="accent6">
                <a:lumMod val="40000"/>
                <a:lumOff val="60000"/>
              </a:schemeClr>
            </a:gs>
            <a:gs pos="89000">
              <a:schemeClr val="accent6">
                <a:lumMod val="75000"/>
              </a:schemeClr>
            </a:gs>
          </a:gsLst>
          <a:path path="shape">
            <a:fillToRect l="50000" t="50000" r="50000" b="50000"/>
          </a:path>
        </a:gradFill>
      </cx:spPr>
      <cx:txPr>
        <a:bodyPr spcFirstLastPara="1" vertOverflow="ellipsis" horzOverflow="overflow" wrap="square" lIns="0" tIns="0" rIns="0" bIns="0" anchor="ctr" anchorCtr="1"/>
        <a:lstStyle/>
        <a:p>
          <a:pPr algn="ctr" rtl="0">
            <a:defRPr>
              <a:solidFill>
                <a:sysClr val="windowText" lastClr="000000">
                  <a:lumMod val="65000"/>
                  <a:lumOff val="35000"/>
                </a:sysClr>
              </a:solidFill>
            </a:defRPr>
          </a:pPr>
          <a:r>
            <a:rPr lang="en-US" sz="1400" b="1" i="1" u="none" strike="noStrike" baseline="0">
              <a:solidFill>
                <a:sysClr val="windowText" lastClr="000000"/>
              </a:solidFill>
              <a:latin typeface="Calibri" panose="020F0502020204030204"/>
            </a:rPr>
            <a:t>Temprature Impact on Rentals</a:t>
          </a:r>
        </a:p>
      </cx:txPr>
    </cx:title>
    <cx:plotArea>
      <cx:plotAreaRegion>
        <cx:plotSurface>
          <cx:spPr>
            <a:pattFill prst="pct90">
              <a:fgClr>
                <a:schemeClr val="tx1">
                  <a:lumMod val="95000"/>
                  <a:lumOff val="5000"/>
                </a:schemeClr>
              </a:fgClr>
              <a:bgClr>
                <a:schemeClr val="bg1"/>
              </a:bgClr>
            </a:pattFill>
          </cx:spPr>
        </cx:plotSurface>
        <cx:series layoutId="funnel" uniqueId="{FCC9FE3E-6FDE-4F77-BBA6-9DB78CF645DB}">
          <cx:tx>
            <cx:txData>
              <cx:f>_xlchart.v2.4</cx:f>
              <cx:v>% of Average count</cx:v>
            </cx:txData>
          </cx:tx>
          <cx:spPr>
            <a:gradFill flip="none" rotWithShape="1">
              <a:gsLst>
                <a:gs pos="30000">
                  <a:srgbClr val="55773B"/>
                </a:gs>
                <a:gs pos="12000">
                  <a:schemeClr val="accent6">
                    <a:lumMod val="50000"/>
                  </a:schemeClr>
                </a:gs>
                <a:gs pos="62000">
                  <a:srgbClr val="B8E08C"/>
                </a:gs>
              </a:gsLst>
              <a:lin ang="5400000" scaled="1"/>
              <a:tileRect/>
            </a:gradFill>
          </cx:spPr>
          <cx:dataLabels>
            <cx:spPr>
              <a:solidFill>
                <a:schemeClr val="accent5">
                  <a:lumMod val="50000"/>
                </a:schemeClr>
              </a:solidFill>
              <a:effectLst>
                <a:outerShdw blurRad="50800" dist="50800" dir="5400000" algn="ctr" rotWithShape="0">
                  <a:schemeClr val="bg1"/>
                </a:outerShdw>
              </a:effectLst>
            </cx:spPr>
            <cx:visibility seriesName="0" categoryName="0" value="1"/>
            <cx:separator>, </cx:separator>
          </cx:dataLabels>
          <cx:dataId val="0"/>
        </cx:series>
      </cx:plotAreaRegion>
      <cx:axis id="0">
        <cx:catScaling gapWidth="0.100000001"/>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tx1">
        <a:lumMod val="95000"/>
        <a:lumOff val="5000"/>
      </a:schemeClr>
    </a:solidFill>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9.xml"/><Relationship Id="rId3" Type="http://schemas.openxmlformats.org/officeDocument/2006/relationships/image" Target="../media/image1.png"/><Relationship Id="rId7" Type="http://schemas.openxmlformats.org/officeDocument/2006/relationships/image" Target="../media/image5.png"/><Relationship Id="rId12" Type="http://schemas.microsoft.com/office/2014/relationships/chartEx" Target="../charts/chartEx2.xml"/><Relationship Id="rId2" Type="http://schemas.openxmlformats.org/officeDocument/2006/relationships/chart" Target="../charts/chart7.xml"/><Relationship Id="rId16" Type="http://schemas.openxmlformats.org/officeDocument/2006/relationships/image" Target="../media/image10.svg"/><Relationship Id="rId1" Type="http://schemas.openxmlformats.org/officeDocument/2006/relationships/chart" Target="../charts/chart6.xml"/><Relationship Id="rId6" Type="http://schemas.openxmlformats.org/officeDocument/2006/relationships/image" Target="../media/image4.svg"/><Relationship Id="rId11" Type="http://schemas.openxmlformats.org/officeDocument/2006/relationships/chart" Target="../charts/chart8.xml"/><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171450</xdr:colOff>
      <xdr:row>15</xdr:row>
      <xdr:rowOff>174624</xdr:rowOff>
    </xdr:from>
    <xdr:to>
      <xdr:col>10</xdr:col>
      <xdr:colOff>298450</xdr:colOff>
      <xdr:row>31</xdr:row>
      <xdr:rowOff>184149</xdr:rowOff>
    </xdr:to>
    <xdr:graphicFrame macro="">
      <xdr:nvGraphicFramePr>
        <xdr:cNvPr id="2" name="Chart 1">
          <a:extLst>
            <a:ext uri="{FF2B5EF4-FFF2-40B4-BE49-F238E27FC236}">
              <a16:creationId xmlns:a16="http://schemas.microsoft.com/office/drawing/2014/main" id="{F01669EE-2E6B-4ABA-B34B-830AB90A9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168274</xdr:colOff>
      <xdr:row>32</xdr:row>
      <xdr:rowOff>136525</xdr:rowOff>
    </xdr:from>
    <xdr:to>
      <xdr:col>10</xdr:col>
      <xdr:colOff>304800</xdr:colOff>
      <xdr:row>47</xdr:row>
      <xdr:rowOff>117475</xdr:rowOff>
    </xdr:to>
    <xdr:graphicFrame macro="">
      <xdr:nvGraphicFramePr>
        <xdr:cNvPr id="4" name="Chart 3">
          <a:extLst>
            <a:ext uri="{FF2B5EF4-FFF2-40B4-BE49-F238E27FC236}">
              <a16:creationId xmlns:a16="http://schemas.microsoft.com/office/drawing/2014/main" id="{39F23F20-D902-445C-A519-AE07563D2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158750</xdr:colOff>
      <xdr:row>49</xdr:row>
      <xdr:rowOff>149225</xdr:rowOff>
    </xdr:from>
    <xdr:to>
      <xdr:col>10</xdr:col>
      <xdr:colOff>342900</xdr:colOff>
      <xdr:row>69</xdr:row>
      <xdr:rowOff>139701</xdr:rowOff>
    </xdr:to>
    <xdr:graphicFrame macro="">
      <xdr:nvGraphicFramePr>
        <xdr:cNvPr id="5" name="Chart 4">
          <a:extLst>
            <a:ext uri="{FF2B5EF4-FFF2-40B4-BE49-F238E27FC236}">
              <a16:creationId xmlns:a16="http://schemas.microsoft.com/office/drawing/2014/main" id="{AA600A29-DAA1-46B8-AA18-C9938F62D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260350</xdr:colOff>
      <xdr:row>100</xdr:row>
      <xdr:rowOff>9524</xdr:rowOff>
    </xdr:from>
    <xdr:to>
      <xdr:col>13</xdr:col>
      <xdr:colOff>177800</xdr:colOff>
      <xdr:row>127</xdr:row>
      <xdr:rowOff>57149</xdr:rowOff>
    </xdr:to>
    <xdr:graphicFrame macro="">
      <xdr:nvGraphicFramePr>
        <xdr:cNvPr id="6" name="Chart 5">
          <a:extLst>
            <a:ext uri="{FF2B5EF4-FFF2-40B4-BE49-F238E27FC236}">
              <a16:creationId xmlns:a16="http://schemas.microsoft.com/office/drawing/2014/main" id="{B8ED5785-A789-4B9D-868A-5E0F1C3AD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193674</xdr:colOff>
      <xdr:row>151</xdr:row>
      <xdr:rowOff>174625</xdr:rowOff>
    </xdr:from>
    <xdr:to>
      <xdr:col>11</xdr:col>
      <xdr:colOff>31750</xdr:colOff>
      <xdr:row>169</xdr:row>
      <xdr:rowOff>6350</xdr:rowOff>
    </xdr:to>
    <xdr:graphicFrame macro="">
      <xdr:nvGraphicFramePr>
        <xdr:cNvPr id="8" name="Chart 7">
          <a:extLst>
            <a:ext uri="{FF2B5EF4-FFF2-40B4-BE49-F238E27FC236}">
              <a16:creationId xmlns:a16="http://schemas.microsoft.com/office/drawing/2014/main" id="{E06B3D3F-5C13-470B-98CE-C29C89233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200024</xdr:colOff>
      <xdr:row>170</xdr:row>
      <xdr:rowOff>177800</xdr:rowOff>
    </xdr:from>
    <xdr:to>
      <xdr:col>11</xdr:col>
      <xdr:colOff>12699</xdr:colOff>
      <xdr:row>196</xdr:row>
      <xdr:rowOff>152399</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FC701B6-D9F8-4FB2-8A8D-0475133E0D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156074" y="31483300"/>
              <a:ext cx="6334125" cy="4762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279400</xdr:colOff>
      <xdr:row>0</xdr:row>
      <xdr:rowOff>139700</xdr:rowOff>
    </xdr:from>
    <xdr:to>
      <xdr:col>4</xdr:col>
      <xdr:colOff>38100</xdr:colOff>
      <xdr:row>14</xdr:row>
      <xdr:rowOff>85725</xdr:rowOff>
    </xdr:to>
    <mc:AlternateContent xmlns:mc="http://schemas.openxmlformats.org/markup-compatibility/2006" xmlns:a14="http://schemas.microsoft.com/office/drawing/2010/main">
      <mc:Choice Requires="a14">
        <xdr:graphicFrame macro="">
          <xdr:nvGraphicFramePr>
            <xdr:cNvPr id="9" name="Dteday">
              <a:extLst>
                <a:ext uri="{FF2B5EF4-FFF2-40B4-BE49-F238E27FC236}">
                  <a16:creationId xmlns:a16="http://schemas.microsoft.com/office/drawing/2014/main" id="{5FAE9F98-C0B3-4D36-9317-AA8CCDDE31B6}"/>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2178050" y="139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247650</xdr:colOff>
      <xdr:row>0</xdr:row>
      <xdr:rowOff>146050</xdr:rowOff>
    </xdr:from>
    <xdr:to>
      <xdr:col>8</xdr:col>
      <xdr:colOff>152400</xdr:colOff>
      <xdr:row>14</xdr:row>
      <xdr:rowOff>92075</xdr:rowOff>
    </xdr:to>
    <mc:AlternateContent xmlns:mc="http://schemas.openxmlformats.org/markup-compatibility/2006" xmlns:a14="http://schemas.microsoft.com/office/drawing/2010/main">
      <mc:Choice Requires="a14">
        <xdr:graphicFrame macro="">
          <xdr:nvGraphicFramePr>
            <xdr:cNvPr id="14" name="Time">
              <a:extLst>
                <a:ext uri="{FF2B5EF4-FFF2-40B4-BE49-F238E27FC236}">
                  <a16:creationId xmlns:a16="http://schemas.microsoft.com/office/drawing/2014/main" id="{4BE26926-CACC-4E19-BE7F-B5F9462C4218}"/>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5892800" y="146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317500</xdr:colOff>
      <xdr:row>0</xdr:row>
      <xdr:rowOff>139700</xdr:rowOff>
    </xdr:from>
    <xdr:to>
      <xdr:col>6</xdr:col>
      <xdr:colOff>215900</xdr:colOff>
      <xdr:row>14</xdr:row>
      <xdr:rowOff>85725</xdr:rowOff>
    </xdr:to>
    <mc:AlternateContent xmlns:mc="http://schemas.openxmlformats.org/markup-compatibility/2006" xmlns:a14="http://schemas.microsoft.com/office/drawing/2010/main">
      <mc:Choice Requires="a14">
        <xdr:graphicFrame macro="">
          <xdr:nvGraphicFramePr>
            <xdr:cNvPr id="17" name="Days">
              <a:extLst>
                <a:ext uri="{FF2B5EF4-FFF2-40B4-BE49-F238E27FC236}">
                  <a16:creationId xmlns:a16="http://schemas.microsoft.com/office/drawing/2014/main" id="{7D4C8294-3F34-4077-824E-BF961F1F6F05}"/>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4032250" y="139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234950</xdr:colOff>
      <xdr:row>0</xdr:row>
      <xdr:rowOff>139700</xdr:rowOff>
    </xdr:from>
    <xdr:to>
      <xdr:col>14</xdr:col>
      <xdr:colOff>190500</xdr:colOff>
      <xdr:row>14</xdr:row>
      <xdr:rowOff>85725</xdr:rowOff>
    </xdr:to>
    <mc:AlternateContent xmlns:mc="http://schemas.openxmlformats.org/markup-compatibility/2006" xmlns:a14="http://schemas.microsoft.com/office/drawing/2010/main">
      <mc:Choice Requires="a14">
        <xdr:graphicFrame macro="">
          <xdr:nvGraphicFramePr>
            <xdr:cNvPr id="19" name="Temp">
              <a:extLst>
                <a:ext uri="{FF2B5EF4-FFF2-40B4-BE49-F238E27FC236}">
                  <a16:creationId xmlns:a16="http://schemas.microsoft.com/office/drawing/2014/main" id="{AB069AB5-6EEE-454F-8E30-9619F137D8FA}"/>
                </a:ext>
              </a:extLst>
            </xdr:cNvPr>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mlns="">
        <xdr:sp macro="" textlink="">
          <xdr:nvSpPr>
            <xdr:cNvPr id="0" name=""/>
            <xdr:cNvSpPr>
              <a:spLocks noTextEdit="1"/>
            </xdr:cNvSpPr>
          </xdr:nvSpPr>
          <xdr:spPr>
            <a:xfrm>
              <a:off x="9607550" y="139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184150</xdr:colOff>
      <xdr:row>0</xdr:row>
      <xdr:rowOff>139700</xdr:rowOff>
    </xdr:from>
    <xdr:to>
      <xdr:col>10</xdr:col>
      <xdr:colOff>209550</xdr:colOff>
      <xdr:row>14</xdr:row>
      <xdr:rowOff>85725</xdr:rowOff>
    </xdr:to>
    <mc:AlternateContent xmlns:mc="http://schemas.openxmlformats.org/markup-compatibility/2006" xmlns:a14="http://schemas.microsoft.com/office/drawing/2010/main">
      <mc:Choice Requires="a14">
        <xdr:graphicFrame macro="">
          <xdr:nvGraphicFramePr>
            <xdr:cNvPr id="20" name="Weather">
              <a:extLst>
                <a:ext uri="{FF2B5EF4-FFF2-40B4-BE49-F238E27FC236}">
                  <a16:creationId xmlns:a16="http://schemas.microsoft.com/office/drawing/2014/main" id="{719F9AE8-A2C1-4756-84AB-7EADF424C919}"/>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mlns="">
        <xdr:sp macro="" textlink="">
          <xdr:nvSpPr>
            <xdr:cNvPr id="0" name=""/>
            <xdr:cNvSpPr>
              <a:spLocks noTextEdit="1"/>
            </xdr:cNvSpPr>
          </xdr:nvSpPr>
          <xdr:spPr>
            <a:xfrm>
              <a:off x="7753350" y="139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25400</xdr:colOff>
      <xdr:row>0</xdr:row>
      <xdr:rowOff>0</xdr:rowOff>
    </xdr:from>
    <xdr:to>
      <xdr:col>22</xdr:col>
      <xdr:colOff>368300</xdr:colOff>
      <xdr:row>50</xdr:row>
      <xdr:rowOff>158750</xdr:rowOff>
    </xdr:to>
    <xdr:sp macro="" textlink="">
      <xdr:nvSpPr>
        <xdr:cNvPr id="2" name="Rectangle: Rounded Corners 1">
          <a:extLst>
            <a:ext uri="{FF2B5EF4-FFF2-40B4-BE49-F238E27FC236}">
              <a16:creationId xmlns:a16="http://schemas.microsoft.com/office/drawing/2014/main" id="{CC120FB2-CD30-4FB0-9D7C-9A60E1FE17B3}"/>
            </a:ext>
          </a:extLst>
        </xdr:cNvPr>
        <xdr:cNvSpPr/>
      </xdr:nvSpPr>
      <xdr:spPr>
        <a:xfrm>
          <a:off x="1244600" y="0"/>
          <a:ext cx="12534900" cy="9366250"/>
        </a:xfrm>
        <a:prstGeom prst="roundRect">
          <a:avLst>
            <a:gd name="adj" fmla="val 331"/>
          </a:avLst>
        </a:prstGeom>
        <a:solidFill>
          <a:schemeClr val="bg1">
            <a:lumMod val="85000"/>
          </a:schemeClr>
        </a:solidFill>
        <a:ln/>
        <a:scene3d>
          <a:camera prst="perspective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95250</xdr:colOff>
      <xdr:row>0</xdr:row>
      <xdr:rowOff>50800</xdr:rowOff>
    </xdr:from>
    <xdr:to>
      <xdr:col>22</xdr:col>
      <xdr:colOff>292100</xdr:colOff>
      <xdr:row>3</xdr:row>
      <xdr:rowOff>114300</xdr:rowOff>
    </xdr:to>
    <xdr:sp macro="" textlink="">
      <xdr:nvSpPr>
        <xdr:cNvPr id="3" name="Rectangle: Rounded Corners 2">
          <a:extLst>
            <a:ext uri="{FF2B5EF4-FFF2-40B4-BE49-F238E27FC236}">
              <a16:creationId xmlns:a16="http://schemas.microsoft.com/office/drawing/2014/main" id="{A2A913CD-FC37-421E-B547-5E3D8CD6F5F0}"/>
            </a:ext>
          </a:extLst>
        </xdr:cNvPr>
        <xdr:cNvSpPr/>
      </xdr:nvSpPr>
      <xdr:spPr>
        <a:xfrm>
          <a:off x="1314450" y="50800"/>
          <a:ext cx="12388850" cy="615950"/>
        </a:xfrm>
        <a:prstGeom prst="roundRect">
          <a:avLst/>
        </a:prstGeom>
        <a:solidFill>
          <a:srgbClr val="0000CC"/>
        </a:solidFill>
        <a:effectLst>
          <a:glow rad="228600">
            <a:schemeClr val="accent3">
              <a:satMod val="175000"/>
              <a:alpha val="40000"/>
            </a:schemeClr>
          </a:glow>
          <a:outerShdw blurRad="50800" dist="38100" dir="5400000" algn="t" rotWithShape="0">
            <a:prstClr val="black">
              <a:alpha val="40000"/>
            </a:prstClr>
          </a:outerShdw>
          <a:softEdge rad="12700"/>
        </a:effectLst>
        <a:scene3d>
          <a:camera prst="perspective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IN" sz="1100" b="1" i="1" u="none">
              <a:solidFill>
                <a:schemeClr val="accent4">
                  <a:lumMod val="60000"/>
                  <a:lumOff val="40000"/>
                </a:schemeClr>
              </a:solidFill>
            </a:rPr>
            <a:t>                          </a:t>
          </a:r>
          <a:r>
            <a:rPr lang="en-IN" sz="3200" b="1" i="1" u="none">
              <a:solidFill>
                <a:schemeClr val="accent4">
                  <a:lumMod val="60000"/>
                  <a:lumOff val="40000"/>
                </a:schemeClr>
              </a:solidFill>
              <a:latin typeface="Footlight MT Light" panose="0204060206030A020304" pitchFamily="18" charset="0"/>
              <a:cs typeface="Dubai Light" panose="020B0303030403030204" pitchFamily="34" charset="-78"/>
            </a:rPr>
            <a:t>Bike Sharing Demand Analysis</a:t>
          </a:r>
        </a:p>
      </xdr:txBody>
    </xdr:sp>
    <xdr:clientData/>
  </xdr:twoCellAnchor>
  <xdr:twoCellAnchor>
    <xdr:from>
      <xdr:col>0</xdr:col>
      <xdr:colOff>76200</xdr:colOff>
      <xdr:row>0</xdr:row>
      <xdr:rowOff>57150</xdr:rowOff>
    </xdr:from>
    <xdr:to>
      <xdr:col>2</xdr:col>
      <xdr:colOff>88900</xdr:colOff>
      <xdr:row>50</xdr:row>
      <xdr:rowOff>177800</xdr:rowOff>
    </xdr:to>
    <xdr:sp macro="" textlink="">
      <xdr:nvSpPr>
        <xdr:cNvPr id="4" name="Rectangle: Rounded Corners 3">
          <a:extLst>
            <a:ext uri="{FF2B5EF4-FFF2-40B4-BE49-F238E27FC236}">
              <a16:creationId xmlns:a16="http://schemas.microsoft.com/office/drawing/2014/main" id="{6E4B18AE-2223-4063-B564-D2C9F4AB21D4}"/>
            </a:ext>
          </a:extLst>
        </xdr:cNvPr>
        <xdr:cNvSpPr/>
      </xdr:nvSpPr>
      <xdr:spPr>
        <a:xfrm>
          <a:off x="76200" y="57150"/>
          <a:ext cx="1231900" cy="9328150"/>
        </a:xfrm>
        <a:prstGeom prst="roundRect">
          <a:avLst/>
        </a:prstGeom>
        <a:solidFill>
          <a:srgbClr val="0000CC"/>
        </a:solidFill>
        <a:effectLst>
          <a:glow rad="228600">
            <a:schemeClr val="accent3">
              <a:satMod val="175000"/>
              <a:alpha val="40000"/>
            </a:schemeClr>
          </a:glow>
          <a:outerShdw blurRad="50800" dist="38100" dir="2700000" algn="tl" rotWithShape="0">
            <a:prstClr val="black">
              <a:alpha val="40000"/>
            </a:prstClr>
          </a:outerShdw>
          <a:softEdge rad="12700"/>
        </a:effectLst>
        <a:scene3d>
          <a:camera prst="perspective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3</xdr:row>
      <xdr:rowOff>165100</xdr:rowOff>
    </xdr:from>
    <xdr:to>
      <xdr:col>5</xdr:col>
      <xdr:colOff>258324</xdr:colOff>
      <xdr:row>8</xdr:row>
      <xdr:rowOff>6350</xdr:rowOff>
    </xdr:to>
    <xdr:sp macro="" textlink="">
      <xdr:nvSpPr>
        <xdr:cNvPr id="5" name="Rectangle: Rounded Corners 4">
          <a:extLst>
            <a:ext uri="{FF2B5EF4-FFF2-40B4-BE49-F238E27FC236}">
              <a16:creationId xmlns:a16="http://schemas.microsoft.com/office/drawing/2014/main" id="{09C036DA-9ED6-4903-8719-E772845B8BB9}"/>
            </a:ext>
          </a:extLst>
        </xdr:cNvPr>
        <xdr:cNvSpPr/>
      </xdr:nvSpPr>
      <xdr:spPr>
        <a:xfrm>
          <a:off x="1333500" y="717550"/>
          <a:ext cx="1972824" cy="7620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215900</xdr:colOff>
      <xdr:row>3</xdr:row>
      <xdr:rowOff>158750</xdr:rowOff>
    </xdr:from>
    <xdr:to>
      <xdr:col>8</xdr:col>
      <xdr:colOff>359924</xdr:colOff>
      <xdr:row>8</xdr:row>
      <xdr:rowOff>0</xdr:rowOff>
    </xdr:to>
    <xdr:sp macro="" textlink="">
      <xdr:nvSpPr>
        <xdr:cNvPr id="6" name="Rectangle: Rounded Corners 5">
          <a:extLst>
            <a:ext uri="{FF2B5EF4-FFF2-40B4-BE49-F238E27FC236}">
              <a16:creationId xmlns:a16="http://schemas.microsoft.com/office/drawing/2014/main" id="{F709BB5A-E15D-44F6-9E31-77ABDB3C528D}"/>
            </a:ext>
          </a:extLst>
        </xdr:cNvPr>
        <xdr:cNvSpPr/>
      </xdr:nvSpPr>
      <xdr:spPr>
        <a:xfrm>
          <a:off x="3263900" y="711200"/>
          <a:ext cx="1972824" cy="7620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342900</xdr:colOff>
      <xdr:row>3</xdr:row>
      <xdr:rowOff>165100</xdr:rowOff>
    </xdr:from>
    <xdr:to>
      <xdr:col>11</xdr:col>
      <xdr:colOff>486924</xdr:colOff>
      <xdr:row>8</xdr:row>
      <xdr:rowOff>6350</xdr:rowOff>
    </xdr:to>
    <xdr:sp macro="" textlink="">
      <xdr:nvSpPr>
        <xdr:cNvPr id="7" name="Rectangle: Rounded Corners 6">
          <a:extLst>
            <a:ext uri="{FF2B5EF4-FFF2-40B4-BE49-F238E27FC236}">
              <a16:creationId xmlns:a16="http://schemas.microsoft.com/office/drawing/2014/main" id="{2B61B8E1-113B-40AE-A226-D930EF8F1BBA}"/>
            </a:ext>
          </a:extLst>
        </xdr:cNvPr>
        <xdr:cNvSpPr/>
      </xdr:nvSpPr>
      <xdr:spPr>
        <a:xfrm>
          <a:off x="5219700" y="717550"/>
          <a:ext cx="1972824" cy="7620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463550</xdr:colOff>
      <xdr:row>3</xdr:row>
      <xdr:rowOff>165100</xdr:rowOff>
    </xdr:from>
    <xdr:to>
      <xdr:col>14</xdr:col>
      <xdr:colOff>607574</xdr:colOff>
      <xdr:row>8</xdr:row>
      <xdr:rowOff>6350</xdr:rowOff>
    </xdr:to>
    <xdr:sp macro="" textlink="">
      <xdr:nvSpPr>
        <xdr:cNvPr id="10" name="Rectangle: Rounded Corners 9">
          <a:extLst>
            <a:ext uri="{FF2B5EF4-FFF2-40B4-BE49-F238E27FC236}">
              <a16:creationId xmlns:a16="http://schemas.microsoft.com/office/drawing/2014/main" id="{123A8C3F-4C0C-40A2-B301-183B4B6FB0B5}"/>
            </a:ext>
          </a:extLst>
        </xdr:cNvPr>
        <xdr:cNvSpPr/>
      </xdr:nvSpPr>
      <xdr:spPr>
        <a:xfrm>
          <a:off x="7169150" y="717550"/>
          <a:ext cx="1972824" cy="7620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8</xdr:row>
      <xdr:rowOff>44450</xdr:rowOff>
    </xdr:from>
    <xdr:to>
      <xdr:col>8</xdr:col>
      <xdr:colOff>368300</xdr:colOff>
      <xdr:row>22</xdr:row>
      <xdr:rowOff>31750</xdr:rowOff>
    </xdr:to>
    <xdr:sp macro="" textlink="">
      <xdr:nvSpPr>
        <xdr:cNvPr id="11" name="Rectangle: Rounded Corners 10">
          <a:extLst>
            <a:ext uri="{FF2B5EF4-FFF2-40B4-BE49-F238E27FC236}">
              <a16:creationId xmlns:a16="http://schemas.microsoft.com/office/drawing/2014/main" id="{52F1728C-A8A8-46E1-910F-F59B99445909}"/>
            </a:ext>
          </a:extLst>
        </xdr:cNvPr>
        <xdr:cNvSpPr/>
      </xdr:nvSpPr>
      <xdr:spPr>
        <a:xfrm>
          <a:off x="1333500" y="1517650"/>
          <a:ext cx="3911600" cy="25654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101600</xdr:colOff>
      <xdr:row>22</xdr:row>
      <xdr:rowOff>69850</xdr:rowOff>
    </xdr:from>
    <xdr:to>
      <xdr:col>8</xdr:col>
      <xdr:colOff>355600</xdr:colOff>
      <xdr:row>36</xdr:row>
      <xdr:rowOff>57150</xdr:rowOff>
    </xdr:to>
    <xdr:sp macro="" textlink="">
      <xdr:nvSpPr>
        <xdr:cNvPr id="12" name="Rectangle: Rounded Corners 11">
          <a:extLst>
            <a:ext uri="{FF2B5EF4-FFF2-40B4-BE49-F238E27FC236}">
              <a16:creationId xmlns:a16="http://schemas.microsoft.com/office/drawing/2014/main" id="{38FE8645-C2EA-4BFC-9119-5D9983D6A982}"/>
            </a:ext>
          </a:extLst>
        </xdr:cNvPr>
        <xdr:cNvSpPr/>
      </xdr:nvSpPr>
      <xdr:spPr>
        <a:xfrm>
          <a:off x="1320800" y="4121150"/>
          <a:ext cx="3911600" cy="25654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38099</xdr:colOff>
      <xdr:row>3</xdr:row>
      <xdr:rowOff>171450</xdr:rowOff>
    </xdr:from>
    <xdr:to>
      <xdr:col>22</xdr:col>
      <xdr:colOff>333358</xdr:colOff>
      <xdr:row>36</xdr:row>
      <xdr:rowOff>63500</xdr:rowOff>
    </xdr:to>
    <xdr:sp macro="" textlink="">
      <xdr:nvSpPr>
        <xdr:cNvPr id="14" name="Rectangle 13">
          <a:extLst>
            <a:ext uri="{FF2B5EF4-FFF2-40B4-BE49-F238E27FC236}">
              <a16:creationId xmlns:a16="http://schemas.microsoft.com/office/drawing/2014/main" id="{82813B3B-5281-4515-861B-00C3C398C133}"/>
            </a:ext>
          </a:extLst>
        </xdr:cNvPr>
        <xdr:cNvSpPr/>
      </xdr:nvSpPr>
      <xdr:spPr>
        <a:xfrm>
          <a:off x="9182099" y="723900"/>
          <a:ext cx="4562459" cy="59690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perspective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400050</xdr:colOff>
      <xdr:row>8</xdr:row>
      <xdr:rowOff>63500</xdr:rowOff>
    </xdr:from>
    <xdr:to>
      <xdr:col>15</xdr:col>
      <xdr:colOff>31562</xdr:colOff>
      <xdr:row>36</xdr:row>
      <xdr:rowOff>50800</xdr:rowOff>
    </xdr:to>
    <xdr:sp macro="" textlink="">
      <xdr:nvSpPr>
        <xdr:cNvPr id="15" name="Rectangle 14">
          <a:extLst>
            <a:ext uri="{FF2B5EF4-FFF2-40B4-BE49-F238E27FC236}">
              <a16:creationId xmlns:a16="http://schemas.microsoft.com/office/drawing/2014/main" id="{16ADBE9D-49A9-4580-9F69-0F5CE681944A}"/>
            </a:ext>
          </a:extLst>
        </xdr:cNvPr>
        <xdr:cNvSpPr/>
      </xdr:nvSpPr>
      <xdr:spPr>
        <a:xfrm>
          <a:off x="5276850" y="1536700"/>
          <a:ext cx="3898712" cy="51435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101600</xdr:colOff>
      <xdr:row>8</xdr:row>
      <xdr:rowOff>44451</xdr:rowOff>
    </xdr:from>
    <xdr:to>
      <xdr:col>8</xdr:col>
      <xdr:colOff>361950</xdr:colOff>
      <xdr:row>22</xdr:row>
      <xdr:rowOff>12700</xdr:rowOff>
    </xdr:to>
    <xdr:graphicFrame macro="">
      <xdr:nvGraphicFramePr>
        <xdr:cNvPr id="13" name="Chart 12">
          <a:extLst>
            <a:ext uri="{FF2B5EF4-FFF2-40B4-BE49-F238E27FC236}">
              <a16:creationId xmlns:a16="http://schemas.microsoft.com/office/drawing/2014/main" id="{26C0AABD-57B8-46FC-91CC-902526099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120650</xdr:colOff>
      <xdr:row>36</xdr:row>
      <xdr:rowOff>88900</xdr:rowOff>
    </xdr:from>
    <xdr:to>
      <xdr:col>8</xdr:col>
      <xdr:colOff>374650</xdr:colOff>
      <xdr:row>50</xdr:row>
      <xdr:rowOff>76200</xdr:rowOff>
    </xdr:to>
    <xdr:sp macro="" textlink="">
      <xdr:nvSpPr>
        <xdr:cNvPr id="16" name="Rectangle: Rounded Corners 15">
          <a:extLst>
            <a:ext uri="{FF2B5EF4-FFF2-40B4-BE49-F238E27FC236}">
              <a16:creationId xmlns:a16="http://schemas.microsoft.com/office/drawing/2014/main" id="{4E368270-EBDD-42E2-A460-F318EB5F8E37}"/>
            </a:ext>
          </a:extLst>
        </xdr:cNvPr>
        <xdr:cNvSpPr/>
      </xdr:nvSpPr>
      <xdr:spPr>
        <a:xfrm>
          <a:off x="1339850" y="6718300"/>
          <a:ext cx="3911600" cy="25654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36</xdr:row>
      <xdr:rowOff>76200</xdr:rowOff>
    </xdr:from>
    <xdr:to>
      <xdr:col>15</xdr:col>
      <xdr:colOff>63500</xdr:colOff>
      <xdr:row>50</xdr:row>
      <xdr:rowOff>63500</xdr:rowOff>
    </xdr:to>
    <xdr:sp macro="" textlink="">
      <xdr:nvSpPr>
        <xdr:cNvPr id="23" name="Rectangle: Rounded Corners 22">
          <a:extLst>
            <a:ext uri="{FF2B5EF4-FFF2-40B4-BE49-F238E27FC236}">
              <a16:creationId xmlns:a16="http://schemas.microsoft.com/office/drawing/2014/main" id="{26D40B24-657F-4D74-8A6A-5F2447FEF893}"/>
            </a:ext>
          </a:extLst>
        </xdr:cNvPr>
        <xdr:cNvSpPr/>
      </xdr:nvSpPr>
      <xdr:spPr>
        <a:xfrm>
          <a:off x="5295900" y="6705600"/>
          <a:ext cx="3911600" cy="25654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171450</xdr:colOff>
      <xdr:row>36</xdr:row>
      <xdr:rowOff>82550</xdr:rowOff>
    </xdr:from>
    <xdr:to>
      <xdr:col>22</xdr:col>
      <xdr:colOff>304800</xdr:colOff>
      <xdr:row>50</xdr:row>
      <xdr:rowOff>69850</xdr:rowOff>
    </xdr:to>
    <xdr:sp macro="" textlink="">
      <xdr:nvSpPr>
        <xdr:cNvPr id="24" name="Rectangle: Rounded Corners 23">
          <a:extLst>
            <a:ext uri="{FF2B5EF4-FFF2-40B4-BE49-F238E27FC236}">
              <a16:creationId xmlns:a16="http://schemas.microsoft.com/office/drawing/2014/main" id="{50D3BEBA-8BFF-4CB2-8053-56DDC15D0E50}"/>
            </a:ext>
          </a:extLst>
        </xdr:cNvPr>
        <xdr:cNvSpPr/>
      </xdr:nvSpPr>
      <xdr:spPr>
        <a:xfrm>
          <a:off x="9315450" y="6711950"/>
          <a:ext cx="4400550" cy="2565400"/>
        </a:xfrm>
        <a:prstGeom prst="round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5400000" scaled="1"/>
          <a:tileRect/>
        </a:gradFill>
        <a:ln>
          <a:solidFill>
            <a:schemeClr val="accent5">
              <a:lumMod val="40000"/>
              <a:lumOff val="60000"/>
            </a:schemeClr>
          </a:solidFill>
        </a:ln>
        <a:effectLst>
          <a:glow rad="228600">
            <a:schemeClr val="accent1">
              <a:satMod val="175000"/>
              <a:alpha val="40000"/>
            </a:schemeClr>
          </a:glow>
          <a:outerShdw blurRad="50800" dist="38100" dir="18900000" algn="bl" rotWithShape="0">
            <a:prstClr val="black">
              <a:alpha val="40000"/>
            </a:prstClr>
          </a:outerShdw>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101600</xdr:colOff>
      <xdr:row>22</xdr:row>
      <xdr:rowOff>19050</xdr:rowOff>
    </xdr:from>
    <xdr:to>
      <xdr:col>8</xdr:col>
      <xdr:colOff>368300</xdr:colOff>
      <xdr:row>36</xdr:row>
      <xdr:rowOff>82550</xdr:rowOff>
    </xdr:to>
    <xdr:graphicFrame macro="">
      <xdr:nvGraphicFramePr>
        <xdr:cNvPr id="25" name="Chart 24">
          <a:extLst>
            <a:ext uri="{FF2B5EF4-FFF2-40B4-BE49-F238E27FC236}">
              <a16:creationId xmlns:a16="http://schemas.microsoft.com/office/drawing/2014/main" id="{EC76321D-775D-4BD8-810D-688A74B46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311150</xdr:colOff>
      <xdr:row>0</xdr:row>
      <xdr:rowOff>133350</xdr:rowOff>
    </xdr:from>
    <xdr:to>
      <xdr:col>3</xdr:col>
      <xdr:colOff>273050</xdr:colOff>
      <xdr:row>3</xdr:row>
      <xdr:rowOff>25400</xdr:rowOff>
    </xdr:to>
    <xdr:pic>
      <xdr:nvPicPr>
        <xdr:cNvPr id="9" name="Graphic 8" descr="Rocket with solid fill">
          <a:extLst>
            <a:ext uri="{FF2B5EF4-FFF2-40B4-BE49-F238E27FC236}">
              <a16:creationId xmlns:a16="http://schemas.microsoft.com/office/drawing/2014/main" id="{2DBEF649-6251-45A0-8CF4-D5F9CF806F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530350" y="133350"/>
          <a:ext cx="571500" cy="444500"/>
        </a:xfrm>
        <a:prstGeom prst="rect">
          <a:avLst/>
        </a:prstGeom>
      </xdr:spPr>
    </xdr:pic>
    <xdr:clientData/>
  </xdr:twoCellAnchor>
  <xdr:twoCellAnchor editAs="oneCell">
    <xdr:from>
      <xdr:col>2</xdr:col>
      <xdr:colOff>266700</xdr:colOff>
      <xdr:row>4</xdr:row>
      <xdr:rowOff>146050</xdr:rowOff>
    </xdr:from>
    <xdr:to>
      <xdr:col>3</xdr:col>
      <xdr:colOff>139700</xdr:colOff>
      <xdr:row>7</xdr:row>
      <xdr:rowOff>76200</xdr:rowOff>
    </xdr:to>
    <xdr:pic>
      <xdr:nvPicPr>
        <xdr:cNvPr id="32" name="Graphic 31" descr="Theatre with solid fill">
          <a:extLst>
            <a:ext uri="{FF2B5EF4-FFF2-40B4-BE49-F238E27FC236}">
              <a16:creationId xmlns:a16="http://schemas.microsoft.com/office/drawing/2014/main" id="{CC8B5853-BE3D-49A4-B1A2-A5BD7613FC1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85900" y="882650"/>
          <a:ext cx="482600" cy="482600"/>
        </a:xfrm>
        <a:prstGeom prst="rect">
          <a:avLst/>
        </a:prstGeom>
      </xdr:spPr>
    </xdr:pic>
    <xdr:clientData/>
  </xdr:twoCellAnchor>
  <xdr:twoCellAnchor>
    <xdr:from>
      <xdr:col>3</xdr:col>
      <xdr:colOff>31750</xdr:colOff>
      <xdr:row>4</xdr:row>
      <xdr:rowOff>63500</xdr:rowOff>
    </xdr:from>
    <xdr:to>
      <xdr:col>5</xdr:col>
      <xdr:colOff>177800</xdr:colOff>
      <xdr:row>7</xdr:row>
      <xdr:rowOff>152400</xdr:rowOff>
    </xdr:to>
    <xdr:sp macro="" textlink="">
      <xdr:nvSpPr>
        <xdr:cNvPr id="33" name="Rectangle 32">
          <a:extLst>
            <a:ext uri="{FF2B5EF4-FFF2-40B4-BE49-F238E27FC236}">
              <a16:creationId xmlns:a16="http://schemas.microsoft.com/office/drawing/2014/main" id="{DA241E07-7179-437F-AF40-318C398837A9}"/>
            </a:ext>
          </a:extLst>
        </xdr:cNvPr>
        <xdr:cNvSpPr/>
      </xdr:nvSpPr>
      <xdr:spPr>
        <a:xfrm>
          <a:off x="1860550" y="800100"/>
          <a:ext cx="1365250" cy="641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bg1"/>
              </a:solidFill>
              <a:effectLst/>
              <a:latin typeface="+mn-lt"/>
              <a:ea typeface="+mn-ea"/>
              <a:cs typeface="+mn-cs"/>
            </a:rPr>
            <a:t>Total Count</a:t>
          </a:r>
          <a:r>
            <a:rPr lang="en-IN" sz="1600" b="1" i="1">
              <a:solidFill>
                <a:schemeClr val="bg1"/>
              </a:solidFill>
            </a:rPr>
            <a:t> </a:t>
          </a:r>
          <a:r>
            <a:rPr lang="en-IN" sz="1600" b="1" i="1" u="none" strike="noStrike">
              <a:solidFill>
                <a:schemeClr val="bg1"/>
              </a:solidFill>
              <a:effectLst/>
              <a:latin typeface="+mn-lt"/>
              <a:ea typeface="+mn-ea"/>
              <a:cs typeface="+mn-cs"/>
            </a:rPr>
            <a:t>58304</a:t>
          </a:r>
          <a:r>
            <a:rPr lang="en-IN" sz="1600" b="1" i="1">
              <a:solidFill>
                <a:schemeClr val="bg1"/>
              </a:solidFill>
            </a:rPr>
            <a:t> </a:t>
          </a:r>
        </a:p>
      </xdr:txBody>
    </xdr:sp>
    <xdr:clientData/>
  </xdr:twoCellAnchor>
  <xdr:twoCellAnchor editAs="oneCell">
    <xdr:from>
      <xdr:col>5</xdr:col>
      <xdr:colOff>241300</xdr:colOff>
      <xdr:row>4</xdr:row>
      <xdr:rowOff>95249</xdr:rowOff>
    </xdr:from>
    <xdr:to>
      <xdr:col>6</xdr:col>
      <xdr:colOff>196850</xdr:colOff>
      <xdr:row>8</xdr:row>
      <xdr:rowOff>0</xdr:rowOff>
    </xdr:to>
    <xdr:pic>
      <xdr:nvPicPr>
        <xdr:cNvPr id="35" name="Graphic 34" descr="Boardroom with solid fill">
          <a:extLst>
            <a:ext uri="{FF2B5EF4-FFF2-40B4-BE49-F238E27FC236}">
              <a16:creationId xmlns:a16="http://schemas.microsoft.com/office/drawing/2014/main" id="{2BA2BA3C-206B-4226-9451-98E1EE2E36C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289300" y="831849"/>
          <a:ext cx="565150" cy="641351"/>
        </a:xfrm>
        <a:prstGeom prst="rect">
          <a:avLst/>
        </a:prstGeom>
      </xdr:spPr>
    </xdr:pic>
    <xdr:clientData/>
  </xdr:twoCellAnchor>
  <xdr:twoCellAnchor>
    <xdr:from>
      <xdr:col>6</xdr:col>
      <xdr:colOff>76200</xdr:colOff>
      <xdr:row>4</xdr:row>
      <xdr:rowOff>12700</xdr:rowOff>
    </xdr:from>
    <xdr:to>
      <xdr:col>8</xdr:col>
      <xdr:colOff>355600</xdr:colOff>
      <xdr:row>8</xdr:row>
      <xdr:rowOff>25400</xdr:rowOff>
    </xdr:to>
    <xdr:sp macro="" textlink="">
      <xdr:nvSpPr>
        <xdr:cNvPr id="36" name="Rectangle 35">
          <a:extLst>
            <a:ext uri="{FF2B5EF4-FFF2-40B4-BE49-F238E27FC236}">
              <a16:creationId xmlns:a16="http://schemas.microsoft.com/office/drawing/2014/main" id="{F5A3751B-371A-49CD-AB2A-A606D1E8EBFD}"/>
            </a:ext>
          </a:extLst>
        </xdr:cNvPr>
        <xdr:cNvSpPr/>
      </xdr:nvSpPr>
      <xdr:spPr>
        <a:xfrm>
          <a:off x="3733800" y="749300"/>
          <a:ext cx="1498600" cy="7493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i="1" u="none" strike="noStrike">
              <a:solidFill>
                <a:schemeClr val="lt1"/>
              </a:solidFill>
              <a:effectLst/>
              <a:latin typeface="+mn-lt"/>
              <a:ea typeface="+mn-ea"/>
              <a:cs typeface="+mn-cs"/>
            </a:rPr>
            <a:t>Total Registered</a:t>
          </a:r>
          <a:r>
            <a:rPr lang="en-IN" sz="1500" b="1" i="1"/>
            <a:t> </a:t>
          </a:r>
          <a:r>
            <a:rPr lang="en-IN" sz="1500" b="1" i="1" u="none" strike="noStrike">
              <a:solidFill>
                <a:schemeClr val="lt1"/>
              </a:solidFill>
              <a:effectLst/>
              <a:latin typeface="+mn-lt"/>
              <a:ea typeface="+mn-ea"/>
              <a:cs typeface="+mn-cs"/>
            </a:rPr>
            <a:t>53383</a:t>
          </a:r>
          <a:r>
            <a:rPr lang="en-IN" sz="1500" b="1" i="1"/>
            <a:t> </a:t>
          </a:r>
        </a:p>
      </xdr:txBody>
    </xdr:sp>
    <xdr:clientData/>
  </xdr:twoCellAnchor>
  <xdr:twoCellAnchor editAs="oneCell">
    <xdr:from>
      <xdr:col>8</xdr:col>
      <xdr:colOff>336550</xdr:colOff>
      <xdr:row>4</xdr:row>
      <xdr:rowOff>44450</xdr:rowOff>
    </xdr:from>
    <xdr:to>
      <xdr:col>9</xdr:col>
      <xdr:colOff>355600</xdr:colOff>
      <xdr:row>7</xdr:row>
      <xdr:rowOff>120650</xdr:rowOff>
    </xdr:to>
    <xdr:pic>
      <xdr:nvPicPr>
        <xdr:cNvPr id="39" name="Graphic 38" descr="Sign language with solid fill">
          <a:extLst>
            <a:ext uri="{FF2B5EF4-FFF2-40B4-BE49-F238E27FC236}">
              <a16:creationId xmlns:a16="http://schemas.microsoft.com/office/drawing/2014/main" id="{A20E4AD6-3E3E-495F-8FF7-6F65D7B0571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213350" y="781050"/>
          <a:ext cx="628650" cy="628650"/>
        </a:xfrm>
        <a:prstGeom prst="rect">
          <a:avLst/>
        </a:prstGeom>
      </xdr:spPr>
    </xdr:pic>
    <xdr:clientData/>
  </xdr:twoCellAnchor>
  <xdr:twoCellAnchor>
    <xdr:from>
      <xdr:col>9</xdr:col>
      <xdr:colOff>247650</xdr:colOff>
      <xdr:row>4</xdr:row>
      <xdr:rowOff>50800</xdr:rowOff>
    </xdr:from>
    <xdr:to>
      <xdr:col>11</xdr:col>
      <xdr:colOff>463550</xdr:colOff>
      <xdr:row>7</xdr:row>
      <xdr:rowOff>158750</xdr:rowOff>
    </xdr:to>
    <xdr:sp macro="" textlink="">
      <xdr:nvSpPr>
        <xdr:cNvPr id="40" name="Rectangle 39">
          <a:extLst>
            <a:ext uri="{FF2B5EF4-FFF2-40B4-BE49-F238E27FC236}">
              <a16:creationId xmlns:a16="http://schemas.microsoft.com/office/drawing/2014/main" id="{A8C1BA14-E3A0-4C61-B5BE-7F182E2DA4CE}"/>
            </a:ext>
          </a:extLst>
        </xdr:cNvPr>
        <xdr:cNvSpPr/>
      </xdr:nvSpPr>
      <xdr:spPr>
        <a:xfrm>
          <a:off x="5734050" y="787400"/>
          <a:ext cx="1435100" cy="660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u="none" strike="noStrike">
              <a:solidFill>
                <a:schemeClr val="lt1"/>
              </a:solidFill>
              <a:effectLst/>
              <a:latin typeface="+mn-lt"/>
              <a:ea typeface="+mn-ea"/>
              <a:cs typeface="+mn-cs"/>
            </a:rPr>
            <a:t>Total Casual</a:t>
          </a:r>
          <a:r>
            <a:rPr lang="en-IN" sz="1600" b="1" i="1"/>
            <a:t> </a:t>
          </a:r>
          <a:r>
            <a:rPr lang="en-IN" sz="1600" b="1" i="1" u="none" strike="noStrike">
              <a:solidFill>
                <a:schemeClr val="lt1"/>
              </a:solidFill>
              <a:effectLst/>
              <a:latin typeface="+mn-lt"/>
              <a:ea typeface="+mn-ea"/>
              <a:cs typeface="+mn-cs"/>
            </a:rPr>
            <a:t>4921</a:t>
          </a:r>
          <a:r>
            <a:rPr lang="en-IN" sz="1600" b="1" i="1"/>
            <a:t> </a:t>
          </a:r>
        </a:p>
      </xdr:txBody>
    </xdr:sp>
    <xdr:clientData/>
  </xdr:twoCellAnchor>
  <xdr:twoCellAnchor editAs="oneCell">
    <xdr:from>
      <xdr:col>0</xdr:col>
      <xdr:colOff>114300</xdr:colOff>
      <xdr:row>0</xdr:row>
      <xdr:rowOff>101601</xdr:rowOff>
    </xdr:from>
    <xdr:to>
      <xdr:col>2</xdr:col>
      <xdr:colOff>57150</xdr:colOff>
      <xdr:row>13</xdr:row>
      <xdr:rowOff>152401</xdr:rowOff>
    </xdr:to>
    <mc:AlternateContent xmlns:mc="http://schemas.openxmlformats.org/markup-compatibility/2006" xmlns:a14="http://schemas.microsoft.com/office/drawing/2010/main">
      <mc:Choice Requires="a14">
        <xdr:graphicFrame macro="">
          <xdr:nvGraphicFramePr>
            <xdr:cNvPr id="26" name="Dteday 1">
              <a:extLst>
                <a:ext uri="{FF2B5EF4-FFF2-40B4-BE49-F238E27FC236}">
                  <a16:creationId xmlns:a16="http://schemas.microsoft.com/office/drawing/2014/main" id="{A73F9136-4EB5-4D0C-BAFE-477C6B02C7C8}"/>
                </a:ext>
              </a:extLst>
            </xdr:cNvPr>
            <xdr:cNvGraphicFramePr/>
          </xdr:nvGraphicFramePr>
          <xdr:xfrm>
            <a:off x="0" y="0"/>
            <a:ext cx="0" cy="0"/>
          </xdr:xfrm>
          <a:graphic>
            <a:graphicData uri="http://schemas.microsoft.com/office/drawing/2010/slicer">
              <sle:slicer xmlns:sle="http://schemas.microsoft.com/office/drawing/2010/slicer" name="Dteday 1"/>
            </a:graphicData>
          </a:graphic>
        </xdr:graphicFrame>
      </mc:Choice>
      <mc:Fallback xmlns="">
        <xdr:sp macro="" textlink="">
          <xdr:nvSpPr>
            <xdr:cNvPr id="0" name=""/>
            <xdr:cNvSpPr>
              <a:spLocks noTextEdit="1"/>
            </xdr:cNvSpPr>
          </xdr:nvSpPr>
          <xdr:spPr>
            <a:xfrm>
              <a:off x="114300" y="101601"/>
              <a:ext cx="1162050" cy="244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13</xdr:row>
      <xdr:rowOff>158750</xdr:rowOff>
    </xdr:from>
    <xdr:to>
      <xdr:col>2</xdr:col>
      <xdr:colOff>50800</xdr:colOff>
      <xdr:row>26</xdr:row>
      <xdr:rowOff>57149</xdr:rowOff>
    </xdr:to>
    <mc:AlternateContent xmlns:mc="http://schemas.openxmlformats.org/markup-compatibility/2006" xmlns:a14="http://schemas.microsoft.com/office/drawing/2010/main">
      <mc:Choice Requires="a14">
        <xdr:graphicFrame macro="">
          <xdr:nvGraphicFramePr>
            <xdr:cNvPr id="28" name="Days 1">
              <a:extLst>
                <a:ext uri="{FF2B5EF4-FFF2-40B4-BE49-F238E27FC236}">
                  <a16:creationId xmlns:a16="http://schemas.microsoft.com/office/drawing/2014/main" id="{40DC7148-0BF0-4A5D-B07E-E1F02D823C23}"/>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mlns="">
        <xdr:sp macro="" textlink="">
          <xdr:nvSpPr>
            <xdr:cNvPr id="0" name=""/>
            <xdr:cNvSpPr>
              <a:spLocks noTextEdit="1"/>
            </xdr:cNvSpPr>
          </xdr:nvSpPr>
          <xdr:spPr>
            <a:xfrm>
              <a:off x="114300" y="2552700"/>
              <a:ext cx="1155700" cy="2292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26</xdr:row>
      <xdr:rowOff>63501</xdr:rowOff>
    </xdr:from>
    <xdr:to>
      <xdr:col>2</xdr:col>
      <xdr:colOff>50800</xdr:colOff>
      <xdr:row>34</xdr:row>
      <xdr:rowOff>76201</xdr:rowOff>
    </xdr:to>
    <mc:AlternateContent xmlns:mc="http://schemas.openxmlformats.org/markup-compatibility/2006" xmlns:a14="http://schemas.microsoft.com/office/drawing/2010/main">
      <mc:Choice Requires="a14">
        <xdr:graphicFrame macro="">
          <xdr:nvGraphicFramePr>
            <xdr:cNvPr id="29" name="Time 1">
              <a:extLst>
                <a:ext uri="{FF2B5EF4-FFF2-40B4-BE49-F238E27FC236}">
                  <a16:creationId xmlns:a16="http://schemas.microsoft.com/office/drawing/2014/main" id="{D47D3827-A05F-46CA-82D1-464D04852A7B}"/>
                </a:ext>
              </a:extLst>
            </xdr:cNvPr>
            <xdr:cNvGraphicFramePr/>
          </xdr:nvGraphicFramePr>
          <xdr:xfrm>
            <a:off x="0" y="0"/>
            <a:ext cx="0" cy="0"/>
          </xdr:xfrm>
          <a:graphic>
            <a:graphicData uri="http://schemas.microsoft.com/office/drawing/2010/slicer">
              <sle:slicer xmlns:sle="http://schemas.microsoft.com/office/drawing/2010/slicer" name="Time 1"/>
            </a:graphicData>
          </a:graphic>
        </xdr:graphicFrame>
      </mc:Choice>
      <mc:Fallback xmlns="">
        <xdr:sp macro="" textlink="">
          <xdr:nvSpPr>
            <xdr:cNvPr id="0" name=""/>
            <xdr:cNvSpPr>
              <a:spLocks noTextEdit="1"/>
            </xdr:cNvSpPr>
          </xdr:nvSpPr>
          <xdr:spPr>
            <a:xfrm>
              <a:off x="107950" y="4851401"/>
              <a:ext cx="116205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101600</xdr:colOff>
      <xdr:row>34</xdr:row>
      <xdr:rowOff>88901</xdr:rowOff>
    </xdr:from>
    <xdr:to>
      <xdr:col>2</xdr:col>
      <xdr:colOff>44450</xdr:colOff>
      <xdr:row>42</xdr:row>
      <xdr:rowOff>50801</xdr:rowOff>
    </xdr:to>
    <mc:AlternateContent xmlns:mc="http://schemas.openxmlformats.org/markup-compatibility/2006" xmlns:a14="http://schemas.microsoft.com/office/drawing/2010/main">
      <mc:Choice Requires="a14">
        <xdr:graphicFrame macro="">
          <xdr:nvGraphicFramePr>
            <xdr:cNvPr id="30" name="Weather 1">
              <a:extLst>
                <a:ext uri="{FF2B5EF4-FFF2-40B4-BE49-F238E27FC236}">
                  <a16:creationId xmlns:a16="http://schemas.microsoft.com/office/drawing/2014/main" id="{BCB80A0D-02D5-407F-B1F4-FE62B26C79D5}"/>
                </a:ext>
              </a:extLst>
            </xdr:cNvPr>
            <xdr:cNvGraphicFramePr/>
          </xdr:nvGraphicFramePr>
          <xdr:xfrm>
            <a:off x="0" y="0"/>
            <a:ext cx="0" cy="0"/>
          </xdr:xfrm>
          <a:graphic>
            <a:graphicData uri="http://schemas.microsoft.com/office/drawing/2010/slicer">
              <sle:slicer xmlns:sle="http://schemas.microsoft.com/office/drawing/2010/slicer" name="Weather 1"/>
            </a:graphicData>
          </a:graphic>
        </xdr:graphicFrame>
      </mc:Choice>
      <mc:Fallback xmlns="">
        <xdr:sp macro="" textlink="">
          <xdr:nvSpPr>
            <xdr:cNvPr id="0" name=""/>
            <xdr:cNvSpPr>
              <a:spLocks noTextEdit="1"/>
            </xdr:cNvSpPr>
          </xdr:nvSpPr>
          <xdr:spPr>
            <a:xfrm>
              <a:off x="101600" y="6350001"/>
              <a:ext cx="1162050" cy="143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42</xdr:row>
      <xdr:rowOff>63501</xdr:rowOff>
    </xdr:from>
    <xdr:to>
      <xdr:col>2</xdr:col>
      <xdr:colOff>44450</xdr:colOff>
      <xdr:row>50</xdr:row>
      <xdr:rowOff>146051</xdr:rowOff>
    </xdr:to>
    <mc:AlternateContent xmlns:mc="http://schemas.openxmlformats.org/markup-compatibility/2006" xmlns:a14="http://schemas.microsoft.com/office/drawing/2010/main">
      <mc:Choice Requires="a14">
        <xdr:graphicFrame macro="">
          <xdr:nvGraphicFramePr>
            <xdr:cNvPr id="31" name="Temp 1">
              <a:extLst>
                <a:ext uri="{FF2B5EF4-FFF2-40B4-BE49-F238E27FC236}">
                  <a16:creationId xmlns:a16="http://schemas.microsoft.com/office/drawing/2014/main" id="{D6B8C693-79B0-47ED-9829-C552A5577349}"/>
                </a:ext>
              </a:extLst>
            </xdr:cNvPr>
            <xdr:cNvGraphicFramePr/>
          </xdr:nvGraphicFramePr>
          <xdr:xfrm>
            <a:off x="0" y="0"/>
            <a:ext cx="0" cy="0"/>
          </xdr:xfrm>
          <a:graphic>
            <a:graphicData uri="http://schemas.microsoft.com/office/drawing/2010/slicer">
              <sle:slicer xmlns:sle="http://schemas.microsoft.com/office/drawing/2010/slicer" name="Temp 1"/>
            </a:graphicData>
          </a:graphic>
        </xdr:graphicFrame>
      </mc:Choice>
      <mc:Fallback xmlns="">
        <xdr:sp macro="" textlink="">
          <xdr:nvSpPr>
            <xdr:cNvPr id="0" name=""/>
            <xdr:cNvSpPr>
              <a:spLocks noTextEdit="1"/>
            </xdr:cNvSpPr>
          </xdr:nvSpPr>
          <xdr:spPr>
            <a:xfrm>
              <a:off x="88900" y="7797801"/>
              <a:ext cx="1174750" cy="155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82550</xdr:colOff>
      <xdr:row>36</xdr:row>
      <xdr:rowOff>101600</xdr:rowOff>
    </xdr:from>
    <xdr:to>
      <xdr:col>15</xdr:col>
      <xdr:colOff>38100</xdr:colOff>
      <xdr:row>50</xdr:row>
      <xdr:rowOff>101600</xdr:rowOff>
    </xdr:to>
    <xdr:graphicFrame macro="">
      <xdr:nvGraphicFramePr>
        <xdr:cNvPr id="38" name="Chart 37">
          <a:extLst>
            <a:ext uri="{FF2B5EF4-FFF2-40B4-BE49-F238E27FC236}">
              <a16:creationId xmlns:a16="http://schemas.microsoft.com/office/drawing/2014/main" id="{4813EEC1-F4FD-47F0-A9DA-2DA66DE2A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57150</xdr:colOff>
      <xdr:row>4</xdr:row>
      <xdr:rowOff>31750</xdr:rowOff>
    </xdr:from>
    <xdr:to>
      <xdr:col>22</xdr:col>
      <xdr:colOff>260349</xdr:colOff>
      <xdr:row>36</xdr:row>
      <xdr:rowOff>88900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415B1918-5456-4E8B-8EA4-E16E2D1516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9201150" y="768350"/>
              <a:ext cx="4470399" cy="5949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69850</xdr:colOff>
      <xdr:row>36</xdr:row>
      <xdr:rowOff>82551</xdr:rowOff>
    </xdr:from>
    <xdr:to>
      <xdr:col>22</xdr:col>
      <xdr:colOff>266700</xdr:colOff>
      <xdr:row>50</xdr:row>
      <xdr:rowOff>120650</xdr:rowOff>
    </xdr:to>
    <xdr:graphicFrame macro="">
      <xdr:nvGraphicFramePr>
        <xdr:cNvPr id="42" name="Chart 41">
          <a:extLst>
            <a:ext uri="{FF2B5EF4-FFF2-40B4-BE49-F238E27FC236}">
              <a16:creationId xmlns:a16="http://schemas.microsoft.com/office/drawing/2014/main" id="{394DA4D4-3B4A-4C46-917F-675919F25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368299</xdr:colOff>
      <xdr:row>8</xdr:row>
      <xdr:rowOff>31750</xdr:rowOff>
    </xdr:from>
    <xdr:to>
      <xdr:col>15</xdr:col>
      <xdr:colOff>12700</xdr:colOff>
      <xdr:row>36</xdr:row>
      <xdr:rowOff>88900</xdr:rowOff>
    </xdr:to>
    <xdr:graphicFrame macro="">
      <xdr:nvGraphicFramePr>
        <xdr:cNvPr id="43" name="Chart 42">
          <a:extLst>
            <a:ext uri="{FF2B5EF4-FFF2-40B4-BE49-F238E27FC236}">
              <a16:creationId xmlns:a16="http://schemas.microsoft.com/office/drawing/2014/main" id="{25595DD5-D48E-464A-86D1-FDD02C4C62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546100</xdr:colOff>
      <xdr:row>4</xdr:row>
      <xdr:rowOff>76200</xdr:rowOff>
    </xdr:from>
    <xdr:to>
      <xdr:col>15</xdr:col>
      <xdr:colOff>6350</xdr:colOff>
      <xdr:row>8</xdr:row>
      <xdr:rowOff>12700</xdr:rowOff>
    </xdr:to>
    <xdr:sp macro="" textlink="">
      <xdr:nvSpPr>
        <xdr:cNvPr id="8" name="Rectangle 7">
          <a:extLst>
            <a:ext uri="{FF2B5EF4-FFF2-40B4-BE49-F238E27FC236}">
              <a16:creationId xmlns:a16="http://schemas.microsoft.com/office/drawing/2014/main" id="{15DA34AB-9E83-4F11-878A-51290C529FB3}"/>
            </a:ext>
          </a:extLst>
        </xdr:cNvPr>
        <xdr:cNvSpPr/>
      </xdr:nvSpPr>
      <xdr:spPr>
        <a:xfrm>
          <a:off x="7251700" y="812800"/>
          <a:ext cx="1898650" cy="673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i="1" u="none" strike="noStrike">
              <a:solidFill>
                <a:schemeClr val="lt1"/>
              </a:solidFill>
              <a:effectLst/>
              <a:latin typeface="+mn-lt"/>
              <a:ea typeface="+mn-ea"/>
              <a:cs typeface="+mn-cs"/>
            </a:rPr>
            <a:t>Avg</a:t>
          </a:r>
          <a:r>
            <a:rPr lang="en-IN" sz="1500" b="1" i="1" u="none" strike="noStrike" baseline="0">
              <a:solidFill>
                <a:schemeClr val="lt1"/>
              </a:solidFill>
              <a:effectLst/>
              <a:latin typeface="+mn-lt"/>
              <a:ea typeface="+mn-ea"/>
              <a:cs typeface="+mn-cs"/>
            </a:rPr>
            <a:t> </a:t>
          </a:r>
          <a:r>
            <a:rPr lang="en-IN" sz="1500" b="1" i="1" u="none" strike="noStrike">
              <a:solidFill>
                <a:schemeClr val="lt1"/>
              </a:solidFill>
              <a:effectLst/>
              <a:latin typeface="+mn-lt"/>
              <a:ea typeface="+mn-ea"/>
              <a:cs typeface="+mn-cs"/>
            </a:rPr>
            <a:t>Registrarion/Day</a:t>
          </a:r>
          <a:r>
            <a:rPr lang="en-IN" sz="1500" b="1" i="1" u="none" strike="noStrike" baseline="0">
              <a:solidFill>
                <a:schemeClr val="lt1"/>
              </a:solidFill>
              <a:effectLst/>
              <a:latin typeface="+mn-lt"/>
              <a:ea typeface="+mn-ea"/>
              <a:cs typeface="+mn-cs"/>
            </a:rPr>
            <a:t> </a:t>
          </a:r>
          <a:r>
            <a:rPr lang="en-IN" sz="1500" b="1"/>
            <a:t> </a:t>
          </a:r>
          <a:r>
            <a:rPr lang="en-IN" sz="1550" b="1" i="0" u="none" strike="noStrike">
              <a:solidFill>
                <a:schemeClr val="lt1"/>
              </a:solidFill>
              <a:effectLst/>
              <a:latin typeface="+mn-lt"/>
              <a:ea typeface="+mn-ea"/>
              <a:cs typeface="+mn-cs"/>
            </a:rPr>
            <a:t>53.383</a:t>
          </a:r>
          <a:endParaRPr lang="en-IN" sz="1550" b="1"/>
        </a:p>
      </xdr:txBody>
    </xdr:sp>
    <xdr:clientData/>
  </xdr:twoCellAnchor>
  <xdr:twoCellAnchor editAs="oneCell">
    <xdr:from>
      <xdr:col>11</xdr:col>
      <xdr:colOff>565150</xdr:colOff>
      <xdr:row>5</xdr:row>
      <xdr:rowOff>107951</xdr:rowOff>
    </xdr:from>
    <xdr:to>
      <xdr:col>12</xdr:col>
      <xdr:colOff>520700</xdr:colOff>
      <xdr:row>7</xdr:row>
      <xdr:rowOff>152400</xdr:rowOff>
    </xdr:to>
    <xdr:pic>
      <xdr:nvPicPr>
        <xdr:cNvPr id="19" name="Graphic 18" descr="Right pointing backhand index with solid fill">
          <a:extLst>
            <a:ext uri="{FF2B5EF4-FFF2-40B4-BE49-F238E27FC236}">
              <a16:creationId xmlns:a16="http://schemas.microsoft.com/office/drawing/2014/main" id="{76C0AF42-DD99-4C78-ACCF-6D1A5F76542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7270750" y="1028701"/>
          <a:ext cx="565150" cy="41274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31750</xdr:colOff>
      <xdr:row>0</xdr:row>
      <xdr:rowOff>171450</xdr:rowOff>
    </xdr:from>
    <xdr:to>
      <xdr:col>14</xdr:col>
      <xdr:colOff>400050</xdr:colOff>
      <xdr:row>15</xdr:row>
      <xdr:rowOff>152400</xdr:rowOff>
    </xdr:to>
    <xdr:graphicFrame macro="">
      <xdr:nvGraphicFramePr>
        <xdr:cNvPr id="2" name="Chart 1">
          <a:extLst>
            <a:ext uri="{FF2B5EF4-FFF2-40B4-BE49-F238E27FC236}">
              <a16:creationId xmlns:a16="http://schemas.microsoft.com/office/drawing/2014/main" id="{512BD2E7-9A37-4704-9946-1C0D7A1F6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2.05351435185" createdVersion="7" refreshedVersion="7" minRefreshableVersion="3" recordCount="1000" xr:uid="{406A6F57-86AA-4242-AEAE-D7E6061FDA75}">
  <cacheSource type="worksheet">
    <worksheetSource ref="A1:S1001" sheet="Sheet B"/>
  </cacheSource>
  <cacheFields count="19">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Dteday"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ount="1">
        <n v="1"/>
      </sharedItems>
    </cacheField>
    <cacheField name="Yr" numFmtId="0">
      <sharedItems containsSemiMixedTypes="0" containsString="0" containsNumber="1" containsInteger="1" minValue="0" maxValue="0" count="1">
        <n v="0"/>
      </sharedItems>
    </cacheField>
    <cacheField name="Mnth" numFmtId="0">
      <sharedItems containsSemiMixedTypes="0" containsString="0" containsNumber="1" containsInteger="1" minValue="1" maxValue="2" count="2">
        <n v="1"/>
        <n v="2"/>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numFmtId="0">
      <sharedItems count="4">
        <s v="Night"/>
        <s v="Morning"/>
        <s v="AfterNoon"/>
        <s v="Evening"/>
      </sharedItems>
    </cacheField>
    <cacheField name="Holiday" numFmtId="0">
      <sharedItems count="2">
        <b v="0"/>
        <b v="1"/>
      </sharedItems>
    </cacheField>
    <cacheField name="Weekday" numFmtId="0">
      <sharedItems containsSemiMixedTypes="0" containsString="0" containsNumber="1" containsInteger="1" minValue="0" maxValue="6" count="7">
        <n v="6"/>
        <n v="0"/>
        <n v="1"/>
        <n v="2"/>
        <n v="3"/>
        <n v="4"/>
        <n v="5"/>
      </sharedItems>
    </cacheField>
    <cacheField name="Days" numFmtId="0">
      <sharedItems count="7">
        <s v="Friday"/>
        <s v="Saturday"/>
        <s v="Sunday"/>
        <s v="Monday"/>
        <s v="Tuesday"/>
        <s v="Wednesday"/>
        <s v="Thusday"/>
      </sharedItems>
    </cacheField>
    <cacheField name="Weathersit"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Weather" numFmtId="0">
      <sharedItems count="6">
        <s v="Cloudy"/>
        <s v="Rainy"/>
        <s v="Sunny"/>
        <s v="Stromy"/>
        <s v="Mist" u="1"/>
        <s v="Clear" u="1"/>
      </sharedItems>
    </cacheField>
    <cacheField name="N Atemp" numFmtId="0">
      <sharedItems containsSemiMixedTypes="0" containsString="0" containsNumber="1" minValue="0" maxValue="0.45450000000000002" count="38">
        <n v="0.28789999999999999"/>
        <n v="0.2727"/>
        <n v="0.2576"/>
        <n v="0.30304999999999999"/>
        <n v="0.34849999999999998"/>
        <n v="0.39389999999999997"/>
        <n v="0.33329999999999999"/>
        <n v="0.42420000000000002"/>
        <n v="0.45450000000000002"/>
        <n v="0.43940000000000001"/>
        <n v="0.40910000000000002"/>
        <n v="0.43180000000000002"/>
        <n v="0.43935000000000002"/>
        <n v="0.37880000000000003"/>
        <n v="0.34089999999999998"/>
        <n v="0.2273"/>
        <n v="0.21210000000000001"/>
        <n v="0.19700000000000001"/>
        <n v="0.16670000000000001"/>
        <n v="0.13639999999999999"/>
        <n v="0.1061"/>
        <n v="0.1212"/>
        <n v="0.16669999999999999"/>
        <n v="0.18179999999999999"/>
        <n v="0.22725000000000001"/>
        <n v="0.2424"/>
        <n v="0.1515"/>
        <n v="0.19695000000000001"/>
        <n v="0.31819999999999998"/>
        <n v="6.0600000000000001E-2"/>
        <n v="7.5800000000000006E-2"/>
        <n v="9.0899999999999995E-2"/>
        <n v="0.30299999999999999"/>
        <n v="3.0300000000000001E-2"/>
        <n v="4.5499999999999999E-2"/>
        <n v="0"/>
        <n v="1.52E-2"/>
        <n v="0.36359999999999998"/>
      </sharedItems>
    </cacheField>
    <cacheField name="Hum"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C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49"/>
        <n v="107"/>
        <n v="156"/>
        <n v="111"/>
        <n v="135"/>
        <n v="176"/>
        <n v="168"/>
        <n v="175"/>
        <n v="147"/>
        <n v="220"/>
        <n v="127"/>
        <n v="205"/>
        <n v="174"/>
        <n v="121"/>
        <n v="230"/>
        <n v="66"/>
        <n v="114"/>
        <n v="216"/>
        <n v="243"/>
        <n v="199"/>
        <n v="170"/>
        <n v="165"/>
        <n v="160"/>
        <n v="140"/>
        <n v="211"/>
        <n v="145"/>
      </sharedItems>
    </cacheField>
  </cacheFields>
  <extLst>
    <ext xmlns:x14="http://schemas.microsoft.com/office/spreadsheetml/2009/9/main" uri="{725AE2AE-9491-48be-B2B4-4EB974FC3084}">
      <x14:pivotCacheDefinition pivotCacheId="1620028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x v="0"/>
    <x v="0"/>
    <x v="0"/>
    <x v="0"/>
    <x v="0"/>
  </r>
  <r>
    <x v="1"/>
    <x v="0"/>
    <x v="0"/>
    <x v="0"/>
    <x v="0"/>
    <x v="1"/>
    <x v="0"/>
    <x v="0"/>
    <x v="0"/>
    <x v="0"/>
    <x v="0"/>
    <x v="1"/>
    <x v="0"/>
    <x v="1"/>
    <x v="1"/>
    <x v="0"/>
    <x v="1"/>
    <x v="1"/>
    <x v="1"/>
  </r>
  <r>
    <x v="2"/>
    <x v="0"/>
    <x v="0"/>
    <x v="0"/>
    <x v="0"/>
    <x v="2"/>
    <x v="0"/>
    <x v="0"/>
    <x v="0"/>
    <x v="0"/>
    <x v="0"/>
    <x v="1"/>
    <x v="0"/>
    <x v="1"/>
    <x v="1"/>
    <x v="0"/>
    <x v="2"/>
    <x v="2"/>
    <x v="2"/>
  </r>
  <r>
    <x v="3"/>
    <x v="0"/>
    <x v="0"/>
    <x v="0"/>
    <x v="0"/>
    <x v="3"/>
    <x v="0"/>
    <x v="0"/>
    <x v="0"/>
    <x v="0"/>
    <x v="0"/>
    <x v="0"/>
    <x v="0"/>
    <x v="0"/>
    <x v="2"/>
    <x v="0"/>
    <x v="0"/>
    <x v="3"/>
    <x v="3"/>
  </r>
  <r>
    <x v="4"/>
    <x v="0"/>
    <x v="0"/>
    <x v="0"/>
    <x v="0"/>
    <x v="4"/>
    <x v="0"/>
    <x v="0"/>
    <x v="0"/>
    <x v="0"/>
    <x v="0"/>
    <x v="0"/>
    <x v="0"/>
    <x v="0"/>
    <x v="2"/>
    <x v="0"/>
    <x v="3"/>
    <x v="4"/>
    <x v="4"/>
  </r>
  <r>
    <x v="5"/>
    <x v="0"/>
    <x v="0"/>
    <x v="0"/>
    <x v="0"/>
    <x v="5"/>
    <x v="1"/>
    <x v="0"/>
    <x v="0"/>
    <x v="0"/>
    <x v="1"/>
    <x v="0"/>
    <x v="0"/>
    <x v="2"/>
    <x v="2"/>
    <x v="1"/>
    <x v="3"/>
    <x v="4"/>
    <x v="4"/>
  </r>
  <r>
    <x v="6"/>
    <x v="0"/>
    <x v="0"/>
    <x v="0"/>
    <x v="0"/>
    <x v="6"/>
    <x v="1"/>
    <x v="0"/>
    <x v="0"/>
    <x v="0"/>
    <x v="0"/>
    <x v="1"/>
    <x v="0"/>
    <x v="1"/>
    <x v="1"/>
    <x v="0"/>
    <x v="4"/>
    <x v="5"/>
    <x v="5"/>
  </r>
  <r>
    <x v="7"/>
    <x v="0"/>
    <x v="0"/>
    <x v="0"/>
    <x v="0"/>
    <x v="7"/>
    <x v="1"/>
    <x v="0"/>
    <x v="0"/>
    <x v="0"/>
    <x v="0"/>
    <x v="2"/>
    <x v="1"/>
    <x v="2"/>
    <x v="3"/>
    <x v="0"/>
    <x v="5"/>
    <x v="6"/>
    <x v="6"/>
  </r>
  <r>
    <x v="8"/>
    <x v="0"/>
    <x v="0"/>
    <x v="0"/>
    <x v="0"/>
    <x v="8"/>
    <x v="1"/>
    <x v="0"/>
    <x v="0"/>
    <x v="0"/>
    <x v="0"/>
    <x v="0"/>
    <x v="0"/>
    <x v="3"/>
    <x v="2"/>
    <x v="0"/>
    <x v="5"/>
    <x v="7"/>
    <x v="7"/>
  </r>
  <r>
    <x v="9"/>
    <x v="0"/>
    <x v="0"/>
    <x v="0"/>
    <x v="0"/>
    <x v="9"/>
    <x v="1"/>
    <x v="0"/>
    <x v="0"/>
    <x v="0"/>
    <x v="0"/>
    <x v="3"/>
    <x v="2"/>
    <x v="4"/>
    <x v="4"/>
    <x v="0"/>
    <x v="1"/>
    <x v="8"/>
    <x v="8"/>
  </r>
  <r>
    <x v="10"/>
    <x v="0"/>
    <x v="0"/>
    <x v="0"/>
    <x v="0"/>
    <x v="10"/>
    <x v="1"/>
    <x v="0"/>
    <x v="0"/>
    <x v="0"/>
    <x v="0"/>
    <x v="4"/>
    <x v="2"/>
    <x v="5"/>
    <x v="4"/>
    <x v="2"/>
    <x v="6"/>
    <x v="9"/>
    <x v="9"/>
  </r>
  <r>
    <x v="11"/>
    <x v="0"/>
    <x v="0"/>
    <x v="0"/>
    <x v="0"/>
    <x v="11"/>
    <x v="1"/>
    <x v="0"/>
    <x v="0"/>
    <x v="0"/>
    <x v="0"/>
    <x v="5"/>
    <x v="2"/>
    <x v="6"/>
    <x v="0"/>
    <x v="3"/>
    <x v="7"/>
    <x v="10"/>
    <x v="10"/>
  </r>
  <r>
    <x v="12"/>
    <x v="0"/>
    <x v="0"/>
    <x v="0"/>
    <x v="0"/>
    <x v="12"/>
    <x v="2"/>
    <x v="0"/>
    <x v="0"/>
    <x v="0"/>
    <x v="0"/>
    <x v="6"/>
    <x v="2"/>
    <x v="7"/>
    <x v="5"/>
    <x v="3"/>
    <x v="8"/>
    <x v="11"/>
    <x v="11"/>
  </r>
  <r>
    <x v="13"/>
    <x v="0"/>
    <x v="0"/>
    <x v="0"/>
    <x v="0"/>
    <x v="13"/>
    <x v="2"/>
    <x v="0"/>
    <x v="0"/>
    <x v="0"/>
    <x v="1"/>
    <x v="7"/>
    <x v="2"/>
    <x v="8"/>
    <x v="6"/>
    <x v="4"/>
    <x v="9"/>
    <x v="12"/>
    <x v="12"/>
  </r>
  <r>
    <x v="14"/>
    <x v="0"/>
    <x v="0"/>
    <x v="0"/>
    <x v="0"/>
    <x v="14"/>
    <x v="2"/>
    <x v="0"/>
    <x v="0"/>
    <x v="0"/>
    <x v="1"/>
    <x v="7"/>
    <x v="2"/>
    <x v="8"/>
    <x v="6"/>
    <x v="3"/>
    <x v="10"/>
    <x v="13"/>
    <x v="13"/>
  </r>
  <r>
    <x v="15"/>
    <x v="0"/>
    <x v="0"/>
    <x v="0"/>
    <x v="0"/>
    <x v="15"/>
    <x v="2"/>
    <x v="0"/>
    <x v="0"/>
    <x v="0"/>
    <x v="1"/>
    <x v="8"/>
    <x v="2"/>
    <x v="9"/>
    <x v="5"/>
    <x v="4"/>
    <x v="11"/>
    <x v="14"/>
    <x v="14"/>
  </r>
  <r>
    <x v="16"/>
    <x v="0"/>
    <x v="0"/>
    <x v="0"/>
    <x v="0"/>
    <x v="16"/>
    <x v="2"/>
    <x v="0"/>
    <x v="0"/>
    <x v="0"/>
    <x v="1"/>
    <x v="6"/>
    <x v="2"/>
    <x v="7"/>
    <x v="7"/>
    <x v="4"/>
    <x v="12"/>
    <x v="15"/>
    <x v="15"/>
  </r>
  <r>
    <x v="17"/>
    <x v="0"/>
    <x v="0"/>
    <x v="0"/>
    <x v="0"/>
    <x v="17"/>
    <x v="3"/>
    <x v="0"/>
    <x v="0"/>
    <x v="0"/>
    <x v="1"/>
    <x v="8"/>
    <x v="2"/>
    <x v="7"/>
    <x v="7"/>
    <x v="3"/>
    <x v="13"/>
    <x v="15"/>
    <x v="16"/>
  </r>
  <r>
    <x v="18"/>
    <x v="0"/>
    <x v="0"/>
    <x v="0"/>
    <x v="0"/>
    <x v="18"/>
    <x v="3"/>
    <x v="0"/>
    <x v="0"/>
    <x v="0"/>
    <x v="2"/>
    <x v="6"/>
    <x v="2"/>
    <x v="7"/>
    <x v="8"/>
    <x v="2"/>
    <x v="14"/>
    <x v="16"/>
    <x v="17"/>
  </r>
  <r>
    <x v="19"/>
    <x v="0"/>
    <x v="0"/>
    <x v="0"/>
    <x v="0"/>
    <x v="19"/>
    <x v="3"/>
    <x v="0"/>
    <x v="0"/>
    <x v="0"/>
    <x v="2"/>
    <x v="6"/>
    <x v="2"/>
    <x v="7"/>
    <x v="8"/>
    <x v="2"/>
    <x v="15"/>
    <x v="17"/>
    <x v="18"/>
  </r>
  <r>
    <x v="20"/>
    <x v="0"/>
    <x v="0"/>
    <x v="0"/>
    <x v="0"/>
    <x v="20"/>
    <x v="0"/>
    <x v="0"/>
    <x v="0"/>
    <x v="0"/>
    <x v="1"/>
    <x v="9"/>
    <x v="2"/>
    <x v="10"/>
    <x v="9"/>
    <x v="2"/>
    <x v="16"/>
    <x v="18"/>
    <x v="9"/>
  </r>
  <r>
    <x v="21"/>
    <x v="0"/>
    <x v="0"/>
    <x v="0"/>
    <x v="0"/>
    <x v="21"/>
    <x v="0"/>
    <x v="0"/>
    <x v="0"/>
    <x v="0"/>
    <x v="1"/>
    <x v="9"/>
    <x v="2"/>
    <x v="10"/>
    <x v="9"/>
    <x v="5"/>
    <x v="0"/>
    <x v="17"/>
    <x v="19"/>
  </r>
  <r>
    <x v="22"/>
    <x v="0"/>
    <x v="0"/>
    <x v="0"/>
    <x v="0"/>
    <x v="22"/>
    <x v="0"/>
    <x v="0"/>
    <x v="0"/>
    <x v="0"/>
    <x v="1"/>
    <x v="9"/>
    <x v="2"/>
    <x v="10"/>
    <x v="10"/>
    <x v="6"/>
    <x v="16"/>
    <x v="19"/>
    <x v="20"/>
  </r>
  <r>
    <x v="23"/>
    <x v="0"/>
    <x v="0"/>
    <x v="0"/>
    <x v="0"/>
    <x v="23"/>
    <x v="0"/>
    <x v="0"/>
    <x v="0"/>
    <x v="0"/>
    <x v="1"/>
    <x v="7"/>
    <x v="2"/>
    <x v="11"/>
    <x v="8"/>
    <x v="4"/>
    <x v="13"/>
    <x v="9"/>
    <x v="21"/>
  </r>
  <r>
    <x v="24"/>
    <x v="1"/>
    <x v="0"/>
    <x v="0"/>
    <x v="0"/>
    <x v="0"/>
    <x v="0"/>
    <x v="0"/>
    <x v="1"/>
    <x v="1"/>
    <x v="1"/>
    <x v="7"/>
    <x v="2"/>
    <x v="8"/>
    <x v="8"/>
    <x v="4"/>
    <x v="17"/>
    <x v="0"/>
    <x v="22"/>
  </r>
  <r>
    <x v="25"/>
    <x v="1"/>
    <x v="0"/>
    <x v="0"/>
    <x v="0"/>
    <x v="1"/>
    <x v="0"/>
    <x v="0"/>
    <x v="1"/>
    <x v="1"/>
    <x v="1"/>
    <x v="8"/>
    <x v="2"/>
    <x v="9"/>
    <x v="10"/>
    <x v="2"/>
    <x v="5"/>
    <x v="20"/>
    <x v="22"/>
  </r>
  <r>
    <x v="26"/>
    <x v="1"/>
    <x v="0"/>
    <x v="0"/>
    <x v="0"/>
    <x v="2"/>
    <x v="0"/>
    <x v="0"/>
    <x v="1"/>
    <x v="1"/>
    <x v="1"/>
    <x v="6"/>
    <x v="2"/>
    <x v="7"/>
    <x v="11"/>
    <x v="3"/>
    <x v="5"/>
    <x v="21"/>
    <x v="23"/>
  </r>
  <r>
    <x v="27"/>
    <x v="1"/>
    <x v="0"/>
    <x v="0"/>
    <x v="0"/>
    <x v="3"/>
    <x v="0"/>
    <x v="0"/>
    <x v="1"/>
    <x v="1"/>
    <x v="1"/>
    <x v="7"/>
    <x v="2"/>
    <x v="8"/>
    <x v="10"/>
    <x v="5"/>
    <x v="4"/>
    <x v="22"/>
    <x v="24"/>
  </r>
  <r>
    <x v="28"/>
    <x v="1"/>
    <x v="0"/>
    <x v="0"/>
    <x v="0"/>
    <x v="4"/>
    <x v="0"/>
    <x v="0"/>
    <x v="1"/>
    <x v="1"/>
    <x v="1"/>
    <x v="7"/>
    <x v="2"/>
    <x v="12"/>
    <x v="10"/>
    <x v="5"/>
    <x v="4"/>
    <x v="4"/>
    <x v="6"/>
  </r>
  <r>
    <x v="29"/>
    <x v="1"/>
    <x v="0"/>
    <x v="0"/>
    <x v="0"/>
    <x v="6"/>
    <x v="1"/>
    <x v="0"/>
    <x v="1"/>
    <x v="1"/>
    <x v="2"/>
    <x v="6"/>
    <x v="2"/>
    <x v="7"/>
    <x v="5"/>
    <x v="4"/>
    <x v="3"/>
    <x v="6"/>
    <x v="5"/>
  </r>
  <r>
    <x v="30"/>
    <x v="1"/>
    <x v="0"/>
    <x v="0"/>
    <x v="0"/>
    <x v="7"/>
    <x v="1"/>
    <x v="0"/>
    <x v="1"/>
    <x v="1"/>
    <x v="1"/>
    <x v="9"/>
    <x v="2"/>
    <x v="10"/>
    <x v="4"/>
    <x v="5"/>
    <x v="3"/>
    <x v="4"/>
    <x v="4"/>
  </r>
  <r>
    <x v="31"/>
    <x v="1"/>
    <x v="0"/>
    <x v="0"/>
    <x v="0"/>
    <x v="8"/>
    <x v="1"/>
    <x v="0"/>
    <x v="1"/>
    <x v="1"/>
    <x v="2"/>
    <x v="9"/>
    <x v="2"/>
    <x v="10"/>
    <x v="12"/>
    <x v="6"/>
    <x v="3"/>
    <x v="21"/>
    <x v="7"/>
  </r>
  <r>
    <x v="32"/>
    <x v="1"/>
    <x v="0"/>
    <x v="0"/>
    <x v="0"/>
    <x v="9"/>
    <x v="1"/>
    <x v="0"/>
    <x v="1"/>
    <x v="1"/>
    <x v="1"/>
    <x v="4"/>
    <x v="2"/>
    <x v="13"/>
    <x v="4"/>
    <x v="6"/>
    <x v="5"/>
    <x v="23"/>
    <x v="25"/>
  </r>
  <r>
    <x v="33"/>
    <x v="1"/>
    <x v="0"/>
    <x v="0"/>
    <x v="0"/>
    <x v="10"/>
    <x v="1"/>
    <x v="0"/>
    <x v="1"/>
    <x v="1"/>
    <x v="1"/>
    <x v="5"/>
    <x v="2"/>
    <x v="4"/>
    <x v="0"/>
    <x v="6"/>
    <x v="18"/>
    <x v="24"/>
    <x v="26"/>
  </r>
  <r>
    <x v="34"/>
    <x v="1"/>
    <x v="0"/>
    <x v="0"/>
    <x v="0"/>
    <x v="11"/>
    <x v="1"/>
    <x v="0"/>
    <x v="1"/>
    <x v="1"/>
    <x v="1"/>
    <x v="5"/>
    <x v="2"/>
    <x v="6"/>
    <x v="12"/>
    <x v="2"/>
    <x v="19"/>
    <x v="25"/>
    <x v="27"/>
  </r>
  <r>
    <x v="35"/>
    <x v="1"/>
    <x v="0"/>
    <x v="0"/>
    <x v="0"/>
    <x v="12"/>
    <x v="2"/>
    <x v="0"/>
    <x v="1"/>
    <x v="1"/>
    <x v="1"/>
    <x v="5"/>
    <x v="2"/>
    <x v="6"/>
    <x v="13"/>
    <x v="4"/>
    <x v="20"/>
    <x v="26"/>
    <x v="15"/>
  </r>
  <r>
    <x v="36"/>
    <x v="1"/>
    <x v="0"/>
    <x v="0"/>
    <x v="0"/>
    <x v="13"/>
    <x v="2"/>
    <x v="0"/>
    <x v="1"/>
    <x v="1"/>
    <x v="1"/>
    <x v="5"/>
    <x v="2"/>
    <x v="4"/>
    <x v="13"/>
    <x v="7"/>
    <x v="16"/>
    <x v="27"/>
    <x v="28"/>
  </r>
  <r>
    <x v="37"/>
    <x v="1"/>
    <x v="0"/>
    <x v="0"/>
    <x v="0"/>
    <x v="14"/>
    <x v="2"/>
    <x v="0"/>
    <x v="1"/>
    <x v="1"/>
    <x v="2"/>
    <x v="5"/>
    <x v="2"/>
    <x v="14"/>
    <x v="4"/>
    <x v="5"/>
    <x v="17"/>
    <x v="11"/>
    <x v="29"/>
  </r>
  <r>
    <x v="38"/>
    <x v="1"/>
    <x v="0"/>
    <x v="0"/>
    <x v="0"/>
    <x v="15"/>
    <x v="2"/>
    <x v="0"/>
    <x v="1"/>
    <x v="1"/>
    <x v="2"/>
    <x v="10"/>
    <x v="2"/>
    <x v="6"/>
    <x v="0"/>
    <x v="8"/>
    <x v="21"/>
    <x v="11"/>
    <x v="30"/>
  </r>
  <r>
    <x v="39"/>
    <x v="1"/>
    <x v="0"/>
    <x v="0"/>
    <x v="0"/>
    <x v="16"/>
    <x v="2"/>
    <x v="0"/>
    <x v="1"/>
    <x v="1"/>
    <x v="2"/>
    <x v="10"/>
    <x v="2"/>
    <x v="6"/>
    <x v="12"/>
    <x v="8"/>
    <x v="14"/>
    <x v="28"/>
    <x v="31"/>
  </r>
  <r>
    <x v="40"/>
    <x v="1"/>
    <x v="0"/>
    <x v="0"/>
    <x v="0"/>
    <x v="17"/>
    <x v="3"/>
    <x v="0"/>
    <x v="1"/>
    <x v="1"/>
    <x v="0"/>
    <x v="10"/>
    <x v="2"/>
    <x v="6"/>
    <x v="14"/>
    <x v="5"/>
    <x v="18"/>
    <x v="29"/>
    <x v="32"/>
  </r>
  <r>
    <x v="41"/>
    <x v="1"/>
    <x v="0"/>
    <x v="0"/>
    <x v="0"/>
    <x v="18"/>
    <x v="3"/>
    <x v="0"/>
    <x v="1"/>
    <x v="1"/>
    <x v="1"/>
    <x v="5"/>
    <x v="2"/>
    <x v="6"/>
    <x v="15"/>
    <x v="9"/>
    <x v="22"/>
    <x v="30"/>
    <x v="26"/>
  </r>
  <r>
    <x v="42"/>
    <x v="1"/>
    <x v="0"/>
    <x v="0"/>
    <x v="0"/>
    <x v="19"/>
    <x v="3"/>
    <x v="0"/>
    <x v="1"/>
    <x v="1"/>
    <x v="0"/>
    <x v="3"/>
    <x v="2"/>
    <x v="0"/>
    <x v="16"/>
    <x v="10"/>
    <x v="5"/>
    <x v="31"/>
    <x v="33"/>
  </r>
  <r>
    <x v="43"/>
    <x v="1"/>
    <x v="0"/>
    <x v="0"/>
    <x v="0"/>
    <x v="20"/>
    <x v="0"/>
    <x v="0"/>
    <x v="1"/>
    <x v="1"/>
    <x v="0"/>
    <x v="11"/>
    <x v="0"/>
    <x v="2"/>
    <x v="17"/>
    <x v="11"/>
    <x v="2"/>
    <x v="19"/>
    <x v="34"/>
  </r>
  <r>
    <x v="44"/>
    <x v="1"/>
    <x v="0"/>
    <x v="0"/>
    <x v="0"/>
    <x v="21"/>
    <x v="0"/>
    <x v="0"/>
    <x v="1"/>
    <x v="1"/>
    <x v="0"/>
    <x v="12"/>
    <x v="0"/>
    <x v="15"/>
    <x v="18"/>
    <x v="9"/>
    <x v="16"/>
    <x v="32"/>
    <x v="35"/>
  </r>
  <r>
    <x v="45"/>
    <x v="1"/>
    <x v="0"/>
    <x v="0"/>
    <x v="0"/>
    <x v="22"/>
    <x v="0"/>
    <x v="0"/>
    <x v="1"/>
    <x v="1"/>
    <x v="0"/>
    <x v="0"/>
    <x v="0"/>
    <x v="16"/>
    <x v="18"/>
    <x v="4"/>
    <x v="3"/>
    <x v="33"/>
    <x v="23"/>
  </r>
  <r>
    <x v="46"/>
    <x v="1"/>
    <x v="0"/>
    <x v="0"/>
    <x v="0"/>
    <x v="23"/>
    <x v="0"/>
    <x v="0"/>
    <x v="1"/>
    <x v="1"/>
    <x v="0"/>
    <x v="1"/>
    <x v="0"/>
    <x v="15"/>
    <x v="19"/>
    <x v="8"/>
    <x v="3"/>
    <x v="21"/>
    <x v="7"/>
  </r>
  <r>
    <x v="47"/>
    <x v="2"/>
    <x v="0"/>
    <x v="0"/>
    <x v="0"/>
    <x v="0"/>
    <x v="0"/>
    <x v="0"/>
    <x v="2"/>
    <x v="2"/>
    <x v="0"/>
    <x v="1"/>
    <x v="0"/>
    <x v="17"/>
    <x v="18"/>
    <x v="11"/>
    <x v="3"/>
    <x v="34"/>
    <x v="36"/>
  </r>
  <r>
    <x v="48"/>
    <x v="2"/>
    <x v="0"/>
    <x v="0"/>
    <x v="0"/>
    <x v="1"/>
    <x v="0"/>
    <x v="0"/>
    <x v="2"/>
    <x v="2"/>
    <x v="0"/>
    <x v="2"/>
    <x v="1"/>
    <x v="18"/>
    <x v="18"/>
    <x v="12"/>
    <x v="3"/>
    <x v="6"/>
    <x v="5"/>
  </r>
  <r>
    <x v="49"/>
    <x v="2"/>
    <x v="0"/>
    <x v="0"/>
    <x v="0"/>
    <x v="4"/>
    <x v="0"/>
    <x v="0"/>
    <x v="2"/>
    <x v="2"/>
    <x v="0"/>
    <x v="13"/>
    <x v="1"/>
    <x v="19"/>
    <x v="19"/>
    <x v="13"/>
    <x v="3"/>
    <x v="4"/>
    <x v="4"/>
  </r>
  <r>
    <x v="50"/>
    <x v="2"/>
    <x v="0"/>
    <x v="0"/>
    <x v="0"/>
    <x v="5"/>
    <x v="1"/>
    <x v="0"/>
    <x v="2"/>
    <x v="2"/>
    <x v="0"/>
    <x v="13"/>
    <x v="1"/>
    <x v="19"/>
    <x v="19"/>
    <x v="3"/>
    <x v="3"/>
    <x v="35"/>
    <x v="6"/>
  </r>
  <r>
    <x v="51"/>
    <x v="2"/>
    <x v="0"/>
    <x v="0"/>
    <x v="0"/>
    <x v="6"/>
    <x v="1"/>
    <x v="0"/>
    <x v="2"/>
    <x v="2"/>
    <x v="0"/>
    <x v="14"/>
    <x v="1"/>
    <x v="20"/>
    <x v="20"/>
    <x v="13"/>
    <x v="3"/>
    <x v="10"/>
    <x v="33"/>
  </r>
  <r>
    <x v="52"/>
    <x v="2"/>
    <x v="0"/>
    <x v="0"/>
    <x v="0"/>
    <x v="7"/>
    <x v="1"/>
    <x v="0"/>
    <x v="2"/>
    <x v="2"/>
    <x v="0"/>
    <x v="14"/>
    <x v="1"/>
    <x v="19"/>
    <x v="20"/>
    <x v="5"/>
    <x v="5"/>
    <x v="36"/>
    <x v="37"/>
  </r>
  <r>
    <x v="53"/>
    <x v="2"/>
    <x v="0"/>
    <x v="0"/>
    <x v="0"/>
    <x v="8"/>
    <x v="1"/>
    <x v="0"/>
    <x v="2"/>
    <x v="2"/>
    <x v="0"/>
    <x v="14"/>
    <x v="1"/>
    <x v="21"/>
    <x v="20"/>
    <x v="3"/>
    <x v="5"/>
    <x v="37"/>
    <x v="38"/>
  </r>
  <r>
    <x v="54"/>
    <x v="2"/>
    <x v="0"/>
    <x v="0"/>
    <x v="0"/>
    <x v="9"/>
    <x v="1"/>
    <x v="0"/>
    <x v="2"/>
    <x v="2"/>
    <x v="0"/>
    <x v="13"/>
    <x v="1"/>
    <x v="19"/>
    <x v="21"/>
    <x v="13"/>
    <x v="18"/>
    <x v="38"/>
    <x v="39"/>
  </r>
  <r>
    <x v="55"/>
    <x v="2"/>
    <x v="0"/>
    <x v="0"/>
    <x v="0"/>
    <x v="10"/>
    <x v="1"/>
    <x v="0"/>
    <x v="2"/>
    <x v="2"/>
    <x v="0"/>
    <x v="15"/>
    <x v="1"/>
    <x v="22"/>
    <x v="21"/>
    <x v="2"/>
    <x v="16"/>
    <x v="39"/>
    <x v="40"/>
  </r>
  <r>
    <x v="56"/>
    <x v="2"/>
    <x v="0"/>
    <x v="0"/>
    <x v="0"/>
    <x v="11"/>
    <x v="1"/>
    <x v="0"/>
    <x v="2"/>
    <x v="2"/>
    <x v="0"/>
    <x v="2"/>
    <x v="1"/>
    <x v="23"/>
    <x v="22"/>
    <x v="9"/>
    <x v="22"/>
    <x v="40"/>
    <x v="41"/>
  </r>
  <r>
    <x v="57"/>
    <x v="2"/>
    <x v="0"/>
    <x v="0"/>
    <x v="0"/>
    <x v="12"/>
    <x v="2"/>
    <x v="0"/>
    <x v="2"/>
    <x v="2"/>
    <x v="0"/>
    <x v="1"/>
    <x v="0"/>
    <x v="16"/>
    <x v="23"/>
    <x v="4"/>
    <x v="23"/>
    <x v="41"/>
    <x v="42"/>
  </r>
  <r>
    <x v="58"/>
    <x v="2"/>
    <x v="0"/>
    <x v="0"/>
    <x v="0"/>
    <x v="13"/>
    <x v="2"/>
    <x v="0"/>
    <x v="2"/>
    <x v="2"/>
    <x v="0"/>
    <x v="0"/>
    <x v="0"/>
    <x v="24"/>
    <x v="23"/>
    <x v="3"/>
    <x v="1"/>
    <x v="42"/>
    <x v="42"/>
  </r>
  <r>
    <x v="59"/>
    <x v="2"/>
    <x v="0"/>
    <x v="0"/>
    <x v="0"/>
    <x v="14"/>
    <x v="2"/>
    <x v="0"/>
    <x v="2"/>
    <x v="2"/>
    <x v="0"/>
    <x v="12"/>
    <x v="0"/>
    <x v="25"/>
    <x v="24"/>
    <x v="3"/>
    <x v="16"/>
    <x v="43"/>
    <x v="43"/>
  </r>
  <r>
    <x v="60"/>
    <x v="2"/>
    <x v="0"/>
    <x v="0"/>
    <x v="0"/>
    <x v="15"/>
    <x v="2"/>
    <x v="0"/>
    <x v="2"/>
    <x v="2"/>
    <x v="0"/>
    <x v="12"/>
    <x v="0"/>
    <x v="25"/>
    <x v="24"/>
    <x v="2"/>
    <x v="24"/>
    <x v="29"/>
    <x v="44"/>
  </r>
  <r>
    <x v="61"/>
    <x v="2"/>
    <x v="0"/>
    <x v="0"/>
    <x v="0"/>
    <x v="16"/>
    <x v="2"/>
    <x v="0"/>
    <x v="2"/>
    <x v="2"/>
    <x v="0"/>
    <x v="12"/>
    <x v="0"/>
    <x v="25"/>
    <x v="24"/>
    <x v="2"/>
    <x v="14"/>
    <x v="28"/>
    <x v="31"/>
  </r>
  <r>
    <x v="62"/>
    <x v="2"/>
    <x v="0"/>
    <x v="0"/>
    <x v="0"/>
    <x v="17"/>
    <x v="3"/>
    <x v="0"/>
    <x v="2"/>
    <x v="2"/>
    <x v="0"/>
    <x v="0"/>
    <x v="0"/>
    <x v="15"/>
    <x v="24"/>
    <x v="6"/>
    <x v="16"/>
    <x v="44"/>
    <x v="45"/>
  </r>
  <r>
    <x v="63"/>
    <x v="2"/>
    <x v="0"/>
    <x v="0"/>
    <x v="0"/>
    <x v="18"/>
    <x v="3"/>
    <x v="0"/>
    <x v="2"/>
    <x v="2"/>
    <x v="0"/>
    <x v="0"/>
    <x v="0"/>
    <x v="2"/>
    <x v="25"/>
    <x v="14"/>
    <x v="14"/>
    <x v="45"/>
    <x v="45"/>
  </r>
  <r>
    <x v="64"/>
    <x v="2"/>
    <x v="0"/>
    <x v="0"/>
    <x v="0"/>
    <x v="19"/>
    <x v="3"/>
    <x v="0"/>
    <x v="2"/>
    <x v="2"/>
    <x v="0"/>
    <x v="2"/>
    <x v="1"/>
    <x v="2"/>
    <x v="19"/>
    <x v="0"/>
    <x v="1"/>
    <x v="46"/>
    <x v="14"/>
  </r>
  <r>
    <x v="65"/>
    <x v="2"/>
    <x v="0"/>
    <x v="0"/>
    <x v="0"/>
    <x v="20"/>
    <x v="0"/>
    <x v="0"/>
    <x v="2"/>
    <x v="2"/>
    <x v="0"/>
    <x v="2"/>
    <x v="1"/>
    <x v="15"/>
    <x v="19"/>
    <x v="14"/>
    <x v="0"/>
    <x v="47"/>
    <x v="46"/>
  </r>
  <r>
    <x v="66"/>
    <x v="2"/>
    <x v="0"/>
    <x v="0"/>
    <x v="0"/>
    <x v="21"/>
    <x v="0"/>
    <x v="0"/>
    <x v="2"/>
    <x v="2"/>
    <x v="0"/>
    <x v="15"/>
    <x v="1"/>
    <x v="17"/>
    <x v="26"/>
    <x v="7"/>
    <x v="0"/>
    <x v="47"/>
    <x v="46"/>
  </r>
  <r>
    <x v="67"/>
    <x v="2"/>
    <x v="0"/>
    <x v="0"/>
    <x v="0"/>
    <x v="22"/>
    <x v="0"/>
    <x v="0"/>
    <x v="2"/>
    <x v="2"/>
    <x v="0"/>
    <x v="14"/>
    <x v="1"/>
    <x v="26"/>
    <x v="27"/>
    <x v="7"/>
    <x v="3"/>
    <x v="32"/>
    <x v="25"/>
  </r>
  <r>
    <x v="68"/>
    <x v="2"/>
    <x v="0"/>
    <x v="0"/>
    <x v="0"/>
    <x v="23"/>
    <x v="0"/>
    <x v="0"/>
    <x v="2"/>
    <x v="2"/>
    <x v="0"/>
    <x v="15"/>
    <x v="1"/>
    <x v="16"/>
    <x v="28"/>
    <x v="14"/>
    <x v="5"/>
    <x v="48"/>
    <x v="47"/>
  </r>
  <r>
    <x v="69"/>
    <x v="3"/>
    <x v="0"/>
    <x v="0"/>
    <x v="0"/>
    <x v="0"/>
    <x v="0"/>
    <x v="0"/>
    <x v="3"/>
    <x v="3"/>
    <x v="0"/>
    <x v="13"/>
    <x v="1"/>
    <x v="27"/>
    <x v="28"/>
    <x v="14"/>
    <x v="3"/>
    <x v="34"/>
    <x v="36"/>
  </r>
  <r>
    <x v="70"/>
    <x v="3"/>
    <x v="0"/>
    <x v="0"/>
    <x v="0"/>
    <x v="1"/>
    <x v="0"/>
    <x v="0"/>
    <x v="3"/>
    <x v="3"/>
    <x v="0"/>
    <x v="13"/>
    <x v="1"/>
    <x v="23"/>
    <x v="29"/>
    <x v="14"/>
    <x v="3"/>
    <x v="6"/>
    <x v="5"/>
  </r>
  <r>
    <x v="71"/>
    <x v="3"/>
    <x v="0"/>
    <x v="0"/>
    <x v="0"/>
    <x v="2"/>
    <x v="0"/>
    <x v="0"/>
    <x v="3"/>
    <x v="3"/>
    <x v="0"/>
    <x v="14"/>
    <x v="1"/>
    <x v="26"/>
    <x v="30"/>
    <x v="7"/>
    <x v="3"/>
    <x v="4"/>
    <x v="4"/>
  </r>
  <r>
    <x v="72"/>
    <x v="3"/>
    <x v="0"/>
    <x v="0"/>
    <x v="0"/>
    <x v="4"/>
    <x v="0"/>
    <x v="0"/>
    <x v="3"/>
    <x v="3"/>
    <x v="0"/>
    <x v="14"/>
    <x v="1"/>
    <x v="23"/>
    <x v="30"/>
    <x v="1"/>
    <x v="3"/>
    <x v="6"/>
    <x v="5"/>
  </r>
  <r>
    <x v="73"/>
    <x v="3"/>
    <x v="0"/>
    <x v="0"/>
    <x v="0"/>
    <x v="5"/>
    <x v="1"/>
    <x v="0"/>
    <x v="3"/>
    <x v="3"/>
    <x v="0"/>
    <x v="16"/>
    <x v="1"/>
    <x v="26"/>
    <x v="31"/>
    <x v="14"/>
    <x v="3"/>
    <x v="22"/>
    <x v="48"/>
  </r>
  <r>
    <x v="74"/>
    <x v="3"/>
    <x v="0"/>
    <x v="0"/>
    <x v="0"/>
    <x v="6"/>
    <x v="1"/>
    <x v="0"/>
    <x v="3"/>
    <x v="3"/>
    <x v="0"/>
    <x v="16"/>
    <x v="1"/>
    <x v="26"/>
    <x v="32"/>
    <x v="14"/>
    <x v="3"/>
    <x v="49"/>
    <x v="9"/>
  </r>
  <r>
    <x v="75"/>
    <x v="3"/>
    <x v="0"/>
    <x v="0"/>
    <x v="0"/>
    <x v="7"/>
    <x v="1"/>
    <x v="0"/>
    <x v="3"/>
    <x v="3"/>
    <x v="0"/>
    <x v="16"/>
    <x v="1"/>
    <x v="26"/>
    <x v="32"/>
    <x v="7"/>
    <x v="4"/>
    <x v="50"/>
    <x v="12"/>
  </r>
  <r>
    <x v="76"/>
    <x v="3"/>
    <x v="0"/>
    <x v="0"/>
    <x v="0"/>
    <x v="8"/>
    <x v="1"/>
    <x v="0"/>
    <x v="3"/>
    <x v="3"/>
    <x v="0"/>
    <x v="14"/>
    <x v="1"/>
    <x v="26"/>
    <x v="27"/>
    <x v="8"/>
    <x v="4"/>
    <x v="51"/>
    <x v="49"/>
  </r>
  <r>
    <x v="77"/>
    <x v="3"/>
    <x v="0"/>
    <x v="0"/>
    <x v="0"/>
    <x v="9"/>
    <x v="1"/>
    <x v="0"/>
    <x v="3"/>
    <x v="3"/>
    <x v="0"/>
    <x v="13"/>
    <x v="1"/>
    <x v="26"/>
    <x v="26"/>
    <x v="6"/>
    <x v="4"/>
    <x v="52"/>
    <x v="50"/>
  </r>
  <r>
    <x v="78"/>
    <x v="3"/>
    <x v="0"/>
    <x v="0"/>
    <x v="0"/>
    <x v="10"/>
    <x v="1"/>
    <x v="0"/>
    <x v="3"/>
    <x v="3"/>
    <x v="1"/>
    <x v="13"/>
    <x v="1"/>
    <x v="19"/>
    <x v="27"/>
    <x v="9"/>
    <x v="2"/>
    <x v="53"/>
    <x v="51"/>
  </r>
  <r>
    <x v="79"/>
    <x v="3"/>
    <x v="0"/>
    <x v="0"/>
    <x v="0"/>
    <x v="11"/>
    <x v="1"/>
    <x v="0"/>
    <x v="3"/>
    <x v="3"/>
    <x v="0"/>
    <x v="1"/>
    <x v="0"/>
    <x v="16"/>
    <x v="33"/>
    <x v="4"/>
    <x v="18"/>
    <x v="54"/>
    <x v="52"/>
  </r>
  <r>
    <x v="80"/>
    <x v="3"/>
    <x v="0"/>
    <x v="0"/>
    <x v="0"/>
    <x v="12"/>
    <x v="2"/>
    <x v="0"/>
    <x v="3"/>
    <x v="3"/>
    <x v="0"/>
    <x v="1"/>
    <x v="0"/>
    <x v="15"/>
    <x v="33"/>
    <x v="8"/>
    <x v="6"/>
    <x v="43"/>
    <x v="53"/>
  </r>
  <r>
    <x v="81"/>
    <x v="3"/>
    <x v="0"/>
    <x v="0"/>
    <x v="0"/>
    <x v="13"/>
    <x v="2"/>
    <x v="0"/>
    <x v="3"/>
    <x v="3"/>
    <x v="0"/>
    <x v="0"/>
    <x v="0"/>
    <x v="15"/>
    <x v="34"/>
    <x v="5"/>
    <x v="25"/>
    <x v="55"/>
    <x v="54"/>
  </r>
  <r>
    <x v="82"/>
    <x v="3"/>
    <x v="0"/>
    <x v="0"/>
    <x v="0"/>
    <x v="14"/>
    <x v="2"/>
    <x v="0"/>
    <x v="3"/>
    <x v="3"/>
    <x v="0"/>
    <x v="12"/>
    <x v="0"/>
    <x v="2"/>
    <x v="35"/>
    <x v="6"/>
    <x v="14"/>
    <x v="25"/>
    <x v="55"/>
  </r>
  <r>
    <x v="83"/>
    <x v="3"/>
    <x v="0"/>
    <x v="0"/>
    <x v="0"/>
    <x v="15"/>
    <x v="2"/>
    <x v="0"/>
    <x v="3"/>
    <x v="3"/>
    <x v="0"/>
    <x v="17"/>
    <x v="0"/>
    <x v="1"/>
    <x v="35"/>
    <x v="2"/>
    <x v="26"/>
    <x v="41"/>
    <x v="32"/>
  </r>
  <r>
    <x v="84"/>
    <x v="3"/>
    <x v="0"/>
    <x v="0"/>
    <x v="0"/>
    <x v="16"/>
    <x v="2"/>
    <x v="0"/>
    <x v="3"/>
    <x v="3"/>
    <x v="0"/>
    <x v="11"/>
    <x v="0"/>
    <x v="0"/>
    <x v="36"/>
    <x v="2"/>
    <x v="13"/>
    <x v="56"/>
    <x v="56"/>
  </r>
  <r>
    <x v="85"/>
    <x v="3"/>
    <x v="0"/>
    <x v="0"/>
    <x v="0"/>
    <x v="17"/>
    <x v="3"/>
    <x v="0"/>
    <x v="3"/>
    <x v="3"/>
    <x v="0"/>
    <x v="17"/>
    <x v="0"/>
    <x v="1"/>
    <x v="37"/>
    <x v="6"/>
    <x v="22"/>
    <x v="57"/>
    <x v="57"/>
  </r>
  <r>
    <x v="86"/>
    <x v="3"/>
    <x v="0"/>
    <x v="0"/>
    <x v="0"/>
    <x v="18"/>
    <x v="3"/>
    <x v="0"/>
    <x v="3"/>
    <x v="3"/>
    <x v="0"/>
    <x v="12"/>
    <x v="0"/>
    <x v="2"/>
    <x v="37"/>
    <x v="5"/>
    <x v="0"/>
    <x v="58"/>
    <x v="58"/>
  </r>
  <r>
    <x v="87"/>
    <x v="3"/>
    <x v="0"/>
    <x v="0"/>
    <x v="0"/>
    <x v="19"/>
    <x v="3"/>
    <x v="0"/>
    <x v="3"/>
    <x v="3"/>
    <x v="0"/>
    <x v="0"/>
    <x v="0"/>
    <x v="2"/>
    <x v="37"/>
    <x v="14"/>
    <x v="4"/>
    <x v="59"/>
    <x v="59"/>
  </r>
  <r>
    <x v="88"/>
    <x v="3"/>
    <x v="0"/>
    <x v="0"/>
    <x v="0"/>
    <x v="20"/>
    <x v="0"/>
    <x v="0"/>
    <x v="3"/>
    <x v="3"/>
    <x v="0"/>
    <x v="0"/>
    <x v="0"/>
    <x v="2"/>
    <x v="37"/>
    <x v="14"/>
    <x v="5"/>
    <x v="42"/>
    <x v="60"/>
  </r>
  <r>
    <x v="89"/>
    <x v="3"/>
    <x v="0"/>
    <x v="0"/>
    <x v="0"/>
    <x v="21"/>
    <x v="0"/>
    <x v="0"/>
    <x v="3"/>
    <x v="3"/>
    <x v="0"/>
    <x v="1"/>
    <x v="0"/>
    <x v="1"/>
    <x v="26"/>
    <x v="0"/>
    <x v="3"/>
    <x v="41"/>
    <x v="61"/>
  </r>
  <r>
    <x v="90"/>
    <x v="3"/>
    <x v="0"/>
    <x v="0"/>
    <x v="0"/>
    <x v="22"/>
    <x v="0"/>
    <x v="0"/>
    <x v="3"/>
    <x v="3"/>
    <x v="0"/>
    <x v="1"/>
    <x v="0"/>
    <x v="2"/>
    <x v="26"/>
    <x v="1"/>
    <x v="5"/>
    <x v="60"/>
    <x v="17"/>
  </r>
  <r>
    <x v="91"/>
    <x v="3"/>
    <x v="0"/>
    <x v="0"/>
    <x v="0"/>
    <x v="23"/>
    <x v="0"/>
    <x v="0"/>
    <x v="3"/>
    <x v="3"/>
    <x v="0"/>
    <x v="2"/>
    <x v="1"/>
    <x v="15"/>
    <x v="27"/>
    <x v="1"/>
    <x v="4"/>
    <x v="33"/>
    <x v="62"/>
  </r>
  <r>
    <x v="92"/>
    <x v="4"/>
    <x v="0"/>
    <x v="0"/>
    <x v="0"/>
    <x v="0"/>
    <x v="0"/>
    <x v="0"/>
    <x v="4"/>
    <x v="4"/>
    <x v="0"/>
    <x v="2"/>
    <x v="1"/>
    <x v="2"/>
    <x v="26"/>
    <x v="0"/>
    <x v="3"/>
    <x v="8"/>
    <x v="24"/>
  </r>
  <r>
    <x v="93"/>
    <x v="4"/>
    <x v="0"/>
    <x v="0"/>
    <x v="0"/>
    <x v="1"/>
    <x v="0"/>
    <x v="0"/>
    <x v="4"/>
    <x v="4"/>
    <x v="0"/>
    <x v="13"/>
    <x v="1"/>
    <x v="17"/>
    <x v="32"/>
    <x v="1"/>
    <x v="3"/>
    <x v="8"/>
    <x v="24"/>
  </r>
  <r>
    <x v="94"/>
    <x v="4"/>
    <x v="0"/>
    <x v="0"/>
    <x v="0"/>
    <x v="2"/>
    <x v="0"/>
    <x v="0"/>
    <x v="4"/>
    <x v="4"/>
    <x v="0"/>
    <x v="13"/>
    <x v="1"/>
    <x v="17"/>
    <x v="32"/>
    <x v="1"/>
    <x v="3"/>
    <x v="6"/>
    <x v="5"/>
  </r>
  <r>
    <x v="95"/>
    <x v="4"/>
    <x v="0"/>
    <x v="0"/>
    <x v="0"/>
    <x v="4"/>
    <x v="0"/>
    <x v="0"/>
    <x v="4"/>
    <x v="4"/>
    <x v="0"/>
    <x v="0"/>
    <x v="0"/>
    <x v="15"/>
    <x v="37"/>
    <x v="6"/>
    <x v="3"/>
    <x v="6"/>
    <x v="5"/>
  </r>
  <r>
    <x v="96"/>
    <x v="4"/>
    <x v="0"/>
    <x v="0"/>
    <x v="0"/>
    <x v="5"/>
    <x v="1"/>
    <x v="0"/>
    <x v="4"/>
    <x v="4"/>
    <x v="0"/>
    <x v="1"/>
    <x v="0"/>
    <x v="15"/>
    <x v="19"/>
    <x v="8"/>
    <x v="3"/>
    <x v="35"/>
    <x v="6"/>
  </r>
  <r>
    <x v="97"/>
    <x v="4"/>
    <x v="0"/>
    <x v="0"/>
    <x v="0"/>
    <x v="6"/>
    <x v="1"/>
    <x v="0"/>
    <x v="4"/>
    <x v="4"/>
    <x v="0"/>
    <x v="2"/>
    <x v="1"/>
    <x v="17"/>
    <x v="19"/>
    <x v="6"/>
    <x v="3"/>
    <x v="39"/>
    <x v="63"/>
  </r>
  <r>
    <x v="98"/>
    <x v="4"/>
    <x v="0"/>
    <x v="0"/>
    <x v="0"/>
    <x v="7"/>
    <x v="1"/>
    <x v="0"/>
    <x v="4"/>
    <x v="4"/>
    <x v="0"/>
    <x v="15"/>
    <x v="1"/>
    <x v="23"/>
    <x v="21"/>
    <x v="5"/>
    <x v="5"/>
    <x v="61"/>
    <x v="39"/>
  </r>
  <r>
    <x v="99"/>
    <x v="4"/>
    <x v="0"/>
    <x v="0"/>
    <x v="0"/>
    <x v="8"/>
    <x v="1"/>
    <x v="0"/>
    <x v="4"/>
    <x v="4"/>
    <x v="0"/>
    <x v="2"/>
    <x v="1"/>
    <x v="23"/>
    <x v="22"/>
    <x v="4"/>
    <x v="0"/>
    <x v="62"/>
    <x v="64"/>
  </r>
  <r>
    <x v="100"/>
    <x v="4"/>
    <x v="0"/>
    <x v="0"/>
    <x v="0"/>
    <x v="9"/>
    <x v="1"/>
    <x v="0"/>
    <x v="4"/>
    <x v="4"/>
    <x v="0"/>
    <x v="1"/>
    <x v="0"/>
    <x v="17"/>
    <x v="38"/>
    <x v="9"/>
    <x v="15"/>
    <x v="63"/>
    <x v="65"/>
  </r>
  <r>
    <x v="101"/>
    <x v="4"/>
    <x v="0"/>
    <x v="0"/>
    <x v="0"/>
    <x v="10"/>
    <x v="1"/>
    <x v="0"/>
    <x v="4"/>
    <x v="4"/>
    <x v="0"/>
    <x v="1"/>
    <x v="0"/>
    <x v="17"/>
    <x v="38"/>
    <x v="9"/>
    <x v="17"/>
    <x v="42"/>
    <x v="52"/>
  </r>
  <r>
    <x v="102"/>
    <x v="4"/>
    <x v="0"/>
    <x v="0"/>
    <x v="0"/>
    <x v="11"/>
    <x v="1"/>
    <x v="0"/>
    <x v="4"/>
    <x v="4"/>
    <x v="0"/>
    <x v="12"/>
    <x v="0"/>
    <x v="15"/>
    <x v="39"/>
    <x v="9"/>
    <x v="6"/>
    <x v="60"/>
    <x v="66"/>
  </r>
  <r>
    <x v="103"/>
    <x v="4"/>
    <x v="0"/>
    <x v="0"/>
    <x v="0"/>
    <x v="12"/>
    <x v="2"/>
    <x v="0"/>
    <x v="4"/>
    <x v="4"/>
    <x v="0"/>
    <x v="12"/>
    <x v="0"/>
    <x v="15"/>
    <x v="39"/>
    <x v="9"/>
    <x v="2"/>
    <x v="64"/>
    <x v="67"/>
  </r>
  <r>
    <x v="104"/>
    <x v="4"/>
    <x v="0"/>
    <x v="0"/>
    <x v="0"/>
    <x v="13"/>
    <x v="2"/>
    <x v="0"/>
    <x v="4"/>
    <x v="4"/>
    <x v="0"/>
    <x v="17"/>
    <x v="0"/>
    <x v="2"/>
    <x v="24"/>
    <x v="4"/>
    <x v="15"/>
    <x v="65"/>
    <x v="68"/>
  </r>
  <r>
    <x v="105"/>
    <x v="4"/>
    <x v="0"/>
    <x v="0"/>
    <x v="0"/>
    <x v="14"/>
    <x v="2"/>
    <x v="0"/>
    <x v="4"/>
    <x v="4"/>
    <x v="0"/>
    <x v="11"/>
    <x v="0"/>
    <x v="0"/>
    <x v="40"/>
    <x v="5"/>
    <x v="22"/>
    <x v="15"/>
    <x v="69"/>
  </r>
  <r>
    <x v="106"/>
    <x v="4"/>
    <x v="0"/>
    <x v="0"/>
    <x v="0"/>
    <x v="15"/>
    <x v="2"/>
    <x v="0"/>
    <x v="4"/>
    <x v="4"/>
    <x v="0"/>
    <x v="11"/>
    <x v="0"/>
    <x v="0"/>
    <x v="40"/>
    <x v="5"/>
    <x v="18"/>
    <x v="11"/>
    <x v="69"/>
  </r>
  <r>
    <x v="107"/>
    <x v="4"/>
    <x v="0"/>
    <x v="0"/>
    <x v="0"/>
    <x v="16"/>
    <x v="2"/>
    <x v="0"/>
    <x v="4"/>
    <x v="4"/>
    <x v="0"/>
    <x v="11"/>
    <x v="0"/>
    <x v="28"/>
    <x v="40"/>
    <x v="1"/>
    <x v="17"/>
    <x v="66"/>
    <x v="70"/>
  </r>
  <r>
    <x v="108"/>
    <x v="4"/>
    <x v="0"/>
    <x v="0"/>
    <x v="0"/>
    <x v="17"/>
    <x v="3"/>
    <x v="0"/>
    <x v="4"/>
    <x v="4"/>
    <x v="0"/>
    <x v="0"/>
    <x v="0"/>
    <x v="15"/>
    <x v="41"/>
    <x v="5"/>
    <x v="17"/>
    <x v="67"/>
    <x v="71"/>
  </r>
  <r>
    <x v="109"/>
    <x v="4"/>
    <x v="0"/>
    <x v="0"/>
    <x v="0"/>
    <x v="18"/>
    <x v="3"/>
    <x v="0"/>
    <x v="4"/>
    <x v="4"/>
    <x v="0"/>
    <x v="0"/>
    <x v="0"/>
    <x v="25"/>
    <x v="41"/>
    <x v="7"/>
    <x v="0"/>
    <x v="68"/>
    <x v="72"/>
  </r>
  <r>
    <x v="110"/>
    <x v="4"/>
    <x v="0"/>
    <x v="0"/>
    <x v="0"/>
    <x v="19"/>
    <x v="3"/>
    <x v="0"/>
    <x v="4"/>
    <x v="4"/>
    <x v="0"/>
    <x v="0"/>
    <x v="0"/>
    <x v="2"/>
    <x v="41"/>
    <x v="14"/>
    <x v="2"/>
    <x v="69"/>
    <x v="73"/>
  </r>
  <r>
    <x v="111"/>
    <x v="4"/>
    <x v="0"/>
    <x v="0"/>
    <x v="0"/>
    <x v="20"/>
    <x v="0"/>
    <x v="0"/>
    <x v="4"/>
    <x v="4"/>
    <x v="0"/>
    <x v="1"/>
    <x v="0"/>
    <x v="15"/>
    <x v="19"/>
    <x v="8"/>
    <x v="18"/>
    <x v="70"/>
    <x v="70"/>
  </r>
  <r>
    <x v="112"/>
    <x v="4"/>
    <x v="0"/>
    <x v="0"/>
    <x v="0"/>
    <x v="21"/>
    <x v="0"/>
    <x v="0"/>
    <x v="4"/>
    <x v="4"/>
    <x v="0"/>
    <x v="2"/>
    <x v="1"/>
    <x v="17"/>
    <x v="33"/>
    <x v="5"/>
    <x v="0"/>
    <x v="71"/>
    <x v="74"/>
  </r>
  <r>
    <x v="113"/>
    <x v="4"/>
    <x v="0"/>
    <x v="0"/>
    <x v="0"/>
    <x v="22"/>
    <x v="0"/>
    <x v="0"/>
    <x v="4"/>
    <x v="4"/>
    <x v="0"/>
    <x v="15"/>
    <x v="1"/>
    <x v="17"/>
    <x v="28"/>
    <x v="7"/>
    <x v="5"/>
    <x v="40"/>
    <x v="51"/>
  </r>
  <r>
    <x v="114"/>
    <x v="4"/>
    <x v="0"/>
    <x v="0"/>
    <x v="0"/>
    <x v="23"/>
    <x v="0"/>
    <x v="0"/>
    <x v="4"/>
    <x v="4"/>
    <x v="0"/>
    <x v="2"/>
    <x v="1"/>
    <x v="2"/>
    <x v="19"/>
    <x v="0"/>
    <x v="5"/>
    <x v="72"/>
    <x v="75"/>
  </r>
  <r>
    <x v="115"/>
    <x v="5"/>
    <x v="0"/>
    <x v="0"/>
    <x v="0"/>
    <x v="0"/>
    <x v="0"/>
    <x v="0"/>
    <x v="5"/>
    <x v="5"/>
    <x v="0"/>
    <x v="15"/>
    <x v="1"/>
    <x v="25"/>
    <x v="28"/>
    <x v="0"/>
    <x v="3"/>
    <x v="48"/>
    <x v="62"/>
  </r>
  <r>
    <x v="116"/>
    <x v="5"/>
    <x v="0"/>
    <x v="0"/>
    <x v="0"/>
    <x v="1"/>
    <x v="0"/>
    <x v="0"/>
    <x v="5"/>
    <x v="5"/>
    <x v="0"/>
    <x v="13"/>
    <x v="1"/>
    <x v="15"/>
    <x v="26"/>
    <x v="0"/>
    <x v="3"/>
    <x v="22"/>
    <x v="48"/>
  </r>
  <r>
    <x v="117"/>
    <x v="5"/>
    <x v="0"/>
    <x v="0"/>
    <x v="0"/>
    <x v="2"/>
    <x v="0"/>
    <x v="0"/>
    <x v="5"/>
    <x v="5"/>
    <x v="0"/>
    <x v="13"/>
    <x v="1"/>
    <x v="15"/>
    <x v="26"/>
    <x v="0"/>
    <x v="3"/>
    <x v="6"/>
    <x v="5"/>
  </r>
  <r>
    <x v="118"/>
    <x v="5"/>
    <x v="0"/>
    <x v="0"/>
    <x v="0"/>
    <x v="4"/>
    <x v="0"/>
    <x v="0"/>
    <x v="5"/>
    <x v="5"/>
    <x v="1"/>
    <x v="13"/>
    <x v="1"/>
    <x v="17"/>
    <x v="26"/>
    <x v="1"/>
    <x v="3"/>
    <x v="4"/>
    <x v="4"/>
  </r>
  <r>
    <x v="119"/>
    <x v="5"/>
    <x v="0"/>
    <x v="0"/>
    <x v="0"/>
    <x v="5"/>
    <x v="1"/>
    <x v="0"/>
    <x v="5"/>
    <x v="5"/>
    <x v="1"/>
    <x v="14"/>
    <x v="1"/>
    <x v="23"/>
    <x v="27"/>
    <x v="1"/>
    <x v="3"/>
    <x v="22"/>
    <x v="48"/>
  </r>
  <r>
    <x v="120"/>
    <x v="5"/>
    <x v="0"/>
    <x v="0"/>
    <x v="0"/>
    <x v="6"/>
    <x v="1"/>
    <x v="0"/>
    <x v="5"/>
    <x v="5"/>
    <x v="1"/>
    <x v="14"/>
    <x v="1"/>
    <x v="22"/>
    <x v="30"/>
    <x v="14"/>
    <x v="3"/>
    <x v="49"/>
    <x v="9"/>
  </r>
  <r>
    <x v="121"/>
    <x v="5"/>
    <x v="0"/>
    <x v="0"/>
    <x v="0"/>
    <x v="7"/>
    <x v="1"/>
    <x v="0"/>
    <x v="5"/>
    <x v="5"/>
    <x v="1"/>
    <x v="13"/>
    <x v="1"/>
    <x v="15"/>
    <x v="29"/>
    <x v="0"/>
    <x v="3"/>
    <x v="73"/>
    <x v="76"/>
  </r>
  <r>
    <x v="122"/>
    <x v="5"/>
    <x v="0"/>
    <x v="0"/>
    <x v="0"/>
    <x v="8"/>
    <x v="1"/>
    <x v="0"/>
    <x v="5"/>
    <x v="5"/>
    <x v="0"/>
    <x v="13"/>
    <x v="1"/>
    <x v="15"/>
    <x v="29"/>
    <x v="0"/>
    <x v="0"/>
    <x v="74"/>
    <x v="77"/>
  </r>
  <r>
    <x v="123"/>
    <x v="5"/>
    <x v="0"/>
    <x v="0"/>
    <x v="0"/>
    <x v="9"/>
    <x v="1"/>
    <x v="0"/>
    <x v="5"/>
    <x v="5"/>
    <x v="1"/>
    <x v="15"/>
    <x v="1"/>
    <x v="25"/>
    <x v="33"/>
    <x v="0"/>
    <x v="15"/>
    <x v="75"/>
    <x v="78"/>
  </r>
  <r>
    <x v="124"/>
    <x v="5"/>
    <x v="0"/>
    <x v="0"/>
    <x v="0"/>
    <x v="10"/>
    <x v="1"/>
    <x v="0"/>
    <x v="5"/>
    <x v="5"/>
    <x v="0"/>
    <x v="2"/>
    <x v="1"/>
    <x v="2"/>
    <x v="19"/>
    <x v="0"/>
    <x v="0"/>
    <x v="76"/>
    <x v="79"/>
  </r>
  <r>
    <x v="125"/>
    <x v="5"/>
    <x v="0"/>
    <x v="0"/>
    <x v="0"/>
    <x v="11"/>
    <x v="1"/>
    <x v="0"/>
    <x v="5"/>
    <x v="5"/>
    <x v="0"/>
    <x v="1"/>
    <x v="0"/>
    <x v="2"/>
    <x v="18"/>
    <x v="1"/>
    <x v="4"/>
    <x v="77"/>
    <x v="29"/>
  </r>
  <r>
    <x v="126"/>
    <x v="5"/>
    <x v="0"/>
    <x v="0"/>
    <x v="0"/>
    <x v="12"/>
    <x v="2"/>
    <x v="0"/>
    <x v="5"/>
    <x v="5"/>
    <x v="0"/>
    <x v="12"/>
    <x v="0"/>
    <x v="0"/>
    <x v="23"/>
    <x v="0"/>
    <x v="15"/>
    <x v="78"/>
    <x v="11"/>
  </r>
  <r>
    <x v="127"/>
    <x v="5"/>
    <x v="0"/>
    <x v="0"/>
    <x v="0"/>
    <x v="13"/>
    <x v="2"/>
    <x v="0"/>
    <x v="5"/>
    <x v="5"/>
    <x v="0"/>
    <x v="12"/>
    <x v="0"/>
    <x v="1"/>
    <x v="23"/>
    <x v="14"/>
    <x v="6"/>
    <x v="11"/>
    <x v="16"/>
  </r>
  <r>
    <x v="128"/>
    <x v="5"/>
    <x v="0"/>
    <x v="0"/>
    <x v="0"/>
    <x v="14"/>
    <x v="2"/>
    <x v="0"/>
    <x v="5"/>
    <x v="5"/>
    <x v="0"/>
    <x v="17"/>
    <x v="0"/>
    <x v="1"/>
    <x v="42"/>
    <x v="8"/>
    <x v="16"/>
    <x v="79"/>
    <x v="27"/>
  </r>
  <r>
    <x v="129"/>
    <x v="5"/>
    <x v="0"/>
    <x v="0"/>
    <x v="0"/>
    <x v="15"/>
    <x v="2"/>
    <x v="0"/>
    <x v="5"/>
    <x v="5"/>
    <x v="0"/>
    <x v="17"/>
    <x v="0"/>
    <x v="1"/>
    <x v="42"/>
    <x v="0"/>
    <x v="1"/>
    <x v="25"/>
    <x v="69"/>
  </r>
  <r>
    <x v="130"/>
    <x v="5"/>
    <x v="0"/>
    <x v="0"/>
    <x v="0"/>
    <x v="16"/>
    <x v="2"/>
    <x v="0"/>
    <x v="5"/>
    <x v="5"/>
    <x v="0"/>
    <x v="12"/>
    <x v="0"/>
    <x v="2"/>
    <x v="41"/>
    <x v="8"/>
    <x v="6"/>
    <x v="64"/>
    <x v="80"/>
  </r>
  <r>
    <x v="131"/>
    <x v="5"/>
    <x v="0"/>
    <x v="0"/>
    <x v="0"/>
    <x v="17"/>
    <x v="3"/>
    <x v="0"/>
    <x v="5"/>
    <x v="5"/>
    <x v="0"/>
    <x v="1"/>
    <x v="0"/>
    <x v="15"/>
    <x v="33"/>
    <x v="8"/>
    <x v="14"/>
    <x v="80"/>
    <x v="81"/>
  </r>
  <r>
    <x v="132"/>
    <x v="5"/>
    <x v="0"/>
    <x v="0"/>
    <x v="0"/>
    <x v="18"/>
    <x v="3"/>
    <x v="0"/>
    <x v="5"/>
    <x v="5"/>
    <x v="0"/>
    <x v="1"/>
    <x v="0"/>
    <x v="15"/>
    <x v="33"/>
    <x v="7"/>
    <x v="2"/>
    <x v="81"/>
    <x v="82"/>
  </r>
  <r>
    <x v="133"/>
    <x v="5"/>
    <x v="0"/>
    <x v="0"/>
    <x v="0"/>
    <x v="19"/>
    <x v="3"/>
    <x v="0"/>
    <x v="5"/>
    <x v="5"/>
    <x v="0"/>
    <x v="1"/>
    <x v="0"/>
    <x v="2"/>
    <x v="28"/>
    <x v="1"/>
    <x v="0"/>
    <x v="63"/>
    <x v="59"/>
  </r>
  <r>
    <x v="134"/>
    <x v="5"/>
    <x v="0"/>
    <x v="0"/>
    <x v="0"/>
    <x v="20"/>
    <x v="0"/>
    <x v="0"/>
    <x v="5"/>
    <x v="5"/>
    <x v="0"/>
    <x v="2"/>
    <x v="1"/>
    <x v="16"/>
    <x v="33"/>
    <x v="8"/>
    <x v="0"/>
    <x v="43"/>
    <x v="83"/>
  </r>
  <r>
    <x v="135"/>
    <x v="5"/>
    <x v="0"/>
    <x v="0"/>
    <x v="0"/>
    <x v="21"/>
    <x v="0"/>
    <x v="0"/>
    <x v="5"/>
    <x v="5"/>
    <x v="1"/>
    <x v="1"/>
    <x v="0"/>
    <x v="16"/>
    <x v="28"/>
    <x v="6"/>
    <x v="3"/>
    <x v="41"/>
    <x v="61"/>
  </r>
  <r>
    <x v="136"/>
    <x v="5"/>
    <x v="0"/>
    <x v="0"/>
    <x v="0"/>
    <x v="22"/>
    <x v="0"/>
    <x v="0"/>
    <x v="5"/>
    <x v="5"/>
    <x v="1"/>
    <x v="1"/>
    <x v="0"/>
    <x v="16"/>
    <x v="33"/>
    <x v="3"/>
    <x v="5"/>
    <x v="82"/>
    <x v="46"/>
  </r>
  <r>
    <x v="137"/>
    <x v="5"/>
    <x v="0"/>
    <x v="0"/>
    <x v="0"/>
    <x v="23"/>
    <x v="0"/>
    <x v="0"/>
    <x v="5"/>
    <x v="5"/>
    <x v="1"/>
    <x v="2"/>
    <x v="1"/>
    <x v="17"/>
    <x v="29"/>
    <x v="5"/>
    <x v="17"/>
    <x v="23"/>
    <x v="84"/>
  </r>
  <r>
    <x v="138"/>
    <x v="6"/>
    <x v="0"/>
    <x v="0"/>
    <x v="0"/>
    <x v="0"/>
    <x v="0"/>
    <x v="0"/>
    <x v="6"/>
    <x v="6"/>
    <x v="1"/>
    <x v="2"/>
    <x v="1"/>
    <x v="17"/>
    <x v="26"/>
    <x v="5"/>
    <x v="17"/>
    <x v="0"/>
    <x v="22"/>
  </r>
  <r>
    <x v="139"/>
    <x v="6"/>
    <x v="0"/>
    <x v="0"/>
    <x v="0"/>
    <x v="1"/>
    <x v="0"/>
    <x v="0"/>
    <x v="6"/>
    <x v="6"/>
    <x v="1"/>
    <x v="2"/>
    <x v="1"/>
    <x v="17"/>
    <x v="27"/>
    <x v="6"/>
    <x v="4"/>
    <x v="34"/>
    <x v="85"/>
  </r>
  <r>
    <x v="140"/>
    <x v="6"/>
    <x v="0"/>
    <x v="0"/>
    <x v="0"/>
    <x v="2"/>
    <x v="0"/>
    <x v="0"/>
    <x v="6"/>
    <x v="6"/>
    <x v="1"/>
    <x v="2"/>
    <x v="1"/>
    <x v="17"/>
    <x v="27"/>
    <x v="6"/>
    <x v="3"/>
    <x v="4"/>
    <x v="4"/>
  </r>
  <r>
    <x v="141"/>
    <x v="6"/>
    <x v="0"/>
    <x v="0"/>
    <x v="0"/>
    <x v="4"/>
    <x v="0"/>
    <x v="0"/>
    <x v="6"/>
    <x v="6"/>
    <x v="1"/>
    <x v="2"/>
    <x v="1"/>
    <x v="16"/>
    <x v="27"/>
    <x v="7"/>
    <x v="3"/>
    <x v="4"/>
    <x v="4"/>
  </r>
  <r>
    <x v="142"/>
    <x v="6"/>
    <x v="0"/>
    <x v="0"/>
    <x v="0"/>
    <x v="5"/>
    <x v="1"/>
    <x v="0"/>
    <x v="6"/>
    <x v="6"/>
    <x v="2"/>
    <x v="1"/>
    <x v="0"/>
    <x v="1"/>
    <x v="28"/>
    <x v="0"/>
    <x v="3"/>
    <x v="34"/>
    <x v="36"/>
  </r>
  <r>
    <x v="143"/>
    <x v="6"/>
    <x v="0"/>
    <x v="0"/>
    <x v="0"/>
    <x v="6"/>
    <x v="1"/>
    <x v="0"/>
    <x v="6"/>
    <x v="6"/>
    <x v="1"/>
    <x v="2"/>
    <x v="1"/>
    <x v="2"/>
    <x v="27"/>
    <x v="0"/>
    <x v="1"/>
    <x v="16"/>
    <x v="19"/>
  </r>
  <r>
    <x v="144"/>
    <x v="6"/>
    <x v="0"/>
    <x v="0"/>
    <x v="0"/>
    <x v="7"/>
    <x v="1"/>
    <x v="0"/>
    <x v="6"/>
    <x v="6"/>
    <x v="0"/>
    <x v="2"/>
    <x v="1"/>
    <x v="16"/>
    <x v="27"/>
    <x v="7"/>
    <x v="1"/>
    <x v="83"/>
    <x v="11"/>
  </r>
  <r>
    <x v="145"/>
    <x v="6"/>
    <x v="0"/>
    <x v="0"/>
    <x v="0"/>
    <x v="8"/>
    <x v="1"/>
    <x v="0"/>
    <x v="6"/>
    <x v="6"/>
    <x v="0"/>
    <x v="2"/>
    <x v="1"/>
    <x v="17"/>
    <x v="33"/>
    <x v="2"/>
    <x v="20"/>
    <x v="84"/>
    <x v="86"/>
  </r>
  <r>
    <x v="146"/>
    <x v="6"/>
    <x v="0"/>
    <x v="0"/>
    <x v="0"/>
    <x v="9"/>
    <x v="1"/>
    <x v="0"/>
    <x v="6"/>
    <x v="6"/>
    <x v="0"/>
    <x v="2"/>
    <x v="1"/>
    <x v="23"/>
    <x v="19"/>
    <x v="4"/>
    <x v="14"/>
    <x v="85"/>
    <x v="87"/>
  </r>
  <r>
    <x v="147"/>
    <x v="6"/>
    <x v="0"/>
    <x v="0"/>
    <x v="0"/>
    <x v="10"/>
    <x v="1"/>
    <x v="0"/>
    <x v="6"/>
    <x v="6"/>
    <x v="0"/>
    <x v="1"/>
    <x v="0"/>
    <x v="17"/>
    <x v="38"/>
    <x v="9"/>
    <x v="19"/>
    <x v="12"/>
    <x v="55"/>
  </r>
  <r>
    <x v="148"/>
    <x v="6"/>
    <x v="0"/>
    <x v="0"/>
    <x v="0"/>
    <x v="11"/>
    <x v="1"/>
    <x v="0"/>
    <x v="6"/>
    <x v="6"/>
    <x v="1"/>
    <x v="2"/>
    <x v="1"/>
    <x v="17"/>
    <x v="22"/>
    <x v="6"/>
    <x v="21"/>
    <x v="41"/>
    <x v="16"/>
  </r>
  <r>
    <x v="149"/>
    <x v="6"/>
    <x v="0"/>
    <x v="0"/>
    <x v="0"/>
    <x v="12"/>
    <x v="2"/>
    <x v="0"/>
    <x v="6"/>
    <x v="6"/>
    <x v="1"/>
    <x v="2"/>
    <x v="1"/>
    <x v="17"/>
    <x v="38"/>
    <x v="2"/>
    <x v="14"/>
    <x v="54"/>
    <x v="29"/>
  </r>
  <r>
    <x v="150"/>
    <x v="6"/>
    <x v="0"/>
    <x v="0"/>
    <x v="0"/>
    <x v="13"/>
    <x v="2"/>
    <x v="0"/>
    <x v="6"/>
    <x v="6"/>
    <x v="1"/>
    <x v="2"/>
    <x v="1"/>
    <x v="23"/>
    <x v="38"/>
    <x v="3"/>
    <x v="14"/>
    <x v="27"/>
    <x v="88"/>
  </r>
  <r>
    <x v="151"/>
    <x v="6"/>
    <x v="0"/>
    <x v="0"/>
    <x v="0"/>
    <x v="14"/>
    <x v="2"/>
    <x v="0"/>
    <x v="6"/>
    <x v="6"/>
    <x v="1"/>
    <x v="2"/>
    <x v="1"/>
    <x v="17"/>
    <x v="22"/>
    <x v="2"/>
    <x v="18"/>
    <x v="30"/>
    <x v="89"/>
  </r>
  <r>
    <x v="152"/>
    <x v="6"/>
    <x v="0"/>
    <x v="0"/>
    <x v="0"/>
    <x v="15"/>
    <x v="2"/>
    <x v="0"/>
    <x v="6"/>
    <x v="6"/>
    <x v="1"/>
    <x v="2"/>
    <x v="1"/>
    <x v="16"/>
    <x v="38"/>
    <x v="8"/>
    <x v="14"/>
    <x v="36"/>
    <x v="44"/>
  </r>
  <r>
    <x v="153"/>
    <x v="6"/>
    <x v="0"/>
    <x v="0"/>
    <x v="0"/>
    <x v="16"/>
    <x v="2"/>
    <x v="0"/>
    <x v="6"/>
    <x v="6"/>
    <x v="1"/>
    <x v="2"/>
    <x v="1"/>
    <x v="16"/>
    <x v="38"/>
    <x v="8"/>
    <x v="2"/>
    <x v="70"/>
    <x v="90"/>
  </r>
  <r>
    <x v="154"/>
    <x v="6"/>
    <x v="0"/>
    <x v="0"/>
    <x v="0"/>
    <x v="17"/>
    <x v="3"/>
    <x v="0"/>
    <x v="6"/>
    <x v="6"/>
    <x v="1"/>
    <x v="2"/>
    <x v="1"/>
    <x v="2"/>
    <x v="38"/>
    <x v="0"/>
    <x v="14"/>
    <x v="86"/>
    <x v="91"/>
  </r>
  <r>
    <x v="155"/>
    <x v="6"/>
    <x v="0"/>
    <x v="0"/>
    <x v="0"/>
    <x v="18"/>
    <x v="3"/>
    <x v="0"/>
    <x v="6"/>
    <x v="6"/>
    <x v="0"/>
    <x v="2"/>
    <x v="1"/>
    <x v="15"/>
    <x v="22"/>
    <x v="1"/>
    <x v="18"/>
    <x v="75"/>
    <x v="92"/>
  </r>
  <r>
    <x v="156"/>
    <x v="6"/>
    <x v="0"/>
    <x v="0"/>
    <x v="0"/>
    <x v="19"/>
    <x v="3"/>
    <x v="0"/>
    <x v="6"/>
    <x v="6"/>
    <x v="0"/>
    <x v="13"/>
    <x v="1"/>
    <x v="17"/>
    <x v="28"/>
    <x v="1"/>
    <x v="0"/>
    <x v="50"/>
    <x v="76"/>
  </r>
  <r>
    <x v="157"/>
    <x v="6"/>
    <x v="0"/>
    <x v="0"/>
    <x v="0"/>
    <x v="20"/>
    <x v="0"/>
    <x v="0"/>
    <x v="6"/>
    <x v="6"/>
    <x v="0"/>
    <x v="15"/>
    <x v="1"/>
    <x v="16"/>
    <x v="19"/>
    <x v="14"/>
    <x v="5"/>
    <x v="54"/>
    <x v="41"/>
  </r>
  <r>
    <x v="158"/>
    <x v="6"/>
    <x v="0"/>
    <x v="0"/>
    <x v="0"/>
    <x v="21"/>
    <x v="0"/>
    <x v="0"/>
    <x v="6"/>
    <x v="6"/>
    <x v="0"/>
    <x v="15"/>
    <x v="1"/>
    <x v="17"/>
    <x v="19"/>
    <x v="7"/>
    <x v="3"/>
    <x v="87"/>
    <x v="21"/>
  </r>
  <r>
    <x v="159"/>
    <x v="6"/>
    <x v="0"/>
    <x v="0"/>
    <x v="0"/>
    <x v="22"/>
    <x v="0"/>
    <x v="0"/>
    <x v="6"/>
    <x v="6"/>
    <x v="1"/>
    <x v="15"/>
    <x v="1"/>
    <x v="17"/>
    <x v="21"/>
    <x v="8"/>
    <x v="4"/>
    <x v="60"/>
    <x v="9"/>
  </r>
  <r>
    <x v="160"/>
    <x v="6"/>
    <x v="0"/>
    <x v="0"/>
    <x v="0"/>
    <x v="23"/>
    <x v="0"/>
    <x v="0"/>
    <x v="6"/>
    <x v="6"/>
    <x v="1"/>
    <x v="15"/>
    <x v="1"/>
    <x v="17"/>
    <x v="33"/>
    <x v="8"/>
    <x v="5"/>
    <x v="88"/>
    <x v="93"/>
  </r>
  <r>
    <x v="161"/>
    <x v="7"/>
    <x v="0"/>
    <x v="0"/>
    <x v="0"/>
    <x v="0"/>
    <x v="0"/>
    <x v="0"/>
    <x v="0"/>
    <x v="0"/>
    <x v="1"/>
    <x v="15"/>
    <x v="1"/>
    <x v="17"/>
    <x v="33"/>
    <x v="8"/>
    <x v="5"/>
    <x v="9"/>
    <x v="94"/>
  </r>
  <r>
    <x v="162"/>
    <x v="7"/>
    <x v="0"/>
    <x v="0"/>
    <x v="0"/>
    <x v="1"/>
    <x v="0"/>
    <x v="0"/>
    <x v="0"/>
    <x v="0"/>
    <x v="1"/>
    <x v="15"/>
    <x v="1"/>
    <x v="16"/>
    <x v="28"/>
    <x v="1"/>
    <x v="5"/>
    <x v="89"/>
    <x v="0"/>
  </r>
  <r>
    <x v="163"/>
    <x v="7"/>
    <x v="0"/>
    <x v="0"/>
    <x v="0"/>
    <x v="2"/>
    <x v="0"/>
    <x v="0"/>
    <x v="0"/>
    <x v="0"/>
    <x v="1"/>
    <x v="15"/>
    <x v="1"/>
    <x v="25"/>
    <x v="28"/>
    <x v="0"/>
    <x v="0"/>
    <x v="0"/>
    <x v="0"/>
  </r>
  <r>
    <x v="164"/>
    <x v="7"/>
    <x v="0"/>
    <x v="0"/>
    <x v="0"/>
    <x v="3"/>
    <x v="0"/>
    <x v="0"/>
    <x v="0"/>
    <x v="0"/>
    <x v="2"/>
    <x v="15"/>
    <x v="1"/>
    <x v="17"/>
    <x v="28"/>
    <x v="8"/>
    <x v="3"/>
    <x v="7"/>
    <x v="85"/>
  </r>
  <r>
    <x v="165"/>
    <x v="7"/>
    <x v="0"/>
    <x v="0"/>
    <x v="0"/>
    <x v="4"/>
    <x v="0"/>
    <x v="0"/>
    <x v="0"/>
    <x v="0"/>
    <x v="2"/>
    <x v="15"/>
    <x v="1"/>
    <x v="17"/>
    <x v="28"/>
    <x v="8"/>
    <x v="3"/>
    <x v="4"/>
    <x v="4"/>
  </r>
  <r>
    <x v="166"/>
    <x v="7"/>
    <x v="0"/>
    <x v="0"/>
    <x v="0"/>
    <x v="5"/>
    <x v="1"/>
    <x v="0"/>
    <x v="0"/>
    <x v="0"/>
    <x v="1"/>
    <x v="13"/>
    <x v="1"/>
    <x v="22"/>
    <x v="32"/>
    <x v="8"/>
    <x v="3"/>
    <x v="34"/>
    <x v="36"/>
  </r>
  <r>
    <x v="167"/>
    <x v="7"/>
    <x v="0"/>
    <x v="0"/>
    <x v="0"/>
    <x v="6"/>
    <x v="1"/>
    <x v="0"/>
    <x v="0"/>
    <x v="0"/>
    <x v="1"/>
    <x v="13"/>
    <x v="1"/>
    <x v="22"/>
    <x v="32"/>
    <x v="8"/>
    <x v="3"/>
    <x v="6"/>
    <x v="5"/>
  </r>
  <r>
    <x v="168"/>
    <x v="7"/>
    <x v="0"/>
    <x v="0"/>
    <x v="0"/>
    <x v="7"/>
    <x v="1"/>
    <x v="0"/>
    <x v="0"/>
    <x v="0"/>
    <x v="1"/>
    <x v="13"/>
    <x v="1"/>
    <x v="23"/>
    <x v="32"/>
    <x v="14"/>
    <x v="5"/>
    <x v="21"/>
    <x v="23"/>
  </r>
  <r>
    <x v="169"/>
    <x v="7"/>
    <x v="0"/>
    <x v="0"/>
    <x v="0"/>
    <x v="8"/>
    <x v="1"/>
    <x v="0"/>
    <x v="0"/>
    <x v="0"/>
    <x v="2"/>
    <x v="13"/>
    <x v="1"/>
    <x v="23"/>
    <x v="43"/>
    <x v="14"/>
    <x v="3"/>
    <x v="89"/>
    <x v="93"/>
  </r>
  <r>
    <x v="170"/>
    <x v="7"/>
    <x v="0"/>
    <x v="0"/>
    <x v="0"/>
    <x v="9"/>
    <x v="1"/>
    <x v="0"/>
    <x v="0"/>
    <x v="0"/>
    <x v="2"/>
    <x v="13"/>
    <x v="1"/>
    <x v="23"/>
    <x v="43"/>
    <x v="14"/>
    <x v="3"/>
    <x v="32"/>
    <x v="25"/>
  </r>
  <r>
    <x v="171"/>
    <x v="7"/>
    <x v="0"/>
    <x v="0"/>
    <x v="0"/>
    <x v="10"/>
    <x v="1"/>
    <x v="0"/>
    <x v="0"/>
    <x v="0"/>
    <x v="1"/>
    <x v="15"/>
    <x v="1"/>
    <x v="17"/>
    <x v="1"/>
    <x v="8"/>
    <x v="2"/>
    <x v="90"/>
    <x v="42"/>
  </r>
  <r>
    <x v="172"/>
    <x v="7"/>
    <x v="0"/>
    <x v="0"/>
    <x v="0"/>
    <x v="11"/>
    <x v="1"/>
    <x v="0"/>
    <x v="0"/>
    <x v="0"/>
    <x v="1"/>
    <x v="2"/>
    <x v="1"/>
    <x v="23"/>
    <x v="27"/>
    <x v="13"/>
    <x v="4"/>
    <x v="91"/>
    <x v="69"/>
  </r>
  <r>
    <x v="173"/>
    <x v="7"/>
    <x v="0"/>
    <x v="0"/>
    <x v="0"/>
    <x v="12"/>
    <x v="2"/>
    <x v="0"/>
    <x v="0"/>
    <x v="0"/>
    <x v="1"/>
    <x v="2"/>
    <x v="1"/>
    <x v="23"/>
    <x v="29"/>
    <x v="11"/>
    <x v="1"/>
    <x v="92"/>
    <x v="95"/>
  </r>
  <r>
    <x v="174"/>
    <x v="7"/>
    <x v="0"/>
    <x v="0"/>
    <x v="0"/>
    <x v="13"/>
    <x v="2"/>
    <x v="0"/>
    <x v="0"/>
    <x v="0"/>
    <x v="0"/>
    <x v="2"/>
    <x v="1"/>
    <x v="23"/>
    <x v="18"/>
    <x v="9"/>
    <x v="18"/>
    <x v="73"/>
    <x v="96"/>
  </r>
  <r>
    <x v="175"/>
    <x v="7"/>
    <x v="0"/>
    <x v="0"/>
    <x v="0"/>
    <x v="14"/>
    <x v="2"/>
    <x v="0"/>
    <x v="0"/>
    <x v="0"/>
    <x v="0"/>
    <x v="2"/>
    <x v="1"/>
    <x v="22"/>
    <x v="25"/>
    <x v="15"/>
    <x v="6"/>
    <x v="93"/>
    <x v="76"/>
  </r>
  <r>
    <x v="176"/>
    <x v="7"/>
    <x v="0"/>
    <x v="0"/>
    <x v="0"/>
    <x v="15"/>
    <x v="2"/>
    <x v="0"/>
    <x v="0"/>
    <x v="0"/>
    <x v="0"/>
    <x v="2"/>
    <x v="1"/>
    <x v="22"/>
    <x v="25"/>
    <x v="10"/>
    <x v="2"/>
    <x v="94"/>
    <x v="30"/>
  </r>
  <r>
    <x v="177"/>
    <x v="7"/>
    <x v="0"/>
    <x v="0"/>
    <x v="0"/>
    <x v="16"/>
    <x v="2"/>
    <x v="0"/>
    <x v="0"/>
    <x v="0"/>
    <x v="0"/>
    <x v="15"/>
    <x v="1"/>
    <x v="19"/>
    <x v="44"/>
    <x v="10"/>
    <x v="1"/>
    <x v="56"/>
    <x v="31"/>
  </r>
  <r>
    <x v="178"/>
    <x v="7"/>
    <x v="0"/>
    <x v="0"/>
    <x v="0"/>
    <x v="17"/>
    <x v="3"/>
    <x v="0"/>
    <x v="0"/>
    <x v="0"/>
    <x v="0"/>
    <x v="13"/>
    <x v="1"/>
    <x v="21"/>
    <x v="38"/>
    <x v="16"/>
    <x v="2"/>
    <x v="27"/>
    <x v="83"/>
  </r>
  <r>
    <x v="179"/>
    <x v="7"/>
    <x v="0"/>
    <x v="0"/>
    <x v="0"/>
    <x v="18"/>
    <x v="3"/>
    <x v="0"/>
    <x v="0"/>
    <x v="0"/>
    <x v="0"/>
    <x v="14"/>
    <x v="1"/>
    <x v="21"/>
    <x v="17"/>
    <x v="4"/>
    <x v="0"/>
    <x v="15"/>
    <x v="97"/>
  </r>
  <r>
    <x v="180"/>
    <x v="7"/>
    <x v="0"/>
    <x v="0"/>
    <x v="0"/>
    <x v="19"/>
    <x v="3"/>
    <x v="0"/>
    <x v="0"/>
    <x v="0"/>
    <x v="0"/>
    <x v="14"/>
    <x v="1"/>
    <x v="21"/>
    <x v="42"/>
    <x v="2"/>
    <x v="17"/>
    <x v="16"/>
    <x v="33"/>
  </r>
  <r>
    <x v="181"/>
    <x v="7"/>
    <x v="0"/>
    <x v="0"/>
    <x v="0"/>
    <x v="20"/>
    <x v="0"/>
    <x v="0"/>
    <x v="0"/>
    <x v="0"/>
    <x v="0"/>
    <x v="16"/>
    <x v="1"/>
    <x v="21"/>
    <x v="42"/>
    <x v="2"/>
    <x v="3"/>
    <x v="95"/>
    <x v="20"/>
  </r>
  <r>
    <x v="182"/>
    <x v="7"/>
    <x v="0"/>
    <x v="0"/>
    <x v="0"/>
    <x v="21"/>
    <x v="0"/>
    <x v="0"/>
    <x v="0"/>
    <x v="0"/>
    <x v="0"/>
    <x v="16"/>
    <x v="1"/>
    <x v="20"/>
    <x v="17"/>
    <x v="11"/>
    <x v="4"/>
    <x v="96"/>
    <x v="18"/>
  </r>
  <r>
    <x v="183"/>
    <x v="7"/>
    <x v="0"/>
    <x v="0"/>
    <x v="0"/>
    <x v="22"/>
    <x v="0"/>
    <x v="0"/>
    <x v="0"/>
    <x v="0"/>
    <x v="0"/>
    <x v="16"/>
    <x v="1"/>
    <x v="20"/>
    <x v="42"/>
    <x v="13"/>
    <x v="5"/>
    <x v="39"/>
    <x v="19"/>
  </r>
  <r>
    <x v="184"/>
    <x v="7"/>
    <x v="0"/>
    <x v="0"/>
    <x v="0"/>
    <x v="23"/>
    <x v="0"/>
    <x v="0"/>
    <x v="0"/>
    <x v="0"/>
    <x v="0"/>
    <x v="18"/>
    <x v="3"/>
    <x v="29"/>
    <x v="17"/>
    <x v="10"/>
    <x v="3"/>
    <x v="97"/>
    <x v="34"/>
  </r>
  <r>
    <x v="185"/>
    <x v="8"/>
    <x v="0"/>
    <x v="0"/>
    <x v="0"/>
    <x v="0"/>
    <x v="0"/>
    <x v="0"/>
    <x v="1"/>
    <x v="1"/>
    <x v="0"/>
    <x v="18"/>
    <x v="3"/>
    <x v="30"/>
    <x v="16"/>
    <x v="13"/>
    <x v="5"/>
    <x v="9"/>
    <x v="94"/>
  </r>
  <r>
    <x v="186"/>
    <x v="8"/>
    <x v="0"/>
    <x v="0"/>
    <x v="0"/>
    <x v="1"/>
    <x v="0"/>
    <x v="0"/>
    <x v="1"/>
    <x v="1"/>
    <x v="0"/>
    <x v="18"/>
    <x v="3"/>
    <x v="29"/>
    <x v="16"/>
    <x v="17"/>
    <x v="3"/>
    <x v="98"/>
    <x v="47"/>
  </r>
  <r>
    <x v="187"/>
    <x v="8"/>
    <x v="0"/>
    <x v="0"/>
    <x v="0"/>
    <x v="2"/>
    <x v="0"/>
    <x v="0"/>
    <x v="1"/>
    <x v="1"/>
    <x v="0"/>
    <x v="18"/>
    <x v="3"/>
    <x v="29"/>
    <x v="15"/>
    <x v="17"/>
    <x v="3"/>
    <x v="48"/>
    <x v="62"/>
  </r>
  <r>
    <x v="188"/>
    <x v="8"/>
    <x v="0"/>
    <x v="0"/>
    <x v="0"/>
    <x v="3"/>
    <x v="0"/>
    <x v="0"/>
    <x v="1"/>
    <x v="1"/>
    <x v="0"/>
    <x v="18"/>
    <x v="3"/>
    <x v="30"/>
    <x v="15"/>
    <x v="12"/>
    <x v="3"/>
    <x v="22"/>
    <x v="48"/>
  </r>
  <r>
    <x v="189"/>
    <x v="8"/>
    <x v="0"/>
    <x v="0"/>
    <x v="0"/>
    <x v="4"/>
    <x v="0"/>
    <x v="0"/>
    <x v="1"/>
    <x v="1"/>
    <x v="0"/>
    <x v="19"/>
    <x v="3"/>
    <x v="31"/>
    <x v="45"/>
    <x v="5"/>
    <x v="3"/>
    <x v="4"/>
    <x v="4"/>
  </r>
  <r>
    <x v="190"/>
    <x v="8"/>
    <x v="0"/>
    <x v="0"/>
    <x v="0"/>
    <x v="5"/>
    <x v="1"/>
    <x v="0"/>
    <x v="1"/>
    <x v="1"/>
    <x v="0"/>
    <x v="19"/>
    <x v="3"/>
    <x v="31"/>
    <x v="45"/>
    <x v="5"/>
    <x v="3"/>
    <x v="4"/>
    <x v="4"/>
  </r>
  <r>
    <x v="191"/>
    <x v="8"/>
    <x v="0"/>
    <x v="0"/>
    <x v="0"/>
    <x v="6"/>
    <x v="1"/>
    <x v="0"/>
    <x v="1"/>
    <x v="1"/>
    <x v="0"/>
    <x v="18"/>
    <x v="3"/>
    <x v="31"/>
    <x v="36"/>
    <x v="3"/>
    <x v="3"/>
    <x v="4"/>
    <x v="4"/>
  </r>
  <r>
    <x v="192"/>
    <x v="8"/>
    <x v="0"/>
    <x v="0"/>
    <x v="0"/>
    <x v="7"/>
    <x v="1"/>
    <x v="0"/>
    <x v="1"/>
    <x v="1"/>
    <x v="0"/>
    <x v="19"/>
    <x v="3"/>
    <x v="31"/>
    <x v="45"/>
    <x v="5"/>
    <x v="5"/>
    <x v="34"/>
    <x v="24"/>
  </r>
  <r>
    <x v="193"/>
    <x v="8"/>
    <x v="0"/>
    <x v="0"/>
    <x v="0"/>
    <x v="8"/>
    <x v="1"/>
    <x v="0"/>
    <x v="1"/>
    <x v="1"/>
    <x v="0"/>
    <x v="18"/>
    <x v="3"/>
    <x v="31"/>
    <x v="36"/>
    <x v="3"/>
    <x v="3"/>
    <x v="3"/>
    <x v="98"/>
  </r>
  <r>
    <x v="194"/>
    <x v="8"/>
    <x v="0"/>
    <x v="0"/>
    <x v="0"/>
    <x v="9"/>
    <x v="1"/>
    <x v="0"/>
    <x v="1"/>
    <x v="1"/>
    <x v="0"/>
    <x v="16"/>
    <x v="1"/>
    <x v="30"/>
    <x v="15"/>
    <x v="18"/>
    <x v="3"/>
    <x v="23"/>
    <x v="75"/>
  </r>
  <r>
    <x v="195"/>
    <x v="8"/>
    <x v="0"/>
    <x v="0"/>
    <x v="0"/>
    <x v="10"/>
    <x v="1"/>
    <x v="0"/>
    <x v="1"/>
    <x v="1"/>
    <x v="0"/>
    <x v="14"/>
    <x v="1"/>
    <x v="20"/>
    <x v="21"/>
    <x v="13"/>
    <x v="3"/>
    <x v="47"/>
    <x v="99"/>
  </r>
  <r>
    <x v="196"/>
    <x v="8"/>
    <x v="0"/>
    <x v="0"/>
    <x v="0"/>
    <x v="11"/>
    <x v="1"/>
    <x v="0"/>
    <x v="1"/>
    <x v="1"/>
    <x v="0"/>
    <x v="13"/>
    <x v="1"/>
    <x v="21"/>
    <x v="22"/>
    <x v="18"/>
    <x v="4"/>
    <x v="12"/>
    <x v="99"/>
  </r>
  <r>
    <x v="197"/>
    <x v="8"/>
    <x v="0"/>
    <x v="0"/>
    <x v="0"/>
    <x v="12"/>
    <x v="2"/>
    <x v="0"/>
    <x v="1"/>
    <x v="1"/>
    <x v="0"/>
    <x v="15"/>
    <x v="1"/>
    <x v="19"/>
    <x v="38"/>
    <x v="10"/>
    <x v="17"/>
    <x v="55"/>
    <x v="56"/>
  </r>
  <r>
    <x v="198"/>
    <x v="8"/>
    <x v="0"/>
    <x v="0"/>
    <x v="0"/>
    <x v="13"/>
    <x v="2"/>
    <x v="0"/>
    <x v="1"/>
    <x v="1"/>
    <x v="0"/>
    <x v="2"/>
    <x v="1"/>
    <x v="22"/>
    <x v="46"/>
    <x v="10"/>
    <x v="15"/>
    <x v="94"/>
    <x v="28"/>
  </r>
  <r>
    <x v="199"/>
    <x v="8"/>
    <x v="0"/>
    <x v="0"/>
    <x v="0"/>
    <x v="14"/>
    <x v="2"/>
    <x v="0"/>
    <x v="1"/>
    <x v="1"/>
    <x v="0"/>
    <x v="1"/>
    <x v="0"/>
    <x v="23"/>
    <x v="25"/>
    <x v="17"/>
    <x v="1"/>
    <x v="27"/>
    <x v="44"/>
  </r>
  <r>
    <x v="200"/>
    <x v="8"/>
    <x v="0"/>
    <x v="0"/>
    <x v="0"/>
    <x v="15"/>
    <x v="2"/>
    <x v="0"/>
    <x v="1"/>
    <x v="1"/>
    <x v="0"/>
    <x v="1"/>
    <x v="0"/>
    <x v="17"/>
    <x v="23"/>
    <x v="11"/>
    <x v="2"/>
    <x v="99"/>
    <x v="100"/>
  </r>
  <r>
    <x v="201"/>
    <x v="8"/>
    <x v="0"/>
    <x v="0"/>
    <x v="0"/>
    <x v="16"/>
    <x v="2"/>
    <x v="0"/>
    <x v="1"/>
    <x v="1"/>
    <x v="0"/>
    <x v="2"/>
    <x v="1"/>
    <x v="22"/>
    <x v="46"/>
    <x v="10"/>
    <x v="23"/>
    <x v="55"/>
    <x v="101"/>
  </r>
  <r>
    <x v="202"/>
    <x v="8"/>
    <x v="0"/>
    <x v="0"/>
    <x v="0"/>
    <x v="17"/>
    <x v="3"/>
    <x v="0"/>
    <x v="1"/>
    <x v="1"/>
    <x v="0"/>
    <x v="15"/>
    <x v="1"/>
    <x v="26"/>
    <x v="38"/>
    <x v="13"/>
    <x v="0"/>
    <x v="79"/>
    <x v="69"/>
  </r>
  <r>
    <x v="203"/>
    <x v="8"/>
    <x v="0"/>
    <x v="0"/>
    <x v="0"/>
    <x v="18"/>
    <x v="3"/>
    <x v="0"/>
    <x v="1"/>
    <x v="1"/>
    <x v="0"/>
    <x v="13"/>
    <x v="1"/>
    <x v="19"/>
    <x v="22"/>
    <x v="9"/>
    <x v="17"/>
    <x v="100"/>
    <x v="61"/>
  </r>
  <r>
    <x v="204"/>
    <x v="8"/>
    <x v="0"/>
    <x v="0"/>
    <x v="0"/>
    <x v="19"/>
    <x v="3"/>
    <x v="0"/>
    <x v="1"/>
    <x v="1"/>
    <x v="0"/>
    <x v="13"/>
    <x v="1"/>
    <x v="19"/>
    <x v="21"/>
    <x v="9"/>
    <x v="5"/>
    <x v="71"/>
    <x v="102"/>
  </r>
  <r>
    <x v="205"/>
    <x v="8"/>
    <x v="0"/>
    <x v="0"/>
    <x v="0"/>
    <x v="20"/>
    <x v="0"/>
    <x v="0"/>
    <x v="1"/>
    <x v="1"/>
    <x v="0"/>
    <x v="14"/>
    <x v="1"/>
    <x v="21"/>
    <x v="15"/>
    <x v="2"/>
    <x v="3"/>
    <x v="101"/>
    <x v="103"/>
  </r>
  <r>
    <x v="206"/>
    <x v="8"/>
    <x v="0"/>
    <x v="0"/>
    <x v="0"/>
    <x v="21"/>
    <x v="0"/>
    <x v="0"/>
    <x v="1"/>
    <x v="1"/>
    <x v="0"/>
    <x v="14"/>
    <x v="1"/>
    <x v="20"/>
    <x v="15"/>
    <x v="12"/>
    <x v="5"/>
    <x v="23"/>
    <x v="25"/>
  </r>
  <r>
    <x v="207"/>
    <x v="8"/>
    <x v="0"/>
    <x v="0"/>
    <x v="0"/>
    <x v="22"/>
    <x v="0"/>
    <x v="0"/>
    <x v="1"/>
    <x v="1"/>
    <x v="0"/>
    <x v="14"/>
    <x v="1"/>
    <x v="21"/>
    <x v="15"/>
    <x v="4"/>
    <x v="2"/>
    <x v="3"/>
    <x v="93"/>
  </r>
  <r>
    <x v="208"/>
    <x v="8"/>
    <x v="0"/>
    <x v="0"/>
    <x v="0"/>
    <x v="23"/>
    <x v="0"/>
    <x v="0"/>
    <x v="1"/>
    <x v="1"/>
    <x v="0"/>
    <x v="16"/>
    <x v="1"/>
    <x v="19"/>
    <x v="20"/>
    <x v="5"/>
    <x v="3"/>
    <x v="8"/>
    <x v="24"/>
  </r>
  <r>
    <x v="209"/>
    <x v="9"/>
    <x v="0"/>
    <x v="0"/>
    <x v="0"/>
    <x v="0"/>
    <x v="0"/>
    <x v="0"/>
    <x v="2"/>
    <x v="2"/>
    <x v="0"/>
    <x v="16"/>
    <x v="1"/>
    <x v="21"/>
    <x v="20"/>
    <x v="3"/>
    <x v="4"/>
    <x v="35"/>
    <x v="36"/>
  </r>
  <r>
    <x v="210"/>
    <x v="9"/>
    <x v="0"/>
    <x v="0"/>
    <x v="0"/>
    <x v="1"/>
    <x v="0"/>
    <x v="0"/>
    <x v="2"/>
    <x v="2"/>
    <x v="0"/>
    <x v="16"/>
    <x v="1"/>
    <x v="21"/>
    <x v="20"/>
    <x v="3"/>
    <x v="5"/>
    <x v="5"/>
    <x v="4"/>
  </r>
  <r>
    <x v="211"/>
    <x v="9"/>
    <x v="0"/>
    <x v="0"/>
    <x v="0"/>
    <x v="2"/>
    <x v="0"/>
    <x v="0"/>
    <x v="2"/>
    <x v="2"/>
    <x v="0"/>
    <x v="16"/>
    <x v="1"/>
    <x v="21"/>
    <x v="20"/>
    <x v="6"/>
    <x v="3"/>
    <x v="35"/>
    <x v="6"/>
  </r>
  <r>
    <x v="212"/>
    <x v="9"/>
    <x v="0"/>
    <x v="0"/>
    <x v="0"/>
    <x v="3"/>
    <x v="0"/>
    <x v="0"/>
    <x v="2"/>
    <x v="2"/>
    <x v="0"/>
    <x v="16"/>
    <x v="1"/>
    <x v="21"/>
    <x v="20"/>
    <x v="6"/>
    <x v="3"/>
    <x v="4"/>
    <x v="4"/>
  </r>
  <r>
    <x v="213"/>
    <x v="9"/>
    <x v="0"/>
    <x v="0"/>
    <x v="0"/>
    <x v="4"/>
    <x v="0"/>
    <x v="0"/>
    <x v="2"/>
    <x v="2"/>
    <x v="0"/>
    <x v="18"/>
    <x v="3"/>
    <x v="21"/>
    <x v="47"/>
    <x v="7"/>
    <x v="5"/>
    <x v="6"/>
    <x v="6"/>
  </r>
  <r>
    <x v="214"/>
    <x v="9"/>
    <x v="0"/>
    <x v="0"/>
    <x v="0"/>
    <x v="5"/>
    <x v="1"/>
    <x v="0"/>
    <x v="2"/>
    <x v="2"/>
    <x v="0"/>
    <x v="18"/>
    <x v="3"/>
    <x v="20"/>
    <x v="47"/>
    <x v="2"/>
    <x v="3"/>
    <x v="35"/>
    <x v="6"/>
  </r>
  <r>
    <x v="215"/>
    <x v="9"/>
    <x v="0"/>
    <x v="0"/>
    <x v="0"/>
    <x v="6"/>
    <x v="1"/>
    <x v="0"/>
    <x v="2"/>
    <x v="2"/>
    <x v="0"/>
    <x v="16"/>
    <x v="1"/>
    <x v="21"/>
    <x v="20"/>
    <x v="3"/>
    <x v="3"/>
    <x v="17"/>
    <x v="35"/>
  </r>
  <r>
    <x v="216"/>
    <x v="9"/>
    <x v="0"/>
    <x v="0"/>
    <x v="0"/>
    <x v="7"/>
    <x v="1"/>
    <x v="0"/>
    <x v="2"/>
    <x v="2"/>
    <x v="0"/>
    <x v="16"/>
    <x v="1"/>
    <x v="21"/>
    <x v="20"/>
    <x v="6"/>
    <x v="4"/>
    <x v="102"/>
    <x v="43"/>
  </r>
  <r>
    <x v="217"/>
    <x v="9"/>
    <x v="0"/>
    <x v="0"/>
    <x v="0"/>
    <x v="8"/>
    <x v="1"/>
    <x v="0"/>
    <x v="2"/>
    <x v="2"/>
    <x v="1"/>
    <x v="16"/>
    <x v="1"/>
    <x v="21"/>
    <x v="20"/>
    <x v="3"/>
    <x v="17"/>
    <x v="103"/>
    <x v="104"/>
  </r>
  <r>
    <x v="218"/>
    <x v="9"/>
    <x v="0"/>
    <x v="0"/>
    <x v="0"/>
    <x v="9"/>
    <x v="1"/>
    <x v="0"/>
    <x v="2"/>
    <x v="2"/>
    <x v="1"/>
    <x v="14"/>
    <x v="1"/>
    <x v="21"/>
    <x v="20"/>
    <x v="2"/>
    <x v="4"/>
    <x v="50"/>
    <x v="12"/>
  </r>
  <r>
    <x v="219"/>
    <x v="9"/>
    <x v="0"/>
    <x v="0"/>
    <x v="0"/>
    <x v="10"/>
    <x v="1"/>
    <x v="0"/>
    <x v="2"/>
    <x v="2"/>
    <x v="1"/>
    <x v="14"/>
    <x v="1"/>
    <x v="21"/>
    <x v="20"/>
    <x v="4"/>
    <x v="3"/>
    <x v="17"/>
    <x v="35"/>
  </r>
  <r>
    <x v="220"/>
    <x v="9"/>
    <x v="0"/>
    <x v="0"/>
    <x v="0"/>
    <x v="11"/>
    <x v="1"/>
    <x v="0"/>
    <x v="2"/>
    <x v="2"/>
    <x v="1"/>
    <x v="13"/>
    <x v="1"/>
    <x v="19"/>
    <x v="19"/>
    <x v="3"/>
    <x v="4"/>
    <x v="95"/>
    <x v="33"/>
  </r>
  <r>
    <x v="221"/>
    <x v="9"/>
    <x v="0"/>
    <x v="0"/>
    <x v="0"/>
    <x v="12"/>
    <x v="2"/>
    <x v="0"/>
    <x v="2"/>
    <x v="2"/>
    <x v="1"/>
    <x v="2"/>
    <x v="1"/>
    <x v="23"/>
    <x v="22"/>
    <x v="3"/>
    <x v="2"/>
    <x v="12"/>
    <x v="46"/>
  </r>
  <r>
    <x v="222"/>
    <x v="9"/>
    <x v="0"/>
    <x v="0"/>
    <x v="0"/>
    <x v="13"/>
    <x v="2"/>
    <x v="0"/>
    <x v="2"/>
    <x v="2"/>
    <x v="1"/>
    <x v="2"/>
    <x v="1"/>
    <x v="23"/>
    <x v="22"/>
    <x v="3"/>
    <x v="17"/>
    <x v="54"/>
    <x v="60"/>
  </r>
  <r>
    <x v="223"/>
    <x v="9"/>
    <x v="0"/>
    <x v="0"/>
    <x v="0"/>
    <x v="14"/>
    <x v="2"/>
    <x v="0"/>
    <x v="2"/>
    <x v="2"/>
    <x v="1"/>
    <x v="2"/>
    <x v="1"/>
    <x v="17"/>
    <x v="22"/>
    <x v="6"/>
    <x v="3"/>
    <x v="12"/>
    <x v="105"/>
  </r>
  <r>
    <x v="224"/>
    <x v="9"/>
    <x v="0"/>
    <x v="0"/>
    <x v="0"/>
    <x v="15"/>
    <x v="2"/>
    <x v="0"/>
    <x v="2"/>
    <x v="2"/>
    <x v="1"/>
    <x v="2"/>
    <x v="1"/>
    <x v="17"/>
    <x v="22"/>
    <x v="6"/>
    <x v="4"/>
    <x v="30"/>
    <x v="79"/>
  </r>
  <r>
    <x v="225"/>
    <x v="9"/>
    <x v="0"/>
    <x v="0"/>
    <x v="0"/>
    <x v="16"/>
    <x v="2"/>
    <x v="0"/>
    <x v="2"/>
    <x v="2"/>
    <x v="0"/>
    <x v="2"/>
    <x v="1"/>
    <x v="16"/>
    <x v="22"/>
    <x v="7"/>
    <x v="17"/>
    <x v="14"/>
    <x v="30"/>
  </r>
  <r>
    <x v="226"/>
    <x v="9"/>
    <x v="0"/>
    <x v="0"/>
    <x v="0"/>
    <x v="17"/>
    <x v="3"/>
    <x v="0"/>
    <x v="2"/>
    <x v="2"/>
    <x v="0"/>
    <x v="2"/>
    <x v="1"/>
    <x v="15"/>
    <x v="22"/>
    <x v="14"/>
    <x v="17"/>
    <x v="104"/>
    <x v="106"/>
  </r>
  <r>
    <x v="227"/>
    <x v="9"/>
    <x v="0"/>
    <x v="0"/>
    <x v="0"/>
    <x v="18"/>
    <x v="3"/>
    <x v="0"/>
    <x v="2"/>
    <x v="2"/>
    <x v="0"/>
    <x v="2"/>
    <x v="1"/>
    <x v="17"/>
    <x v="22"/>
    <x v="6"/>
    <x v="5"/>
    <x v="105"/>
    <x v="107"/>
  </r>
  <r>
    <x v="228"/>
    <x v="9"/>
    <x v="0"/>
    <x v="0"/>
    <x v="0"/>
    <x v="19"/>
    <x v="3"/>
    <x v="0"/>
    <x v="2"/>
    <x v="2"/>
    <x v="0"/>
    <x v="13"/>
    <x v="1"/>
    <x v="22"/>
    <x v="19"/>
    <x v="8"/>
    <x v="0"/>
    <x v="50"/>
    <x v="76"/>
  </r>
  <r>
    <x v="229"/>
    <x v="9"/>
    <x v="0"/>
    <x v="0"/>
    <x v="0"/>
    <x v="20"/>
    <x v="0"/>
    <x v="0"/>
    <x v="2"/>
    <x v="2"/>
    <x v="0"/>
    <x v="13"/>
    <x v="1"/>
    <x v="22"/>
    <x v="20"/>
    <x v="8"/>
    <x v="5"/>
    <x v="26"/>
    <x v="30"/>
  </r>
  <r>
    <x v="230"/>
    <x v="9"/>
    <x v="0"/>
    <x v="0"/>
    <x v="0"/>
    <x v="21"/>
    <x v="0"/>
    <x v="0"/>
    <x v="2"/>
    <x v="2"/>
    <x v="0"/>
    <x v="14"/>
    <x v="1"/>
    <x v="19"/>
    <x v="29"/>
    <x v="5"/>
    <x v="5"/>
    <x v="53"/>
    <x v="103"/>
  </r>
  <r>
    <x v="231"/>
    <x v="9"/>
    <x v="0"/>
    <x v="0"/>
    <x v="0"/>
    <x v="22"/>
    <x v="0"/>
    <x v="0"/>
    <x v="2"/>
    <x v="2"/>
    <x v="0"/>
    <x v="14"/>
    <x v="1"/>
    <x v="26"/>
    <x v="29"/>
    <x v="8"/>
    <x v="4"/>
    <x v="97"/>
    <x v="108"/>
  </r>
  <r>
    <x v="232"/>
    <x v="9"/>
    <x v="0"/>
    <x v="0"/>
    <x v="0"/>
    <x v="23"/>
    <x v="0"/>
    <x v="0"/>
    <x v="2"/>
    <x v="2"/>
    <x v="0"/>
    <x v="14"/>
    <x v="1"/>
    <x v="26"/>
    <x v="29"/>
    <x v="8"/>
    <x v="3"/>
    <x v="72"/>
    <x v="109"/>
  </r>
  <r>
    <x v="233"/>
    <x v="10"/>
    <x v="0"/>
    <x v="0"/>
    <x v="0"/>
    <x v="0"/>
    <x v="0"/>
    <x v="0"/>
    <x v="3"/>
    <x v="3"/>
    <x v="0"/>
    <x v="14"/>
    <x v="1"/>
    <x v="22"/>
    <x v="29"/>
    <x v="14"/>
    <x v="4"/>
    <x v="3"/>
    <x v="47"/>
  </r>
  <r>
    <x v="234"/>
    <x v="10"/>
    <x v="0"/>
    <x v="0"/>
    <x v="0"/>
    <x v="1"/>
    <x v="0"/>
    <x v="0"/>
    <x v="3"/>
    <x v="3"/>
    <x v="0"/>
    <x v="14"/>
    <x v="1"/>
    <x v="26"/>
    <x v="29"/>
    <x v="8"/>
    <x v="3"/>
    <x v="35"/>
    <x v="6"/>
  </r>
  <r>
    <x v="235"/>
    <x v="10"/>
    <x v="0"/>
    <x v="0"/>
    <x v="0"/>
    <x v="2"/>
    <x v="0"/>
    <x v="0"/>
    <x v="3"/>
    <x v="3"/>
    <x v="1"/>
    <x v="13"/>
    <x v="1"/>
    <x v="26"/>
    <x v="28"/>
    <x v="5"/>
    <x v="3"/>
    <x v="35"/>
    <x v="6"/>
  </r>
  <r>
    <x v="236"/>
    <x v="10"/>
    <x v="0"/>
    <x v="0"/>
    <x v="0"/>
    <x v="5"/>
    <x v="1"/>
    <x v="0"/>
    <x v="3"/>
    <x v="3"/>
    <x v="1"/>
    <x v="13"/>
    <x v="1"/>
    <x v="23"/>
    <x v="28"/>
    <x v="7"/>
    <x v="3"/>
    <x v="8"/>
    <x v="24"/>
  </r>
  <r>
    <x v="237"/>
    <x v="10"/>
    <x v="0"/>
    <x v="0"/>
    <x v="0"/>
    <x v="6"/>
    <x v="1"/>
    <x v="0"/>
    <x v="3"/>
    <x v="3"/>
    <x v="1"/>
    <x v="13"/>
    <x v="1"/>
    <x v="23"/>
    <x v="28"/>
    <x v="7"/>
    <x v="3"/>
    <x v="2"/>
    <x v="110"/>
  </r>
  <r>
    <x v="238"/>
    <x v="10"/>
    <x v="0"/>
    <x v="0"/>
    <x v="0"/>
    <x v="7"/>
    <x v="1"/>
    <x v="0"/>
    <x v="3"/>
    <x v="3"/>
    <x v="1"/>
    <x v="13"/>
    <x v="1"/>
    <x v="15"/>
    <x v="28"/>
    <x v="0"/>
    <x v="4"/>
    <x v="106"/>
    <x v="111"/>
  </r>
  <r>
    <x v="239"/>
    <x v="10"/>
    <x v="0"/>
    <x v="0"/>
    <x v="0"/>
    <x v="8"/>
    <x v="1"/>
    <x v="0"/>
    <x v="3"/>
    <x v="3"/>
    <x v="1"/>
    <x v="15"/>
    <x v="1"/>
    <x v="16"/>
    <x v="33"/>
    <x v="1"/>
    <x v="0"/>
    <x v="107"/>
    <x v="112"/>
  </r>
  <r>
    <x v="240"/>
    <x v="10"/>
    <x v="0"/>
    <x v="0"/>
    <x v="0"/>
    <x v="9"/>
    <x v="1"/>
    <x v="0"/>
    <x v="3"/>
    <x v="3"/>
    <x v="1"/>
    <x v="15"/>
    <x v="1"/>
    <x v="17"/>
    <x v="33"/>
    <x v="8"/>
    <x v="0"/>
    <x v="69"/>
    <x v="113"/>
  </r>
  <r>
    <x v="241"/>
    <x v="10"/>
    <x v="0"/>
    <x v="0"/>
    <x v="0"/>
    <x v="10"/>
    <x v="1"/>
    <x v="0"/>
    <x v="3"/>
    <x v="3"/>
    <x v="1"/>
    <x v="2"/>
    <x v="1"/>
    <x v="16"/>
    <x v="33"/>
    <x v="8"/>
    <x v="0"/>
    <x v="82"/>
    <x v="60"/>
  </r>
  <r>
    <x v="242"/>
    <x v="10"/>
    <x v="0"/>
    <x v="0"/>
    <x v="0"/>
    <x v="11"/>
    <x v="1"/>
    <x v="0"/>
    <x v="3"/>
    <x v="3"/>
    <x v="1"/>
    <x v="2"/>
    <x v="1"/>
    <x v="16"/>
    <x v="19"/>
    <x v="7"/>
    <x v="17"/>
    <x v="17"/>
    <x v="17"/>
  </r>
  <r>
    <x v="243"/>
    <x v="10"/>
    <x v="0"/>
    <x v="0"/>
    <x v="0"/>
    <x v="12"/>
    <x v="2"/>
    <x v="0"/>
    <x v="3"/>
    <x v="3"/>
    <x v="1"/>
    <x v="2"/>
    <x v="1"/>
    <x v="15"/>
    <x v="33"/>
    <x v="14"/>
    <x v="4"/>
    <x v="11"/>
    <x v="52"/>
  </r>
  <r>
    <x v="244"/>
    <x v="10"/>
    <x v="0"/>
    <x v="0"/>
    <x v="0"/>
    <x v="13"/>
    <x v="2"/>
    <x v="0"/>
    <x v="3"/>
    <x v="3"/>
    <x v="1"/>
    <x v="2"/>
    <x v="1"/>
    <x v="15"/>
    <x v="29"/>
    <x v="1"/>
    <x v="15"/>
    <x v="24"/>
    <x v="46"/>
  </r>
  <r>
    <x v="245"/>
    <x v="10"/>
    <x v="0"/>
    <x v="0"/>
    <x v="0"/>
    <x v="14"/>
    <x v="2"/>
    <x v="0"/>
    <x v="3"/>
    <x v="3"/>
    <x v="1"/>
    <x v="2"/>
    <x v="1"/>
    <x v="15"/>
    <x v="29"/>
    <x v="1"/>
    <x v="0"/>
    <x v="91"/>
    <x v="55"/>
  </r>
  <r>
    <x v="246"/>
    <x v="10"/>
    <x v="0"/>
    <x v="0"/>
    <x v="0"/>
    <x v="15"/>
    <x v="2"/>
    <x v="0"/>
    <x v="3"/>
    <x v="3"/>
    <x v="1"/>
    <x v="13"/>
    <x v="1"/>
    <x v="17"/>
    <x v="1"/>
    <x v="1"/>
    <x v="4"/>
    <x v="108"/>
    <x v="105"/>
  </r>
  <r>
    <x v="247"/>
    <x v="10"/>
    <x v="0"/>
    <x v="0"/>
    <x v="0"/>
    <x v="16"/>
    <x v="2"/>
    <x v="0"/>
    <x v="3"/>
    <x v="3"/>
    <x v="1"/>
    <x v="13"/>
    <x v="1"/>
    <x v="26"/>
    <x v="3"/>
    <x v="6"/>
    <x v="17"/>
    <x v="109"/>
    <x v="31"/>
  </r>
  <r>
    <x v="248"/>
    <x v="10"/>
    <x v="0"/>
    <x v="0"/>
    <x v="0"/>
    <x v="17"/>
    <x v="3"/>
    <x v="0"/>
    <x v="3"/>
    <x v="3"/>
    <x v="1"/>
    <x v="13"/>
    <x v="1"/>
    <x v="26"/>
    <x v="3"/>
    <x v="6"/>
    <x v="15"/>
    <x v="110"/>
    <x v="114"/>
  </r>
  <r>
    <x v="249"/>
    <x v="10"/>
    <x v="0"/>
    <x v="0"/>
    <x v="0"/>
    <x v="18"/>
    <x v="3"/>
    <x v="0"/>
    <x v="3"/>
    <x v="3"/>
    <x v="2"/>
    <x v="13"/>
    <x v="1"/>
    <x v="23"/>
    <x v="43"/>
    <x v="14"/>
    <x v="5"/>
    <x v="111"/>
    <x v="76"/>
  </r>
  <r>
    <x v="250"/>
    <x v="10"/>
    <x v="0"/>
    <x v="0"/>
    <x v="0"/>
    <x v="19"/>
    <x v="3"/>
    <x v="0"/>
    <x v="3"/>
    <x v="3"/>
    <x v="2"/>
    <x v="13"/>
    <x v="1"/>
    <x v="15"/>
    <x v="43"/>
    <x v="0"/>
    <x v="3"/>
    <x v="82"/>
    <x v="41"/>
  </r>
  <r>
    <x v="251"/>
    <x v="10"/>
    <x v="0"/>
    <x v="0"/>
    <x v="0"/>
    <x v="20"/>
    <x v="0"/>
    <x v="0"/>
    <x v="3"/>
    <x v="3"/>
    <x v="2"/>
    <x v="13"/>
    <x v="1"/>
    <x v="26"/>
    <x v="43"/>
    <x v="5"/>
    <x v="3"/>
    <x v="1"/>
    <x v="2"/>
  </r>
  <r>
    <x v="252"/>
    <x v="10"/>
    <x v="0"/>
    <x v="0"/>
    <x v="0"/>
    <x v="21"/>
    <x v="0"/>
    <x v="0"/>
    <x v="3"/>
    <x v="3"/>
    <x v="2"/>
    <x v="13"/>
    <x v="1"/>
    <x v="17"/>
    <x v="3"/>
    <x v="1"/>
    <x v="3"/>
    <x v="32"/>
    <x v="25"/>
  </r>
  <r>
    <x v="253"/>
    <x v="10"/>
    <x v="0"/>
    <x v="0"/>
    <x v="0"/>
    <x v="22"/>
    <x v="0"/>
    <x v="0"/>
    <x v="3"/>
    <x v="3"/>
    <x v="2"/>
    <x v="13"/>
    <x v="1"/>
    <x v="23"/>
    <x v="43"/>
    <x v="14"/>
    <x v="5"/>
    <x v="95"/>
    <x v="115"/>
  </r>
  <r>
    <x v="254"/>
    <x v="10"/>
    <x v="0"/>
    <x v="0"/>
    <x v="0"/>
    <x v="23"/>
    <x v="0"/>
    <x v="0"/>
    <x v="3"/>
    <x v="3"/>
    <x v="2"/>
    <x v="13"/>
    <x v="1"/>
    <x v="17"/>
    <x v="43"/>
    <x v="1"/>
    <x v="5"/>
    <x v="72"/>
    <x v="75"/>
  </r>
  <r>
    <x v="255"/>
    <x v="11"/>
    <x v="0"/>
    <x v="0"/>
    <x v="0"/>
    <x v="0"/>
    <x v="0"/>
    <x v="0"/>
    <x v="4"/>
    <x v="4"/>
    <x v="1"/>
    <x v="13"/>
    <x v="1"/>
    <x v="17"/>
    <x v="3"/>
    <x v="1"/>
    <x v="3"/>
    <x v="7"/>
    <x v="85"/>
  </r>
  <r>
    <x v="256"/>
    <x v="11"/>
    <x v="0"/>
    <x v="0"/>
    <x v="0"/>
    <x v="1"/>
    <x v="0"/>
    <x v="0"/>
    <x v="4"/>
    <x v="4"/>
    <x v="1"/>
    <x v="13"/>
    <x v="1"/>
    <x v="23"/>
    <x v="3"/>
    <x v="14"/>
    <x v="3"/>
    <x v="8"/>
    <x v="24"/>
  </r>
  <r>
    <x v="257"/>
    <x v="11"/>
    <x v="0"/>
    <x v="0"/>
    <x v="0"/>
    <x v="2"/>
    <x v="0"/>
    <x v="0"/>
    <x v="4"/>
    <x v="4"/>
    <x v="0"/>
    <x v="14"/>
    <x v="1"/>
    <x v="26"/>
    <x v="3"/>
    <x v="7"/>
    <x v="3"/>
    <x v="4"/>
    <x v="4"/>
  </r>
  <r>
    <x v="258"/>
    <x v="11"/>
    <x v="0"/>
    <x v="0"/>
    <x v="0"/>
    <x v="5"/>
    <x v="1"/>
    <x v="0"/>
    <x v="4"/>
    <x v="4"/>
    <x v="0"/>
    <x v="14"/>
    <x v="1"/>
    <x v="26"/>
    <x v="3"/>
    <x v="8"/>
    <x v="3"/>
    <x v="34"/>
    <x v="36"/>
  </r>
  <r>
    <x v="259"/>
    <x v="11"/>
    <x v="0"/>
    <x v="0"/>
    <x v="0"/>
    <x v="6"/>
    <x v="1"/>
    <x v="0"/>
    <x v="4"/>
    <x v="4"/>
    <x v="0"/>
    <x v="16"/>
    <x v="1"/>
    <x v="26"/>
    <x v="43"/>
    <x v="7"/>
    <x v="3"/>
    <x v="20"/>
    <x v="0"/>
  </r>
  <r>
    <x v="260"/>
    <x v="11"/>
    <x v="0"/>
    <x v="0"/>
    <x v="0"/>
    <x v="7"/>
    <x v="1"/>
    <x v="0"/>
    <x v="4"/>
    <x v="4"/>
    <x v="0"/>
    <x v="14"/>
    <x v="1"/>
    <x v="26"/>
    <x v="27"/>
    <x v="7"/>
    <x v="3"/>
    <x v="25"/>
    <x v="60"/>
  </r>
  <r>
    <x v="261"/>
    <x v="11"/>
    <x v="0"/>
    <x v="0"/>
    <x v="0"/>
    <x v="8"/>
    <x v="1"/>
    <x v="0"/>
    <x v="4"/>
    <x v="4"/>
    <x v="0"/>
    <x v="13"/>
    <x v="1"/>
    <x v="22"/>
    <x v="29"/>
    <x v="8"/>
    <x v="0"/>
    <x v="85"/>
    <x v="116"/>
  </r>
  <r>
    <x v="262"/>
    <x v="11"/>
    <x v="0"/>
    <x v="0"/>
    <x v="0"/>
    <x v="9"/>
    <x v="1"/>
    <x v="0"/>
    <x v="4"/>
    <x v="4"/>
    <x v="0"/>
    <x v="13"/>
    <x v="1"/>
    <x v="19"/>
    <x v="29"/>
    <x v="9"/>
    <x v="0"/>
    <x v="78"/>
    <x v="117"/>
  </r>
  <r>
    <x v="263"/>
    <x v="11"/>
    <x v="0"/>
    <x v="0"/>
    <x v="0"/>
    <x v="10"/>
    <x v="1"/>
    <x v="0"/>
    <x v="4"/>
    <x v="4"/>
    <x v="0"/>
    <x v="15"/>
    <x v="1"/>
    <x v="23"/>
    <x v="28"/>
    <x v="6"/>
    <x v="3"/>
    <x v="87"/>
    <x v="21"/>
  </r>
  <r>
    <x v="264"/>
    <x v="11"/>
    <x v="0"/>
    <x v="0"/>
    <x v="0"/>
    <x v="11"/>
    <x v="1"/>
    <x v="0"/>
    <x v="4"/>
    <x v="4"/>
    <x v="0"/>
    <x v="2"/>
    <x v="1"/>
    <x v="23"/>
    <x v="33"/>
    <x v="13"/>
    <x v="0"/>
    <x v="1"/>
    <x v="17"/>
  </r>
  <r>
    <x v="265"/>
    <x v="11"/>
    <x v="0"/>
    <x v="0"/>
    <x v="0"/>
    <x v="12"/>
    <x v="2"/>
    <x v="0"/>
    <x v="4"/>
    <x v="4"/>
    <x v="0"/>
    <x v="2"/>
    <x v="1"/>
    <x v="26"/>
    <x v="19"/>
    <x v="19"/>
    <x v="0"/>
    <x v="15"/>
    <x v="97"/>
  </r>
  <r>
    <x v="266"/>
    <x v="11"/>
    <x v="0"/>
    <x v="0"/>
    <x v="0"/>
    <x v="13"/>
    <x v="2"/>
    <x v="0"/>
    <x v="4"/>
    <x v="4"/>
    <x v="0"/>
    <x v="1"/>
    <x v="0"/>
    <x v="17"/>
    <x v="18"/>
    <x v="11"/>
    <x v="3"/>
    <x v="47"/>
    <x v="99"/>
  </r>
  <r>
    <x v="267"/>
    <x v="11"/>
    <x v="0"/>
    <x v="0"/>
    <x v="0"/>
    <x v="14"/>
    <x v="2"/>
    <x v="0"/>
    <x v="4"/>
    <x v="4"/>
    <x v="0"/>
    <x v="2"/>
    <x v="1"/>
    <x v="23"/>
    <x v="19"/>
    <x v="9"/>
    <x v="3"/>
    <x v="100"/>
    <x v="40"/>
  </r>
  <r>
    <x v="268"/>
    <x v="11"/>
    <x v="0"/>
    <x v="0"/>
    <x v="0"/>
    <x v="15"/>
    <x v="2"/>
    <x v="0"/>
    <x v="4"/>
    <x v="4"/>
    <x v="0"/>
    <x v="2"/>
    <x v="1"/>
    <x v="22"/>
    <x v="19"/>
    <x v="12"/>
    <x v="5"/>
    <x v="41"/>
    <x v="99"/>
  </r>
  <r>
    <x v="269"/>
    <x v="11"/>
    <x v="0"/>
    <x v="0"/>
    <x v="0"/>
    <x v="16"/>
    <x v="2"/>
    <x v="0"/>
    <x v="4"/>
    <x v="4"/>
    <x v="0"/>
    <x v="1"/>
    <x v="0"/>
    <x v="17"/>
    <x v="18"/>
    <x v="9"/>
    <x v="2"/>
    <x v="36"/>
    <x v="118"/>
  </r>
  <r>
    <x v="270"/>
    <x v="11"/>
    <x v="0"/>
    <x v="0"/>
    <x v="0"/>
    <x v="17"/>
    <x v="3"/>
    <x v="0"/>
    <x v="4"/>
    <x v="4"/>
    <x v="0"/>
    <x v="2"/>
    <x v="1"/>
    <x v="23"/>
    <x v="19"/>
    <x v="11"/>
    <x v="3"/>
    <x v="112"/>
    <x v="119"/>
  </r>
  <r>
    <x v="271"/>
    <x v="11"/>
    <x v="0"/>
    <x v="0"/>
    <x v="0"/>
    <x v="18"/>
    <x v="3"/>
    <x v="0"/>
    <x v="4"/>
    <x v="4"/>
    <x v="0"/>
    <x v="2"/>
    <x v="1"/>
    <x v="26"/>
    <x v="19"/>
    <x v="18"/>
    <x v="4"/>
    <x v="113"/>
    <x v="120"/>
  </r>
  <r>
    <x v="272"/>
    <x v="11"/>
    <x v="0"/>
    <x v="0"/>
    <x v="0"/>
    <x v="19"/>
    <x v="3"/>
    <x v="0"/>
    <x v="4"/>
    <x v="4"/>
    <x v="0"/>
    <x v="15"/>
    <x v="1"/>
    <x v="26"/>
    <x v="19"/>
    <x v="12"/>
    <x v="5"/>
    <x v="70"/>
    <x v="56"/>
  </r>
  <r>
    <x v="273"/>
    <x v="11"/>
    <x v="0"/>
    <x v="0"/>
    <x v="0"/>
    <x v="20"/>
    <x v="0"/>
    <x v="0"/>
    <x v="4"/>
    <x v="4"/>
    <x v="0"/>
    <x v="13"/>
    <x v="1"/>
    <x v="19"/>
    <x v="20"/>
    <x v="9"/>
    <x v="4"/>
    <x v="25"/>
    <x v="10"/>
  </r>
  <r>
    <x v="274"/>
    <x v="11"/>
    <x v="0"/>
    <x v="0"/>
    <x v="0"/>
    <x v="21"/>
    <x v="0"/>
    <x v="0"/>
    <x v="4"/>
    <x v="4"/>
    <x v="0"/>
    <x v="13"/>
    <x v="1"/>
    <x v="19"/>
    <x v="28"/>
    <x v="9"/>
    <x v="3"/>
    <x v="77"/>
    <x v="52"/>
  </r>
  <r>
    <x v="275"/>
    <x v="11"/>
    <x v="0"/>
    <x v="0"/>
    <x v="0"/>
    <x v="22"/>
    <x v="0"/>
    <x v="0"/>
    <x v="4"/>
    <x v="4"/>
    <x v="0"/>
    <x v="13"/>
    <x v="1"/>
    <x v="21"/>
    <x v="28"/>
    <x v="10"/>
    <x v="5"/>
    <x v="1"/>
    <x v="63"/>
  </r>
  <r>
    <x v="276"/>
    <x v="11"/>
    <x v="0"/>
    <x v="0"/>
    <x v="0"/>
    <x v="23"/>
    <x v="0"/>
    <x v="0"/>
    <x v="4"/>
    <x v="4"/>
    <x v="0"/>
    <x v="14"/>
    <x v="1"/>
    <x v="20"/>
    <x v="29"/>
    <x v="12"/>
    <x v="5"/>
    <x v="23"/>
    <x v="25"/>
  </r>
  <r>
    <x v="277"/>
    <x v="12"/>
    <x v="0"/>
    <x v="0"/>
    <x v="0"/>
    <x v="0"/>
    <x v="0"/>
    <x v="0"/>
    <x v="5"/>
    <x v="5"/>
    <x v="0"/>
    <x v="14"/>
    <x v="1"/>
    <x v="21"/>
    <x v="29"/>
    <x v="3"/>
    <x v="5"/>
    <x v="8"/>
    <x v="85"/>
  </r>
  <r>
    <x v="278"/>
    <x v="12"/>
    <x v="0"/>
    <x v="0"/>
    <x v="0"/>
    <x v="1"/>
    <x v="0"/>
    <x v="0"/>
    <x v="5"/>
    <x v="5"/>
    <x v="0"/>
    <x v="14"/>
    <x v="1"/>
    <x v="21"/>
    <x v="20"/>
    <x v="3"/>
    <x v="3"/>
    <x v="6"/>
    <x v="5"/>
  </r>
  <r>
    <x v="279"/>
    <x v="12"/>
    <x v="0"/>
    <x v="0"/>
    <x v="0"/>
    <x v="2"/>
    <x v="0"/>
    <x v="0"/>
    <x v="5"/>
    <x v="5"/>
    <x v="0"/>
    <x v="14"/>
    <x v="1"/>
    <x v="21"/>
    <x v="20"/>
    <x v="11"/>
    <x v="3"/>
    <x v="6"/>
    <x v="5"/>
  </r>
  <r>
    <x v="280"/>
    <x v="12"/>
    <x v="0"/>
    <x v="0"/>
    <x v="0"/>
    <x v="3"/>
    <x v="0"/>
    <x v="0"/>
    <x v="5"/>
    <x v="5"/>
    <x v="0"/>
    <x v="14"/>
    <x v="1"/>
    <x v="21"/>
    <x v="20"/>
    <x v="9"/>
    <x v="3"/>
    <x v="35"/>
    <x v="6"/>
  </r>
  <r>
    <x v="281"/>
    <x v="12"/>
    <x v="0"/>
    <x v="0"/>
    <x v="0"/>
    <x v="4"/>
    <x v="0"/>
    <x v="0"/>
    <x v="5"/>
    <x v="5"/>
    <x v="0"/>
    <x v="14"/>
    <x v="1"/>
    <x v="21"/>
    <x v="20"/>
    <x v="2"/>
    <x v="3"/>
    <x v="22"/>
    <x v="48"/>
  </r>
  <r>
    <x v="282"/>
    <x v="12"/>
    <x v="0"/>
    <x v="0"/>
    <x v="0"/>
    <x v="5"/>
    <x v="1"/>
    <x v="0"/>
    <x v="5"/>
    <x v="5"/>
    <x v="0"/>
    <x v="14"/>
    <x v="1"/>
    <x v="21"/>
    <x v="20"/>
    <x v="4"/>
    <x v="3"/>
    <x v="35"/>
    <x v="6"/>
  </r>
  <r>
    <x v="283"/>
    <x v="12"/>
    <x v="0"/>
    <x v="0"/>
    <x v="0"/>
    <x v="6"/>
    <x v="1"/>
    <x v="0"/>
    <x v="5"/>
    <x v="5"/>
    <x v="0"/>
    <x v="16"/>
    <x v="1"/>
    <x v="26"/>
    <x v="47"/>
    <x v="7"/>
    <x v="3"/>
    <x v="95"/>
    <x v="20"/>
  </r>
  <r>
    <x v="284"/>
    <x v="12"/>
    <x v="0"/>
    <x v="0"/>
    <x v="0"/>
    <x v="7"/>
    <x v="1"/>
    <x v="0"/>
    <x v="5"/>
    <x v="5"/>
    <x v="0"/>
    <x v="16"/>
    <x v="1"/>
    <x v="26"/>
    <x v="47"/>
    <x v="7"/>
    <x v="3"/>
    <x v="109"/>
    <x v="44"/>
  </r>
  <r>
    <x v="285"/>
    <x v="12"/>
    <x v="0"/>
    <x v="0"/>
    <x v="0"/>
    <x v="8"/>
    <x v="1"/>
    <x v="0"/>
    <x v="5"/>
    <x v="5"/>
    <x v="0"/>
    <x v="14"/>
    <x v="1"/>
    <x v="19"/>
    <x v="20"/>
    <x v="5"/>
    <x v="2"/>
    <x v="114"/>
    <x v="121"/>
  </r>
  <r>
    <x v="286"/>
    <x v="12"/>
    <x v="0"/>
    <x v="0"/>
    <x v="0"/>
    <x v="9"/>
    <x v="1"/>
    <x v="0"/>
    <x v="5"/>
    <x v="5"/>
    <x v="0"/>
    <x v="14"/>
    <x v="1"/>
    <x v="21"/>
    <x v="20"/>
    <x v="9"/>
    <x v="4"/>
    <x v="115"/>
    <x v="119"/>
  </r>
  <r>
    <x v="287"/>
    <x v="12"/>
    <x v="0"/>
    <x v="0"/>
    <x v="0"/>
    <x v="10"/>
    <x v="1"/>
    <x v="0"/>
    <x v="5"/>
    <x v="5"/>
    <x v="1"/>
    <x v="13"/>
    <x v="1"/>
    <x v="19"/>
    <x v="20"/>
    <x v="11"/>
    <x v="4"/>
    <x v="49"/>
    <x v="103"/>
  </r>
  <r>
    <x v="288"/>
    <x v="12"/>
    <x v="0"/>
    <x v="0"/>
    <x v="0"/>
    <x v="11"/>
    <x v="1"/>
    <x v="0"/>
    <x v="5"/>
    <x v="5"/>
    <x v="1"/>
    <x v="2"/>
    <x v="1"/>
    <x v="22"/>
    <x v="18"/>
    <x v="10"/>
    <x v="17"/>
    <x v="39"/>
    <x v="18"/>
  </r>
  <r>
    <x v="289"/>
    <x v="12"/>
    <x v="0"/>
    <x v="0"/>
    <x v="0"/>
    <x v="12"/>
    <x v="2"/>
    <x v="0"/>
    <x v="5"/>
    <x v="5"/>
    <x v="0"/>
    <x v="2"/>
    <x v="1"/>
    <x v="22"/>
    <x v="18"/>
    <x v="12"/>
    <x v="0"/>
    <x v="47"/>
    <x v="46"/>
  </r>
  <r>
    <x v="290"/>
    <x v="12"/>
    <x v="0"/>
    <x v="0"/>
    <x v="0"/>
    <x v="13"/>
    <x v="2"/>
    <x v="0"/>
    <x v="5"/>
    <x v="5"/>
    <x v="0"/>
    <x v="1"/>
    <x v="0"/>
    <x v="17"/>
    <x v="48"/>
    <x v="10"/>
    <x v="4"/>
    <x v="38"/>
    <x v="56"/>
  </r>
  <r>
    <x v="291"/>
    <x v="12"/>
    <x v="0"/>
    <x v="0"/>
    <x v="0"/>
    <x v="14"/>
    <x v="2"/>
    <x v="0"/>
    <x v="5"/>
    <x v="5"/>
    <x v="0"/>
    <x v="1"/>
    <x v="0"/>
    <x v="17"/>
    <x v="48"/>
    <x v="13"/>
    <x v="0"/>
    <x v="87"/>
    <x v="51"/>
  </r>
  <r>
    <x v="292"/>
    <x v="12"/>
    <x v="0"/>
    <x v="0"/>
    <x v="0"/>
    <x v="15"/>
    <x v="2"/>
    <x v="0"/>
    <x v="5"/>
    <x v="5"/>
    <x v="0"/>
    <x v="0"/>
    <x v="0"/>
    <x v="16"/>
    <x v="41"/>
    <x v="4"/>
    <x v="2"/>
    <x v="11"/>
    <x v="122"/>
  </r>
  <r>
    <x v="293"/>
    <x v="12"/>
    <x v="0"/>
    <x v="0"/>
    <x v="0"/>
    <x v="16"/>
    <x v="2"/>
    <x v="0"/>
    <x v="5"/>
    <x v="5"/>
    <x v="0"/>
    <x v="0"/>
    <x v="0"/>
    <x v="16"/>
    <x v="41"/>
    <x v="11"/>
    <x v="4"/>
    <x v="83"/>
    <x v="53"/>
  </r>
  <r>
    <x v="294"/>
    <x v="12"/>
    <x v="0"/>
    <x v="0"/>
    <x v="0"/>
    <x v="17"/>
    <x v="3"/>
    <x v="0"/>
    <x v="5"/>
    <x v="5"/>
    <x v="0"/>
    <x v="2"/>
    <x v="1"/>
    <x v="23"/>
    <x v="22"/>
    <x v="3"/>
    <x v="17"/>
    <x v="81"/>
    <x v="123"/>
  </r>
  <r>
    <x v="295"/>
    <x v="12"/>
    <x v="0"/>
    <x v="0"/>
    <x v="0"/>
    <x v="18"/>
    <x v="3"/>
    <x v="0"/>
    <x v="5"/>
    <x v="5"/>
    <x v="0"/>
    <x v="2"/>
    <x v="1"/>
    <x v="23"/>
    <x v="22"/>
    <x v="9"/>
    <x v="0"/>
    <x v="116"/>
    <x v="124"/>
  </r>
  <r>
    <x v="296"/>
    <x v="12"/>
    <x v="0"/>
    <x v="0"/>
    <x v="0"/>
    <x v="19"/>
    <x v="3"/>
    <x v="0"/>
    <x v="5"/>
    <x v="5"/>
    <x v="0"/>
    <x v="13"/>
    <x v="1"/>
    <x v="26"/>
    <x v="19"/>
    <x v="2"/>
    <x v="5"/>
    <x v="52"/>
    <x v="111"/>
  </r>
  <r>
    <x v="297"/>
    <x v="12"/>
    <x v="0"/>
    <x v="0"/>
    <x v="0"/>
    <x v="20"/>
    <x v="0"/>
    <x v="0"/>
    <x v="5"/>
    <x v="5"/>
    <x v="0"/>
    <x v="13"/>
    <x v="1"/>
    <x v="26"/>
    <x v="19"/>
    <x v="6"/>
    <x v="3"/>
    <x v="27"/>
    <x v="37"/>
  </r>
  <r>
    <x v="298"/>
    <x v="12"/>
    <x v="0"/>
    <x v="0"/>
    <x v="0"/>
    <x v="21"/>
    <x v="0"/>
    <x v="0"/>
    <x v="5"/>
    <x v="5"/>
    <x v="0"/>
    <x v="14"/>
    <x v="1"/>
    <x v="21"/>
    <x v="15"/>
    <x v="4"/>
    <x v="3"/>
    <x v="71"/>
    <x v="1"/>
  </r>
  <r>
    <x v="299"/>
    <x v="12"/>
    <x v="0"/>
    <x v="0"/>
    <x v="0"/>
    <x v="22"/>
    <x v="0"/>
    <x v="0"/>
    <x v="5"/>
    <x v="5"/>
    <x v="0"/>
    <x v="14"/>
    <x v="1"/>
    <x v="21"/>
    <x v="15"/>
    <x v="9"/>
    <x v="3"/>
    <x v="10"/>
    <x v="33"/>
  </r>
  <r>
    <x v="300"/>
    <x v="12"/>
    <x v="0"/>
    <x v="0"/>
    <x v="0"/>
    <x v="23"/>
    <x v="0"/>
    <x v="0"/>
    <x v="5"/>
    <x v="5"/>
    <x v="0"/>
    <x v="16"/>
    <x v="1"/>
    <x v="19"/>
    <x v="20"/>
    <x v="5"/>
    <x v="5"/>
    <x v="88"/>
    <x v="93"/>
  </r>
  <r>
    <x v="301"/>
    <x v="13"/>
    <x v="0"/>
    <x v="0"/>
    <x v="0"/>
    <x v="0"/>
    <x v="0"/>
    <x v="0"/>
    <x v="6"/>
    <x v="6"/>
    <x v="0"/>
    <x v="16"/>
    <x v="1"/>
    <x v="19"/>
    <x v="20"/>
    <x v="5"/>
    <x v="3"/>
    <x v="88"/>
    <x v="8"/>
  </r>
  <r>
    <x v="302"/>
    <x v="13"/>
    <x v="0"/>
    <x v="0"/>
    <x v="0"/>
    <x v="1"/>
    <x v="0"/>
    <x v="0"/>
    <x v="6"/>
    <x v="6"/>
    <x v="0"/>
    <x v="18"/>
    <x v="3"/>
    <x v="21"/>
    <x v="47"/>
    <x v="8"/>
    <x v="3"/>
    <x v="34"/>
    <x v="36"/>
  </r>
  <r>
    <x v="303"/>
    <x v="13"/>
    <x v="0"/>
    <x v="0"/>
    <x v="0"/>
    <x v="2"/>
    <x v="0"/>
    <x v="0"/>
    <x v="6"/>
    <x v="6"/>
    <x v="0"/>
    <x v="18"/>
    <x v="3"/>
    <x v="21"/>
    <x v="47"/>
    <x v="7"/>
    <x v="3"/>
    <x v="4"/>
    <x v="4"/>
  </r>
  <r>
    <x v="304"/>
    <x v="13"/>
    <x v="0"/>
    <x v="0"/>
    <x v="0"/>
    <x v="3"/>
    <x v="0"/>
    <x v="0"/>
    <x v="6"/>
    <x v="6"/>
    <x v="0"/>
    <x v="18"/>
    <x v="3"/>
    <x v="19"/>
    <x v="47"/>
    <x v="14"/>
    <x v="3"/>
    <x v="4"/>
    <x v="4"/>
  </r>
  <r>
    <x v="305"/>
    <x v="13"/>
    <x v="0"/>
    <x v="0"/>
    <x v="0"/>
    <x v="5"/>
    <x v="1"/>
    <x v="0"/>
    <x v="6"/>
    <x v="6"/>
    <x v="0"/>
    <x v="18"/>
    <x v="3"/>
    <x v="19"/>
    <x v="47"/>
    <x v="1"/>
    <x v="3"/>
    <x v="21"/>
    <x v="7"/>
  </r>
  <r>
    <x v="306"/>
    <x v="13"/>
    <x v="0"/>
    <x v="0"/>
    <x v="0"/>
    <x v="6"/>
    <x v="1"/>
    <x v="0"/>
    <x v="6"/>
    <x v="6"/>
    <x v="0"/>
    <x v="18"/>
    <x v="3"/>
    <x v="23"/>
    <x v="47"/>
    <x v="0"/>
    <x v="3"/>
    <x v="19"/>
    <x v="22"/>
  </r>
  <r>
    <x v="307"/>
    <x v="13"/>
    <x v="0"/>
    <x v="0"/>
    <x v="0"/>
    <x v="7"/>
    <x v="1"/>
    <x v="0"/>
    <x v="6"/>
    <x v="6"/>
    <x v="0"/>
    <x v="18"/>
    <x v="3"/>
    <x v="21"/>
    <x v="32"/>
    <x v="8"/>
    <x v="3"/>
    <x v="14"/>
    <x v="27"/>
  </r>
  <r>
    <x v="308"/>
    <x v="13"/>
    <x v="0"/>
    <x v="0"/>
    <x v="0"/>
    <x v="8"/>
    <x v="1"/>
    <x v="0"/>
    <x v="6"/>
    <x v="6"/>
    <x v="0"/>
    <x v="16"/>
    <x v="1"/>
    <x v="22"/>
    <x v="31"/>
    <x v="0"/>
    <x v="4"/>
    <x v="117"/>
    <x v="125"/>
  </r>
  <r>
    <x v="309"/>
    <x v="13"/>
    <x v="0"/>
    <x v="0"/>
    <x v="0"/>
    <x v="9"/>
    <x v="1"/>
    <x v="0"/>
    <x v="6"/>
    <x v="6"/>
    <x v="0"/>
    <x v="14"/>
    <x v="1"/>
    <x v="26"/>
    <x v="27"/>
    <x v="7"/>
    <x v="3"/>
    <x v="118"/>
    <x v="126"/>
  </r>
  <r>
    <x v="310"/>
    <x v="13"/>
    <x v="0"/>
    <x v="0"/>
    <x v="0"/>
    <x v="10"/>
    <x v="1"/>
    <x v="0"/>
    <x v="6"/>
    <x v="6"/>
    <x v="0"/>
    <x v="15"/>
    <x v="1"/>
    <x v="23"/>
    <x v="28"/>
    <x v="5"/>
    <x v="17"/>
    <x v="71"/>
    <x v="40"/>
  </r>
  <r>
    <x v="311"/>
    <x v="13"/>
    <x v="0"/>
    <x v="0"/>
    <x v="0"/>
    <x v="11"/>
    <x v="1"/>
    <x v="0"/>
    <x v="6"/>
    <x v="6"/>
    <x v="0"/>
    <x v="15"/>
    <x v="1"/>
    <x v="22"/>
    <x v="33"/>
    <x v="3"/>
    <x v="15"/>
    <x v="12"/>
    <x v="26"/>
  </r>
  <r>
    <x v="312"/>
    <x v="13"/>
    <x v="0"/>
    <x v="0"/>
    <x v="0"/>
    <x v="12"/>
    <x v="2"/>
    <x v="0"/>
    <x v="6"/>
    <x v="6"/>
    <x v="0"/>
    <x v="2"/>
    <x v="1"/>
    <x v="17"/>
    <x v="18"/>
    <x v="2"/>
    <x v="4"/>
    <x v="79"/>
    <x v="42"/>
  </r>
  <r>
    <x v="313"/>
    <x v="13"/>
    <x v="0"/>
    <x v="0"/>
    <x v="0"/>
    <x v="13"/>
    <x v="2"/>
    <x v="0"/>
    <x v="6"/>
    <x v="6"/>
    <x v="0"/>
    <x v="1"/>
    <x v="0"/>
    <x v="17"/>
    <x v="38"/>
    <x v="13"/>
    <x v="17"/>
    <x v="26"/>
    <x v="43"/>
  </r>
  <r>
    <x v="314"/>
    <x v="13"/>
    <x v="0"/>
    <x v="0"/>
    <x v="0"/>
    <x v="14"/>
    <x v="2"/>
    <x v="0"/>
    <x v="6"/>
    <x v="6"/>
    <x v="0"/>
    <x v="1"/>
    <x v="0"/>
    <x v="16"/>
    <x v="48"/>
    <x v="3"/>
    <x v="2"/>
    <x v="79"/>
    <x v="37"/>
  </r>
  <r>
    <x v="315"/>
    <x v="13"/>
    <x v="0"/>
    <x v="0"/>
    <x v="0"/>
    <x v="15"/>
    <x v="2"/>
    <x v="0"/>
    <x v="6"/>
    <x v="6"/>
    <x v="0"/>
    <x v="0"/>
    <x v="0"/>
    <x v="25"/>
    <x v="41"/>
    <x v="8"/>
    <x v="14"/>
    <x v="79"/>
    <x v="118"/>
  </r>
  <r>
    <x v="316"/>
    <x v="13"/>
    <x v="0"/>
    <x v="0"/>
    <x v="0"/>
    <x v="16"/>
    <x v="2"/>
    <x v="0"/>
    <x v="6"/>
    <x v="6"/>
    <x v="0"/>
    <x v="1"/>
    <x v="0"/>
    <x v="25"/>
    <x v="48"/>
    <x v="14"/>
    <x v="0"/>
    <x v="61"/>
    <x v="127"/>
  </r>
  <r>
    <x v="317"/>
    <x v="13"/>
    <x v="0"/>
    <x v="0"/>
    <x v="0"/>
    <x v="17"/>
    <x v="3"/>
    <x v="0"/>
    <x v="6"/>
    <x v="6"/>
    <x v="0"/>
    <x v="1"/>
    <x v="0"/>
    <x v="15"/>
    <x v="48"/>
    <x v="8"/>
    <x v="17"/>
    <x v="119"/>
    <x v="128"/>
  </r>
  <r>
    <x v="318"/>
    <x v="13"/>
    <x v="0"/>
    <x v="0"/>
    <x v="0"/>
    <x v="18"/>
    <x v="3"/>
    <x v="0"/>
    <x v="6"/>
    <x v="6"/>
    <x v="0"/>
    <x v="2"/>
    <x v="1"/>
    <x v="2"/>
    <x v="19"/>
    <x v="0"/>
    <x v="2"/>
    <x v="120"/>
    <x v="119"/>
  </r>
  <r>
    <x v="319"/>
    <x v="13"/>
    <x v="0"/>
    <x v="0"/>
    <x v="0"/>
    <x v="19"/>
    <x v="3"/>
    <x v="0"/>
    <x v="6"/>
    <x v="6"/>
    <x v="0"/>
    <x v="13"/>
    <x v="1"/>
    <x v="17"/>
    <x v="29"/>
    <x v="1"/>
    <x v="0"/>
    <x v="121"/>
    <x v="101"/>
  </r>
  <r>
    <x v="320"/>
    <x v="13"/>
    <x v="0"/>
    <x v="0"/>
    <x v="0"/>
    <x v="20"/>
    <x v="0"/>
    <x v="0"/>
    <x v="6"/>
    <x v="6"/>
    <x v="0"/>
    <x v="15"/>
    <x v="1"/>
    <x v="25"/>
    <x v="29"/>
    <x v="0"/>
    <x v="3"/>
    <x v="56"/>
    <x v="118"/>
  </r>
  <r>
    <x v="321"/>
    <x v="13"/>
    <x v="0"/>
    <x v="0"/>
    <x v="0"/>
    <x v="21"/>
    <x v="0"/>
    <x v="0"/>
    <x v="6"/>
    <x v="6"/>
    <x v="0"/>
    <x v="13"/>
    <x v="1"/>
    <x v="15"/>
    <x v="27"/>
    <x v="0"/>
    <x v="17"/>
    <x v="41"/>
    <x v="46"/>
  </r>
  <r>
    <x v="322"/>
    <x v="13"/>
    <x v="0"/>
    <x v="0"/>
    <x v="0"/>
    <x v="22"/>
    <x v="0"/>
    <x v="0"/>
    <x v="6"/>
    <x v="6"/>
    <x v="1"/>
    <x v="13"/>
    <x v="1"/>
    <x v="15"/>
    <x v="27"/>
    <x v="0"/>
    <x v="4"/>
    <x v="60"/>
    <x v="9"/>
  </r>
  <r>
    <x v="323"/>
    <x v="13"/>
    <x v="0"/>
    <x v="0"/>
    <x v="0"/>
    <x v="23"/>
    <x v="0"/>
    <x v="0"/>
    <x v="6"/>
    <x v="6"/>
    <x v="1"/>
    <x v="15"/>
    <x v="1"/>
    <x v="25"/>
    <x v="28"/>
    <x v="0"/>
    <x v="5"/>
    <x v="16"/>
    <x v="110"/>
  </r>
  <r>
    <x v="324"/>
    <x v="14"/>
    <x v="0"/>
    <x v="0"/>
    <x v="0"/>
    <x v="0"/>
    <x v="0"/>
    <x v="0"/>
    <x v="0"/>
    <x v="0"/>
    <x v="0"/>
    <x v="15"/>
    <x v="1"/>
    <x v="25"/>
    <x v="28"/>
    <x v="0"/>
    <x v="0"/>
    <x v="18"/>
    <x v="20"/>
  </r>
  <r>
    <x v="325"/>
    <x v="14"/>
    <x v="0"/>
    <x v="0"/>
    <x v="0"/>
    <x v="1"/>
    <x v="0"/>
    <x v="0"/>
    <x v="0"/>
    <x v="0"/>
    <x v="1"/>
    <x v="13"/>
    <x v="1"/>
    <x v="17"/>
    <x v="29"/>
    <x v="1"/>
    <x v="4"/>
    <x v="72"/>
    <x v="25"/>
  </r>
  <r>
    <x v="326"/>
    <x v="14"/>
    <x v="0"/>
    <x v="0"/>
    <x v="0"/>
    <x v="2"/>
    <x v="0"/>
    <x v="0"/>
    <x v="0"/>
    <x v="0"/>
    <x v="1"/>
    <x v="13"/>
    <x v="1"/>
    <x v="17"/>
    <x v="29"/>
    <x v="1"/>
    <x v="3"/>
    <x v="98"/>
    <x v="47"/>
  </r>
  <r>
    <x v="327"/>
    <x v="14"/>
    <x v="0"/>
    <x v="0"/>
    <x v="0"/>
    <x v="3"/>
    <x v="0"/>
    <x v="0"/>
    <x v="0"/>
    <x v="0"/>
    <x v="1"/>
    <x v="13"/>
    <x v="1"/>
    <x v="15"/>
    <x v="29"/>
    <x v="0"/>
    <x v="5"/>
    <x v="7"/>
    <x v="7"/>
  </r>
  <r>
    <x v="328"/>
    <x v="14"/>
    <x v="0"/>
    <x v="0"/>
    <x v="0"/>
    <x v="4"/>
    <x v="0"/>
    <x v="0"/>
    <x v="0"/>
    <x v="0"/>
    <x v="1"/>
    <x v="13"/>
    <x v="1"/>
    <x v="15"/>
    <x v="29"/>
    <x v="0"/>
    <x v="3"/>
    <x v="34"/>
    <x v="36"/>
  </r>
  <r>
    <x v="329"/>
    <x v="14"/>
    <x v="0"/>
    <x v="0"/>
    <x v="0"/>
    <x v="5"/>
    <x v="1"/>
    <x v="0"/>
    <x v="0"/>
    <x v="0"/>
    <x v="0"/>
    <x v="13"/>
    <x v="1"/>
    <x v="15"/>
    <x v="29"/>
    <x v="0"/>
    <x v="3"/>
    <x v="4"/>
    <x v="4"/>
  </r>
  <r>
    <x v="330"/>
    <x v="14"/>
    <x v="0"/>
    <x v="0"/>
    <x v="0"/>
    <x v="6"/>
    <x v="1"/>
    <x v="0"/>
    <x v="0"/>
    <x v="0"/>
    <x v="0"/>
    <x v="14"/>
    <x v="1"/>
    <x v="22"/>
    <x v="30"/>
    <x v="14"/>
    <x v="5"/>
    <x v="6"/>
    <x v="6"/>
  </r>
  <r>
    <x v="331"/>
    <x v="14"/>
    <x v="0"/>
    <x v="0"/>
    <x v="0"/>
    <x v="7"/>
    <x v="1"/>
    <x v="0"/>
    <x v="0"/>
    <x v="0"/>
    <x v="0"/>
    <x v="14"/>
    <x v="1"/>
    <x v="16"/>
    <x v="30"/>
    <x v="0"/>
    <x v="5"/>
    <x v="33"/>
    <x v="98"/>
  </r>
  <r>
    <x v="332"/>
    <x v="14"/>
    <x v="0"/>
    <x v="0"/>
    <x v="0"/>
    <x v="8"/>
    <x v="1"/>
    <x v="0"/>
    <x v="0"/>
    <x v="0"/>
    <x v="0"/>
    <x v="14"/>
    <x v="1"/>
    <x v="26"/>
    <x v="30"/>
    <x v="7"/>
    <x v="5"/>
    <x v="97"/>
    <x v="84"/>
  </r>
  <r>
    <x v="333"/>
    <x v="14"/>
    <x v="0"/>
    <x v="0"/>
    <x v="0"/>
    <x v="9"/>
    <x v="1"/>
    <x v="0"/>
    <x v="0"/>
    <x v="0"/>
    <x v="0"/>
    <x v="13"/>
    <x v="1"/>
    <x v="23"/>
    <x v="26"/>
    <x v="7"/>
    <x v="4"/>
    <x v="17"/>
    <x v="63"/>
  </r>
  <r>
    <x v="334"/>
    <x v="14"/>
    <x v="0"/>
    <x v="0"/>
    <x v="0"/>
    <x v="10"/>
    <x v="1"/>
    <x v="0"/>
    <x v="0"/>
    <x v="0"/>
    <x v="0"/>
    <x v="15"/>
    <x v="1"/>
    <x v="17"/>
    <x v="29"/>
    <x v="8"/>
    <x v="4"/>
    <x v="77"/>
    <x v="29"/>
  </r>
  <r>
    <x v="335"/>
    <x v="14"/>
    <x v="0"/>
    <x v="0"/>
    <x v="0"/>
    <x v="11"/>
    <x v="1"/>
    <x v="0"/>
    <x v="0"/>
    <x v="0"/>
    <x v="0"/>
    <x v="2"/>
    <x v="1"/>
    <x v="17"/>
    <x v="28"/>
    <x v="6"/>
    <x v="25"/>
    <x v="25"/>
    <x v="44"/>
  </r>
  <r>
    <x v="336"/>
    <x v="14"/>
    <x v="0"/>
    <x v="0"/>
    <x v="0"/>
    <x v="12"/>
    <x v="2"/>
    <x v="0"/>
    <x v="0"/>
    <x v="0"/>
    <x v="0"/>
    <x v="0"/>
    <x v="0"/>
    <x v="15"/>
    <x v="37"/>
    <x v="6"/>
    <x v="13"/>
    <x v="64"/>
    <x v="70"/>
  </r>
  <r>
    <x v="337"/>
    <x v="14"/>
    <x v="0"/>
    <x v="0"/>
    <x v="0"/>
    <x v="13"/>
    <x v="2"/>
    <x v="0"/>
    <x v="0"/>
    <x v="0"/>
    <x v="0"/>
    <x v="17"/>
    <x v="0"/>
    <x v="2"/>
    <x v="41"/>
    <x v="4"/>
    <x v="27"/>
    <x v="122"/>
    <x v="129"/>
  </r>
  <r>
    <x v="338"/>
    <x v="14"/>
    <x v="0"/>
    <x v="0"/>
    <x v="0"/>
    <x v="14"/>
    <x v="2"/>
    <x v="0"/>
    <x v="0"/>
    <x v="0"/>
    <x v="0"/>
    <x v="11"/>
    <x v="0"/>
    <x v="0"/>
    <x v="17"/>
    <x v="3"/>
    <x v="7"/>
    <x v="50"/>
    <x v="130"/>
  </r>
  <r>
    <x v="339"/>
    <x v="14"/>
    <x v="0"/>
    <x v="0"/>
    <x v="0"/>
    <x v="15"/>
    <x v="2"/>
    <x v="0"/>
    <x v="0"/>
    <x v="0"/>
    <x v="1"/>
    <x v="3"/>
    <x v="2"/>
    <x v="28"/>
    <x v="42"/>
    <x v="5"/>
    <x v="27"/>
    <x v="123"/>
    <x v="131"/>
  </r>
  <r>
    <x v="340"/>
    <x v="14"/>
    <x v="0"/>
    <x v="0"/>
    <x v="0"/>
    <x v="16"/>
    <x v="2"/>
    <x v="0"/>
    <x v="0"/>
    <x v="0"/>
    <x v="1"/>
    <x v="10"/>
    <x v="2"/>
    <x v="6"/>
    <x v="46"/>
    <x v="5"/>
    <x v="28"/>
    <x v="73"/>
    <x v="116"/>
  </r>
  <r>
    <x v="341"/>
    <x v="14"/>
    <x v="0"/>
    <x v="0"/>
    <x v="0"/>
    <x v="17"/>
    <x v="3"/>
    <x v="0"/>
    <x v="0"/>
    <x v="0"/>
    <x v="1"/>
    <x v="3"/>
    <x v="2"/>
    <x v="32"/>
    <x v="42"/>
    <x v="3"/>
    <x v="8"/>
    <x v="25"/>
    <x v="56"/>
  </r>
  <r>
    <x v="342"/>
    <x v="14"/>
    <x v="0"/>
    <x v="0"/>
    <x v="0"/>
    <x v="18"/>
    <x v="3"/>
    <x v="0"/>
    <x v="0"/>
    <x v="0"/>
    <x v="1"/>
    <x v="11"/>
    <x v="0"/>
    <x v="0"/>
    <x v="49"/>
    <x v="2"/>
    <x v="13"/>
    <x v="94"/>
    <x v="11"/>
  </r>
  <r>
    <x v="343"/>
    <x v="14"/>
    <x v="0"/>
    <x v="0"/>
    <x v="0"/>
    <x v="19"/>
    <x v="3"/>
    <x v="0"/>
    <x v="0"/>
    <x v="0"/>
    <x v="1"/>
    <x v="3"/>
    <x v="2"/>
    <x v="32"/>
    <x v="17"/>
    <x v="2"/>
    <x v="24"/>
    <x v="91"/>
    <x v="30"/>
  </r>
  <r>
    <x v="344"/>
    <x v="14"/>
    <x v="0"/>
    <x v="0"/>
    <x v="0"/>
    <x v="20"/>
    <x v="0"/>
    <x v="0"/>
    <x v="0"/>
    <x v="0"/>
    <x v="1"/>
    <x v="3"/>
    <x v="2"/>
    <x v="32"/>
    <x v="17"/>
    <x v="2"/>
    <x v="15"/>
    <x v="96"/>
    <x v="102"/>
  </r>
  <r>
    <x v="345"/>
    <x v="14"/>
    <x v="0"/>
    <x v="0"/>
    <x v="0"/>
    <x v="21"/>
    <x v="0"/>
    <x v="0"/>
    <x v="0"/>
    <x v="0"/>
    <x v="1"/>
    <x v="3"/>
    <x v="2"/>
    <x v="32"/>
    <x v="17"/>
    <x v="6"/>
    <x v="15"/>
    <x v="82"/>
    <x v="52"/>
  </r>
  <r>
    <x v="346"/>
    <x v="14"/>
    <x v="0"/>
    <x v="0"/>
    <x v="0"/>
    <x v="22"/>
    <x v="0"/>
    <x v="0"/>
    <x v="0"/>
    <x v="0"/>
    <x v="1"/>
    <x v="11"/>
    <x v="0"/>
    <x v="28"/>
    <x v="16"/>
    <x v="14"/>
    <x v="3"/>
    <x v="16"/>
    <x v="132"/>
  </r>
  <r>
    <x v="347"/>
    <x v="14"/>
    <x v="0"/>
    <x v="0"/>
    <x v="0"/>
    <x v="23"/>
    <x v="0"/>
    <x v="0"/>
    <x v="0"/>
    <x v="0"/>
    <x v="0"/>
    <x v="11"/>
    <x v="0"/>
    <x v="0"/>
    <x v="49"/>
    <x v="3"/>
    <x v="2"/>
    <x v="87"/>
    <x v="40"/>
  </r>
  <r>
    <x v="348"/>
    <x v="15"/>
    <x v="0"/>
    <x v="0"/>
    <x v="0"/>
    <x v="0"/>
    <x v="0"/>
    <x v="0"/>
    <x v="1"/>
    <x v="1"/>
    <x v="0"/>
    <x v="12"/>
    <x v="0"/>
    <x v="32"/>
    <x v="34"/>
    <x v="0"/>
    <x v="15"/>
    <x v="39"/>
    <x v="21"/>
  </r>
  <r>
    <x v="349"/>
    <x v="15"/>
    <x v="0"/>
    <x v="0"/>
    <x v="0"/>
    <x v="1"/>
    <x v="0"/>
    <x v="0"/>
    <x v="1"/>
    <x v="1"/>
    <x v="0"/>
    <x v="12"/>
    <x v="0"/>
    <x v="1"/>
    <x v="34"/>
    <x v="7"/>
    <x v="17"/>
    <x v="23"/>
    <x v="84"/>
  </r>
  <r>
    <x v="350"/>
    <x v="15"/>
    <x v="0"/>
    <x v="0"/>
    <x v="0"/>
    <x v="2"/>
    <x v="0"/>
    <x v="0"/>
    <x v="1"/>
    <x v="1"/>
    <x v="0"/>
    <x v="12"/>
    <x v="0"/>
    <x v="0"/>
    <x v="34"/>
    <x v="1"/>
    <x v="0"/>
    <x v="0"/>
    <x v="0"/>
  </r>
  <r>
    <x v="351"/>
    <x v="15"/>
    <x v="0"/>
    <x v="0"/>
    <x v="0"/>
    <x v="3"/>
    <x v="0"/>
    <x v="0"/>
    <x v="1"/>
    <x v="1"/>
    <x v="0"/>
    <x v="1"/>
    <x v="0"/>
    <x v="1"/>
    <x v="27"/>
    <x v="0"/>
    <x v="14"/>
    <x v="8"/>
    <x v="93"/>
  </r>
  <r>
    <x v="352"/>
    <x v="15"/>
    <x v="0"/>
    <x v="0"/>
    <x v="0"/>
    <x v="4"/>
    <x v="0"/>
    <x v="0"/>
    <x v="1"/>
    <x v="1"/>
    <x v="0"/>
    <x v="12"/>
    <x v="0"/>
    <x v="2"/>
    <x v="34"/>
    <x v="8"/>
    <x v="3"/>
    <x v="4"/>
    <x v="4"/>
  </r>
  <r>
    <x v="353"/>
    <x v="15"/>
    <x v="0"/>
    <x v="0"/>
    <x v="0"/>
    <x v="5"/>
    <x v="1"/>
    <x v="0"/>
    <x v="1"/>
    <x v="1"/>
    <x v="1"/>
    <x v="12"/>
    <x v="0"/>
    <x v="2"/>
    <x v="34"/>
    <x v="8"/>
    <x v="5"/>
    <x v="4"/>
    <x v="5"/>
  </r>
  <r>
    <x v="354"/>
    <x v="15"/>
    <x v="0"/>
    <x v="0"/>
    <x v="0"/>
    <x v="6"/>
    <x v="1"/>
    <x v="0"/>
    <x v="1"/>
    <x v="1"/>
    <x v="1"/>
    <x v="12"/>
    <x v="0"/>
    <x v="2"/>
    <x v="34"/>
    <x v="8"/>
    <x v="3"/>
    <x v="4"/>
    <x v="4"/>
  </r>
  <r>
    <x v="355"/>
    <x v="15"/>
    <x v="0"/>
    <x v="0"/>
    <x v="0"/>
    <x v="7"/>
    <x v="1"/>
    <x v="0"/>
    <x v="1"/>
    <x v="1"/>
    <x v="1"/>
    <x v="0"/>
    <x v="0"/>
    <x v="16"/>
    <x v="34"/>
    <x v="4"/>
    <x v="3"/>
    <x v="35"/>
    <x v="6"/>
  </r>
  <r>
    <x v="356"/>
    <x v="15"/>
    <x v="0"/>
    <x v="0"/>
    <x v="0"/>
    <x v="8"/>
    <x v="1"/>
    <x v="0"/>
    <x v="1"/>
    <x v="1"/>
    <x v="0"/>
    <x v="1"/>
    <x v="0"/>
    <x v="16"/>
    <x v="28"/>
    <x v="3"/>
    <x v="3"/>
    <x v="72"/>
    <x v="109"/>
  </r>
  <r>
    <x v="357"/>
    <x v="15"/>
    <x v="0"/>
    <x v="0"/>
    <x v="0"/>
    <x v="9"/>
    <x v="1"/>
    <x v="0"/>
    <x v="1"/>
    <x v="1"/>
    <x v="0"/>
    <x v="1"/>
    <x v="0"/>
    <x v="16"/>
    <x v="33"/>
    <x v="2"/>
    <x v="0"/>
    <x v="31"/>
    <x v="2"/>
  </r>
  <r>
    <x v="358"/>
    <x v="15"/>
    <x v="0"/>
    <x v="0"/>
    <x v="0"/>
    <x v="10"/>
    <x v="1"/>
    <x v="0"/>
    <x v="1"/>
    <x v="1"/>
    <x v="0"/>
    <x v="1"/>
    <x v="0"/>
    <x v="16"/>
    <x v="33"/>
    <x v="3"/>
    <x v="1"/>
    <x v="13"/>
    <x v="67"/>
  </r>
  <r>
    <x v="359"/>
    <x v="15"/>
    <x v="0"/>
    <x v="0"/>
    <x v="0"/>
    <x v="11"/>
    <x v="1"/>
    <x v="0"/>
    <x v="1"/>
    <x v="1"/>
    <x v="0"/>
    <x v="0"/>
    <x v="0"/>
    <x v="15"/>
    <x v="18"/>
    <x v="2"/>
    <x v="29"/>
    <x v="14"/>
    <x v="15"/>
  </r>
  <r>
    <x v="360"/>
    <x v="15"/>
    <x v="0"/>
    <x v="0"/>
    <x v="0"/>
    <x v="12"/>
    <x v="2"/>
    <x v="0"/>
    <x v="1"/>
    <x v="1"/>
    <x v="0"/>
    <x v="0"/>
    <x v="0"/>
    <x v="16"/>
    <x v="48"/>
    <x v="3"/>
    <x v="8"/>
    <x v="102"/>
    <x v="133"/>
  </r>
  <r>
    <x v="361"/>
    <x v="15"/>
    <x v="0"/>
    <x v="0"/>
    <x v="0"/>
    <x v="13"/>
    <x v="2"/>
    <x v="0"/>
    <x v="1"/>
    <x v="1"/>
    <x v="0"/>
    <x v="12"/>
    <x v="0"/>
    <x v="15"/>
    <x v="23"/>
    <x v="4"/>
    <x v="29"/>
    <x v="73"/>
    <x v="130"/>
  </r>
  <r>
    <x v="362"/>
    <x v="15"/>
    <x v="0"/>
    <x v="0"/>
    <x v="0"/>
    <x v="14"/>
    <x v="2"/>
    <x v="0"/>
    <x v="1"/>
    <x v="1"/>
    <x v="0"/>
    <x v="17"/>
    <x v="0"/>
    <x v="1"/>
    <x v="42"/>
    <x v="2"/>
    <x v="30"/>
    <x v="94"/>
    <x v="134"/>
  </r>
  <r>
    <x v="363"/>
    <x v="15"/>
    <x v="0"/>
    <x v="0"/>
    <x v="0"/>
    <x v="15"/>
    <x v="2"/>
    <x v="0"/>
    <x v="1"/>
    <x v="1"/>
    <x v="0"/>
    <x v="12"/>
    <x v="0"/>
    <x v="25"/>
    <x v="41"/>
    <x v="2"/>
    <x v="10"/>
    <x v="78"/>
    <x v="135"/>
  </r>
  <r>
    <x v="364"/>
    <x v="15"/>
    <x v="0"/>
    <x v="0"/>
    <x v="0"/>
    <x v="16"/>
    <x v="2"/>
    <x v="0"/>
    <x v="1"/>
    <x v="1"/>
    <x v="0"/>
    <x v="0"/>
    <x v="0"/>
    <x v="15"/>
    <x v="41"/>
    <x v="6"/>
    <x v="30"/>
    <x v="99"/>
    <x v="111"/>
  </r>
  <r>
    <x v="365"/>
    <x v="15"/>
    <x v="0"/>
    <x v="0"/>
    <x v="0"/>
    <x v="17"/>
    <x v="3"/>
    <x v="0"/>
    <x v="1"/>
    <x v="1"/>
    <x v="0"/>
    <x v="1"/>
    <x v="0"/>
    <x v="16"/>
    <x v="38"/>
    <x v="2"/>
    <x v="29"/>
    <x v="70"/>
    <x v="136"/>
  </r>
  <r>
    <x v="366"/>
    <x v="15"/>
    <x v="0"/>
    <x v="0"/>
    <x v="0"/>
    <x v="18"/>
    <x v="3"/>
    <x v="0"/>
    <x v="1"/>
    <x v="1"/>
    <x v="0"/>
    <x v="2"/>
    <x v="1"/>
    <x v="16"/>
    <x v="22"/>
    <x v="8"/>
    <x v="16"/>
    <x v="90"/>
    <x v="16"/>
  </r>
  <r>
    <x v="367"/>
    <x v="15"/>
    <x v="0"/>
    <x v="0"/>
    <x v="0"/>
    <x v="19"/>
    <x v="3"/>
    <x v="0"/>
    <x v="1"/>
    <x v="1"/>
    <x v="0"/>
    <x v="15"/>
    <x v="1"/>
    <x v="17"/>
    <x v="19"/>
    <x v="7"/>
    <x v="24"/>
    <x v="12"/>
    <x v="42"/>
  </r>
  <r>
    <x v="368"/>
    <x v="15"/>
    <x v="0"/>
    <x v="0"/>
    <x v="0"/>
    <x v="20"/>
    <x v="0"/>
    <x v="0"/>
    <x v="1"/>
    <x v="1"/>
    <x v="0"/>
    <x v="15"/>
    <x v="1"/>
    <x v="17"/>
    <x v="19"/>
    <x v="8"/>
    <x v="18"/>
    <x v="54"/>
    <x v="52"/>
  </r>
  <r>
    <x v="369"/>
    <x v="15"/>
    <x v="0"/>
    <x v="0"/>
    <x v="0"/>
    <x v="21"/>
    <x v="0"/>
    <x v="0"/>
    <x v="1"/>
    <x v="1"/>
    <x v="0"/>
    <x v="15"/>
    <x v="1"/>
    <x v="17"/>
    <x v="33"/>
    <x v="8"/>
    <x v="15"/>
    <x v="97"/>
    <x v="20"/>
  </r>
  <r>
    <x v="370"/>
    <x v="15"/>
    <x v="0"/>
    <x v="0"/>
    <x v="0"/>
    <x v="22"/>
    <x v="0"/>
    <x v="0"/>
    <x v="1"/>
    <x v="1"/>
    <x v="1"/>
    <x v="2"/>
    <x v="1"/>
    <x v="16"/>
    <x v="36"/>
    <x v="7"/>
    <x v="4"/>
    <x v="23"/>
    <x v="137"/>
  </r>
  <r>
    <x v="371"/>
    <x v="15"/>
    <x v="0"/>
    <x v="0"/>
    <x v="0"/>
    <x v="23"/>
    <x v="0"/>
    <x v="0"/>
    <x v="1"/>
    <x v="1"/>
    <x v="1"/>
    <x v="2"/>
    <x v="1"/>
    <x v="15"/>
    <x v="22"/>
    <x v="14"/>
    <x v="3"/>
    <x v="72"/>
    <x v="109"/>
  </r>
  <r>
    <x v="372"/>
    <x v="16"/>
    <x v="0"/>
    <x v="0"/>
    <x v="0"/>
    <x v="0"/>
    <x v="0"/>
    <x v="1"/>
    <x v="2"/>
    <x v="2"/>
    <x v="1"/>
    <x v="2"/>
    <x v="1"/>
    <x v="17"/>
    <x v="19"/>
    <x v="6"/>
    <x v="5"/>
    <x v="20"/>
    <x v="22"/>
  </r>
  <r>
    <x v="373"/>
    <x v="16"/>
    <x v="0"/>
    <x v="0"/>
    <x v="0"/>
    <x v="1"/>
    <x v="0"/>
    <x v="1"/>
    <x v="2"/>
    <x v="2"/>
    <x v="1"/>
    <x v="2"/>
    <x v="1"/>
    <x v="17"/>
    <x v="18"/>
    <x v="5"/>
    <x v="5"/>
    <x v="89"/>
    <x v="0"/>
  </r>
  <r>
    <x v="374"/>
    <x v="16"/>
    <x v="0"/>
    <x v="0"/>
    <x v="0"/>
    <x v="2"/>
    <x v="0"/>
    <x v="1"/>
    <x v="2"/>
    <x v="2"/>
    <x v="1"/>
    <x v="15"/>
    <x v="1"/>
    <x v="22"/>
    <x v="21"/>
    <x v="2"/>
    <x v="3"/>
    <x v="21"/>
    <x v="7"/>
  </r>
  <r>
    <x v="375"/>
    <x v="16"/>
    <x v="0"/>
    <x v="0"/>
    <x v="0"/>
    <x v="3"/>
    <x v="0"/>
    <x v="1"/>
    <x v="2"/>
    <x v="2"/>
    <x v="1"/>
    <x v="15"/>
    <x v="1"/>
    <x v="23"/>
    <x v="21"/>
    <x v="5"/>
    <x v="3"/>
    <x v="6"/>
    <x v="5"/>
  </r>
  <r>
    <x v="376"/>
    <x v="16"/>
    <x v="0"/>
    <x v="0"/>
    <x v="0"/>
    <x v="4"/>
    <x v="0"/>
    <x v="1"/>
    <x v="2"/>
    <x v="2"/>
    <x v="1"/>
    <x v="15"/>
    <x v="1"/>
    <x v="17"/>
    <x v="21"/>
    <x v="7"/>
    <x v="5"/>
    <x v="6"/>
    <x v="6"/>
  </r>
  <r>
    <x v="377"/>
    <x v="16"/>
    <x v="0"/>
    <x v="0"/>
    <x v="0"/>
    <x v="5"/>
    <x v="1"/>
    <x v="1"/>
    <x v="2"/>
    <x v="2"/>
    <x v="1"/>
    <x v="15"/>
    <x v="1"/>
    <x v="17"/>
    <x v="21"/>
    <x v="8"/>
    <x v="3"/>
    <x v="4"/>
    <x v="4"/>
  </r>
  <r>
    <x v="378"/>
    <x v="16"/>
    <x v="0"/>
    <x v="0"/>
    <x v="0"/>
    <x v="6"/>
    <x v="1"/>
    <x v="1"/>
    <x v="2"/>
    <x v="2"/>
    <x v="1"/>
    <x v="15"/>
    <x v="1"/>
    <x v="23"/>
    <x v="21"/>
    <x v="5"/>
    <x v="3"/>
    <x v="34"/>
    <x v="36"/>
  </r>
  <r>
    <x v="379"/>
    <x v="16"/>
    <x v="0"/>
    <x v="0"/>
    <x v="0"/>
    <x v="7"/>
    <x v="1"/>
    <x v="1"/>
    <x v="2"/>
    <x v="2"/>
    <x v="1"/>
    <x v="13"/>
    <x v="1"/>
    <x v="23"/>
    <x v="20"/>
    <x v="7"/>
    <x v="17"/>
    <x v="33"/>
    <x v="3"/>
  </r>
  <r>
    <x v="380"/>
    <x v="16"/>
    <x v="0"/>
    <x v="0"/>
    <x v="0"/>
    <x v="8"/>
    <x v="1"/>
    <x v="1"/>
    <x v="2"/>
    <x v="2"/>
    <x v="1"/>
    <x v="13"/>
    <x v="1"/>
    <x v="26"/>
    <x v="19"/>
    <x v="6"/>
    <x v="0"/>
    <x v="10"/>
    <x v="63"/>
  </r>
  <r>
    <x v="381"/>
    <x v="16"/>
    <x v="0"/>
    <x v="0"/>
    <x v="0"/>
    <x v="9"/>
    <x v="1"/>
    <x v="1"/>
    <x v="2"/>
    <x v="2"/>
    <x v="1"/>
    <x v="13"/>
    <x v="1"/>
    <x v="26"/>
    <x v="19"/>
    <x v="6"/>
    <x v="1"/>
    <x v="87"/>
    <x v="105"/>
  </r>
  <r>
    <x v="382"/>
    <x v="16"/>
    <x v="0"/>
    <x v="0"/>
    <x v="0"/>
    <x v="10"/>
    <x v="1"/>
    <x v="1"/>
    <x v="2"/>
    <x v="2"/>
    <x v="1"/>
    <x v="13"/>
    <x v="1"/>
    <x v="26"/>
    <x v="20"/>
    <x v="2"/>
    <x v="18"/>
    <x v="54"/>
    <x v="52"/>
  </r>
  <r>
    <x v="383"/>
    <x v="16"/>
    <x v="0"/>
    <x v="0"/>
    <x v="0"/>
    <x v="11"/>
    <x v="1"/>
    <x v="1"/>
    <x v="2"/>
    <x v="2"/>
    <x v="1"/>
    <x v="13"/>
    <x v="1"/>
    <x v="26"/>
    <x v="28"/>
    <x v="5"/>
    <x v="14"/>
    <x v="11"/>
    <x v="37"/>
  </r>
  <r>
    <x v="384"/>
    <x v="16"/>
    <x v="0"/>
    <x v="0"/>
    <x v="0"/>
    <x v="12"/>
    <x v="2"/>
    <x v="1"/>
    <x v="2"/>
    <x v="2"/>
    <x v="1"/>
    <x v="15"/>
    <x v="1"/>
    <x v="17"/>
    <x v="19"/>
    <x v="7"/>
    <x v="22"/>
    <x v="14"/>
    <x v="138"/>
  </r>
  <r>
    <x v="385"/>
    <x v="16"/>
    <x v="0"/>
    <x v="0"/>
    <x v="0"/>
    <x v="13"/>
    <x v="2"/>
    <x v="1"/>
    <x v="2"/>
    <x v="2"/>
    <x v="1"/>
    <x v="15"/>
    <x v="1"/>
    <x v="17"/>
    <x v="19"/>
    <x v="7"/>
    <x v="23"/>
    <x v="122"/>
    <x v="15"/>
  </r>
  <r>
    <x v="386"/>
    <x v="16"/>
    <x v="0"/>
    <x v="0"/>
    <x v="0"/>
    <x v="14"/>
    <x v="2"/>
    <x v="1"/>
    <x v="2"/>
    <x v="2"/>
    <x v="1"/>
    <x v="15"/>
    <x v="1"/>
    <x v="16"/>
    <x v="21"/>
    <x v="14"/>
    <x v="6"/>
    <x v="64"/>
    <x v="80"/>
  </r>
  <r>
    <x v="387"/>
    <x v="16"/>
    <x v="0"/>
    <x v="0"/>
    <x v="0"/>
    <x v="15"/>
    <x v="2"/>
    <x v="1"/>
    <x v="2"/>
    <x v="2"/>
    <x v="1"/>
    <x v="2"/>
    <x v="1"/>
    <x v="16"/>
    <x v="19"/>
    <x v="8"/>
    <x v="27"/>
    <x v="109"/>
    <x v="15"/>
  </r>
  <r>
    <x v="388"/>
    <x v="16"/>
    <x v="0"/>
    <x v="0"/>
    <x v="0"/>
    <x v="16"/>
    <x v="2"/>
    <x v="1"/>
    <x v="2"/>
    <x v="2"/>
    <x v="1"/>
    <x v="2"/>
    <x v="1"/>
    <x v="16"/>
    <x v="19"/>
    <x v="8"/>
    <x v="15"/>
    <x v="83"/>
    <x v="100"/>
  </r>
  <r>
    <x v="389"/>
    <x v="16"/>
    <x v="0"/>
    <x v="0"/>
    <x v="0"/>
    <x v="17"/>
    <x v="3"/>
    <x v="1"/>
    <x v="2"/>
    <x v="2"/>
    <x v="0"/>
    <x v="2"/>
    <x v="1"/>
    <x v="17"/>
    <x v="33"/>
    <x v="5"/>
    <x v="17"/>
    <x v="28"/>
    <x v="68"/>
  </r>
  <r>
    <x v="390"/>
    <x v="16"/>
    <x v="0"/>
    <x v="0"/>
    <x v="0"/>
    <x v="18"/>
    <x v="3"/>
    <x v="1"/>
    <x v="2"/>
    <x v="2"/>
    <x v="1"/>
    <x v="15"/>
    <x v="1"/>
    <x v="22"/>
    <x v="28"/>
    <x v="2"/>
    <x v="18"/>
    <x v="66"/>
    <x v="101"/>
  </r>
  <r>
    <x v="391"/>
    <x v="16"/>
    <x v="0"/>
    <x v="0"/>
    <x v="0"/>
    <x v="19"/>
    <x v="3"/>
    <x v="1"/>
    <x v="2"/>
    <x v="2"/>
    <x v="2"/>
    <x v="15"/>
    <x v="1"/>
    <x v="23"/>
    <x v="29"/>
    <x v="5"/>
    <x v="4"/>
    <x v="29"/>
    <x v="122"/>
  </r>
  <r>
    <x v="392"/>
    <x v="16"/>
    <x v="0"/>
    <x v="0"/>
    <x v="0"/>
    <x v="20"/>
    <x v="0"/>
    <x v="1"/>
    <x v="2"/>
    <x v="2"/>
    <x v="2"/>
    <x v="13"/>
    <x v="1"/>
    <x v="26"/>
    <x v="1"/>
    <x v="5"/>
    <x v="17"/>
    <x v="31"/>
    <x v="63"/>
  </r>
  <r>
    <x v="393"/>
    <x v="16"/>
    <x v="0"/>
    <x v="0"/>
    <x v="0"/>
    <x v="21"/>
    <x v="0"/>
    <x v="1"/>
    <x v="2"/>
    <x v="2"/>
    <x v="2"/>
    <x v="13"/>
    <x v="1"/>
    <x v="26"/>
    <x v="1"/>
    <x v="5"/>
    <x v="0"/>
    <x v="9"/>
    <x v="110"/>
  </r>
  <r>
    <x v="394"/>
    <x v="16"/>
    <x v="0"/>
    <x v="0"/>
    <x v="0"/>
    <x v="22"/>
    <x v="0"/>
    <x v="1"/>
    <x v="2"/>
    <x v="2"/>
    <x v="2"/>
    <x v="14"/>
    <x v="1"/>
    <x v="21"/>
    <x v="43"/>
    <x v="2"/>
    <x v="3"/>
    <x v="0"/>
    <x v="3"/>
  </r>
  <r>
    <x v="395"/>
    <x v="16"/>
    <x v="0"/>
    <x v="0"/>
    <x v="0"/>
    <x v="23"/>
    <x v="0"/>
    <x v="1"/>
    <x v="2"/>
    <x v="2"/>
    <x v="2"/>
    <x v="13"/>
    <x v="1"/>
    <x v="19"/>
    <x v="3"/>
    <x v="3"/>
    <x v="5"/>
    <x v="35"/>
    <x v="48"/>
  </r>
  <r>
    <x v="396"/>
    <x v="17"/>
    <x v="0"/>
    <x v="0"/>
    <x v="0"/>
    <x v="12"/>
    <x v="2"/>
    <x v="0"/>
    <x v="3"/>
    <x v="3"/>
    <x v="1"/>
    <x v="2"/>
    <x v="1"/>
    <x v="23"/>
    <x v="3"/>
    <x v="9"/>
    <x v="3"/>
    <x v="35"/>
    <x v="6"/>
  </r>
  <r>
    <x v="397"/>
    <x v="17"/>
    <x v="0"/>
    <x v="0"/>
    <x v="0"/>
    <x v="13"/>
    <x v="2"/>
    <x v="0"/>
    <x v="3"/>
    <x v="3"/>
    <x v="1"/>
    <x v="2"/>
    <x v="1"/>
    <x v="17"/>
    <x v="3"/>
    <x v="6"/>
    <x v="3"/>
    <x v="97"/>
    <x v="34"/>
  </r>
  <r>
    <x v="398"/>
    <x v="17"/>
    <x v="0"/>
    <x v="0"/>
    <x v="0"/>
    <x v="14"/>
    <x v="2"/>
    <x v="0"/>
    <x v="3"/>
    <x v="3"/>
    <x v="1"/>
    <x v="1"/>
    <x v="0"/>
    <x v="15"/>
    <x v="1"/>
    <x v="8"/>
    <x v="4"/>
    <x v="16"/>
    <x v="20"/>
  </r>
  <r>
    <x v="399"/>
    <x v="17"/>
    <x v="0"/>
    <x v="0"/>
    <x v="0"/>
    <x v="15"/>
    <x v="2"/>
    <x v="0"/>
    <x v="3"/>
    <x v="3"/>
    <x v="1"/>
    <x v="1"/>
    <x v="0"/>
    <x v="15"/>
    <x v="9"/>
    <x v="8"/>
    <x v="0"/>
    <x v="1"/>
    <x v="17"/>
  </r>
  <r>
    <x v="400"/>
    <x v="17"/>
    <x v="0"/>
    <x v="0"/>
    <x v="0"/>
    <x v="16"/>
    <x v="2"/>
    <x v="0"/>
    <x v="3"/>
    <x v="3"/>
    <x v="1"/>
    <x v="1"/>
    <x v="0"/>
    <x v="15"/>
    <x v="9"/>
    <x v="5"/>
    <x v="3"/>
    <x v="124"/>
    <x v="42"/>
  </r>
  <r>
    <x v="401"/>
    <x v="17"/>
    <x v="0"/>
    <x v="0"/>
    <x v="0"/>
    <x v="17"/>
    <x v="3"/>
    <x v="0"/>
    <x v="3"/>
    <x v="3"/>
    <x v="1"/>
    <x v="1"/>
    <x v="0"/>
    <x v="15"/>
    <x v="7"/>
    <x v="5"/>
    <x v="5"/>
    <x v="125"/>
    <x v="139"/>
  </r>
  <r>
    <x v="402"/>
    <x v="17"/>
    <x v="0"/>
    <x v="0"/>
    <x v="0"/>
    <x v="18"/>
    <x v="3"/>
    <x v="0"/>
    <x v="3"/>
    <x v="3"/>
    <x v="1"/>
    <x v="1"/>
    <x v="0"/>
    <x v="15"/>
    <x v="1"/>
    <x v="8"/>
    <x v="5"/>
    <x v="126"/>
    <x v="140"/>
  </r>
  <r>
    <x v="403"/>
    <x v="17"/>
    <x v="0"/>
    <x v="0"/>
    <x v="0"/>
    <x v="19"/>
    <x v="3"/>
    <x v="0"/>
    <x v="3"/>
    <x v="3"/>
    <x v="1"/>
    <x v="1"/>
    <x v="0"/>
    <x v="15"/>
    <x v="1"/>
    <x v="7"/>
    <x v="5"/>
    <x v="52"/>
    <x v="111"/>
  </r>
  <r>
    <x v="404"/>
    <x v="17"/>
    <x v="0"/>
    <x v="0"/>
    <x v="0"/>
    <x v="20"/>
    <x v="0"/>
    <x v="0"/>
    <x v="3"/>
    <x v="3"/>
    <x v="1"/>
    <x v="1"/>
    <x v="0"/>
    <x v="1"/>
    <x v="9"/>
    <x v="0"/>
    <x v="3"/>
    <x v="93"/>
    <x v="56"/>
  </r>
  <r>
    <x v="405"/>
    <x v="17"/>
    <x v="0"/>
    <x v="0"/>
    <x v="0"/>
    <x v="21"/>
    <x v="0"/>
    <x v="0"/>
    <x v="3"/>
    <x v="3"/>
    <x v="1"/>
    <x v="1"/>
    <x v="0"/>
    <x v="25"/>
    <x v="43"/>
    <x v="14"/>
    <x v="3"/>
    <x v="40"/>
    <x v="102"/>
  </r>
  <r>
    <x v="406"/>
    <x v="17"/>
    <x v="0"/>
    <x v="0"/>
    <x v="0"/>
    <x v="22"/>
    <x v="0"/>
    <x v="0"/>
    <x v="3"/>
    <x v="3"/>
    <x v="1"/>
    <x v="1"/>
    <x v="0"/>
    <x v="2"/>
    <x v="43"/>
    <x v="1"/>
    <x v="3"/>
    <x v="39"/>
    <x v="63"/>
  </r>
  <r>
    <x v="407"/>
    <x v="17"/>
    <x v="0"/>
    <x v="0"/>
    <x v="0"/>
    <x v="23"/>
    <x v="0"/>
    <x v="0"/>
    <x v="3"/>
    <x v="3"/>
    <x v="1"/>
    <x v="1"/>
    <x v="0"/>
    <x v="1"/>
    <x v="43"/>
    <x v="0"/>
    <x v="5"/>
    <x v="23"/>
    <x v="25"/>
  </r>
  <r>
    <x v="408"/>
    <x v="18"/>
    <x v="0"/>
    <x v="0"/>
    <x v="0"/>
    <x v="0"/>
    <x v="0"/>
    <x v="0"/>
    <x v="4"/>
    <x v="4"/>
    <x v="1"/>
    <x v="1"/>
    <x v="0"/>
    <x v="1"/>
    <x v="43"/>
    <x v="0"/>
    <x v="3"/>
    <x v="35"/>
    <x v="6"/>
  </r>
  <r>
    <x v="409"/>
    <x v="18"/>
    <x v="0"/>
    <x v="0"/>
    <x v="0"/>
    <x v="1"/>
    <x v="0"/>
    <x v="0"/>
    <x v="4"/>
    <x v="4"/>
    <x v="2"/>
    <x v="1"/>
    <x v="0"/>
    <x v="15"/>
    <x v="43"/>
    <x v="7"/>
    <x v="5"/>
    <x v="8"/>
    <x v="85"/>
  </r>
  <r>
    <x v="410"/>
    <x v="18"/>
    <x v="0"/>
    <x v="0"/>
    <x v="0"/>
    <x v="2"/>
    <x v="0"/>
    <x v="0"/>
    <x v="4"/>
    <x v="4"/>
    <x v="2"/>
    <x v="1"/>
    <x v="0"/>
    <x v="15"/>
    <x v="43"/>
    <x v="7"/>
    <x v="3"/>
    <x v="35"/>
    <x v="6"/>
  </r>
  <r>
    <x v="411"/>
    <x v="18"/>
    <x v="0"/>
    <x v="0"/>
    <x v="0"/>
    <x v="4"/>
    <x v="0"/>
    <x v="0"/>
    <x v="4"/>
    <x v="4"/>
    <x v="2"/>
    <x v="1"/>
    <x v="0"/>
    <x v="15"/>
    <x v="43"/>
    <x v="7"/>
    <x v="5"/>
    <x v="4"/>
    <x v="5"/>
  </r>
  <r>
    <x v="412"/>
    <x v="18"/>
    <x v="0"/>
    <x v="0"/>
    <x v="0"/>
    <x v="5"/>
    <x v="1"/>
    <x v="0"/>
    <x v="4"/>
    <x v="4"/>
    <x v="1"/>
    <x v="1"/>
    <x v="0"/>
    <x v="2"/>
    <x v="43"/>
    <x v="1"/>
    <x v="3"/>
    <x v="7"/>
    <x v="85"/>
  </r>
  <r>
    <x v="413"/>
    <x v="18"/>
    <x v="0"/>
    <x v="0"/>
    <x v="0"/>
    <x v="6"/>
    <x v="1"/>
    <x v="0"/>
    <x v="4"/>
    <x v="4"/>
    <x v="1"/>
    <x v="1"/>
    <x v="0"/>
    <x v="2"/>
    <x v="43"/>
    <x v="1"/>
    <x v="3"/>
    <x v="1"/>
    <x v="2"/>
  </r>
  <r>
    <x v="414"/>
    <x v="18"/>
    <x v="0"/>
    <x v="0"/>
    <x v="0"/>
    <x v="7"/>
    <x v="1"/>
    <x v="0"/>
    <x v="4"/>
    <x v="4"/>
    <x v="1"/>
    <x v="0"/>
    <x v="0"/>
    <x v="2"/>
    <x v="50"/>
    <x v="14"/>
    <x v="5"/>
    <x v="121"/>
    <x v="127"/>
  </r>
  <r>
    <x v="415"/>
    <x v="18"/>
    <x v="0"/>
    <x v="0"/>
    <x v="0"/>
    <x v="8"/>
    <x v="1"/>
    <x v="0"/>
    <x v="4"/>
    <x v="4"/>
    <x v="1"/>
    <x v="0"/>
    <x v="0"/>
    <x v="2"/>
    <x v="43"/>
    <x v="14"/>
    <x v="5"/>
    <x v="127"/>
    <x v="141"/>
  </r>
  <r>
    <x v="416"/>
    <x v="18"/>
    <x v="0"/>
    <x v="0"/>
    <x v="0"/>
    <x v="9"/>
    <x v="1"/>
    <x v="0"/>
    <x v="4"/>
    <x v="4"/>
    <x v="1"/>
    <x v="0"/>
    <x v="0"/>
    <x v="2"/>
    <x v="43"/>
    <x v="14"/>
    <x v="4"/>
    <x v="128"/>
    <x v="142"/>
  </r>
  <r>
    <x v="417"/>
    <x v="18"/>
    <x v="0"/>
    <x v="0"/>
    <x v="0"/>
    <x v="10"/>
    <x v="1"/>
    <x v="0"/>
    <x v="4"/>
    <x v="4"/>
    <x v="1"/>
    <x v="12"/>
    <x v="0"/>
    <x v="1"/>
    <x v="43"/>
    <x v="7"/>
    <x v="5"/>
    <x v="24"/>
    <x v="105"/>
  </r>
  <r>
    <x v="418"/>
    <x v="18"/>
    <x v="0"/>
    <x v="0"/>
    <x v="0"/>
    <x v="11"/>
    <x v="1"/>
    <x v="0"/>
    <x v="4"/>
    <x v="4"/>
    <x v="1"/>
    <x v="17"/>
    <x v="0"/>
    <x v="32"/>
    <x v="9"/>
    <x v="1"/>
    <x v="2"/>
    <x v="12"/>
    <x v="46"/>
  </r>
  <r>
    <x v="419"/>
    <x v="18"/>
    <x v="0"/>
    <x v="0"/>
    <x v="0"/>
    <x v="12"/>
    <x v="2"/>
    <x v="0"/>
    <x v="4"/>
    <x v="4"/>
    <x v="1"/>
    <x v="11"/>
    <x v="0"/>
    <x v="28"/>
    <x v="0"/>
    <x v="1"/>
    <x v="2"/>
    <x v="65"/>
    <x v="27"/>
  </r>
  <r>
    <x v="420"/>
    <x v="18"/>
    <x v="0"/>
    <x v="0"/>
    <x v="0"/>
    <x v="13"/>
    <x v="2"/>
    <x v="0"/>
    <x v="4"/>
    <x v="4"/>
    <x v="0"/>
    <x v="9"/>
    <x v="2"/>
    <x v="10"/>
    <x v="51"/>
    <x v="3"/>
    <x v="16"/>
    <x v="28"/>
    <x v="53"/>
  </r>
  <r>
    <x v="421"/>
    <x v="18"/>
    <x v="0"/>
    <x v="0"/>
    <x v="0"/>
    <x v="14"/>
    <x v="2"/>
    <x v="0"/>
    <x v="4"/>
    <x v="4"/>
    <x v="0"/>
    <x v="9"/>
    <x v="2"/>
    <x v="10"/>
    <x v="52"/>
    <x v="2"/>
    <x v="18"/>
    <x v="56"/>
    <x v="28"/>
  </r>
  <r>
    <x v="422"/>
    <x v="18"/>
    <x v="0"/>
    <x v="0"/>
    <x v="0"/>
    <x v="15"/>
    <x v="2"/>
    <x v="0"/>
    <x v="4"/>
    <x v="4"/>
    <x v="0"/>
    <x v="9"/>
    <x v="2"/>
    <x v="10"/>
    <x v="47"/>
    <x v="3"/>
    <x v="17"/>
    <x v="78"/>
    <x v="100"/>
  </r>
  <r>
    <x v="423"/>
    <x v="18"/>
    <x v="0"/>
    <x v="0"/>
    <x v="0"/>
    <x v="16"/>
    <x v="2"/>
    <x v="0"/>
    <x v="4"/>
    <x v="4"/>
    <x v="0"/>
    <x v="4"/>
    <x v="2"/>
    <x v="5"/>
    <x v="52"/>
    <x v="13"/>
    <x v="22"/>
    <x v="111"/>
    <x v="133"/>
  </r>
  <r>
    <x v="424"/>
    <x v="18"/>
    <x v="0"/>
    <x v="0"/>
    <x v="0"/>
    <x v="17"/>
    <x v="3"/>
    <x v="0"/>
    <x v="4"/>
    <x v="4"/>
    <x v="0"/>
    <x v="5"/>
    <x v="2"/>
    <x v="6"/>
    <x v="14"/>
    <x v="9"/>
    <x v="18"/>
    <x v="84"/>
    <x v="141"/>
  </r>
  <r>
    <x v="425"/>
    <x v="18"/>
    <x v="0"/>
    <x v="0"/>
    <x v="0"/>
    <x v="18"/>
    <x v="3"/>
    <x v="0"/>
    <x v="4"/>
    <x v="4"/>
    <x v="0"/>
    <x v="10"/>
    <x v="2"/>
    <x v="28"/>
    <x v="53"/>
    <x v="3"/>
    <x v="2"/>
    <x v="117"/>
    <x v="143"/>
  </r>
  <r>
    <x v="426"/>
    <x v="18"/>
    <x v="0"/>
    <x v="0"/>
    <x v="0"/>
    <x v="19"/>
    <x v="3"/>
    <x v="0"/>
    <x v="4"/>
    <x v="4"/>
    <x v="0"/>
    <x v="3"/>
    <x v="2"/>
    <x v="0"/>
    <x v="14"/>
    <x v="12"/>
    <x v="17"/>
    <x v="123"/>
    <x v="59"/>
  </r>
  <r>
    <x v="427"/>
    <x v="18"/>
    <x v="0"/>
    <x v="0"/>
    <x v="0"/>
    <x v="20"/>
    <x v="0"/>
    <x v="0"/>
    <x v="4"/>
    <x v="4"/>
    <x v="0"/>
    <x v="3"/>
    <x v="2"/>
    <x v="32"/>
    <x v="36"/>
    <x v="4"/>
    <x v="4"/>
    <x v="64"/>
    <x v="31"/>
  </r>
  <r>
    <x v="428"/>
    <x v="18"/>
    <x v="0"/>
    <x v="0"/>
    <x v="0"/>
    <x v="21"/>
    <x v="0"/>
    <x v="0"/>
    <x v="4"/>
    <x v="4"/>
    <x v="0"/>
    <x v="3"/>
    <x v="2"/>
    <x v="0"/>
    <x v="36"/>
    <x v="12"/>
    <x v="17"/>
    <x v="11"/>
    <x v="29"/>
  </r>
  <r>
    <x v="429"/>
    <x v="18"/>
    <x v="0"/>
    <x v="0"/>
    <x v="0"/>
    <x v="22"/>
    <x v="0"/>
    <x v="0"/>
    <x v="4"/>
    <x v="4"/>
    <x v="0"/>
    <x v="11"/>
    <x v="0"/>
    <x v="32"/>
    <x v="35"/>
    <x v="8"/>
    <x v="15"/>
    <x v="42"/>
    <x v="29"/>
  </r>
  <r>
    <x v="430"/>
    <x v="18"/>
    <x v="0"/>
    <x v="0"/>
    <x v="0"/>
    <x v="23"/>
    <x v="0"/>
    <x v="0"/>
    <x v="4"/>
    <x v="4"/>
    <x v="0"/>
    <x v="11"/>
    <x v="0"/>
    <x v="1"/>
    <x v="35"/>
    <x v="17"/>
    <x v="5"/>
    <x v="2"/>
    <x v="20"/>
  </r>
  <r>
    <x v="431"/>
    <x v="19"/>
    <x v="0"/>
    <x v="0"/>
    <x v="0"/>
    <x v="0"/>
    <x v="0"/>
    <x v="0"/>
    <x v="5"/>
    <x v="5"/>
    <x v="0"/>
    <x v="12"/>
    <x v="0"/>
    <x v="15"/>
    <x v="34"/>
    <x v="13"/>
    <x v="2"/>
    <x v="21"/>
    <x v="3"/>
  </r>
  <r>
    <x v="432"/>
    <x v="19"/>
    <x v="0"/>
    <x v="0"/>
    <x v="0"/>
    <x v="1"/>
    <x v="0"/>
    <x v="0"/>
    <x v="5"/>
    <x v="5"/>
    <x v="0"/>
    <x v="12"/>
    <x v="0"/>
    <x v="1"/>
    <x v="34"/>
    <x v="0"/>
    <x v="4"/>
    <x v="35"/>
    <x v="36"/>
  </r>
  <r>
    <x v="433"/>
    <x v="19"/>
    <x v="0"/>
    <x v="0"/>
    <x v="0"/>
    <x v="2"/>
    <x v="0"/>
    <x v="0"/>
    <x v="5"/>
    <x v="5"/>
    <x v="0"/>
    <x v="12"/>
    <x v="0"/>
    <x v="1"/>
    <x v="34"/>
    <x v="0"/>
    <x v="3"/>
    <x v="6"/>
    <x v="5"/>
  </r>
  <r>
    <x v="434"/>
    <x v="19"/>
    <x v="0"/>
    <x v="0"/>
    <x v="0"/>
    <x v="3"/>
    <x v="0"/>
    <x v="0"/>
    <x v="5"/>
    <x v="5"/>
    <x v="0"/>
    <x v="12"/>
    <x v="0"/>
    <x v="2"/>
    <x v="34"/>
    <x v="8"/>
    <x v="3"/>
    <x v="4"/>
    <x v="4"/>
  </r>
  <r>
    <x v="435"/>
    <x v="19"/>
    <x v="0"/>
    <x v="0"/>
    <x v="0"/>
    <x v="4"/>
    <x v="0"/>
    <x v="0"/>
    <x v="5"/>
    <x v="5"/>
    <x v="0"/>
    <x v="12"/>
    <x v="0"/>
    <x v="2"/>
    <x v="34"/>
    <x v="8"/>
    <x v="3"/>
    <x v="4"/>
    <x v="4"/>
  </r>
  <r>
    <x v="436"/>
    <x v="19"/>
    <x v="0"/>
    <x v="0"/>
    <x v="0"/>
    <x v="5"/>
    <x v="1"/>
    <x v="0"/>
    <x v="5"/>
    <x v="5"/>
    <x v="0"/>
    <x v="0"/>
    <x v="0"/>
    <x v="15"/>
    <x v="54"/>
    <x v="6"/>
    <x v="3"/>
    <x v="8"/>
    <x v="24"/>
  </r>
  <r>
    <x v="437"/>
    <x v="19"/>
    <x v="0"/>
    <x v="0"/>
    <x v="0"/>
    <x v="6"/>
    <x v="1"/>
    <x v="0"/>
    <x v="5"/>
    <x v="5"/>
    <x v="0"/>
    <x v="1"/>
    <x v="0"/>
    <x v="16"/>
    <x v="54"/>
    <x v="6"/>
    <x v="3"/>
    <x v="96"/>
    <x v="17"/>
  </r>
  <r>
    <x v="438"/>
    <x v="19"/>
    <x v="0"/>
    <x v="0"/>
    <x v="0"/>
    <x v="7"/>
    <x v="1"/>
    <x v="0"/>
    <x v="5"/>
    <x v="5"/>
    <x v="0"/>
    <x v="1"/>
    <x v="0"/>
    <x v="16"/>
    <x v="28"/>
    <x v="6"/>
    <x v="5"/>
    <x v="129"/>
    <x v="129"/>
  </r>
  <r>
    <x v="439"/>
    <x v="19"/>
    <x v="0"/>
    <x v="0"/>
    <x v="0"/>
    <x v="8"/>
    <x v="1"/>
    <x v="0"/>
    <x v="5"/>
    <x v="5"/>
    <x v="0"/>
    <x v="1"/>
    <x v="0"/>
    <x v="16"/>
    <x v="28"/>
    <x v="3"/>
    <x v="4"/>
    <x v="130"/>
    <x v="144"/>
  </r>
  <r>
    <x v="440"/>
    <x v="19"/>
    <x v="0"/>
    <x v="0"/>
    <x v="0"/>
    <x v="9"/>
    <x v="1"/>
    <x v="0"/>
    <x v="5"/>
    <x v="5"/>
    <x v="1"/>
    <x v="0"/>
    <x v="0"/>
    <x v="15"/>
    <x v="35"/>
    <x v="6"/>
    <x v="0"/>
    <x v="131"/>
    <x v="145"/>
  </r>
  <r>
    <x v="441"/>
    <x v="19"/>
    <x v="0"/>
    <x v="0"/>
    <x v="0"/>
    <x v="10"/>
    <x v="1"/>
    <x v="0"/>
    <x v="5"/>
    <x v="5"/>
    <x v="0"/>
    <x v="12"/>
    <x v="0"/>
    <x v="15"/>
    <x v="37"/>
    <x v="4"/>
    <x v="5"/>
    <x v="90"/>
    <x v="52"/>
  </r>
  <r>
    <x v="442"/>
    <x v="19"/>
    <x v="0"/>
    <x v="0"/>
    <x v="0"/>
    <x v="11"/>
    <x v="1"/>
    <x v="0"/>
    <x v="5"/>
    <x v="5"/>
    <x v="1"/>
    <x v="17"/>
    <x v="0"/>
    <x v="1"/>
    <x v="49"/>
    <x v="8"/>
    <x v="2"/>
    <x v="36"/>
    <x v="118"/>
  </r>
  <r>
    <x v="443"/>
    <x v="19"/>
    <x v="0"/>
    <x v="0"/>
    <x v="0"/>
    <x v="12"/>
    <x v="2"/>
    <x v="0"/>
    <x v="5"/>
    <x v="5"/>
    <x v="1"/>
    <x v="11"/>
    <x v="0"/>
    <x v="6"/>
    <x v="16"/>
    <x v="0"/>
    <x v="18"/>
    <x v="99"/>
    <x v="11"/>
  </r>
  <r>
    <x v="444"/>
    <x v="19"/>
    <x v="0"/>
    <x v="0"/>
    <x v="0"/>
    <x v="13"/>
    <x v="2"/>
    <x v="0"/>
    <x v="5"/>
    <x v="5"/>
    <x v="1"/>
    <x v="17"/>
    <x v="0"/>
    <x v="0"/>
    <x v="49"/>
    <x v="14"/>
    <x v="6"/>
    <x v="132"/>
    <x v="95"/>
  </r>
  <r>
    <x v="445"/>
    <x v="19"/>
    <x v="0"/>
    <x v="0"/>
    <x v="0"/>
    <x v="14"/>
    <x v="2"/>
    <x v="0"/>
    <x v="5"/>
    <x v="5"/>
    <x v="1"/>
    <x v="11"/>
    <x v="0"/>
    <x v="32"/>
    <x v="49"/>
    <x v="7"/>
    <x v="15"/>
    <x v="102"/>
    <x v="117"/>
  </r>
  <r>
    <x v="446"/>
    <x v="19"/>
    <x v="0"/>
    <x v="0"/>
    <x v="0"/>
    <x v="15"/>
    <x v="2"/>
    <x v="0"/>
    <x v="5"/>
    <x v="5"/>
    <x v="1"/>
    <x v="3"/>
    <x v="2"/>
    <x v="28"/>
    <x v="49"/>
    <x v="5"/>
    <x v="1"/>
    <x v="133"/>
    <x v="27"/>
  </r>
  <r>
    <x v="447"/>
    <x v="19"/>
    <x v="0"/>
    <x v="0"/>
    <x v="0"/>
    <x v="16"/>
    <x v="2"/>
    <x v="0"/>
    <x v="5"/>
    <x v="5"/>
    <x v="1"/>
    <x v="11"/>
    <x v="0"/>
    <x v="32"/>
    <x v="36"/>
    <x v="7"/>
    <x v="1"/>
    <x v="93"/>
    <x v="134"/>
  </r>
  <r>
    <x v="448"/>
    <x v="19"/>
    <x v="0"/>
    <x v="0"/>
    <x v="0"/>
    <x v="17"/>
    <x v="3"/>
    <x v="0"/>
    <x v="5"/>
    <x v="5"/>
    <x v="1"/>
    <x v="11"/>
    <x v="0"/>
    <x v="28"/>
    <x v="36"/>
    <x v="14"/>
    <x v="1"/>
    <x v="134"/>
    <x v="146"/>
  </r>
  <r>
    <x v="449"/>
    <x v="19"/>
    <x v="0"/>
    <x v="0"/>
    <x v="0"/>
    <x v="18"/>
    <x v="3"/>
    <x v="0"/>
    <x v="5"/>
    <x v="5"/>
    <x v="1"/>
    <x v="12"/>
    <x v="0"/>
    <x v="2"/>
    <x v="34"/>
    <x v="5"/>
    <x v="5"/>
    <x v="103"/>
    <x v="147"/>
  </r>
  <r>
    <x v="450"/>
    <x v="19"/>
    <x v="0"/>
    <x v="0"/>
    <x v="0"/>
    <x v="19"/>
    <x v="3"/>
    <x v="0"/>
    <x v="5"/>
    <x v="5"/>
    <x v="0"/>
    <x v="12"/>
    <x v="0"/>
    <x v="15"/>
    <x v="34"/>
    <x v="9"/>
    <x v="15"/>
    <x v="44"/>
    <x v="148"/>
  </r>
  <r>
    <x v="451"/>
    <x v="19"/>
    <x v="0"/>
    <x v="0"/>
    <x v="0"/>
    <x v="20"/>
    <x v="0"/>
    <x v="0"/>
    <x v="5"/>
    <x v="5"/>
    <x v="1"/>
    <x v="12"/>
    <x v="0"/>
    <x v="25"/>
    <x v="54"/>
    <x v="3"/>
    <x v="4"/>
    <x v="125"/>
    <x v="149"/>
  </r>
  <r>
    <x v="452"/>
    <x v="19"/>
    <x v="0"/>
    <x v="0"/>
    <x v="0"/>
    <x v="21"/>
    <x v="0"/>
    <x v="0"/>
    <x v="5"/>
    <x v="5"/>
    <x v="1"/>
    <x v="0"/>
    <x v="0"/>
    <x v="15"/>
    <x v="54"/>
    <x v="2"/>
    <x v="0"/>
    <x v="25"/>
    <x v="52"/>
  </r>
  <r>
    <x v="453"/>
    <x v="19"/>
    <x v="0"/>
    <x v="0"/>
    <x v="0"/>
    <x v="22"/>
    <x v="0"/>
    <x v="0"/>
    <x v="5"/>
    <x v="5"/>
    <x v="1"/>
    <x v="0"/>
    <x v="0"/>
    <x v="16"/>
    <x v="55"/>
    <x v="3"/>
    <x v="3"/>
    <x v="90"/>
    <x v="10"/>
  </r>
  <r>
    <x v="454"/>
    <x v="19"/>
    <x v="0"/>
    <x v="0"/>
    <x v="0"/>
    <x v="23"/>
    <x v="0"/>
    <x v="0"/>
    <x v="5"/>
    <x v="5"/>
    <x v="1"/>
    <x v="0"/>
    <x v="0"/>
    <x v="16"/>
    <x v="55"/>
    <x v="9"/>
    <x v="0"/>
    <x v="95"/>
    <x v="35"/>
  </r>
  <r>
    <x v="455"/>
    <x v="20"/>
    <x v="0"/>
    <x v="0"/>
    <x v="0"/>
    <x v="0"/>
    <x v="0"/>
    <x v="0"/>
    <x v="6"/>
    <x v="6"/>
    <x v="1"/>
    <x v="0"/>
    <x v="0"/>
    <x v="15"/>
    <x v="56"/>
    <x v="2"/>
    <x v="5"/>
    <x v="32"/>
    <x v="137"/>
  </r>
  <r>
    <x v="456"/>
    <x v="20"/>
    <x v="0"/>
    <x v="0"/>
    <x v="0"/>
    <x v="1"/>
    <x v="0"/>
    <x v="0"/>
    <x v="6"/>
    <x v="6"/>
    <x v="1"/>
    <x v="0"/>
    <x v="0"/>
    <x v="15"/>
    <x v="56"/>
    <x v="2"/>
    <x v="3"/>
    <x v="8"/>
    <x v="24"/>
  </r>
  <r>
    <x v="457"/>
    <x v="20"/>
    <x v="0"/>
    <x v="0"/>
    <x v="0"/>
    <x v="2"/>
    <x v="0"/>
    <x v="0"/>
    <x v="6"/>
    <x v="6"/>
    <x v="2"/>
    <x v="0"/>
    <x v="0"/>
    <x v="25"/>
    <x v="2"/>
    <x v="8"/>
    <x v="3"/>
    <x v="6"/>
    <x v="5"/>
  </r>
  <r>
    <x v="458"/>
    <x v="20"/>
    <x v="0"/>
    <x v="0"/>
    <x v="0"/>
    <x v="3"/>
    <x v="0"/>
    <x v="0"/>
    <x v="6"/>
    <x v="6"/>
    <x v="2"/>
    <x v="1"/>
    <x v="0"/>
    <x v="16"/>
    <x v="1"/>
    <x v="4"/>
    <x v="3"/>
    <x v="4"/>
    <x v="4"/>
  </r>
  <r>
    <x v="459"/>
    <x v="20"/>
    <x v="0"/>
    <x v="0"/>
    <x v="0"/>
    <x v="4"/>
    <x v="0"/>
    <x v="0"/>
    <x v="6"/>
    <x v="6"/>
    <x v="1"/>
    <x v="1"/>
    <x v="0"/>
    <x v="2"/>
    <x v="9"/>
    <x v="1"/>
    <x v="3"/>
    <x v="4"/>
    <x v="4"/>
  </r>
  <r>
    <x v="460"/>
    <x v="20"/>
    <x v="0"/>
    <x v="0"/>
    <x v="0"/>
    <x v="5"/>
    <x v="1"/>
    <x v="0"/>
    <x v="6"/>
    <x v="6"/>
    <x v="0"/>
    <x v="0"/>
    <x v="0"/>
    <x v="17"/>
    <x v="54"/>
    <x v="12"/>
    <x v="5"/>
    <x v="22"/>
    <x v="36"/>
  </r>
  <r>
    <x v="461"/>
    <x v="20"/>
    <x v="0"/>
    <x v="0"/>
    <x v="0"/>
    <x v="6"/>
    <x v="1"/>
    <x v="0"/>
    <x v="6"/>
    <x v="6"/>
    <x v="0"/>
    <x v="1"/>
    <x v="0"/>
    <x v="16"/>
    <x v="28"/>
    <x v="2"/>
    <x v="3"/>
    <x v="2"/>
    <x v="110"/>
  </r>
  <r>
    <x v="462"/>
    <x v="20"/>
    <x v="0"/>
    <x v="0"/>
    <x v="0"/>
    <x v="7"/>
    <x v="1"/>
    <x v="0"/>
    <x v="6"/>
    <x v="6"/>
    <x v="0"/>
    <x v="2"/>
    <x v="1"/>
    <x v="23"/>
    <x v="33"/>
    <x v="3"/>
    <x v="4"/>
    <x v="43"/>
    <x v="118"/>
  </r>
  <r>
    <x v="463"/>
    <x v="20"/>
    <x v="0"/>
    <x v="0"/>
    <x v="0"/>
    <x v="8"/>
    <x v="1"/>
    <x v="0"/>
    <x v="6"/>
    <x v="6"/>
    <x v="0"/>
    <x v="2"/>
    <x v="1"/>
    <x v="23"/>
    <x v="19"/>
    <x v="9"/>
    <x v="18"/>
    <x v="135"/>
    <x v="112"/>
  </r>
  <r>
    <x v="464"/>
    <x v="20"/>
    <x v="0"/>
    <x v="0"/>
    <x v="0"/>
    <x v="9"/>
    <x v="1"/>
    <x v="0"/>
    <x v="6"/>
    <x v="6"/>
    <x v="0"/>
    <x v="2"/>
    <x v="1"/>
    <x v="23"/>
    <x v="33"/>
    <x v="11"/>
    <x v="18"/>
    <x v="136"/>
    <x v="150"/>
  </r>
  <r>
    <x v="465"/>
    <x v="20"/>
    <x v="0"/>
    <x v="0"/>
    <x v="0"/>
    <x v="10"/>
    <x v="1"/>
    <x v="0"/>
    <x v="6"/>
    <x v="6"/>
    <x v="0"/>
    <x v="2"/>
    <x v="1"/>
    <x v="22"/>
    <x v="19"/>
    <x v="17"/>
    <x v="15"/>
    <x v="77"/>
    <x v="55"/>
  </r>
  <r>
    <x v="466"/>
    <x v="20"/>
    <x v="0"/>
    <x v="0"/>
    <x v="0"/>
    <x v="11"/>
    <x v="1"/>
    <x v="0"/>
    <x v="6"/>
    <x v="6"/>
    <x v="0"/>
    <x v="1"/>
    <x v="0"/>
    <x v="23"/>
    <x v="48"/>
    <x v="17"/>
    <x v="15"/>
    <x v="42"/>
    <x v="29"/>
  </r>
  <r>
    <x v="467"/>
    <x v="20"/>
    <x v="0"/>
    <x v="0"/>
    <x v="0"/>
    <x v="12"/>
    <x v="2"/>
    <x v="0"/>
    <x v="6"/>
    <x v="6"/>
    <x v="0"/>
    <x v="1"/>
    <x v="0"/>
    <x v="23"/>
    <x v="57"/>
    <x v="19"/>
    <x v="16"/>
    <x v="28"/>
    <x v="53"/>
  </r>
  <r>
    <x v="468"/>
    <x v="20"/>
    <x v="0"/>
    <x v="0"/>
    <x v="0"/>
    <x v="13"/>
    <x v="2"/>
    <x v="0"/>
    <x v="6"/>
    <x v="6"/>
    <x v="0"/>
    <x v="2"/>
    <x v="1"/>
    <x v="26"/>
    <x v="58"/>
    <x v="19"/>
    <x v="1"/>
    <x v="65"/>
    <x v="88"/>
  </r>
  <r>
    <x v="469"/>
    <x v="20"/>
    <x v="0"/>
    <x v="0"/>
    <x v="0"/>
    <x v="14"/>
    <x v="2"/>
    <x v="0"/>
    <x v="6"/>
    <x v="6"/>
    <x v="0"/>
    <x v="2"/>
    <x v="1"/>
    <x v="26"/>
    <x v="59"/>
    <x v="18"/>
    <x v="15"/>
    <x v="90"/>
    <x v="69"/>
  </r>
  <r>
    <x v="470"/>
    <x v="20"/>
    <x v="0"/>
    <x v="0"/>
    <x v="0"/>
    <x v="15"/>
    <x v="2"/>
    <x v="0"/>
    <x v="6"/>
    <x v="6"/>
    <x v="0"/>
    <x v="13"/>
    <x v="1"/>
    <x v="21"/>
    <x v="60"/>
    <x v="10"/>
    <x v="17"/>
    <x v="124"/>
    <x v="32"/>
  </r>
  <r>
    <x v="471"/>
    <x v="20"/>
    <x v="0"/>
    <x v="0"/>
    <x v="0"/>
    <x v="16"/>
    <x v="2"/>
    <x v="0"/>
    <x v="6"/>
    <x v="6"/>
    <x v="0"/>
    <x v="13"/>
    <x v="1"/>
    <x v="19"/>
    <x v="60"/>
    <x v="11"/>
    <x v="3"/>
    <x v="106"/>
    <x v="54"/>
  </r>
  <r>
    <x v="472"/>
    <x v="20"/>
    <x v="0"/>
    <x v="0"/>
    <x v="0"/>
    <x v="17"/>
    <x v="3"/>
    <x v="0"/>
    <x v="6"/>
    <x v="6"/>
    <x v="0"/>
    <x v="14"/>
    <x v="1"/>
    <x v="21"/>
    <x v="40"/>
    <x v="11"/>
    <x v="22"/>
    <x v="137"/>
    <x v="143"/>
  </r>
  <r>
    <x v="473"/>
    <x v="20"/>
    <x v="0"/>
    <x v="0"/>
    <x v="0"/>
    <x v="18"/>
    <x v="3"/>
    <x v="0"/>
    <x v="6"/>
    <x v="6"/>
    <x v="0"/>
    <x v="16"/>
    <x v="1"/>
    <x v="21"/>
    <x v="24"/>
    <x v="2"/>
    <x v="5"/>
    <x v="138"/>
    <x v="151"/>
  </r>
  <r>
    <x v="474"/>
    <x v="20"/>
    <x v="0"/>
    <x v="0"/>
    <x v="0"/>
    <x v="19"/>
    <x v="3"/>
    <x v="0"/>
    <x v="6"/>
    <x v="6"/>
    <x v="0"/>
    <x v="16"/>
    <x v="1"/>
    <x v="20"/>
    <x v="24"/>
    <x v="9"/>
    <x v="0"/>
    <x v="139"/>
    <x v="152"/>
  </r>
  <r>
    <x v="475"/>
    <x v="20"/>
    <x v="0"/>
    <x v="0"/>
    <x v="0"/>
    <x v="20"/>
    <x v="0"/>
    <x v="0"/>
    <x v="6"/>
    <x v="6"/>
    <x v="0"/>
    <x v="18"/>
    <x v="3"/>
    <x v="30"/>
    <x v="39"/>
    <x v="12"/>
    <x v="5"/>
    <x v="15"/>
    <x v="26"/>
  </r>
  <r>
    <x v="476"/>
    <x v="20"/>
    <x v="0"/>
    <x v="0"/>
    <x v="0"/>
    <x v="21"/>
    <x v="0"/>
    <x v="0"/>
    <x v="6"/>
    <x v="6"/>
    <x v="0"/>
    <x v="19"/>
    <x v="3"/>
    <x v="30"/>
    <x v="41"/>
    <x v="3"/>
    <x v="3"/>
    <x v="40"/>
    <x v="102"/>
  </r>
  <r>
    <x v="477"/>
    <x v="20"/>
    <x v="0"/>
    <x v="0"/>
    <x v="0"/>
    <x v="22"/>
    <x v="0"/>
    <x v="0"/>
    <x v="6"/>
    <x v="6"/>
    <x v="0"/>
    <x v="20"/>
    <x v="3"/>
    <x v="33"/>
    <x v="48"/>
    <x v="13"/>
    <x v="5"/>
    <x v="39"/>
    <x v="19"/>
  </r>
  <r>
    <x v="478"/>
    <x v="20"/>
    <x v="0"/>
    <x v="0"/>
    <x v="0"/>
    <x v="23"/>
    <x v="0"/>
    <x v="0"/>
    <x v="6"/>
    <x v="6"/>
    <x v="0"/>
    <x v="20"/>
    <x v="3"/>
    <x v="34"/>
    <x v="41"/>
    <x v="9"/>
    <x v="3"/>
    <x v="2"/>
    <x v="110"/>
  </r>
  <r>
    <x v="479"/>
    <x v="21"/>
    <x v="0"/>
    <x v="0"/>
    <x v="0"/>
    <x v="0"/>
    <x v="0"/>
    <x v="0"/>
    <x v="0"/>
    <x v="0"/>
    <x v="0"/>
    <x v="21"/>
    <x v="3"/>
    <x v="33"/>
    <x v="49"/>
    <x v="2"/>
    <x v="3"/>
    <x v="0"/>
    <x v="3"/>
  </r>
  <r>
    <x v="480"/>
    <x v="21"/>
    <x v="0"/>
    <x v="0"/>
    <x v="0"/>
    <x v="1"/>
    <x v="0"/>
    <x v="0"/>
    <x v="0"/>
    <x v="0"/>
    <x v="1"/>
    <x v="21"/>
    <x v="3"/>
    <x v="35"/>
    <x v="48"/>
    <x v="13"/>
    <x v="0"/>
    <x v="33"/>
    <x v="47"/>
  </r>
  <r>
    <x v="481"/>
    <x v="21"/>
    <x v="0"/>
    <x v="0"/>
    <x v="0"/>
    <x v="2"/>
    <x v="0"/>
    <x v="0"/>
    <x v="0"/>
    <x v="0"/>
    <x v="1"/>
    <x v="21"/>
    <x v="3"/>
    <x v="33"/>
    <x v="48"/>
    <x v="2"/>
    <x v="3"/>
    <x v="48"/>
    <x v="62"/>
  </r>
  <r>
    <x v="482"/>
    <x v="21"/>
    <x v="0"/>
    <x v="0"/>
    <x v="0"/>
    <x v="3"/>
    <x v="0"/>
    <x v="0"/>
    <x v="0"/>
    <x v="0"/>
    <x v="1"/>
    <x v="21"/>
    <x v="3"/>
    <x v="33"/>
    <x v="48"/>
    <x v="3"/>
    <x v="5"/>
    <x v="8"/>
    <x v="85"/>
  </r>
  <r>
    <x v="483"/>
    <x v="21"/>
    <x v="0"/>
    <x v="0"/>
    <x v="0"/>
    <x v="4"/>
    <x v="0"/>
    <x v="0"/>
    <x v="0"/>
    <x v="0"/>
    <x v="1"/>
    <x v="22"/>
    <x v="3"/>
    <x v="36"/>
    <x v="37"/>
    <x v="4"/>
    <x v="3"/>
    <x v="35"/>
    <x v="6"/>
  </r>
  <r>
    <x v="484"/>
    <x v="21"/>
    <x v="0"/>
    <x v="0"/>
    <x v="0"/>
    <x v="6"/>
    <x v="1"/>
    <x v="0"/>
    <x v="0"/>
    <x v="0"/>
    <x v="1"/>
    <x v="22"/>
    <x v="3"/>
    <x v="33"/>
    <x v="18"/>
    <x v="6"/>
    <x v="3"/>
    <x v="6"/>
    <x v="5"/>
  </r>
  <r>
    <x v="485"/>
    <x v="21"/>
    <x v="0"/>
    <x v="0"/>
    <x v="0"/>
    <x v="7"/>
    <x v="1"/>
    <x v="0"/>
    <x v="0"/>
    <x v="0"/>
    <x v="0"/>
    <x v="22"/>
    <x v="3"/>
    <x v="36"/>
    <x v="18"/>
    <x v="3"/>
    <x v="3"/>
    <x v="21"/>
    <x v="7"/>
  </r>
  <r>
    <x v="486"/>
    <x v="21"/>
    <x v="0"/>
    <x v="0"/>
    <x v="0"/>
    <x v="8"/>
    <x v="1"/>
    <x v="0"/>
    <x v="0"/>
    <x v="0"/>
    <x v="0"/>
    <x v="22"/>
    <x v="3"/>
    <x v="35"/>
    <x v="18"/>
    <x v="9"/>
    <x v="5"/>
    <x v="16"/>
    <x v="110"/>
  </r>
  <r>
    <x v="487"/>
    <x v="21"/>
    <x v="0"/>
    <x v="0"/>
    <x v="0"/>
    <x v="9"/>
    <x v="1"/>
    <x v="0"/>
    <x v="0"/>
    <x v="0"/>
    <x v="0"/>
    <x v="21"/>
    <x v="3"/>
    <x v="33"/>
    <x v="48"/>
    <x v="2"/>
    <x v="0"/>
    <x v="53"/>
    <x v="1"/>
  </r>
  <r>
    <x v="488"/>
    <x v="21"/>
    <x v="0"/>
    <x v="0"/>
    <x v="0"/>
    <x v="10"/>
    <x v="1"/>
    <x v="0"/>
    <x v="0"/>
    <x v="0"/>
    <x v="1"/>
    <x v="21"/>
    <x v="3"/>
    <x v="29"/>
    <x v="48"/>
    <x v="8"/>
    <x v="0"/>
    <x v="54"/>
    <x v="26"/>
  </r>
  <r>
    <x v="489"/>
    <x v="21"/>
    <x v="0"/>
    <x v="0"/>
    <x v="0"/>
    <x v="11"/>
    <x v="1"/>
    <x v="0"/>
    <x v="0"/>
    <x v="0"/>
    <x v="1"/>
    <x v="20"/>
    <x v="3"/>
    <x v="30"/>
    <x v="41"/>
    <x v="7"/>
    <x v="17"/>
    <x v="79"/>
    <x v="55"/>
  </r>
  <r>
    <x v="490"/>
    <x v="21"/>
    <x v="0"/>
    <x v="0"/>
    <x v="0"/>
    <x v="12"/>
    <x v="2"/>
    <x v="0"/>
    <x v="0"/>
    <x v="0"/>
    <x v="1"/>
    <x v="20"/>
    <x v="3"/>
    <x v="20"/>
    <x v="41"/>
    <x v="14"/>
    <x v="22"/>
    <x v="91"/>
    <x v="27"/>
  </r>
  <r>
    <x v="491"/>
    <x v="21"/>
    <x v="0"/>
    <x v="0"/>
    <x v="0"/>
    <x v="13"/>
    <x v="2"/>
    <x v="0"/>
    <x v="0"/>
    <x v="0"/>
    <x v="0"/>
    <x v="19"/>
    <x v="3"/>
    <x v="22"/>
    <x v="23"/>
    <x v="0"/>
    <x v="6"/>
    <x v="109"/>
    <x v="11"/>
  </r>
  <r>
    <x v="492"/>
    <x v="21"/>
    <x v="0"/>
    <x v="0"/>
    <x v="0"/>
    <x v="14"/>
    <x v="2"/>
    <x v="0"/>
    <x v="0"/>
    <x v="0"/>
    <x v="0"/>
    <x v="18"/>
    <x v="3"/>
    <x v="19"/>
    <x v="39"/>
    <x v="14"/>
    <x v="16"/>
    <x v="27"/>
    <x v="28"/>
  </r>
  <r>
    <x v="493"/>
    <x v="21"/>
    <x v="0"/>
    <x v="0"/>
    <x v="0"/>
    <x v="15"/>
    <x v="2"/>
    <x v="0"/>
    <x v="0"/>
    <x v="0"/>
    <x v="0"/>
    <x v="16"/>
    <x v="1"/>
    <x v="26"/>
    <x v="40"/>
    <x v="0"/>
    <x v="22"/>
    <x v="139"/>
    <x v="153"/>
  </r>
  <r>
    <x v="494"/>
    <x v="21"/>
    <x v="0"/>
    <x v="0"/>
    <x v="0"/>
    <x v="16"/>
    <x v="2"/>
    <x v="0"/>
    <x v="0"/>
    <x v="0"/>
    <x v="0"/>
    <x v="16"/>
    <x v="1"/>
    <x v="19"/>
    <x v="40"/>
    <x v="5"/>
    <x v="16"/>
    <x v="109"/>
    <x v="56"/>
  </r>
  <r>
    <x v="495"/>
    <x v="21"/>
    <x v="0"/>
    <x v="0"/>
    <x v="0"/>
    <x v="17"/>
    <x v="3"/>
    <x v="0"/>
    <x v="0"/>
    <x v="0"/>
    <x v="0"/>
    <x v="16"/>
    <x v="1"/>
    <x v="17"/>
    <x v="40"/>
    <x v="0"/>
    <x v="1"/>
    <x v="79"/>
    <x v="16"/>
  </r>
  <r>
    <x v="496"/>
    <x v="21"/>
    <x v="0"/>
    <x v="0"/>
    <x v="0"/>
    <x v="18"/>
    <x v="3"/>
    <x v="0"/>
    <x v="0"/>
    <x v="0"/>
    <x v="0"/>
    <x v="19"/>
    <x v="3"/>
    <x v="31"/>
    <x v="23"/>
    <x v="5"/>
    <x v="3"/>
    <x v="25"/>
    <x v="60"/>
  </r>
  <r>
    <x v="497"/>
    <x v="21"/>
    <x v="0"/>
    <x v="0"/>
    <x v="0"/>
    <x v="19"/>
    <x v="3"/>
    <x v="0"/>
    <x v="0"/>
    <x v="0"/>
    <x v="0"/>
    <x v="19"/>
    <x v="3"/>
    <x v="20"/>
    <x v="23"/>
    <x v="7"/>
    <x v="15"/>
    <x v="42"/>
    <x v="29"/>
  </r>
  <r>
    <x v="498"/>
    <x v="21"/>
    <x v="0"/>
    <x v="0"/>
    <x v="0"/>
    <x v="20"/>
    <x v="0"/>
    <x v="0"/>
    <x v="0"/>
    <x v="0"/>
    <x v="0"/>
    <x v="20"/>
    <x v="3"/>
    <x v="30"/>
    <x v="49"/>
    <x v="8"/>
    <x v="5"/>
    <x v="100"/>
    <x v="79"/>
  </r>
  <r>
    <x v="499"/>
    <x v="21"/>
    <x v="0"/>
    <x v="0"/>
    <x v="0"/>
    <x v="21"/>
    <x v="0"/>
    <x v="0"/>
    <x v="0"/>
    <x v="0"/>
    <x v="0"/>
    <x v="20"/>
    <x v="3"/>
    <x v="20"/>
    <x v="48"/>
    <x v="1"/>
    <x v="3"/>
    <x v="87"/>
    <x v="21"/>
  </r>
  <r>
    <x v="500"/>
    <x v="21"/>
    <x v="0"/>
    <x v="0"/>
    <x v="0"/>
    <x v="22"/>
    <x v="0"/>
    <x v="0"/>
    <x v="0"/>
    <x v="0"/>
    <x v="0"/>
    <x v="20"/>
    <x v="3"/>
    <x v="26"/>
    <x v="36"/>
    <x v="0"/>
    <x v="18"/>
    <x v="140"/>
    <x v="33"/>
  </r>
  <r>
    <x v="501"/>
    <x v="21"/>
    <x v="0"/>
    <x v="0"/>
    <x v="0"/>
    <x v="23"/>
    <x v="0"/>
    <x v="0"/>
    <x v="0"/>
    <x v="0"/>
    <x v="0"/>
    <x v="21"/>
    <x v="3"/>
    <x v="30"/>
    <x v="14"/>
    <x v="14"/>
    <x v="4"/>
    <x v="17"/>
    <x v="63"/>
  </r>
  <r>
    <x v="502"/>
    <x v="22"/>
    <x v="0"/>
    <x v="0"/>
    <x v="0"/>
    <x v="0"/>
    <x v="0"/>
    <x v="0"/>
    <x v="1"/>
    <x v="1"/>
    <x v="0"/>
    <x v="21"/>
    <x v="3"/>
    <x v="30"/>
    <x v="14"/>
    <x v="14"/>
    <x v="4"/>
    <x v="32"/>
    <x v="34"/>
  </r>
  <r>
    <x v="503"/>
    <x v="22"/>
    <x v="0"/>
    <x v="0"/>
    <x v="0"/>
    <x v="1"/>
    <x v="0"/>
    <x v="0"/>
    <x v="1"/>
    <x v="1"/>
    <x v="0"/>
    <x v="21"/>
    <x v="3"/>
    <x v="30"/>
    <x v="14"/>
    <x v="14"/>
    <x v="5"/>
    <x v="98"/>
    <x v="3"/>
  </r>
  <r>
    <x v="504"/>
    <x v="22"/>
    <x v="0"/>
    <x v="0"/>
    <x v="0"/>
    <x v="2"/>
    <x v="0"/>
    <x v="0"/>
    <x v="1"/>
    <x v="1"/>
    <x v="0"/>
    <x v="22"/>
    <x v="3"/>
    <x v="29"/>
    <x v="51"/>
    <x v="7"/>
    <x v="0"/>
    <x v="89"/>
    <x v="109"/>
  </r>
  <r>
    <x v="505"/>
    <x v="22"/>
    <x v="0"/>
    <x v="0"/>
    <x v="0"/>
    <x v="3"/>
    <x v="0"/>
    <x v="0"/>
    <x v="1"/>
    <x v="1"/>
    <x v="0"/>
    <x v="22"/>
    <x v="3"/>
    <x v="29"/>
    <x v="51"/>
    <x v="7"/>
    <x v="5"/>
    <x v="22"/>
    <x v="36"/>
  </r>
  <r>
    <x v="506"/>
    <x v="22"/>
    <x v="0"/>
    <x v="0"/>
    <x v="0"/>
    <x v="5"/>
    <x v="1"/>
    <x v="0"/>
    <x v="1"/>
    <x v="1"/>
    <x v="1"/>
    <x v="21"/>
    <x v="3"/>
    <x v="30"/>
    <x v="14"/>
    <x v="14"/>
    <x v="3"/>
    <x v="35"/>
    <x v="6"/>
  </r>
  <r>
    <x v="507"/>
    <x v="22"/>
    <x v="0"/>
    <x v="0"/>
    <x v="0"/>
    <x v="6"/>
    <x v="1"/>
    <x v="0"/>
    <x v="1"/>
    <x v="1"/>
    <x v="1"/>
    <x v="21"/>
    <x v="3"/>
    <x v="30"/>
    <x v="14"/>
    <x v="14"/>
    <x v="3"/>
    <x v="4"/>
    <x v="4"/>
  </r>
  <r>
    <x v="508"/>
    <x v="22"/>
    <x v="0"/>
    <x v="0"/>
    <x v="0"/>
    <x v="7"/>
    <x v="1"/>
    <x v="0"/>
    <x v="1"/>
    <x v="1"/>
    <x v="0"/>
    <x v="19"/>
    <x v="3"/>
    <x v="20"/>
    <x v="52"/>
    <x v="8"/>
    <x v="5"/>
    <x v="4"/>
    <x v="5"/>
  </r>
  <r>
    <x v="509"/>
    <x v="22"/>
    <x v="0"/>
    <x v="0"/>
    <x v="0"/>
    <x v="8"/>
    <x v="1"/>
    <x v="0"/>
    <x v="1"/>
    <x v="1"/>
    <x v="0"/>
    <x v="20"/>
    <x v="3"/>
    <x v="30"/>
    <x v="51"/>
    <x v="8"/>
    <x v="4"/>
    <x v="19"/>
    <x v="75"/>
  </r>
  <r>
    <x v="510"/>
    <x v="22"/>
    <x v="0"/>
    <x v="0"/>
    <x v="0"/>
    <x v="9"/>
    <x v="1"/>
    <x v="0"/>
    <x v="1"/>
    <x v="1"/>
    <x v="0"/>
    <x v="18"/>
    <x v="3"/>
    <x v="30"/>
    <x v="47"/>
    <x v="11"/>
    <x v="0"/>
    <x v="18"/>
    <x v="20"/>
  </r>
  <r>
    <x v="511"/>
    <x v="22"/>
    <x v="0"/>
    <x v="0"/>
    <x v="0"/>
    <x v="10"/>
    <x v="1"/>
    <x v="0"/>
    <x v="1"/>
    <x v="1"/>
    <x v="0"/>
    <x v="14"/>
    <x v="1"/>
    <x v="20"/>
    <x v="15"/>
    <x v="13"/>
    <x v="18"/>
    <x v="82"/>
    <x v="154"/>
  </r>
  <r>
    <x v="512"/>
    <x v="22"/>
    <x v="0"/>
    <x v="0"/>
    <x v="0"/>
    <x v="11"/>
    <x v="1"/>
    <x v="0"/>
    <x v="1"/>
    <x v="1"/>
    <x v="0"/>
    <x v="14"/>
    <x v="1"/>
    <x v="19"/>
    <x v="21"/>
    <x v="6"/>
    <x v="30"/>
    <x v="99"/>
    <x v="111"/>
  </r>
  <r>
    <x v="513"/>
    <x v="22"/>
    <x v="0"/>
    <x v="0"/>
    <x v="0"/>
    <x v="12"/>
    <x v="2"/>
    <x v="0"/>
    <x v="1"/>
    <x v="1"/>
    <x v="0"/>
    <x v="13"/>
    <x v="1"/>
    <x v="21"/>
    <x v="38"/>
    <x v="17"/>
    <x v="31"/>
    <x v="50"/>
    <x v="155"/>
  </r>
  <r>
    <x v="514"/>
    <x v="22"/>
    <x v="0"/>
    <x v="0"/>
    <x v="0"/>
    <x v="13"/>
    <x v="2"/>
    <x v="0"/>
    <x v="1"/>
    <x v="1"/>
    <x v="0"/>
    <x v="14"/>
    <x v="1"/>
    <x v="20"/>
    <x v="39"/>
    <x v="13"/>
    <x v="6"/>
    <x v="102"/>
    <x v="90"/>
  </r>
  <r>
    <x v="515"/>
    <x v="22"/>
    <x v="0"/>
    <x v="0"/>
    <x v="0"/>
    <x v="14"/>
    <x v="2"/>
    <x v="0"/>
    <x v="1"/>
    <x v="1"/>
    <x v="0"/>
    <x v="13"/>
    <x v="1"/>
    <x v="19"/>
    <x v="40"/>
    <x v="11"/>
    <x v="26"/>
    <x v="139"/>
    <x v="14"/>
  </r>
  <r>
    <x v="516"/>
    <x v="22"/>
    <x v="0"/>
    <x v="0"/>
    <x v="0"/>
    <x v="15"/>
    <x v="2"/>
    <x v="0"/>
    <x v="1"/>
    <x v="1"/>
    <x v="0"/>
    <x v="13"/>
    <x v="1"/>
    <x v="19"/>
    <x v="40"/>
    <x v="11"/>
    <x v="23"/>
    <x v="27"/>
    <x v="43"/>
  </r>
  <r>
    <x v="517"/>
    <x v="22"/>
    <x v="0"/>
    <x v="0"/>
    <x v="0"/>
    <x v="16"/>
    <x v="2"/>
    <x v="0"/>
    <x v="1"/>
    <x v="1"/>
    <x v="0"/>
    <x v="13"/>
    <x v="1"/>
    <x v="19"/>
    <x v="60"/>
    <x v="9"/>
    <x v="14"/>
    <x v="90"/>
    <x v="32"/>
  </r>
  <r>
    <x v="518"/>
    <x v="22"/>
    <x v="0"/>
    <x v="0"/>
    <x v="0"/>
    <x v="17"/>
    <x v="3"/>
    <x v="0"/>
    <x v="1"/>
    <x v="1"/>
    <x v="0"/>
    <x v="14"/>
    <x v="1"/>
    <x v="20"/>
    <x v="60"/>
    <x v="13"/>
    <x v="2"/>
    <x v="54"/>
    <x v="97"/>
  </r>
  <r>
    <x v="519"/>
    <x v="22"/>
    <x v="0"/>
    <x v="0"/>
    <x v="0"/>
    <x v="18"/>
    <x v="3"/>
    <x v="0"/>
    <x v="1"/>
    <x v="1"/>
    <x v="0"/>
    <x v="16"/>
    <x v="1"/>
    <x v="21"/>
    <x v="24"/>
    <x v="2"/>
    <x v="2"/>
    <x v="100"/>
    <x v="99"/>
  </r>
  <r>
    <x v="520"/>
    <x v="22"/>
    <x v="0"/>
    <x v="0"/>
    <x v="0"/>
    <x v="19"/>
    <x v="3"/>
    <x v="0"/>
    <x v="1"/>
    <x v="1"/>
    <x v="0"/>
    <x v="16"/>
    <x v="1"/>
    <x v="21"/>
    <x v="24"/>
    <x v="3"/>
    <x v="2"/>
    <x v="108"/>
    <x v="89"/>
  </r>
  <r>
    <x v="521"/>
    <x v="22"/>
    <x v="0"/>
    <x v="0"/>
    <x v="0"/>
    <x v="20"/>
    <x v="0"/>
    <x v="0"/>
    <x v="1"/>
    <x v="1"/>
    <x v="0"/>
    <x v="18"/>
    <x v="3"/>
    <x v="20"/>
    <x v="42"/>
    <x v="2"/>
    <x v="17"/>
    <x v="17"/>
    <x v="17"/>
  </r>
  <r>
    <x v="522"/>
    <x v="22"/>
    <x v="0"/>
    <x v="0"/>
    <x v="0"/>
    <x v="21"/>
    <x v="0"/>
    <x v="0"/>
    <x v="1"/>
    <x v="1"/>
    <x v="0"/>
    <x v="18"/>
    <x v="3"/>
    <x v="20"/>
    <x v="42"/>
    <x v="5"/>
    <x v="2"/>
    <x v="32"/>
    <x v="94"/>
  </r>
  <r>
    <x v="523"/>
    <x v="22"/>
    <x v="0"/>
    <x v="0"/>
    <x v="0"/>
    <x v="22"/>
    <x v="0"/>
    <x v="0"/>
    <x v="1"/>
    <x v="1"/>
    <x v="0"/>
    <x v="19"/>
    <x v="3"/>
    <x v="31"/>
    <x v="41"/>
    <x v="5"/>
    <x v="2"/>
    <x v="140"/>
    <x v="20"/>
  </r>
  <r>
    <x v="524"/>
    <x v="22"/>
    <x v="0"/>
    <x v="0"/>
    <x v="0"/>
    <x v="23"/>
    <x v="0"/>
    <x v="0"/>
    <x v="1"/>
    <x v="1"/>
    <x v="0"/>
    <x v="20"/>
    <x v="3"/>
    <x v="29"/>
    <x v="48"/>
    <x v="6"/>
    <x v="17"/>
    <x v="19"/>
    <x v="137"/>
  </r>
  <r>
    <x v="525"/>
    <x v="23"/>
    <x v="0"/>
    <x v="0"/>
    <x v="0"/>
    <x v="0"/>
    <x v="0"/>
    <x v="0"/>
    <x v="2"/>
    <x v="2"/>
    <x v="0"/>
    <x v="20"/>
    <x v="3"/>
    <x v="29"/>
    <x v="48"/>
    <x v="5"/>
    <x v="3"/>
    <x v="7"/>
    <x v="85"/>
  </r>
  <r>
    <x v="526"/>
    <x v="23"/>
    <x v="0"/>
    <x v="0"/>
    <x v="0"/>
    <x v="1"/>
    <x v="0"/>
    <x v="0"/>
    <x v="2"/>
    <x v="2"/>
    <x v="0"/>
    <x v="21"/>
    <x v="3"/>
    <x v="34"/>
    <x v="49"/>
    <x v="5"/>
    <x v="3"/>
    <x v="4"/>
    <x v="4"/>
  </r>
  <r>
    <x v="527"/>
    <x v="23"/>
    <x v="0"/>
    <x v="0"/>
    <x v="0"/>
    <x v="3"/>
    <x v="0"/>
    <x v="0"/>
    <x v="2"/>
    <x v="2"/>
    <x v="0"/>
    <x v="21"/>
    <x v="3"/>
    <x v="33"/>
    <x v="49"/>
    <x v="2"/>
    <x v="3"/>
    <x v="4"/>
    <x v="4"/>
  </r>
  <r>
    <x v="528"/>
    <x v="23"/>
    <x v="0"/>
    <x v="0"/>
    <x v="0"/>
    <x v="4"/>
    <x v="0"/>
    <x v="0"/>
    <x v="2"/>
    <x v="2"/>
    <x v="0"/>
    <x v="22"/>
    <x v="3"/>
    <x v="29"/>
    <x v="37"/>
    <x v="7"/>
    <x v="3"/>
    <x v="4"/>
    <x v="4"/>
  </r>
  <r>
    <x v="529"/>
    <x v="23"/>
    <x v="0"/>
    <x v="0"/>
    <x v="0"/>
    <x v="5"/>
    <x v="1"/>
    <x v="0"/>
    <x v="2"/>
    <x v="2"/>
    <x v="0"/>
    <x v="22"/>
    <x v="3"/>
    <x v="29"/>
    <x v="37"/>
    <x v="7"/>
    <x v="3"/>
    <x v="34"/>
    <x v="36"/>
  </r>
  <r>
    <x v="530"/>
    <x v="23"/>
    <x v="0"/>
    <x v="0"/>
    <x v="0"/>
    <x v="6"/>
    <x v="1"/>
    <x v="0"/>
    <x v="2"/>
    <x v="2"/>
    <x v="0"/>
    <x v="22"/>
    <x v="3"/>
    <x v="30"/>
    <x v="37"/>
    <x v="1"/>
    <x v="3"/>
    <x v="89"/>
    <x v="93"/>
  </r>
  <r>
    <x v="531"/>
    <x v="23"/>
    <x v="0"/>
    <x v="0"/>
    <x v="0"/>
    <x v="7"/>
    <x v="1"/>
    <x v="0"/>
    <x v="2"/>
    <x v="2"/>
    <x v="0"/>
    <x v="22"/>
    <x v="3"/>
    <x v="21"/>
    <x v="37"/>
    <x v="0"/>
    <x v="2"/>
    <x v="55"/>
    <x v="11"/>
  </r>
  <r>
    <x v="532"/>
    <x v="23"/>
    <x v="0"/>
    <x v="0"/>
    <x v="0"/>
    <x v="8"/>
    <x v="1"/>
    <x v="0"/>
    <x v="2"/>
    <x v="2"/>
    <x v="0"/>
    <x v="21"/>
    <x v="3"/>
    <x v="19"/>
    <x v="36"/>
    <x v="0"/>
    <x v="15"/>
    <x v="141"/>
    <x v="156"/>
  </r>
  <r>
    <x v="533"/>
    <x v="23"/>
    <x v="0"/>
    <x v="0"/>
    <x v="0"/>
    <x v="9"/>
    <x v="1"/>
    <x v="0"/>
    <x v="2"/>
    <x v="2"/>
    <x v="0"/>
    <x v="20"/>
    <x v="3"/>
    <x v="26"/>
    <x v="48"/>
    <x v="0"/>
    <x v="17"/>
    <x v="52"/>
    <x v="96"/>
  </r>
  <r>
    <x v="534"/>
    <x v="23"/>
    <x v="0"/>
    <x v="0"/>
    <x v="0"/>
    <x v="10"/>
    <x v="1"/>
    <x v="0"/>
    <x v="2"/>
    <x v="2"/>
    <x v="0"/>
    <x v="18"/>
    <x v="3"/>
    <x v="19"/>
    <x v="16"/>
    <x v="0"/>
    <x v="15"/>
    <x v="60"/>
    <x v="1"/>
  </r>
  <r>
    <x v="535"/>
    <x v="23"/>
    <x v="0"/>
    <x v="0"/>
    <x v="0"/>
    <x v="11"/>
    <x v="1"/>
    <x v="0"/>
    <x v="2"/>
    <x v="2"/>
    <x v="0"/>
    <x v="18"/>
    <x v="3"/>
    <x v="21"/>
    <x v="15"/>
    <x v="7"/>
    <x v="0"/>
    <x v="30"/>
    <x v="66"/>
  </r>
  <r>
    <x v="536"/>
    <x v="23"/>
    <x v="0"/>
    <x v="0"/>
    <x v="0"/>
    <x v="12"/>
    <x v="2"/>
    <x v="0"/>
    <x v="2"/>
    <x v="2"/>
    <x v="1"/>
    <x v="16"/>
    <x v="1"/>
    <x v="19"/>
    <x v="16"/>
    <x v="5"/>
    <x v="16"/>
    <x v="15"/>
    <x v="55"/>
  </r>
  <r>
    <x v="537"/>
    <x v="23"/>
    <x v="0"/>
    <x v="0"/>
    <x v="0"/>
    <x v="13"/>
    <x v="2"/>
    <x v="0"/>
    <x v="2"/>
    <x v="2"/>
    <x v="1"/>
    <x v="14"/>
    <x v="1"/>
    <x v="19"/>
    <x v="21"/>
    <x v="6"/>
    <x v="15"/>
    <x v="25"/>
    <x v="122"/>
  </r>
  <r>
    <x v="538"/>
    <x v="23"/>
    <x v="0"/>
    <x v="0"/>
    <x v="0"/>
    <x v="14"/>
    <x v="2"/>
    <x v="0"/>
    <x v="2"/>
    <x v="2"/>
    <x v="1"/>
    <x v="14"/>
    <x v="1"/>
    <x v="19"/>
    <x v="15"/>
    <x v="6"/>
    <x v="4"/>
    <x v="30"/>
    <x v="79"/>
  </r>
  <r>
    <x v="539"/>
    <x v="23"/>
    <x v="0"/>
    <x v="0"/>
    <x v="0"/>
    <x v="15"/>
    <x v="2"/>
    <x v="0"/>
    <x v="2"/>
    <x v="2"/>
    <x v="0"/>
    <x v="13"/>
    <x v="1"/>
    <x v="22"/>
    <x v="22"/>
    <x v="8"/>
    <x v="18"/>
    <x v="54"/>
    <x v="52"/>
  </r>
  <r>
    <x v="540"/>
    <x v="23"/>
    <x v="0"/>
    <x v="0"/>
    <x v="0"/>
    <x v="16"/>
    <x v="2"/>
    <x v="0"/>
    <x v="2"/>
    <x v="2"/>
    <x v="0"/>
    <x v="13"/>
    <x v="1"/>
    <x v="26"/>
    <x v="19"/>
    <x v="2"/>
    <x v="17"/>
    <x v="43"/>
    <x v="27"/>
  </r>
  <r>
    <x v="541"/>
    <x v="23"/>
    <x v="0"/>
    <x v="0"/>
    <x v="0"/>
    <x v="17"/>
    <x v="3"/>
    <x v="0"/>
    <x v="2"/>
    <x v="2"/>
    <x v="0"/>
    <x v="14"/>
    <x v="1"/>
    <x v="21"/>
    <x v="20"/>
    <x v="2"/>
    <x v="15"/>
    <x v="86"/>
    <x v="157"/>
  </r>
  <r>
    <x v="542"/>
    <x v="23"/>
    <x v="0"/>
    <x v="0"/>
    <x v="0"/>
    <x v="18"/>
    <x v="3"/>
    <x v="0"/>
    <x v="2"/>
    <x v="2"/>
    <x v="0"/>
    <x v="14"/>
    <x v="1"/>
    <x v="19"/>
    <x v="29"/>
    <x v="5"/>
    <x v="1"/>
    <x v="142"/>
    <x v="158"/>
  </r>
  <r>
    <x v="543"/>
    <x v="23"/>
    <x v="0"/>
    <x v="0"/>
    <x v="0"/>
    <x v="19"/>
    <x v="3"/>
    <x v="0"/>
    <x v="2"/>
    <x v="2"/>
    <x v="0"/>
    <x v="14"/>
    <x v="1"/>
    <x v="26"/>
    <x v="47"/>
    <x v="8"/>
    <x v="2"/>
    <x v="143"/>
    <x v="13"/>
  </r>
  <r>
    <x v="544"/>
    <x v="23"/>
    <x v="0"/>
    <x v="0"/>
    <x v="0"/>
    <x v="20"/>
    <x v="0"/>
    <x v="0"/>
    <x v="2"/>
    <x v="2"/>
    <x v="0"/>
    <x v="14"/>
    <x v="1"/>
    <x v="19"/>
    <x v="29"/>
    <x v="5"/>
    <x v="5"/>
    <x v="122"/>
    <x v="117"/>
  </r>
  <r>
    <x v="545"/>
    <x v="23"/>
    <x v="0"/>
    <x v="0"/>
    <x v="0"/>
    <x v="21"/>
    <x v="0"/>
    <x v="0"/>
    <x v="2"/>
    <x v="2"/>
    <x v="0"/>
    <x v="14"/>
    <x v="1"/>
    <x v="26"/>
    <x v="30"/>
    <x v="8"/>
    <x v="15"/>
    <x v="42"/>
    <x v="29"/>
  </r>
  <r>
    <x v="546"/>
    <x v="23"/>
    <x v="0"/>
    <x v="0"/>
    <x v="0"/>
    <x v="22"/>
    <x v="0"/>
    <x v="0"/>
    <x v="2"/>
    <x v="2"/>
    <x v="1"/>
    <x v="14"/>
    <x v="1"/>
    <x v="19"/>
    <x v="30"/>
    <x v="6"/>
    <x v="0"/>
    <x v="1"/>
    <x v="17"/>
  </r>
  <r>
    <x v="547"/>
    <x v="23"/>
    <x v="0"/>
    <x v="0"/>
    <x v="0"/>
    <x v="23"/>
    <x v="0"/>
    <x v="0"/>
    <x v="2"/>
    <x v="2"/>
    <x v="1"/>
    <x v="13"/>
    <x v="1"/>
    <x v="26"/>
    <x v="26"/>
    <x v="2"/>
    <x v="0"/>
    <x v="144"/>
    <x v="108"/>
  </r>
  <r>
    <x v="548"/>
    <x v="24"/>
    <x v="0"/>
    <x v="0"/>
    <x v="0"/>
    <x v="0"/>
    <x v="0"/>
    <x v="0"/>
    <x v="3"/>
    <x v="3"/>
    <x v="1"/>
    <x v="13"/>
    <x v="1"/>
    <x v="19"/>
    <x v="27"/>
    <x v="3"/>
    <x v="0"/>
    <x v="8"/>
    <x v="23"/>
  </r>
  <r>
    <x v="549"/>
    <x v="24"/>
    <x v="0"/>
    <x v="0"/>
    <x v="0"/>
    <x v="1"/>
    <x v="0"/>
    <x v="0"/>
    <x v="3"/>
    <x v="3"/>
    <x v="1"/>
    <x v="13"/>
    <x v="1"/>
    <x v="22"/>
    <x v="27"/>
    <x v="8"/>
    <x v="3"/>
    <x v="34"/>
    <x v="36"/>
  </r>
  <r>
    <x v="550"/>
    <x v="24"/>
    <x v="0"/>
    <x v="0"/>
    <x v="0"/>
    <x v="2"/>
    <x v="0"/>
    <x v="0"/>
    <x v="3"/>
    <x v="3"/>
    <x v="0"/>
    <x v="13"/>
    <x v="1"/>
    <x v="26"/>
    <x v="27"/>
    <x v="6"/>
    <x v="3"/>
    <x v="6"/>
    <x v="5"/>
  </r>
  <r>
    <x v="551"/>
    <x v="24"/>
    <x v="0"/>
    <x v="0"/>
    <x v="0"/>
    <x v="4"/>
    <x v="0"/>
    <x v="0"/>
    <x v="3"/>
    <x v="3"/>
    <x v="0"/>
    <x v="14"/>
    <x v="1"/>
    <x v="22"/>
    <x v="32"/>
    <x v="14"/>
    <x v="3"/>
    <x v="4"/>
    <x v="4"/>
  </r>
  <r>
    <x v="552"/>
    <x v="24"/>
    <x v="0"/>
    <x v="0"/>
    <x v="0"/>
    <x v="5"/>
    <x v="1"/>
    <x v="0"/>
    <x v="3"/>
    <x v="3"/>
    <x v="0"/>
    <x v="14"/>
    <x v="1"/>
    <x v="19"/>
    <x v="32"/>
    <x v="6"/>
    <x v="3"/>
    <x v="33"/>
    <x v="23"/>
  </r>
  <r>
    <x v="553"/>
    <x v="24"/>
    <x v="0"/>
    <x v="0"/>
    <x v="0"/>
    <x v="6"/>
    <x v="1"/>
    <x v="0"/>
    <x v="3"/>
    <x v="3"/>
    <x v="0"/>
    <x v="13"/>
    <x v="1"/>
    <x v="23"/>
    <x v="32"/>
    <x v="14"/>
    <x v="5"/>
    <x v="96"/>
    <x v="9"/>
  </r>
  <r>
    <x v="554"/>
    <x v="24"/>
    <x v="0"/>
    <x v="0"/>
    <x v="0"/>
    <x v="7"/>
    <x v="1"/>
    <x v="0"/>
    <x v="3"/>
    <x v="3"/>
    <x v="0"/>
    <x v="13"/>
    <x v="1"/>
    <x v="26"/>
    <x v="32"/>
    <x v="6"/>
    <x v="2"/>
    <x v="145"/>
    <x v="159"/>
  </r>
  <r>
    <x v="555"/>
    <x v="24"/>
    <x v="0"/>
    <x v="0"/>
    <x v="0"/>
    <x v="8"/>
    <x v="1"/>
    <x v="0"/>
    <x v="3"/>
    <x v="3"/>
    <x v="1"/>
    <x v="13"/>
    <x v="1"/>
    <x v="23"/>
    <x v="32"/>
    <x v="7"/>
    <x v="2"/>
    <x v="146"/>
    <x v="160"/>
  </r>
  <r>
    <x v="556"/>
    <x v="24"/>
    <x v="0"/>
    <x v="0"/>
    <x v="0"/>
    <x v="9"/>
    <x v="1"/>
    <x v="0"/>
    <x v="3"/>
    <x v="3"/>
    <x v="1"/>
    <x v="2"/>
    <x v="1"/>
    <x v="15"/>
    <x v="26"/>
    <x v="1"/>
    <x v="22"/>
    <x v="120"/>
    <x v="124"/>
  </r>
  <r>
    <x v="557"/>
    <x v="24"/>
    <x v="0"/>
    <x v="0"/>
    <x v="0"/>
    <x v="10"/>
    <x v="1"/>
    <x v="0"/>
    <x v="3"/>
    <x v="3"/>
    <x v="1"/>
    <x v="1"/>
    <x v="0"/>
    <x v="25"/>
    <x v="54"/>
    <x v="14"/>
    <x v="15"/>
    <x v="47"/>
    <x v="97"/>
  </r>
  <r>
    <x v="558"/>
    <x v="24"/>
    <x v="0"/>
    <x v="0"/>
    <x v="0"/>
    <x v="11"/>
    <x v="1"/>
    <x v="0"/>
    <x v="3"/>
    <x v="3"/>
    <x v="1"/>
    <x v="0"/>
    <x v="0"/>
    <x v="25"/>
    <x v="54"/>
    <x v="7"/>
    <x v="15"/>
    <x v="11"/>
    <x v="42"/>
  </r>
  <r>
    <x v="559"/>
    <x v="24"/>
    <x v="0"/>
    <x v="0"/>
    <x v="0"/>
    <x v="12"/>
    <x v="2"/>
    <x v="0"/>
    <x v="3"/>
    <x v="3"/>
    <x v="1"/>
    <x v="12"/>
    <x v="0"/>
    <x v="0"/>
    <x v="34"/>
    <x v="1"/>
    <x v="27"/>
    <x v="66"/>
    <x v="13"/>
  </r>
  <r>
    <x v="560"/>
    <x v="24"/>
    <x v="0"/>
    <x v="0"/>
    <x v="0"/>
    <x v="13"/>
    <x v="2"/>
    <x v="0"/>
    <x v="3"/>
    <x v="3"/>
    <x v="1"/>
    <x v="12"/>
    <x v="0"/>
    <x v="1"/>
    <x v="34"/>
    <x v="7"/>
    <x v="27"/>
    <x v="109"/>
    <x v="15"/>
  </r>
  <r>
    <x v="561"/>
    <x v="24"/>
    <x v="0"/>
    <x v="0"/>
    <x v="0"/>
    <x v="14"/>
    <x v="2"/>
    <x v="0"/>
    <x v="3"/>
    <x v="3"/>
    <x v="1"/>
    <x v="11"/>
    <x v="0"/>
    <x v="6"/>
    <x v="49"/>
    <x v="0"/>
    <x v="16"/>
    <x v="77"/>
    <x v="118"/>
  </r>
  <r>
    <x v="562"/>
    <x v="24"/>
    <x v="0"/>
    <x v="0"/>
    <x v="0"/>
    <x v="15"/>
    <x v="2"/>
    <x v="0"/>
    <x v="3"/>
    <x v="3"/>
    <x v="1"/>
    <x v="3"/>
    <x v="2"/>
    <x v="4"/>
    <x v="16"/>
    <x v="0"/>
    <x v="27"/>
    <x v="36"/>
    <x v="11"/>
  </r>
  <r>
    <x v="563"/>
    <x v="24"/>
    <x v="0"/>
    <x v="0"/>
    <x v="0"/>
    <x v="16"/>
    <x v="2"/>
    <x v="0"/>
    <x v="3"/>
    <x v="3"/>
    <x v="1"/>
    <x v="3"/>
    <x v="2"/>
    <x v="4"/>
    <x v="16"/>
    <x v="0"/>
    <x v="24"/>
    <x v="46"/>
    <x v="155"/>
  </r>
  <r>
    <x v="564"/>
    <x v="24"/>
    <x v="0"/>
    <x v="0"/>
    <x v="0"/>
    <x v="17"/>
    <x v="3"/>
    <x v="0"/>
    <x v="3"/>
    <x v="3"/>
    <x v="0"/>
    <x v="11"/>
    <x v="0"/>
    <x v="6"/>
    <x v="49"/>
    <x v="0"/>
    <x v="24"/>
    <x v="147"/>
    <x v="161"/>
  </r>
  <r>
    <x v="565"/>
    <x v="24"/>
    <x v="0"/>
    <x v="0"/>
    <x v="0"/>
    <x v="18"/>
    <x v="3"/>
    <x v="0"/>
    <x v="3"/>
    <x v="3"/>
    <x v="1"/>
    <x v="11"/>
    <x v="0"/>
    <x v="28"/>
    <x v="36"/>
    <x v="1"/>
    <x v="18"/>
    <x v="148"/>
    <x v="162"/>
  </r>
  <r>
    <x v="566"/>
    <x v="24"/>
    <x v="0"/>
    <x v="0"/>
    <x v="0"/>
    <x v="19"/>
    <x v="3"/>
    <x v="0"/>
    <x v="3"/>
    <x v="3"/>
    <x v="1"/>
    <x v="12"/>
    <x v="0"/>
    <x v="2"/>
    <x v="55"/>
    <x v="8"/>
    <x v="23"/>
    <x v="149"/>
    <x v="163"/>
  </r>
  <r>
    <x v="567"/>
    <x v="24"/>
    <x v="0"/>
    <x v="0"/>
    <x v="0"/>
    <x v="20"/>
    <x v="0"/>
    <x v="0"/>
    <x v="3"/>
    <x v="3"/>
    <x v="0"/>
    <x v="0"/>
    <x v="0"/>
    <x v="15"/>
    <x v="55"/>
    <x v="5"/>
    <x v="19"/>
    <x v="145"/>
    <x v="164"/>
  </r>
  <r>
    <x v="568"/>
    <x v="24"/>
    <x v="0"/>
    <x v="0"/>
    <x v="0"/>
    <x v="21"/>
    <x v="0"/>
    <x v="0"/>
    <x v="3"/>
    <x v="3"/>
    <x v="0"/>
    <x v="0"/>
    <x v="0"/>
    <x v="15"/>
    <x v="55"/>
    <x v="5"/>
    <x v="2"/>
    <x v="71"/>
    <x v="79"/>
  </r>
  <r>
    <x v="569"/>
    <x v="24"/>
    <x v="0"/>
    <x v="0"/>
    <x v="0"/>
    <x v="22"/>
    <x v="0"/>
    <x v="0"/>
    <x v="3"/>
    <x v="3"/>
    <x v="0"/>
    <x v="1"/>
    <x v="0"/>
    <x v="15"/>
    <x v="26"/>
    <x v="8"/>
    <x v="17"/>
    <x v="47"/>
    <x v="26"/>
  </r>
  <r>
    <x v="570"/>
    <x v="24"/>
    <x v="0"/>
    <x v="0"/>
    <x v="0"/>
    <x v="23"/>
    <x v="0"/>
    <x v="0"/>
    <x v="3"/>
    <x v="3"/>
    <x v="1"/>
    <x v="1"/>
    <x v="0"/>
    <x v="15"/>
    <x v="26"/>
    <x v="8"/>
    <x v="0"/>
    <x v="53"/>
    <x v="1"/>
  </r>
  <r>
    <x v="571"/>
    <x v="25"/>
    <x v="0"/>
    <x v="0"/>
    <x v="0"/>
    <x v="0"/>
    <x v="0"/>
    <x v="0"/>
    <x v="4"/>
    <x v="4"/>
    <x v="1"/>
    <x v="1"/>
    <x v="0"/>
    <x v="15"/>
    <x v="27"/>
    <x v="7"/>
    <x v="0"/>
    <x v="88"/>
    <x v="22"/>
  </r>
  <r>
    <x v="572"/>
    <x v="25"/>
    <x v="0"/>
    <x v="0"/>
    <x v="0"/>
    <x v="1"/>
    <x v="0"/>
    <x v="0"/>
    <x v="4"/>
    <x v="4"/>
    <x v="1"/>
    <x v="0"/>
    <x v="0"/>
    <x v="25"/>
    <x v="55"/>
    <x v="7"/>
    <x v="3"/>
    <x v="34"/>
    <x v="36"/>
  </r>
  <r>
    <x v="573"/>
    <x v="25"/>
    <x v="0"/>
    <x v="0"/>
    <x v="0"/>
    <x v="2"/>
    <x v="0"/>
    <x v="0"/>
    <x v="4"/>
    <x v="4"/>
    <x v="2"/>
    <x v="1"/>
    <x v="0"/>
    <x v="15"/>
    <x v="27"/>
    <x v="5"/>
    <x v="0"/>
    <x v="7"/>
    <x v="98"/>
  </r>
  <r>
    <x v="574"/>
    <x v="25"/>
    <x v="0"/>
    <x v="0"/>
    <x v="0"/>
    <x v="5"/>
    <x v="1"/>
    <x v="0"/>
    <x v="4"/>
    <x v="4"/>
    <x v="2"/>
    <x v="2"/>
    <x v="1"/>
    <x v="23"/>
    <x v="3"/>
    <x v="3"/>
    <x v="3"/>
    <x v="4"/>
    <x v="4"/>
  </r>
  <r>
    <x v="575"/>
    <x v="25"/>
    <x v="0"/>
    <x v="0"/>
    <x v="0"/>
    <x v="6"/>
    <x v="1"/>
    <x v="0"/>
    <x v="4"/>
    <x v="4"/>
    <x v="2"/>
    <x v="2"/>
    <x v="1"/>
    <x v="23"/>
    <x v="3"/>
    <x v="3"/>
    <x v="3"/>
    <x v="21"/>
    <x v="7"/>
  </r>
  <r>
    <x v="576"/>
    <x v="25"/>
    <x v="0"/>
    <x v="0"/>
    <x v="0"/>
    <x v="7"/>
    <x v="1"/>
    <x v="0"/>
    <x v="4"/>
    <x v="4"/>
    <x v="2"/>
    <x v="1"/>
    <x v="0"/>
    <x v="16"/>
    <x v="9"/>
    <x v="4"/>
    <x v="5"/>
    <x v="31"/>
    <x v="33"/>
  </r>
  <r>
    <x v="577"/>
    <x v="25"/>
    <x v="0"/>
    <x v="0"/>
    <x v="0"/>
    <x v="8"/>
    <x v="1"/>
    <x v="0"/>
    <x v="4"/>
    <x v="4"/>
    <x v="2"/>
    <x v="1"/>
    <x v="0"/>
    <x v="16"/>
    <x v="9"/>
    <x v="4"/>
    <x v="0"/>
    <x v="94"/>
    <x v="44"/>
  </r>
  <r>
    <x v="578"/>
    <x v="25"/>
    <x v="0"/>
    <x v="0"/>
    <x v="0"/>
    <x v="9"/>
    <x v="1"/>
    <x v="0"/>
    <x v="4"/>
    <x v="4"/>
    <x v="2"/>
    <x v="1"/>
    <x v="0"/>
    <x v="16"/>
    <x v="9"/>
    <x v="4"/>
    <x v="0"/>
    <x v="11"/>
    <x v="154"/>
  </r>
  <r>
    <x v="579"/>
    <x v="25"/>
    <x v="0"/>
    <x v="0"/>
    <x v="0"/>
    <x v="10"/>
    <x v="1"/>
    <x v="0"/>
    <x v="4"/>
    <x v="4"/>
    <x v="2"/>
    <x v="1"/>
    <x v="0"/>
    <x v="16"/>
    <x v="43"/>
    <x v="3"/>
    <x v="4"/>
    <x v="16"/>
    <x v="20"/>
  </r>
  <r>
    <x v="580"/>
    <x v="25"/>
    <x v="0"/>
    <x v="0"/>
    <x v="0"/>
    <x v="11"/>
    <x v="1"/>
    <x v="0"/>
    <x v="4"/>
    <x v="4"/>
    <x v="2"/>
    <x v="1"/>
    <x v="0"/>
    <x v="17"/>
    <x v="43"/>
    <x v="9"/>
    <x v="15"/>
    <x v="96"/>
    <x v="102"/>
  </r>
  <r>
    <x v="581"/>
    <x v="25"/>
    <x v="0"/>
    <x v="0"/>
    <x v="0"/>
    <x v="12"/>
    <x v="2"/>
    <x v="0"/>
    <x v="4"/>
    <x v="4"/>
    <x v="2"/>
    <x v="1"/>
    <x v="0"/>
    <x v="17"/>
    <x v="43"/>
    <x v="9"/>
    <x v="18"/>
    <x v="40"/>
    <x v="61"/>
  </r>
  <r>
    <x v="582"/>
    <x v="25"/>
    <x v="0"/>
    <x v="0"/>
    <x v="0"/>
    <x v="13"/>
    <x v="2"/>
    <x v="0"/>
    <x v="4"/>
    <x v="4"/>
    <x v="2"/>
    <x v="1"/>
    <x v="0"/>
    <x v="17"/>
    <x v="43"/>
    <x v="9"/>
    <x v="17"/>
    <x v="30"/>
    <x v="105"/>
  </r>
  <r>
    <x v="583"/>
    <x v="25"/>
    <x v="0"/>
    <x v="0"/>
    <x v="0"/>
    <x v="14"/>
    <x v="2"/>
    <x v="0"/>
    <x v="4"/>
    <x v="4"/>
    <x v="2"/>
    <x v="1"/>
    <x v="0"/>
    <x v="17"/>
    <x v="43"/>
    <x v="11"/>
    <x v="3"/>
    <x v="49"/>
    <x v="9"/>
  </r>
  <r>
    <x v="584"/>
    <x v="25"/>
    <x v="0"/>
    <x v="0"/>
    <x v="0"/>
    <x v="15"/>
    <x v="2"/>
    <x v="0"/>
    <x v="4"/>
    <x v="4"/>
    <x v="2"/>
    <x v="1"/>
    <x v="0"/>
    <x v="23"/>
    <x v="43"/>
    <x v="17"/>
    <x v="5"/>
    <x v="76"/>
    <x v="74"/>
  </r>
  <r>
    <x v="585"/>
    <x v="25"/>
    <x v="0"/>
    <x v="0"/>
    <x v="0"/>
    <x v="16"/>
    <x v="2"/>
    <x v="0"/>
    <x v="4"/>
    <x v="4"/>
    <x v="3"/>
    <x v="1"/>
    <x v="0"/>
    <x v="17"/>
    <x v="43"/>
    <x v="9"/>
    <x v="5"/>
    <x v="96"/>
    <x v="9"/>
  </r>
  <r>
    <x v="586"/>
    <x v="25"/>
    <x v="0"/>
    <x v="0"/>
    <x v="0"/>
    <x v="17"/>
    <x v="3"/>
    <x v="0"/>
    <x v="4"/>
    <x v="4"/>
    <x v="2"/>
    <x v="2"/>
    <x v="1"/>
    <x v="23"/>
    <x v="43"/>
    <x v="11"/>
    <x v="3"/>
    <x v="16"/>
    <x v="132"/>
  </r>
  <r>
    <x v="587"/>
    <x v="26"/>
    <x v="0"/>
    <x v="0"/>
    <x v="0"/>
    <x v="16"/>
    <x v="2"/>
    <x v="0"/>
    <x v="5"/>
    <x v="5"/>
    <x v="0"/>
    <x v="1"/>
    <x v="0"/>
    <x v="15"/>
    <x v="28"/>
    <x v="5"/>
    <x v="5"/>
    <x v="140"/>
    <x v="108"/>
  </r>
  <r>
    <x v="588"/>
    <x v="26"/>
    <x v="0"/>
    <x v="0"/>
    <x v="0"/>
    <x v="17"/>
    <x v="3"/>
    <x v="0"/>
    <x v="5"/>
    <x v="5"/>
    <x v="0"/>
    <x v="1"/>
    <x v="0"/>
    <x v="25"/>
    <x v="28"/>
    <x v="14"/>
    <x v="4"/>
    <x v="70"/>
    <x v="11"/>
  </r>
  <r>
    <x v="589"/>
    <x v="26"/>
    <x v="0"/>
    <x v="0"/>
    <x v="0"/>
    <x v="18"/>
    <x v="3"/>
    <x v="0"/>
    <x v="5"/>
    <x v="5"/>
    <x v="0"/>
    <x v="2"/>
    <x v="1"/>
    <x v="15"/>
    <x v="27"/>
    <x v="1"/>
    <x v="0"/>
    <x v="143"/>
    <x v="133"/>
  </r>
  <r>
    <x v="590"/>
    <x v="26"/>
    <x v="0"/>
    <x v="0"/>
    <x v="0"/>
    <x v="19"/>
    <x v="3"/>
    <x v="0"/>
    <x v="5"/>
    <x v="5"/>
    <x v="0"/>
    <x v="2"/>
    <x v="1"/>
    <x v="15"/>
    <x v="27"/>
    <x v="1"/>
    <x v="0"/>
    <x v="83"/>
    <x v="67"/>
  </r>
  <r>
    <x v="591"/>
    <x v="26"/>
    <x v="0"/>
    <x v="0"/>
    <x v="0"/>
    <x v="20"/>
    <x v="0"/>
    <x v="0"/>
    <x v="5"/>
    <x v="5"/>
    <x v="0"/>
    <x v="15"/>
    <x v="1"/>
    <x v="16"/>
    <x v="32"/>
    <x v="1"/>
    <x v="17"/>
    <x v="11"/>
    <x v="29"/>
  </r>
  <r>
    <x v="592"/>
    <x v="26"/>
    <x v="0"/>
    <x v="0"/>
    <x v="0"/>
    <x v="21"/>
    <x v="0"/>
    <x v="0"/>
    <x v="5"/>
    <x v="5"/>
    <x v="0"/>
    <x v="15"/>
    <x v="1"/>
    <x v="16"/>
    <x v="32"/>
    <x v="1"/>
    <x v="4"/>
    <x v="49"/>
    <x v="103"/>
  </r>
  <r>
    <x v="593"/>
    <x v="26"/>
    <x v="0"/>
    <x v="0"/>
    <x v="0"/>
    <x v="22"/>
    <x v="0"/>
    <x v="0"/>
    <x v="5"/>
    <x v="5"/>
    <x v="0"/>
    <x v="15"/>
    <x v="1"/>
    <x v="16"/>
    <x v="32"/>
    <x v="1"/>
    <x v="3"/>
    <x v="2"/>
    <x v="110"/>
  </r>
  <r>
    <x v="594"/>
    <x v="26"/>
    <x v="0"/>
    <x v="0"/>
    <x v="0"/>
    <x v="23"/>
    <x v="0"/>
    <x v="0"/>
    <x v="5"/>
    <x v="5"/>
    <x v="0"/>
    <x v="15"/>
    <x v="1"/>
    <x v="17"/>
    <x v="1"/>
    <x v="8"/>
    <x v="3"/>
    <x v="20"/>
    <x v="0"/>
  </r>
  <r>
    <x v="595"/>
    <x v="27"/>
    <x v="0"/>
    <x v="0"/>
    <x v="0"/>
    <x v="0"/>
    <x v="0"/>
    <x v="0"/>
    <x v="6"/>
    <x v="6"/>
    <x v="1"/>
    <x v="2"/>
    <x v="1"/>
    <x v="16"/>
    <x v="2"/>
    <x v="7"/>
    <x v="3"/>
    <x v="33"/>
    <x v="23"/>
  </r>
  <r>
    <x v="596"/>
    <x v="27"/>
    <x v="0"/>
    <x v="0"/>
    <x v="0"/>
    <x v="1"/>
    <x v="0"/>
    <x v="0"/>
    <x v="6"/>
    <x v="6"/>
    <x v="1"/>
    <x v="2"/>
    <x v="1"/>
    <x v="16"/>
    <x v="2"/>
    <x v="7"/>
    <x v="5"/>
    <x v="6"/>
    <x v="6"/>
  </r>
  <r>
    <x v="597"/>
    <x v="27"/>
    <x v="0"/>
    <x v="0"/>
    <x v="0"/>
    <x v="2"/>
    <x v="0"/>
    <x v="0"/>
    <x v="6"/>
    <x v="6"/>
    <x v="1"/>
    <x v="2"/>
    <x v="1"/>
    <x v="16"/>
    <x v="2"/>
    <x v="8"/>
    <x v="3"/>
    <x v="6"/>
    <x v="5"/>
  </r>
  <r>
    <x v="598"/>
    <x v="27"/>
    <x v="0"/>
    <x v="0"/>
    <x v="0"/>
    <x v="3"/>
    <x v="0"/>
    <x v="0"/>
    <x v="6"/>
    <x v="6"/>
    <x v="1"/>
    <x v="2"/>
    <x v="1"/>
    <x v="15"/>
    <x v="2"/>
    <x v="14"/>
    <x v="5"/>
    <x v="5"/>
    <x v="4"/>
  </r>
  <r>
    <x v="599"/>
    <x v="27"/>
    <x v="0"/>
    <x v="0"/>
    <x v="0"/>
    <x v="5"/>
    <x v="1"/>
    <x v="0"/>
    <x v="6"/>
    <x v="6"/>
    <x v="1"/>
    <x v="15"/>
    <x v="1"/>
    <x v="16"/>
    <x v="1"/>
    <x v="14"/>
    <x v="3"/>
    <x v="22"/>
    <x v="48"/>
  </r>
  <r>
    <x v="600"/>
    <x v="27"/>
    <x v="0"/>
    <x v="0"/>
    <x v="0"/>
    <x v="6"/>
    <x v="1"/>
    <x v="0"/>
    <x v="6"/>
    <x v="6"/>
    <x v="1"/>
    <x v="15"/>
    <x v="1"/>
    <x v="17"/>
    <x v="1"/>
    <x v="7"/>
    <x v="3"/>
    <x v="20"/>
    <x v="0"/>
  </r>
  <r>
    <x v="601"/>
    <x v="27"/>
    <x v="0"/>
    <x v="0"/>
    <x v="0"/>
    <x v="7"/>
    <x v="1"/>
    <x v="0"/>
    <x v="6"/>
    <x v="6"/>
    <x v="1"/>
    <x v="13"/>
    <x v="1"/>
    <x v="17"/>
    <x v="3"/>
    <x v="1"/>
    <x v="4"/>
    <x v="29"/>
    <x v="122"/>
  </r>
  <r>
    <x v="602"/>
    <x v="27"/>
    <x v="0"/>
    <x v="0"/>
    <x v="0"/>
    <x v="8"/>
    <x v="1"/>
    <x v="0"/>
    <x v="6"/>
    <x v="6"/>
    <x v="1"/>
    <x v="13"/>
    <x v="1"/>
    <x v="17"/>
    <x v="3"/>
    <x v="1"/>
    <x v="4"/>
    <x v="119"/>
    <x v="45"/>
  </r>
  <r>
    <x v="603"/>
    <x v="27"/>
    <x v="0"/>
    <x v="0"/>
    <x v="0"/>
    <x v="9"/>
    <x v="1"/>
    <x v="0"/>
    <x v="6"/>
    <x v="6"/>
    <x v="2"/>
    <x v="15"/>
    <x v="1"/>
    <x v="16"/>
    <x v="3"/>
    <x v="1"/>
    <x v="15"/>
    <x v="73"/>
    <x v="129"/>
  </r>
  <r>
    <x v="604"/>
    <x v="27"/>
    <x v="0"/>
    <x v="0"/>
    <x v="0"/>
    <x v="10"/>
    <x v="1"/>
    <x v="0"/>
    <x v="6"/>
    <x v="6"/>
    <x v="2"/>
    <x v="15"/>
    <x v="1"/>
    <x v="16"/>
    <x v="3"/>
    <x v="14"/>
    <x v="3"/>
    <x v="47"/>
    <x v="99"/>
  </r>
  <r>
    <x v="605"/>
    <x v="27"/>
    <x v="0"/>
    <x v="0"/>
    <x v="0"/>
    <x v="11"/>
    <x v="1"/>
    <x v="0"/>
    <x v="6"/>
    <x v="6"/>
    <x v="2"/>
    <x v="15"/>
    <x v="1"/>
    <x v="16"/>
    <x v="43"/>
    <x v="14"/>
    <x v="3"/>
    <x v="10"/>
    <x v="33"/>
  </r>
  <r>
    <x v="606"/>
    <x v="27"/>
    <x v="0"/>
    <x v="0"/>
    <x v="0"/>
    <x v="12"/>
    <x v="2"/>
    <x v="0"/>
    <x v="6"/>
    <x v="6"/>
    <x v="2"/>
    <x v="15"/>
    <x v="1"/>
    <x v="16"/>
    <x v="43"/>
    <x v="14"/>
    <x v="5"/>
    <x v="95"/>
    <x v="115"/>
  </r>
  <r>
    <x v="607"/>
    <x v="27"/>
    <x v="0"/>
    <x v="0"/>
    <x v="0"/>
    <x v="13"/>
    <x v="2"/>
    <x v="0"/>
    <x v="6"/>
    <x v="6"/>
    <x v="2"/>
    <x v="15"/>
    <x v="1"/>
    <x v="16"/>
    <x v="43"/>
    <x v="14"/>
    <x v="3"/>
    <x v="17"/>
    <x v="35"/>
  </r>
  <r>
    <x v="608"/>
    <x v="27"/>
    <x v="0"/>
    <x v="0"/>
    <x v="0"/>
    <x v="14"/>
    <x v="2"/>
    <x v="0"/>
    <x v="6"/>
    <x v="6"/>
    <x v="2"/>
    <x v="1"/>
    <x v="0"/>
    <x v="1"/>
    <x v="1"/>
    <x v="0"/>
    <x v="4"/>
    <x v="49"/>
    <x v="103"/>
  </r>
  <r>
    <x v="609"/>
    <x v="27"/>
    <x v="0"/>
    <x v="0"/>
    <x v="0"/>
    <x v="15"/>
    <x v="2"/>
    <x v="0"/>
    <x v="6"/>
    <x v="6"/>
    <x v="1"/>
    <x v="2"/>
    <x v="1"/>
    <x v="2"/>
    <x v="3"/>
    <x v="0"/>
    <x v="5"/>
    <x v="71"/>
    <x v="102"/>
  </r>
  <r>
    <x v="610"/>
    <x v="27"/>
    <x v="0"/>
    <x v="0"/>
    <x v="0"/>
    <x v="16"/>
    <x v="2"/>
    <x v="0"/>
    <x v="6"/>
    <x v="6"/>
    <x v="0"/>
    <x v="1"/>
    <x v="0"/>
    <x v="1"/>
    <x v="1"/>
    <x v="0"/>
    <x v="22"/>
    <x v="14"/>
    <x v="138"/>
  </r>
  <r>
    <x v="611"/>
    <x v="27"/>
    <x v="0"/>
    <x v="0"/>
    <x v="0"/>
    <x v="17"/>
    <x v="3"/>
    <x v="0"/>
    <x v="6"/>
    <x v="6"/>
    <x v="0"/>
    <x v="0"/>
    <x v="0"/>
    <x v="25"/>
    <x v="2"/>
    <x v="7"/>
    <x v="4"/>
    <x v="150"/>
    <x v="165"/>
  </r>
  <r>
    <x v="612"/>
    <x v="27"/>
    <x v="0"/>
    <x v="0"/>
    <x v="0"/>
    <x v="18"/>
    <x v="3"/>
    <x v="0"/>
    <x v="6"/>
    <x v="6"/>
    <x v="0"/>
    <x v="0"/>
    <x v="0"/>
    <x v="15"/>
    <x v="2"/>
    <x v="5"/>
    <x v="4"/>
    <x v="128"/>
    <x v="142"/>
  </r>
  <r>
    <x v="613"/>
    <x v="27"/>
    <x v="0"/>
    <x v="0"/>
    <x v="0"/>
    <x v="19"/>
    <x v="3"/>
    <x v="0"/>
    <x v="6"/>
    <x v="6"/>
    <x v="1"/>
    <x v="0"/>
    <x v="0"/>
    <x v="25"/>
    <x v="2"/>
    <x v="7"/>
    <x v="2"/>
    <x v="151"/>
    <x v="70"/>
  </r>
  <r>
    <x v="614"/>
    <x v="27"/>
    <x v="0"/>
    <x v="0"/>
    <x v="0"/>
    <x v="20"/>
    <x v="0"/>
    <x v="0"/>
    <x v="6"/>
    <x v="6"/>
    <x v="1"/>
    <x v="0"/>
    <x v="0"/>
    <x v="15"/>
    <x v="56"/>
    <x v="5"/>
    <x v="5"/>
    <x v="124"/>
    <x v="69"/>
  </r>
  <r>
    <x v="615"/>
    <x v="27"/>
    <x v="0"/>
    <x v="0"/>
    <x v="0"/>
    <x v="21"/>
    <x v="0"/>
    <x v="0"/>
    <x v="6"/>
    <x v="6"/>
    <x v="1"/>
    <x v="1"/>
    <x v="0"/>
    <x v="15"/>
    <x v="2"/>
    <x v="7"/>
    <x v="5"/>
    <x v="77"/>
    <x v="154"/>
  </r>
  <r>
    <x v="616"/>
    <x v="27"/>
    <x v="0"/>
    <x v="0"/>
    <x v="0"/>
    <x v="22"/>
    <x v="0"/>
    <x v="0"/>
    <x v="6"/>
    <x v="6"/>
    <x v="0"/>
    <x v="0"/>
    <x v="0"/>
    <x v="16"/>
    <x v="55"/>
    <x v="11"/>
    <x v="3"/>
    <x v="16"/>
    <x v="132"/>
  </r>
  <r>
    <x v="617"/>
    <x v="27"/>
    <x v="0"/>
    <x v="0"/>
    <x v="0"/>
    <x v="23"/>
    <x v="0"/>
    <x v="0"/>
    <x v="6"/>
    <x v="6"/>
    <x v="0"/>
    <x v="0"/>
    <x v="0"/>
    <x v="15"/>
    <x v="54"/>
    <x v="6"/>
    <x v="5"/>
    <x v="97"/>
    <x v="84"/>
  </r>
  <r>
    <x v="618"/>
    <x v="28"/>
    <x v="0"/>
    <x v="0"/>
    <x v="0"/>
    <x v="0"/>
    <x v="0"/>
    <x v="0"/>
    <x v="0"/>
    <x v="0"/>
    <x v="0"/>
    <x v="1"/>
    <x v="0"/>
    <x v="17"/>
    <x v="26"/>
    <x v="11"/>
    <x v="4"/>
    <x v="16"/>
    <x v="20"/>
  </r>
  <r>
    <x v="619"/>
    <x v="28"/>
    <x v="0"/>
    <x v="0"/>
    <x v="0"/>
    <x v="1"/>
    <x v="0"/>
    <x v="0"/>
    <x v="0"/>
    <x v="0"/>
    <x v="0"/>
    <x v="1"/>
    <x v="0"/>
    <x v="15"/>
    <x v="26"/>
    <x v="5"/>
    <x v="3"/>
    <x v="32"/>
    <x v="25"/>
  </r>
  <r>
    <x v="620"/>
    <x v="28"/>
    <x v="0"/>
    <x v="0"/>
    <x v="0"/>
    <x v="2"/>
    <x v="0"/>
    <x v="0"/>
    <x v="0"/>
    <x v="0"/>
    <x v="0"/>
    <x v="1"/>
    <x v="0"/>
    <x v="15"/>
    <x v="26"/>
    <x v="8"/>
    <x v="3"/>
    <x v="89"/>
    <x v="93"/>
  </r>
  <r>
    <x v="621"/>
    <x v="28"/>
    <x v="0"/>
    <x v="0"/>
    <x v="0"/>
    <x v="3"/>
    <x v="0"/>
    <x v="0"/>
    <x v="0"/>
    <x v="0"/>
    <x v="0"/>
    <x v="2"/>
    <x v="1"/>
    <x v="16"/>
    <x v="26"/>
    <x v="7"/>
    <x v="0"/>
    <x v="34"/>
    <x v="7"/>
  </r>
  <r>
    <x v="622"/>
    <x v="28"/>
    <x v="0"/>
    <x v="0"/>
    <x v="0"/>
    <x v="4"/>
    <x v="0"/>
    <x v="0"/>
    <x v="0"/>
    <x v="0"/>
    <x v="0"/>
    <x v="13"/>
    <x v="1"/>
    <x v="23"/>
    <x v="27"/>
    <x v="14"/>
    <x v="5"/>
    <x v="6"/>
    <x v="6"/>
  </r>
  <r>
    <x v="623"/>
    <x v="28"/>
    <x v="0"/>
    <x v="0"/>
    <x v="0"/>
    <x v="6"/>
    <x v="1"/>
    <x v="0"/>
    <x v="0"/>
    <x v="0"/>
    <x v="0"/>
    <x v="13"/>
    <x v="1"/>
    <x v="23"/>
    <x v="26"/>
    <x v="7"/>
    <x v="3"/>
    <x v="6"/>
    <x v="5"/>
  </r>
  <r>
    <x v="624"/>
    <x v="28"/>
    <x v="0"/>
    <x v="0"/>
    <x v="0"/>
    <x v="7"/>
    <x v="1"/>
    <x v="0"/>
    <x v="0"/>
    <x v="0"/>
    <x v="0"/>
    <x v="13"/>
    <x v="1"/>
    <x v="23"/>
    <x v="29"/>
    <x v="14"/>
    <x v="5"/>
    <x v="22"/>
    <x v="36"/>
  </r>
  <r>
    <x v="625"/>
    <x v="28"/>
    <x v="0"/>
    <x v="0"/>
    <x v="0"/>
    <x v="8"/>
    <x v="1"/>
    <x v="0"/>
    <x v="0"/>
    <x v="0"/>
    <x v="0"/>
    <x v="15"/>
    <x v="1"/>
    <x v="17"/>
    <x v="28"/>
    <x v="8"/>
    <x v="0"/>
    <x v="17"/>
    <x v="19"/>
  </r>
  <r>
    <x v="626"/>
    <x v="28"/>
    <x v="0"/>
    <x v="0"/>
    <x v="0"/>
    <x v="9"/>
    <x v="1"/>
    <x v="0"/>
    <x v="0"/>
    <x v="0"/>
    <x v="0"/>
    <x v="15"/>
    <x v="1"/>
    <x v="16"/>
    <x v="29"/>
    <x v="1"/>
    <x v="3"/>
    <x v="60"/>
    <x v="19"/>
  </r>
  <r>
    <x v="627"/>
    <x v="28"/>
    <x v="0"/>
    <x v="0"/>
    <x v="0"/>
    <x v="10"/>
    <x v="1"/>
    <x v="0"/>
    <x v="0"/>
    <x v="0"/>
    <x v="1"/>
    <x v="15"/>
    <x v="1"/>
    <x v="16"/>
    <x v="26"/>
    <x v="14"/>
    <x v="17"/>
    <x v="82"/>
    <x v="97"/>
  </r>
  <r>
    <x v="628"/>
    <x v="28"/>
    <x v="0"/>
    <x v="0"/>
    <x v="0"/>
    <x v="11"/>
    <x v="1"/>
    <x v="0"/>
    <x v="0"/>
    <x v="0"/>
    <x v="1"/>
    <x v="15"/>
    <x v="1"/>
    <x v="17"/>
    <x v="26"/>
    <x v="7"/>
    <x v="17"/>
    <x v="91"/>
    <x v="37"/>
  </r>
  <r>
    <x v="629"/>
    <x v="28"/>
    <x v="0"/>
    <x v="0"/>
    <x v="0"/>
    <x v="12"/>
    <x v="2"/>
    <x v="0"/>
    <x v="0"/>
    <x v="0"/>
    <x v="1"/>
    <x v="2"/>
    <x v="1"/>
    <x v="17"/>
    <x v="29"/>
    <x v="5"/>
    <x v="6"/>
    <x v="43"/>
    <x v="53"/>
  </r>
  <r>
    <x v="630"/>
    <x v="28"/>
    <x v="0"/>
    <x v="0"/>
    <x v="0"/>
    <x v="13"/>
    <x v="2"/>
    <x v="0"/>
    <x v="0"/>
    <x v="0"/>
    <x v="1"/>
    <x v="1"/>
    <x v="0"/>
    <x v="15"/>
    <x v="28"/>
    <x v="8"/>
    <x v="14"/>
    <x v="90"/>
    <x v="32"/>
  </r>
  <r>
    <x v="631"/>
    <x v="28"/>
    <x v="0"/>
    <x v="0"/>
    <x v="0"/>
    <x v="14"/>
    <x v="2"/>
    <x v="0"/>
    <x v="0"/>
    <x v="0"/>
    <x v="1"/>
    <x v="1"/>
    <x v="0"/>
    <x v="15"/>
    <x v="54"/>
    <x v="7"/>
    <x v="22"/>
    <x v="121"/>
    <x v="111"/>
  </r>
  <r>
    <x v="632"/>
    <x v="28"/>
    <x v="0"/>
    <x v="0"/>
    <x v="0"/>
    <x v="15"/>
    <x v="2"/>
    <x v="0"/>
    <x v="0"/>
    <x v="0"/>
    <x v="0"/>
    <x v="1"/>
    <x v="0"/>
    <x v="16"/>
    <x v="27"/>
    <x v="2"/>
    <x v="30"/>
    <x v="52"/>
    <x v="151"/>
  </r>
  <r>
    <x v="633"/>
    <x v="28"/>
    <x v="0"/>
    <x v="0"/>
    <x v="0"/>
    <x v="16"/>
    <x v="2"/>
    <x v="0"/>
    <x v="0"/>
    <x v="0"/>
    <x v="0"/>
    <x v="0"/>
    <x v="0"/>
    <x v="25"/>
    <x v="54"/>
    <x v="8"/>
    <x v="21"/>
    <x v="152"/>
    <x v="166"/>
  </r>
  <r>
    <x v="634"/>
    <x v="28"/>
    <x v="0"/>
    <x v="0"/>
    <x v="0"/>
    <x v="17"/>
    <x v="3"/>
    <x v="0"/>
    <x v="0"/>
    <x v="0"/>
    <x v="0"/>
    <x v="0"/>
    <x v="0"/>
    <x v="0"/>
    <x v="54"/>
    <x v="0"/>
    <x v="14"/>
    <x v="70"/>
    <x v="134"/>
  </r>
  <r>
    <x v="635"/>
    <x v="28"/>
    <x v="0"/>
    <x v="0"/>
    <x v="0"/>
    <x v="18"/>
    <x v="3"/>
    <x v="0"/>
    <x v="0"/>
    <x v="0"/>
    <x v="0"/>
    <x v="1"/>
    <x v="0"/>
    <x v="15"/>
    <x v="27"/>
    <x v="7"/>
    <x v="14"/>
    <x v="79"/>
    <x v="118"/>
  </r>
  <r>
    <x v="636"/>
    <x v="28"/>
    <x v="0"/>
    <x v="0"/>
    <x v="0"/>
    <x v="19"/>
    <x v="3"/>
    <x v="0"/>
    <x v="0"/>
    <x v="0"/>
    <x v="1"/>
    <x v="1"/>
    <x v="0"/>
    <x v="16"/>
    <x v="27"/>
    <x v="2"/>
    <x v="15"/>
    <x v="15"/>
    <x v="154"/>
  </r>
  <r>
    <x v="637"/>
    <x v="28"/>
    <x v="0"/>
    <x v="0"/>
    <x v="0"/>
    <x v="20"/>
    <x v="0"/>
    <x v="0"/>
    <x v="0"/>
    <x v="0"/>
    <x v="0"/>
    <x v="15"/>
    <x v="1"/>
    <x v="16"/>
    <x v="32"/>
    <x v="1"/>
    <x v="5"/>
    <x v="76"/>
    <x v="74"/>
  </r>
  <r>
    <x v="638"/>
    <x v="28"/>
    <x v="0"/>
    <x v="0"/>
    <x v="0"/>
    <x v="21"/>
    <x v="0"/>
    <x v="0"/>
    <x v="0"/>
    <x v="0"/>
    <x v="0"/>
    <x v="15"/>
    <x v="1"/>
    <x v="16"/>
    <x v="32"/>
    <x v="1"/>
    <x v="5"/>
    <x v="96"/>
    <x v="9"/>
  </r>
  <r>
    <x v="639"/>
    <x v="28"/>
    <x v="0"/>
    <x v="0"/>
    <x v="0"/>
    <x v="22"/>
    <x v="0"/>
    <x v="0"/>
    <x v="0"/>
    <x v="0"/>
    <x v="0"/>
    <x v="13"/>
    <x v="1"/>
    <x v="17"/>
    <x v="1"/>
    <x v="1"/>
    <x v="17"/>
    <x v="95"/>
    <x v="2"/>
  </r>
  <r>
    <x v="640"/>
    <x v="28"/>
    <x v="0"/>
    <x v="0"/>
    <x v="0"/>
    <x v="23"/>
    <x v="0"/>
    <x v="0"/>
    <x v="0"/>
    <x v="0"/>
    <x v="0"/>
    <x v="13"/>
    <x v="1"/>
    <x v="17"/>
    <x v="1"/>
    <x v="1"/>
    <x v="0"/>
    <x v="10"/>
    <x v="63"/>
  </r>
  <r>
    <x v="641"/>
    <x v="29"/>
    <x v="0"/>
    <x v="0"/>
    <x v="0"/>
    <x v="0"/>
    <x v="0"/>
    <x v="0"/>
    <x v="1"/>
    <x v="1"/>
    <x v="0"/>
    <x v="13"/>
    <x v="1"/>
    <x v="23"/>
    <x v="1"/>
    <x v="14"/>
    <x v="3"/>
    <x v="39"/>
    <x v="63"/>
  </r>
  <r>
    <x v="642"/>
    <x v="29"/>
    <x v="0"/>
    <x v="0"/>
    <x v="0"/>
    <x v="1"/>
    <x v="0"/>
    <x v="0"/>
    <x v="1"/>
    <x v="1"/>
    <x v="0"/>
    <x v="14"/>
    <x v="1"/>
    <x v="16"/>
    <x v="1"/>
    <x v="0"/>
    <x v="18"/>
    <x v="97"/>
    <x v="115"/>
  </r>
  <r>
    <x v="643"/>
    <x v="29"/>
    <x v="0"/>
    <x v="0"/>
    <x v="0"/>
    <x v="2"/>
    <x v="0"/>
    <x v="0"/>
    <x v="1"/>
    <x v="1"/>
    <x v="0"/>
    <x v="13"/>
    <x v="1"/>
    <x v="15"/>
    <x v="1"/>
    <x v="0"/>
    <x v="5"/>
    <x v="3"/>
    <x v="62"/>
  </r>
  <r>
    <x v="644"/>
    <x v="29"/>
    <x v="0"/>
    <x v="0"/>
    <x v="0"/>
    <x v="3"/>
    <x v="0"/>
    <x v="0"/>
    <x v="1"/>
    <x v="1"/>
    <x v="0"/>
    <x v="14"/>
    <x v="1"/>
    <x v="16"/>
    <x v="43"/>
    <x v="0"/>
    <x v="5"/>
    <x v="7"/>
    <x v="7"/>
  </r>
  <r>
    <x v="645"/>
    <x v="29"/>
    <x v="0"/>
    <x v="0"/>
    <x v="0"/>
    <x v="4"/>
    <x v="0"/>
    <x v="0"/>
    <x v="1"/>
    <x v="1"/>
    <x v="0"/>
    <x v="14"/>
    <x v="1"/>
    <x v="16"/>
    <x v="43"/>
    <x v="0"/>
    <x v="3"/>
    <x v="4"/>
    <x v="4"/>
  </r>
  <r>
    <x v="646"/>
    <x v="29"/>
    <x v="0"/>
    <x v="0"/>
    <x v="0"/>
    <x v="5"/>
    <x v="1"/>
    <x v="0"/>
    <x v="1"/>
    <x v="1"/>
    <x v="0"/>
    <x v="14"/>
    <x v="1"/>
    <x v="16"/>
    <x v="3"/>
    <x v="0"/>
    <x v="3"/>
    <x v="35"/>
    <x v="6"/>
  </r>
  <r>
    <x v="647"/>
    <x v="29"/>
    <x v="0"/>
    <x v="0"/>
    <x v="0"/>
    <x v="7"/>
    <x v="1"/>
    <x v="0"/>
    <x v="1"/>
    <x v="1"/>
    <x v="0"/>
    <x v="14"/>
    <x v="1"/>
    <x v="16"/>
    <x v="3"/>
    <x v="0"/>
    <x v="3"/>
    <x v="35"/>
    <x v="6"/>
  </r>
  <r>
    <x v="648"/>
    <x v="29"/>
    <x v="0"/>
    <x v="0"/>
    <x v="0"/>
    <x v="8"/>
    <x v="1"/>
    <x v="0"/>
    <x v="1"/>
    <x v="1"/>
    <x v="1"/>
    <x v="14"/>
    <x v="1"/>
    <x v="16"/>
    <x v="3"/>
    <x v="0"/>
    <x v="5"/>
    <x v="48"/>
    <x v="47"/>
  </r>
  <r>
    <x v="649"/>
    <x v="29"/>
    <x v="0"/>
    <x v="0"/>
    <x v="0"/>
    <x v="9"/>
    <x v="1"/>
    <x v="0"/>
    <x v="1"/>
    <x v="1"/>
    <x v="1"/>
    <x v="13"/>
    <x v="1"/>
    <x v="15"/>
    <x v="1"/>
    <x v="0"/>
    <x v="17"/>
    <x v="60"/>
    <x v="103"/>
  </r>
  <r>
    <x v="650"/>
    <x v="29"/>
    <x v="0"/>
    <x v="0"/>
    <x v="0"/>
    <x v="10"/>
    <x v="1"/>
    <x v="0"/>
    <x v="1"/>
    <x v="1"/>
    <x v="1"/>
    <x v="15"/>
    <x v="1"/>
    <x v="25"/>
    <x v="1"/>
    <x v="0"/>
    <x v="18"/>
    <x v="77"/>
    <x v="37"/>
  </r>
  <r>
    <x v="651"/>
    <x v="29"/>
    <x v="0"/>
    <x v="0"/>
    <x v="0"/>
    <x v="11"/>
    <x v="1"/>
    <x v="0"/>
    <x v="1"/>
    <x v="1"/>
    <x v="0"/>
    <x v="1"/>
    <x v="0"/>
    <x v="1"/>
    <x v="2"/>
    <x v="0"/>
    <x v="14"/>
    <x v="54"/>
    <x v="29"/>
  </r>
  <r>
    <x v="652"/>
    <x v="29"/>
    <x v="0"/>
    <x v="0"/>
    <x v="0"/>
    <x v="12"/>
    <x v="2"/>
    <x v="0"/>
    <x v="1"/>
    <x v="1"/>
    <x v="0"/>
    <x v="11"/>
    <x v="0"/>
    <x v="28"/>
    <x v="35"/>
    <x v="14"/>
    <x v="22"/>
    <x v="61"/>
    <x v="54"/>
  </r>
  <r>
    <x v="653"/>
    <x v="29"/>
    <x v="0"/>
    <x v="0"/>
    <x v="0"/>
    <x v="13"/>
    <x v="2"/>
    <x v="0"/>
    <x v="1"/>
    <x v="1"/>
    <x v="0"/>
    <x v="17"/>
    <x v="0"/>
    <x v="0"/>
    <x v="53"/>
    <x v="14"/>
    <x v="23"/>
    <x v="13"/>
    <x v="11"/>
  </r>
  <r>
    <x v="654"/>
    <x v="29"/>
    <x v="0"/>
    <x v="0"/>
    <x v="0"/>
    <x v="14"/>
    <x v="2"/>
    <x v="0"/>
    <x v="1"/>
    <x v="1"/>
    <x v="0"/>
    <x v="17"/>
    <x v="0"/>
    <x v="32"/>
    <x v="53"/>
    <x v="1"/>
    <x v="25"/>
    <x v="153"/>
    <x v="78"/>
  </r>
  <r>
    <x v="655"/>
    <x v="29"/>
    <x v="0"/>
    <x v="0"/>
    <x v="0"/>
    <x v="15"/>
    <x v="2"/>
    <x v="0"/>
    <x v="1"/>
    <x v="1"/>
    <x v="0"/>
    <x v="11"/>
    <x v="0"/>
    <x v="6"/>
    <x v="34"/>
    <x v="0"/>
    <x v="24"/>
    <x v="73"/>
    <x v="142"/>
  </r>
  <r>
    <x v="656"/>
    <x v="29"/>
    <x v="0"/>
    <x v="0"/>
    <x v="0"/>
    <x v="16"/>
    <x v="2"/>
    <x v="0"/>
    <x v="1"/>
    <x v="1"/>
    <x v="0"/>
    <x v="11"/>
    <x v="0"/>
    <x v="6"/>
    <x v="34"/>
    <x v="0"/>
    <x v="21"/>
    <x v="153"/>
    <x v="92"/>
  </r>
  <r>
    <x v="657"/>
    <x v="29"/>
    <x v="0"/>
    <x v="0"/>
    <x v="0"/>
    <x v="17"/>
    <x v="3"/>
    <x v="0"/>
    <x v="1"/>
    <x v="1"/>
    <x v="0"/>
    <x v="11"/>
    <x v="0"/>
    <x v="0"/>
    <x v="34"/>
    <x v="5"/>
    <x v="15"/>
    <x v="13"/>
    <x v="43"/>
  </r>
  <r>
    <x v="658"/>
    <x v="29"/>
    <x v="0"/>
    <x v="0"/>
    <x v="0"/>
    <x v="18"/>
    <x v="3"/>
    <x v="0"/>
    <x v="1"/>
    <x v="1"/>
    <x v="0"/>
    <x v="12"/>
    <x v="0"/>
    <x v="2"/>
    <x v="55"/>
    <x v="8"/>
    <x v="1"/>
    <x v="77"/>
    <x v="32"/>
  </r>
  <r>
    <x v="659"/>
    <x v="29"/>
    <x v="0"/>
    <x v="0"/>
    <x v="0"/>
    <x v="19"/>
    <x v="3"/>
    <x v="0"/>
    <x v="1"/>
    <x v="1"/>
    <x v="0"/>
    <x v="12"/>
    <x v="0"/>
    <x v="2"/>
    <x v="55"/>
    <x v="5"/>
    <x v="14"/>
    <x v="24"/>
    <x v="97"/>
  </r>
  <r>
    <x v="660"/>
    <x v="29"/>
    <x v="0"/>
    <x v="0"/>
    <x v="0"/>
    <x v="20"/>
    <x v="0"/>
    <x v="0"/>
    <x v="1"/>
    <x v="1"/>
    <x v="1"/>
    <x v="12"/>
    <x v="0"/>
    <x v="1"/>
    <x v="55"/>
    <x v="14"/>
    <x v="0"/>
    <x v="10"/>
    <x v="63"/>
  </r>
  <r>
    <x v="661"/>
    <x v="29"/>
    <x v="0"/>
    <x v="0"/>
    <x v="0"/>
    <x v="21"/>
    <x v="0"/>
    <x v="0"/>
    <x v="1"/>
    <x v="1"/>
    <x v="1"/>
    <x v="0"/>
    <x v="0"/>
    <x v="25"/>
    <x v="56"/>
    <x v="8"/>
    <x v="0"/>
    <x v="18"/>
    <x v="20"/>
  </r>
  <r>
    <x v="662"/>
    <x v="29"/>
    <x v="0"/>
    <x v="0"/>
    <x v="0"/>
    <x v="22"/>
    <x v="0"/>
    <x v="0"/>
    <x v="1"/>
    <x v="1"/>
    <x v="1"/>
    <x v="0"/>
    <x v="0"/>
    <x v="15"/>
    <x v="56"/>
    <x v="5"/>
    <x v="4"/>
    <x v="23"/>
    <x v="137"/>
  </r>
  <r>
    <x v="663"/>
    <x v="29"/>
    <x v="0"/>
    <x v="0"/>
    <x v="0"/>
    <x v="23"/>
    <x v="0"/>
    <x v="0"/>
    <x v="1"/>
    <x v="1"/>
    <x v="1"/>
    <x v="0"/>
    <x v="0"/>
    <x v="16"/>
    <x v="55"/>
    <x v="3"/>
    <x v="2"/>
    <x v="20"/>
    <x v="137"/>
  </r>
  <r>
    <x v="664"/>
    <x v="30"/>
    <x v="0"/>
    <x v="0"/>
    <x v="0"/>
    <x v="0"/>
    <x v="0"/>
    <x v="0"/>
    <x v="2"/>
    <x v="2"/>
    <x v="1"/>
    <x v="0"/>
    <x v="0"/>
    <x v="15"/>
    <x v="55"/>
    <x v="6"/>
    <x v="5"/>
    <x v="8"/>
    <x v="85"/>
  </r>
  <r>
    <x v="665"/>
    <x v="30"/>
    <x v="0"/>
    <x v="0"/>
    <x v="0"/>
    <x v="1"/>
    <x v="0"/>
    <x v="0"/>
    <x v="2"/>
    <x v="2"/>
    <x v="0"/>
    <x v="1"/>
    <x v="0"/>
    <x v="16"/>
    <x v="26"/>
    <x v="2"/>
    <x v="4"/>
    <x v="34"/>
    <x v="85"/>
  </r>
  <r>
    <x v="666"/>
    <x v="30"/>
    <x v="0"/>
    <x v="0"/>
    <x v="0"/>
    <x v="2"/>
    <x v="0"/>
    <x v="0"/>
    <x v="2"/>
    <x v="2"/>
    <x v="0"/>
    <x v="1"/>
    <x v="0"/>
    <x v="15"/>
    <x v="26"/>
    <x v="5"/>
    <x v="3"/>
    <x v="4"/>
    <x v="4"/>
  </r>
  <r>
    <x v="667"/>
    <x v="30"/>
    <x v="0"/>
    <x v="0"/>
    <x v="0"/>
    <x v="3"/>
    <x v="0"/>
    <x v="0"/>
    <x v="2"/>
    <x v="2"/>
    <x v="0"/>
    <x v="1"/>
    <x v="0"/>
    <x v="15"/>
    <x v="26"/>
    <x v="5"/>
    <x v="3"/>
    <x v="6"/>
    <x v="5"/>
  </r>
  <r>
    <x v="668"/>
    <x v="30"/>
    <x v="0"/>
    <x v="0"/>
    <x v="0"/>
    <x v="4"/>
    <x v="0"/>
    <x v="0"/>
    <x v="2"/>
    <x v="2"/>
    <x v="0"/>
    <x v="2"/>
    <x v="1"/>
    <x v="17"/>
    <x v="29"/>
    <x v="6"/>
    <x v="3"/>
    <x v="6"/>
    <x v="5"/>
  </r>
  <r>
    <x v="669"/>
    <x v="30"/>
    <x v="0"/>
    <x v="0"/>
    <x v="0"/>
    <x v="5"/>
    <x v="1"/>
    <x v="0"/>
    <x v="2"/>
    <x v="2"/>
    <x v="0"/>
    <x v="15"/>
    <x v="1"/>
    <x v="22"/>
    <x v="26"/>
    <x v="3"/>
    <x v="3"/>
    <x v="21"/>
    <x v="7"/>
  </r>
  <r>
    <x v="670"/>
    <x v="30"/>
    <x v="0"/>
    <x v="0"/>
    <x v="0"/>
    <x v="6"/>
    <x v="1"/>
    <x v="0"/>
    <x v="2"/>
    <x v="2"/>
    <x v="0"/>
    <x v="13"/>
    <x v="1"/>
    <x v="19"/>
    <x v="27"/>
    <x v="9"/>
    <x v="3"/>
    <x v="53"/>
    <x v="18"/>
  </r>
  <r>
    <x v="671"/>
    <x v="30"/>
    <x v="0"/>
    <x v="0"/>
    <x v="0"/>
    <x v="7"/>
    <x v="1"/>
    <x v="0"/>
    <x v="2"/>
    <x v="2"/>
    <x v="1"/>
    <x v="13"/>
    <x v="1"/>
    <x v="19"/>
    <x v="26"/>
    <x v="3"/>
    <x v="5"/>
    <x v="13"/>
    <x v="44"/>
  </r>
  <r>
    <x v="672"/>
    <x v="30"/>
    <x v="0"/>
    <x v="0"/>
    <x v="0"/>
    <x v="8"/>
    <x v="1"/>
    <x v="0"/>
    <x v="2"/>
    <x v="2"/>
    <x v="1"/>
    <x v="13"/>
    <x v="1"/>
    <x v="19"/>
    <x v="29"/>
    <x v="3"/>
    <x v="0"/>
    <x v="154"/>
    <x v="147"/>
  </r>
  <r>
    <x v="673"/>
    <x v="30"/>
    <x v="0"/>
    <x v="0"/>
    <x v="0"/>
    <x v="9"/>
    <x v="1"/>
    <x v="0"/>
    <x v="2"/>
    <x v="2"/>
    <x v="1"/>
    <x v="13"/>
    <x v="1"/>
    <x v="19"/>
    <x v="29"/>
    <x v="4"/>
    <x v="3"/>
    <x v="155"/>
    <x v="59"/>
  </r>
  <r>
    <x v="674"/>
    <x v="30"/>
    <x v="0"/>
    <x v="0"/>
    <x v="0"/>
    <x v="10"/>
    <x v="1"/>
    <x v="0"/>
    <x v="2"/>
    <x v="2"/>
    <x v="1"/>
    <x v="13"/>
    <x v="1"/>
    <x v="26"/>
    <x v="29"/>
    <x v="5"/>
    <x v="5"/>
    <x v="56"/>
    <x v="83"/>
  </r>
  <r>
    <x v="675"/>
    <x v="30"/>
    <x v="0"/>
    <x v="0"/>
    <x v="0"/>
    <x v="11"/>
    <x v="1"/>
    <x v="0"/>
    <x v="2"/>
    <x v="2"/>
    <x v="1"/>
    <x v="13"/>
    <x v="1"/>
    <x v="26"/>
    <x v="29"/>
    <x v="5"/>
    <x v="4"/>
    <x v="24"/>
    <x v="61"/>
  </r>
  <r>
    <x v="676"/>
    <x v="30"/>
    <x v="0"/>
    <x v="0"/>
    <x v="0"/>
    <x v="12"/>
    <x v="2"/>
    <x v="0"/>
    <x v="2"/>
    <x v="2"/>
    <x v="1"/>
    <x v="15"/>
    <x v="1"/>
    <x v="16"/>
    <x v="28"/>
    <x v="14"/>
    <x v="15"/>
    <x v="133"/>
    <x v="118"/>
  </r>
  <r>
    <x v="677"/>
    <x v="30"/>
    <x v="0"/>
    <x v="0"/>
    <x v="0"/>
    <x v="13"/>
    <x v="2"/>
    <x v="0"/>
    <x v="2"/>
    <x v="2"/>
    <x v="1"/>
    <x v="13"/>
    <x v="1"/>
    <x v="15"/>
    <x v="29"/>
    <x v="0"/>
    <x v="4"/>
    <x v="15"/>
    <x v="60"/>
  </r>
  <r>
    <x v="678"/>
    <x v="30"/>
    <x v="0"/>
    <x v="0"/>
    <x v="0"/>
    <x v="14"/>
    <x v="2"/>
    <x v="0"/>
    <x v="2"/>
    <x v="2"/>
    <x v="1"/>
    <x v="15"/>
    <x v="1"/>
    <x v="17"/>
    <x v="28"/>
    <x v="7"/>
    <x v="5"/>
    <x v="66"/>
    <x v="80"/>
  </r>
  <r>
    <x v="679"/>
    <x v="30"/>
    <x v="0"/>
    <x v="0"/>
    <x v="0"/>
    <x v="15"/>
    <x v="2"/>
    <x v="0"/>
    <x v="2"/>
    <x v="2"/>
    <x v="1"/>
    <x v="13"/>
    <x v="1"/>
    <x v="23"/>
    <x v="29"/>
    <x v="7"/>
    <x v="0"/>
    <x v="40"/>
    <x v="40"/>
  </r>
  <r>
    <x v="680"/>
    <x v="30"/>
    <x v="0"/>
    <x v="0"/>
    <x v="0"/>
    <x v="16"/>
    <x v="2"/>
    <x v="0"/>
    <x v="2"/>
    <x v="2"/>
    <x v="1"/>
    <x v="13"/>
    <x v="1"/>
    <x v="23"/>
    <x v="34"/>
    <x v="5"/>
    <x v="0"/>
    <x v="93"/>
    <x v="80"/>
  </r>
  <r>
    <x v="681"/>
    <x v="30"/>
    <x v="0"/>
    <x v="0"/>
    <x v="0"/>
    <x v="17"/>
    <x v="3"/>
    <x v="0"/>
    <x v="2"/>
    <x v="2"/>
    <x v="1"/>
    <x v="13"/>
    <x v="1"/>
    <x v="26"/>
    <x v="29"/>
    <x v="5"/>
    <x v="15"/>
    <x v="119"/>
    <x v="143"/>
  </r>
  <r>
    <x v="682"/>
    <x v="30"/>
    <x v="0"/>
    <x v="0"/>
    <x v="0"/>
    <x v="18"/>
    <x v="3"/>
    <x v="0"/>
    <x v="2"/>
    <x v="2"/>
    <x v="1"/>
    <x v="13"/>
    <x v="1"/>
    <x v="26"/>
    <x v="28"/>
    <x v="6"/>
    <x v="0"/>
    <x v="37"/>
    <x v="167"/>
  </r>
  <r>
    <x v="683"/>
    <x v="30"/>
    <x v="0"/>
    <x v="0"/>
    <x v="0"/>
    <x v="19"/>
    <x v="3"/>
    <x v="0"/>
    <x v="2"/>
    <x v="2"/>
    <x v="0"/>
    <x v="11"/>
    <x v="0"/>
    <x v="28"/>
    <x v="53"/>
    <x v="14"/>
    <x v="0"/>
    <x v="123"/>
    <x v="168"/>
  </r>
  <r>
    <x v="684"/>
    <x v="30"/>
    <x v="0"/>
    <x v="0"/>
    <x v="0"/>
    <x v="20"/>
    <x v="0"/>
    <x v="0"/>
    <x v="2"/>
    <x v="2"/>
    <x v="2"/>
    <x v="13"/>
    <x v="1"/>
    <x v="22"/>
    <x v="29"/>
    <x v="8"/>
    <x v="3"/>
    <x v="78"/>
    <x v="53"/>
  </r>
  <r>
    <x v="685"/>
    <x v="30"/>
    <x v="0"/>
    <x v="0"/>
    <x v="0"/>
    <x v="21"/>
    <x v="0"/>
    <x v="0"/>
    <x v="2"/>
    <x v="2"/>
    <x v="2"/>
    <x v="13"/>
    <x v="1"/>
    <x v="17"/>
    <x v="29"/>
    <x v="1"/>
    <x v="0"/>
    <x v="42"/>
    <x v="10"/>
  </r>
  <r>
    <x v="686"/>
    <x v="30"/>
    <x v="0"/>
    <x v="0"/>
    <x v="0"/>
    <x v="22"/>
    <x v="0"/>
    <x v="0"/>
    <x v="2"/>
    <x v="2"/>
    <x v="1"/>
    <x v="13"/>
    <x v="1"/>
    <x v="23"/>
    <x v="29"/>
    <x v="14"/>
    <x v="3"/>
    <x v="60"/>
    <x v="19"/>
  </r>
  <r>
    <x v="687"/>
    <x v="30"/>
    <x v="0"/>
    <x v="0"/>
    <x v="0"/>
    <x v="23"/>
    <x v="0"/>
    <x v="0"/>
    <x v="2"/>
    <x v="2"/>
    <x v="1"/>
    <x v="13"/>
    <x v="1"/>
    <x v="17"/>
    <x v="26"/>
    <x v="1"/>
    <x v="4"/>
    <x v="89"/>
    <x v="22"/>
  </r>
  <r>
    <x v="688"/>
    <x v="31"/>
    <x v="0"/>
    <x v="0"/>
    <x v="1"/>
    <x v="0"/>
    <x v="0"/>
    <x v="0"/>
    <x v="3"/>
    <x v="3"/>
    <x v="1"/>
    <x v="13"/>
    <x v="1"/>
    <x v="23"/>
    <x v="26"/>
    <x v="14"/>
    <x v="4"/>
    <x v="8"/>
    <x v="7"/>
  </r>
  <r>
    <x v="689"/>
    <x v="31"/>
    <x v="0"/>
    <x v="0"/>
    <x v="1"/>
    <x v="1"/>
    <x v="0"/>
    <x v="0"/>
    <x v="3"/>
    <x v="3"/>
    <x v="1"/>
    <x v="13"/>
    <x v="1"/>
    <x v="23"/>
    <x v="27"/>
    <x v="14"/>
    <x v="3"/>
    <x v="35"/>
    <x v="6"/>
  </r>
  <r>
    <x v="690"/>
    <x v="31"/>
    <x v="0"/>
    <x v="0"/>
    <x v="1"/>
    <x v="2"/>
    <x v="0"/>
    <x v="0"/>
    <x v="3"/>
    <x v="3"/>
    <x v="1"/>
    <x v="13"/>
    <x v="1"/>
    <x v="15"/>
    <x v="27"/>
    <x v="0"/>
    <x v="3"/>
    <x v="6"/>
    <x v="5"/>
  </r>
  <r>
    <x v="691"/>
    <x v="31"/>
    <x v="0"/>
    <x v="0"/>
    <x v="1"/>
    <x v="3"/>
    <x v="0"/>
    <x v="0"/>
    <x v="3"/>
    <x v="3"/>
    <x v="1"/>
    <x v="13"/>
    <x v="1"/>
    <x v="15"/>
    <x v="27"/>
    <x v="0"/>
    <x v="3"/>
    <x v="6"/>
    <x v="5"/>
  </r>
  <r>
    <x v="692"/>
    <x v="31"/>
    <x v="0"/>
    <x v="0"/>
    <x v="1"/>
    <x v="5"/>
    <x v="1"/>
    <x v="0"/>
    <x v="3"/>
    <x v="3"/>
    <x v="2"/>
    <x v="14"/>
    <x v="1"/>
    <x v="16"/>
    <x v="43"/>
    <x v="0"/>
    <x v="3"/>
    <x v="35"/>
    <x v="6"/>
  </r>
  <r>
    <x v="693"/>
    <x v="31"/>
    <x v="0"/>
    <x v="0"/>
    <x v="1"/>
    <x v="6"/>
    <x v="1"/>
    <x v="0"/>
    <x v="3"/>
    <x v="3"/>
    <x v="2"/>
    <x v="14"/>
    <x v="1"/>
    <x v="16"/>
    <x v="43"/>
    <x v="0"/>
    <x v="3"/>
    <x v="97"/>
    <x v="34"/>
  </r>
  <r>
    <x v="694"/>
    <x v="31"/>
    <x v="0"/>
    <x v="0"/>
    <x v="1"/>
    <x v="7"/>
    <x v="1"/>
    <x v="0"/>
    <x v="3"/>
    <x v="3"/>
    <x v="2"/>
    <x v="13"/>
    <x v="1"/>
    <x v="15"/>
    <x v="43"/>
    <x v="0"/>
    <x v="3"/>
    <x v="15"/>
    <x v="46"/>
  </r>
  <r>
    <x v="695"/>
    <x v="31"/>
    <x v="0"/>
    <x v="0"/>
    <x v="1"/>
    <x v="8"/>
    <x v="1"/>
    <x v="0"/>
    <x v="3"/>
    <x v="3"/>
    <x v="2"/>
    <x v="13"/>
    <x v="1"/>
    <x v="15"/>
    <x v="43"/>
    <x v="0"/>
    <x v="0"/>
    <x v="126"/>
    <x v="169"/>
  </r>
  <r>
    <x v="696"/>
    <x v="31"/>
    <x v="0"/>
    <x v="0"/>
    <x v="1"/>
    <x v="9"/>
    <x v="1"/>
    <x v="0"/>
    <x v="3"/>
    <x v="3"/>
    <x v="1"/>
    <x v="13"/>
    <x v="1"/>
    <x v="15"/>
    <x v="43"/>
    <x v="0"/>
    <x v="4"/>
    <x v="156"/>
    <x v="155"/>
  </r>
  <r>
    <x v="697"/>
    <x v="31"/>
    <x v="0"/>
    <x v="0"/>
    <x v="1"/>
    <x v="10"/>
    <x v="1"/>
    <x v="0"/>
    <x v="3"/>
    <x v="3"/>
    <x v="1"/>
    <x v="13"/>
    <x v="1"/>
    <x v="15"/>
    <x v="43"/>
    <x v="0"/>
    <x v="3"/>
    <x v="12"/>
    <x v="105"/>
  </r>
  <r>
    <x v="698"/>
    <x v="31"/>
    <x v="0"/>
    <x v="0"/>
    <x v="1"/>
    <x v="11"/>
    <x v="1"/>
    <x v="0"/>
    <x v="3"/>
    <x v="3"/>
    <x v="1"/>
    <x v="15"/>
    <x v="1"/>
    <x v="25"/>
    <x v="3"/>
    <x v="0"/>
    <x v="4"/>
    <x v="47"/>
    <x v="41"/>
  </r>
  <r>
    <x v="699"/>
    <x v="31"/>
    <x v="0"/>
    <x v="0"/>
    <x v="1"/>
    <x v="12"/>
    <x v="2"/>
    <x v="0"/>
    <x v="3"/>
    <x v="3"/>
    <x v="1"/>
    <x v="2"/>
    <x v="1"/>
    <x v="2"/>
    <x v="3"/>
    <x v="0"/>
    <x v="4"/>
    <x v="42"/>
    <x v="97"/>
  </r>
  <r>
    <x v="700"/>
    <x v="31"/>
    <x v="0"/>
    <x v="0"/>
    <x v="1"/>
    <x v="13"/>
    <x v="2"/>
    <x v="0"/>
    <x v="3"/>
    <x v="3"/>
    <x v="1"/>
    <x v="2"/>
    <x v="1"/>
    <x v="2"/>
    <x v="3"/>
    <x v="0"/>
    <x v="0"/>
    <x v="47"/>
    <x v="46"/>
  </r>
  <r>
    <x v="701"/>
    <x v="31"/>
    <x v="0"/>
    <x v="0"/>
    <x v="1"/>
    <x v="14"/>
    <x v="2"/>
    <x v="0"/>
    <x v="3"/>
    <x v="3"/>
    <x v="1"/>
    <x v="1"/>
    <x v="0"/>
    <x v="2"/>
    <x v="1"/>
    <x v="1"/>
    <x v="2"/>
    <x v="47"/>
    <x v="60"/>
  </r>
  <r>
    <x v="702"/>
    <x v="31"/>
    <x v="0"/>
    <x v="0"/>
    <x v="1"/>
    <x v="15"/>
    <x v="2"/>
    <x v="0"/>
    <x v="3"/>
    <x v="3"/>
    <x v="1"/>
    <x v="0"/>
    <x v="0"/>
    <x v="0"/>
    <x v="2"/>
    <x v="0"/>
    <x v="18"/>
    <x v="108"/>
    <x v="46"/>
  </r>
  <r>
    <x v="703"/>
    <x v="31"/>
    <x v="0"/>
    <x v="0"/>
    <x v="1"/>
    <x v="16"/>
    <x v="2"/>
    <x v="0"/>
    <x v="3"/>
    <x v="3"/>
    <x v="1"/>
    <x v="0"/>
    <x v="0"/>
    <x v="25"/>
    <x v="2"/>
    <x v="7"/>
    <x v="0"/>
    <x v="124"/>
    <x v="37"/>
  </r>
  <r>
    <x v="704"/>
    <x v="31"/>
    <x v="0"/>
    <x v="0"/>
    <x v="1"/>
    <x v="17"/>
    <x v="3"/>
    <x v="0"/>
    <x v="3"/>
    <x v="3"/>
    <x v="1"/>
    <x v="0"/>
    <x v="0"/>
    <x v="0"/>
    <x v="2"/>
    <x v="0"/>
    <x v="17"/>
    <x v="157"/>
    <x v="170"/>
  </r>
  <r>
    <x v="705"/>
    <x v="31"/>
    <x v="0"/>
    <x v="0"/>
    <x v="1"/>
    <x v="18"/>
    <x v="3"/>
    <x v="0"/>
    <x v="3"/>
    <x v="3"/>
    <x v="1"/>
    <x v="0"/>
    <x v="0"/>
    <x v="2"/>
    <x v="0"/>
    <x v="14"/>
    <x v="0"/>
    <x v="158"/>
    <x v="171"/>
  </r>
  <r>
    <x v="706"/>
    <x v="31"/>
    <x v="0"/>
    <x v="0"/>
    <x v="1"/>
    <x v="19"/>
    <x v="3"/>
    <x v="0"/>
    <x v="3"/>
    <x v="3"/>
    <x v="1"/>
    <x v="0"/>
    <x v="0"/>
    <x v="25"/>
    <x v="0"/>
    <x v="7"/>
    <x v="0"/>
    <x v="159"/>
    <x v="159"/>
  </r>
  <r>
    <x v="707"/>
    <x v="31"/>
    <x v="0"/>
    <x v="0"/>
    <x v="1"/>
    <x v="20"/>
    <x v="0"/>
    <x v="0"/>
    <x v="3"/>
    <x v="3"/>
    <x v="1"/>
    <x v="1"/>
    <x v="0"/>
    <x v="15"/>
    <x v="9"/>
    <x v="7"/>
    <x v="2"/>
    <x v="94"/>
    <x v="30"/>
  </r>
  <r>
    <x v="708"/>
    <x v="31"/>
    <x v="0"/>
    <x v="0"/>
    <x v="1"/>
    <x v="21"/>
    <x v="0"/>
    <x v="0"/>
    <x v="3"/>
    <x v="3"/>
    <x v="1"/>
    <x v="1"/>
    <x v="0"/>
    <x v="15"/>
    <x v="9"/>
    <x v="7"/>
    <x v="3"/>
    <x v="27"/>
    <x v="37"/>
  </r>
  <r>
    <x v="709"/>
    <x v="31"/>
    <x v="0"/>
    <x v="0"/>
    <x v="1"/>
    <x v="22"/>
    <x v="0"/>
    <x v="0"/>
    <x v="3"/>
    <x v="3"/>
    <x v="1"/>
    <x v="1"/>
    <x v="0"/>
    <x v="2"/>
    <x v="9"/>
    <x v="1"/>
    <x v="4"/>
    <x v="60"/>
    <x v="9"/>
  </r>
  <r>
    <x v="710"/>
    <x v="31"/>
    <x v="0"/>
    <x v="0"/>
    <x v="1"/>
    <x v="23"/>
    <x v="0"/>
    <x v="0"/>
    <x v="3"/>
    <x v="3"/>
    <x v="2"/>
    <x v="2"/>
    <x v="1"/>
    <x v="17"/>
    <x v="43"/>
    <x v="5"/>
    <x v="5"/>
    <x v="89"/>
    <x v="0"/>
  </r>
  <r>
    <x v="711"/>
    <x v="32"/>
    <x v="0"/>
    <x v="0"/>
    <x v="1"/>
    <x v="0"/>
    <x v="0"/>
    <x v="0"/>
    <x v="4"/>
    <x v="4"/>
    <x v="2"/>
    <x v="1"/>
    <x v="0"/>
    <x v="25"/>
    <x v="43"/>
    <x v="14"/>
    <x v="3"/>
    <x v="6"/>
    <x v="5"/>
  </r>
  <r>
    <x v="712"/>
    <x v="32"/>
    <x v="0"/>
    <x v="0"/>
    <x v="1"/>
    <x v="1"/>
    <x v="0"/>
    <x v="0"/>
    <x v="4"/>
    <x v="4"/>
    <x v="2"/>
    <x v="1"/>
    <x v="0"/>
    <x v="15"/>
    <x v="43"/>
    <x v="5"/>
    <x v="3"/>
    <x v="35"/>
    <x v="6"/>
  </r>
  <r>
    <x v="713"/>
    <x v="32"/>
    <x v="0"/>
    <x v="0"/>
    <x v="1"/>
    <x v="2"/>
    <x v="0"/>
    <x v="0"/>
    <x v="4"/>
    <x v="4"/>
    <x v="2"/>
    <x v="1"/>
    <x v="0"/>
    <x v="15"/>
    <x v="43"/>
    <x v="7"/>
    <x v="17"/>
    <x v="5"/>
    <x v="48"/>
  </r>
  <r>
    <x v="714"/>
    <x v="32"/>
    <x v="0"/>
    <x v="0"/>
    <x v="1"/>
    <x v="3"/>
    <x v="0"/>
    <x v="0"/>
    <x v="4"/>
    <x v="4"/>
    <x v="2"/>
    <x v="1"/>
    <x v="0"/>
    <x v="15"/>
    <x v="43"/>
    <x v="7"/>
    <x v="3"/>
    <x v="4"/>
    <x v="4"/>
  </r>
  <r>
    <x v="715"/>
    <x v="32"/>
    <x v="0"/>
    <x v="0"/>
    <x v="1"/>
    <x v="4"/>
    <x v="0"/>
    <x v="0"/>
    <x v="4"/>
    <x v="4"/>
    <x v="2"/>
    <x v="1"/>
    <x v="0"/>
    <x v="16"/>
    <x v="43"/>
    <x v="3"/>
    <x v="3"/>
    <x v="4"/>
    <x v="4"/>
  </r>
  <r>
    <x v="716"/>
    <x v="32"/>
    <x v="0"/>
    <x v="0"/>
    <x v="1"/>
    <x v="5"/>
    <x v="1"/>
    <x v="0"/>
    <x v="4"/>
    <x v="4"/>
    <x v="2"/>
    <x v="1"/>
    <x v="0"/>
    <x v="25"/>
    <x v="43"/>
    <x v="14"/>
    <x v="3"/>
    <x v="35"/>
    <x v="6"/>
  </r>
  <r>
    <x v="717"/>
    <x v="32"/>
    <x v="0"/>
    <x v="0"/>
    <x v="1"/>
    <x v="6"/>
    <x v="1"/>
    <x v="0"/>
    <x v="4"/>
    <x v="4"/>
    <x v="2"/>
    <x v="1"/>
    <x v="0"/>
    <x v="25"/>
    <x v="43"/>
    <x v="14"/>
    <x v="5"/>
    <x v="19"/>
    <x v="109"/>
  </r>
  <r>
    <x v="718"/>
    <x v="32"/>
    <x v="0"/>
    <x v="0"/>
    <x v="1"/>
    <x v="7"/>
    <x v="1"/>
    <x v="0"/>
    <x v="4"/>
    <x v="4"/>
    <x v="2"/>
    <x v="1"/>
    <x v="0"/>
    <x v="16"/>
    <x v="43"/>
    <x v="6"/>
    <x v="5"/>
    <x v="41"/>
    <x v="99"/>
  </r>
  <r>
    <x v="719"/>
    <x v="32"/>
    <x v="0"/>
    <x v="0"/>
    <x v="1"/>
    <x v="8"/>
    <x v="1"/>
    <x v="0"/>
    <x v="4"/>
    <x v="4"/>
    <x v="2"/>
    <x v="1"/>
    <x v="0"/>
    <x v="16"/>
    <x v="43"/>
    <x v="6"/>
    <x v="5"/>
    <x v="105"/>
    <x v="107"/>
  </r>
  <r>
    <x v="720"/>
    <x v="32"/>
    <x v="0"/>
    <x v="0"/>
    <x v="1"/>
    <x v="9"/>
    <x v="1"/>
    <x v="0"/>
    <x v="4"/>
    <x v="4"/>
    <x v="1"/>
    <x v="0"/>
    <x v="0"/>
    <x v="2"/>
    <x v="43"/>
    <x v="1"/>
    <x v="17"/>
    <x v="138"/>
    <x v="92"/>
  </r>
  <r>
    <x v="721"/>
    <x v="32"/>
    <x v="0"/>
    <x v="0"/>
    <x v="1"/>
    <x v="10"/>
    <x v="1"/>
    <x v="0"/>
    <x v="4"/>
    <x v="4"/>
    <x v="1"/>
    <x v="1"/>
    <x v="0"/>
    <x v="1"/>
    <x v="11"/>
    <x v="0"/>
    <x v="4"/>
    <x v="79"/>
    <x v="42"/>
  </r>
  <r>
    <x v="722"/>
    <x v="32"/>
    <x v="0"/>
    <x v="0"/>
    <x v="1"/>
    <x v="11"/>
    <x v="1"/>
    <x v="0"/>
    <x v="4"/>
    <x v="4"/>
    <x v="1"/>
    <x v="0"/>
    <x v="0"/>
    <x v="15"/>
    <x v="43"/>
    <x v="5"/>
    <x v="2"/>
    <x v="12"/>
    <x v="46"/>
  </r>
  <r>
    <x v="723"/>
    <x v="32"/>
    <x v="0"/>
    <x v="0"/>
    <x v="1"/>
    <x v="12"/>
    <x v="2"/>
    <x v="0"/>
    <x v="4"/>
    <x v="4"/>
    <x v="1"/>
    <x v="0"/>
    <x v="0"/>
    <x v="15"/>
    <x v="43"/>
    <x v="6"/>
    <x v="0"/>
    <x v="124"/>
    <x v="37"/>
  </r>
  <r>
    <x v="724"/>
    <x v="32"/>
    <x v="0"/>
    <x v="0"/>
    <x v="1"/>
    <x v="13"/>
    <x v="2"/>
    <x v="0"/>
    <x v="4"/>
    <x v="4"/>
    <x v="0"/>
    <x v="10"/>
    <x v="2"/>
    <x v="6"/>
    <x v="43"/>
    <x v="8"/>
    <x v="5"/>
    <x v="64"/>
    <x v="28"/>
  </r>
  <r>
    <x v="725"/>
    <x v="32"/>
    <x v="0"/>
    <x v="0"/>
    <x v="1"/>
    <x v="14"/>
    <x v="2"/>
    <x v="0"/>
    <x v="4"/>
    <x v="4"/>
    <x v="0"/>
    <x v="4"/>
    <x v="2"/>
    <x v="5"/>
    <x v="7"/>
    <x v="13"/>
    <x v="4"/>
    <x v="124"/>
    <x v="55"/>
  </r>
  <r>
    <x v="726"/>
    <x v="32"/>
    <x v="0"/>
    <x v="0"/>
    <x v="1"/>
    <x v="15"/>
    <x v="2"/>
    <x v="0"/>
    <x v="4"/>
    <x v="4"/>
    <x v="0"/>
    <x v="4"/>
    <x v="2"/>
    <x v="5"/>
    <x v="4"/>
    <x v="9"/>
    <x v="22"/>
    <x v="43"/>
    <x v="31"/>
  </r>
  <r>
    <x v="727"/>
    <x v="32"/>
    <x v="0"/>
    <x v="0"/>
    <x v="1"/>
    <x v="16"/>
    <x v="2"/>
    <x v="0"/>
    <x v="4"/>
    <x v="4"/>
    <x v="0"/>
    <x v="5"/>
    <x v="2"/>
    <x v="6"/>
    <x v="12"/>
    <x v="4"/>
    <x v="1"/>
    <x v="73"/>
    <x v="153"/>
  </r>
  <r>
    <x v="728"/>
    <x v="32"/>
    <x v="0"/>
    <x v="0"/>
    <x v="1"/>
    <x v="17"/>
    <x v="3"/>
    <x v="0"/>
    <x v="4"/>
    <x v="4"/>
    <x v="0"/>
    <x v="5"/>
    <x v="2"/>
    <x v="28"/>
    <x v="45"/>
    <x v="18"/>
    <x v="18"/>
    <x v="160"/>
    <x v="71"/>
  </r>
  <r>
    <x v="729"/>
    <x v="32"/>
    <x v="0"/>
    <x v="0"/>
    <x v="1"/>
    <x v="18"/>
    <x v="3"/>
    <x v="0"/>
    <x v="4"/>
    <x v="4"/>
    <x v="0"/>
    <x v="10"/>
    <x v="2"/>
    <x v="0"/>
    <x v="16"/>
    <x v="16"/>
    <x v="18"/>
    <x v="161"/>
    <x v="58"/>
  </r>
  <r>
    <x v="730"/>
    <x v="32"/>
    <x v="0"/>
    <x v="0"/>
    <x v="1"/>
    <x v="19"/>
    <x v="3"/>
    <x v="0"/>
    <x v="4"/>
    <x v="4"/>
    <x v="0"/>
    <x v="17"/>
    <x v="0"/>
    <x v="25"/>
    <x v="49"/>
    <x v="15"/>
    <x v="0"/>
    <x v="152"/>
    <x v="134"/>
  </r>
  <r>
    <x v="731"/>
    <x v="32"/>
    <x v="0"/>
    <x v="0"/>
    <x v="1"/>
    <x v="20"/>
    <x v="0"/>
    <x v="0"/>
    <x v="4"/>
    <x v="4"/>
    <x v="0"/>
    <x v="0"/>
    <x v="0"/>
    <x v="17"/>
    <x v="37"/>
    <x v="16"/>
    <x v="17"/>
    <x v="13"/>
    <x v="28"/>
  </r>
  <r>
    <x v="732"/>
    <x v="32"/>
    <x v="0"/>
    <x v="0"/>
    <x v="1"/>
    <x v="21"/>
    <x v="0"/>
    <x v="0"/>
    <x v="4"/>
    <x v="4"/>
    <x v="0"/>
    <x v="1"/>
    <x v="0"/>
    <x v="17"/>
    <x v="19"/>
    <x v="9"/>
    <x v="5"/>
    <x v="133"/>
    <x v="55"/>
  </r>
  <r>
    <x v="733"/>
    <x v="32"/>
    <x v="0"/>
    <x v="0"/>
    <x v="1"/>
    <x v="22"/>
    <x v="0"/>
    <x v="0"/>
    <x v="4"/>
    <x v="4"/>
    <x v="0"/>
    <x v="1"/>
    <x v="0"/>
    <x v="16"/>
    <x v="18"/>
    <x v="2"/>
    <x v="2"/>
    <x v="96"/>
    <x v="1"/>
  </r>
  <r>
    <x v="734"/>
    <x v="32"/>
    <x v="0"/>
    <x v="0"/>
    <x v="1"/>
    <x v="23"/>
    <x v="0"/>
    <x v="0"/>
    <x v="4"/>
    <x v="4"/>
    <x v="0"/>
    <x v="2"/>
    <x v="1"/>
    <x v="22"/>
    <x v="18"/>
    <x v="10"/>
    <x v="0"/>
    <x v="31"/>
    <x v="2"/>
  </r>
  <r>
    <x v="735"/>
    <x v="33"/>
    <x v="0"/>
    <x v="0"/>
    <x v="1"/>
    <x v="0"/>
    <x v="0"/>
    <x v="0"/>
    <x v="5"/>
    <x v="5"/>
    <x v="0"/>
    <x v="2"/>
    <x v="1"/>
    <x v="22"/>
    <x v="22"/>
    <x v="10"/>
    <x v="5"/>
    <x v="48"/>
    <x v="47"/>
  </r>
  <r>
    <x v="736"/>
    <x v="33"/>
    <x v="0"/>
    <x v="0"/>
    <x v="1"/>
    <x v="1"/>
    <x v="0"/>
    <x v="0"/>
    <x v="5"/>
    <x v="5"/>
    <x v="0"/>
    <x v="2"/>
    <x v="1"/>
    <x v="26"/>
    <x v="18"/>
    <x v="18"/>
    <x v="3"/>
    <x v="34"/>
    <x v="36"/>
  </r>
  <r>
    <x v="737"/>
    <x v="33"/>
    <x v="0"/>
    <x v="0"/>
    <x v="1"/>
    <x v="2"/>
    <x v="0"/>
    <x v="0"/>
    <x v="5"/>
    <x v="5"/>
    <x v="0"/>
    <x v="15"/>
    <x v="1"/>
    <x v="22"/>
    <x v="21"/>
    <x v="2"/>
    <x v="3"/>
    <x v="6"/>
    <x v="5"/>
  </r>
  <r>
    <x v="738"/>
    <x v="33"/>
    <x v="0"/>
    <x v="0"/>
    <x v="1"/>
    <x v="3"/>
    <x v="0"/>
    <x v="0"/>
    <x v="5"/>
    <x v="5"/>
    <x v="0"/>
    <x v="15"/>
    <x v="1"/>
    <x v="22"/>
    <x v="21"/>
    <x v="2"/>
    <x v="3"/>
    <x v="4"/>
    <x v="4"/>
  </r>
  <r>
    <x v="739"/>
    <x v="33"/>
    <x v="0"/>
    <x v="0"/>
    <x v="1"/>
    <x v="5"/>
    <x v="1"/>
    <x v="0"/>
    <x v="5"/>
    <x v="5"/>
    <x v="0"/>
    <x v="13"/>
    <x v="1"/>
    <x v="19"/>
    <x v="20"/>
    <x v="4"/>
    <x v="3"/>
    <x v="6"/>
    <x v="5"/>
  </r>
  <r>
    <x v="740"/>
    <x v="33"/>
    <x v="0"/>
    <x v="0"/>
    <x v="1"/>
    <x v="6"/>
    <x v="1"/>
    <x v="0"/>
    <x v="5"/>
    <x v="5"/>
    <x v="0"/>
    <x v="13"/>
    <x v="1"/>
    <x v="19"/>
    <x v="21"/>
    <x v="11"/>
    <x v="3"/>
    <x v="87"/>
    <x v="21"/>
  </r>
  <r>
    <x v="741"/>
    <x v="33"/>
    <x v="0"/>
    <x v="0"/>
    <x v="1"/>
    <x v="7"/>
    <x v="1"/>
    <x v="0"/>
    <x v="5"/>
    <x v="5"/>
    <x v="0"/>
    <x v="14"/>
    <x v="1"/>
    <x v="21"/>
    <x v="20"/>
    <x v="9"/>
    <x v="5"/>
    <x v="132"/>
    <x v="90"/>
  </r>
  <r>
    <x v="742"/>
    <x v="33"/>
    <x v="0"/>
    <x v="0"/>
    <x v="1"/>
    <x v="8"/>
    <x v="1"/>
    <x v="0"/>
    <x v="5"/>
    <x v="5"/>
    <x v="0"/>
    <x v="14"/>
    <x v="1"/>
    <x v="21"/>
    <x v="20"/>
    <x v="11"/>
    <x v="17"/>
    <x v="103"/>
    <x v="104"/>
  </r>
  <r>
    <x v="743"/>
    <x v="33"/>
    <x v="0"/>
    <x v="0"/>
    <x v="1"/>
    <x v="9"/>
    <x v="1"/>
    <x v="0"/>
    <x v="5"/>
    <x v="5"/>
    <x v="0"/>
    <x v="13"/>
    <x v="1"/>
    <x v="19"/>
    <x v="19"/>
    <x v="4"/>
    <x v="15"/>
    <x v="69"/>
    <x v="140"/>
  </r>
  <r>
    <x v="744"/>
    <x v="33"/>
    <x v="0"/>
    <x v="0"/>
    <x v="1"/>
    <x v="10"/>
    <x v="1"/>
    <x v="0"/>
    <x v="5"/>
    <x v="5"/>
    <x v="0"/>
    <x v="15"/>
    <x v="1"/>
    <x v="26"/>
    <x v="21"/>
    <x v="9"/>
    <x v="4"/>
    <x v="54"/>
    <x v="46"/>
  </r>
  <r>
    <x v="745"/>
    <x v="33"/>
    <x v="0"/>
    <x v="0"/>
    <x v="1"/>
    <x v="11"/>
    <x v="1"/>
    <x v="0"/>
    <x v="5"/>
    <x v="5"/>
    <x v="0"/>
    <x v="15"/>
    <x v="1"/>
    <x v="19"/>
    <x v="21"/>
    <x v="10"/>
    <x v="14"/>
    <x v="11"/>
    <x v="37"/>
  </r>
  <r>
    <x v="746"/>
    <x v="33"/>
    <x v="0"/>
    <x v="0"/>
    <x v="1"/>
    <x v="12"/>
    <x v="2"/>
    <x v="0"/>
    <x v="5"/>
    <x v="5"/>
    <x v="0"/>
    <x v="2"/>
    <x v="1"/>
    <x v="23"/>
    <x v="22"/>
    <x v="11"/>
    <x v="4"/>
    <x v="28"/>
    <x v="83"/>
  </r>
  <r>
    <x v="747"/>
    <x v="33"/>
    <x v="0"/>
    <x v="0"/>
    <x v="1"/>
    <x v="13"/>
    <x v="2"/>
    <x v="0"/>
    <x v="5"/>
    <x v="5"/>
    <x v="0"/>
    <x v="2"/>
    <x v="1"/>
    <x v="22"/>
    <x v="22"/>
    <x v="12"/>
    <x v="17"/>
    <x v="12"/>
    <x v="41"/>
  </r>
  <r>
    <x v="748"/>
    <x v="33"/>
    <x v="0"/>
    <x v="0"/>
    <x v="1"/>
    <x v="14"/>
    <x v="2"/>
    <x v="0"/>
    <x v="5"/>
    <x v="5"/>
    <x v="0"/>
    <x v="1"/>
    <x v="0"/>
    <x v="17"/>
    <x v="38"/>
    <x v="13"/>
    <x v="17"/>
    <x v="30"/>
    <x v="105"/>
  </r>
  <r>
    <x v="749"/>
    <x v="33"/>
    <x v="0"/>
    <x v="0"/>
    <x v="1"/>
    <x v="15"/>
    <x v="2"/>
    <x v="0"/>
    <x v="5"/>
    <x v="5"/>
    <x v="0"/>
    <x v="1"/>
    <x v="0"/>
    <x v="17"/>
    <x v="38"/>
    <x v="9"/>
    <x v="17"/>
    <x v="90"/>
    <x v="122"/>
  </r>
  <r>
    <x v="750"/>
    <x v="33"/>
    <x v="0"/>
    <x v="0"/>
    <x v="1"/>
    <x v="16"/>
    <x v="2"/>
    <x v="0"/>
    <x v="5"/>
    <x v="5"/>
    <x v="0"/>
    <x v="1"/>
    <x v="0"/>
    <x v="16"/>
    <x v="38"/>
    <x v="2"/>
    <x v="2"/>
    <x v="26"/>
    <x v="53"/>
  </r>
  <r>
    <x v="751"/>
    <x v="33"/>
    <x v="0"/>
    <x v="0"/>
    <x v="1"/>
    <x v="17"/>
    <x v="3"/>
    <x v="0"/>
    <x v="5"/>
    <x v="5"/>
    <x v="0"/>
    <x v="2"/>
    <x v="1"/>
    <x v="17"/>
    <x v="22"/>
    <x v="5"/>
    <x v="2"/>
    <x v="162"/>
    <x v="172"/>
  </r>
  <r>
    <x v="752"/>
    <x v="33"/>
    <x v="0"/>
    <x v="0"/>
    <x v="1"/>
    <x v="18"/>
    <x v="3"/>
    <x v="0"/>
    <x v="5"/>
    <x v="5"/>
    <x v="0"/>
    <x v="2"/>
    <x v="1"/>
    <x v="16"/>
    <x v="22"/>
    <x v="8"/>
    <x v="4"/>
    <x v="142"/>
    <x v="173"/>
  </r>
  <r>
    <x v="753"/>
    <x v="33"/>
    <x v="0"/>
    <x v="0"/>
    <x v="1"/>
    <x v="19"/>
    <x v="3"/>
    <x v="0"/>
    <x v="5"/>
    <x v="5"/>
    <x v="0"/>
    <x v="2"/>
    <x v="1"/>
    <x v="2"/>
    <x v="22"/>
    <x v="0"/>
    <x v="17"/>
    <x v="50"/>
    <x v="152"/>
  </r>
  <r>
    <x v="754"/>
    <x v="33"/>
    <x v="0"/>
    <x v="0"/>
    <x v="1"/>
    <x v="20"/>
    <x v="0"/>
    <x v="0"/>
    <x v="5"/>
    <x v="5"/>
    <x v="0"/>
    <x v="2"/>
    <x v="1"/>
    <x v="15"/>
    <x v="19"/>
    <x v="1"/>
    <x v="5"/>
    <x v="123"/>
    <x v="142"/>
  </r>
  <r>
    <x v="755"/>
    <x v="33"/>
    <x v="0"/>
    <x v="0"/>
    <x v="1"/>
    <x v="21"/>
    <x v="0"/>
    <x v="0"/>
    <x v="5"/>
    <x v="5"/>
    <x v="0"/>
    <x v="15"/>
    <x v="1"/>
    <x v="16"/>
    <x v="28"/>
    <x v="14"/>
    <x v="5"/>
    <x v="42"/>
    <x v="60"/>
  </r>
  <r>
    <x v="756"/>
    <x v="33"/>
    <x v="0"/>
    <x v="0"/>
    <x v="1"/>
    <x v="22"/>
    <x v="0"/>
    <x v="0"/>
    <x v="5"/>
    <x v="5"/>
    <x v="0"/>
    <x v="15"/>
    <x v="1"/>
    <x v="16"/>
    <x v="33"/>
    <x v="1"/>
    <x v="4"/>
    <x v="87"/>
    <x v="102"/>
  </r>
  <r>
    <x v="757"/>
    <x v="33"/>
    <x v="0"/>
    <x v="0"/>
    <x v="1"/>
    <x v="23"/>
    <x v="0"/>
    <x v="0"/>
    <x v="5"/>
    <x v="5"/>
    <x v="0"/>
    <x v="2"/>
    <x v="1"/>
    <x v="15"/>
    <x v="19"/>
    <x v="14"/>
    <x v="17"/>
    <x v="60"/>
    <x v="103"/>
  </r>
  <r>
    <x v="758"/>
    <x v="34"/>
    <x v="0"/>
    <x v="0"/>
    <x v="1"/>
    <x v="0"/>
    <x v="0"/>
    <x v="0"/>
    <x v="6"/>
    <x v="6"/>
    <x v="1"/>
    <x v="2"/>
    <x v="1"/>
    <x v="2"/>
    <x v="18"/>
    <x v="0"/>
    <x v="0"/>
    <x v="3"/>
    <x v="3"/>
  </r>
  <r>
    <x v="759"/>
    <x v="34"/>
    <x v="0"/>
    <x v="0"/>
    <x v="1"/>
    <x v="1"/>
    <x v="0"/>
    <x v="0"/>
    <x v="6"/>
    <x v="6"/>
    <x v="1"/>
    <x v="13"/>
    <x v="1"/>
    <x v="15"/>
    <x v="29"/>
    <x v="0"/>
    <x v="3"/>
    <x v="7"/>
    <x v="85"/>
  </r>
  <r>
    <x v="760"/>
    <x v="34"/>
    <x v="0"/>
    <x v="0"/>
    <x v="1"/>
    <x v="2"/>
    <x v="0"/>
    <x v="0"/>
    <x v="6"/>
    <x v="6"/>
    <x v="1"/>
    <x v="14"/>
    <x v="1"/>
    <x v="22"/>
    <x v="30"/>
    <x v="14"/>
    <x v="3"/>
    <x v="4"/>
    <x v="4"/>
  </r>
  <r>
    <x v="761"/>
    <x v="34"/>
    <x v="0"/>
    <x v="0"/>
    <x v="1"/>
    <x v="3"/>
    <x v="0"/>
    <x v="0"/>
    <x v="6"/>
    <x v="6"/>
    <x v="1"/>
    <x v="14"/>
    <x v="1"/>
    <x v="22"/>
    <x v="30"/>
    <x v="14"/>
    <x v="3"/>
    <x v="4"/>
    <x v="4"/>
  </r>
  <r>
    <x v="762"/>
    <x v="34"/>
    <x v="0"/>
    <x v="0"/>
    <x v="1"/>
    <x v="5"/>
    <x v="1"/>
    <x v="0"/>
    <x v="6"/>
    <x v="6"/>
    <x v="1"/>
    <x v="14"/>
    <x v="1"/>
    <x v="26"/>
    <x v="30"/>
    <x v="7"/>
    <x v="3"/>
    <x v="7"/>
    <x v="85"/>
  </r>
  <r>
    <x v="763"/>
    <x v="34"/>
    <x v="0"/>
    <x v="0"/>
    <x v="1"/>
    <x v="6"/>
    <x v="1"/>
    <x v="0"/>
    <x v="6"/>
    <x v="6"/>
    <x v="1"/>
    <x v="13"/>
    <x v="1"/>
    <x v="15"/>
    <x v="28"/>
    <x v="0"/>
    <x v="4"/>
    <x v="16"/>
    <x v="20"/>
  </r>
  <r>
    <x v="764"/>
    <x v="34"/>
    <x v="0"/>
    <x v="0"/>
    <x v="1"/>
    <x v="7"/>
    <x v="1"/>
    <x v="0"/>
    <x v="6"/>
    <x v="6"/>
    <x v="0"/>
    <x v="14"/>
    <x v="1"/>
    <x v="16"/>
    <x v="29"/>
    <x v="0"/>
    <x v="3"/>
    <x v="61"/>
    <x v="90"/>
  </r>
  <r>
    <x v="765"/>
    <x v="34"/>
    <x v="0"/>
    <x v="0"/>
    <x v="1"/>
    <x v="8"/>
    <x v="1"/>
    <x v="0"/>
    <x v="6"/>
    <x v="6"/>
    <x v="0"/>
    <x v="14"/>
    <x v="1"/>
    <x v="26"/>
    <x v="32"/>
    <x v="7"/>
    <x v="0"/>
    <x v="163"/>
    <x v="174"/>
  </r>
  <r>
    <x v="766"/>
    <x v="34"/>
    <x v="0"/>
    <x v="0"/>
    <x v="1"/>
    <x v="9"/>
    <x v="1"/>
    <x v="0"/>
    <x v="6"/>
    <x v="6"/>
    <x v="1"/>
    <x v="13"/>
    <x v="1"/>
    <x v="23"/>
    <x v="1"/>
    <x v="7"/>
    <x v="0"/>
    <x v="125"/>
    <x v="175"/>
  </r>
  <r>
    <x v="767"/>
    <x v="34"/>
    <x v="0"/>
    <x v="0"/>
    <x v="1"/>
    <x v="10"/>
    <x v="1"/>
    <x v="0"/>
    <x v="6"/>
    <x v="6"/>
    <x v="1"/>
    <x v="2"/>
    <x v="1"/>
    <x v="16"/>
    <x v="33"/>
    <x v="7"/>
    <x v="2"/>
    <x v="24"/>
    <x v="41"/>
  </r>
  <r>
    <x v="768"/>
    <x v="34"/>
    <x v="0"/>
    <x v="0"/>
    <x v="1"/>
    <x v="11"/>
    <x v="1"/>
    <x v="0"/>
    <x v="6"/>
    <x v="6"/>
    <x v="0"/>
    <x v="1"/>
    <x v="0"/>
    <x v="15"/>
    <x v="33"/>
    <x v="8"/>
    <x v="0"/>
    <x v="124"/>
    <x v="37"/>
  </r>
  <r>
    <x v="769"/>
    <x v="34"/>
    <x v="0"/>
    <x v="0"/>
    <x v="1"/>
    <x v="12"/>
    <x v="2"/>
    <x v="0"/>
    <x v="6"/>
    <x v="6"/>
    <x v="1"/>
    <x v="0"/>
    <x v="0"/>
    <x v="25"/>
    <x v="37"/>
    <x v="8"/>
    <x v="1"/>
    <x v="78"/>
    <x v="80"/>
  </r>
  <r>
    <x v="770"/>
    <x v="34"/>
    <x v="0"/>
    <x v="0"/>
    <x v="1"/>
    <x v="13"/>
    <x v="2"/>
    <x v="0"/>
    <x v="6"/>
    <x v="6"/>
    <x v="1"/>
    <x v="12"/>
    <x v="0"/>
    <x v="2"/>
    <x v="20"/>
    <x v="6"/>
    <x v="14"/>
    <x v="26"/>
    <x v="100"/>
  </r>
  <r>
    <x v="771"/>
    <x v="34"/>
    <x v="0"/>
    <x v="0"/>
    <x v="1"/>
    <x v="14"/>
    <x v="2"/>
    <x v="0"/>
    <x v="6"/>
    <x v="6"/>
    <x v="1"/>
    <x v="17"/>
    <x v="0"/>
    <x v="1"/>
    <x v="49"/>
    <x v="8"/>
    <x v="13"/>
    <x v="83"/>
    <x v="134"/>
  </r>
  <r>
    <x v="772"/>
    <x v="34"/>
    <x v="0"/>
    <x v="0"/>
    <x v="1"/>
    <x v="15"/>
    <x v="2"/>
    <x v="0"/>
    <x v="6"/>
    <x v="6"/>
    <x v="1"/>
    <x v="17"/>
    <x v="0"/>
    <x v="1"/>
    <x v="37"/>
    <x v="2"/>
    <x v="14"/>
    <x v="38"/>
    <x v="127"/>
  </r>
  <r>
    <x v="773"/>
    <x v="34"/>
    <x v="0"/>
    <x v="0"/>
    <x v="1"/>
    <x v="16"/>
    <x v="2"/>
    <x v="0"/>
    <x v="6"/>
    <x v="6"/>
    <x v="1"/>
    <x v="11"/>
    <x v="0"/>
    <x v="0"/>
    <x v="16"/>
    <x v="6"/>
    <x v="1"/>
    <x v="164"/>
    <x v="111"/>
  </r>
  <r>
    <x v="774"/>
    <x v="34"/>
    <x v="0"/>
    <x v="0"/>
    <x v="1"/>
    <x v="17"/>
    <x v="3"/>
    <x v="0"/>
    <x v="6"/>
    <x v="6"/>
    <x v="1"/>
    <x v="12"/>
    <x v="0"/>
    <x v="1"/>
    <x v="34"/>
    <x v="7"/>
    <x v="22"/>
    <x v="165"/>
    <x v="176"/>
  </r>
  <r>
    <x v="775"/>
    <x v="34"/>
    <x v="0"/>
    <x v="0"/>
    <x v="1"/>
    <x v="18"/>
    <x v="3"/>
    <x v="0"/>
    <x v="6"/>
    <x v="6"/>
    <x v="1"/>
    <x v="0"/>
    <x v="0"/>
    <x v="2"/>
    <x v="54"/>
    <x v="14"/>
    <x v="0"/>
    <x v="166"/>
    <x v="107"/>
  </r>
  <r>
    <x v="776"/>
    <x v="34"/>
    <x v="0"/>
    <x v="0"/>
    <x v="1"/>
    <x v="19"/>
    <x v="3"/>
    <x v="0"/>
    <x v="6"/>
    <x v="6"/>
    <x v="1"/>
    <x v="0"/>
    <x v="0"/>
    <x v="25"/>
    <x v="55"/>
    <x v="7"/>
    <x v="5"/>
    <x v="46"/>
    <x v="153"/>
  </r>
  <r>
    <x v="777"/>
    <x v="34"/>
    <x v="0"/>
    <x v="0"/>
    <x v="1"/>
    <x v="20"/>
    <x v="0"/>
    <x v="0"/>
    <x v="6"/>
    <x v="6"/>
    <x v="1"/>
    <x v="0"/>
    <x v="0"/>
    <x v="25"/>
    <x v="55"/>
    <x v="8"/>
    <x v="4"/>
    <x v="94"/>
    <x v="68"/>
  </r>
  <r>
    <x v="778"/>
    <x v="34"/>
    <x v="0"/>
    <x v="0"/>
    <x v="1"/>
    <x v="21"/>
    <x v="0"/>
    <x v="0"/>
    <x v="6"/>
    <x v="6"/>
    <x v="1"/>
    <x v="0"/>
    <x v="0"/>
    <x v="25"/>
    <x v="56"/>
    <x v="8"/>
    <x v="4"/>
    <x v="40"/>
    <x v="74"/>
  </r>
  <r>
    <x v="779"/>
    <x v="34"/>
    <x v="0"/>
    <x v="0"/>
    <x v="1"/>
    <x v="22"/>
    <x v="0"/>
    <x v="0"/>
    <x v="6"/>
    <x v="6"/>
    <x v="1"/>
    <x v="0"/>
    <x v="0"/>
    <x v="25"/>
    <x v="55"/>
    <x v="8"/>
    <x v="5"/>
    <x v="108"/>
    <x v="66"/>
  </r>
  <r>
    <x v="780"/>
    <x v="34"/>
    <x v="0"/>
    <x v="0"/>
    <x v="1"/>
    <x v="23"/>
    <x v="0"/>
    <x v="0"/>
    <x v="6"/>
    <x v="6"/>
    <x v="1"/>
    <x v="0"/>
    <x v="0"/>
    <x v="25"/>
    <x v="56"/>
    <x v="7"/>
    <x v="5"/>
    <x v="10"/>
    <x v="35"/>
  </r>
  <r>
    <x v="781"/>
    <x v="35"/>
    <x v="0"/>
    <x v="0"/>
    <x v="1"/>
    <x v="0"/>
    <x v="0"/>
    <x v="0"/>
    <x v="0"/>
    <x v="0"/>
    <x v="1"/>
    <x v="0"/>
    <x v="0"/>
    <x v="25"/>
    <x v="56"/>
    <x v="8"/>
    <x v="0"/>
    <x v="49"/>
    <x v="21"/>
  </r>
  <r>
    <x v="782"/>
    <x v="35"/>
    <x v="0"/>
    <x v="0"/>
    <x v="1"/>
    <x v="1"/>
    <x v="0"/>
    <x v="0"/>
    <x v="0"/>
    <x v="0"/>
    <x v="1"/>
    <x v="0"/>
    <x v="0"/>
    <x v="25"/>
    <x v="55"/>
    <x v="8"/>
    <x v="5"/>
    <x v="19"/>
    <x v="109"/>
  </r>
  <r>
    <x v="783"/>
    <x v="35"/>
    <x v="0"/>
    <x v="0"/>
    <x v="1"/>
    <x v="2"/>
    <x v="0"/>
    <x v="0"/>
    <x v="0"/>
    <x v="0"/>
    <x v="1"/>
    <x v="0"/>
    <x v="0"/>
    <x v="25"/>
    <x v="2"/>
    <x v="8"/>
    <x v="2"/>
    <x v="98"/>
    <x v="22"/>
  </r>
  <r>
    <x v="784"/>
    <x v="35"/>
    <x v="0"/>
    <x v="0"/>
    <x v="1"/>
    <x v="3"/>
    <x v="0"/>
    <x v="0"/>
    <x v="0"/>
    <x v="0"/>
    <x v="1"/>
    <x v="0"/>
    <x v="0"/>
    <x v="25"/>
    <x v="2"/>
    <x v="8"/>
    <x v="5"/>
    <x v="3"/>
    <x v="62"/>
  </r>
  <r>
    <x v="785"/>
    <x v="35"/>
    <x v="0"/>
    <x v="0"/>
    <x v="1"/>
    <x v="4"/>
    <x v="0"/>
    <x v="0"/>
    <x v="0"/>
    <x v="0"/>
    <x v="2"/>
    <x v="1"/>
    <x v="0"/>
    <x v="15"/>
    <x v="43"/>
    <x v="7"/>
    <x v="3"/>
    <x v="21"/>
    <x v="7"/>
  </r>
  <r>
    <x v="786"/>
    <x v="35"/>
    <x v="0"/>
    <x v="0"/>
    <x v="1"/>
    <x v="5"/>
    <x v="1"/>
    <x v="0"/>
    <x v="0"/>
    <x v="0"/>
    <x v="2"/>
    <x v="2"/>
    <x v="1"/>
    <x v="15"/>
    <x v="11"/>
    <x v="1"/>
    <x v="3"/>
    <x v="33"/>
    <x v="23"/>
  </r>
  <r>
    <x v="787"/>
    <x v="35"/>
    <x v="0"/>
    <x v="0"/>
    <x v="1"/>
    <x v="6"/>
    <x v="1"/>
    <x v="0"/>
    <x v="0"/>
    <x v="0"/>
    <x v="2"/>
    <x v="2"/>
    <x v="1"/>
    <x v="2"/>
    <x v="11"/>
    <x v="0"/>
    <x v="3"/>
    <x v="22"/>
    <x v="48"/>
  </r>
  <r>
    <x v="788"/>
    <x v="35"/>
    <x v="0"/>
    <x v="0"/>
    <x v="1"/>
    <x v="7"/>
    <x v="1"/>
    <x v="0"/>
    <x v="0"/>
    <x v="0"/>
    <x v="2"/>
    <x v="1"/>
    <x v="0"/>
    <x v="2"/>
    <x v="43"/>
    <x v="1"/>
    <x v="3"/>
    <x v="22"/>
    <x v="48"/>
  </r>
  <r>
    <x v="789"/>
    <x v="35"/>
    <x v="0"/>
    <x v="0"/>
    <x v="1"/>
    <x v="8"/>
    <x v="1"/>
    <x v="0"/>
    <x v="0"/>
    <x v="0"/>
    <x v="2"/>
    <x v="2"/>
    <x v="1"/>
    <x v="15"/>
    <x v="11"/>
    <x v="1"/>
    <x v="3"/>
    <x v="3"/>
    <x v="98"/>
  </r>
  <r>
    <x v="790"/>
    <x v="35"/>
    <x v="0"/>
    <x v="0"/>
    <x v="1"/>
    <x v="9"/>
    <x v="1"/>
    <x v="0"/>
    <x v="0"/>
    <x v="0"/>
    <x v="2"/>
    <x v="2"/>
    <x v="1"/>
    <x v="15"/>
    <x v="11"/>
    <x v="1"/>
    <x v="0"/>
    <x v="19"/>
    <x v="25"/>
  </r>
  <r>
    <x v="791"/>
    <x v="35"/>
    <x v="0"/>
    <x v="0"/>
    <x v="1"/>
    <x v="10"/>
    <x v="1"/>
    <x v="0"/>
    <x v="0"/>
    <x v="0"/>
    <x v="2"/>
    <x v="2"/>
    <x v="1"/>
    <x v="16"/>
    <x v="11"/>
    <x v="7"/>
    <x v="0"/>
    <x v="17"/>
    <x v="19"/>
  </r>
  <r>
    <x v="792"/>
    <x v="35"/>
    <x v="0"/>
    <x v="0"/>
    <x v="1"/>
    <x v="11"/>
    <x v="1"/>
    <x v="0"/>
    <x v="0"/>
    <x v="0"/>
    <x v="2"/>
    <x v="1"/>
    <x v="0"/>
    <x v="15"/>
    <x v="11"/>
    <x v="7"/>
    <x v="5"/>
    <x v="24"/>
    <x v="105"/>
  </r>
  <r>
    <x v="793"/>
    <x v="35"/>
    <x v="0"/>
    <x v="0"/>
    <x v="1"/>
    <x v="12"/>
    <x v="2"/>
    <x v="0"/>
    <x v="0"/>
    <x v="0"/>
    <x v="2"/>
    <x v="1"/>
    <x v="0"/>
    <x v="15"/>
    <x v="11"/>
    <x v="8"/>
    <x v="22"/>
    <x v="76"/>
    <x v="46"/>
  </r>
  <r>
    <x v="794"/>
    <x v="35"/>
    <x v="0"/>
    <x v="0"/>
    <x v="1"/>
    <x v="13"/>
    <x v="2"/>
    <x v="0"/>
    <x v="0"/>
    <x v="0"/>
    <x v="2"/>
    <x v="1"/>
    <x v="0"/>
    <x v="15"/>
    <x v="11"/>
    <x v="8"/>
    <x v="22"/>
    <x v="133"/>
    <x v="44"/>
  </r>
  <r>
    <x v="795"/>
    <x v="35"/>
    <x v="0"/>
    <x v="0"/>
    <x v="1"/>
    <x v="14"/>
    <x v="2"/>
    <x v="0"/>
    <x v="0"/>
    <x v="0"/>
    <x v="2"/>
    <x v="1"/>
    <x v="0"/>
    <x v="1"/>
    <x v="11"/>
    <x v="0"/>
    <x v="2"/>
    <x v="54"/>
    <x v="97"/>
  </r>
  <r>
    <x v="796"/>
    <x v="35"/>
    <x v="0"/>
    <x v="0"/>
    <x v="1"/>
    <x v="15"/>
    <x v="2"/>
    <x v="0"/>
    <x v="0"/>
    <x v="0"/>
    <x v="2"/>
    <x v="1"/>
    <x v="0"/>
    <x v="1"/>
    <x v="11"/>
    <x v="0"/>
    <x v="16"/>
    <x v="47"/>
    <x v="122"/>
  </r>
  <r>
    <x v="797"/>
    <x v="35"/>
    <x v="0"/>
    <x v="0"/>
    <x v="1"/>
    <x v="16"/>
    <x v="2"/>
    <x v="0"/>
    <x v="0"/>
    <x v="0"/>
    <x v="2"/>
    <x v="1"/>
    <x v="0"/>
    <x v="15"/>
    <x v="11"/>
    <x v="7"/>
    <x v="1"/>
    <x v="36"/>
    <x v="68"/>
  </r>
  <r>
    <x v="798"/>
    <x v="35"/>
    <x v="0"/>
    <x v="0"/>
    <x v="1"/>
    <x v="17"/>
    <x v="3"/>
    <x v="0"/>
    <x v="0"/>
    <x v="0"/>
    <x v="1"/>
    <x v="0"/>
    <x v="0"/>
    <x v="16"/>
    <x v="11"/>
    <x v="3"/>
    <x v="24"/>
    <x v="27"/>
    <x v="53"/>
  </r>
  <r>
    <x v="799"/>
    <x v="35"/>
    <x v="0"/>
    <x v="0"/>
    <x v="1"/>
    <x v="18"/>
    <x v="3"/>
    <x v="0"/>
    <x v="0"/>
    <x v="0"/>
    <x v="1"/>
    <x v="17"/>
    <x v="0"/>
    <x v="25"/>
    <x v="43"/>
    <x v="10"/>
    <x v="4"/>
    <x v="38"/>
    <x v="56"/>
  </r>
  <r>
    <x v="800"/>
    <x v="35"/>
    <x v="0"/>
    <x v="0"/>
    <x v="1"/>
    <x v="19"/>
    <x v="3"/>
    <x v="0"/>
    <x v="0"/>
    <x v="0"/>
    <x v="1"/>
    <x v="17"/>
    <x v="0"/>
    <x v="25"/>
    <x v="43"/>
    <x v="10"/>
    <x v="15"/>
    <x v="78"/>
    <x v="11"/>
  </r>
  <r>
    <x v="801"/>
    <x v="35"/>
    <x v="0"/>
    <x v="0"/>
    <x v="1"/>
    <x v="20"/>
    <x v="0"/>
    <x v="0"/>
    <x v="0"/>
    <x v="0"/>
    <x v="0"/>
    <x v="11"/>
    <x v="0"/>
    <x v="0"/>
    <x v="9"/>
    <x v="2"/>
    <x v="2"/>
    <x v="27"/>
    <x v="83"/>
  </r>
  <r>
    <x v="802"/>
    <x v="35"/>
    <x v="0"/>
    <x v="0"/>
    <x v="1"/>
    <x v="21"/>
    <x v="0"/>
    <x v="0"/>
    <x v="0"/>
    <x v="0"/>
    <x v="0"/>
    <x v="12"/>
    <x v="0"/>
    <x v="2"/>
    <x v="11"/>
    <x v="5"/>
    <x v="0"/>
    <x v="42"/>
    <x v="10"/>
  </r>
  <r>
    <x v="803"/>
    <x v="35"/>
    <x v="0"/>
    <x v="0"/>
    <x v="1"/>
    <x v="22"/>
    <x v="0"/>
    <x v="0"/>
    <x v="0"/>
    <x v="0"/>
    <x v="0"/>
    <x v="12"/>
    <x v="0"/>
    <x v="1"/>
    <x v="43"/>
    <x v="7"/>
    <x v="4"/>
    <x v="30"/>
    <x v="79"/>
  </r>
  <r>
    <x v="804"/>
    <x v="35"/>
    <x v="0"/>
    <x v="0"/>
    <x v="1"/>
    <x v="23"/>
    <x v="0"/>
    <x v="0"/>
    <x v="0"/>
    <x v="0"/>
    <x v="0"/>
    <x v="12"/>
    <x v="0"/>
    <x v="2"/>
    <x v="43"/>
    <x v="6"/>
    <x v="18"/>
    <x v="15"/>
    <x v="29"/>
  </r>
  <r>
    <x v="805"/>
    <x v="36"/>
    <x v="0"/>
    <x v="0"/>
    <x v="1"/>
    <x v="0"/>
    <x v="0"/>
    <x v="0"/>
    <x v="1"/>
    <x v="1"/>
    <x v="0"/>
    <x v="12"/>
    <x v="0"/>
    <x v="2"/>
    <x v="56"/>
    <x v="5"/>
    <x v="4"/>
    <x v="53"/>
    <x v="21"/>
  </r>
  <r>
    <x v="806"/>
    <x v="36"/>
    <x v="0"/>
    <x v="0"/>
    <x v="1"/>
    <x v="1"/>
    <x v="0"/>
    <x v="0"/>
    <x v="1"/>
    <x v="1"/>
    <x v="0"/>
    <x v="12"/>
    <x v="0"/>
    <x v="15"/>
    <x v="55"/>
    <x v="12"/>
    <x v="17"/>
    <x v="71"/>
    <x v="40"/>
  </r>
  <r>
    <x v="807"/>
    <x v="36"/>
    <x v="0"/>
    <x v="0"/>
    <x v="1"/>
    <x v="2"/>
    <x v="0"/>
    <x v="0"/>
    <x v="1"/>
    <x v="1"/>
    <x v="0"/>
    <x v="12"/>
    <x v="0"/>
    <x v="15"/>
    <x v="54"/>
    <x v="9"/>
    <x v="3"/>
    <x v="32"/>
    <x v="25"/>
  </r>
  <r>
    <x v="808"/>
    <x v="36"/>
    <x v="0"/>
    <x v="0"/>
    <x v="1"/>
    <x v="3"/>
    <x v="0"/>
    <x v="0"/>
    <x v="1"/>
    <x v="1"/>
    <x v="0"/>
    <x v="12"/>
    <x v="0"/>
    <x v="0"/>
    <x v="54"/>
    <x v="1"/>
    <x v="0"/>
    <x v="3"/>
    <x v="3"/>
  </r>
  <r>
    <x v="809"/>
    <x v="36"/>
    <x v="0"/>
    <x v="0"/>
    <x v="1"/>
    <x v="4"/>
    <x v="0"/>
    <x v="0"/>
    <x v="1"/>
    <x v="1"/>
    <x v="0"/>
    <x v="12"/>
    <x v="0"/>
    <x v="15"/>
    <x v="54"/>
    <x v="11"/>
    <x v="3"/>
    <x v="6"/>
    <x v="5"/>
  </r>
  <r>
    <x v="810"/>
    <x v="36"/>
    <x v="0"/>
    <x v="0"/>
    <x v="1"/>
    <x v="5"/>
    <x v="1"/>
    <x v="0"/>
    <x v="1"/>
    <x v="1"/>
    <x v="0"/>
    <x v="12"/>
    <x v="0"/>
    <x v="2"/>
    <x v="54"/>
    <x v="6"/>
    <x v="3"/>
    <x v="4"/>
    <x v="4"/>
  </r>
  <r>
    <x v="811"/>
    <x v="36"/>
    <x v="0"/>
    <x v="0"/>
    <x v="1"/>
    <x v="6"/>
    <x v="1"/>
    <x v="0"/>
    <x v="1"/>
    <x v="1"/>
    <x v="0"/>
    <x v="12"/>
    <x v="0"/>
    <x v="2"/>
    <x v="54"/>
    <x v="6"/>
    <x v="3"/>
    <x v="4"/>
    <x v="4"/>
  </r>
  <r>
    <x v="812"/>
    <x v="36"/>
    <x v="0"/>
    <x v="0"/>
    <x v="1"/>
    <x v="7"/>
    <x v="1"/>
    <x v="0"/>
    <x v="1"/>
    <x v="1"/>
    <x v="0"/>
    <x v="0"/>
    <x v="0"/>
    <x v="25"/>
    <x v="55"/>
    <x v="8"/>
    <x v="3"/>
    <x v="21"/>
    <x v="7"/>
  </r>
  <r>
    <x v="813"/>
    <x v="36"/>
    <x v="0"/>
    <x v="0"/>
    <x v="1"/>
    <x v="8"/>
    <x v="1"/>
    <x v="0"/>
    <x v="1"/>
    <x v="1"/>
    <x v="0"/>
    <x v="0"/>
    <x v="0"/>
    <x v="2"/>
    <x v="55"/>
    <x v="14"/>
    <x v="4"/>
    <x v="144"/>
    <x v="84"/>
  </r>
  <r>
    <x v="814"/>
    <x v="36"/>
    <x v="0"/>
    <x v="0"/>
    <x v="1"/>
    <x v="9"/>
    <x v="1"/>
    <x v="0"/>
    <x v="1"/>
    <x v="1"/>
    <x v="0"/>
    <x v="17"/>
    <x v="0"/>
    <x v="0"/>
    <x v="34"/>
    <x v="14"/>
    <x v="18"/>
    <x v="101"/>
    <x v="79"/>
  </r>
  <r>
    <x v="815"/>
    <x v="36"/>
    <x v="0"/>
    <x v="0"/>
    <x v="1"/>
    <x v="10"/>
    <x v="1"/>
    <x v="0"/>
    <x v="1"/>
    <x v="1"/>
    <x v="0"/>
    <x v="11"/>
    <x v="0"/>
    <x v="0"/>
    <x v="35"/>
    <x v="2"/>
    <x v="13"/>
    <x v="64"/>
    <x v="70"/>
  </r>
  <r>
    <x v="816"/>
    <x v="36"/>
    <x v="0"/>
    <x v="0"/>
    <x v="1"/>
    <x v="11"/>
    <x v="1"/>
    <x v="0"/>
    <x v="1"/>
    <x v="1"/>
    <x v="0"/>
    <x v="3"/>
    <x v="2"/>
    <x v="32"/>
    <x v="36"/>
    <x v="2"/>
    <x v="32"/>
    <x v="121"/>
    <x v="126"/>
  </r>
  <r>
    <x v="817"/>
    <x v="36"/>
    <x v="0"/>
    <x v="0"/>
    <x v="1"/>
    <x v="12"/>
    <x v="2"/>
    <x v="0"/>
    <x v="1"/>
    <x v="1"/>
    <x v="0"/>
    <x v="10"/>
    <x v="2"/>
    <x v="6"/>
    <x v="15"/>
    <x v="0"/>
    <x v="33"/>
    <x v="167"/>
    <x v="177"/>
  </r>
  <r>
    <x v="818"/>
    <x v="36"/>
    <x v="0"/>
    <x v="0"/>
    <x v="1"/>
    <x v="13"/>
    <x v="2"/>
    <x v="0"/>
    <x v="1"/>
    <x v="1"/>
    <x v="0"/>
    <x v="10"/>
    <x v="2"/>
    <x v="37"/>
    <x v="15"/>
    <x v="0"/>
    <x v="9"/>
    <x v="113"/>
    <x v="58"/>
  </r>
  <r>
    <x v="819"/>
    <x v="36"/>
    <x v="0"/>
    <x v="0"/>
    <x v="1"/>
    <x v="14"/>
    <x v="2"/>
    <x v="0"/>
    <x v="1"/>
    <x v="1"/>
    <x v="0"/>
    <x v="10"/>
    <x v="2"/>
    <x v="4"/>
    <x v="15"/>
    <x v="1"/>
    <x v="9"/>
    <x v="156"/>
    <x v="143"/>
  </r>
  <r>
    <x v="820"/>
    <x v="36"/>
    <x v="0"/>
    <x v="0"/>
    <x v="1"/>
    <x v="15"/>
    <x v="2"/>
    <x v="0"/>
    <x v="1"/>
    <x v="1"/>
    <x v="0"/>
    <x v="10"/>
    <x v="2"/>
    <x v="4"/>
    <x v="15"/>
    <x v="1"/>
    <x v="34"/>
    <x v="110"/>
    <x v="58"/>
  </r>
  <r>
    <x v="821"/>
    <x v="36"/>
    <x v="0"/>
    <x v="0"/>
    <x v="1"/>
    <x v="16"/>
    <x v="2"/>
    <x v="0"/>
    <x v="1"/>
    <x v="1"/>
    <x v="0"/>
    <x v="10"/>
    <x v="2"/>
    <x v="4"/>
    <x v="36"/>
    <x v="14"/>
    <x v="35"/>
    <x v="168"/>
    <x v="45"/>
  </r>
  <r>
    <x v="822"/>
    <x v="36"/>
    <x v="0"/>
    <x v="0"/>
    <x v="1"/>
    <x v="17"/>
    <x v="3"/>
    <x v="0"/>
    <x v="1"/>
    <x v="1"/>
    <x v="0"/>
    <x v="10"/>
    <x v="2"/>
    <x v="37"/>
    <x v="15"/>
    <x v="0"/>
    <x v="31"/>
    <x v="106"/>
    <x v="178"/>
  </r>
  <r>
    <x v="823"/>
    <x v="36"/>
    <x v="0"/>
    <x v="0"/>
    <x v="1"/>
    <x v="18"/>
    <x v="3"/>
    <x v="0"/>
    <x v="1"/>
    <x v="1"/>
    <x v="0"/>
    <x v="11"/>
    <x v="0"/>
    <x v="32"/>
    <x v="34"/>
    <x v="8"/>
    <x v="23"/>
    <x v="65"/>
    <x v="53"/>
  </r>
  <r>
    <x v="824"/>
    <x v="36"/>
    <x v="0"/>
    <x v="0"/>
    <x v="1"/>
    <x v="19"/>
    <x v="3"/>
    <x v="0"/>
    <x v="1"/>
    <x v="1"/>
    <x v="0"/>
    <x v="17"/>
    <x v="0"/>
    <x v="0"/>
    <x v="53"/>
    <x v="7"/>
    <x v="5"/>
    <x v="32"/>
    <x v="137"/>
  </r>
  <r>
    <x v="825"/>
    <x v="36"/>
    <x v="0"/>
    <x v="0"/>
    <x v="1"/>
    <x v="20"/>
    <x v="0"/>
    <x v="0"/>
    <x v="1"/>
    <x v="1"/>
    <x v="0"/>
    <x v="17"/>
    <x v="0"/>
    <x v="0"/>
    <x v="53"/>
    <x v="14"/>
    <x v="2"/>
    <x v="144"/>
    <x v="132"/>
  </r>
  <r>
    <x v="826"/>
    <x v="36"/>
    <x v="0"/>
    <x v="0"/>
    <x v="1"/>
    <x v="21"/>
    <x v="0"/>
    <x v="0"/>
    <x v="1"/>
    <x v="1"/>
    <x v="0"/>
    <x v="12"/>
    <x v="0"/>
    <x v="32"/>
    <x v="54"/>
    <x v="0"/>
    <x v="2"/>
    <x v="97"/>
    <x v="110"/>
  </r>
  <r>
    <x v="827"/>
    <x v="36"/>
    <x v="0"/>
    <x v="0"/>
    <x v="1"/>
    <x v="22"/>
    <x v="0"/>
    <x v="0"/>
    <x v="1"/>
    <x v="1"/>
    <x v="0"/>
    <x v="12"/>
    <x v="0"/>
    <x v="32"/>
    <x v="54"/>
    <x v="0"/>
    <x v="2"/>
    <x v="77"/>
    <x v="69"/>
  </r>
  <r>
    <x v="828"/>
    <x v="36"/>
    <x v="0"/>
    <x v="0"/>
    <x v="1"/>
    <x v="23"/>
    <x v="0"/>
    <x v="0"/>
    <x v="1"/>
    <x v="1"/>
    <x v="0"/>
    <x v="0"/>
    <x v="0"/>
    <x v="0"/>
    <x v="55"/>
    <x v="0"/>
    <x v="17"/>
    <x v="16"/>
    <x v="33"/>
  </r>
  <r>
    <x v="829"/>
    <x v="37"/>
    <x v="0"/>
    <x v="0"/>
    <x v="1"/>
    <x v="0"/>
    <x v="0"/>
    <x v="0"/>
    <x v="2"/>
    <x v="2"/>
    <x v="0"/>
    <x v="0"/>
    <x v="0"/>
    <x v="0"/>
    <x v="55"/>
    <x v="0"/>
    <x v="5"/>
    <x v="88"/>
    <x v="93"/>
  </r>
  <r>
    <x v="830"/>
    <x v="37"/>
    <x v="0"/>
    <x v="0"/>
    <x v="1"/>
    <x v="1"/>
    <x v="0"/>
    <x v="0"/>
    <x v="2"/>
    <x v="2"/>
    <x v="0"/>
    <x v="1"/>
    <x v="0"/>
    <x v="1"/>
    <x v="2"/>
    <x v="0"/>
    <x v="5"/>
    <x v="22"/>
    <x v="36"/>
  </r>
  <r>
    <x v="831"/>
    <x v="37"/>
    <x v="0"/>
    <x v="0"/>
    <x v="1"/>
    <x v="2"/>
    <x v="0"/>
    <x v="0"/>
    <x v="2"/>
    <x v="2"/>
    <x v="0"/>
    <x v="2"/>
    <x v="1"/>
    <x v="2"/>
    <x v="1"/>
    <x v="0"/>
    <x v="3"/>
    <x v="35"/>
    <x v="6"/>
  </r>
  <r>
    <x v="832"/>
    <x v="37"/>
    <x v="0"/>
    <x v="0"/>
    <x v="1"/>
    <x v="3"/>
    <x v="0"/>
    <x v="0"/>
    <x v="2"/>
    <x v="2"/>
    <x v="0"/>
    <x v="2"/>
    <x v="1"/>
    <x v="2"/>
    <x v="3"/>
    <x v="0"/>
    <x v="3"/>
    <x v="4"/>
    <x v="4"/>
  </r>
  <r>
    <x v="833"/>
    <x v="37"/>
    <x v="0"/>
    <x v="0"/>
    <x v="1"/>
    <x v="4"/>
    <x v="0"/>
    <x v="0"/>
    <x v="2"/>
    <x v="2"/>
    <x v="0"/>
    <x v="2"/>
    <x v="1"/>
    <x v="2"/>
    <x v="3"/>
    <x v="0"/>
    <x v="5"/>
    <x v="4"/>
    <x v="5"/>
  </r>
  <r>
    <x v="834"/>
    <x v="37"/>
    <x v="0"/>
    <x v="0"/>
    <x v="1"/>
    <x v="5"/>
    <x v="1"/>
    <x v="0"/>
    <x v="2"/>
    <x v="2"/>
    <x v="0"/>
    <x v="2"/>
    <x v="1"/>
    <x v="2"/>
    <x v="3"/>
    <x v="0"/>
    <x v="5"/>
    <x v="33"/>
    <x v="98"/>
  </r>
  <r>
    <x v="835"/>
    <x v="37"/>
    <x v="0"/>
    <x v="0"/>
    <x v="1"/>
    <x v="6"/>
    <x v="1"/>
    <x v="0"/>
    <x v="2"/>
    <x v="2"/>
    <x v="0"/>
    <x v="15"/>
    <x v="1"/>
    <x v="25"/>
    <x v="43"/>
    <x v="0"/>
    <x v="5"/>
    <x v="31"/>
    <x v="33"/>
  </r>
  <r>
    <x v="836"/>
    <x v="37"/>
    <x v="0"/>
    <x v="0"/>
    <x v="1"/>
    <x v="7"/>
    <x v="1"/>
    <x v="0"/>
    <x v="2"/>
    <x v="2"/>
    <x v="0"/>
    <x v="15"/>
    <x v="1"/>
    <x v="25"/>
    <x v="3"/>
    <x v="0"/>
    <x v="15"/>
    <x v="121"/>
    <x v="76"/>
  </r>
  <r>
    <x v="837"/>
    <x v="37"/>
    <x v="0"/>
    <x v="0"/>
    <x v="1"/>
    <x v="8"/>
    <x v="1"/>
    <x v="0"/>
    <x v="2"/>
    <x v="2"/>
    <x v="1"/>
    <x v="13"/>
    <x v="1"/>
    <x v="15"/>
    <x v="11"/>
    <x v="0"/>
    <x v="18"/>
    <x v="169"/>
    <x v="179"/>
  </r>
  <r>
    <x v="838"/>
    <x v="37"/>
    <x v="0"/>
    <x v="0"/>
    <x v="1"/>
    <x v="9"/>
    <x v="1"/>
    <x v="0"/>
    <x v="2"/>
    <x v="2"/>
    <x v="0"/>
    <x v="1"/>
    <x v="0"/>
    <x v="1"/>
    <x v="1"/>
    <x v="0"/>
    <x v="0"/>
    <x v="168"/>
    <x v="130"/>
  </r>
  <r>
    <x v="839"/>
    <x v="37"/>
    <x v="0"/>
    <x v="0"/>
    <x v="1"/>
    <x v="10"/>
    <x v="1"/>
    <x v="0"/>
    <x v="2"/>
    <x v="2"/>
    <x v="0"/>
    <x v="0"/>
    <x v="0"/>
    <x v="2"/>
    <x v="2"/>
    <x v="14"/>
    <x v="15"/>
    <x v="47"/>
    <x v="97"/>
  </r>
  <r>
    <x v="840"/>
    <x v="37"/>
    <x v="0"/>
    <x v="0"/>
    <x v="1"/>
    <x v="11"/>
    <x v="1"/>
    <x v="0"/>
    <x v="2"/>
    <x v="2"/>
    <x v="0"/>
    <x v="11"/>
    <x v="0"/>
    <x v="28"/>
    <x v="55"/>
    <x v="1"/>
    <x v="16"/>
    <x v="49"/>
    <x v="105"/>
  </r>
  <r>
    <x v="841"/>
    <x v="37"/>
    <x v="0"/>
    <x v="0"/>
    <x v="1"/>
    <x v="12"/>
    <x v="2"/>
    <x v="0"/>
    <x v="2"/>
    <x v="2"/>
    <x v="1"/>
    <x v="3"/>
    <x v="2"/>
    <x v="4"/>
    <x v="51"/>
    <x v="0"/>
    <x v="18"/>
    <x v="79"/>
    <x v="180"/>
  </r>
  <r>
    <x v="842"/>
    <x v="37"/>
    <x v="0"/>
    <x v="0"/>
    <x v="1"/>
    <x v="13"/>
    <x v="2"/>
    <x v="0"/>
    <x v="2"/>
    <x v="2"/>
    <x v="1"/>
    <x v="5"/>
    <x v="2"/>
    <x v="37"/>
    <x v="14"/>
    <x v="1"/>
    <x v="22"/>
    <x v="25"/>
    <x v="37"/>
  </r>
  <r>
    <x v="843"/>
    <x v="37"/>
    <x v="0"/>
    <x v="0"/>
    <x v="1"/>
    <x v="14"/>
    <x v="2"/>
    <x v="0"/>
    <x v="2"/>
    <x v="2"/>
    <x v="1"/>
    <x v="5"/>
    <x v="2"/>
    <x v="37"/>
    <x v="14"/>
    <x v="1"/>
    <x v="1"/>
    <x v="15"/>
    <x v="122"/>
  </r>
  <r>
    <x v="844"/>
    <x v="37"/>
    <x v="0"/>
    <x v="0"/>
    <x v="1"/>
    <x v="15"/>
    <x v="2"/>
    <x v="0"/>
    <x v="2"/>
    <x v="2"/>
    <x v="1"/>
    <x v="4"/>
    <x v="2"/>
    <x v="5"/>
    <x v="47"/>
    <x v="1"/>
    <x v="17"/>
    <x v="24"/>
    <x v="89"/>
  </r>
  <r>
    <x v="845"/>
    <x v="37"/>
    <x v="0"/>
    <x v="0"/>
    <x v="1"/>
    <x v="16"/>
    <x v="2"/>
    <x v="0"/>
    <x v="2"/>
    <x v="2"/>
    <x v="1"/>
    <x v="5"/>
    <x v="2"/>
    <x v="4"/>
    <x v="14"/>
    <x v="7"/>
    <x v="19"/>
    <x v="52"/>
    <x v="181"/>
  </r>
  <r>
    <x v="846"/>
    <x v="37"/>
    <x v="0"/>
    <x v="0"/>
    <x v="1"/>
    <x v="17"/>
    <x v="3"/>
    <x v="0"/>
    <x v="2"/>
    <x v="2"/>
    <x v="1"/>
    <x v="3"/>
    <x v="2"/>
    <x v="28"/>
    <x v="56"/>
    <x v="8"/>
    <x v="14"/>
    <x v="134"/>
    <x v="182"/>
  </r>
  <r>
    <x v="847"/>
    <x v="37"/>
    <x v="0"/>
    <x v="0"/>
    <x v="1"/>
    <x v="18"/>
    <x v="3"/>
    <x v="0"/>
    <x v="2"/>
    <x v="2"/>
    <x v="1"/>
    <x v="10"/>
    <x v="2"/>
    <x v="6"/>
    <x v="13"/>
    <x v="7"/>
    <x v="2"/>
    <x v="162"/>
    <x v="172"/>
  </r>
  <r>
    <x v="848"/>
    <x v="37"/>
    <x v="0"/>
    <x v="0"/>
    <x v="1"/>
    <x v="19"/>
    <x v="3"/>
    <x v="0"/>
    <x v="2"/>
    <x v="2"/>
    <x v="1"/>
    <x v="3"/>
    <x v="2"/>
    <x v="4"/>
    <x v="56"/>
    <x v="0"/>
    <x v="2"/>
    <x v="170"/>
    <x v="116"/>
  </r>
  <r>
    <x v="849"/>
    <x v="37"/>
    <x v="0"/>
    <x v="0"/>
    <x v="1"/>
    <x v="20"/>
    <x v="0"/>
    <x v="0"/>
    <x v="2"/>
    <x v="2"/>
    <x v="1"/>
    <x v="3"/>
    <x v="2"/>
    <x v="6"/>
    <x v="56"/>
    <x v="14"/>
    <x v="15"/>
    <x v="70"/>
    <x v="39"/>
  </r>
  <r>
    <x v="850"/>
    <x v="37"/>
    <x v="0"/>
    <x v="0"/>
    <x v="1"/>
    <x v="21"/>
    <x v="0"/>
    <x v="0"/>
    <x v="2"/>
    <x v="2"/>
    <x v="0"/>
    <x v="3"/>
    <x v="2"/>
    <x v="4"/>
    <x v="56"/>
    <x v="0"/>
    <x v="0"/>
    <x v="102"/>
    <x v="53"/>
  </r>
  <r>
    <x v="851"/>
    <x v="37"/>
    <x v="0"/>
    <x v="0"/>
    <x v="1"/>
    <x v="22"/>
    <x v="0"/>
    <x v="0"/>
    <x v="2"/>
    <x v="2"/>
    <x v="0"/>
    <x v="17"/>
    <x v="0"/>
    <x v="32"/>
    <x v="0"/>
    <x v="1"/>
    <x v="0"/>
    <x v="60"/>
    <x v="18"/>
  </r>
  <r>
    <x v="852"/>
    <x v="37"/>
    <x v="0"/>
    <x v="0"/>
    <x v="1"/>
    <x v="23"/>
    <x v="0"/>
    <x v="0"/>
    <x v="2"/>
    <x v="2"/>
    <x v="1"/>
    <x v="11"/>
    <x v="0"/>
    <x v="6"/>
    <x v="0"/>
    <x v="0"/>
    <x v="15"/>
    <x v="23"/>
    <x v="94"/>
  </r>
  <r>
    <x v="853"/>
    <x v="38"/>
    <x v="0"/>
    <x v="0"/>
    <x v="1"/>
    <x v="0"/>
    <x v="0"/>
    <x v="0"/>
    <x v="3"/>
    <x v="3"/>
    <x v="1"/>
    <x v="17"/>
    <x v="0"/>
    <x v="28"/>
    <x v="9"/>
    <x v="0"/>
    <x v="17"/>
    <x v="8"/>
    <x v="98"/>
  </r>
  <r>
    <x v="854"/>
    <x v="38"/>
    <x v="0"/>
    <x v="0"/>
    <x v="1"/>
    <x v="1"/>
    <x v="0"/>
    <x v="0"/>
    <x v="3"/>
    <x v="3"/>
    <x v="1"/>
    <x v="17"/>
    <x v="0"/>
    <x v="28"/>
    <x v="9"/>
    <x v="0"/>
    <x v="3"/>
    <x v="22"/>
    <x v="48"/>
  </r>
  <r>
    <x v="855"/>
    <x v="38"/>
    <x v="0"/>
    <x v="0"/>
    <x v="1"/>
    <x v="2"/>
    <x v="0"/>
    <x v="0"/>
    <x v="3"/>
    <x v="3"/>
    <x v="1"/>
    <x v="12"/>
    <x v="0"/>
    <x v="1"/>
    <x v="43"/>
    <x v="14"/>
    <x v="5"/>
    <x v="4"/>
    <x v="5"/>
  </r>
  <r>
    <x v="856"/>
    <x v="38"/>
    <x v="0"/>
    <x v="0"/>
    <x v="1"/>
    <x v="3"/>
    <x v="0"/>
    <x v="0"/>
    <x v="3"/>
    <x v="3"/>
    <x v="2"/>
    <x v="17"/>
    <x v="0"/>
    <x v="1"/>
    <x v="43"/>
    <x v="8"/>
    <x v="3"/>
    <x v="4"/>
    <x v="4"/>
  </r>
  <r>
    <x v="857"/>
    <x v="38"/>
    <x v="0"/>
    <x v="0"/>
    <x v="1"/>
    <x v="4"/>
    <x v="0"/>
    <x v="0"/>
    <x v="3"/>
    <x v="3"/>
    <x v="0"/>
    <x v="12"/>
    <x v="0"/>
    <x v="2"/>
    <x v="43"/>
    <x v="8"/>
    <x v="3"/>
    <x v="35"/>
    <x v="6"/>
  </r>
  <r>
    <x v="858"/>
    <x v="38"/>
    <x v="0"/>
    <x v="0"/>
    <x v="1"/>
    <x v="5"/>
    <x v="1"/>
    <x v="0"/>
    <x v="3"/>
    <x v="3"/>
    <x v="0"/>
    <x v="12"/>
    <x v="0"/>
    <x v="15"/>
    <x v="0"/>
    <x v="9"/>
    <x v="3"/>
    <x v="6"/>
    <x v="5"/>
  </r>
  <r>
    <x v="859"/>
    <x v="38"/>
    <x v="0"/>
    <x v="0"/>
    <x v="1"/>
    <x v="6"/>
    <x v="1"/>
    <x v="0"/>
    <x v="3"/>
    <x v="3"/>
    <x v="0"/>
    <x v="12"/>
    <x v="0"/>
    <x v="15"/>
    <x v="56"/>
    <x v="9"/>
    <x v="3"/>
    <x v="87"/>
    <x v="21"/>
  </r>
  <r>
    <x v="860"/>
    <x v="38"/>
    <x v="0"/>
    <x v="0"/>
    <x v="1"/>
    <x v="7"/>
    <x v="1"/>
    <x v="0"/>
    <x v="3"/>
    <x v="3"/>
    <x v="0"/>
    <x v="0"/>
    <x v="0"/>
    <x v="17"/>
    <x v="55"/>
    <x v="12"/>
    <x v="0"/>
    <x v="106"/>
    <x v="50"/>
  </r>
  <r>
    <x v="861"/>
    <x v="38"/>
    <x v="0"/>
    <x v="0"/>
    <x v="1"/>
    <x v="8"/>
    <x v="1"/>
    <x v="0"/>
    <x v="3"/>
    <x v="3"/>
    <x v="0"/>
    <x v="0"/>
    <x v="0"/>
    <x v="17"/>
    <x v="34"/>
    <x v="15"/>
    <x v="18"/>
    <x v="171"/>
    <x v="183"/>
  </r>
  <r>
    <x v="862"/>
    <x v="38"/>
    <x v="0"/>
    <x v="0"/>
    <x v="1"/>
    <x v="9"/>
    <x v="1"/>
    <x v="0"/>
    <x v="3"/>
    <x v="3"/>
    <x v="0"/>
    <x v="0"/>
    <x v="0"/>
    <x v="17"/>
    <x v="35"/>
    <x v="15"/>
    <x v="18"/>
    <x v="172"/>
    <x v="169"/>
  </r>
  <r>
    <x v="863"/>
    <x v="38"/>
    <x v="0"/>
    <x v="0"/>
    <x v="1"/>
    <x v="10"/>
    <x v="1"/>
    <x v="0"/>
    <x v="3"/>
    <x v="3"/>
    <x v="0"/>
    <x v="1"/>
    <x v="0"/>
    <x v="23"/>
    <x v="19"/>
    <x v="16"/>
    <x v="17"/>
    <x v="100"/>
    <x v="61"/>
  </r>
  <r>
    <x v="864"/>
    <x v="38"/>
    <x v="0"/>
    <x v="0"/>
    <x v="1"/>
    <x v="11"/>
    <x v="1"/>
    <x v="0"/>
    <x v="3"/>
    <x v="3"/>
    <x v="0"/>
    <x v="1"/>
    <x v="0"/>
    <x v="23"/>
    <x v="19"/>
    <x v="17"/>
    <x v="5"/>
    <x v="47"/>
    <x v="89"/>
  </r>
  <r>
    <x v="865"/>
    <x v="38"/>
    <x v="0"/>
    <x v="0"/>
    <x v="1"/>
    <x v="12"/>
    <x v="2"/>
    <x v="0"/>
    <x v="3"/>
    <x v="3"/>
    <x v="0"/>
    <x v="0"/>
    <x v="0"/>
    <x v="17"/>
    <x v="41"/>
    <x v="15"/>
    <x v="4"/>
    <x v="36"/>
    <x v="32"/>
  </r>
  <r>
    <x v="866"/>
    <x v="38"/>
    <x v="0"/>
    <x v="0"/>
    <x v="1"/>
    <x v="13"/>
    <x v="2"/>
    <x v="0"/>
    <x v="3"/>
    <x v="3"/>
    <x v="1"/>
    <x v="0"/>
    <x v="0"/>
    <x v="17"/>
    <x v="25"/>
    <x v="10"/>
    <x v="4"/>
    <x v="41"/>
    <x v="89"/>
  </r>
  <r>
    <x v="867"/>
    <x v="38"/>
    <x v="0"/>
    <x v="0"/>
    <x v="1"/>
    <x v="14"/>
    <x v="2"/>
    <x v="0"/>
    <x v="3"/>
    <x v="3"/>
    <x v="0"/>
    <x v="1"/>
    <x v="0"/>
    <x v="17"/>
    <x v="38"/>
    <x v="12"/>
    <x v="0"/>
    <x v="124"/>
    <x v="37"/>
  </r>
  <r>
    <x v="868"/>
    <x v="38"/>
    <x v="0"/>
    <x v="0"/>
    <x v="1"/>
    <x v="15"/>
    <x v="2"/>
    <x v="0"/>
    <x v="3"/>
    <x v="3"/>
    <x v="0"/>
    <x v="1"/>
    <x v="0"/>
    <x v="17"/>
    <x v="23"/>
    <x v="13"/>
    <x v="15"/>
    <x v="108"/>
    <x v="41"/>
  </r>
  <r>
    <x v="869"/>
    <x v="38"/>
    <x v="0"/>
    <x v="0"/>
    <x v="1"/>
    <x v="16"/>
    <x v="2"/>
    <x v="0"/>
    <x v="3"/>
    <x v="3"/>
    <x v="0"/>
    <x v="1"/>
    <x v="0"/>
    <x v="23"/>
    <x v="23"/>
    <x v="18"/>
    <x v="17"/>
    <x v="55"/>
    <x v="56"/>
  </r>
  <r>
    <x v="870"/>
    <x v="38"/>
    <x v="0"/>
    <x v="0"/>
    <x v="1"/>
    <x v="17"/>
    <x v="3"/>
    <x v="0"/>
    <x v="3"/>
    <x v="3"/>
    <x v="0"/>
    <x v="1"/>
    <x v="0"/>
    <x v="23"/>
    <x v="25"/>
    <x v="19"/>
    <x v="17"/>
    <x v="157"/>
    <x v="170"/>
  </r>
  <r>
    <x v="871"/>
    <x v="38"/>
    <x v="0"/>
    <x v="0"/>
    <x v="1"/>
    <x v="18"/>
    <x v="3"/>
    <x v="0"/>
    <x v="3"/>
    <x v="3"/>
    <x v="0"/>
    <x v="2"/>
    <x v="1"/>
    <x v="23"/>
    <x v="25"/>
    <x v="13"/>
    <x v="5"/>
    <x v="137"/>
    <x v="148"/>
  </r>
  <r>
    <x v="872"/>
    <x v="38"/>
    <x v="0"/>
    <x v="0"/>
    <x v="1"/>
    <x v="19"/>
    <x v="3"/>
    <x v="0"/>
    <x v="3"/>
    <x v="3"/>
    <x v="0"/>
    <x v="13"/>
    <x v="1"/>
    <x v="21"/>
    <x v="22"/>
    <x v="17"/>
    <x v="5"/>
    <x v="129"/>
    <x v="129"/>
  </r>
  <r>
    <x v="873"/>
    <x v="38"/>
    <x v="0"/>
    <x v="0"/>
    <x v="1"/>
    <x v="20"/>
    <x v="0"/>
    <x v="0"/>
    <x v="3"/>
    <x v="3"/>
    <x v="0"/>
    <x v="13"/>
    <x v="1"/>
    <x v="19"/>
    <x v="22"/>
    <x v="9"/>
    <x v="0"/>
    <x v="42"/>
    <x v="10"/>
  </r>
  <r>
    <x v="874"/>
    <x v="38"/>
    <x v="0"/>
    <x v="0"/>
    <x v="1"/>
    <x v="21"/>
    <x v="0"/>
    <x v="0"/>
    <x v="3"/>
    <x v="3"/>
    <x v="0"/>
    <x v="14"/>
    <x v="1"/>
    <x v="20"/>
    <x v="39"/>
    <x v="17"/>
    <x v="1"/>
    <x v="24"/>
    <x v="60"/>
  </r>
  <r>
    <x v="875"/>
    <x v="38"/>
    <x v="0"/>
    <x v="0"/>
    <x v="1"/>
    <x v="22"/>
    <x v="0"/>
    <x v="0"/>
    <x v="3"/>
    <x v="3"/>
    <x v="0"/>
    <x v="16"/>
    <x v="1"/>
    <x v="20"/>
    <x v="39"/>
    <x v="11"/>
    <x v="3"/>
    <x v="31"/>
    <x v="115"/>
  </r>
  <r>
    <x v="876"/>
    <x v="38"/>
    <x v="0"/>
    <x v="0"/>
    <x v="1"/>
    <x v="23"/>
    <x v="0"/>
    <x v="0"/>
    <x v="3"/>
    <x v="3"/>
    <x v="0"/>
    <x v="16"/>
    <x v="1"/>
    <x v="20"/>
    <x v="39"/>
    <x v="9"/>
    <x v="0"/>
    <x v="33"/>
    <x v="47"/>
  </r>
  <r>
    <x v="877"/>
    <x v="39"/>
    <x v="0"/>
    <x v="0"/>
    <x v="1"/>
    <x v="0"/>
    <x v="0"/>
    <x v="0"/>
    <x v="4"/>
    <x v="4"/>
    <x v="0"/>
    <x v="18"/>
    <x v="3"/>
    <x v="30"/>
    <x v="42"/>
    <x v="11"/>
    <x v="3"/>
    <x v="19"/>
    <x v="22"/>
  </r>
  <r>
    <x v="878"/>
    <x v="39"/>
    <x v="0"/>
    <x v="0"/>
    <x v="1"/>
    <x v="1"/>
    <x v="0"/>
    <x v="0"/>
    <x v="4"/>
    <x v="4"/>
    <x v="0"/>
    <x v="18"/>
    <x v="3"/>
    <x v="20"/>
    <x v="42"/>
    <x v="6"/>
    <x v="3"/>
    <x v="7"/>
    <x v="85"/>
  </r>
  <r>
    <x v="879"/>
    <x v="39"/>
    <x v="0"/>
    <x v="0"/>
    <x v="1"/>
    <x v="2"/>
    <x v="0"/>
    <x v="0"/>
    <x v="4"/>
    <x v="4"/>
    <x v="0"/>
    <x v="19"/>
    <x v="3"/>
    <x v="30"/>
    <x v="41"/>
    <x v="3"/>
    <x v="5"/>
    <x v="6"/>
    <x v="6"/>
  </r>
  <r>
    <x v="880"/>
    <x v="39"/>
    <x v="0"/>
    <x v="0"/>
    <x v="1"/>
    <x v="3"/>
    <x v="0"/>
    <x v="0"/>
    <x v="4"/>
    <x v="4"/>
    <x v="0"/>
    <x v="20"/>
    <x v="3"/>
    <x v="30"/>
    <x v="49"/>
    <x v="7"/>
    <x v="3"/>
    <x v="6"/>
    <x v="5"/>
  </r>
  <r>
    <x v="881"/>
    <x v="39"/>
    <x v="0"/>
    <x v="0"/>
    <x v="1"/>
    <x v="5"/>
    <x v="1"/>
    <x v="0"/>
    <x v="4"/>
    <x v="4"/>
    <x v="0"/>
    <x v="20"/>
    <x v="3"/>
    <x v="20"/>
    <x v="49"/>
    <x v="14"/>
    <x v="3"/>
    <x v="7"/>
    <x v="85"/>
  </r>
  <r>
    <x v="882"/>
    <x v="39"/>
    <x v="0"/>
    <x v="0"/>
    <x v="1"/>
    <x v="6"/>
    <x v="1"/>
    <x v="0"/>
    <x v="4"/>
    <x v="4"/>
    <x v="0"/>
    <x v="20"/>
    <x v="3"/>
    <x v="26"/>
    <x v="49"/>
    <x v="0"/>
    <x v="3"/>
    <x v="30"/>
    <x v="74"/>
  </r>
  <r>
    <x v="883"/>
    <x v="39"/>
    <x v="0"/>
    <x v="0"/>
    <x v="1"/>
    <x v="7"/>
    <x v="1"/>
    <x v="0"/>
    <x v="4"/>
    <x v="4"/>
    <x v="0"/>
    <x v="20"/>
    <x v="3"/>
    <x v="20"/>
    <x v="36"/>
    <x v="14"/>
    <x v="17"/>
    <x v="73"/>
    <x v="111"/>
  </r>
  <r>
    <x v="884"/>
    <x v="39"/>
    <x v="0"/>
    <x v="0"/>
    <x v="1"/>
    <x v="8"/>
    <x v="1"/>
    <x v="0"/>
    <x v="4"/>
    <x v="4"/>
    <x v="0"/>
    <x v="18"/>
    <x v="3"/>
    <x v="19"/>
    <x v="16"/>
    <x v="0"/>
    <x v="5"/>
    <x v="173"/>
    <x v="184"/>
  </r>
  <r>
    <x v="885"/>
    <x v="39"/>
    <x v="0"/>
    <x v="0"/>
    <x v="1"/>
    <x v="9"/>
    <x v="1"/>
    <x v="0"/>
    <x v="4"/>
    <x v="4"/>
    <x v="0"/>
    <x v="16"/>
    <x v="1"/>
    <x v="19"/>
    <x v="17"/>
    <x v="8"/>
    <x v="17"/>
    <x v="138"/>
    <x v="92"/>
  </r>
  <r>
    <x v="886"/>
    <x v="39"/>
    <x v="0"/>
    <x v="0"/>
    <x v="1"/>
    <x v="10"/>
    <x v="1"/>
    <x v="0"/>
    <x v="4"/>
    <x v="4"/>
    <x v="0"/>
    <x v="14"/>
    <x v="1"/>
    <x v="23"/>
    <x v="42"/>
    <x v="0"/>
    <x v="1"/>
    <x v="82"/>
    <x v="29"/>
  </r>
  <r>
    <x v="887"/>
    <x v="39"/>
    <x v="0"/>
    <x v="0"/>
    <x v="1"/>
    <x v="11"/>
    <x v="1"/>
    <x v="0"/>
    <x v="4"/>
    <x v="4"/>
    <x v="1"/>
    <x v="14"/>
    <x v="1"/>
    <x v="26"/>
    <x v="21"/>
    <x v="8"/>
    <x v="5"/>
    <x v="71"/>
    <x v="102"/>
  </r>
  <r>
    <x v="888"/>
    <x v="39"/>
    <x v="0"/>
    <x v="0"/>
    <x v="1"/>
    <x v="12"/>
    <x v="2"/>
    <x v="0"/>
    <x v="4"/>
    <x v="4"/>
    <x v="1"/>
    <x v="15"/>
    <x v="1"/>
    <x v="23"/>
    <x v="22"/>
    <x v="6"/>
    <x v="17"/>
    <x v="77"/>
    <x v="42"/>
  </r>
  <r>
    <x v="889"/>
    <x v="39"/>
    <x v="0"/>
    <x v="0"/>
    <x v="1"/>
    <x v="13"/>
    <x v="2"/>
    <x v="0"/>
    <x v="4"/>
    <x v="4"/>
    <x v="0"/>
    <x v="15"/>
    <x v="1"/>
    <x v="22"/>
    <x v="22"/>
    <x v="2"/>
    <x v="4"/>
    <x v="28"/>
    <x v="83"/>
  </r>
  <r>
    <x v="890"/>
    <x v="39"/>
    <x v="0"/>
    <x v="0"/>
    <x v="1"/>
    <x v="14"/>
    <x v="2"/>
    <x v="0"/>
    <x v="4"/>
    <x v="4"/>
    <x v="0"/>
    <x v="2"/>
    <x v="1"/>
    <x v="23"/>
    <x v="46"/>
    <x v="4"/>
    <x v="4"/>
    <x v="90"/>
    <x v="154"/>
  </r>
  <r>
    <x v="891"/>
    <x v="39"/>
    <x v="0"/>
    <x v="0"/>
    <x v="1"/>
    <x v="15"/>
    <x v="2"/>
    <x v="0"/>
    <x v="4"/>
    <x v="4"/>
    <x v="1"/>
    <x v="2"/>
    <x v="1"/>
    <x v="23"/>
    <x v="46"/>
    <x v="3"/>
    <x v="0"/>
    <x v="124"/>
    <x v="37"/>
  </r>
  <r>
    <x v="892"/>
    <x v="39"/>
    <x v="0"/>
    <x v="0"/>
    <x v="1"/>
    <x v="16"/>
    <x v="2"/>
    <x v="0"/>
    <x v="4"/>
    <x v="4"/>
    <x v="1"/>
    <x v="2"/>
    <x v="1"/>
    <x v="17"/>
    <x v="38"/>
    <x v="2"/>
    <x v="18"/>
    <x v="109"/>
    <x v="67"/>
  </r>
  <r>
    <x v="893"/>
    <x v="39"/>
    <x v="0"/>
    <x v="0"/>
    <x v="1"/>
    <x v="17"/>
    <x v="3"/>
    <x v="0"/>
    <x v="4"/>
    <x v="4"/>
    <x v="1"/>
    <x v="2"/>
    <x v="1"/>
    <x v="17"/>
    <x v="46"/>
    <x v="2"/>
    <x v="14"/>
    <x v="174"/>
    <x v="150"/>
  </r>
  <r>
    <x v="894"/>
    <x v="39"/>
    <x v="0"/>
    <x v="0"/>
    <x v="1"/>
    <x v="18"/>
    <x v="3"/>
    <x v="0"/>
    <x v="4"/>
    <x v="4"/>
    <x v="1"/>
    <x v="15"/>
    <x v="1"/>
    <x v="22"/>
    <x v="19"/>
    <x v="4"/>
    <x v="4"/>
    <x v="175"/>
    <x v="185"/>
  </r>
  <r>
    <x v="895"/>
    <x v="39"/>
    <x v="0"/>
    <x v="0"/>
    <x v="1"/>
    <x v="19"/>
    <x v="3"/>
    <x v="0"/>
    <x v="4"/>
    <x v="4"/>
    <x v="2"/>
    <x v="14"/>
    <x v="1"/>
    <x v="21"/>
    <x v="3"/>
    <x v="2"/>
    <x v="5"/>
    <x v="61"/>
    <x v="39"/>
  </r>
  <r>
    <x v="896"/>
    <x v="39"/>
    <x v="0"/>
    <x v="0"/>
    <x v="1"/>
    <x v="20"/>
    <x v="0"/>
    <x v="0"/>
    <x v="4"/>
    <x v="4"/>
    <x v="2"/>
    <x v="14"/>
    <x v="1"/>
    <x v="26"/>
    <x v="3"/>
    <x v="8"/>
    <x v="3"/>
    <x v="151"/>
    <x v="11"/>
  </r>
  <r>
    <x v="897"/>
    <x v="39"/>
    <x v="0"/>
    <x v="0"/>
    <x v="1"/>
    <x v="21"/>
    <x v="0"/>
    <x v="0"/>
    <x v="4"/>
    <x v="4"/>
    <x v="1"/>
    <x v="14"/>
    <x v="1"/>
    <x v="26"/>
    <x v="3"/>
    <x v="8"/>
    <x v="3"/>
    <x v="93"/>
    <x v="56"/>
  </r>
  <r>
    <x v="898"/>
    <x v="39"/>
    <x v="0"/>
    <x v="0"/>
    <x v="1"/>
    <x v="22"/>
    <x v="0"/>
    <x v="0"/>
    <x v="4"/>
    <x v="4"/>
    <x v="2"/>
    <x v="13"/>
    <x v="1"/>
    <x v="22"/>
    <x v="1"/>
    <x v="8"/>
    <x v="17"/>
    <x v="76"/>
    <x v="66"/>
  </r>
  <r>
    <x v="899"/>
    <x v="39"/>
    <x v="0"/>
    <x v="0"/>
    <x v="1"/>
    <x v="23"/>
    <x v="0"/>
    <x v="0"/>
    <x v="4"/>
    <x v="4"/>
    <x v="2"/>
    <x v="13"/>
    <x v="1"/>
    <x v="26"/>
    <x v="1"/>
    <x v="5"/>
    <x v="3"/>
    <x v="53"/>
    <x v="18"/>
  </r>
  <r>
    <x v="900"/>
    <x v="40"/>
    <x v="0"/>
    <x v="0"/>
    <x v="1"/>
    <x v="0"/>
    <x v="0"/>
    <x v="0"/>
    <x v="5"/>
    <x v="5"/>
    <x v="2"/>
    <x v="14"/>
    <x v="1"/>
    <x v="19"/>
    <x v="3"/>
    <x v="5"/>
    <x v="3"/>
    <x v="20"/>
    <x v="0"/>
  </r>
  <r>
    <x v="901"/>
    <x v="40"/>
    <x v="0"/>
    <x v="0"/>
    <x v="1"/>
    <x v="1"/>
    <x v="0"/>
    <x v="0"/>
    <x v="5"/>
    <x v="5"/>
    <x v="2"/>
    <x v="14"/>
    <x v="1"/>
    <x v="26"/>
    <x v="1"/>
    <x v="7"/>
    <x v="3"/>
    <x v="7"/>
    <x v="85"/>
  </r>
  <r>
    <x v="902"/>
    <x v="40"/>
    <x v="0"/>
    <x v="0"/>
    <x v="1"/>
    <x v="2"/>
    <x v="0"/>
    <x v="0"/>
    <x v="5"/>
    <x v="5"/>
    <x v="2"/>
    <x v="14"/>
    <x v="1"/>
    <x v="26"/>
    <x v="1"/>
    <x v="7"/>
    <x v="3"/>
    <x v="35"/>
    <x v="6"/>
  </r>
  <r>
    <x v="903"/>
    <x v="40"/>
    <x v="0"/>
    <x v="0"/>
    <x v="1"/>
    <x v="4"/>
    <x v="0"/>
    <x v="0"/>
    <x v="5"/>
    <x v="5"/>
    <x v="1"/>
    <x v="14"/>
    <x v="1"/>
    <x v="19"/>
    <x v="29"/>
    <x v="6"/>
    <x v="3"/>
    <x v="4"/>
    <x v="4"/>
  </r>
  <r>
    <x v="904"/>
    <x v="40"/>
    <x v="0"/>
    <x v="0"/>
    <x v="1"/>
    <x v="5"/>
    <x v="1"/>
    <x v="0"/>
    <x v="5"/>
    <x v="5"/>
    <x v="1"/>
    <x v="16"/>
    <x v="1"/>
    <x v="21"/>
    <x v="20"/>
    <x v="6"/>
    <x v="3"/>
    <x v="8"/>
    <x v="24"/>
  </r>
  <r>
    <x v="905"/>
    <x v="40"/>
    <x v="0"/>
    <x v="0"/>
    <x v="1"/>
    <x v="6"/>
    <x v="1"/>
    <x v="0"/>
    <x v="5"/>
    <x v="5"/>
    <x v="1"/>
    <x v="16"/>
    <x v="1"/>
    <x v="21"/>
    <x v="47"/>
    <x v="3"/>
    <x v="3"/>
    <x v="16"/>
    <x v="132"/>
  </r>
  <r>
    <x v="906"/>
    <x v="40"/>
    <x v="0"/>
    <x v="0"/>
    <x v="1"/>
    <x v="7"/>
    <x v="1"/>
    <x v="0"/>
    <x v="5"/>
    <x v="5"/>
    <x v="0"/>
    <x v="18"/>
    <x v="3"/>
    <x v="30"/>
    <x v="20"/>
    <x v="12"/>
    <x v="3"/>
    <x v="176"/>
    <x v="111"/>
  </r>
  <r>
    <x v="907"/>
    <x v="40"/>
    <x v="0"/>
    <x v="0"/>
    <x v="1"/>
    <x v="8"/>
    <x v="1"/>
    <x v="0"/>
    <x v="5"/>
    <x v="5"/>
    <x v="0"/>
    <x v="18"/>
    <x v="3"/>
    <x v="30"/>
    <x v="36"/>
    <x v="9"/>
    <x v="2"/>
    <x v="177"/>
    <x v="106"/>
  </r>
  <r>
    <x v="908"/>
    <x v="40"/>
    <x v="0"/>
    <x v="0"/>
    <x v="1"/>
    <x v="9"/>
    <x v="1"/>
    <x v="0"/>
    <x v="5"/>
    <x v="5"/>
    <x v="0"/>
    <x v="16"/>
    <x v="1"/>
    <x v="20"/>
    <x v="16"/>
    <x v="11"/>
    <x v="5"/>
    <x v="178"/>
    <x v="78"/>
  </r>
  <r>
    <x v="909"/>
    <x v="40"/>
    <x v="0"/>
    <x v="0"/>
    <x v="1"/>
    <x v="10"/>
    <x v="1"/>
    <x v="0"/>
    <x v="5"/>
    <x v="5"/>
    <x v="0"/>
    <x v="16"/>
    <x v="1"/>
    <x v="20"/>
    <x v="16"/>
    <x v="4"/>
    <x v="5"/>
    <x v="60"/>
    <x v="17"/>
  </r>
  <r>
    <x v="910"/>
    <x v="40"/>
    <x v="0"/>
    <x v="0"/>
    <x v="1"/>
    <x v="11"/>
    <x v="1"/>
    <x v="0"/>
    <x v="5"/>
    <x v="5"/>
    <x v="0"/>
    <x v="14"/>
    <x v="1"/>
    <x v="21"/>
    <x v="17"/>
    <x v="11"/>
    <x v="5"/>
    <x v="100"/>
    <x v="79"/>
  </r>
  <r>
    <x v="911"/>
    <x v="40"/>
    <x v="0"/>
    <x v="0"/>
    <x v="1"/>
    <x v="12"/>
    <x v="2"/>
    <x v="0"/>
    <x v="5"/>
    <x v="5"/>
    <x v="0"/>
    <x v="13"/>
    <x v="1"/>
    <x v="19"/>
    <x v="46"/>
    <x v="13"/>
    <x v="17"/>
    <x v="65"/>
    <x v="83"/>
  </r>
  <r>
    <x v="912"/>
    <x v="40"/>
    <x v="0"/>
    <x v="0"/>
    <x v="1"/>
    <x v="13"/>
    <x v="2"/>
    <x v="0"/>
    <x v="5"/>
    <x v="5"/>
    <x v="0"/>
    <x v="15"/>
    <x v="1"/>
    <x v="22"/>
    <x v="44"/>
    <x v="4"/>
    <x v="0"/>
    <x v="79"/>
    <x v="69"/>
  </r>
  <r>
    <x v="913"/>
    <x v="40"/>
    <x v="0"/>
    <x v="0"/>
    <x v="1"/>
    <x v="14"/>
    <x v="2"/>
    <x v="0"/>
    <x v="5"/>
    <x v="5"/>
    <x v="0"/>
    <x v="2"/>
    <x v="1"/>
    <x v="23"/>
    <x v="57"/>
    <x v="3"/>
    <x v="15"/>
    <x v="76"/>
    <x v="61"/>
  </r>
  <r>
    <x v="914"/>
    <x v="40"/>
    <x v="0"/>
    <x v="0"/>
    <x v="1"/>
    <x v="15"/>
    <x v="2"/>
    <x v="0"/>
    <x v="5"/>
    <x v="5"/>
    <x v="0"/>
    <x v="2"/>
    <x v="1"/>
    <x v="17"/>
    <x v="59"/>
    <x v="2"/>
    <x v="3"/>
    <x v="54"/>
    <x v="89"/>
  </r>
  <r>
    <x v="915"/>
    <x v="40"/>
    <x v="0"/>
    <x v="0"/>
    <x v="1"/>
    <x v="16"/>
    <x v="2"/>
    <x v="0"/>
    <x v="5"/>
    <x v="5"/>
    <x v="0"/>
    <x v="2"/>
    <x v="1"/>
    <x v="23"/>
    <x v="57"/>
    <x v="4"/>
    <x v="17"/>
    <x v="83"/>
    <x v="138"/>
  </r>
  <r>
    <x v="916"/>
    <x v="40"/>
    <x v="0"/>
    <x v="0"/>
    <x v="1"/>
    <x v="17"/>
    <x v="3"/>
    <x v="0"/>
    <x v="5"/>
    <x v="5"/>
    <x v="0"/>
    <x v="15"/>
    <x v="1"/>
    <x v="23"/>
    <x v="60"/>
    <x v="5"/>
    <x v="15"/>
    <x v="136"/>
    <x v="186"/>
  </r>
  <r>
    <x v="917"/>
    <x v="40"/>
    <x v="0"/>
    <x v="0"/>
    <x v="1"/>
    <x v="18"/>
    <x v="3"/>
    <x v="0"/>
    <x v="5"/>
    <x v="5"/>
    <x v="0"/>
    <x v="13"/>
    <x v="1"/>
    <x v="23"/>
    <x v="40"/>
    <x v="7"/>
    <x v="0"/>
    <x v="174"/>
    <x v="187"/>
  </r>
  <r>
    <x v="918"/>
    <x v="40"/>
    <x v="0"/>
    <x v="0"/>
    <x v="1"/>
    <x v="19"/>
    <x v="3"/>
    <x v="0"/>
    <x v="5"/>
    <x v="5"/>
    <x v="0"/>
    <x v="14"/>
    <x v="1"/>
    <x v="22"/>
    <x v="40"/>
    <x v="14"/>
    <x v="4"/>
    <x v="59"/>
    <x v="59"/>
  </r>
  <r>
    <x v="919"/>
    <x v="40"/>
    <x v="0"/>
    <x v="0"/>
    <x v="1"/>
    <x v="20"/>
    <x v="0"/>
    <x v="0"/>
    <x v="5"/>
    <x v="5"/>
    <x v="0"/>
    <x v="14"/>
    <x v="1"/>
    <x v="23"/>
    <x v="61"/>
    <x v="1"/>
    <x v="17"/>
    <x v="139"/>
    <x v="54"/>
  </r>
  <r>
    <x v="920"/>
    <x v="40"/>
    <x v="0"/>
    <x v="0"/>
    <x v="1"/>
    <x v="21"/>
    <x v="0"/>
    <x v="0"/>
    <x v="5"/>
    <x v="5"/>
    <x v="0"/>
    <x v="14"/>
    <x v="1"/>
    <x v="16"/>
    <x v="17"/>
    <x v="0"/>
    <x v="4"/>
    <x v="14"/>
    <x v="44"/>
  </r>
  <r>
    <x v="921"/>
    <x v="40"/>
    <x v="0"/>
    <x v="0"/>
    <x v="1"/>
    <x v="22"/>
    <x v="0"/>
    <x v="0"/>
    <x v="5"/>
    <x v="5"/>
    <x v="0"/>
    <x v="16"/>
    <x v="1"/>
    <x v="17"/>
    <x v="17"/>
    <x v="0"/>
    <x v="17"/>
    <x v="12"/>
    <x v="41"/>
  </r>
  <r>
    <x v="922"/>
    <x v="40"/>
    <x v="0"/>
    <x v="0"/>
    <x v="1"/>
    <x v="23"/>
    <x v="0"/>
    <x v="0"/>
    <x v="5"/>
    <x v="5"/>
    <x v="0"/>
    <x v="16"/>
    <x v="1"/>
    <x v="26"/>
    <x v="16"/>
    <x v="14"/>
    <x v="5"/>
    <x v="39"/>
    <x v="19"/>
  </r>
  <r>
    <x v="923"/>
    <x v="41"/>
    <x v="0"/>
    <x v="0"/>
    <x v="1"/>
    <x v="0"/>
    <x v="0"/>
    <x v="0"/>
    <x v="6"/>
    <x v="6"/>
    <x v="0"/>
    <x v="18"/>
    <x v="3"/>
    <x v="19"/>
    <x v="36"/>
    <x v="14"/>
    <x v="4"/>
    <x v="98"/>
    <x v="8"/>
  </r>
  <r>
    <x v="924"/>
    <x v="41"/>
    <x v="0"/>
    <x v="0"/>
    <x v="1"/>
    <x v="1"/>
    <x v="0"/>
    <x v="0"/>
    <x v="6"/>
    <x v="6"/>
    <x v="0"/>
    <x v="18"/>
    <x v="3"/>
    <x v="19"/>
    <x v="47"/>
    <x v="1"/>
    <x v="5"/>
    <x v="8"/>
    <x v="85"/>
  </r>
  <r>
    <x v="925"/>
    <x v="41"/>
    <x v="0"/>
    <x v="0"/>
    <x v="1"/>
    <x v="2"/>
    <x v="0"/>
    <x v="0"/>
    <x v="6"/>
    <x v="6"/>
    <x v="0"/>
    <x v="18"/>
    <x v="3"/>
    <x v="19"/>
    <x v="47"/>
    <x v="1"/>
    <x v="3"/>
    <x v="35"/>
    <x v="6"/>
  </r>
  <r>
    <x v="926"/>
    <x v="41"/>
    <x v="0"/>
    <x v="0"/>
    <x v="1"/>
    <x v="5"/>
    <x v="1"/>
    <x v="0"/>
    <x v="6"/>
    <x v="6"/>
    <x v="0"/>
    <x v="19"/>
    <x v="3"/>
    <x v="21"/>
    <x v="30"/>
    <x v="1"/>
    <x v="3"/>
    <x v="22"/>
    <x v="48"/>
  </r>
  <r>
    <x v="927"/>
    <x v="41"/>
    <x v="0"/>
    <x v="0"/>
    <x v="1"/>
    <x v="6"/>
    <x v="1"/>
    <x v="0"/>
    <x v="6"/>
    <x v="6"/>
    <x v="0"/>
    <x v="18"/>
    <x v="3"/>
    <x v="23"/>
    <x v="31"/>
    <x v="0"/>
    <x v="5"/>
    <x v="140"/>
    <x v="108"/>
  </r>
  <r>
    <x v="928"/>
    <x v="41"/>
    <x v="0"/>
    <x v="0"/>
    <x v="1"/>
    <x v="7"/>
    <x v="1"/>
    <x v="0"/>
    <x v="6"/>
    <x v="6"/>
    <x v="0"/>
    <x v="19"/>
    <x v="3"/>
    <x v="22"/>
    <x v="62"/>
    <x v="0"/>
    <x v="5"/>
    <x v="26"/>
    <x v="30"/>
  </r>
  <r>
    <x v="929"/>
    <x v="41"/>
    <x v="0"/>
    <x v="0"/>
    <x v="1"/>
    <x v="8"/>
    <x v="1"/>
    <x v="0"/>
    <x v="6"/>
    <x v="6"/>
    <x v="0"/>
    <x v="18"/>
    <x v="3"/>
    <x v="21"/>
    <x v="32"/>
    <x v="8"/>
    <x v="17"/>
    <x v="179"/>
    <x v="182"/>
  </r>
  <r>
    <x v="930"/>
    <x v="41"/>
    <x v="0"/>
    <x v="0"/>
    <x v="1"/>
    <x v="9"/>
    <x v="1"/>
    <x v="0"/>
    <x v="6"/>
    <x v="6"/>
    <x v="0"/>
    <x v="16"/>
    <x v="1"/>
    <x v="21"/>
    <x v="32"/>
    <x v="6"/>
    <x v="1"/>
    <x v="126"/>
    <x v="188"/>
  </r>
  <r>
    <x v="931"/>
    <x v="41"/>
    <x v="0"/>
    <x v="0"/>
    <x v="1"/>
    <x v="10"/>
    <x v="1"/>
    <x v="0"/>
    <x v="6"/>
    <x v="6"/>
    <x v="0"/>
    <x v="14"/>
    <x v="1"/>
    <x v="19"/>
    <x v="27"/>
    <x v="5"/>
    <x v="2"/>
    <x v="87"/>
    <x v="40"/>
  </r>
  <r>
    <x v="932"/>
    <x v="41"/>
    <x v="0"/>
    <x v="0"/>
    <x v="1"/>
    <x v="11"/>
    <x v="1"/>
    <x v="0"/>
    <x v="6"/>
    <x v="6"/>
    <x v="0"/>
    <x v="1"/>
    <x v="0"/>
    <x v="15"/>
    <x v="19"/>
    <x v="7"/>
    <x v="6"/>
    <x v="15"/>
    <x v="37"/>
  </r>
  <r>
    <x v="933"/>
    <x v="41"/>
    <x v="0"/>
    <x v="0"/>
    <x v="1"/>
    <x v="12"/>
    <x v="2"/>
    <x v="0"/>
    <x v="6"/>
    <x v="6"/>
    <x v="0"/>
    <x v="1"/>
    <x v="0"/>
    <x v="15"/>
    <x v="19"/>
    <x v="7"/>
    <x v="18"/>
    <x v="27"/>
    <x v="68"/>
  </r>
  <r>
    <x v="934"/>
    <x v="41"/>
    <x v="0"/>
    <x v="0"/>
    <x v="1"/>
    <x v="13"/>
    <x v="2"/>
    <x v="0"/>
    <x v="6"/>
    <x v="6"/>
    <x v="0"/>
    <x v="0"/>
    <x v="0"/>
    <x v="15"/>
    <x v="23"/>
    <x v="5"/>
    <x v="27"/>
    <x v="121"/>
    <x v="14"/>
  </r>
  <r>
    <x v="935"/>
    <x v="41"/>
    <x v="0"/>
    <x v="0"/>
    <x v="1"/>
    <x v="14"/>
    <x v="2"/>
    <x v="0"/>
    <x v="6"/>
    <x v="6"/>
    <x v="0"/>
    <x v="11"/>
    <x v="0"/>
    <x v="0"/>
    <x v="60"/>
    <x v="2"/>
    <x v="26"/>
    <x v="28"/>
    <x v="11"/>
  </r>
  <r>
    <x v="936"/>
    <x v="41"/>
    <x v="0"/>
    <x v="0"/>
    <x v="1"/>
    <x v="15"/>
    <x v="2"/>
    <x v="0"/>
    <x v="6"/>
    <x v="6"/>
    <x v="0"/>
    <x v="3"/>
    <x v="2"/>
    <x v="28"/>
    <x v="58"/>
    <x v="8"/>
    <x v="6"/>
    <x v="133"/>
    <x v="30"/>
  </r>
  <r>
    <x v="937"/>
    <x v="41"/>
    <x v="0"/>
    <x v="0"/>
    <x v="1"/>
    <x v="16"/>
    <x v="2"/>
    <x v="0"/>
    <x v="6"/>
    <x v="6"/>
    <x v="0"/>
    <x v="11"/>
    <x v="0"/>
    <x v="0"/>
    <x v="40"/>
    <x v="5"/>
    <x v="24"/>
    <x v="180"/>
    <x v="139"/>
  </r>
  <r>
    <x v="938"/>
    <x v="41"/>
    <x v="0"/>
    <x v="0"/>
    <x v="1"/>
    <x v="17"/>
    <x v="3"/>
    <x v="0"/>
    <x v="6"/>
    <x v="6"/>
    <x v="0"/>
    <x v="11"/>
    <x v="0"/>
    <x v="6"/>
    <x v="63"/>
    <x v="0"/>
    <x v="25"/>
    <x v="181"/>
    <x v="189"/>
  </r>
  <r>
    <x v="939"/>
    <x v="41"/>
    <x v="0"/>
    <x v="0"/>
    <x v="1"/>
    <x v="18"/>
    <x v="3"/>
    <x v="0"/>
    <x v="6"/>
    <x v="6"/>
    <x v="0"/>
    <x v="17"/>
    <x v="0"/>
    <x v="28"/>
    <x v="40"/>
    <x v="0"/>
    <x v="14"/>
    <x v="158"/>
    <x v="177"/>
  </r>
  <r>
    <x v="940"/>
    <x v="41"/>
    <x v="0"/>
    <x v="0"/>
    <x v="1"/>
    <x v="19"/>
    <x v="3"/>
    <x v="0"/>
    <x v="6"/>
    <x v="6"/>
    <x v="0"/>
    <x v="12"/>
    <x v="0"/>
    <x v="32"/>
    <x v="39"/>
    <x v="0"/>
    <x v="18"/>
    <x v="111"/>
    <x v="129"/>
  </r>
  <r>
    <x v="941"/>
    <x v="41"/>
    <x v="0"/>
    <x v="0"/>
    <x v="1"/>
    <x v="20"/>
    <x v="0"/>
    <x v="0"/>
    <x v="6"/>
    <x v="6"/>
    <x v="0"/>
    <x v="1"/>
    <x v="0"/>
    <x v="15"/>
    <x v="28"/>
    <x v="7"/>
    <x v="4"/>
    <x v="124"/>
    <x v="55"/>
  </r>
  <r>
    <x v="942"/>
    <x v="41"/>
    <x v="0"/>
    <x v="0"/>
    <x v="1"/>
    <x v="21"/>
    <x v="0"/>
    <x v="0"/>
    <x v="6"/>
    <x v="6"/>
    <x v="0"/>
    <x v="2"/>
    <x v="1"/>
    <x v="16"/>
    <x v="29"/>
    <x v="7"/>
    <x v="5"/>
    <x v="24"/>
    <x v="105"/>
  </r>
  <r>
    <x v="943"/>
    <x v="41"/>
    <x v="0"/>
    <x v="0"/>
    <x v="1"/>
    <x v="22"/>
    <x v="0"/>
    <x v="0"/>
    <x v="6"/>
    <x v="6"/>
    <x v="0"/>
    <x v="2"/>
    <x v="1"/>
    <x v="15"/>
    <x v="26"/>
    <x v="1"/>
    <x v="4"/>
    <x v="40"/>
    <x v="74"/>
  </r>
  <r>
    <x v="944"/>
    <x v="41"/>
    <x v="0"/>
    <x v="0"/>
    <x v="1"/>
    <x v="23"/>
    <x v="0"/>
    <x v="0"/>
    <x v="6"/>
    <x v="6"/>
    <x v="0"/>
    <x v="15"/>
    <x v="1"/>
    <x v="25"/>
    <x v="27"/>
    <x v="0"/>
    <x v="2"/>
    <x v="41"/>
    <x v="26"/>
  </r>
  <r>
    <x v="945"/>
    <x v="42"/>
    <x v="0"/>
    <x v="0"/>
    <x v="1"/>
    <x v="0"/>
    <x v="0"/>
    <x v="0"/>
    <x v="0"/>
    <x v="0"/>
    <x v="0"/>
    <x v="13"/>
    <x v="1"/>
    <x v="17"/>
    <x v="27"/>
    <x v="1"/>
    <x v="0"/>
    <x v="2"/>
    <x v="33"/>
  </r>
  <r>
    <x v="946"/>
    <x v="42"/>
    <x v="0"/>
    <x v="0"/>
    <x v="1"/>
    <x v="1"/>
    <x v="0"/>
    <x v="0"/>
    <x v="0"/>
    <x v="0"/>
    <x v="0"/>
    <x v="14"/>
    <x v="1"/>
    <x v="16"/>
    <x v="3"/>
    <x v="0"/>
    <x v="4"/>
    <x v="97"/>
    <x v="108"/>
  </r>
  <r>
    <x v="947"/>
    <x v="42"/>
    <x v="0"/>
    <x v="0"/>
    <x v="1"/>
    <x v="2"/>
    <x v="0"/>
    <x v="0"/>
    <x v="0"/>
    <x v="0"/>
    <x v="0"/>
    <x v="14"/>
    <x v="1"/>
    <x v="16"/>
    <x v="1"/>
    <x v="0"/>
    <x v="4"/>
    <x v="0"/>
    <x v="93"/>
  </r>
  <r>
    <x v="948"/>
    <x v="42"/>
    <x v="0"/>
    <x v="0"/>
    <x v="1"/>
    <x v="3"/>
    <x v="0"/>
    <x v="0"/>
    <x v="0"/>
    <x v="0"/>
    <x v="0"/>
    <x v="16"/>
    <x v="1"/>
    <x v="17"/>
    <x v="1"/>
    <x v="0"/>
    <x v="0"/>
    <x v="7"/>
    <x v="98"/>
  </r>
  <r>
    <x v="949"/>
    <x v="42"/>
    <x v="0"/>
    <x v="0"/>
    <x v="1"/>
    <x v="4"/>
    <x v="0"/>
    <x v="0"/>
    <x v="0"/>
    <x v="0"/>
    <x v="0"/>
    <x v="16"/>
    <x v="1"/>
    <x v="22"/>
    <x v="32"/>
    <x v="1"/>
    <x v="3"/>
    <x v="22"/>
    <x v="48"/>
  </r>
  <r>
    <x v="950"/>
    <x v="42"/>
    <x v="0"/>
    <x v="0"/>
    <x v="1"/>
    <x v="5"/>
    <x v="1"/>
    <x v="0"/>
    <x v="0"/>
    <x v="0"/>
    <x v="0"/>
    <x v="16"/>
    <x v="1"/>
    <x v="22"/>
    <x v="32"/>
    <x v="1"/>
    <x v="3"/>
    <x v="4"/>
    <x v="4"/>
  </r>
  <r>
    <x v="951"/>
    <x v="42"/>
    <x v="0"/>
    <x v="0"/>
    <x v="1"/>
    <x v="6"/>
    <x v="1"/>
    <x v="0"/>
    <x v="0"/>
    <x v="0"/>
    <x v="0"/>
    <x v="16"/>
    <x v="1"/>
    <x v="19"/>
    <x v="43"/>
    <x v="5"/>
    <x v="5"/>
    <x v="4"/>
    <x v="5"/>
  </r>
  <r>
    <x v="952"/>
    <x v="42"/>
    <x v="0"/>
    <x v="0"/>
    <x v="1"/>
    <x v="7"/>
    <x v="1"/>
    <x v="0"/>
    <x v="0"/>
    <x v="0"/>
    <x v="0"/>
    <x v="16"/>
    <x v="1"/>
    <x v="26"/>
    <x v="1"/>
    <x v="14"/>
    <x v="4"/>
    <x v="33"/>
    <x v="62"/>
  </r>
  <r>
    <x v="953"/>
    <x v="42"/>
    <x v="0"/>
    <x v="0"/>
    <x v="1"/>
    <x v="8"/>
    <x v="1"/>
    <x v="0"/>
    <x v="0"/>
    <x v="0"/>
    <x v="0"/>
    <x v="14"/>
    <x v="1"/>
    <x v="26"/>
    <x v="3"/>
    <x v="7"/>
    <x v="4"/>
    <x v="95"/>
    <x v="33"/>
  </r>
  <r>
    <x v="954"/>
    <x v="42"/>
    <x v="0"/>
    <x v="0"/>
    <x v="1"/>
    <x v="9"/>
    <x v="1"/>
    <x v="0"/>
    <x v="0"/>
    <x v="0"/>
    <x v="0"/>
    <x v="13"/>
    <x v="1"/>
    <x v="23"/>
    <x v="26"/>
    <x v="7"/>
    <x v="2"/>
    <x v="101"/>
    <x v="74"/>
  </r>
  <r>
    <x v="955"/>
    <x v="42"/>
    <x v="0"/>
    <x v="0"/>
    <x v="1"/>
    <x v="10"/>
    <x v="1"/>
    <x v="0"/>
    <x v="0"/>
    <x v="0"/>
    <x v="0"/>
    <x v="1"/>
    <x v="0"/>
    <x v="16"/>
    <x v="48"/>
    <x v="2"/>
    <x v="23"/>
    <x v="13"/>
    <x v="11"/>
  </r>
  <r>
    <x v="956"/>
    <x v="42"/>
    <x v="0"/>
    <x v="0"/>
    <x v="1"/>
    <x v="11"/>
    <x v="1"/>
    <x v="0"/>
    <x v="0"/>
    <x v="0"/>
    <x v="0"/>
    <x v="11"/>
    <x v="0"/>
    <x v="1"/>
    <x v="40"/>
    <x v="9"/>
    <x v="36"/>
    <x v="151"/>
    <x v="181"/>
  </r>
  <r>
    <x v="957"/>
    <x v="42"/>
    <x v="0"/>
    <x v="0"/>
    <x v="1"/>
    <x v="12"/>
    <x v="2"/>
    <x v="0"/>
    <x v="0"/>
    <x v="0"/>
    <x v="0"/>
    <x v="11"/>
    <x v="0"/>
    <x v="1"/>
    <x v="17"/>
    <x v="17"/>
    <x v="37"/>
    <x v="139"/>
    <x v="151"/>
  </r>
  <r>
    <x v="958"/>
    <x v="42"/>
    <x v="0"/>
    <x v="0"/>
    <x v="1"/>
    <x v="13"/>
    <x v="2"/>
    <x v="0"/>
    <x v="0"/>
    <x v="0"/>
    <x v="0"/>
    <x v="11"/>
    <x v="0"/>
    <x v="1"/>
    <x v="17"/>
    <x v="12"/>
    <x v="38"/>
    <x v="145"/>
    <x v="169"/>
  </r>
  <r>
    <x v="959"/>
    <x v="42"/>
    <x v="0"/>
    <x v="0"/>
    <x v="1"/>
    <x v="14"/>
    <x v="2"/>
    <x v="0"/>
    <x v="0"/>
    <x v="0"/>
    <x v="0"/>
    <x v="10"/>
    <x v="2"/>
    <x v="28"/>
    <x v="61"/>
    <x v="3"/>
    <x v="36"/>
    <x v="92"/>
    <x v="151"/>
  </r>
  <r>
    <x v="960"/>
    <x v="42"/>
    <x v="0"/>
    <x v="0"/>
    <x v="1"/>
    <x v="15"/>
    <x v="2"/>
    <x v="0"/>
    <x v="0"/>
    <x v="0"/>
    <x v="0"/>
    <x v="10"/>
    <x v="2"/>
    <x v="32"/>
    <x v="44"/>
    <x v="12"/>
    <x v="9"/>
    <x v="69"/>
    <x v="177"/>
  </r>
  <r>
    <x v="961"/>
    <x v="42"/>
    <x v="0"/>
    <x v="0"/>
    <x v="1"/>
    <x v="16"/>
    <x v="2"/>
    <x v="0"/>
    <x v="0"/>
    <x v="0"/>
    <x v="0"/>
    <x v="10"/>
    <x v="2"/>
    <x v="32"/>
    <x v="44"/>
    <x v="12"/>
    <x v="35"/>
    <x v="145"/>
    <x v="190"/>
  </r>
  <r>
    <x v="962"/>
    <x v="42"/>
    <x v="0"/>
    <x v="0"/>
    <x v="1"/>
    <x v="17"/>
    <x v="3"/>
    <x v="0"/>
    <x v="0"/>
    <x v="0"/>
    <x v="0"/>
    <x v="3"/>
    <x v="2"/>
    <x v="0"/>
    <x v="61"/>
    <x v="18"/>
    <x v="31"/>
    <x v="182"/>
    <x v="120"/>
  </r>
  <r>
    <x v="963"/>
    <x v="42"/>
    <x v="0"/>
    <x v="0"/>
    <x v="1"/>
    <x v="18"/>
    <x v="3"/>
    <x v="0"/>
    <x v="0"/>
    <x v="0"/>
    <x v="0"/>
    <x v="17"/>
    <x v="0"/>
    <x v="2"/>
    <x v="41"/>
    <x v="9"/>
    <x v="17"/>
    <x v="91"/>
    <x v="37"/>
  </r>
  <r>
    <x v="964"/>
    <x v="42"/>
    <x v="0"/>
    <x v="0"/>
    <x v="1"/>
    <x v="19"/>
    <x v="3"/>
    <x v="0"/>
    <x v="0"/>
    <x v="0"/>
    <x v="0"/>
    <x v="17"/>
    <x v="0"/>
    <x v="1"/>
    <x v="41"/>
    <x v="8"/>
    <x v="4"/>
    <x v="87"/>
    <x v="102"/>
  </r>
  <r>
    <x v="965"/>
    <x v="42"/>
    <x v="0"/>
    <x v="0"/>
    <x v="1"/>
    <x v="20"/>
    <x v="0"/>
    <x v="0"/>
    <x v="0"/>
    <x v="0"/>
    <x v="0"/>
    <x v="12"/>
    <x v="0"/>
    <x v="2"/>
    <x v="48"/>
    <x v="6"/>
    <x v="5"/>
    <x v="87"/>
    <x v="1"/>
  </r>
  <r>
    <x v="966"/>
    <x v="42"/>
    <x v="0"/>
    <x v="0"/>
    <x v="1"/>
    <x v="21"/>
    <x v="0"/>
    <x v="0"/>
    <x v="0"/>
    <x v="0"/>
    <x v="0"/>
    <x v="12"/>
    <x v="0"/>
    <x v="32"/>
    <x v="48"/>
    <x v="0"/>
    <x v="14"/>
    <x v="76"/>
    <x v="41"/>
  </r>
  <r>
    <x v="967"/>
    <x v="42"/>
    <x v="0"/>
    <x v="0"/>
    <x v="1"/>
    <x v="22"/>
    <x v="0"/>
    <x v="0"/>
    <x v="0"/>
    <x v="0"/>
    <x v="0"/>
    <x v="0"/>
    <x v="0"/>
    <x v="2"/>
    <x v="18"/>
    <x v="1"/>
    <x v="15"/>
    <x v="87"/>
    <x v="79"/>
  </r>
  <r>
    <x v="968"/>
    <x v="42"/>
    <x v="0"/>
    <x v="0"/>
    <x v="1"/>
    <x v="23"/>
    <x v="0"/>
    <x v="0"/>
    <x v="0"/>
    <x v="0"/>
    <x v="0"/>
    <x v="1"/>
    <x v="0"/>
    <x v="15"/>
    <x v="33"/>
    <x v="7"/>
    <x v="5"/>
    <x v="17"/>
    <x v="2"/>
  </r>
  <r>
    <x v="969"/>
    <x v="43"/>
    <x v="0"/>
    <x v="0"/>
    <x v="1"/>
    <x v="0"/>
    <x v="0"/>
    <x v="0"/>
    <x v="1"/>
    <x v="1"/>
    <x v="0"/>
    <x v="2"/>
    <x v="1"/>
    <x v="15"/>
    <x v="26"/>
    <x v="14"/>
    <x v="2"/>
    <x v="60"/>
    <x v="21"/>
  </r>
  <r>
    <x v="970"/>
    <x v="43"/>
    <x v="0"/>
    <x v="0"/>
    <x v="1"/>
    <x v="1"/>
    <x v="0"/>
    <x v="0"/>
    <x v="1"/>
    <x v="1"/>
    <x v="0"/>
    <x v="2"/>
    <x v="1"/>
    <x v="15"/>
    <x v="29"/>
    <x v="1"/>
    <x v="5"/>
    <x v="140"/>
    <x v="108"/>
  </r>
  <r>
    <x v="971"/>
    <x v="43"/>
    <x v="0"/>
    <x v="0"/>
    <x v="1"/>
    <x v="2"/>
    <x v="0"/>
    <x v="0"/>
    <x v="1"/>
    <x v="1"/>
    <x v="1"/>
    <x v="2"/>
    <x v="1"/>
    <x v="15"/>
    <x v="2"/>
    <x v="1"/>
    <x v="5"/>
    <x v="23"/>
    <x v="25"/>
  </r>
  <r>
    <x v="972"/>
    <x v="43"/>
    <x v="0"/>
    <x v="0"/>
    <x v="1"/>
    <x v="3"/>
    <x v="0"/>
    <x v="0"/>
    <x v="1"/>
    <x v="1"/>
    <x v="1"/>
    <x v="2"/>
    <x v="1"/>
    <x v="15"/>
    <x v="27"/>
    <x v="14"/>
    <x v="17"/>
    <x v="21"/>
    <x v="47"/>
  </r>
  <r>
    <x v="973"/>
    <x v="43"/>
    <x v="0"/>
    <x v="0"/>
    <x v="1"/>
    <x v="4"/>
    <x v="0"/>
    <x v="0"/>
    <x v="1"/>
    <x v="1"/>
    <x v="1"/>
    <x v="2"/>
    <x v="1"/>
    <x v="16"/>
    <x v="27"/>
    <x v="8"/>
    <x v="3"/>
    <x v="6"/>
    <x v="5"/>
  </r>
  <r>
    <x v="974"/>
    <x v="43"/>
    <x v="0"/>
    <x v="0"/>
    <x v="1"/>
    <x v="6"/>
    <x v="1"/>
    <x v="0"/>
    <x v="1"/>
    <x v="1"/>
    <x v="1"/>
    <x v="2"/>
    <x v="1"/>
    <x v="16"/>
    <x v="27"/>
    <x v="7"/>
    <x v="4"/>
    <x v="35"/>
    <x v="36"/>
  </r>
  <r>
    <x v="975"/>
    <x v="43"/>
    <x v="0"/>
    <x v="0"/>
    <x v="1"/>
    <x v="7"/>
    <x v="1"/>
    <x v="0"/>
    <x v="1"/>
    <x v="1"/>
    <x v="1"/>
    <x v="1"/>
    <x v="0"/>
    <x v="1"/>
    <x v="28"/>
    <x v="0"/>
    <x v="3"/>
    <x v="35"/>
    <x v="6"/>
  </r>
  <r>
    <x v="976"/>
    <x v="43"/>
    <x v="0"/>
    <x v="0"/>
    <x v="1"/>
    <x v="8"/>
    <x v="1"/>
    <x v="0"/>
    <x v="1"/>
    <x v="1"/>
    <x v="1"/>
    <x v="1"/>
    <x v="0"/>
    <x v="15"/>
    <x v="26"/>
    <x v="5"/>
    <x v="5"/>
    <x v="48"/>
    <x v="47"/>
  </r>
  <r>
    <x v="977"/>
    <x v="43"/>
    <x v="0"/>
    <x v="0"/>
    <x v="1"/>
    <x v="9"/>
    <x v="1"/>
    <x v="0"/>
    <x v="1"/>
    <x v="1"/>
    <x v="1"/>
    <x v="0"/>
    <x v="0"/>
    <x v="15"/>
    <x v="54"/>
    <x v="6"/>
    <x v="6"/>
    <x v="96"/>
    <x v="105"/>
  </r>
  <r>
    <x v="978"/>
    <x v="43"/>
    <x v="0"/>
    <x v="0"/>
    <x v="1"/>
    <x v="10"/>
    <x v="1"/>
    <x v="0"/>
    <x v="1"/>
    <x v="1"/>
    <x v="0"/>
    <x v="11"/>
    <x v="0"/>
    <x v="1"/>
    <x v="49"/>
    <x v="9"/>
    <x v="21"/>
    <x v="132"/>
    <x v="136"/>
  </r>
  <r>
    <x v="979"/>
    <x v="43"/>
    <x v="0"/>
    <x v="0"/>
    <x v="1"/>
    <x v="11"/>
    <x v="1"/>
    <x v="0"/>
    <x v="1"/>
    <x v="1"/>
    <x v="0"/>
    <x v="3"/>
    <x v="2"/>
    <x v="0"/>
    <x v="17"/>
    <x v="10"/>
    <x v="7"/>
    <x v="132"/>
    <x v="59"/>
  </r>
  <r>
    <x v="980"/>
    <x v="43"/>
    <x v="0"/>
    <x v="0"/>
    <x v="1"/>
    <x v="12"/>
    <x v="2"/>
    <x v="0"/>
    <x v="1"/>
    <x v="1"/>
    <x v="0"/>
    <x v="5"/>
    <x v="2"/>
    <x v="28"/>
    <x v="25"/>
    <x v="17"/>
    <x v="39"/>
    <x v="111"/>
    <x v="148"/>
  </r>
  <r>
    <x v="981"/>
    <x v="43"/>
    <x v="0"/>
    <x v="0"/>
    <x v="1"/>
    <x v="13"/>
    <x v="2"/>
    <x v="0"/>
    <x v="1"/>
    <x v="1"/>
    <x v="0"/>
    <x v="4"/>
    <x v="2"/>
    <x v="5"/>
    <x v="44"/>
    <x v="11"/>
    <x v="40"/>
    <x v="50"/>
    <x v="38"/>
  </r>
  <r>
    <x v="982"/>
    <x v="43"/>
    <x v="0"/>
    <x v="0"/>
    <x v="1"/>
    <x v="14"/>
    <x v="2"/>
    <x v="0"/>
    <x v="1"/>
    <x v="1"/>
    <x v="1"/>
    <x v="9"/>
    <x v="2"/>
    <x v="10"/>
    <x v="24"/>
    <x v="12"/>
    <x v="41"/>
    <x v="59"/>
    <x v="143"/>
  </r>
  <r>
    <x v="983"/>
    <x v="43"/>
    <x v="0"/>
    <x v="0"/>
    <x v="1"/>
    <x v="15"/>
    <x v="2"/>
    <x v="0"/>
    <x v="1"/>
    <x v="1"/>
    <x v="1"/>
    <x v="9"/>
    <x v="2"/>
    <x v="10"/>
    <x v="24"/>
    <x v="4"/>
    <x v="11"/>
    <x v="183"/>
    <x v="123"/>
  </r>
  <r>
    <x v="984"/>
    <x v="43"/>
    <x v="0"/>
    <x v="0"/>
    <x v="1"/>
    <x v="16"/>
    <x v="2"/>
    <x v="0"/>
    <x v="1"/>
    <x v="1"/>
    <x v="1"/>
    <x v="6"/>
    <x v="2"/>
    <x v="7"/>
    <x v="40"/>
    <x v="9"/>
    <x v="32"/>
    <x v="184"/>
    <x v="87"/>
  </r>
  <r>
    <x v="985"/>
    <x v="43"/>
    <x v="0"/>
    <x v="0"/>
    <x v="1"/>
    <x v="17"/>
    <x v="3"/>
    <x v="0"/>
    <x v="1"/>
    <x v="1"/>
    <x v="0"/>
    <x v="6"/>
    <x v="2"/>
    <x v="7"/>
    <x v="40"/>
    <x v="9"/>
    <x v="36"/>
    <x v="73"/>
    <x v="139"/>
  </r>
  <r>
    <x v="986"/>
    <x v="43"/>
    <x v="0"/>
    <x v="0"/>
    <x v="1"/>
    <x v="18"/>
    <x v="3"/>
    <x v="0"/>
    <x v="1"/>
    <x v="1"/>
    <x v="0"/>
    <x v="9"/>
    <x v="2"/>
    <x v="10"/>
    <x v="25"/>
    <x v="4"/>
    <x v="26"/>
    <x v="78"/>
    <x v="76"/>
  </r>
  <r>
    <x v="987"/>
    <x v="43"/>
    <x v="0"/>
    <x v="0"/>
    <x v="1"/>
    <x v="19"/>
    <x v="3"/>
    <x v="0"/>
    <x v="1"/>
    <x v="1"/>
    <x v="0"/>
    <x v="9"/>
    <x v="2"/>
    <x v="10"/>
    <x v="23"/>
    <x v="3"/>
    <x v="16"/>
    <x v="54"/>
    <x v="42"/>
  </r>
  <r>
    <x v="988"/>
    <x v="43"/>
    <x v="0"/>
    <x v="0"/>
    <x v="1"/>
    <x v="20"/>
    <x v="0"/>
    <x v="0"/>
    <x v="1"/>
    <x v="1"/>
    <x v="0"/>
    <x v="9"/>
    <x v="2"/>
    <x v="10"/>
    <x v="23"/>
    <x v="9"/>
    <x v="13"/>
    <x v="1"/>
    <x v="105"/>
  </r>
  <r>
    <x v="989"/>
    <x v="43"/>
    <x v="0"/>
    <x v="0"/>
    <x v="1"/>
    <x v="21"/>
    <x v="0"/>
    <x v="0"/>
    <x v="1"/>
    <x v="1"/>
    <x v="0"/>
    <x v="9"/>
    <x v="2"/>
    <x v="10"/>
    <x v="23"/>
    <x v="11"/>
    <x v="15"/>
    <x v="108"/>
    <x v="41"/>
  </r>
  <r>
    <x v="990"/>
    <x v="43"/>
    <x v="0"/>
    <x v="0"/>
    <x v="1"/>
    <x v="22"/>
    <x v="0"/>
    <x v="0"/>
    <x v="1"/>
    <x v="1"/>
    <x v="0"/>
    <x v="9"/>
    <x v="2"/>
    <x v="10"/>
    <x v="23"/>
    <x v="4"/>
    <x v="2"/>
    <x v="17"/>
    <x v="9"/>
  </r>
  <r>
    <x v="991"/>
    <x v="43"/>
    <x v="0"/>
    <x v="0"/>
    <x v="1"/>
    <x v="23"/>
    <x v="0"/>
    <x v="0"/>
    <x v="1"/>
    <x v="1"/>
    <x v="0"/>
    <x v="9"/>
    <x v="2"/>
    <x v="10"/>
    <x v="23"/>
    <x v="11"/>
    <x v="0"/>
    <x v="2"/>
    <x v="33"/>
  </r>
  <r>
    <x v="992"/>
    <x v="44"/>
    <x v="0"/>
    <x v="0"/>
    <x v="1"/>
    <x v="0"/>
    <x v="0"/>
    <x v="0"/>
    <x v="2"/>
    <x v="2"/>
    <x v="0"/>
    <x v="4"/>
    <x v="2"/>
    <x v="5"/>
    <x v="38"/>
    <x v="11"/>
    <x v="0"/>
    <x v="21"/>
    <x v="62"/>
  </r>
  <r>
    <x v="993"/>
    <x v="44"/>
    <x v="0"/>
    <x v="0"/>
    <x v="1"/>
    <x v="1"/>
    <x v="0"/>
    <x v="0"/>
    <x v="2"/>
    <x v="2"/>
    <x v="0"/>
    <x v="4"/>
    <x v="2"/>
    <x v="5"/>
    <x v="38"/>
    <x v="11"/>
    <x v="5"/>
    <x v="8"/>
    <x v="85"/>
  </r>
  <r>
    <x v="994"/>
    <x v="44"/>
    <x v="0"/>
    <x v="0"/>
    <x v="1"/>
    <x v="2"/>
    <x v="0"/>
    <x v="0"/>
    <x v="2"/>
    <x v="2"/>
    <x v="0"/>
    <x v="5"/>
    <x v="2"/>
    <x v="6"/>
    <x v="22"/>
    <x v="4"/>
    <x v="3"/>
    <x v="6"/>
    <x v="5"/>
  </r>
  <r>
    <x v="995"/>
    <x v="44"/>
    <x v="0"/>
    <x v="0"/>
    <x v="1"/>
    <x v="3"/>
    <x v="0"/>
    <x v="0"/>
    <x v="2"/>
    <x v="2"/>
    <x v="0"/>
    <x v="10"/>
    <x v="2"/>
    <x v="28"/>
    <x v="15"/>
    <x v="6"/>
    <x v="5"/>
    <x v="4"/>
    <x v="5"/>
  </r>
  <r>
    <x v="996"/>
    <x v="44"/>
    <x v="0"/>
    <x v="0"/>
    <x v="1"/>
    <x v="4"/>
    <x v="0"/>
    <x v="0"/>
    <x v="2"/>
    <x v="2"/>
    <x v="0"/>
    <x v="3"/>
    <x v="2"/>
    <x v="32"/>
    <x v="45"/>
    <x v="3"/>
    <x v="3"/>
    <x v="6"/>
    <x v="5"/>
  </r>
  <r>
    <x v="997"/>
    <x v="44"/>
    <x v="0"/>
    <x v="0"/>
    <x v="1"/>
    <x v="5"/>
    <x v="1"/>
    <x v="0"/>
    <x v="2"/>
    <x v="2"/>
    <x v="0"/>
    <x v="3"/>
    <x v="2"/>
    <x v="32"/>
    <x v="45"/>
    <x v="3"/>
    <x v="3"/>
    <x v="35"/>
    <x v="6"/>
  </r>
  <r>
    <x v="998"/>
    <x v="44"/>
    <x v="0"/>
    <x v="0"/>
    <x v="1"/>
    <x v="6"/>
    <x v="1"/>
    <x v="0"/>
    <x v="2"/>
    <x v="2"/>
    <x v="0"/>
    <x v="10"/>
    <x v="2"/>
    <x v="32"/>
    <x v="15"/>
    <x v="4"/>
    <x v="5"/>
    <x v="18"/>
    <x v="132"/>
  </r>
  <r>
    <x v="999"/>
    <x v="44"/>
    <x v="0"/>
    <x v="0"/>
    <x v="1"/>
    <x v="7"/>
    <x v="1"/>
    <x v="0"/>
    <x v="2"/>
    <x v="2"/>
    <x v="0"/>
    <x v="10"/>
    <x v="2"/>
    <x v="32"/>
    <x v="15"/>
    <x v="4"/>
    <x v="4"/>
    <x v="18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8EDDB-24C1-461A-A010-8732A3A82AAD}"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02:D148" firstHeaderRow="0" firstDataRow="1" firstDataCol="1"/>
  <pivotFields count="19">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dataField="1" showAll="0"/>
    <pivotField dataField="1" showAll="0"/>
    <pivotField dataField="1" showAll="0"/>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3">
    <i>
      <x/>
    </i>
    <i i="1">
      <x v="1"/>
    </i>
    <i i="2">
      <x v="2"/>
    </i>
  </colItems>
  <dataFields count="3">
    <dataField name="Sum of Cnt" fld="18" baseField="0" baseItem="0"/>
    <dataField name="Sum of Registered" fld="17" baseField="0" baseItem="0"/>
    <dataField name="Sum of Casual" fld="16" baseField="0" baseItem="0"/>
  </dataFields>
  <formats count="16">
    <format dxfId="35">
      <pivotArea dataOnly="0" labelOnly="1" outline="0" fieldPosition="0">
        <references count="1">
          <reference field="4294967294" count="1">
            <x v="1"/>
          </reference>
        </references>
      </pivotArea>
    </format>
    <format dxfId="34">
      <pivotArea dataOnly="0" labelOnly="1" outline="0" fieldPosition="0">
        <references count="1">
          <reference field="4294967294" count="1">
            <x v="1"/>
          </reference>
        </references>
      </pivotArea>
    </format>
    <format dxfId="33">
      <pivotArea type="all" dataOnly="0" outline="0" fieldPosition="0"/>
    </format>
    <format dxfId="32">
      <pivotArea outline="0" collapsedLevelsAreSubtotals="1" fieldPosition="0"/>
    </format>
    <format dxfId="31">
      <pivotArea dataOnly="0" labelOnly="1" grandRow="1" outline="0" fieldPosition="0"/>
    </format>
    <format dxfId="30">
      <pivotArea dataOnly="0" labelOnly="1" outline="0" fieldPosition="0">
        <references count="1">
          <reference field="4294967294" count="1">
            <x v="1"/>
          </reference>
        </references>
      </pivotArea>
    </format>
    <format dxfId="29">
      <pivotArea type="all" dataOnly="0" outline="0" fieldPosition="0"/>
    </format>
    <format dxfId="28">
      <pivotArea outline="0" collapsedLevelsAreSubtotals="1" fieldPosition="0"/>
    </format>
    <format dxfId="27">
      <pivotArea dataOnly="0" labelOnly="1" grandRow="1" outline="0" fieldPosition="0"/>
    </format>
    <format dxfId="26">
      <pivotArea dataOnly="0" labelOnly="1" outline="0" fieldPosition="0">
        <references count="1">
          <reference field="4294967294" count="1">
            <x v="1"/>
          </reference>
        </references>
      </pivotArea>
    </format>
    <format dxfId="25">
      <pivotArea type="all" dataOnly="0" outline="0" fieldPosition="0"/>
    </format>
    <format dxfId="24">
      <pivotArea outline="0" collapsedLevelsAreSubtotals="1" fieldPosition="0"/>
    </format>
    <format dxfId="23">
      <pivotArea dataOnly="0" labelOnly="1" grandRow="1" outline="0" fieldPosition="0"/>
    </format>
    <format dxfId="22">
      <pivotArea dataOnly="0" labelOnly="1" outline="0" fieldPosition="0">
        <references count="1">
          <reference field="4294967294" count="1">
            <x v="1"/>
          </reference>
        </references>
      </pivotArea>
    </format>
    <format dxfId="21">
      <pivotArea field="1" type="button" dataOnly="0" labelOnly="1" outline="0" axis="axisRow" fieldPosition="0"/>
    </format>
    <format dxfId="20">
      <pivotArea dataOnly="0" labelOnly="1" outline="0" fieldPosition="0">
        <references count="1">
          <reference field="4294967294" count="3">
            <x v="0"/>
            <x v="1"/>
            <x v="2"/>
          </reference>
        </references>
      </pivotArea>
    </format>
  </formats>
  <chartFormats count="5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0" format="5">
      <pivotArea type="data" outline="0" fieldPosition="0">
        <references count="2">
          <reference field="4294967294" count="1" selected="0">
            <x v="0"/>
          </reference>
          <reference field="1" count="1" selected="0">
            <x v="2"/>
          </reference>
        </references>
      </pivotArea>
    </chartFormat>
    <chartFormat chart="0" format="6">
      <pivotArea type="data" outline="0" fieldPosition="0">
        <references count="2">
          <reference field="4294967294" count="1" selected="0">
            <x v="0"/>
          </reference>
          <reference field="1" count="1" selected="0">
            <x v="3"/>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5"/>
          </reference>
        </references>
      </pivotArea>
    </chartFormat>
    <chartFormat chart="0" format="9">
      <pivotArea type="data" outline="0" fieldPosition="0">
        <references count="2">
          <reference field="4294967294" count="1" selected="0">
            <x v="0"/>
          </reference>
          <reference field="1" count="1" selected="0">
            <x v="6"/>
          </reference>
        </references>
      </pivotArea>
    </chartFormat>
    <chartFormat chart="0" format="10">
      <pivotArea type="data" outline="0" fieldPosition="0">
        <references count="2">
          <reference field="4294967294" count="1" selected="0">
            <x v="0"/>
          </reference>
          <reference field="1" count="1" selected="0">
            <x v="7"/>
          </reference>
        </references>
      </pivotArea>
    </chartFormat>
    <chartFormat chart="0" format="11">
      <pivotArea type="data" outline="0" fieldPosition="0">
        <references count="2">
          <reference field="4294967294" count="1" selected="0">
            <x v="0"/>
          </reference>
          <reference field="1" count="1" selected="0">
            <x v="8"/>
          </reference>
        </references>
      </pivotArea>
    </chartFormat>
    <chartFormat chart="0" format="12">
      <pivotArea type="data" outline="0" fieldPosition="0">
        <references count="2">
          <reference field="4294967294" count="1" selected="0">
            <x v="0"/>
          </reference>
          <reference field="1" count="1" selected="0">
            <x v="9"/>
          </reference>
        </references>
      </pivotArea>
    </chartFormat>
    <chartFormat chart="0" format="13">
      <pivotArea type="data" outline="0" fieldPosition="0">
        <references count="2">
          <reference field="4294967294" count="1" selected="0">
            <x v="0"/>
          </reference>
          <reference field="1" count="1" selected="0">
            <x v="10"/>
          </reference>
        </references>
      </pivotArea>
    </chartFormat>
    <chartFormat chart="0" format="14">
      <pivotArea type="data" outline="0" fieldPosition="0">
        <references count="2">
          <reference field="4294967294" count="1" selected="0">
            <x v="0"/>
          </reference>
          <reference field="1" count="1" selected="0">
            <x v="11"/>
          </reference>
        </references>
      </pivotArea>
    </chartFormat>
    <chartFormat chart="0" format="15">
      <pivotArea type="data" outline="0" fieldPosition="0">
        <references count="2">
          <reference field="4294967294" count="1" selected="0">
            <x v="0"/>
          </reference>
          <reference field="1" count="1" selected="0">
            <x v="12"/>
          </reference>
        </references>
      </pivotArea>
    </chartFormat>
    <chartFormat chart="0" format="16">
      <pivotArea type="data" outline="0" fieldPosition="0">
        <references count="2">
          <reference field="4294967294" count="1" selected="0">
            <x v="0"/>
          </reference>
          <reference field="1" count="1" selected="0">
            <x v="13"/>
          </reference>
        </references>
      </pivotArea>
    </chartFormat>
    <chartFormat chart="0" format="17">
      <pivotArea type="data" outline="0" fieldPosition="0">
        <references count="2">
          <reference field="4294967294" count="1" selected="0">
            <x v="0"/>
          </reference>
          <reference field="1" count="1" selected="0">
            <x v="14"/>
          </reference>
        </references>
      </pivotArea>
    </chartFormat>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1" count="1" selected="0">
            <x v="0"/>
          </reference>
        </references>
      </pivotArea>
    </chartFormat>
    <chartFormat chart="3" format="38">
      <pivotArea type="data" outline="0" fieldPosition="0">
        <references count="2">
          <reference field="4294967294" count="1" selected="0">
            <x v="0"/>
          </reference>
          <reference field="1" count="1" selected="0">
            <x v="1"/>
          </reference>
        </references>
      </pivotArea>
    </chartFormat>
    <chartFormat chart="3" format="39">
      <pivotArea type="data" outline="0" fieldPosition="0">
        <references count="2">
          <reference field="4294967294" count="1" selected="0">
            <x v="0"/>
          </reference>
          <reference field="1" count="1" selected="0">
            <x v="2"/>
          </reference>
        </references>
      </pivotArea>
    </chartFormat>
    <chartFormat chart="3" format="40">
      <pivotArea type="data" outline="0" fieldPosition="0">
        <references count="2">
          <reference field="4294967294" count="1" selected="0">
            <x v="0"/>
          </reference>
          <reference field="1" count="1" selected="0">
            <x v="3"/>
          </reference>
        </references>
      </pivotArea>
    </chartFormat>
    <chartFormat chart="3" format="41">
      <pivotArea type="data" outline="0" fieldPosition="0">
        <references count="2">
          <reference field="4294967294" count="1" selected="0">
            <x v="0"/>
          </reference>
          <reference field="1" count="1" selected="0">
            <x v="4"/>
          </reference>
        </references>
      </pivotArea>
    </chartFormat>
    <chartFormat chart="3" format="42">
      <pivotArea type="data" outline="0" fieldPosition="0">
        <references count="2">
          <reference field="4294967294" count="1" selected="0">
            <x v="0"/>
          </reference>
          <reference field="1" count="1" selected="0">
            <x v="5"/>
          </reference>
        </references>
      </pivotArea>
    </chartFormat>
    <chartFormat chart="3" format="43">
      <pivotArea type="data" outline="0" fieldPosition="0">
        <references count="2">
          <reference field="4294967294" count="1" selected="0">
            <x v="0"/>
          </reference>
          <reference field="1" count="1" selected="0">
            <x v="6"/>
          </reference>
        </references>
      </pivotArea>
    </chartFormat>
    <chartFormat chart="3" format="44">
      <pivotArea type="data" outline="0" fieldPosition="0">
        <references count="2">
          <reference field="4294967294" count="1" selected="0">
            <x v="0"/>
          </reference>
          <reference field="1" count="1" selected="0">
            <x v="7"/>
          </reference>
        </references>
      </pivotArea>
    </chartFormat>
    <chartFormat chart="3" format="45">
      <pivotArea type="data" outline="0" fieldPosition="0">
        <references count="2">
          <reference field="4294967294" count="1" selected="0">
            <x v="0"/>
          </reference>
          <reference field="1" count="1" selected="0">
            <x v="8"/>
          </reference>
        </references>
      </pivotArea>
    </chartFormat>
    <chartFormat chart="3" format="46">
      <pivotArea type="data" outline="0" fieldPosition="0">
        <references count="2">
          <reference field="4294967294" count="1" selected="0">
            <x v="0"/>
          </reference>
          <reference field="1" count="1" selected="0">
            <x v="9"/>
          </reference>
        </references>
      </pivotArea>
    </chartFormat>
    <chartFormat chart="3" format="47">
      <pivotArea type="data" outline="0" fieldPosition="0">
        <references count="2">
          <reference field="4294967294" count="1" selected="0">
            <x v="0"/>
          </reference>
          <reference field="1" count="1" selected="0">
            <x v="10"/>
          </reference>
        </references>
      </pivotArea>
    </chartFormat>
    <chartFormat chart="3" format="48">
      <pivotArea type="data" outline="0" fieldPosition="0">
        <references count="2">
          <reference field="4294967294" count="1" selected="0">
            <x v="0"/>
          </reference>
          <reference field="1" count="1" selected="0">
            <x v="11"/>
          </reference>
        </references>
      </pivotArea>
    </chartFormat>
    <chartFormat chart="3" format="49">
      <pivotArea type="data" outline="0" fieldPosition="0">
        <references count="2">
          <reference field="4294967294" count="1" selected="0">
            <x v="0"/>
          </reference>
          <reference field="1" count="1" selected="0">
            <x v="12"/>
          </reference>
        </references>
      </pivotArea>
    </chartFormat>
    <chartFormat chart="3" format="50">
      <pivotArea type="data" outline="0" fieldPosition="0">
        <references count="2">
          <reference field="4294967294" count="1" selected="0">
            <x v="0"/>
          </reference>
          <reference field="1" count="1" selected="0">
            <x v="13"/>
          </reference>
        </references>
      </pivotArea>
    </chartFormat>
    <chartFormat chart="3" format="51">
      <pivotArea type="data" outline="0" fieldPosition="0">
        <references count="2">
          <reference field="4294967294" count="1" selected="0">
            <x v="0"/>
          </reference>
          <reference field="1" count="1" selected="0">
            <x v="14"/>
          </reference>
        </references>
      </pivotArea>
    </chartFormat>
    <chartFormat chart="3" format="52" series="1">
      <pivotArea type="data" outline="0" fieldPosition="0">
        <references count="1">
          <reference field="4294967294" count="1" selected="0">
            <x v="1"/>
          </reference>
        </references>
      </pivotArea>
    </chartFormat>
    <chartFormat chart="3" format="53" series="1">
      <pivotArea type="data" outline="0" fieldPosition="0">
        <references count="1">
          <reference field="4294967294" count="1" selected="0">
            <x v="2"/>
          </reference>
        </references>
      </pivotArea>
    </chartFormat>
    <chartFormat chart="9" format="54" series="1">
      <pivotArea type="data" outline="0" fieldPosition="0">
        <references count="1">
          <reference field="4294967294" count="1" selected="0">
            <x v="0"/>
          </reference>
        </references>
      </pivotArea>
    </chartFormat>
    <chartFormat chart="9" format="55">
      <pivotArea type="data" outline="0" fieldPosition="0">
        <references count="2">
          <reference field="4294967294" count="1" selected="0">
            <x v="0"/>
          </reference>
          <reference field="1" count="1" selected="0">
            <x v="0"/>
          </reference>
        </references>
      </pivotArea>
    </chartFormat>
    <chartFormat chart="9" format="56">
      <pivotArea type="data" outline="0" fieldPosition="0">
        <references count="2">
          <reference field="4294967294" count="1" selected="0">
            <x v="0"/>
          </reference>
          <reference field="1" count="1" selected="0">
            <x v="1"/>
          </reference>
        </references>
      </pivotArea>
    </chartFormat>
    <chartFormat chart="9" format="57">
      <pivotArea type="data" outline="0" fieldPosition="0">
        <references count="2">
          <reference field="4294967294" count="1" selected="0">
            <x v="0"/>
          </reference>
          <reference field="1" count="1" selected="0">
            <x v="2"/>
          </reference>
        </references>
      </pivotArea>
    </chartFormat>
    <chartFormat chart="9" format="58">
      <pivotArea type="data" outline="0" fieldPosition="0">
        <references count="2">
          <reference field="4294967294" count="1" selected="0">
            <x v="0"/>
          </reference>
          <reference field="1" count="1" selected="0">
            <x v="3"/>
          </reference>
        </references>
      </pivotArea>
    </chartFormat>
    <chartFormat chart="9" format="59">
      <pivotArea type="data" outline="0" fieldPosition="0">
        <references count="2">
          <reference field="4294967294" count="1" selected="0">
            <x v="0"/>
          </reference>
          <reference field="1" count="1" selected="0">
            <x v="4"/>
          </reference>
        </references>
      </pivotArea>
    </chartFormat>
    <chartFormat chart="9" format="60">
      <pivotArea type="data" outline="0" fieldPosition="0">
        <references count="2">
          <reference field="4294967294" count="1" selected="0">
            <x v="0"/>
          </reference>
          <reference field="1" count="1" selected="0">
            <x v="5"/>
          </reference>
        </references>
      </pivotArea>
    </chartFormat>
    <chartFormat chart="9" format="61">
      <pivotArea type="data" outline="0" fieldPosition="0">
        <references count="2">
          <reference field="4294967294" count="1" selected="0">
            <x v="0"/>
          </reference>
          <reference field="1" count="1" selected="0">
            <x v="6"/>
          </reference>
        </references>
      </pivotArea>
    </chartFormat>
    <chartFormat chart="9" format="62">
      <pivotArea type="data" outline="0" fieldPosition="0">
        <references count="2">
          <reference field="4294967294" count="1" selected="0">
            <x v="0"/>
          </reference>
          <reference field="1" count="1" selected="0">
            <x v="7"/>
          </reference>
        </references>
      </pivotArea>
    </chartFormat>
    <chartFormat chart="9" format="63">
      <pivotArea type="data" outline="0" fieldPosition="0">
        <references count="2">
          <reference field="4294967294" count="1" selected="0">
            <x v="0"/>
          </reference>
          <reference field="1" count="1" selected="0">
            <x v="8"/>
          </reference>
        </references>
      </pivotArea>
    </chartFormat>
    <chartFormat chart="9" format="64">
      <pivotArea type="data" outline="0" fieldPosition="0">
        <references count="2">
          <reference field="4294967294" count="1" selected="0">
            <x v="0"/>
          </reference>
          <reference field="1" count="1" selected="0">
            <x v="9"/>
          </reference>
        </references>
      </pivotArea>
    </chartFormat>
    <chartFormat chart="9" format="65">
      <pivotArea type="data" outline="0" fieldPosition="0">
        <references count="2">
          <reference field="4294967294" count="1" selected="0">
            <x v="0"/>
          </reference>
          <reference field="1" count="1" selected="0">
            <x v="10"/>
          </reference>
        </references>
      </pivotArea>
    </chartFormat>
    <chartFormat chart="9" format="66">
      <pivotArea type="data" outline="0" fieldPosition="0">
        <references count="2">
          <reference field="4294967294" count="1" selected="0">
            <x v="0"/>
          </reference>
          <reference field="1" count="1" selected="0">
            <x v="11"/>
          </reference>
        </references>
      </pivotArea>
    </chartFormat>
    <chartFormat chart="9" format="67">
      <pivotArea type="data" outline="0" fieldPosition="0">
        <references count="2">
          <reference field="4294967294" count="1" selected="0">
            <x v="0"/>
          </reference>
          <reference field="1" count="1" selected="0">
            <x v="12"/>
          </reference>
        </references>
      </pivotArea>
    </chartFormat>
    <chartFormat chart="9" format="68">
      <pivotArea type="data" outline="0" fieldPosition="0">
        <references count="2">
          <reference field="4294967294" count="1" selected="0">
            <x v="0"/>
          </reference>
          <reference field="1" count="1" selected="0">
            <x v="13"/>
          </reference>
        </references>
      </pivotArea>
    </chartFormat>
    <chartFormat chart="9" format="69">
      <pivotArea type="data" outline="0" fieldPosition="0">
        <references count="2">
          <reference field="4294967294" count="1" selected="0">
            <x v="0"/>
          </reference>
          <reference field="1" count="1" selected="0">
            <x v="14"/>
          </reference>
        </references>
      </pivotArea>
    </chartFormat>
    <chartFormat chart="9" format="70" series="1">
      <pivotArea type="data" outline="0" fieldPosition="0">
        <references count="1">
          <reference field="4294967294" count="1" selected="0">
            <x v="1"/>
          </reference>
        </references>
      </pivotArea>
    </chartFormat>
    <chartFormat chart="9" format="7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5FBA2-9A7A-4992-B2A6-6045ACCDF14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54:D159" firstHeaderRow="0"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5">
        <item sd="0" x="2"/>
        <item sd="0" x="3"/>
        <item sd="0" x="1"/>
        <item sd="0" x="0"/>
        <item t="default"/>
      </items>
    </pivotField>
    <pivotField showAll="0"/>
    <pivotField showAll="0">
      <items count="8">
        <item x="1"/>
        <item x="2"/>
        <item x="3"/>
        <item x="4"/>
        <item x="5"/>
        <item x="6"/>
        <item x="0"/>
        <item t="default"/>
      </items>
    </pivotField>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7">
        <item m="1" x="5"/>
        <item x="0"/>
        <item m="1" x="4"/>
        <item x="1"/>
        <item x="3"/>
        <item x="2"/>
        <item t="default"/>
      </items>
    </pivotField>
    <pivotField showAll="0"/>
    <pivotField showAll="0"/>
    <pivotField showAll="0"/>
    <pivotField dataField="1" showAll="0"/>
    <pivotField dataField="1"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2">
    <field x="6"/>
    <field x="12"/>
  </rowFields>
  <rowItems count="5">
    <i>
      <x/>
    </i>
    <i>
      <x v="1"/>
    </i>
    <i>
      <x v="2"/>
    </i>
    <i>
      <x v="3"/>
    </i>
    <i t="grand">
      <x/>
    </i>
  </rowItems>
  <colFields count="1">
    <field x="-2"/>
  </colFields>
  <colItems count="3">
    <i>
      <x/>
    </i>
    <i i="1">
      <x v="1"/>
    </i>
    <i i="2">
      <x v="2"/>
    </i>
  </colItems>
  <dataFields count="3">
    <dataField name="Sum of Cnt" fld="18" baseField="0" baseItem="0"/>
    <dataField name="Sum of Registered" fld="17" baseField="0" baseItem="0"/>
    <dataField name="Sum of Casual" fld="16" baseField="0" baseItem="0"/>
  </dataFields>
  <formats count="25">
    <format dxfId="60">
      <pivotArea field="8" type="button" dataOnly="0" labelOnly="1" outline="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field="8" type="button" dataOnly="0" labelOnly="1" outline="0"/>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8" type="button" dataOnly="0" labelOnly="1" outline="0"/>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8" type="button" dataOnly="0" labelOnly="1" outline="0"/>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9" type="button" dataOnly="0" labelOnly="1" outline="0"/>
    </format>
    <format dxfId="40">
      <pivotArea dataOnly="0" labelOnly="1" grandRow="1" outline="0" fieldPosition="0"/>
    </format>
    <format dxfId="39">
      <pivotArea type="all" dataOnly="0" outline="0" fieldPosition="0"/>
    </format>
    <format dxfId="38">
      <pivotArea outline="0" collapsedLevelsAreSubtotals="1" fieldPosition="0"/>
    </format>
    <format dxfId="37">
      <pivotArea field="9" type="button" dataOnly="0" labelOnly="1" outline="0"/>
    </format>
    <format dxfId="36">
      <pivotArea dataOnly="0" labelOnly="1" grandRow="1" outline="0" fieldPosition="0"/>
    </format>
  </formats>
  <chartFormats count="10">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2"/>
          </reference>
          <reference field="6"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series="1">
      <pivotArea type="data" outline="0" fieldPosition="0">
        <references count="1">
          <reference field="4294967294" count="1" selected="0">
            <x v="1"/>
          </reference>
        </references>
      </pivotArea>
    </chartFormat>
    <chartFormat chart="4" format="13" series="1">
      <pivotArea type="data" outline="0" fieldPosition="0">
        <references count="1">
          <reference field="4294967294" count="1" selected="0">
            <x v="2"/>
          </reference>
        </references>
      </pivotArea>
    </chartFormat>
    <chartFormat chart="4" format="14">
      <pivotArea type="data" outline="0" fieldPosition="0">
        <references count="2">
          <reference field="4294967294" count="1" selected="0">
            <x v="2"/>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E39B9C-5CFD-41C1-9D39-0E4BEFB4EAF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5:D43" firstHeaderRow="0"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items count="8">
        <item x="1"/>
        <item x="2"/>
        <item x="3"/>
        <item x="4"/>
        <item x="5"/>
        <item x="6"/>
        <item x="0"/>
        <item t="default"/>
      </items>
    </pivotField>
    <pivotField axis="axisRow"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dataField="1" showAll="0"/>
    <pivotField dataField="1" showAll="0"/>
    <pivotField dataField="1" showAll="0"/>
  </pivotFields>
  <rowFields count="1">
    <field x="9"/>
  </rowFields>
  <rowItems count="8">
    <i>
      <x/>
    </i>
    <i>
      <x v="1"/>
    </i>
    <i>
      <x v="2"/>
    </i>
    <i>
      <x v="3"/>
    </i>
    <i>
      <x v="4"/>
    </i>
    <i>
      <x v="5"/>
    </i>
    <i>
      <x v="6"/>
    </i>
    <i t="grand">
      <x/>
    </i>
  </rowItems>
  <colFields count="1">
    <field x="-2"/>
  </colFields>
  <colItems count="3">
    <i>
      <x/>
    </i>
    <i i="1">
      <x v="1"/>
    </i>
    <i i="2">
      <x v="2"/>
    </i>
  </colItems>
  <dataFields count="3">
    <dataField name="Sum of Cnt" fld="18" baseField="0" baseItem="0"/>
    <dataField name="Sum of Registered" fld="17" baseField="0" baseItem="0"/>
    <dataField name="Sum of Casual" fld="16" baseField="0" baseItem="0"/>
  </dataFields>
  <formats count="29">
    <format dxfId="89">
      <pivotArea field="8" type="button" dataOnly="0" labelOnly="1" outline="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8" type="button" dataOnly="0" labelOnly="1" outline="0"/>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8" type="button" dataOnly="0" labelOnly="1" outline="0"/>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8" type="button" dataOnly="0" labelOnly="1" outline="0"/>
    </format>
    <format dxfId="74">
      <pivotArea dataOnly="0" labelOnly="1" grandRow="1" outline="0"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field="9" type="button" dataOnly="0" labelOnly="1" outline="0" axis="axisRow" fieldPosition="0"/>
    </format>
    <format dxfId="69">
      <pivotArea dataOnly="0" labelOnly="1" fieldPosition="0">
        <references count="1">
          <reference field="9" count="0"/>
        </references>
      </pivotArea>
    </format>
    <format dxfId="68">
      <pivotArea dataOnly="0" labelOnly="1" grandRow="1" outline="0" fieldPosition="0"/>
    </format>
    <format dxfId="67">
      <pivotArea dataOnly="0" labelOnly="1" outline="0" fieldPosition="0">
        <references count="1">
          <reference field="4294967294" count="3">
            <x v="0"/>
            <x v="1"/>
            <x v="2"/>
          </reference>
        </references>
      </pivotArea>
    </format>
    <format dxfId="66">
      <pivotArea type="all" dataOnly="0" outline="0" fieldPosition="0"/>
    </format>
    <format dxfId="65">
      <pivotArea outline="0" collapsedLevelsAreSubtotals="1" fieldPosition="0"/>
    </format>
    <format dxfId="64">
      <pivotArea field="9" type="button" dataOnly="0" labelOnly="1" outline="0" axis="axisRow" fieldPosition="0"/>
    </format>
    <format dxfId="63">
      <pivotArea dataOnly="0" labelOnly="1" fieldPosition="0">
        <references count="1">
          <reference field="9" count="0"/>
        </references>
      </pivotArea>
    </format>
    <format dxfId="62">
      <pivotArea dataOnly="0" labelOnly="1" grandRow="1" outline="0" fieldPosition="0"/>
    </format>
    <format dxfId="61">
      <pivotArea dataOnly="0" labelOnly="1" outline="0" fieldPosition="0">
        <references count="1">
          <reference field="4294967294" count="3">
            <x v="0"/>
            <x v="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1"/>
          </reference>
          <reference field="9" count="1" selected="0">
            <x v="6"/>
          </reference>
        </references>
      </pivotArea>
    </chartFormat>
    <chartFormat chart="3" format="10">
      <pivotArea type="data" outline="0" fieldPosition="0">
        <references count="2">
          <reference field="4294967294" count="1" selected="0">
            <x v="1"/>
          </reference>
          <reference field="9" count="1" selected="0">
            <x v="5"/>
          </reference>
        </references>
      </pivotArea>
    </chartFormat>
    <chartFormat chart="3" format="11">
      <pivotArea type="data" outline="0" fieldPosition="0">
        <references count="2">
          <reference field="4294967294" count="1" selected="0">
            <x v="1"/>
          </reference>
          <reference field="9" count="1" selected="0">
            <x v="4"/>
          </reference>
        </references>
      </pivotArea>
    </chartFormat>
    <chartFormat chart="3" format="12">
      <pivotArea type="data" outline="0" fieldPosition="0">
        <references count="2">
          <reference field="4294967294" count="1" selected="0">
            <x v="1"/>
          </reference>
          <reference field="9" count="1" selected="0">
            <x v="3"/>
          </reference>
        </references>
      </pivotArea>
    </chartFormat>
    <chartFormat chart="3" format="13">
      <pivotArea type="data" outline="0" fieldPosition="0">
        <references count="2">
          <reference field="4294967294" count="1" selected="0">
            <x v="0"/>
          </reference>
          <reference field="9" count="1" selected="0">
            <x v="3"/>
          </reference>
        </references>
      </pivotArea>
    </chartFormat>
    <chartFormat chart="3" format="1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CB054-019C-4B82-8FC9-422349352FFE}"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73:B197" firstHeaderRow="1"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sd="0" x="2"/>
        <item sd="0" x="3"/>
        <item sd="0" x="1"/>
        <item sd="0" x="0"/>
        <item t="default"/>
      </items>
    </pivotField>
    <pivotField showAll="0"/>
    <pivotField showAll="0">
      <items count="8">
        <item x="1"/>
        <item x="2"/>
        <item x="3"/>
        <item x="4"/>
        <item x="5"/>
        <item x="6"/>
        <item x="0"/>
        <item t="default"/>
      </items>
    </pivotField>
    <pivotField showAll="0">
      <items count="8">
        <item x="2"/>
        <item x="3"/>
        <item x="4"/>
        <item x="5"/>
        <item x="0"/>
        <item x="1"/>
        <item x="6"/>
        <item t="default"/>
      </items>
    </pivotField>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showAll="0"/>
    <pivotField showAll="0"/>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11"/>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Cnt" fld="18" baseField="0" baseItem="0" numFmtId="1"/>
  </dataFields>
  <formats count="26">
    <format dxfId="115">
      <pivotArea field="8" type="button" dataOnly="0" labelOnly="1" outline="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8" type="button" dataOnly="0" labelOnly="1" outline="0"/>
    </format>
    <format dxfId="110">
      <pivotArea dataOnly="0" labelOnly="1" grandRow="1" outline="0"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8" type="button" dataOnly="0" labelOnly="1" outline="0"/>
    </format>
    <format dxfId="105">
      <pivotArea dataOnly="0" labelOnly="1" grandRow="1" outline="0"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field="8" type="button" dataOnly="0" labelOnly="1" outline="0"/>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9" type="button" dataOnly="0" labelOnly="1" outline="0"/>
    </format>
    <format dxfId="95">
      <pivotArea dataOnly="0" labelOnly="1" grandRow="1" outline="0" fieldPosition="0"/>
    </format>
    <format dxfId="94">
      <pivotArea type="all" dataOnly="0" outline="0" fieldPosition="0"/>
    </format>
    <format dxfId="93">
      <pivotArea outline="0" collapsedLevelsAreSubtotals="1" fieldPosition="0"/>
    </format>
    <format dxfId="92">
      <pivotArea field="9" type="button" dataOnly="0" labelOnly="1" outline="0"/>
    </format>
    <format dxfId="91">
      <pivotArea dataOnly="0" labelOnly="1" grandRow="1" outline="0" fieldPosition="0"/>
    </format>
    <format dxfId="9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888D03-7443-4068-8D9E-4EA14F809F7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4:B15" firstHeaderRow="0"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showAll="0"/>
    <pivotField dataField="1" showAll="0"/>
    <pivotField dataField="1" showAll="0"/>
  </pivotFields>
  <rowItems count="1">
    <i/>
  </rowItems>
  <colFields count="1">
    <field x="-2"/>
  </colFields>
  <colItems count="2">
    <i>
      <x/>
    </i>
    <i i="1">
      <x v="1"/>
    </i>
  </colItems>
  <dataFields count="2">
    <dataField name="Sum of Cnt" fld="18" baseField="0" baseItem="0"/>
    <dataField name="Sum of Registered" fld="17" baseField="0" baseItem="0"/>
  </dataFields>
  <formats count="8">
    <format dxfId="123">
      <pivotArea type="all" dataOnly="0" outline="0" fieldPosition="0"/>
    </format>
    <format dxfId="122">
      <pivotArea outline="0" collapsedLevelsAreSubtotals="1" fieldPosition="0"/>
    </format>
    <format dxfId="121">
      <pivotArea type="all" dataOnly="0"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dataOnly="0" labelOnly="1" outline="0" fieldPosition="0">
        <references count="1">
          <reference field="4294967294" count="2">
            <x v="0"/>
            <x v="1"/>
          </reference>
        </references>
      </pivotArea>
    </format>
    <format dxfId="11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A10568-07FD-4B53-8461-545E248A7F3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4:A5"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showAll="0"/>
    <pivotField showAll="0"/>
    <pivotField dataField="1" showAll="0"/>
  </pivotFields>
  <rowItems count="1">
    <i/>
  </rowItems>
  <colItems count="1">
    <i/>
  </colItems>
  <dataFields count="1">
    <dataField name="Sum of Cnt" fld="18" baseField="0" baseItem="0"/>
  </dataFields>
  <formats count="9">
    <format dxfId="132">
      <pivotArea type="all" dataOnly="0" outline="0" fieldPosition="0"/>
    </format>
    <format dxfId="131">
      <pivotArea outline="0" collapsedLevelsAreSubtotals="1" fieldPosition="0"/>
    </format>
    <format dxfId="130">
      <pivotArea dataOnly="0" labelOnly="1" outline="0" axis="axisValues"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C07930-D239-4B86-B1D3-2564EAE46851}"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A8"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showAll="0"/>
    <pivotField dataField="1" showAll="0"/>
    <pivotField showAll="0"/>
  </pivotFields>
  <rowItems count="1">
    <i/>
  </rowItems>
  <colItems count="1">
    <i/>
  </colItems>
  <dataFields count="1">
    <dataField name="Total Registered" fld="17" baseField="0" baseItem="0"/>
  </dataFields>
  <formats count="10">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9A0AEE-9834-4931-9185-DE69660CC1B4}"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8:D23" firstHeaderRow="0" firstDataRow="1" firstDataCol="1"/>
  <pivotFields count="19">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items count="2">
        <item x="0"/>
        <item t="default"/>
      </items>
    </pivotField>
    <pivotField showAll="0">
      <items count="3">
        <item x="0"/>
        <item x="1"/>
        <item t="default"/>
      </items>
    </pivotField>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items count="3">
        <item x="0"/>
        <item x="1"/>
        <item t="default"/>
      </items>
    </pivotField>
    <pivotField showAll="0">
      <items count="8">
        <item x="1"/>
        <item x="2"/>
        <item x="3"/>
        <item x="4"/>
        <item x="5"/>
        <item x="6"/>
        <item x="0"/>
        <item t="default"/>
      </items>
    </pivotField>
    <pivotField showAll="0">
      <items count="8">
        <item x="2"/>
        <item x="3"/>
        <item x="4"/>
        <item x="5"/>
        <item x="0"/>
        <item x="1"/>
        <item x="6"/>
        <item t="default"/>
      </items>
    </pivotField>
    <pivotField showAll="0">
      <items count="5">
        <item x="0"/>
        <item x="1"/>
        <item x="2"/>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7">
        <item m="1" x="5"/>
        <item x="0"/>
        <item m="1" x="4"/>
        <item x="2"/>
        <item x="1"/>
        <item x="3"/>
        <item t="default"/>
      </items>
    </pivotField>
    <pivotField showAll="0">
      <items count="39">
        <item x="35"/>
        <item x="36"/>
        <item x="33"/>
        <item x="34"/>
        <item x="29"/>
        <item x="30"/>
        <item x="31"/>
        <item x="20"/>
        <item x="21"/>
        <item x="19"/>
        <item x="26"/>
        <item x="22"/>
        <item x="18"/>
        <item x="23"/>
        <item x="27"/>
        <item x="17"/>
        <item x="16"/>
        <item x="24"/>
        <item x="15"/>
        <item x="25"/>
        <item x="2"/>
        <item x="1"/>
        <item x="0"/>
        <item x="32"/>
        <item x="3"/>
        <item x="28"/>
        <item x="6"/>
        <item x="14"/>
        <item x="4"/>
        <item x="37"/>
        <item x="13"/>
        <item x="5"/>
        <item x="10"/>
        <item x="7"/>
        <item x="11"/>
        <item x="12"/>
        <item x="9"/>
        <item x="8"/>
        <item t="default"/>
      </items>
    </pivotField>
    <pivotField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items count="21">
        <item x="0"/>
        <item x="1"/>
        <item x="14"/>
        <item x="7"/>
        <item x="8"/>
        <item x="5"/>
        <item x="6"/>
        <item x="2"/>
        <item x="3"/>
        <item x="4"/>
        <item x="9"/>
        <item x="11"/>
        <item x="13"/>
        <item x="12"/>
        <item x="10"/>
        <item x="17"/>
        <item x="15"/>
        <item x="18"/>
        <item x="16"/>
        <item x="19"/>
        <item t="default"/>
      </items>
    </pivotField>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items count="192">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80"/>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66"/>
        <item x="159"/>
        <item x="142"/>
        <item x="14"/>
        <item x="168"/>
        <item x="59"/>
        <item x="135"/>
        <item x="181"/>
        <item x="65"/>
        <item x="155"/>
        <item x="126"/>
        <item x="130"/>
        <item x="164"/>
        <item x="151"/>
        <item x="178"/>
        <item x="78"/>
        <item x="92"/>
        <item x="139"/>
        <item x="149"/>
        <item x="175"/>
        <item x="116"/>
        <item x="131"/>
        <item x="113"/>
        <item x="73"/>
        <item x="140"/>
        <item x="87"/>
        <item x="169"/>
        <item x="114"/>
        <item x="120"/>
        <item x="119"/>
        <item x="188"/>
        <item x="145"/>
        <item x="124"/>
        <item x="190"/>
        <item x="163"/>
        <item x="173"/>
        <item x="165"/>
        <item x="148"/>
        <item x="158"/>
        <item x="38"/>
        <item x="107"/>
        <item x="167"/>
        <item x="45"/>
        <item x="125"/>
        <item x="128"/>
        <item x="187"/>
        <item x="143"/>
        <item x="123"/>
        <item x="82"/>
        <item x="186"/>
        <item x="150"/>
        <item x="171"/>
        <item x="72"/>
        <item x="185"/>
        <item x="81"/>
        <item x="177"/>
        <item x="172"/>
        <item x="170"/>
        <item x="156"/>
        <item x="106"/>
        <item x="49"/>
        <item x="58"/>
        <item x="157"/>
        <item x="147"/>
        <item x="91"/>
        <item x="104"/>
        <item x="71"/>
        <item x="64"/>
        <item x="141"/>
        <item x="184"/>
        <item x="121"/>
        <item x="176"/>
        <item x="86"/>
        <item x="189"/>
        <item x="57"/>
        <item x="146"/>
        <item x="182"/>
        <item x="112"/>
        <item x="77"/>
        <item x="174"/>
        <item x="161"/>
        <item x="162"/>
        <item x="179"/>
        <item x="160"/>
        <item x="183"/>
        <item x="144"/>
        <item t="default"/>
      </items>
    </pivotField>
  </pivotFields>
  <rowFields count="1">
    <field x="12"/>
  </rowFields>
  <rowItems count="5">
    <i>
      <x v="1"/>
    </i>
    <i>
      <x v="3"/>
    </i>
    <i>
      <x v="4"/>
    </i>
    <i>
      <x v="5"/>
    </i>
    <i t="grand">
      <x/>
    </i>
  </rowItems>
  <colFields count="1">
    <field x="-2"/>
  </colFields>
  <colItems count="3">
    <i>
      <x/>
    </i>
    <i i="1">
      <x v="1"/>
    </i>
    <i i="2">
      <x v="2"/>
    </i>
  </colItems>
  <dataFields count="3">
    <dataField name="Sum of Casual" fld="16" baseField="0" baseItem="0"/>
    <dataField name="Sum of Registered" fld="17" baseField="0" baseItem="0"/>
    <dataField name="Sum of Cnt" fld="18" baseField="0" baseItem="0"/>
  </dataFields>
  <formats count="19">
    <format dxfId="161">
      <pivotArea field="11" type="button" dataOnly="0" labelOnly="1" outline="0"/>
    </format>
    <format dxfId="160">
      <pivotArea dataOnly="0" labelOnly="1" outline="0" axis="axisValues" fieldPosition="0"/>
    </format>
    <format dxfId="159">
      <pivotArea field="11" type="button" dataOnly="0" labelOnly="1" outline="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field="11" type="button" dataOnly="0" labelOnly="1" outline="0"/>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11" type="button" dataOnly="0" labelOnly="1" outline="0"/>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11" type="button" dataOnly="0" labelOnly="1" outline="0"/>
    </format>
    <format dxfId="144">
      <pivotArea dataOnly="0" labelOnly="1" grandRow="1" outline="0" fieldPosition="0"/>
    </format>
    <format dxfId="143">
      <pivotArea dataOnly="0" labelOnly="1" outline="0" axis="axisValues" fieldPosition="0"/>
    </format>
  </formats>
  <chartFormats count="57">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12" count="1" selected="0">
            <x v="0"/>
          </reference>
        </references>
      </pivotArea>
    </chartFormat>
    <chartFormat chart="11" format="20">
      <pivotArea type="data" outline="0" fieldPosition="0">
        <references count="2">
          <reference field="4294967294" count="1" selected="0">
            <x v="0"/>
          </reference>
          <reference field="12" count="1" selected="0">
            <x v="1"/>
          </reference>
        </references>
      </pivotArea>
    </chartFormat>
    <chartFormat chart="11" format="21">
      <pivotArea type="data" outline="0" fieldPosition="0">
        <references count="2">
          <reference field="4294967294" count="1" selected="0">
            <x v="0"/>
          </reference>
          <reference field="12" count="1" selected="0">
            <x v="2"/>
          </reference>
        </references>
      </pivotArea>
    </chartFormat>
    <chartFormat chart="11" format="22">
      <pivotArea type="data" outline="0" fieldPosition="0">
        <references count="2">
          <reference field="4294967294" count="1" selected="0">
            <x v="0"/>
          </reference>
          <reference field="12" count="1" selected="0">
            <x v="3"/>
          </reference>
        </references>
      </pivotArea>
    </chartFormat>
    <chartFormat chart="11" format="23" series="1">
      <pivotArea type="data" outline="0" fieldPosition="0">
        <references count="1">
          <reference field="4294967294" count="1" selected="0">
            <x v="1"/>
          </reference>
        </references>
      </pivotArea>
    </chartFormat>
    <chartFormat chart="11" format="24">
      <pivotArea type="data" outline="0" fieldPosition="0">
        <references count="2">
          <reference field="4294967294" count="1" selected="0">
            <x v="1"/>
          </reference>
          <reference field="12" count="1" selected="0">
            <x v="0"/>
          </reference>
        </references>
      </pivotArea>
    </chartFormat>
    <chartFormat chart="11" format="25">
      <pivotArea type="data" outline="0" fieldPosition="0">
        <references count="2">
          <reference field="4294967294" count="1" selected="0">
            <x v="1"/>
          </reference>
          <reference field="12" count="1" selected="0">
            <x v="1"/>
          </reference>
        </references>
      </pivotArea>
    </chartFormat>
    <chartFormat chart="11" format="26">
      <pivotArea type="data" outline="0" fieldPosition="0">
        <references count="2">
          <reference field="4294967294" count="1" selected="0">
            <x v="1"/>
          </reference>
          <reference field="12" count="1" selected="0">
            <x v="2"/>
          </reference>
        </references>
      </pivotArea>
    </chartFormat>
    <chartFormat chart="11" format="27">
      <pivotArea type="data" outline="0" fieldPosition="0">
        <references count="2">
          <reference field="4294967294" count="1" selected="0">
            <x v="1"/>
          </reference>
          <reference field="12" count="1" selected="0">
            <x v="3"/>
          </reference>
        </references>
      </pivotArea>
    </chartFormat>
    <chartFormat chart="11" format="28" series="1">
      <pivotArea type="data" outline="0" fieldPosition="0">
        <references count="1">
          <reference field="4294967294" count="1" selected="0">
            <x v="2"/>
          </reference>
        </references>
      </pivotArea>
    </chartFormat>
    <chartFormat chart="11" format="29">
      <pivotArea type="data" outline="0" fieldPosition="0">
        <references count="2">
          <reference field="4294967294" count="1" selected="0">
            <x v="2"/>
          </reference>
          <reference field="12" count="1" selected="0">
            <x v="0"/>
          </reference>
        </references>
      </pivotArea>
    </chartFormat>
    <chartFormat chart="11" format="30">
      <pivotArea type="data" outline="0" fieldPosition="0">
        <references count="2">
          <reference field="4294967294" count="1" selected="0">
            <x v="2"/>
          </reference>
          <reference field="12" count="1" selected="0">
            <x v="1"/>
          </reference>
        </references>
      </pivotArea>
    </chartFormat>
    <chartFormat chart="11" format="31">
      <pivotArea type="data" outline="0" fieldPosition="0">
        <references count="2">
          <reference field="4294967294" count="1" selected="0">
            <x v="2"/>
          </reference>
          <reference field="12" count="1" selected="0">
            <x v="2"/>
          </reference>
        </references>
      </pivotArea>
    </chartFormat>
    <chartFormat chart="11" format="32">
      <pivotArea type="data" outline="0" fieldPosition="0">
        <references count="2">
          <reference field="4294967294" count="1" selected="0">
            <x v="2"/>
          </reference>
          <reference field="12" count="1" selected="0">
            <x v="3"/>
          </reference>
        </references>
      </pivotArea>
    </chartFormat>
    <chartFormat chart="9" format="3">
      <pivotArea type="data" outline="0" fieldPosition="0">
        <references count="2">
          <reference field="4294967294" count="1" selected="0">
            <x v="0"/>
          </reference>
          <reference field="12" count="1" selected="0">
            <x v="0"/>
          </reference>
        </references>
      </pivotArea>
    </chartFormat>
    <chartFormat chart="9" format="4">
      <pivotArea type="data" outline="0" fieldPosition="0">
        <references count="2">
          <reference field="4294967294" count="1" selected="0">
            <x v="0"/>
          </reference>
          <reference field="12" count="1" selected="0">
            <x v="1"/>
          </reference>
        </references>
      </pivotArea>
    </chartFormat>
    <chartFormat chart="9" format="5">
      <pivotArea type="data" outline="0" fieldPosition="0">
        <references count="2">
          <reference field="4294967294" count="1" selected="0">
            <x v="0"/>
          </reference>
          <reference field="12" count="1" selected="0">
            <x v="2"/>
          </reference>
        </references>
      </pivotArea>
    </chartFormat>
    <chartFormat chart="9" format="6">
      <pivotArea type="data" outline="0" fieldPosition="0">
        <references count="2">
          <reference field="4294967294" count="1" selected="0">
            <x v="0"/>
          </reference>
          <reference field="12" count="1" selected="0">
            <x v="3"/>
          </reference>
        </references>
      </pivotArea>
    </chartFormat>
    <chartFormat chart="9" format="7">
      <pivotArea type="data" outline="0" fieldPosition="0">
        <references count="2">
          <reference field="4294967294" count="1" selected="0">
            <x v="1"/>
          </reference>
          <reference field="12" count="1" selected="0">
            <x v="0"/>
          </reference>
        </references>
      </pivotArea>
    </chartFormat>
    <chartFormat chart="9" format="8">
      <pivotArea type="data" outline="0" fieldPosition="0">
        <references count="2">
          <reference field="4294967294" count="1" selected="0">
            <x v="1"/>
          </reference>
          <reference field="12" count="1" selected="0">
            <x v="1"/>
          </reference>
        </references>
      </pivotArea>
    </chartFormat>
    <chartFormat chart="9" format="9">
      <pivotArea type="data" outline="0" fieldPosition="0">
        <references count="2">
          <reference field="4294967294" count="1" selected="0">
            <x v="1"/>
          </reference>
          <reference field="12" count="1" selected="0">
            <x v="2"/>
          </reference>
        </references>
      </pivotArea>
    </chartFormat>
    <chartFormat chart="9" format="10">
      <pivotArea type="data" outline="0" fieldPosition="0">
        <references count="2">
          <reference field="4294967294" count="1" selected="0">
            <x v="1"/>
          </reference>
          <reference field="12" count="1" selected="0">
            <x v="3"/>
          </reference>
        </references>
      </pivotArea>
    </chartFormat>
    <chartFormat chart="9" format="11">
      <pivotArea type="data" outline="0" fieldPosition="0">
        <references count="2">
          <reference field="4294967294" count="1" selected="0">
            <x v="2"/>
          </reference>
          <reference field="12" count="1" selected="0">
            <x v="0"/>
          </reference>
        </references>
      </pivotArea>
    </chartFormat>
    <chartFormat chart="9" format="12">
      <pivotArea type="data" outline="0" fieldPosition="0">
        <references count="2">
          <reference field="4294967294" count="1" selected="0">
            <x v="2"/>
          </reference>
          <reference field="12" count="1" selected="0">
            <x v="1"/>
          </reference>
        </references>
      </pivotArea>
    </chartFormat>
    <chartFormat chart="9" format="13">
      <pivotArea type="data" outline="0" fieldPosition="0">
        <references count="2">
          <reference field="4294967294" count="1" selected="0">
            <x v="2"/>
          </reference>
          <reference field="12" count="1" selected="0">
            <x v="2"/>
          </reference>
        </references>
      </pivotArea>
    </chartFormat>
    <chartFormat chart="9" format="14">
      <pivotArea type="data" outline="0" fieldPosition="0">
        <references count="2">
          <reference field="4294967294" count="1" selected="0">
            <x v="2"/>
          </reference>
          <reference field="12" count="1" selected="0">
            <x v="3"/>
          </reference>
        </references>
      </pivotArea>
    </chartFormat>
    <chartFormat chart="9" format="15">
      <pivotArea type="data" outline="0" fieldPosition="0">
        <references count="2">
          <reference field="4294967294" count="1" selected="0">
            <x v="0"/>
          </reference>
          <reference field="12" count="1" selected="0">
            <x v="4"/>
          </reference>
        </references>
      </pivotArea>
    </chartFormat>
    <chartFormat chart="9" format="16">
      <pivotArea type="data" outline="0" fieldPosition="0">
        <references count="2">
          <reference field="4294967294" count="1" selected="0">
            <x v="0"/>
          </reference>
          <reference field="12" count="1" selected="0">
            <x v="5"/>
          </reference>
        </references>
      </pivotArea>
    </chartFormat>
    <chartFormat chart="9" format="17">
      <pivotArea type="data" outline="0" fieldPosition="0">
        <references count="2">
          <reference field="4294967294" count="1" selected="0">
            <x v="1"/>
          </reference>
          <reference field="12" count="1" selected="0">
            <x v="4"/>
          </reference>
        </references>
      </pivotArea>
    </chartFormat>
    <chartFormat chart="9" format="18">
      <pivotArea type="data" outline="0" fieldPosition="0">
        <references count="2">
          <reference field="4294967294" count="1" selected="0">
            <x v="1"/>
          </reference>
          <reference field="12" count="1" selected="0">
            <x v="5"/>
          </reference>
        </references>
      </pivotArea>
    </chartFormat>
    <chartFormat chart="9" format="19">
      <pivotArea type="data" outline="0" fieldPosition="0">
        <references count="2">
          <reference field="4294967294" count="1" selected="0">
            <x v="2"/>
          </reference>
          <reference field="12" count="1" selected="0">
            <x v="4"/>
          </reference>
        </references>
      </pivotArea>
    </chartFormat>
    <chartFormat chart="9" format="20">
      <pivotArea type="data" outline="0" fieldPosition="0">
        <references count="2">
          <reference field="4294967294" count="1" selected="0">
            <x v="2"/>
          </reference>
          <reference field="12" count="1" selected="0">
            <x v="5"/>
          </reference>
        </references>
      </pivotArea>
    </chartFormat>
    <chartFormat chart="11" format="33">
      <pivotArea type="data" outline="0" fieldPosition="0">
        <references count="2">
          <reference field="4294967294" count="1" selected="0">
            <x v="0"/>
          </reference>
          <reference field="12" count="1" selected="0">
            <x v="4"/>
          </reference>
        </references>
      </pivotArea>
    </chartFormat>
    <chartFormat chart="11" format="34">
      <pivotArea type="data" outline="0" fieldPosition="0">
        <references count="2">
          <reference field="4294967294" count="1" selected="0">
            <x v="0"/>
          </reference>
          <reference field="12" count="1" selected="0">
            <x v="5"/>
          </reference>
        </references>
      </pivotArea>
    </chartFormat>
    <chartFormat chart="11" format="35">
      <pivotArea type="data" outline="0" fieldPosition="0">
        <references count="2">
          <reference field="4294967294" count="1" selected="0">
            <x v="1"/>
          </reference>
          <reference field="12" count="1" selected="0">
            <x v="4"/>
          </reference>
        </references>
      </pivotArea>
    </chartFormat>
    <chartFormat chart="11" format="36">
      <pivotArea type="data" outline="0" fieldPosition="0">
        <references count="2">
          <reference field="4294967294" count="1" selected="0">
            <x v="1"/>
          </reference>
          <reference field="12" count="1" selected="0">
            <x v="5"/>
          </reference>
        </references>
      </pivotArea>
    </chartFormat>
    <chartFormat chart="11" format="37">
      <pivotArea type="data" outline="0" fieldPosition="0">
        <references count="2">
          <reference field="4294967294" count="1" selected="0">
            <x v="2"/>
          </reference>
          <reference field="12" count="1" selected="0">
            <x v="4"/>
          </reference>
        </references>
      </pivotArea>
    </chartFormat>
    <chartFormat chart="11" format="38">
      <pivotArea type="data" outline="0" fieldPosition="0">
        <references count="2">
          <reference field="4294967294" count="1" selected="0">
            <x v="2"/>
          </reference>
          <reference field="12" count="1" selected="0">
            <x v="5"/>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12" count="1" selected="0">
            <x v="1"/>
          </reference>
        </references>
      </pivotArea>
    </chartFormat>
    <chartFormat chart="14" format="38">
      <pivotArea type="data" outline="0" fieldPosition="0">
        <references count="2">
          <reference field="4294967294" count="1" selected="0">
            <x v="0"/>
          </reference>
          <reference field="12" count="1" selected="0">
            <x v="3"/>
          </reference>
        </references>
      </pivotArea>
    </chartFormat>
    <chartFormat chart="14" format="39">
      <pivotArea type="data" outline="0" fieldPosition="0">
        <references count="2">
          <reference field="4294967294" count="1" selected="0">
            <x v="0"/>
          </reference>
          <reference field="12" count="1" selected="0">
            <x v="4"/>
          </reference>
        </references>
      </pivotArea>
    </chartFormat>
    <chartFormat chart="14" format="40">
      <pivotArea type="data" outline="0" fieldPosition="0">
        <references count="2">
          <reference field="4294967294" count="1" selected="0">
            <x v="0"/>
          </reference>
          <reference field="12" count="1" selected="0">
            <x v="5"/>
          </reference>
        </references>
      </pivotArea>
    </chartFormat>
    <chartFormat chart="14" format="41" series="1">
      <pivotArea type="data" outline="0" fieldPosition="0">
        <references count="1">
          <reference field="4294967294" count="1" selected="0">
            <x v="1"/>
          </reference>
        </references>
      </pivotArea>
    </chartFormat>
    <chartFormat chart="14" format="42">
      <pivotArea type="data" outline="0" fieldPosition="0">
        <references count="2">
          <reference field="4294967294" count="1" selected="0">
            <x v="1"/>
          </reference>
          <reference field="12" count="1" selected="0">
            <x v="1"/>
          </reference>
        </references>
      </pivotArea>
    </chartFormat>
    <chartFormat chart="14" format="43">
      <pivotArea type="data" outline="0" fieldPosition="0">
        <references count="2">
          <reference field="4294967294" count="1" selected="0">
            <x v="1"/>
          </reference>
          <reference field="12" count="1" selected="0">
            <x v="3"/>
          </reference>
        </references>
      </pivotArea>
    </chartFormat>
    <chartFormat chart="14" format="44">
      <pivotArea type="data" outline="0" fieldPosition="0">
        <references count="2">
          <reference field="4294967294" count="1" selected="0">
            <x v="1"/>
          </reference>
          <reference field="12" count="1" selected="0">
            <x v="4"/>
          </reference>
        </references>
      </pivotArea>
    </chartFormat>
    <chartFormat chart="14" format="45">
      <pivotArea type="data" outline="0" fieldPosition="0">
        <references count="2">
          <reference field="4294967294" count="1" selected="0">
            <x v="1"/>
          </reference>
          <reference field="12" count="1" selected="0">
            <x v="5"/>
          </reference>
        </references>
      </pivotArea>
    </chartFormat>
    <chartFormat chart="14" format="46" series="1">
      <pivotArea type="data" outline="0" fieldPosition="0">
        <references count="1">
          <reference field="4294967294" count="1" selected="0">
            <x v="2"/>
          </reference>
        </references>
      </pivotArea>
    </chartFormat>
    <chartFormat chart="14" format="47">
      <pivotArea type="data" outline="0" fieldPosition="0">
        <references count="2">
          <reference field="4294967294" count="1" selected="0">
            <x v="2"/>
          </reference>
          <reference field="12" count="1" selected="0">
            <x v="1"/>
          </reference>
        </references>
      </pivotArea>
    </chartFormat>
    <chartFormat chart="14" format="48">
      <pivotArea type="data" outline="0" fieldPosition="0">
        <references count="2">
          <reference field="4294967294" count="1" selected="0">
            <x v="2"/>
          </reference>
          <reference field="12" count="1" selected="0">
            <x v="3"/>
          </reference>
        </references>
      </pivotArea>
    </chartFormat>
    <chartFormat chart="14" format="49">
      <pivotArea type="data" outline="0" fieldPosition="0">
        <references count="2">
          <reference field="4294967294" count="1" selected="0">
            <x v="2"/>
          </reference>
          <reference field="12" count="1" selected="0">
            <x v="4"/>
          </reference>
        </references>
      </pivotArea>
    </chartFormat>
    <chartFormat chart="14" format="50">
      <pivotArea type="data" outline="0" fieldPosition="0">
        <references count="2">
          <reference field="4294967294" count="1" selected="0">
            <x v="2"/>
          </reference>
          <reference field="1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EAF8B6-DCE3-4936-8C28-4FE66797F6B3}"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0:A11" firstHeaderRow="1" firstDataRow="1" firstDataCol="0"/>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dataField="1" showAll="0"/>
    <pivotField showAll="0"/>
    <pivotField showAll="0"/>
  </pivotFields>
  <rowItems count="1">
    <i/>
  </rowItems>
  <colItems count="1">
    <i/>
  </colItems>
  <dataFields count="1">
    <dataField name="Total Casual" fld="16" baseField="0" baseItem="0"/>
  </dataFields>
  <formats count="10">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B65C1C9-EBE0-403F-A6A2-B64B7FC3D32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2:B98" firstHeaderRow="1" firstDataRow="1" firstDataCol="1"/>
  <pivotFields count="19">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showAll="0">
      <items count="7">
        <item m="1" x="5"/>
        <item x="0"/>
        <item m="1" x="4"/>
        <item x="1"/>
        <item x="3"/>
        <item x="2"/>
        <item t="default"/>
      </items>
    </pivotField>
    <pivotField showAll="0"/>
    <pivotField showAll="0"/>
    <pivotField showAll="0"/>
    <pivotField showAll="0"/>
    <pivotField showAll="0"/>
    <pivotField dataField="1" showAll="0"/>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Cnt" fld="18" baseField="0" baseItem="0"/>
  </dataFields>
  <formats count="14">
    <format dxfId="185">
      <pivotArea dataOnly="0" labelOnly="1" outline="0" axis="axisValues" fieldPosition="0"/>
    </format>
    <format dxfId="184">
      <pivotArea dataOnly="0" labelOnly="1" outline="0" axis="axisValues" fieldPosition="0"/>
    </format>
    <format dxfId="183">
      <pivotArea type="all" dataOnly="0" outline="0" fieldPosition="0"/>
    </format>
    <format dxfId="182">
      <pivotArea outline="0" collapsedLevelsAreSubtotals="1" fieldPosition="0"/>
    </format>
    <format dxfId="181">
      <pivotArea dataOnly="0" labelOnly="1" grandRow="1" outline="0"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dataOnly="0" labelOnly="1" grandRow="1" outline="0"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dataOnly="0" labelOnly="1" grandRow="1" outline="0" fieldPosition="0"/>
    </format>
    <format dxfId="17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9A1445-2C7F-4375-97C6-54D89C4A5B8E}"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D8" firstHeaderRow="0" firstDataRow="1" firstDataCol="1"/>
  <pivotFields count="19">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2"/>
        <item x="3"/>
        <item x="4"/>
        <item x="5"/>
        <item x="0"/>
        <item x="1"/>
        <item x="6"/>
        <item t="default"/>
      </items>
    </pivotField>
    <pivotField showAll="0"/>
    <pivotField showAll="0">
      <items count="24">
        <item x="22"/>
        <item x="21"/>
        <item x="20"/>
        <item x="19"/>
        <item x="18"/>
        <item x="16"/>
        <item x="14"/>
        <item x="13"/>
        <item x="15"/>
        <item x="2"/>
        <item x="1"/>
        <item x="0"/>
        <item x="12"/>
        <item x="17"/>
        <item x="11"/>
        <item x="3"/>
        <item x="10"/>
        <item x="5"/>
        <item x="4"/>
        <item x="9"/>
        <item x="6"/>
        <item x="8"/>
        <item x="7"/>
        <item t="default"/>
      </items>
    </pivotField>
    <pivotField axis="axisRow" showAll="0">
      <items count="7">
        <item m="1" x="5"/>
        <item x="0"/>
        <item m="1" x="4"/>
        <item x="2"/>
        <item x="1"/>
        <item x="3"/>
        <item t="default"/>
      </items>
    </pivotField>
    <pivotField showAll="0"/>
    <pivotField showAll="0"/>
    <pivotField showAll="0"/>
    <pivotField dataField="1" showAll="0"/>
    <pivotField dataField="1" showAll="0"/>
    <pivotField dataField="1" showAll="0"/>
  </pivotFields>
  <rowFields count="1">
    <field x="12"/>
  </rowFields>
  <rowItems count="5">
    <i>
      <x v="1"/>
    </i>
    <i>
      <x v="3"/>
    </i>
    <i>
      <x v="4"/>
    </i>
    <i>
      <x v="5"/>
    </i>
    <i t="grand">
      <x/>
    </i>
  </rowItems>
  <colFields count="1">
    <field x="-2"/>
  </colFields>
  <colItems count="3">
    <i>
      <x/>
    </i>
    <i i="1">
      <x v="1"/>
    </i>
    <i i="2">
      <x v="2"/>
    </i>
  </colItems>
  <dataFields count="3">
    <dataField name="Sum of Casual" fld="16" baseField="0" baseItem="0"/>
    <dataField name="Sum of Registered" fld="17" baseField="0" baseItem="0"/>
    <dataField name="Sum of Cnt" fld="18" baseField="0" baseItem="0"/>
  </dataFields>
  <formats count="19">
    <format dxfId="19">
      <pivotArea field="11" type="button" dataOnly="0" labelOnly="1" outline="0"/>
    </format>
    <format dxfId="18">
      <pivotArea dataOnly="0" labelOnly="1" outline="0" axis="axisValues" fieldPosition="0"/>
    </format>
    <format dxfId="17">
      <pivotArea field="11" type="button" dataOnly="0" labelOnly="1" outline="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11" type="button" dataOnly="0" labelOnly="1" outline="0"/>
    </format>
    <format dxfId="12">
      <pivotArea dataOnly="0" labelOnly="1" grandRow="1" outline="0" fieldPosition="0"/>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11" type="button" dataOnly="0" labelOnly="1" outline="0"/>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1" type="button" dataOnly="0" labelOnly="1" outline="0"/>
    </format>
    <format dxfId="2">
      <pivotArea dataOnly="0" labelOnly="1" grandRow="1" outline="0" fieldPosition="0"/>
    </format>
    <format dxfId="1">
      <pivotArea dataOnly="0" labelOnly="1" outline="0" axis="axisValues" fieldPosition="0"/>
    </format>
  </formats>
  <chartFormats count="18">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12" count="1" selected="0">
            <x v="0"/>
          </reference>
        </references>
      </pivotArea>
    </chartFormat>
    <chartFormat chart="11" format="20">
      <pivotArea type="data" outline="0" fieldPosition="0">
        <references count="2">
          <reference field="4294967294" count="1" selected="0">
            <x v="0"/>
          </reference>
          <reference field="12" count="1" selected="0">
            <x v="1"/>
          </reference>
        </references>
      </pivotArea>
    </chartFormat>
    <chartFormat chart="11" format="21">
      <pivotArea type="data" outline="0" fieldPosition="0">
        <references count="2">
          <reference field="4294967294" count="1" selected="0">
            <x v="0"/>
          </reference>
          <reference field="12" count="1" selected="0">
            <x v="2"/>
          </reference>
        </references>
      </pivotArea>
    </chartFormat>
    <chartFormat chart="11" format="22">
      <pivotArea type="data" outline="0" fieldPosition="0">
        <references count="2">
          <reference field="4294967294" count="1" selected="0">
            <x v="0"/>
          </reference>
          <reference field="12" count="1" selected="0">
            <x v="3"/>
          </reference>
        </references>
      </pivotArea>
    </chartFormat>
    <chartFormat chart="11" format="23" series="1">
      <pivotArea type="data" outline="0" fieldPosition="0">
        <references count="1">
          <reference field="4294967294" count="1" selected="0">
            <x v="1"/>
          </reference>
        </references>
      </pivotArea>
    </chartFormat>
    <chartFormat chart="11" format="24">
      <pivotArea type="data" outline="0" fieldPosition="0">
        <references count="2">
          <reference field="4294967294" count="1" selected="0">
            <x v="1"/>
          </reference>
          <reference field="12" count="1" selected="0">
            <x v="0"/>
          </reference>
        </references>
      </pivotArea>
    </chartFormat>
    <chartFormat chart="11" format="25">
      <pivotArea type="data" outline="0" fieldPosition="0">
        <references count="2">
          <reference field="4294967294" count="1" selected="0">
            <x v="1"/>
          </reference>
          <reference field="12" count="1" selected="0">
            <x v="1"/>
          </reference>
        </references>
      </pivotArea>
    </chartFormat>
    <chartFormat chart="11" format="26">
      <pivotArea type="data" outline="0" fieldPosition="0">
        <references count="2">
          <reference field="4294967294" count="1" selected="0">
            <x v="1"/>
          </reference>
          <reference field="12" count="1" selected="0">
            <x v="2"/>
          </reference>
        </references>
      </pivotArea>
    </chartFormat>
    <chartFormat chart="11" format="27">
      <pivotArea type="data" outline="0" fieldPosition="0">
        <references count="2">
          <reference field="4294967294" count="1" selected="0">
            <x v="1"/>
          </reference>
          <reference field="12" count="1" selected="0">
            <x v="3"/>
          </reference>
        </references>
      </pivotArea>
    </chartFormat>
    <chartFormat chart="11" format="28" series="1">
      <pivotArea type="data" outline="0" fieldPosition="0">
        <references count="1">
          <reference field="4294967294" count="1" selected="0">
            <x v="2"/>
          </reference>
        </references>
      </pivotArea>
    </chartFormat>
    <chartFormat chart="11" format="29">
      <pivotArea type="data" outline="0" fieldPosition="0">
        <references count="2">
          <reference field="4294967294" count="1" selected="0">
            <x v="2"/>
          </reference>
          <reference field="12" count="1" selected="0">
            <x v="0"/>
          </reference>
        </references>
      </pivotArea>
    </chartFormat>
    <chartFormat chart="11" format="30">
      <pivotArea type="data" outline="0" fieldPosition="0">
        <references count="2">
          <reference field="4294967294" count="1" selected="0">
            <x v="2"/>
          </reference>
          <reference field="12" count="1" selected="0">
            <x v="1"/>
          </reference>
        </references>
      </pivotArea>
    </chartFormat>
    <chartFormat chart="11" format="31">
      <pivotArea type="data" outline="0" fieldPosition="0">
        <references count="2">
          <reference field="4294967294" count="1" selected="0">
            <x v="2"/>
          </reference>
          <reference field="12" count="1" selected="0">
            <x v="2"/>
          </reference>
        </references>
      </pivotArea>
    </chartFormat>
    <chartFormat chart="11" format="32">
      <pivotArea type="data" outline="0" fieldPosition="0">
        <references count="2">
          <reference field="4294967294"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F370FFAB-4682-47EA-904F-B67131279D57}" sourceName="Dteday">
  <pivotTables>
    <pivotTable tabId="36" name="PivotTable11"/>
    <pivotTable tabId="23" name="PivotTable1"/>
    <pivotTable tabId="23" name="PivotTable10"/>
    <pivotTable tabId="23" name="PivotTable2"/>
    <pivotTable tabId="23" name="PivotTable3"/>
    <pivotTable tabId="23" name="PivotTable4"/>
    <pivotTable tabId="23" name="PivotTable5"/>
    <pivotTable tabId="23" name="PivotTable6"/>
    <pivotTable tabId="23" name="PivotTable7"/>
    <pivotTable tabId="23" name="PivotTable8"/>
    <pivotTable tabId="23" name="PivotTable9"/>
  </pivotTables>
  <data>
    <tabular pivotCacheId="1620028347">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FA1203EA-9C4A-403D-980E-D2AB58796CD0}" sourceName="Time">
  <pivotTables>
    <pivotTable tabId="23" name="PivotTable9"/>
    <pivotTable tabId="23" name="PivotTable1"/>
    <pivotTable tabId="23" name="PivotTable10"/>
    <pivotTable tabId="23" name="PivotTable2"/>
    <pivotTable tabId="23" name="PivotTable3"/>
    <pivotTable tabId="23" name="PivotTable4"/>
    <pivotTable tabId="23" name="PivotTable5"/>
    <pivotTable tabId="23" name="PivotTable6"/>
    <pivotTable tabId="23" name="PivotTable7"/>
    <pivotTable tabId="23" name="PivotTable8"/>
    <pivotTable tabId="36" name="PivotTable11"/>
  </pivotTables>
  <data>
    <tabular pivotCacheId="1620028347">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2966B330-A7AF-433A-9775-656C1B543CBD}" sourceName="Days">
  <pivotTables>
    <pivotTable tabId="23" name="PivotTable9"/>
    <pivotTable tabId="23" name="PivotTable1"/>
    <pivotTable tabId="23" name="PivotTable10"/>
    <pivotTable tabId="23" name="PivotTable2"/>
    <pivotTable tabId="23" name="PivotTable3"/>
    <pivotTable tabId="23" name="PivotTable4"/>
    <pivotTable tabId="23" name="PivotTable5"/>
    <pivotTable tabId="23" name="PivotTable6"/>
    <pivotTable tabId="23" name="PivotTable7"/>
    <pivotTable tabId="23" name="PivotTable8"/>
    <pivotTable tabId="36" name="PivotTable11"/>
  </pivotTables>
  <data>
    <tabular pivotCacheId="1620028347">
      <items count="7">
        <i x="2" s="1"/>
        <i x="3" s="1"/>
        <i x="4" s="1"/>
        <i x="5" s="1"/>
        <i x="0" s="1"/>
        <i x="1"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 xr10:uid="{51B8E15C-9A21-4BB2-9B12-B83AD009C23F}" sourceName="Temp">
  <pivotTables>
    <pivotTable tabId="23" name="PivotTable9"/>
    <pivotTable tabId="23" name="PivotTable1"/>
    <pivotTable tabId="23" name="PivotTable10"/>
    <pivotTable tabId="23" name="PivotTable2"/>
    <pivotTable tabId="23" name="PivotTable3"/>
    <pivotTable tabId="23" name="PivotTable4"/>
    <pivotTable tabId="23" name="PivotTable5"/>
    <pivotTable tabId="23" name="PivotTable6"/>
    <pivotTable tabId="23" name="PivotTable7"/>
    <pivotTable tabId="23" name="PivotTable8"/>
    <pivotTable tabId="36" name="PivotTable11"/>
  </pivotTables>
  <data>
    <tabular pivotCacheId="1620028347">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417EC6A2-8651-4537-B05A-3BFBF9AE3B0D}" sourceName="Weather">
  <pivotTables>
    <pivotTable tabId="23" name="PivotTable9"/>
    <pivotTable tabId="23" name="PivotTable1"/>
    <pivotTable tabId="23" name="PivotTable10"/>
    <pivotTable tabId="23" name="PivotTable2"/>
    <pivotTable tabId="23" name="PivotTable3"/>
    <pivotTable tabId="23" name="PivotTable4"/>
    <pivotTable tabId="23" name="PivotTable5"/>
    <pivotTable tabId="23" name="PivotTable6"/>
    <pivotTable tabId="23" name="PivotTable7"/>
    <pivotTable tabId="23" name="PivotTable8"/>
    <pivotTable tabId="36" name="PivotTable11"/>
  </pivotTables>
  <data>
    <tabular pivotCacheId="1620028347">
      <items count="6">
        <i x="0" s="1"/>
        <i x="1" s="1"/>
        <i x="3" s="1"/>
        <i x="2" s="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teday" xr10:uid="{7BD3341E-7CF8-4B9F-A2CF-AE2D3A92353C}" cache="Slicer_Dteday" caption="Dteday" rowHeight="241300"/>
  <slicer name="Time" xr10:uid="{F40D9EFA-A0AB-4A4B-AE34-4795E8398B38}" cache="Slicer_Time" caption="Time" rowHeight="241300"/>
  <slicer name="Days" xr10:uid="{AA97FF7E-E9BE-4EA0-BA76-B04F7198EB91}" cache="Slicer_Days" caption="Days" rowHeight="241300"/>
  <slicer name="Temp" xr10:uid="{06780FCB-D8DF-4522-9BBA-E8602F6C48FB}" cache="Slicer_Temp" caption="Temp" rowHeight="241300"/>
  <slicer name="Weather" xr10:uid="{F78DFBB8-8345-479D-861F-840A417DB125}" cache="Slicer_Weather" caption="Weath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teday 1" xr10:uid="{B61EA176-6D8C-4A90-B0BB-EAA33DC9397F}" cache="Slicer_Dteday" caption="Dteday" rowHeight="241300"/>
  <slicer name="Time 1" xr10:uid="{1C3337E5-B19C-46B8-B0D7-BFDE80CE548E}" cache="Slicer_Time" caption="Time" rowHeight="241300"/>
  <slicer name="Days 1" xr10:uid="{9D9D3C5B-66E6-4952-B76F-60A94D89722E}" cache="Slicer_Days" caption="Days" rowHeight="241300"/>
  <slicer name="Temp 1" xr10:uid="{A6AE1363-0E80-491A-88EC-A9D8A332E600}" cache="Slicer_Temp" caption="Temp" rowHeight="241300"/>
  <slicer name="Weather 1" xr10:uid="{A96A3254-646D-41AC-9234-728F188EE55D}" cache="Slicer_Weather" caption="Weath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B43F38-90EF-41E2-852A-8AE166948B90}" name="Table1" displayName="Table1" ref="A1:P1001" totalsRowShown="0">
  <autoFilter ref="A1:P1001" xr:uid="{7BB43F38-90EF-41E2-852A-8AE166948B90}"/>
  <tableColumns count="16">
    <tableColumn id="1" xr3:uid="{7A0A8892-542C-4321-96C6-55E2AC04C4D4}" name="Instant"/>
    <tableColumn id="2" xr3:uid="{49E69C78-730C-4ED7-98C7-222695085C0D}" name="Holiday"/>
    <tableColumn id="3" xr3:uid="{80DE3EA3-EDDA-4787-9480-509ADC515486}" name="Dteday" dataDxfId="0"/>
    <tableColumn id="4" xr3:uid="{C23E035D-36A5-4931-B817-199D865E905B}" name="Season"/>
    <tableColumn id="5" xr3:uid="{1D8078F5-9434-4938-8A91-2E2522A514D4}" name="Yr"/>
    <tableColumn id="6" xr3:uid="{ABB5D927-9673-4523-9A03-E0927103C92A}" name="Mnth"/>
    <tableColumn id="7" xr3:uid="{75511068-436F-4A54-BC8A-9D66A9353BE0}" name="Hr"/>
    <tableColumn id="8" xr3:uid="{EF85C2C0-85D4-4E77-BDDB-7727E832FFC2}" name="Weekday"/>
    <tableColumn id="9" xr3:uid="{55C0B4E6-CFE5-4E6B-9506-50EBF79B1AED}" name="Weathersit"/>
    <tableColumn id="10" xr3:uid="{9103E951-6837-4579-9245-F4BBBE67DA5A}" name="Temp"/>
    <tableColumn id="11" xr3:uid="{96FA0B1C-4026-4F8F-9819-8A230168462C}" name="N Atemp"/>
    <tableColumn id="12" xr3:uid="{9A4539C4-7463-42D7-AA3D-70D4FC65E909}" name="Hum"/>
    <tableColumn id="13" xr3:uid="{E6136F9A-AF67-46BD-9D29-CE50F540647D}" name="Windspeed"/>
    <tableColumn id="14" xr3:uid="{DCF6C049-6708-426E-BCA7-5EF52F028CB1}" name="Casual"/>
    <tableColumn id="15" xr3:uid="{D26A9369-8472-4968-BB1E-225F6BB8B935}" name="Registered"/>
    <tableColumn id="16" xr3:uid="{047988C2-C2DC-44F3-A484-198A639D7477}" name="C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3.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F10B-E3BB-4E11-92B8-F84C59694AAD}">
  <sheetPr>
    <tabColor theme="9" tint="0.59999389629810485"/>
  </sheetPr>
  <dimension ref="A1:M616"/>
  <sheetViews>
    <sheetView workbookViewId="0">
      <selection activeCell="P613" sqref="P613"/>
    </sheetView>
  </sheetViews>
  <sheetFormatPr defaultRowHeight="14.5" x14ac:dyDescent="0.35"/>
  <cols>
    <col min="2" max="2" width="9.1796875" bestFit="1" customWidth="1"/>
    <col min="5" max="5" width="8.453125" customWidth="1"/>
    <col min="6" max="7" width="9.54296875" customWidth="1"/>
    <col min="9" max="9" width="14.26953125" bestFit="1" customWidth="1"/>
    <col min="10" max="10" width="14.26953125" customWidth="1"/>
    <col min="12" max="12" width="10.26953125" bestFit="1" customWidth="1"/>
  </cols>
  <sheetData>
    <row r="1" spans="1:13" x14ac:dyDescent="0.35">
      <c r="A1" s="1" t="s">
        <v>0</v>
      </c>
      <c r="B1" s="1" t="s">
        <v>1</v>
      </c>
      <c r="C1" s="1" t="s">
        <v>2</v>
      </c>
      <c r="D1" s="1" t="s">
        <v>3</v>
      </c>
      <c r="E1" s="1" t="s">
        <v>4</v>
      </c>
      <c r="F1" s="1" t="s">
        <v>5</v>
      </c>
      <c r="G1" s="1"/>
      <c r="H1" s="1" t="s">
        <v>6</v>
      </c>
      <c r="I1" s="1" t="s">
        <v>7</v>
      </c>
      <c r="J1" s="1"/>
      <c r="K1" s="1" t="s">
        <v>8</v>
      </c>
      <c r="L1" s="1" t="s">
        <v>9</v>
      </c>
    </row>
    <row r="2" spans="1:13" x14ac:dyDescent="0.35">
      <c r="A2" s="2" t="str">
        <f t="shared" ref="A2:L2" si="0">PROPER(A1)</f>
        <v>Instant</v>
      </c>
      <c r="B2" s="2" t="str">
        <f t="shared" si="0"/>
        <v>Dteday</v>
      </c>
      <c r="C2" s="2" t="str">
        <f t="shared" si="0"/>
        <v>Season</v>
      </c>
      <c r="D2" s="2" t="str">
        <f t="shared" si="0"/>
        <v>Yr</v>
      </c>
      <c r="E2" s="2" t="str">
        <f t="shared" si="0"/>
        <v>Mnth</v>
      </c>
      <c r="F2" s="31" t="str">
        <f t="shared" si="0"/>
        <v>Hr</v>
      </c>
      <c r="G2" s="63" t="s">
        <v>58</v>
      </c>
      <c r="H2" s="2" t="str">
        <f t="shared" si="0"/>
        <v>Holiday</v>
      </c>
      <c r="I2" s="2" t="str">
        <f t="shared" si="0"/>
        <v>Weekday</v>
      </c>
      <c r="J2" s="63" t="s">
        <v>59</v>
      </c>
      <c r="K2" s="2" t="str">
        <f t="shared" si="0"/>
        <v>Weathersit</v>
      </c>
      <c r="L2" s="2" t="str">
        <f t="shared" si="0"/>
        <v>Temp</v>
      </c>
      <c r="M2" s="33" t="s">
        <v>60</v>
      </c>
    </row>
    <row r="3" spans="1:13" x14ac:dyDescent="0.35">
      <c r="A3" s="1">
        <v>1</v>
      </c>
      <c r="B3" s="3">
        <v>40544</v>
      </c>
      <c r="C3" s="1">
        <v>1</v>
      </c>
      <c r="D3" s="1">
        <v>0</v>
      </c>
      <c r="E3" s="1">
        <v>1</v>
      </c>
      <c r="F3" s="32">
        <v>0</v>
      </c>
      <c r="G3" s="64" t="str" cm="1">
        <f t="array" ref="G3">_xlfn.IFS(AND(F3&gt;=5,F3&lt;12),"Morning",AND(F3&gt;=12,F3&lt;17),"AfterNoon",AND(F3&gt;=17,F3&lt;20),"Evening",TRUE,"Night")</f>
        <v>Night</v>
      </c>
      <c r="H3" s="1" t="b">
        <v>0</v>
      </c>
      <c r="I3" s="1">
        <v>6</v>
      </c>
      <c r="J3" s="64" t="str" cm="1">
        <f t="array" ref="J3">_xlfn.IFS(I3=0,"Saturday",I3=1,"Sunday",I3=2,"Monday",I3=3,"Tuesday",I3=4,"Wednesday",I3=5,"Thusday",I3=6,"Friday")</f>
        <v>Friday</v>
      </c>
      <c r="K3" s="1">
        <v>1</v>
      </c>
      <c r="L3" s="1">
        <v>0.24</v>
      </c>
      <c r="M3" t="str">
        <f>IF(L3&lt;=0.1,"Stromy",IF(L3&lt;=0.2,"Rainy",IF(L3&lt;=0.3,"Cloudy","Sunny")))</f>
        <v>Cloudy</v>
      </c>
    </row>
    <row r="4" spans="1:13" x14ac:dyDescent="0.35">
      <c r="A4" s="1">
        <v>2</v>
      </c>
      <c r="B4" s="3">
        <v>40544</v>
      </c>
      <c r="C4" s="1">
        <v>1</v>
      </c>
      <c r="D4" s="1">
        <v>0</v>
      </c>
      <c r="E4" s="1">
        <v>1</v>
      </c>
      <c r="F4" s="32">
        <v>1</v>
      </c>
      <c r="G4" s="64" t="str" cm="1">
        <f t="array" ref="G4">_xlfn.IFS(AND(F4&gt;=5,F4&lt;12),"Morning",AND(F4&gt;=12,F4&lt;17),"AfterNoon",AND(F4&gt;=17,F4&lt;20),"Evening",TRUE,"Night")</f>
        <v>Night</v>
      </c>
      <c r="H4" s="1" t="b">
        <v>0</v>
      </c>
      <c r="I4" s="1">
        <v>6</v>
      </c>
      <c r="J4" s="64" t="str" cm="1">
        <f t="array" ref="J4">_xlfn.IFS(I4=0,"Saturday",I4=1,"Sunday",I4=2,"Monday",I4=3,"Tuesday",I4=4,"Wednesday",I4=5,"Thusday",I4=6,"Friday")</f>
        <v>Friday</v>
      </c>
      <c r="K4" s="1">
        <v>1</v>
      </c>
      <c r="L4" s="1">
        <v>0.22</v>
      </c>
      <c r="M4" t="str">
        <f t="shared" ref="M4:M67" si="1">IF(L4&lt;=0.1,"Stromy",IF(L4&lt;=0.2,"Rainy",IF(L4&lt;=0.3,"Cloudy","Sunny")))</f>
        <v>Cloudy</v>
      </c>
    </row>
    <row r="5" spans="1:13" x14ac:dyDescent="0.35">
      <c r="A5" s="1">
        <v>3</v>
      </c>
      <c r="B5" s="3">
        <v>40544</v>
      </c>
      <c r="C5" s="1">
        <v>1</v>
      </c>
      <c r="D5" s="1">
        <v>0</v>
      </c>
      <c r="E5" s="1">
        <v>1</v>
      </c>
      <c r="F5" s="32">
        <v>2</v>
      </c>
      <c r="G5" s="64" t="str" cm="1">
        <f t="array" ref="G5">_xlfn.IFS(AND(F5&gt;=5,F5&lt;12),"Morning",AND(F5&gt;=12,F5&lt;17),"AfterNoon",AND(F5&gt;=17,F5&lt;20),"Evening",TRUE,"Night")</f>
        <v>Night</v>
      </c>
      <c r="H5" s="1" t="b">
        <v>0</v>
      </c>
      <c r="I5" s="1">
        <v>6</v>
      </c>
      <c r="J5" s="64" t="str" cm="1">
        <f t="array" ref="J5">_xlfn.IFS(I5=0,"Saturday",I5=1,"Sunday",I5=2,"Monday",I5=3,"Tuesday",I5=4,"Wednesday",I5=5,"Thusday",I5=6,"Friday")</f>
        <v>Friday</v>
      </c>
      <c r="K5" s="1">
        <v>1</v>
      </c>
      <c r="L5" s="1">
        <v>0.22</v>
      </c>
      <c r="M5" t="str">
        <f t="shared" si="1"/>
        <v>Cloudy</v>
      </c>
    </row>
    <row r="6" spans="1:13" x14ac:dyDescent="0.35">
      <c r="A6" s="1">
        <v>4</v>
      </c>
      <c r="B6" s="3">
        <v>40544</v>
      </c>
      <c r="C6" s="1">
        <v>1</v>
      </c>
      <c r="D6" s="1">
        <v>0</v>
      </c>
      <c r="E6" s="1">
        <v>1</v>
      </c>
      <c r="F6" s="32">
        <v>3</v>
      </c>
      <c r="G6" s="64" t="str" cm="1">
        <f t="array" ref="G6">_xlfn.IFS(AND(F6&gt;=5,F6&lt;12),"Morning",AND(F6&gt;=12,F6&lt;17),"AfterNoon",AND(F6&gt;=17,F6&lt;20),"Evening",TRUE,"Night")</f>
        <v>Night</v>
      </c>
      <c r="H6" s="1" t="b">
        <v>0</v>
      </c>
      <c r="I6" s="1">
        <v>6</v>
      </c>
      <c r="J6" s="64" t="str" cm="1">
        <f t="array" ref="J6">_xlfn.IFS(I6=0,"Saturday",I6=1,"Sunday",I6=2,"Monday",I6=3,"Tuesday",I6=4,"Wednesday",I6=5,"Thusday",I6=6,"Friday")</f>
        <v>Friday</v>
      </c>
      <c r="K6" s="1">
        <v>1</v>
      </c>
      <c r="L6" s="1">
        <v>0.24</v>
      </c>
      <c r="M6" t="str">
        <f t="shared" si="1"/>
        <v>Cloudy</v>
      </c>
    </row>
    <row r="7" spans="1:13" x14ac:dyDescent="0.35">
      <c r="A7" s="1">
        <v>5</v>
      </c>
      <c r="B7" s="3">
        <v>40544</v>
      </c>
      <c r="C7" s="1">
        <v>1</v>
      </c>
      <c r="D7" s="1">
        <v>0</v>
      </c>
      <c r="E7" s="1">
        <v>1</v>
      </c>
      <c r="F7" s="32">
        <v>4</v>
      </c>
      <c r="G7" s="64" t="str" cm="1">
        <f t="array" ref="G7">_xlfn.IFS(AND(F7&gt;=5,F7&lt;12),"Morning",AND(F7&gt;=12,F7&lt;17),"AfterNoon",AND(F7&gt;=17,F7&lt;20),"Evening",TRUE,"Night")</f>
        <v>Night</v>
      </c>
      <c r="H7" s="1" t="b">
        <v>0</v>
      </c>
      <c r="I7" s="1">
        <v>6</v>
      </c>
      <c r="J7" s="64" t="str" cm="1">
        <f t="array" ref="J7">_xlfn.IFS(I7=0,"Saturday",I7=1,"Sunday",I7=2,"Monday",I7=3,"Tuesday",I7=4,"Wednesday",I7=5,"Thusday",I7=6,"Friday")</f>
        <v>Friday</v>
      </c>
      <c r="K7" s="1">
        <v>1</v>
      </c>
      <c r="L7" s="1">
        <v>0.24</v>
      </c>
      <c r="M7" t="str">
        <f t="shared" si="1"/>
        <v>Cloudy</v>
      </c>
    </row>
    <row r="8" spans="1:13" x14ac:dyDescent="0.35">
      <c r="A8" s="1">
        <v>6</v>
      </c>
      <c r="B8" s="3">
        <v>40544</v>
      </c>
      <c r="C8" s="1">
        <v>1</v>
      </c>
      <c r="D8" s="1">
        <v>0</v>
      </c>
      <c r="E8" s="1">
        <v>1</v>
      </c>
      <c r="F8" s="32">
        <v>5</v>
      </c>
      <c r="G8" s="64" t="str" cm="1">
        <f t="array" ref="G8">_xlfn.IFS(AND(F8&gt;=5,F8&lt;12),"Morning",AND(F8&gt;=12,F8&lt;17),"AfterNoon",AND(F8&gt;=17,F8&lt;20),"Evening",TRUE,"Night")</f>
        <v>Morning</v>
      </c>
      <c r="H8" s="1" t="b">
        <v>0</v>
      </c>
      <c r="I8" s="1">
        <v>6</v>
      </c>
      <c r="J8" s="64" t="str" cm="1">
        <f t="array" ref="J8">_xlfn.IFS(I8=0,"Saturday",I8=1,"Sunday",I8=2,"Monday",I8=3,"Tuesday",I8=4,"Wednesday",I8=5,"Thusday",I8=6,"Friday")</f>
        <v>Friday</v>
      </c>
      <c r="K8" s="1">
        <v>2</v>
      </c>
      <c r="L8" s="1">
        <v>0.24</v>
      </c>
      <c r="M8" t="str">
        <f t="shared" si="1"/>
        <v>Cloudy</v>
      </c>
    </row>
    <row r="9" spans="1:13" x14ac:dyDescent="0.35">
      <c r="A9" s="1">
        <v>7</v>
      </c>
      <c r="B9" s="3">
        <v>40544</v>
      </c>
      <c r="C9" s="1">
        <v>1</v>
      </c>
      <c r="D9" s="1">
        <v>0</v>
      </c>
      <c r="E9" s="1">
        <v>1</v>
      </c>
      <c r="F9" s="32">
        <v>6</v>
      </c>
      <c r="G9" s="64" t="str" cm="1">
        <f t="array" ref="G9">_xlfn.IFS(AND(F9&gt;=5,F9&lt;12),"Morning",AND(F9&gt;=12,F9&lt;17),"AfterNoon",AND(F9&gt;=17,F9&lt;20),"Evening",TRUE,"Night")</f>
        <v>Morning</v>
      </c>
      <c r="H9" s="1" t="b">
        <v>0</v>
      </c>
      <c r="I9" s="1">
        <v>6</v>
      </c>
      <c r="J9" s="64" t="str" cm="1">
        <f t="array" ref="J9">_xlfn.IFS(I9=0,"Saturday",I9=1,"Sunday",I9=2,"Monday",I9=3,"Tuesday",I9=4,"Wednesday",I9=5,"Thusday",I9=6,"Friday")</f>
        <v>Friday</v>
      </c>
      <c r="K9" s="1">
        <v>1</v>
      </c>
      <c r="L9" s="1">
        <v>0.22</v>
      </c>
      <c r="M9" t="str">
        <f t="shared" si="1"/>
        <v>Cloudy</v>
      </c>
    </row>
    <row r="10" spans="1:13" x14ac:dyDescent="0.35">
      <c r="A10" s="1">
        <v>8</v>
      </c>
      <c r="B10" s="3">
        <v>40544</v>
      </c>
      <c r="C10" s="1">
        <v>1</v>
      </c>
      <c r="D10" s="1">
        <v>0</v>
      </c>
      <c r="E10" s="1">
        <v>1</v>
      </c>
      <c r="F10" s="32">
        <v>7</v>
      </c>
      <c r="G10" s="64" t="str" cm="1">
        <f t="array" ref="G10">_xlfn.IFS(AND(F10&gt;=5,F10&lt;12),"Morning",AND(F10&gt;=12,F10&lt;17),"AfterNoon",AND(F10&gt;=17,F10&lt;20),"Evening",TRUE,"Night")</f>
        <v>Morning</v>
      </c>
      <c r="H10" s="1" t="b">
        <v>0</v>
      </c>
      <c r="I10" s="1">
        <v>6</v>
      </c>
      <c r="J10" s="64" t="str" cm="1">
        <f t="array" ref="J10">_xlfn.IFS(I10=0,"Saturday",I10=1,"Sunday",I10=2,"Monday",I10=3,"Tuesday",I10=4,"Wednesday",I10=5,"Thusday",I10=6,"Friday")</f>
        <v>Friday</v>
      </c>
      <c r="K10" s="1">
        <v>1</v>
      </c>
      <c r="L10" s="1">
        <v>0.2</v>
      </c>
      <c r="M10" t="str">
        <f t="shared" si="1"/>
        <v>Rainy</v>
      </c>
    </row>
    <row r="11" spans="1:13" x14ac:dyDescent="0.35">
      <c r="A11" s="1">
        <v>9</v>
      </c>
      <c r="B11" s="3">
        <v>40544</v>
      </c>
      <c r="C11" s="1">
        <v>1</v>
      </c>
      <c r="D11" s="1">
        <v>0</v>
      </c>
      <c r="E11" s="1">
        <v>1</v>
      </c>
      <c r="F11" s="32">
        <v>8</v>
      </c>
      <c r="G11" s="64" t="str" cm="1">
        <f t="array" ref="G11">_xlfn.IFS(AND(F11&gt;=5,F11&lt;12),"Morning",AND(F11&gt;=12,F11&lt;17),"AfterNoon",AND(F11&gt;=17,F11&lt;20),"Evening",TRUE,"Night")</f>
        <v>Morning</v>
      </c>
      <c r="H11" s="1" t="b">
        <v>0</v>
      </c>
      <c r="I11" s="1">
        <v>6</v>
      </c>
      <c r="J11" s="64" t="str" cm="1">
        <f t="array" ref="J11">_xlfn.IFS(I11=0,"Saturday",I11=1,"Sunday",I11=2,"Monday",I11=3,"Tuesday",I11=4,"Wednesday",I11=5,"Thusday",I11=6,"Friday")</f>
        <v>Friday</v>
      </c>
      <c r="K11" s="1">
        <v>1</v>
      </c>
      <c r="L11" s="1">
        <v>0.24</v>
      </c>
      <c r="M11" t="str">
        <f t="shared" si="1"/>
        <v>Cloudy</v>
      </c>
    </row>
    <row r="12" spans="1:13" x14ac:dyDescent="0.35">
      <c r="A12" s="1">
        <v>10</v>
      </c>
      <c r="B12" s="3">
        <v>40544</v>
      </c>
      <c r="C12" s="1">
        <v>1</v>
      </c>
      <c r="D12" s="1">
        <v>0</v>
      </c>
      <c r="E12" s="1">
        <v>1</v>
      </c>
      <c r="F12" s="32">
        <v>9</v>
      </c>
      <c r="G12" s="64" t="str" cm="1">
        <f t="array" ref="G12">_xlfn.IFS(AND(F12&gt;=5,F12&lt;12),"Morning",AND(F12&gt;=12,F12&lt;17),"AfterNoon",AND(F12&gt;=17,F12&lt;20),"Evening",TRUE,"Night")</f>
        <v>Morning</v>
      </c>
      <c r="H12" s="1" t="b">
        <v>0</v>
      </c>
      <c r="I12" s="1">
        <v>6</v>
      </c>
      <c r="J12" s="64" t="str" cm="1">
        <f t="array" ref="J12">_xlfn.IFS(I12=0,"Saturday",I12=1,"Sunday",I12=2,"Monday",I12=3,"Tuesday",I12=4,"Wednesday",I12=5,"Thusday",I12=6,"Friday")</f>
        <v>Friday</v>
      </c>
      <c r="K12" s="1">
        <v>1</v>
      </c>
      <c r="L12" s="1">
        <v>0.32</v>
      </c>
      <c r="M12" t="str">
        <f t="shared" si="1"/>
        <v>Sunny</v>
      </c>
    </row>
    <row r="13" spans="1:13" x14ac:dyDescent="0.35">
      <c r="A13" s="1">
        <v>11</v>
      </c>
      <c r="B13" s="3">
        <v>40544</v>
      </c>
      <c r="C13" s="1">
        <v>1</v>
      </c>
      <c r="D13" s="1">
        <v>0</v>
      </c>
      <c r="E13" s="1">
        <v>1</v>
      </c>
      <c r="F13" s="32">
        <v>10</v>
      </c>
      <c r="G13" s="64" t="str" cm="1">
        <f t="array" ref="G13">_xlfn.IFS(AND(F13&gt;=5,F13&lt;12),"Morning",AND(F13&gt;=12,F13&lt;17),"AfterNoon",AND(F13&gt;=17,F13&lt;20),"Evening",TRUE,"Night")</f>
        <v>Morning</v>
      </c>
      <c r="H13" s="1" t="b">
        <v>0</v>
      </c>
      <c r="I13" s="1">
        <v>6</v>
      </c>
      <c r="J13" s="64" t="str" cm="1">
        <f t="array" ref="J13">_xlfn.IFS(I13=0,"Saturday",I13=1,"Sunday",I13=2,"Monday",I13=3,"Tuesday",I13=4,"Wednesday",I13=5,"Thusday",I13=6,"Friday")</f>
        <v>Friday</v>
      </c>
      <c r="K13" s="1">
        <v>1</v>
      </c>
      <c r="L13" s="1">
        <v>0.38</v>
      </c>
      <c r="M13" t="str">
        <f t="shared" si="1"/>
        <v>Sunny</v>
      </c>
    </row>
    <row r="14" spans="1:13" x14ac:dyDescent="0.35">
      <c r="A14" s="1">
        <v>12</v>
      </c>
      <c r="B14" s="3">
        <v>40544</v>
      </c>
      <c r="C14" s="1">
        <v>1</v>
      </c>
      <c r="D14" s="1">
        <v>0</v>
      </c>
      <c r="E14" s="1">
        <v>1</v>
      </c>
      <c r="F14" s="32">
        <v>11</v>
      </c>
      <c r="G14" s="64" t="str" cm="1">
        <f t="array" ref="G14">_xlfn.IFS(AND(F14&gt;=5,F14&lt;12),"Morning",AND(F14&gt;=12,F14&lt;17),"AfterNoon",AND(F14&gt;=17,F14&lt;20),"Evening",TRUE,"Night")</f>
        <v>Morning</v>
      </c>
      <c r="H14" s="1" t="b">
        <v>0</v>
      </c>
      <c r="I14" s="1">
        <v>6</v>
      </c>
      <c r="J14" s="64" t="str" cm="1">
        <f t="array" ref="J14">_xlfn.IFS(I14=0,"Saturday",I14=1,"Sunday",I14=2,"Monday",I14=3,"Tuesday",I14=4,"Wednesday",I14=5,"Thusday",I14=6,"Friday")</f>
        <v>Friday</v>
      </c>
      <c r="K14" s="1">
        <v>1</v>
      </c>
      <c r="L14" s="1">
        <v>0.36</v>
      </c>
      <c r="M14" t="str">
        <f t="shared" si="1"/>
        <v>Sunny</v>
      </c>
    </row>
    <row r="15" spans="1:13" x14ac:dyDescent="0.35">
      <c r="A15" s="1">
        <v>13</v>
      </c>
      <c r="B15" s="3">
        <v>40544</v>
      </c>
      <c r="C15" s="1">
        <v>1</v>
      </c>
      <c r="D15" s="1">
        <v>0</v>
      </c>
      <c r="E15" s="1">
        <v>1</v>
      </c>
      <c r="F15" s="32">
        <v>12</v>
      </c>
      <c r="G15" s="64" t="str" cm="1">
        <f t="array" ref="G15">_xlfn.IFS(AND(F15&gt;=5,F15&lt;12),"Morning",AND(F15&gt;=12,F15&lt;17),"AfterNoon",AND(F15&gt;=17,F15&lt;20),"Evening",TRUE,"Night")</f>
        <v>AfterNoon</v>
      </c>
      <c r="H15" s="1" t="b">
        <v>0</v>
      </c>
      <c r="I15" s="1">
        <v>6</v>
      </c>
      <c r="J15" s="64" t="str" cm="1">
        <f t="array" ref="J15">_xlfn.IFS(I15=0,"Saturday",I15=1,"Sunday",I15=2,"Monday",I15=3,"Tuesday",I15=4,"Wednesday",I15=5,"Thusday",I15=6,"Friday")</f>
        <v>Friday</v>
      </c>
      <c r="K15" s="1">
        <v>1</v>
      </c>
      <c r="L15" s="1">
        <v>0.42</v>
      </c>
      <c r="M15" t="str">
        <f t="shared" si="1"/>
        <v>Sunny</v>
      </c>
    </row>
    <row r="16" spans="1:13" x14ac:dyDescent="0.35">
      <c r="A16" s="1">
        <v>14</v>
      </c>
      <c r="B16" s="3">
        <v>40544</v>
      </c>
      <c r="C16" s="1">
        <v>1</v>
      </c>
      <c r="D16" s="1">
        <v>0</v>
      </c>
      <c r="E16" s="1">
        <v>1</v>
      </c>
      <c r="F16" s="32">
        <v>13</v>
      </c>
      <c r="G16" s="64" t="str" cm="1">
        <f t="array" ref="G16">_xlfn.IFS(AND(F16&gt;=5,F16&lt;12),"Morning",AND(F16&gt;=12,F16&lt;17),"AfterNoon",AND(F16&gt;=17,F16&lt;20),"Evening",TRUE,"Night")</f>
        <v>AfterNoon</v>
      </c>
      <c r="H16" s="1" t="b">
        <v>0</v>
      </c>
      <c r="I16" s="1">
        <v>6</v>
      </c>
      <c r="J16" s="64" t="str" cm="1">
        <f t="array" ref="J16">_xlfn.IFS(I16=0,"Saturday",I16=1,"Sunday",I16=2,"Monday",I16=3,"Tuesday",I16=4,"Wednesday",I16=5,"Thusday",I16=6,"Friday")</f>
        <v>Friday</v>
      </c>
      <c r="K16" s="1">
        <v>2</v>
      </c>
      <c r="L16" s="1">
        <v>0.46</v>
      </c>
      <c r="M16" t="str">
        <f t="shared" si="1"/>
        <v>Sunny</v>
      </c>
    </row>
    <row r="17" spans="1:13" x14ac:dyDescent="0.35">
      <c r="A17" s="1">
        <v>15</v>
      </c>
      <c r="B17" s="3">
        <v>40544</v>
      </c>
      <c r="C17" s="1">
        <v>1</v>
      </c>
      <c r="D17" s="1">
        <v>0</v>
      </c>
      <c r="E17" s="1">
        <v>1</v>
      </c>
      <c r="F17" s="32">
        <v>14</v>
      </c>
      <c r="G17" s="64" t="str" cm="1">
        <f t="array" ref="G17">_xlfn.IFS(AND(F17&gt;=5,F17&lt;12),"Morning",AND(F17&gt;=12,F17&lt;17),"AfterNoon",AND(F17&gt;=17,F17&lt;20),"Evening",TRUE,"Night")</f>
        <v>AfterNoon</v>
      </c>
      <c r="H17" s="1" t="b">
        <v>0</v>
      </c>
      <c r="I17" s="1">
        <v>6</v>
      </c>
      <c r="J17" s="64" t="str" cm="1">
        <f t="array" ref="J17">_xlfn.IFS(I17=0,"Saturday",I17=1,"Sunday",I17=2,"Monday",I17=3,"Tuesday",I17=4,"Wednesday",I17=5,"Thusday",I17=6,"Friday")</f>
        <v>Friday</v>
      </c>
      <c r="K17" s="1">
        <v>2</v>
      </c>
      <c r="L17" s="1">
        <v>0.46</v>
      </c>
      <c r="M17" t="str">
        <f t="shared" si="1"/>
        <v>Sunny</v>
      </c>
    </row>
    <row r="18" spans="1:13" x14ac:dyDescent="0.35">
      <c r="A18" s="1">
        <v>16</v>
      </c>
      <c r="B18" s="3">
        <v>40544</v>
      </c>
      <c r="C18" s="1">
        <v>1</v>
      </c>
      <c r="D18" s="1">
        <v>0</v>
      </c>
      <c r="E18" s="1">
        <v>1</v>
      </c>
      <c r="F18" s="32">
        <v>15</v>
      </c>
      <c r="G18" s="64" t="str" cm="1">
        <f t="array" ref="G18">_xlfn.IFS(AND(F18&gt;=5,F18&lt;12),"Morning",AND(F18&gt;=12,F18&lt;17),"AfterNoon",AND(F18&gt;=17,F18&lt;20),"Evening",TRUE,"Night")</f>
        <v>AfterNoon</v>
      </c>
      <c r="H18" s="1" t="b">
        <v>0</v>
      </c>
      <c r="I18" s="1">
        <v>6</v>
      </c>
      <c r="J18" s="64" t="str" cm="1">
        <f t="array" ref="J18">_xlfn.IFS(I18=0,"Saturday",I18=1,"Sunday",I18=2,"Monday",I18=3,"Tuesday",I18=4,"Wednesday",I18=5,"Thusday",I18=6,"Friday")</f>
        <v>Friday</v>
      </c>
      <c r="K18" s="1">
        <v>2</v>
      </c>
      <c r="L18" s="1">
        <v>0.44</v>
      </c>
      <c r="M18" t="str">
        <f t="shared" si="1"/>
        <v>Sunny</v>
      </c>
    </row>
    <row r="19" spans="1:13" x14ac:dyDescent="0.35">
      <c r="A19" s="1">
        <v>17</v>
      </c>
      <c r="B19" s="3">
        <v>40544</v>
      </c>
      <c r="C19" s="1">
        <v>1</v>
      </c>
      <c r="D19" s="1">
        <v>0</v>
      </c>
      <c r="E19" s="1">
        <v>1</v>
      </c>
      <c r="F19" s="32">
        <v>16</v>
      </c>
      <c r="G19" s="64" t="str" cm="1">
        <f t="array" ref="G19">_xlfn.IFS(AND(F19&gt;=5,F19&lt;12),"Morning",AND(F19&gt;=12,F19&lt;17),"AfterNoon",AND(F19&gt;=17,F19&lt;20),"Evening",TRUE,"Night")</f>
        <v>AfterNoon</v>
      </c>
      <c r="H19" s="1" t="b">
        <v>0</v>
      </c>
      <c r="I19" s="1">
        <v>6</v>
      </c>
      <c r="J19" s="64" t="str" cm="1">
        <f t="array" ref="J19">_xlfn.IFS(I19=0,"Saturday",I19=1,"Sunday",I19=2,"Monday",I19=3,"Tuesday",I19=4,"Wednesday",I19=5,"Thusday",I19=6,"Friday")</f>
        <v>Friday</v>
      </c>
      <c r="K19" s="1">
        <v>2</v>
      </c>
      <c r="L19" s="1">
        <v>0.42</v>
      </c>
      <c r="M19" t="str">
        <f t="shared" si="1"/>
        <v>Sunny</v>
      </c>
    </row>
    <row r="20" spans="1:13" x14ac:dyDescent="0.35">
      <c r="A20" s="1">
        <v>18</v>
      </c>
      <c r="B20" s="3">
        <v>40544</v>
      </c>
      <c r="C20" s="1">
        <v>1</v>
      </c>
      <c r="D20" s="1">
        <v>0</v>
      </c>
      <c r="E20" s="1">
        <v>1</v>
      </c>
      <c r="F20" s="32">
        <v>17</v>
      </c>
      <c r="G20" s="64" t="str" cm="1">
        <f t="array" ref="G20">_xlfn.IFS(AND(F20&gt;=5,F20&lt;12),"Morning",AND(F20&gt;=12,F20&lt;17),"AfterNoon",AND(F20&gt;=17,F20&lt;20),"Evening",TRUE,"Night")</f>
        <v>Evening</v>
      </c>
      <c r="H20" s="1" t="b">
        <v>0</v>
      </c>
      <c r="I20" s="1">
        <v>6</v>
      </c>
      <c r="J20" s="64" t="str" cm="1">
        <f t="array" ref="J20">_xlfn.IFS(I20=0,"Saturday",I20=1,"Sunday",I20=2,"Monday",I20=3,"Tuesday",I20=4,"Wednesday",I20=5,"Thusday",I20=6,"Friday")</f>
        <v>Friday</v>
      </c>
      <c r="K20" s="1">
        <v>2</v>
      </c>
      <c r="L20" s="1">
        <v>0.44</v>
      </c>
      <c r="M20" t="str">
        <f t="shared" si="1"/>
        <v>Sunny</v>
      </c>
    </row>
    <row r="21" spans="1:13" x14ac:dyDescent="0.35">
      <c r="A21" s="1">
        <v>19</v>
      </c>
      <c r="B21" s="3">
        <v>40544</v>
      </c>
      <c r="C21" s="1">
        <v>1</v>
      </c>
      <c r="D21" s="1">
        <v>0</v>
      </c>
      <c r="E21" s="1">
        <v>1</v>
      </c>
      <c r="F21" s="32">
        <v>18</v>
      </c>
      <c r="G21" s="64" t="str" cm="1">
        <f t="array" ref="G21">_xlfn.IFS(AND(F21&gt;=5,F21&lt;12),"Morning",AND(F21&gt;=12,F21&lt;17),"AfterNoon",AND(F21&gt;=17,F21&lt;20),"Evening",TRUE,"Night")</f>
        <v>Evening</v>
      </c>
      <c r="H21" s="1" t="b">
        <v>0</v>
      </c>
      <c r="I21" s="1">
        <v>6</v>
      </c>
      <c r="J21" s="64" t="str" cm="1">
        <f t="array" ref="J21">_xlfn.IFS(I21=0,"Saturday",I21=1,"Sunday",I21=2,"Monday",I21=3,"Tuesday",I21=4,"Wednesday",I21=5,"Thusday",I21=6,"Friday")</f>
        <v>Friday</v>
      </c>
      <c r="K21" s="1">
        <v>3</v>
      </c>
      <c r="L21" s="1">
        <v>0.42</v>
      </c>
      <c r="M21" t="str">
        <f t="shared" si="1"/>
        <v>Sunny</v>
      </c>
    </row>
    <row r="22" spans="1:13" x14ac:dyDescent="0.35">
      <c r="A22" s="1">
        <v>20</v>
      </c>
      <c r="B22" s="3">
        <v>40544</v>
      </c>
      <c r="C22" s="1">
        <v>1</v>
      </c>
      <c r="D22" s="1">
        <v>0</v>
      </c>
      <c r="E22" s="1">
        <v>1</v>
      </c>
      <c r="F22" s="32">
        <v>19</v>
      </c>
      <c r="G22" s="64" t="str" cm="1">
        <f t="array" ref="G22">_xlfn.IFS(AND(F22&gt;=5,F22&lt;12),"Morning",AND(F22&gt;=12,F22&lt;17),"AfterNoon",AND(F22&gt;=17,F22&lt;20),"Evening",TRUE,"Night")</f>
        <v>Evening</v>
      </c>
      <c r="H22" s="1" t="b">
        <v>0</v>
      </c>
      <c r="I22" s="1">
        <v>6</v>
      </c>
      <c r="J22" s="64" t="str" cm="1">
        <f t="array" ref="J22">_xlfn.IFS(I22=0,"Saturday",I22=1,"Sunday",I22=2,"Monday",I22=3,"Tuesday",I22=4,"Wednesday",I22=5,"Thusday",I22=6,"Friday")</f>
        <v>Friday</v>
      </c>
      <c r="K22" s="1">
        <v>3</v>
      </c>
      <c r="L22" s="1">
        <v>0.42</v>
      </c>
      <c r="M22" t="str">
        <f t="shared" si="1"/>
        <v>Sunny</v>
      </c>
    </row>
    <row r="23" spans="1:13" x14ac:dyDescent="0.35">
      <c r="A23" s="1">
        <v>21</v>
      </c>
      <c r="B23" s="3">
        <v>40544</v>
      </c>
      <c r="C23" s="1">
        <v>1</v>
      </c>
      <c r="D23" s="1">
        <v>0</v>
      </c>
      <c r="E23" s="1">
        <v>1</v>
      </c>
      <c r="F23" s="32">
        <v>20</v>
      </c>
      <c r="G23" s="64" t="str" cm="1">
        <f t="array" ref="G23">_xlfn.IFS(AND(F23&gt;=5,F23&lt;12),"Morning",AND(F23&gt;=12,F23&lt;17),"AfterNoon",AND(F23&gt;=17,F23&lt;20),"Evening",TRUE,"Night")</f>
        <v>Night</v>
      </c>
      <c r="H23" s="1" t="b">
        <v>0</v>
      </c>
      <c r="I23" s="1">
        <v>6</v>
      </c>
      <c r="J23" s="64" t="str" cm="1">
        <f t="array" ref="J23">_xlfn.IFS(I23=0,"Saturday",I23=1,"Sunday",I23=2,"Monday",I23=3,"Tuesday",I23=4,"Wednesday",I23=5,"Thusday",I23=6,"Friday")</f>
        <v>Friday</v>
      </c>
      <c r="K23" s="1">
        <v>2</v>
      </c>
      <c r="L23" s="1">
        <v>0.4</v>
      </c>
      <c r="M23" t="str">
        <f t="shared" si="1"/>
        <v>Sunny</v>
      </c>
    </row>
    <row r="24" spans="1:13" x14ac:dyDescent="0.35">
      <c r="A24" s="1">
        <v>22</v>
      </c>
      <c r="B24" s="3">
        <v>40544</v>
      </c>
      <c r="C24" s="1">
        <v>1</v>
      </c>
      <c r="D24" s="1">
        <v>0</v>
      </c>
      <c r="E24" s="1">
        <v>1</v>
      </c>
      <c r="F24" s="32">
        <v>21</v>
      </c>
      <c r="G24" s="64" t="str" cm="1">
        <f t="array" ref="G24">_xlfn.IFS(AND(F24&gt;=5,F24&lt;12),"Morning",AND(F24&gt;=12,F24&lt;17),"AfterNoon",AND(F24&gt;=17,F24&lt;20),"Evening",TRUE,"Night")</f>
        <v>Night</v>
      </c>
      <c r="H24" s="1" t="b">
        <v>0</v>
      </c>
      <c r="I24" s="1">
        <v>6</v>
      </c>
      <c r="J24" s="64" t="str" cm="1">
        <f t="array" ref="J24">_xlfn.IFS(I24=0,"Saturday",I24=1,"Sunday",I24=2,"Monday",I24=3,"Tuesday",I24=4,"Wednesday",I24=5,"Thusday",I24=6,"Friday")</f>
        <v>Friday</v>
      </c>
      <c r="K24" s="1">
        <v>2</v>
      </c>
      <c r="L24" s="1">
        <v>0.4</v>
      </c>
      <c r="M24" t="str">
        <f t="shared" si="1"/>
        <v>Sunny</v>
      </c>
    </row>
    <row r="25" spans="1:13" x14ac:dyDescent="0.35">
      <c r="A25" s="1">
        <v>23</v>
      </c>
      <c r="B25" s="3">
        <v>40544</v>
      </c>
      <c r="C25" s="1">
        <v>1</v>
      </c>
      <c r="D25" s="1">
        <v>0</v>
      </c>
      <c r="E25" s="1">
        <v>1</v>
      </c>
      <c r="F25" s="32">
        <v>22</v>
      </c>
      <c r="G25" s="64" t="str" cm="1">
        <f t="array" ref="G25">_xlfn.IFS(AND(F25&gt;=5,F25&lt;12),"Morning",AND(F25&gt;=12,F25&lt;17),"AfterNoon",AND(F25&gt;=17,F25&lt;20),"Evening",TRUE,"Night")</f>
        <v>Night</v>
      </c>
      <c r="H25" s="1" t="b">
        <v>0</v>
      </c>
      <c r="I25" s="1">
        <v>6</v>
      </c>
      <c r="J25" s="64" t="str" cm="1">
        <f t="array" ref="J25">_xlfn.IFS(I25=0,"Saturday",I25=1,"Sunday",I25=2,"Monday",I25=3,"Tuesday",I25=4,"Wednesday",I25=5,"Thusday",I25=6,"Friday")</f>
        <v>Friday</v>
      </c>
      <c r="K25" s="1">
        <v>2</v>
      </c>
      <c r="L25" s="1">
        <v>0.4</v>
      </c>
      <c r="M25" t="str">
        <f t="shared" si="1"/>
        <v>Sunny</v>
      </c>
    </row>
    <row r="26" spans="1:13" x14ac:dyDescent="0.35">
      <c r="A26" s="1">
        <v>24</v>
      </c>
      <c r="B26" s="3">
        <v>40544</v>
      </c>
      <c r="C26" s="1">
        <v>1</v>
      </c>
      <c r="D26" s="1">
        <v>0</v>
      </c>
      <c r="E26" s="1">
        <v>1</v>
      </c>
      <c r="F26" s="32">
        <v>23</v>
      </c>
      <c r="G26" s="64" t="str" cm="1">
        <f t="array" ref="G26">_xlfn.IFS(AND(F26&gt;=5,F26&lt;12),"Morning",AND(F26&gt;=12,F26&lt;17),"AfterNoon",AND(F26&gt;=17,F26&lt;20),"Evening",TRUE,"Night")</f>
        <v>Night</v>
      </c>
      <c r="H26" s="1" t="b">
        <v>0</v>
      </c>
      <c r="I26" s="1">
        <v>6</v>
      </c>
      <c r="J26" s="64" t="str" cm="1">
        <f t="array" ref="J26">_xlfn.IFS(I26=0,"Saturday",I26=1,"Sunday",I26=2,"Monday",I26=3,"Tuesday",I26=4,"Wednesday",I26=5,"Thusday",I26=6,"Friday")</f>
        <v>Friday</v>
      </c>
      <c r="K26" s="1">
        <v>2</v>
      </c>
      <c r="L26" s="1">
        <v>0.46</v>
      </c>
      <c r="M26" t="str">
        <f t="shared" si="1"/>
        <v>Sunny</v>
      </c>
    </row>
    <row r="27" spans="1:13" x14ac:dyDescent="0.35">
      <c r="A27" s="1">
        <v>25</v>
      </c>
      <c r="B27" s="3">
        <v>40545</v>
      </c>
      <c r="C27" s="1">
        <v>1</v>
      </c>
      <c r="D27" s="1">
        <v>0</v>
      </c>
      <c r="E27" s="1">
        <v>1</v>
      </c>
      <c r="F27" s="32">
        <v>0</v>
      </c>
      <c r="G27" s="64" t="str" cm="1">
        <f t="array" ref="G27">_xlfn.IFS(AND(F27&gt;=5,F27&lt;12),"Morning",AND(F27&gt;=12,F27&lt;17),"AfterNoon",AND(F27&gt;=17,F27&lt;20),"Evening",TRUE,"Night")</f>
        <v>Night</v>
      </c>
      <c r="H27" s="1" t="b">
        <v>0</v>
      </c>
      <c r="I27" s="1">
        <v>0</v>
      </c>
      <c r="J27" s="64" t="str" cm="1">
        <f t="array" ref="J27">_xlfn.IFS(I27=0,"Saturday",I27=1,"Sunday",I27=2,"Monday",I27=3,"Tuesday",I27=4,"Wednesday",I27=5,"Thusday",I27=6,"Friday")</f>
        <v>Saturday</v>
      </c>
      <c r="K27" s="1">
        <v>2</v>
      </c>
      <c r="L27" s="1">
        <v>0.46</v>
      </c>
      <c r="M27" t="str">
        <f t="shared" si="1"/>
        <v>Sunny</v>
      </c>
    </row>
    <row r="28" spans="1:13" x14ac:dyDescent="0.35">
      <c r="A28" s="1">
        <v>26</v>
      </c>
      <c r="B28" s="3">
        <v>40545</v>
      </c>
      <c r="C28" s="1">
        <v>1</v>
      </c>
      <c r="D28" s="1">
        <v>0</v>
      </c>
      <c r="E28" s="1">
        <v>1</v>
      </c>
      <c r="F28" s="32">
        <v>1</v>
      </c>
      <c r="G28" s="64" t="str" cm="1">
        <f t="array" ref="G28">_xlfn.IFS(AND(F28&gt;=5,F28&lt;12),"Morning",AND(F28&gt;=12,F28&lt;17),"AfterNoon",AND(F28&gt;=17,F28&lt;20),"Evening",TRUE,"Night")</f>
        <v>Night</v>
      </c>
      <c r="H28" s="1" t="b">
        <v>0</v>
      </c>
      <c r="I28" s="1">
        <v>0</v>
      </c>
      <c r="J28" s="64" t="str" cm="1">
        <f t="array" ref="J28">_xlfn.IFS(I28=0,"Saturday",I28=1,"Sunday",I28=2,"Monday",I28=3,"Tuesday",I28=4,"Wednesday",I28=5,"Thusday",I28=6,"Friday")</f>
        <v>Saturday</v>
      </c>
      <c r="K28" s="1">
        <v>2</v>
      </c>
      <c r="L28" s="1">
        <v>0.44</v>
      </c>
      <c r="M28" t="str">
        <f t="shared" si="1"/>
        <v>Sunny</v>
      </c>
    </row>
    <row r="29" spans="1:13" x14ac:dyDescent="0.35">
      <c r="A29" s="1">
        <v>27</v>
      </c>
      <c r="B29" s="3">
        <v>40545</v>
      </c>
      <c r="C29" s="1">
        <v>1</v>
      </c>
      <c r="D29" s="1">
        <v>0</v>
      </c>
      <c r="E29" s="1">
        <v>1</v>
      </c>
      <c r="F29" s="32">
        <v>2</v>
      </c>
      <c r="G29" s="64" t="str" cm="1">
        <f t="array" ref="G29">_xlfn.IFS(AND(F29&gt;=5,F29&lt;12),"Morning",AND(F29&gt;=12,F29&lt;17),"AfterNoon",AND(F29&gt;=17,F29&lt;20),"Evening",TRUE,"Night")</f>
        <v>Night</v>
      </c>
      <c r="H29" s="1" t="b">
        <v>0</v>
      </c>
      <c r="I29" s="1">
        <v>0</v>
      </c>
      <c r="J29" s="64" t="str" cm="1">
        <f t="array" ref="J29">_xlfn.IFS(I29=0,"Saturday",I29=1,"Sunday",I29=2,"Monday",I29=3,"Tuesday",I29=4,"Wednesday",I29=5,"Thusday",I29=6,"Friday")</f>
        <v>Saturday</v>
      </c>
      <c r="K29" s="1">
        <v>2</v>
      </c>
      <c r="L29" s="1">
        <v>0.42</v>
      </c>
      <c r="M29" t="str">
        <f t="shared" si="1"/>
        <v>Sunny</v>
      </c>
    </row>
    <row r="30" spans="1:13" x14ac:dyDescent="0.35">
      <c r="A30" s="1">
        <v>28</v>
      </c>
      <c r="B30" s="3">
        <v>40545</v>
      </c>
      <c r="C30" s="1">
        <v>1</v>
      </c>
      <c r="D30" s="1">
        <v>0</v>
      </c>
      <c r="E30" s="1">
        <v>1</v>
      </c>
      <c r="F30" s="32">
        <v>3</v>
      </c>
      <c r="G30" s="64" t="str" cm="1">
        <f t="array" ref="G30">_xlfn.IFS(AND(F30&gt;=5,F30&lt;12),"Morning",AND(F30&gt;=12,F30&lt;17),"AfterNoon",AND(F30&gt;=17,F30&lt;20),"Evening",TRUE,"Night")</f>
        <v>Night</v>
      </c>
      <c r="H30" s="1" t="b">
        <v>0</v>
      </c>
      <c r="I30" s="1">
        <v>0</v>
      </c>
      <c r="J30" s="64" t="str" cm="1">
        <f t="array" ref="J30">_xlfn.IFS(I30=0,"Saturday",I30=1,"Sunday",I30=2,"Monday",I30=3,"Tuesday",I30=4,"Wednesday",I30=5,"Thusday",I30=6,"Friday")</f>
        <v>Saturday</v>
      </c>
      <c r="K30" s="1">
        <v>2</v>
      </c>
      <c r="L30" s="1">
        <v>0.46</v>
      </c>
      <c r="M30" t="str">
        <f t="shared" si="1"/>
        <v>Sunny</v>
      </c>
    </row>
    <row r="31" spans="1:13" x14ac:dyDescent="0.35">
      <c r="A31" s="1">
        <v>29</v>
      </c>
      <c r="B31" s="3">
        <v>40545</v>
      </c>
      <c r="C31" s="1">
        <v>1</v>
      </c>
      <c r="D31" s="1">
        <v>0</v>
      </c>
      <c r="E31" s="1">
        <v>1</v>
      </c>
      <c r="F31" s="32">
        <v>4</v>
      </c>
      <c r="G31" s="64" t="str" cm="1">
        <f t="array" ref="G31">_xlfn.IFS(AND(F31&gt;=5,F31&lt;12),"Morning",AND(F31&gt;=12,F31&lt;17),"AfterNoon",AND(F31&gt;=17,F31&lt;20),"Evening",TRUE,"Night")</f>
        <v>Night</v>
      </c>
      <c r="H31" s="1" t="b">
        <v>0</v>
      </c>
      <c r="I31" s="1">
        <v>0</v>
      </c>
      <c r="J31" s="64" t="str" cm="1">
        <f t="array" ref="J31">_xlfn.IFS(I31=0,"Saturday",I31=1,"Sunday",I31=2,"Monday",I31=3,"Tuesday",I31=4,"Wednesday",I31=5,"Thusday",I31=6,"Friday")</f>
        <v>Saturday</v>
      </c>
      <c r="K31" s="1">
        <v>2</v>
      </c>
      <c r="L31" s="1">
        <v>0.46</v>
      </c>
      <c r="M31" t="str">
        <f t="shared" si="1"/>
        <v>Sunny</v>
      </c>
    </row>
    <row r="32" spans="1:13" x14ac:dyDescent="0.35">
      <c r="A32" s="1">
        <v>30</v>
      </c>
      <c r="B32" s="3">
        <v>40545</v>
      </c>
      <c r="C32" s="1">
        <v>1</v>
      </c>
      <c r="D32" s="1">
        <v>0</v>
      </c>
      <c r="E32" s="1">
        <v>1</v>
      </c>
      <c r="F32" s="32">
        <v>6</v>
      </c>
      <c r="G32" s="64" t="str" cm="1">
        <f t="array" ref="G32">_xlfn.IFS(AND(F32&gt;=5,F32&lt;12),"Morning",AND(F32&gt;=12,F32&lt;17),"AfterNoon",AND(F32&gt;=17,F32&lt;20),"Evening",TRUE,"Night")</f>
        <v>Morning</v>
      </c>
      <c r="H32" s="1" t="b">
        <v>0</v>
      </c>
      <c r="I32" s="1">
        <v>0</v>
      </c>
      <c r="J32" s="64" t="str" cm="1">
        <f t="array" ref="J32">_xlfn.IFS(I32=0,"Saturday",I32=1,"Sunday",I32=2,"Monday",I32=3,"Tuesday",I32=4,"Wednesday",I32=5,"Thusday",I32=6,"Friday")</f>
        <v>Saturday</v>
      </c>
      <c r="K32" s="1">
        <v>3</v>
      </c>
      <c r="L32" s="1">
        <v>0.42</v>
      </c>
      <c r="M32" t="str">
        <f t="shared" si="1"/>
        <v>Sunny</v>
      </c>
    </row>
    <row r="33" spans="1:13" x14ac:dyDescent="0.35">
      <c r="A33" s="1">
        <v>31</v>
      </c>
      <c r="B33" s="3">
        <v>40545</v>
      </c>
      <c r="C33" s="1">
        <v>1</v>
      </c>
      <c r="D33" s="1">
        <v>0</v>
      </c>
      <c r="E33" s="1">
        <v>1</v>
      </c>
      <c r="F33" s="32">
        <v>7</v>
      </c>
      <c r="G33" s="64" t="str" cm="1">
        <f t="array" ref="G33">_xlfn.IFS(AND(F33&gt;=5,F33&lt;12),"Morning",AND(F33&gt;=12,F33&lt;17),"AfterNoon",AND(F33&gt;=17,F33&lt;20),"Evening",TRUE,"Night")</f>
        <v>Morning</v>
      </c>
      <c r="H33" s="1" t="b">
        <v>0</v>
      </c>
      <c r="I33" s="1">
        <v>0</v>
      </c>
      <c r="J33" s="64" t="str" cm="1">
        <f t="array" ref="J33">_xlfn.IFS(I33=0,"Saturday",I33=1,"Sunday",I33=2,"Monday",I33=3,"Tuesday",I33=4,"Wednesday",I33=5,"Thusday",I33=6,"Friday")</f>
        <v>Saturday</v>
      </c>
      <c r="K33" s="1">
        <v>2</v>
      </c>
      <c r="L33" s="1">
        <v>0.4</v>
      </c>
      <c r="M33" t="str">
        <f t="shared" si="1"/>
        <v>Sunny</v>
      </c>
    </row>
    <row r="34" spans="1:13" x14ac:dyDescent="0.35">
      <c r="A34" s="1">
        <v>32</v>
      </c>
      <c r="B34" s="3">
        <v>40545</v>
      </c>
      <c r="C34" s="1">
        <v>1</v>
      </c>
      <c r="D34" s="1">
        <v>0</v>
      </c>
      <c r="E34" s="1">
        <v>1</v>
      </c>
      <c r="F34" s="32">
        <v>8</v>
      </c>
      <c r="G34" s="64" t="str" cm="1">
        <f t="array" ref="G34">_xlfn.IFS(AND(F34&gt;=5,F34&lt;12),"Morning",AND(F34&gt;=12,F34&lt;17),"AfterNoon",AND(F34&gt;=17,F34&lt;20),"Evening",TRUE,"Night")</f>
        <v>Morning</v>
      </c>
      <c r="H34" s="1" t="b">
        <v>0</v>
      </c>
      <c r="I34" s="1">
        <v>0</v>
      </c>
      <c r="J34" s="64" t="str" cm="1">
        <f t="array" ref="J34">_xlfn.IFS(I34=0,"Saturday",I34=1,"Sunday",I34=2,"Monday",I34=3,"Tuesday",I34=4,"Wednesday",I34=5,"Thusday",I34=6,"Friday")</f>
        <v>Saturday</v>
      </c>
      <c r="K34" s="1">
        <v>3</v>
      </c>
      <c r="L34" s="1">
        <v>0.4</v>
      </c>
      <c r="M34" t="str">
        <f t="shared" si="1"/>
        <v>Sunny</v>
      </c>
    </row>
    <row r="35" spans="1:13" x14ac:dyDescent="0.35">
      <c r="A35" s="1">
        <v>33</v>
      </c>
      <c r="B35" s="3">
        <v>40545</v>
      </c>
      <c r="C35" s="1">
        <v>1</v>
      </c>
      <c r="D35" s="1">
        <v>0</v>
      </c>
      <c r="E35" s="1">
        <v>1</v>
      </c>
      <c r="F35" s="32">
        <v>9</v>
      </c>
      <c r="G35" s="64" t="str" cm="1">
        <f t="array" ref="G35">_xlfn.IFS(AND(F35&gt;=5,F35&lt;12),"Morning",AND(F35&gt;=12,F35&lt;17),"AfterNoon",AND(F35&gt;=17,F35&lt;20),"Evening",TRUE,"Night")</f>
        <v>Morning</v>
      </c>
      <c r="H35" s="1" t="b">
        <v>0</v>
      </c>
      <c r="I35" s="1">
        <v>0</v>
      </c>
      <c r="J35" s="64" t="str" cm="1">
        <f t="array" ref="J35">_xlfn.IFS(I35=0,"Saturday",I35=1,"Sunday",I35=2,"Monday",I35=3,"Tuesday",I35=4,"Wednesday",I35=5,"Thusday",I35=6,"Friday")</f>
        <v>Saturday</v>
      </c>
      <c r="K35" s="1">
        <v>2</v>
      </c>
      <c r="L35" s="1">
        <v>0.38</v>
      </c>
      <c r="M35" t="str">
        <f t="shared" si="1"/>
        <v>Sunny</v>
      </c>
    </row>
    <row r="36" spans="1:13" x14ac:dyDescent="0.35">
      <c r="A36" s="1">
        <v>34</v>
      </c>
      <c r="B36" s="3">
        <v>40545</v>
      </c>
      <c r="C36" s="1">
        <v>1</v>
      </c>
      <c r="D36" s="1">
        <v>0</v>
      </c>
      <c r="E36" s="1">
        <v>1</v>
      </c>
      <c r="F36" s="32">
        <v>10</v>
      </c>
      <c r="G36" s="64" t="str" cm="1">
        <f t="array" ref="G36">_xlfn.IFS(AND(F36&gt;=5,F36&lt;12),"Morning",AND(F36&gt;=12,F36&lt;17),"AfterNoon",AND(F36&gt;=17,F36&lt;20),"Evening",TRUE,"Night")</f>
        <v>Morning</v>
      </c>
      <c r="H36" s="1" t="b">
        <v>0</v>
      </c>
      <c r="I36" s="1">
        <v>0</v>
      </c>
      <c r="J36" s="64" t="str" cm="1">
        <f t="array" ref="J36">_xlfn.IFS(I36=0,"Saturday",I36=1,"Sunday",I36=2,"Monday",I36=3,"Tuesday",I36=4,"Wednesday",I36=5,"Thusday",I36=6,"Friday")</f>
        <v>Saturday</v>
      </c>
      <c r="K36" s="1">
        <v>2</v>
      </c>
      <c r="L36" s="1">
        <v>0.36</v>
      </c>
      <c r="M36" t="str">
        <f t="shared" si="1"/>
        <v>Sunny</v>
      </c>
    </row>
    <row r="37" spans="1:13" x14ac:dyDescent="0.35">
      <c r="A37" s="1">
        <v>35</v>
      </c>
      <c r="B37" s="3">
        <v>40545</v>
      </c>
      <c r="C37" s="1">
        <v>1</v>
      </c>
      <c r="D37" s="1">
        <v>0</v>
      </c>
      <c r="E37" s="1">
        <v>1</v>
      </c>
      <c r="F37" s="32">
        <v>11</v>
      </c>
      <c r="G37" s="64" t="str" cm="1">
        <f t="array" ref="G37">_xlfn.IFS(AND(F37&gt;=5,F37&lt;12),"Morning",AND(F37&gt;=12,F37&lt;17),"AfterNoon",AND(F37&gt;=17,F37&lt;20),"Evening",TRUE,"Night")</f>
        <v>Morning</v>
      </c>
      <c r="H37" s="1" t="b">
        <v>0</v>
      </c>
      <c r="I37" s="1">
        <v>0</v>
      </c>
      <c r="J37" s="64" t="str" cm="1">
        <f t="array" ref="J37">_xlfn.IFS(I37=0,"Saturday",I37=1,"Sunday",I37=2,"Monday",I37=3,"Tuesday",I37=4,"Wednesday",I37=5,"Thusday",I37=6,"Friday")</f>
        <v>Saturday</v>
      </c>
      <c r="K37" s="1">
        <v>2</v>
      </c>
      <c r="L37" s="1">
        <v>0.36</v>
      </c>
      <c r="M37" t="str">
        <f t="shared" si="1"/>
        <v>Sunny</v>
      </c>
    </row>
    <row r="38" spans="1:13" x14ac:dyDescent="0.35">
      <c r="A38" s="1">
        <v>36</v>
      </c>
      <c r="B38" s="3">
        <v>40545</v>
      </c>
      <c r="C38" s="1">
        <v>1</v>
      </c>
      <c r="D38" s="1">
        <v>0</v>
      </c>
      <c r="E38" s="1">
        <v>1</v>
      </c>
      <c r="F38" s="32">
        <v>12</v>
      </c>
      <c r="G38" s="64" t="str" cm="1">
        <f t="array" ref="G38">_xlfn.IFS(AND(F38&gt;=5,F38&lt;12),"Morning",AND(F38&gt;=12,F38&lt;17),"AfterNoon",AND(F38&gt;=17,F38&lt;20),"Evening",TRUE,"Night")</f>
        <v>AfterNoon</v>
      </c>
      <c r="H38" s="1" t="b">
        <v>0</v>
      </c>
      <c r="I38" s="1">
        <v>0</v>
      </c>
      <c r="J38" s="64" t="str" cm="1">
        <f t="array" ref="J38">_xlfn.IFS(I38=0,"Saturday",I38=1,"Sunday",I38=2,"Monday",I38=3,"Tuesday",I38=4,"Wednesday",I38=5,"Thusday",I38=6,"Friday")</f>
        <v>Saturday</v>
      </c>
      <c r="K38" s="1">
        <v>2</v>
      </c>
      <c r="L38" s="1">
        <v>0.36</v>
      </c>
      <c r="M38" t="str">
        <f t="shared" si="1"/>
        <v>Sunny</v>
      </c>
    </row>
    <row r="39" spans="1:13" x14ac:dyDescent="0.35">
      <c r="A39" s="1">
        <v>37</v>
      </c>
      <c r="B39" s="3">
        <v>40545</v>
      </c>
      <c r="C39" s="1">
        <v>1</v>
      </c>
      <c r="D39" s="1">
        <v>0</v>
      </c>
      <c r="E39" s="1">
        <v>1</v>
      </c>
      <c r="F39" s="32">
        <v>13</v>
      </c>
      <c r="G39" s="64" t="str" cm="1">
        <f t="array" ref="G39">_xlfn.IFS(AND(F39&gt;=5,F39&lt;12),"Morning",AND(F39&gt;=12,F39&lt;17),"AfterNoon",AND(F39&gt;=17,F39&lt;20),"Evening",TRUE,"Night")</f>
        <v>AfterNoon</v>
      </c>
      <c r="H39" s="1" t="b">
        <v>0</v>
      </c>
      <c r="I39" s="1">
        <v>0</v>
      </c>
      <c r="J39" s="64" t="str" cm="1">
        <f t="array" ref="J39">_xlfn.IFS(I39=0,"Saturday",I39=1,"Sunday",I39=2,"Monday",I39=3,"Tuesday",I39=4,"Wednesday",I39=5,"Thusday",I39=6,"Friday")</f>
        <v>Saturday</v>
      </c>
      <c r="K39" s="1">
        <v>2</v>
      </c>
      <c r="L39" s="1">
        <v>0.36</v>
      </c>
      <c r="M39" t="str">
        <f t="shared" si="1"/>
        <v>Sunny</v>
      </c>
    </row>
    <row r="40" spans="1:13" x14ac:dyDescent="0.35">
      <c r="A40" s="1">
        <v>38</v>
      </c>
      <c r="B40" s="3">
        <v>40545</v>
      </c>
      <c r="C40" s="1">
        <v>1</v>
      </c>
      <c r="D40" s="1">
        <v>0</v>
      </c>
      <c r="E40" s="1">
        <v>1</v>
      </c>
      <c r="F40" s="32">
        <v>14</v>
      </c>
      <c r="G40" s="64" t="str" cm="1">
        <f t="array" ref="G40">_xlfn.IFS(AND(F40&gt;=5,F40&lt;12),"Morning",AND(F40&gt;=12,F40&lt;17),"AfterNoon",AND(F40&gt;=17,F40&lt;20),"Evening",TRUE,"Night")</f>
        <v>AfterNoon</v>
      </c>
      <c r="H40" s="1" t="b">
        <v>0</v>
      </c>
      <c r="I40" s="1">
        <v>0</v>
      </c>
      <c r="J40" s="64" t="str" cm="1">
        <f t="array" ref="J40">_xlfn.IFS(I40=0,"Saturday",I40=1,"Sunday",I40=2,"Monday",I40=3,"Tuesday",I40=4,"Wednesday",I40=5,"Thusday",I40=6,"Friday")</f>
        <v>Saturday</v>
      </c>
      <c r="K40" s="1">
        <v>3</v>
      </c>
      <c r="L40" s="1">
        <v>0.36</v>
      </c>
      <c r="M40" t="str">
        <f t="shared" si="1"/>
        <v>Sunny</v>
      </c>
    </row>
    <row r="41" spans="1:13" x14ac:dyDescent="0.35">
      <c r="A41" s="1">
        <v>39</v>
      </c>
      <c r="B41" s="3">
        <v>40545</v>
      </c>
      <c r="C41" s="1">
        <v>1</v>
      </c>
      <c r="D41" s="1">
        <v>0</v>
      </c>
      <c r="E41" s="1">
        <v>1</v>
      </c>
      <c r="F41" s="32">
        <v>15</v>
      </c>
      <c r="G41" s="64" t="str" cm="1">
        <f t="array" ref="G41">_xlfn.IFS(AND(F41&gt;=5,F41&lt;12),"Morning",AND(F41&gt;=12,F41&lt;17),"AfterNoon",AND(F41&gt;=17,F41&lt;20),"Evening",TRUE,"Night")</f>
        <v>AfterNoon</v>
      </c>
      <c r="H41" s="1" t="b">
        <v>0</v>
      </c>
      <c r="I41" s="1">
        <v>0</v>
      </c>
      <c r="J41" s="64" t="str" cm="1">
        <f t="array" ref="J41">_xlfn.IFS(I41=0,"Saturday",I41=1,"Sunday",I41=2,"Monday",I41=3,"Tuesday",I41=4,"Wednesday",I41=5,"Thusday",I41=6,"Friday")</f>
        <v>Saturday</v>
      </c>
      <c r="K41" s="1">
        <v>3</v>
      </c>
      <c r="L41" s="1">
        <v>0.34</v>
      </c>
      <c r="M41" t="str">
        <f t="shared" si="1"/>
        <v>Sunny</v>
      </c>
    </row>
    <row r="42" spans="1:13" x14ac:dyDescent="0.35">
      <c r="A42" s="1">
        <v>40</v>
      </c>
      <c r="B42" s="3">
        <v>40545</v>
      </c>
      <c r="C42" s="1">
        <v>1</v>
      </c>
      <c r="D42" s="1">
        <v>0</v>
      </c>
      <c r="E42" s="1">
        <v>1</v>
      </c>
      <c r="F42" s="32">
        <v>16</v>
      </c>
      <c r="G42" s="64" t="str" cm="1">
        <f t="array" ref="G42">_xlfn.IFS(AND(F42&gt;=5,F42&lt;12),"Morning",AND(F42&gt;=12,F42&lt;17),"AfterNoon",AND(F42&gt;=17,F42&lt;20),"Evening",TRUE,"Night")</f>
        <v>AfterNoon</v>
      </c>
      <c r="H42" s="1" t="b">
        <v>0</v>
      </c>
      <c r="I42" s="1">
        <v>0</v>
      </c>
      <c r="J42" s="64" t="str" cm="1">
        <f t="array" ref="J42">_xlfn.IFS(I42=0,"Saturday",I42=1,"Sunday",I42=2,"Monday",I42=3,"Tuesday",I42=4,"Wednesday",I42=5,"Thusday",I42=6,"Friday")</f>
        <v>Saturday</v>
      </c>
      <c r="K42" s="1">
        <v>3</v>
      </c>
      <c r="L42" s="1">
        <v>0.34</v>
      </c>
      <c r="M42" t="str">
        <f t="shared" si="1"/>
        <v>Sunny</v>
      </c>
    </row>
    <row r="43" spans="1:13" x14ac:dyDescent="0.35">
      <c r="A43" s="1">
        <v>41</v>
      </c>
      <c r="B43" s="3">
        <v>40545</v>
      </c>
      <c r="C43" s="1">
        <v>1</v>
      </c>
      <c r="D43" s="1">
        <v>0</v>
      </c>
      <c r="E43" s="1">
        <v>1</v>
      </c>
      <c r="F43" s="32">
        <v>17</v>
      </c>
      <c r="G43" s="64" t="str" cm="1">
        <f t="array" ref="G43">_xlfn.IFS(AND(F43&gt;=5,F43&lt;12),"Morning",AND(F43&gt;=12,F43&lt;17),"AfterNoon",AND(F43&gt;=17,F43&lt;20),"Evening",TRUE,"Night")</f>
        <v>Evening</v>
      </c>
      <c r="H43" s="1" t="b">
        <v>0</v>
      </c>
      <c r="I43" s="1">
        <v>0</v>
      </c>
      <c r="J43" s="64" t="str" cm="1">
        <f t="array" ref="J43">_xlfn.IFS(I43=0,"Saturday",I43=1,"Sunday",I43=2,"Monday",I43=3,"Tuesday",I43=4,"Wednesday",I43=5,"Thusday",I43=6,"Friday")</f>
        <v>Saturday</v>
      </c>
      <c r="K43" s="1">
        <v>1</v>
      </c>
      <c r="L43" s="1">
        <v>0.34</v>
      </c>
      <c r="M43" t="str">
        <f t="shared" si="1"/>
        <v>Sunny</v>
      </c>
    </row>
    <row r="44" spans="1:13" x14ac:dyDescent="0.35">
      <c r="A44" s="1">
        <v>42</v>
      </c>
      <c r="B44" s="3">
        <v>40545</v>
      </c>
      <c r="C44" s="1">
        <v>1</v>
      </c>
      <c r="D44" s="1">
        <v>0</v>
      </c>
      <c r="E44" s="1">
        <v>1</v>
      </c>
      <c r="F44" s="32">
        <v>18</v>
      </c>
      <c r="G44" s="64" t="str" cm="1">
        <f t="array" ref="G44">_xlfn.IFS(AND(F44&gt;=5,F44&lt;12),"Morning",AND(F44&gt;=12,F44&lt;17),"AfterNoon",AND(F44&gt;=17,F44&lt;20),"Evening",TRUE,"Night")</f>
        <v>Evening</v>
      </c>
      <c r="H44" s="1" t="b">
        <v>0</v>
      </c>
      <c r="I44" s="1">
        <v>0</v>
      </c>
      <c r="J44" s="64" t="str" cm="1">
        <f t="array" ref="J44">_xlfn.IFS(I44=0,"Saturday",I44=1,"Sunday",I44=2,"Monday",I44=3,"Tuesday",I44=4,"Wednesday",I44=5,"Thusday",I44=6,"Friday")</f>
        <v>Saturday</v>
      </c>
      <c r="K44" s="1">
        <v>2</v>
      </c>
      <c r="L44" s="1">
        <v>0.36</v>
      </c>
      <c r="M44" t="str">
        <f t="shared" si="1"/>
        <v>Sunny</v>
      </c>
    </row>
    <row r="45" spans="1:13" x14ac:dyDescent="0.35">
      <c r="A45" s="1">
        <v>43</v>
      </c>
      <c r="B45" s="3">
        <v>40545</v>
      </c>
      <c r="C45" s="1">
        <v>1</v>
      </c>
      <c r="D45" s="1">
        <v>0</v>
      </c>
      <c r="E45" s="1">
        <v>1</v>
      </c>
      <c r="F45" s="32">
        <v>19</v>
      </c>
      <c r="G45" s="64" t="str" cm="1">
        <f t="array" ref="G45">_xlfn.IFS(AND(F45&gt;=5,F45&lt;12),"Morning",AND(F45&gt;=12,F45&lt;17),"AfterNoon",AND(F45&gt;=17,F45&lt;20),"Evening",TRUE,"Night")</f>
        <v>Evening</v>
      </c>
      <c r="H45" s="1" t="b">
        <v>0</v>
      </c>
      <c r="I45" s="1">
        <v>0</v>
      </c>
      <c r="J45" s="64" t="str" cm="1">
        <f t="array" ref="J45">_xlfn.IFS(I45=0,"Saturday",I45=1,"Sunday",I45=2,"Monday",I45=3,"Tuesday",I45=4,"Wednesday",I45=5,"Thusday",I45=6,"Friday")</f>
        <v>Saturday</v>
      </c>
      <c r="K45" s="1">
        <v>1</v>
      </c>
      <c r="L45" s="1">
        <v>0.32</v>
      </c>
      <c r="M45" t="str">
        <f t="shared" si="1"/>
        <v>Sunny</v>
      </c>
    </row>
    <row r="46" spans="1:13" x14ac:dyDescent="0.35">
      <c r="A46" s="1">
        <v>44</v>
      </c>
      <c r="B46" s="3">
        <v>40545</v>
      </c>
      <c r="C46" s="1">
        <v>1</v>
      </c>
      <c r="D46" s="1">
        <v>0</v>
      </c>
      <c r="E46" s="1">
        <v>1</v>
      </c>
      <c r="F46" s="32">
        <v>20</v>
      </c>
      <c r="G46" s="64" t="str" cm="1">
        <f t="array" ref="G46">_xlfn.IFS(AND(F46&gt;=5,F46&lt;12),"Morning",AND(F46&gt;=12,F46&lt;17),"AfterNoon",AND(F46&gt;=17,F46&lt;20),"Evening",TRUE,"Night")</f>
        <v>Night</v>
      </c>
      <c r="H46" s="1" t="b">
        <v>0</v>
      </c>
      <c r="I46" s="1">
        <v>0</v>
      </c>
      <c r="J46" s="64" t="str" cm="1">
        <f t="array" ref="J46">_xlfn.IFS(I46=0,"Saturday",I46=1,"Sunday",I46=2,"Monday",I46=3,"Tuesday",I46=4,"Wednesday",I46=5,"Thusday",I46=6,"Friday")</f>
        <v>Saturday</v>
      </c>
      <c r="K46" s="1">
        <v>1</v>
      </c>
      <c r="L46" s="1">
        <v>0.3</v>
      </c>
      <c r="M46" t="str">
        <f t="shared" si="1"/>
        <v>Cloudy</v>
      </c>
    </row>
    <row r="47" spans="1:13" x14ac:dyDescent="0.35">
      <c r="A47" s="1">
        <v>45</v>
      </c>
      <c r="B47" s="3">
        <v>40545</v>
      </c>
      <c r="C47" s="1">
        <v>1</v>
      </c>
      <c r="D47" s="1">
        <v>0</v>
      </c>
      <c r="E47" s="1">
        <v>1</v>
      </c>
      <c r="F47" s="32">
        <v>21</v>
      </c>
      <c r="G47" s="64" t="str" cm="1">
        <f t="array" ref="G47">_xlfn.IFS(AND(F47&gt;=5,F47&lt;12),"Morning",AND(F47&gt;=12,F47&lt;17),"AfterNoon",AND(F47&gt;=17,F47&lt;20),"Evening",TRUE,"Night")</f>
        <v>Night</v>
      </c>
      <c r="H47" s="1" t="b">
        <v>0</v>
      </c>
      <c r="I47" s="1">
        <v>0</v>
      </c>
      <c r="J47" s="64" t="str" cm="1">
        <f t="array" ref="J47">_xlfn.IFS(I47=0,"Saturday",I47=1,"Sunday",I47=2,"Monday",I47=3,"Tuesday",I47=4,"Wednesday",I47=5,"Thusday",I47=6,"Friday")</f>
        <v>Saturday</v>
      </c>
      <c r="K47" s="1">
        <v>1</v>
      </c>
      <c r="L47" s="1">
        <v>0.26</v>
      </c>
      <c r="M47" t="str">
        <f t="shared" si="1"/>
        <v>Cloudy</v>
      </c>
    </row>
    <row r="48" spans="1:13" x14ac:dyDescent="0.35">
      <c r="A48" s="1">
        <v>46</v>
      </c>
      <c r="B48" s="3">
        <v>40545</v>
      </c>
      <c r="C48" s="1">
        <v>1</v>
      </c>
      <c r="D48" s="1">
        <v>0</v>
      </c>
      <c r="E48" s="1">
        <v>1</v>
      </c>
      <c r="F48" s="32">
        <v>22</v>
      </c>
      <c r="G48" s="64" t="str" cm="1">
        <f t="array" ref="G48">_xlfn.IFS(AND(F48&gt;=5,F48&lt;12),"Morning",AND(F48&gt;=12,F48&lt;17),"AfterNoon",AND(F48&gt;=17,F48&lt;20),"Evening",TRUE,"Night")</f>
        <v>Night</v>
      </c>
      <c r="H48" s="1" t="b">
        <v>0</v>
      </c>
      <c r="I48" s="1">
        <v>0</v>
      </c>
      <c r="J48" s="64" t="str" cm="1">
        <f t="array" ref="J48">_xlfn.IFS(I48=0,"Saturday",I48=1,"Sunday",I48=2,"Monday",I48=3,"Tuesday",I48=4,"Wednesday",I48=5,"Thusday",I48=6,"Friday")</f>
        <v>Saturday</v>
      </c>
      <c r="K48" s="1">
        <v>1</v>
      </c>
      <c r="L48" s="1">
        <v>0.24</v>
      </c>
      <c r="M48" t="str">
        <f t="shared" si="1"/>
        <v>Cloudy</v>
      </c>
    </row>
    <row r="49" spans="1:13" x14ac:dyDescent="0.35">
      <c r="A49" s="1">
        <v>47</v>
      </c>
      <c r="B49" s="3">
        <v>40545</v>
      </c>
      <c r="C49" s="1">
        <v>1</v>
      </c>
      <c r="D49" s="1">
        <v>0</v>
      </c>
      <c r="E49" s="1">
        <v>1</v>
      </c>
      <c r="F49" s="32">
        <v>23</v>
      </c>
      <c r="G49" s="64" t="str" cm="1">
        <f t="array" ref="G49">_xlfn.IFS(AND(F49&gt;=5,F49&lt;12),"Morning",AND(F49&gt;=12,F49&lt;17),"AfterNoon",AND(F49&gt;=17,F49&lt;20),"Evening",TRUE,"Night")</f>
        <v>Night</v>
      </c>
      <c r="H49" s="1" t="b">
        <v>0</v>
      </c>
      <c r="I49" s="1">
        <v>0</v>
      </c>
      <c r="J49" s="64" t="str" cm="1">
        <f t="array" ref="J49">_xlfn.IFS(I49=0,"Saturday",I49=1,"Sunday",I49=2,"Monday",I49=3,"Tuesday",I49=4,"Wednesday",I49=5,"Thusday",I49=6,"Friday")</f>
        <v>Saturday</v>
      </c>
      <c r="K49" s="1">
        <v>1</v>
      </c>
      <c r="L49" s="1">
        <v>0.22</v>
      </c>
      <c r="M49" t="str">
        <f t="shared" si="1"/>
        <v>Cloudy</v>
      </c>
    </row>
    <row r="50" spans="1:13" x14ac:dyDescent="0.35">
      <c r="A50" s="1">
        <v>48</v>
      </c>
      <c r="B50" s="3">
        <v>40546</v>
      </c>
      <c r="C50" s="1">
        <v>1</v>
      </c>
      <c r="D50" s="1">
        <v>0</v>
      </c>
      <c r="E50" s="1">
        <v>1</v>
      </c>
      <c r="F50" s="32">
        <v>0</v>
      </c>
      <c r="G50" s="64" t="str" cm="1">
        <f t="array" ref="G50">_xlfn.IFS(AND(F50&gt;=5,F50&lt;12),"Morning",AND(F50&gt;=12,F50&lt;17),"AfterNoon",AND(F50&gt;=17,F50&lt;20),"Evening",TRUE,"Night")</f>
        <v>Night</v>
      </c>
      <c r="H50" s="1" t="b">
        <v>0</v>
      </c>
      <c r="I50" s="1">
        <v>1</v>
      </c>
      <c r="J50" s="64" t="str" cm="1">
        <f t="array" ref="J50">_xlfn.IFS(I50=0,"Saturday",I50=1,"Sunday",I50=2,"Monday",I50=3,"Tuesday",I50=4,"Wednesday",I50=5,"Thusday",I50=6,"Friday")</f>
        <v>Sunday</v>
      </c>
      <c r="K50" s="1">
        <v>1</v>
      </c>
      <c r="L50" s="1">
        <v>0.22</v>
      </c>
      <c r="M50" t="str">
        <f t="shared" si="1"/>
        <v>Cloudy</v>
      </c>
    </row>
    <row r="51" spans="1:13" x14ac:dyDescent="0.35">
      <c r="A51" s="1">
        <v>49</v>
      </c>
      <c r="B51" s="3">
        <v>40546</v>
      </c>
      <c r="C51" s="1">
        <v>1</v>
      </c>
      <c r="D51" s="1">
        <v>0</v>
      </c>
      <c r="E51" s="1">
        <v>1</v>
      </c>
      <c r="F51" s="32">
        <v>1</v>
      </c>
      <c r="G51" s="64" t="str" cm="1">
        <f t="array" ref="G51">_xlfn.IFS(AND(F51&gt;=5,F51&lt;12),"Morning",AND(F51&gt;=12,F51&lt;17),"AfterNoon",AND(F51&gt;=17,F51&lt;20),"Evening",TRUE,"Night")</f>
        <v>Night</v>
      </c>
      <c r="H51" s="1" t="b">
        <v>0</v>
      </c>
      <c r="I51" s="1">
        <v>1</v>
      </c>
      <c r="J51" s="64" t="str" cm="1">
        <f t="array" ref="J51">_xlfn.IFS(I51=0,"Saturday",I51=1,"Sunday",I51=2,"Monday",I51=3,"Tuesday",I51=4,"Wednesday",I51=5,"Thusday",I51=6,"Friday")</f>
        <v>Sunday</v>
      </c>
      <c r="K51" s="1">
        <v>1</v>
      </c>
      <c r="L51" s="1">
        <v>0.2</v>
      </c>
      <c r="M51" t="str">
        <f t="shared" si="1"/>
        <v>Rainy</v>
      </c>
    </row>
    <row r="52" spans="1:13" x14ac:dyDescent="0.35">
      <c r="A52" s="1">
        <v>50</v>
      </c>
      <c r="B52" s="3">
        <v>40546</v>
      </c>
      <c r="C52" s="1">
        <v>1</v>
      </c>
      <c r="D52" s="1">
        <v>0</v>
      </c>
      <c r="E52" s="1">
        <v>1</v>
      </c>
      <c r="F52" s="32">
        <v>4</v>
      </c>
      <c r="G52" s="64" t="str" cm="1">
        <f t="array" ref="G52">_xlfn.IFS(AND(F52&gt;=5,F52&lt;12),"Morning",AND(F52&gt;=12,F52&lt;17),"AfterNoon",AND(F52&gt;=17,F52&lt;20),"Evening",TRUE,"Night")</f>
        <v>Night</v>
      </c>
      <c r="H52" s="1" t="b">
        <v>0</v>
      </c>
      <c r="I52" s="1">
        <v>1</v>
      </c>
      <c r="J52" s="64" t="str" cm="1">
        <f t="array" ref="J52">_xlfn.IFS(I52=0,"Saturday",I52=1,"Sunday",I52=2,"Monday",I52=3,"Tuesday",I52=4,"Wednesday",I52=5,"Thusday",I52=6,"Friday")</f>
        <v>Sunday</v>
      </c>
      <c r="K52" s="1">
        <v>1</v>
      </c>
      <c r="L52" s="1">
        <v>0.16</v>
      </c>
      <c r="M52" t="str">
        <f t="shared" si="1"/>
        <v>Rainy</v>
      </c>
    </row>
    <row r="53" spans="1:13" x14ac:dyDescent="0.35">
      <c r="A53" s="1">
        <v>51</v>
      </c>
      <c r="B53" s="3">
        <v>40546</v>
      </c>
      <c r="C53" s="1">
        <v>1</v>
      </c>
      <c r="D53" s="1">
        <v>0</v>
      </c>
      <c r="E53" s="1">
        <v>1</v>
      </c>
      <c r="F53" s="32">
        <v>5</v>
      </c>
      <c r="G53" s="64" t="str" cm="1">
        <f t="array" ref="G53">_xlfn.IFS(AND(F53&gt;=5,F53&lt;12),"Morning",AND(F53&gt;=12,F53&lt;17),"AfterNoon",AND(F53&gt;=17,F53&lt;20),"Evening",TRUE,"Night")</f>
        <v>Morning</v>
      </c>
      <c r="H53" s="1" t="b">
        <v>0</v>
      </c>
      <c r="I53" s="1">
        <v>1</v>
      </c>
      <c r="J53" s="64" t="str" cm="1">
        <f t="array" ref="J53">_xlfn.IFS(I53=0,"Saturday",I53=1,"Sunday",I53=2,"Monday",I53=3,"Tuesday",I53=4,"Wednesday",I53=5,"Thusday",I53=6,"Friday")</f>
        <v>Sunday</v>
      </c>
      <c r="K53" s="1">
        <v>1</v>
      </c>
      <c r="L53" s="1">
        <v>0.16</v>
      </c>
      <c r="M53" t="str">
        <f t="shared" si="1"/>
        <v>Rainy</v>
      </c>
    </row>
    <row r="54" spans="1:13" x14ac:dyDescent="0.35">
      <c r="A54" s="1">
        <v>52</v>
      </c>
      <c r="B54" s="3">
        <v>40546</v>
      </c>
      <c r="C54" s="1">
        <v>1</v>
      </c>
      <c r="D54" s="1">
        <v>0</v>
      </c>
      <c r="E54" s="1">
        <v>1</v>
      </c>
      <c r="F54" s="32">
        <v>6</v>
      </c>
      <c r="G54" s="64" t="str" cm="1">
        <f t="array" ref="G54">_xlfn.IFS(AND(F54&gt;=5,F54&lt;12),"Morning",AND(F54&gt;=12,F54&lt;17),"AfterNoon",AND(F54&gt;=17,F54&lt;20),"Evening",TRUE,"Night")</f>
        <v>Morning</v>
      </c>
      <c r="H54" s="1" t="b">
        <v>0</v>
      </c>
      <c r="I54" s="1">
        <v>1</v>
      </c>
      <c r="J54" s="64" t="str" cm="1">
        <f t="array" ref="J54">_xlfn.IFS(I54=0,"Saturday",I54=1,"Sunday",I54=2,"Monday",I54=3,"Tuesday",I54=4,"Wednesday",I54=5,"Thusday",I54=6,"Friday")</f>
        <v>Sunday</v>
      </c>
      <c r="K54" s="1">
        <v>1</v>
      </c>
      <c r="L54" s="1">
        <v>0.14000000000000001</v>
      </c>
      <c r="M54" t="str">
        <f t="shared" si="1"/>
        <v>Rainy</v>
      </c>
    </row>
    <row r="55" spans="1:13" x14ac:dyDescent="0.35">
      <c r="A55" s="1">
        <v>53</v>
      </c>
      <c r="B55" s="3">
        <v>40546</v>
      </c>
      <c r="C55" s="1">
        <v>1</v>
      </c>
      <c r="D55" s="1">
        <v>0</v>
      </c>
      <c r="E55" s="1">
        <v>1</v>
      </c>
      <c r="F55" s="32">
        <v>7</v>
      </c>
      <c r="G55" s="64" t="str" cm="1">
        <f t="array" ref="G55">_xlfn.IFS(AND(F55&gt;=5,F55&lt;12),"Morning",AND(F55&gt;=12,F55&lt;17),"AfterNoon",AND(F55&gt;=17,F55&lt;20),"Evening",TRUE,"Night")</f>
        <v>Morning</v>
      </c>
      <c r="H55" s="1" t="b">
        <v>0</v>
      </c>
      <c r="I55" s="1">
        <v>1</v>
      </c>
      <c r="J55" s="64" t="str" cm="1">
        <f t="array" ref="J55">_xlfn.IFS(I55=0,"Saturday",I55=1,"Sunday",I55=2,"Monday",I55=3,"Tuesday",I55=4,"Wednesday",I55=5,"Thusday",I55=6,"Friday")</f>
        <v>Sunday</v>
      </c>
      <c r="K55" s="1">
        <v>1</v>
      </c>
      <c r="L55" s="1">
        <v>0.14000000000000001</v>
      </c>
      <c r="M55" t="str">
        <f t="shared" si="1"/>
        <v>Rainy</v>
      </c>
    </row>
    <row r="56" spans="1:13" x14ac:dyDescent="0.35">
      <c r="A56" s="1">
        <v>54</v>
      </c>
      <c r="B56" s="3">
        <v>40546</v>
      </c>
      <c r="C56" s="1">
        <v>1</v>
      </c>
      <c r="D56" s="1">
        <v>0</v>
      </c>
      <c r="E56" s="1">
        <v>1</v>
      </c>
      <c r="F56" s="32">
        <v>8</v>
      </c>
      <c r="G56" s="64" t="str" cm="1">
        <f t="array" ref="G56">_xlfn.IFS(AND(F56&gt;=5,F56&lt;12),"Morning",AND(F56&gt;=12,F56&lt;17),"AfterNoon",AND(F56&gt;=17,F56&lt;20),"Evening",TRUE,"Night")</f>
        <v>Morning</v>
      </c>
      <c r="H56" s="1" t="b">
        <v>0</v>
      </c>
      <c r="I56" s="1">
        <v>1</v>
      </c>
      <c r="J56" s="64" t="str" cm="1">
        <f t="array" ref="J56">_xlfn.IFS(I56=0,"Saturday",I56=1,"Sunday",I56=2,"Monday",I56=3,"Tuesday",I56=4,"Wednesday",I56=5,"Thusday",I56=6,"Friday")</f>
        <v>Sunday</v>
      </c>
      <c r="K56" s="1">
        <v>1</v>
      </c>
      <c r="L56" s="1">
        <v>0.14000000000000001</v>
      </c>
      <c r="M56" t="str">
        <f t="shared" si="1"/>
        <v>Rainy</v>
      </c>
    </row>
    <row r="57" spans="1:13" x14ac:dyDescent="0.35">
      <c r="A57" s="1">
        <v>55</v>
      </c>
      <c r="B57" s="3">
        <v>40546</v>
      </c>
      <c r="C57" s="1">
        <v>1</v>
      </c>
      <c r="D57" s="1">
        <v>0</v>
      </c>
      <c r="E57" s="1">
        <v>1</v>
      </c>
      <c r="F57" s="32">
        <v>9</v>
      </c>
      <c r="G57" s="64" t="str" cm="1">
        <f t="array" ref="G57">_xlfn.IFS(AND(F57&gt;=5,F57&lt;12),"Morning",AND(F57&gt;=12,F57&lt;17),"AfterNoon",AND(F57&gt;=17,F57&lt;20),"Evening",TRUE,"Night")</f>
        <v>Morning</v>
      </c>
      <c r="H57" s="1" t="b">
        <v>0</v>
      </c>
      <c r="I57" s="1">
        <v>1</v>
      </c>
      <c r="J57" s="64" t="str" cm="1">
        <f t="array" ref="J57">_xlfn.IFS(I57=0,"Saturday",I57=1,"Sunday",I57=2,"Monday",I57=3,"Tuesday",I57=4,"Wednesday",I57=5,"Thusday",I57=6,"Friday")</f>
        <v>Sunday</v>
      </c>
      <c r="K57" s="1">
        <v>1</v>
      </c>
      <c r="L57" s="1">
        <v>0.16</v>
      </c>
      <c r="M57" t="str">
        <f t="shared" si="1"/>
        <v>Rainy</v>
      </c>
    </row>
    <row r="58" spans="1:13" x14ac:dyDescent="0.35">
      <c r="A58" s="1">
        <v>56</v>
      </c>
      <c r="B58" s="3">
        <v>40546</v>
      </c>
      <c r="C58" s="1">
        <v>1</v>
      </c>
      <c r="D58" s="1">
        <v>0</v>
      </c>
      <c r="E58" s="1">
        <v>1</v>
      </c>
      <c r="F58" s="32">
        <v>10</v>
      </c>
      <c r="G58" s="64" t="str" cm="1">
        <f t="array" ref="G58">_xlfn.IFS(AND(F58&gt;=5,F58&lt;12),"Morning",AND(F58&gt;=12,F58&lt;17),"AfterNoon",AND(F58&gt;=17,F58&lt;20),"Evening",TRUE,"Night")</f>
        <v>Morning</v>
      </c>
      <c r="H58" s="1" t="b">
        <v>0</v>
      </c>
      <c r="I58" s="1">
        <v>1</v>
      </c>
      <c r="J58" s="64" t="str" cm="1">
        <f t="array" ref="J58">_xlfn.IFS(I58=0,"Saturday",I58=1,"Sunday",I58=2,"Monday",I58=3,"Tuesday",I58=4,"Wednesday",I58=5,"Thusday",I58=6,"Friday")</f>
        <v>Sunday</v>
      </c>
      <c r="K58" s="1">
        <v>1</v>
      </c>
      <c r="L58" s="1">
        <v>0.18</v>
      </c>
      <c r="M58" t="str">
        <f t="shared" si="1"/>
        <v>Rainy</v>
      </c>
    </row>
    <row r="59" spans="1:13" x14ac:dyDescent="0.35">
      <c r="A59" s="1">
        <v>57</v>
      </c>
      <c r="B59" s="3">
        <v>40546</v>
      </c>
      <c r="C59" s="1">
        <v>1</v>
      </c>
      <c r="D59" s="1">
        <v>0</v>
      </c>
      <c r="E59" s="1">
        <v>1</v>
      </c>
      <c r="F59" s="32">
        <v>11</v>
      </c>
      <c r="G59" s="64" t="str" cm="1">
        <f t="array" ref="G59">_xlfn.IFS(AND(F59&gt;=5,F59&lt;12),"Morning",AND(F59&gt;=12,F59&lt;17),"AfterNoon",AND(F59&gt;=17,F59&lt;20),"Evening",TRUE,"Night")</f>
        <v>Morning</v>
      </c>
      <c r="H59" s="1" t="b">
        <v>0</v>
      </c>
      <c r="I59" s="1">
        <v>1</v>
      </c>
      <c r="J59" s="64" t="str" cm="1">
        <f t="array" ref="J59">_xlfn.IFS(I59=0,"Saturday",I59=1,"Sunday",I59=2,"Monday",I59=3,"Tuesday",I59=4,"Wednesday",I59=5,"Thusday",I59=6,"Friday")</f>
        <v>Sunday</v>
      </c>
      <c r="K59" s="1">
        <v>1</v>
      </c>
      <c r="L59" s="1">
        <v>0.2</v>
      </c>
      <c r="M59" t="str">
        <f t="shared" si="1"/>
        <v>Rainy</v>
      </c>
    </row>
    <row r="60" spans="1:13" x14ac:dyDescent="0.35">
      <c r="A60" s="1">
        <v>58</v>
      </c>
      <c r="B60" s="3">
        <v>40546</v>
      </c>
      <c r="C60" s="1">
        <v>1</v>
      </c>
      <c r="D60" s="1">
        <v>0</v>
      </c>
      <c r="E60" s="1">
        <v>1</v>
      </c>
      <c r="F60" s="32">
        <v>12</v>
      </c>
      <c r="G60" s="64" t="str" cm="1">
        <f t="array" ref="G60">_xlfn.IFS(AND(F60&gt;=5,F60&lt;12),"Morning",AND(F60&gt;=12,F60&lt;17),"AfterNoon",AND(F60&gt;=17,F60&lt;20),"Evening",TRUE,"Night")</f>
        <v>AfterNoon</v>
      </c>
      <c r="H60" s="1" t="b">
        <v>0</v>
      </c>
      <c r="I60" s="1">
        <v>1</v>
      </c>
      <c r="J60" s="64" t="str" cm="1">
        <f t="array" ref="J60">_xlfn.IFS(I60=0,"Saturday",I60=1,"Sunday",I60=2,"Monday",I60=3,"Tuesday",I60=4,"Wednesday",I60=5,"Thusday",I60=6,"Friday")</f>
        <v>Sunday</v>
      </c>
      <c r="K60" s="1">
        <v>1</v>
      </c>
      <c r="L60" s="1">
        <v>0.22</v>
      </c>
      <c r="M60" t="str">
        <f t="shared" si="1"/>
        <v>Cloudy</v>
      </c>
    </row>
    <row r="61" spans="1:13" x14ac:dyDescent="0.35">
      <c r="A61" s="1">
        <v>59</v>
      </c>
      <c r="B61" s="3">
        <v>40546</v>
      </c>
      <c r="C61" s="1">
        <v>1</v>
      </c>
      <c r="D61" s="1">
        <v>0</v>
      </c>
      <c r="E61" s="1">
        <v>1</v>
      </c>
      <c r="F61" s="32">
        <v>13</v>
      </c>
      <c r="G61" s="64" t="str" cm="1">
        <f t="array" ref="G61">_xlfn.IFS(AND(F61&gt;=5,F61&lt;12),"Morning",AND(F61&gt;=12,F61&lt;17),"AfterNoon",AND(F61&gt;=17,F61&lt;20),"Evening",TRUE,"Night")</f>
        <v>AfterNoon</v>
      </c>
      <c r="H61" s="1" t="b">
        <v>0</v>
      </c>
      <c r="I61" s="1">
        <v>1</v>
      </c>
      <c r="J61" s="64" t="str" cm="1">
        <f t="array" ref="J61">_xlfn.IFS(I61=0,"Saturday",I61=1,"Sunday",I61=2,"Monday",I61=3,"Tuesday",I61=4,"Wednesday",I61=5,"Thusday",I61=6,"Friday")</f>
        <v>Sunday</v>
      </c>
      <c r="K61" s="1">
        <v>1</v>
      </c>
      <c r="L61" s="1">
        <v>0.24</v>
      </c>
      <c r="M61" t="str">
        <f t="shared" si="1"/>
        <v>Cloudy</v>
      </c>
    </row>
    <row r="62" spans="1:13" x14ac:dyDescent="0.35">
      <c r="A62" s="1">
        <v>60</v>
      </c>
      <c r="B62" s="3">
        <v>40546</v>
      </c>
      <c r="C62" s="1">
        <v>1</v>
      </c>
      <c r="D62" s="1">
        <v>0</v>
      </c>
      <c r="E62" s="1">
        <v>1</v>
      </c>
      <c r="F62" s="32">
        <v>14</v>
      </c>
      <c r="G62" s="64" t="str" cm="1">
        <f t="array" ref="G62">_xlfn.IFS(AND(F62&gt;=5,F62&lt;12),"Morning",AND(F62&gt;=12,F62&lt;17),"AfterNoon",AND(F62&gt;=17,F62&lt;20),"Evening",TRUE,"Night")</f>
        <v>AfterNoon</v>
      </c>
      <c r="H62" s="1" t="b">
        <v>0</v>
      </c>
      <c r="I62" s="1">
        <v>1</v>
      </c>
      <c r="J62" s="64" t="str" cm="1">
        <f t="array" ref="J62">_xlfn.IFS(I62=0,"Saturday",I62=1,"Sunday",I62=2,"Monday",I62=3,"Tuesday",I62=4,"Wednesday",I62=5,"Thusday",I62=6,"Friday")</f>
        <v>Sunday</v>
      </c>
      <c r="K62" s="1">
        <v>1</v>
      </c>
      <c r="L62" s="1">
        <v>0.26</v>
      </c>
      <c r="M62" t="str">
        <f t="shared" si="1"/>
        <v>Cloudy</v>
      </c>
    </row>
    <row r="63" spans="1:13" x14ac:dyDescent="0.35">
      <c r="A63" s="1">
        <v>61</v>
      </c>
      <c r="B63" s="3">
        <v>40546</v>
      </c>
      <c r="C63" s="1">
        <v>1</v>
      </c>
      <c r="D63" s="1">
        <v>0</v>
      </c>
      <c r="E63" s="1">
        <v>1</v>
      </c>
      <c r="F63" s="32">
        <v>15</v>
      </c>
      <c r="G63" s="64" t="str" cm="1">
        <f t="array" ref="G63">_xlfn.IFS(AND(F63&gt;=5,F63&lt;12),"Morning",AND(F63&gt;=12,F63&lt;17),"AfterNoon",AND(F63&gt;=17,F63&lt;20),"Evening",TRUE,"Night")</f>
        <v>AfterNoon</v>
      </c>
      <c r="H63" s="1" t="b">
        <v>0</v>
      </c>
      <c r="I63" s="1">
        <v>1</v>
      </c>
      <c r="J63" s="64" t="str" cm="1">
        <f t="array" ref="J63">_xlfn.IFS(I63=0,"Saturday",I63=1,"Sunday",I63=2,"Monday",I63=3,"Tuesday",I63=4,"Wednesday",I63=5,"Thusday",I63=6,"Friday")</f>
        <v>Sunday</v>
      </c>
      <c r="K63" s="1">
        <v>1</v>
      </c>
      <c r="L63" s="1">
        <v>0.26</v>
      </c>
      <c r="M63" t="str">
        <f t="shared" si="1"/>
        <v>Cloudy</v>
      </c>
    </row>
    <row r="64" spans="1:13" x14ac:dyDescent="0.35">
      <c r="A64" s="1">
        <v>62</v>
      </c>
      <c r="B64" s="3">
        <v>40546</v>
      </c>
      <c r="C64" s="1">
        <v>1</v>
      </c>
      <c r="D64" s="1">
        <v>0</v>
      </c>
      <c r="E64" s="1">
        <v>1</v>
      </c>
      <c r="F64" s="32">
        <v>16</v>
      </c>
      <c r="G64" s="64" t="str" cm="1">
        <f t="array" ref="G64">_xlfn.IFS(AND(F64&gt;=5,F64&lt;12),"Morning",AND(F64&gt;=12,F64&lt;17),"AfterNoon",AND(F64&gt;=17,F64&lt;20),"Evening",TRUE,"Night")</f>
        <v>AfterNoon</v>
      </c>
      <c r="H64" s="1" t="b">
        <v>0</v>
      </c>
      <c r="I64" s="1">
        <v>1</v>
      </c>
      <c r="J64" s="64" t="str" cm="1">
        <f t="array" ref="J64">_xlfn.IFS(I64=0,"Saturday",I64=1,"Sunday",I64=2,"Monday",I64=3,"Tuesday",I64=4,"Wednesday",I64=5,"Thusday",I64=6,"Friday")</f>
        <v>Sunday</v>
      </c>
      <c r="K64" s="1">
        <v>1</v>
      </c>
      <c r="L64" s="1">
        <v>0.26</v>
      </c>
      <c r="M64" t="str">
        <f t="shared" si="1"/>
        <v>Cloudy</v>
      </c>
    </row>
    <row r="65" spans="1:13" x14ac:dyDescent="0.35">
      <c r="A65" s="1">
        <v>63</v>
      </c>
      <c r="B65" s="3">
        <v>40546</v>
      </c>
      <c r="C65" s="1">
        <v>1</v>
      </c>
      <c r="D65" s="1">
        <v>0</v>
      </c>
      <c r="E65" s="1">
        <v>1</v>
      </c>
      <c r="F65" s="32">
        <v>17</v>
      </c>
      <c r="G65" s="64" t="str" cm="1">
        <f t="array" ref="G65">_xlfn.IFS(AND(F65&gt;=5,F65&lt;12),"Morning",AND(F65&gt;=12,F65&lt;17),"AfterNoon",AND(F65&gt;=17,F65&lt;20),"Evening",TRUE,"Night")</f>
        <v>Evening</v>
      </c>
      <c r="H65" s="1" t="b">
        <v>0</v>
      </c>
      <c r="I65" s="1">
        <v>1</v>
      </c>
      <c r="J65" s="64" t="str" cm="1">
        <f t="array" ref="J65">_xlfn.IFS(I65=0,"Saturday",I65=1,"Sunday",I65=2,"Monday",I65=3,"Tuesday",I65=4,"Wednesday",I65=5,"Thusday",I65=6,"Friday")</f>
        <v>Sunday</v>
      </c>
      <c r="K65" s="1">
        <v>1</v>
      </c>
      <c r="L65" s="1">
        <v>0.24</v>
      </c>
      <c r="M65" t="str">
        <f t="shared" si="1"/>
        <v>Cloudy</v>
      </c>
    </row>
    <row r="66" spans="1:13" x14ac:dyDescent="0.35">
      <c r="A66" s="1">
        <v>64</v>
      </c>
      <c r="B66" s="3">
        <v>40546</v>
      </c>
      <c r="C66" s="1">
        <v>1</v>
      </c>
      <c r="D66" s="1">
        <v>0</v>
      </c>
      <c r="E66" s="1">
        <v>1</v>
      </c>
      <c r="F66" s="32">
        <v>18</v>
      </c>
      <c r="G66" s="64" t="str" cm="1">
        <f t="array" ref="G66">_xlfn.IFS(AND(F66&gt;=5,F66&lt;12),"Morning",AND(F66&gt;=12,F66&lt;17),"AfterNoon",AND(F66&gt;=17,F66&lt;20),"Evening",TRUE,"Night")</f>
        <v>Evening</v>
      </c>
      <c r="H66" s="1" t="b">
        <v>0</v>
      </c>
      <c r="I66" s="1">
        <v>1</v>
      </c>
      <c r="J66" s="64" t="str" cm="1">
        <f t="array" ref="J66">_xlfn.IFS(I66=0,"Saturday",I66=1,"Sunday",I66=2,"Monday",I66=3,"Tuesday",I66=4,"Wednesday",I66=5,"Thusday",I66=6,"Friday")</f>
        <v>Sunday</v>
      </c>
      <c r="K66" s="1">
        <v>1</v>
      </c>
      <c r="L66" s="1">
        <v>0.24</v>
      </c>
      <c r="M66" t="str">
        <f t="shared" si="1"/>
        <v>Cloudy</v>
      </c>
    </row>
    <row r="67" spans="1:13" x14ac:dyDescent="0.35">
      <c r="A67" s="1">
        <v>65</v>
      </c>
      <c r="B67" s="3">
        <v>40546</v>
      </c>
      <c r="C67" s="1">
        <v>1</v>
      </c>
      <c r="D67" s="1">
        <v>0</v>
      </c>
      <c r="E67" s="1">
        <v>1</v>
      </c>
      <c r="F67" s="32">
        <v>19</v>
      </c>
      <c r="G67" s="64" t="str" cm="1">
        <f t="array" ref="G67">_xlfn.IFS(AND(F67&gt;=5,F67&lt;12),"Morning",AND(F67&gt;=12,F67&lt;17),"AfterNoon",AND(F67&gt;=17,F67&lt;20),"Evening",TRUE,"Night")</f>
        <v>Evening</v>
      </c>
      <c r="H67" s="1" t="b">
        <v>0</v>
      </c>
      <c r="I67" s="1">
        <v>1</v>
      </c>
      <c r="J67" s="64" t="str" cm="1">
        <f t="array" ref="J67">_xlfn.IFS(I67=0,"Saturday",I67=1,"Sunday",I67=2,"Monday",I67=3,"Tuesday",I67=4,"Wednesday",I67=5,"Thusday",I67=6,"Friday")</f>
        <v>Sunday</v>
      </c>
      <c r="K67" s="1">
        <v>1</v>
      </c>
      <c r="L67" s="1">
        <v>0.2</v>
      </c>
      <c r="M67" t="str">
        <f t="shared" si="1"/>
        <v>Rainy</v>
      </c>
    </row>
    <row r="68" spans="1:13" x14ac:dyDescent="0.35">
      <c r="A68" s="1">
        <v>66</v>
      </c>
      <c r="B68" s="3">
        <v>40546</v>
      </c>
      <c r="C68" s="1">
        <v>1</v>
      </c>
      <c r="D68" s="1">
        <v>0</v>
      </c>
      <c r="E68" s="1">
        <v>1</v>
      </c>
      <c r="F68" s="32">
        <v>20</v>
      </c>
      <c r="G68" s="64" t="str" cm="1">
        <f t="array" ref="G68">_xlfn.IFS(AND(F68&gt;=5,F68&lt;12),"Morning",AND(F68&gt;=12,F68&lt;17),"AfterNoon",AND(F68&gt;=17,F68&lt;20),"Evening",TRUE,"Night")</f>
        <v>Night</v>
      </c>
      <c r="H68" s="1" t="b">
        <v>0</v>
      </c>
      <c r="I68" s="1">
        <v>1</v>
      </c>
      <c r="J68" s="64" t="str" cm="1">
        <f t="array" ref="J68">_xlfn.IFS(I68=0,"Saturday",I68=1,"Sunday",I68=2,"Monday",I68=3,"Tuesday",I68=4,"Wednesday",I68=5,"Thusday",I68=6,"Friday")</f>
        <v>Sunday</v>
      </c>
      <c r="K68" s="1">
        <v>1</v>
      </c>
      <c r="L68" s="1">
        <v>0.2</v>
      </c>
      <c r="M68" t="str">
        <f t="shared" ref="M68:M131" si="2">IF(L68&lt;=0.1,"Stromy",IF(L68&lt;=0.2,"Rainy",IF(L68&lt;=0.3,"Cloudy","Sunny")))</f>
        <v>Rainy</v>
      </c>
    </row>
    <row r="69" spans="1:13" x14ac:dyDescent="0.35">
      <c r="A69" s="1">
        <v>67</v>
      </c>
      <c r="B69" s="3">
        <v>40546</v>
      </c>
      <c r="C69" s="1">
        <v>1</v>
      </c>
      <c r="D69" s="1">
        <v>0</v>
      </c>
      <c r="E69" s="1">
        <v>1</v>
      </c>
      <c r="F69" s="32">
        <v>21</v>
      </c>
      <c r="G69" s="64" t="str" cm="1">
        <f t="array" ref="G69">_xlfn.IFS(AND(F69&gt;=5,F69&lt;12),"Morning",AND(F69&gt;=12,F69&lt;17),"AfterNoon",AND(F69&gt;=17,F69&lt;20),"Evening",TRUE,"Night")</f>
        <v>Night</v>
      </c>
      <c r="H69" s="1" t="b">
        <v>0</v>
      </c>
      <c r="I69" s="1">
        <v>1</v>
      </c>
      <c r="J69" s="64" t="str" cm="1">
        <f t="array" ref="J69">_xlfn.IFS(I69=0,"Saturday",I69=1,"Sunday",I69=2,"Monday",I69=3,"Tuesday",I69=4,"Wednesday",I69=5,"Thusday",I69=6,"Friday")</f>
        <v>Sunday</v>
      </c>
      <c r="K69" s="1">
        <v>1</v>
      </c>
      <c r="L69" s="1">
        <v>0.18</v>
      </c>
      <c r="M69" t="str">
        <f t="shared" si="2"/>
        <v>Rainy</v>
      </c>
    </row>
    <row r="70" spans="1:13" x14ac:dyDescent="0.35">
      <c r="A70" s="1">
        <v>68</v>
      </c>
      <c r="B70" s="3">
        <v>40546</v>
      </c>
      <c r="C70" s="1">
        <v>1</v>
      </c>
      <c r="D70" s="1">
        <v>0</v>
      </c>
      <c r="E70" s="1">
        <v>1</v>
      </c>
      <c r="F70" s="32">
        <v>22</v>
      </c>
      <c r="G70" s="64" t="str" cm="1">
        <f t="array" ref="G70">_xlfn.IFS(AND(F70&gt;=5,F70&lt;12),"Morning",AND(F70&gt;=12,F70&lt;17),"AfterNoon",AND(F70&gt;=17,F70&lt;20),"Evening",TRUE,"Night")</f>
        <v>Night</v>
      </c>
      <c r="H70" s="1" t="b">
        <v>0</v>
      </c>
      <c r="I70" s="1">
        <v>1</v>
      </c>
      <c r="J70" s="64" t="str" cm="1">
        <f t="array" ref="J70">_xlfn.IFS(I70=0,"Saturday",I70=1,"Sunday",I70=2,"Monday",I70=3,"Tuesday",I70=4,"Wednesday",I70=5,"Thusday",I70=6,"Friday")</f>
        <v>Sunday</v>
      </c>
      <c r="K70" s="1">
        <v>1</v>
      </c>
      <c r="L70" s="1">
        <v>0.14000000000000001</v>
      </c>
      <c r="M70" t="str">
        <f t="shared" si="2"/>
        <v>Rainy</v>
      </c>
    </row>
    <row r="71" spans="1:13" x14ac:dyDescent="0.35">
      <c r="A71" s="1">
        <v>69</v>
      </c>
      <c r="B71" s="3">
        <v>40546</v>
      </c>
      <c r="C71" s="1">
        <v>1</v>
      </c>
      <c r="D71" s="1">
        <v>0</v>
      </c>
      <c r="E71" s="1">
        <v>1</v>
      </c>
      <c r="F71" s="32">
        <v>23</v>
      </c>
      <c r="G71" s="64" t="str" cm="1">
        <f t="array" ref="G71">_xlfn.IFS(AND(F71&gt;=5,F71&lt;12),"Morning",AND(F71&gt;=12,F71&lt;17),"AfterNoon",AND(F71&gt;=17,F71&lt;20),"Evening",TRUE,"Night")</f>
        <v>Night</v>
      </c>
      <c r="H71" s="1" t="b">
        <v>0</v>
      </c>
      <c r="I71" s="1">
        <v>1</v>
      </c>
      <c r="J71" s="64" t="str" cm="1">
        <f t="array" ref="J71">_xlfn.IFS(I71=0,"Saturday",I71=1,"Sunday",I71=2,"Monday",I71=3,"Tuesday",I71=4,"Wednesday",I71=5,"Thusday",I71=6,"Friday")</f>
        <v>Sunday</v>
      </c>
      <c r="K71" s="1">
        <v>1</v>
      </c>
      <c r="L71" s="1">
        <v>0.18</v>
      </c>
      <c r="M71" t="str">
        <f t="shared" si="2"/>
        <v>Rainy</v>
      </c>
    </row>
    <row r="72" spans="1:13" x14ac:dyDescent="0.35">
      <c r="A72" s="1">
        <v>70</v>
      </c>
      <c r="B72" s="3">
        <v>40547</v>
      </c>
      <c r="C72" s="1">
        <v>1</v>
      </c>
      <c r="D72" s="1">
        <v>0</v>
      </c>
      <c r="E72" s="1">
        <v>1</v>
      </c>
      <c r="F72" s="32">
        <v>0</v>
      </c>
      <c r="G72" s="64" t="str" cm="1">
        <f t="array" ref="G72">_xlfn.IFS(AND(F72&gt;=5,F72&lt;12),"Morning",AND(F72&gt;=12,F72&lt;17),"AfterNoon",AND(F72&gt;=17,F72&lt;20),"Evening",TRUE,"Night")</f>
        <v>Night</v>
      </c>
      <c r="H72" s="1" t="b">
        <v>0</v>
      </c>
      <c r="I72" s="1">
        <v>2</v>
      </c>
      <c r="J72" s="64" t="str" cm="1">
        <f t="array" ref="J72">_xlfn.IFS(I72=0,"Saturday",I72=1,"Sunday",I72=2,"Monday",I72=3,"Tuesday",I72=4,"Wednesday",I72=5,"Thusday",I72=6,"Friday")</f>
        <v>Monday</v>
      </c>
      <c r="K72" s="1">
        <v>1</v>
      </c>
      <c r="L72" s="1">
        <v>0.16</v>
      </c>
      <c r="M72" t="str">
        <f t="shared" si="2"/>
        <v>Rainy</v>
      </c>
    </row>
    <row r="73" spans="1:13" x14ac:dyDescent="0.35">
      <c r="A73" s="1">
        <v>71</v>
      </c>
      <c r="B73" s="3">
        <v>40547</v>
      </c>
      <c r="C73" s="1">
        <v>1</v>
      </c>
      <c r="D73" s="1">
        <v>0</v>
      </c>
      <c r="E73" s="1">
        <v>1</v>
      </c>
      <c r="F73" s="32">
        <v>1</v>
      </c>
      <c r="G73" s="64" t="str" cm="1">
        <f t="array" ref="G73">_xlfn.IFS(AND(F73&gt;=5,F73&lt;12),"Morning",AND(F73&gt;=12,F73&lt;17),"AfterNoon",AND(F73&gt;=17,F73&lt;20),"Evening",TRUE,"Night")</f>
        <v>Night</v>
      </c>
      <c r="H73" s="1" t="b">
        <v>0</v>
      </c>
      <c r="I73" s="1">
        <v>2</v>
      </c>
      <c r="J73" s="64" t="str" cm="1">
        <f t="array" ref="J73">_xlfn.IFS(I73=0,"Saturday",I73=1,"Sunday",I73=2,"Monday",I73=3,"Tuesday",I73=4,"Wednesday",I73=5,"Thusday",I73=6,"Friday")</f>
        <v>Monday</v>
      </c>
      <c r="K73" s="1">
        <v>1</v>
      </c>
      <c r="L73" s="1">
        <v>0.16</v>
      </c>
      <c r="M73" t="str">
        <f t="shared" si="2"/>
        <v>Rainy</v>
      </c>
    </row>
    <row r="74" spans="1:13" x14ac:dyDescent="0.35">
      <c r="A74" s="1">
        <v>72</v>
      </c>
      <c r="B74" s="3">
        <v>40547</v>
      </c>
      <c r="C74" s="1">
        <v>1</v>
      </c>
      <c r="D74" s="1">
        <v>0</v>
      </c>
      <c r="E74" s="1">
        <v>1</v>
      </c>
      <c r="F74" s="32">
        <v>2</v>
      </c>
      <c r="G74" s="64" t="str" cm="1">
        <f t="array" ref="G74">_xlfn.IFS(AND(F74&gt;=5,F74&lt;12),"Morning",AND(F74&gt;=12,F74&lt;17),"AfterNoon",AND(F74&gt;=17,F74&lt;20),"Evening",TRUE,"Night")</f>
        <v>Night</v>
      </c>
      <c r="H74" s="1" t="b">
        <v>0</v>
      </c>
      <c r="I74" s="1">
        <v>2</v>
      </c>
      <c r="J74" s="64" t="str" cm="1">
        <f t="array" ref="J74">_xlfn.IFS(I74=0,"Saturday",I74=1,"Sunday",I74=2,"Monday",I74=3,"Tuesday",I74=4,"Wednesday",I74=5,"Thusday",I74=6,"Friday")</f>
        <v>Monday</v>
      </c>
      <c r="K74" s="1">
        <v>1</v>
      </c>
      <c r="L74" s="1">
        <v>0.14000000000000001</v>
      </c>
      <c r="M74" t="str">
        <f t="shared" si="2"/>
        <v>Rainy</v>
      </c>
    </row>
    <row r="75" spans="1:13" x14ac:dyDescent="0.35">
      <c r="A75" s="1">
        <v>73</v>
      </c>
      <c r="B75" s="3">
        <v>40547</v>
      </c>
      <c r="C75" s="1">
        <v>1</v>
      </c>
      <c r="D75" s="1">
        <v>0</v>
      </c>
      <c r="E75" s="1">
        <v>1</v>
      </c>
      <c r="F75" s="32">
        <v>4</v>
      </c>
      <c r="G75" s="64" t="str" cm="1">
        <f t="array" ref="G75">_xlfn.IFS(AND(F75&gt;=5,F75&lt;12),"Morning",AND(F75&gt;=12,F75&lt;17),"AfterNoon",AND(F75&gt;=17,F75&lt;20),"Evening",TRUE,"Night")</f>
        <v>Night</v>
      </c>
      <c r="H75" s="1" t="b">
        <v>0</v>
      </c>
      <c r="I75" s="1">
        <v>2</v>
      </c>
      <c r="J75" s="64" t="str" cm="1">
        <f t="array" ref="J75">_xlfn.IFS(I75=0,"Saturday",I75=1,"Sunday",I75=2,"Monday",I75=3,"Tuesday",I75=4,"Wednesday",I75=5,"Thusday",I75=6,"Friday")</f>
        <v>Monday</v>
      </c>
      <c r="K75" s="1">
        <v>1</v>
      </c>
      <c r="L75" s="1">
        <v>0.14000000000000001</v>
      </c>
      <c r="M75" t="str">
        <f t="shared" si="2"/>
        <v>Rainy</v>
      </c>
    </row>
    <row r="76" spans="1:13" x14ac:dyDescent="0.35">
      <c r="A76" s="1">
        <v>74</v>
      </c>
      <c r="B76" s="3">
        <v>40547</v>
      </c>
      <c r="C76" s="1">
        <v>1</v>
      </c>
      <c r="D76" s="1">
        <v>0</v>
      </c>
      <c r="E76" s="1">
        <v>1</v>
      </c>
      <c r="F76" s="32">
        <v>5</v>
      </c>
      <c r="G76" s="64" t="str" cm="1">
        <f t="array" ref="G76">_xlfn.IFS(AND(F76&gt;=5,F76&lt;12),"Morning",AND(F76&gt;=12,F76&lt;17),"AfterNoon",AND(F76&gt;=17,F76&lt;20),"Evening",TRUE,"Night")</f>
        <v>Morning</v>
      </c>
      <c r="H76" s="1" t="b">
        <v>0</v>
      </c>
      <c r="I76" s="1">
        <v>2</v>
      </c>
      <c r="J76" s="64" t="str" cm="1">
        <f t="array" ref="J76">_xlfn.IFS(I76=0,"Saturday",I76=1,"Sunday",I76=2,"Monday",I76=3,"Tuesday",I76=4,"Wednesday",I76=5,"Thusday",I76=6,"Friday")</f>
        <v>Monday</v>
      </c>
      <c r="K76" s="1">
        <v>1</v>
      </c>
      <c r="L76" s="1">
        <v>0.12</v>
      </c>
      <c r="M76" t="str">
        <f t="shared" si="2"/>
        <v>Rainy</v>
      </c>
    </row>
    <row r="77" spans="1:13" x14ac:dyDescent="0.35">
      <c r="A77" s="1">
        <v>75</v>
      </c>
      <c r="B77" s="3">
        <v>40547</v>
      </c>
      <c r="C77" s="1">
        <v>1</v>
      </c>
      <c r="D77" s="1">
        <v>0</v>
      </c>
      <c r="E77" s="1">
        <v>1</v>
      </c>
      <c r="F77" s="32">
        <v>6</v>
      </c>
      <c r="G77" s="64" t="str" cm="1">
        <f t="array" ref="G77">_xlfn.IFS(AND(F77&gt;=5,F77&lt;12),"Morning",AND(F77&gt;=12,F77&lt;17),"AfterNoon",AND(F77&gt;=17,F77&lt;20),"Evening",TRUE,"Night")</f>
        <v>Morning</v>
      </c>
      <c r="H77" s="1" t="b">
        <v>0</v>
      </c>
      <c r="I77" s="1">
        <v>2</v>
      </c>
      <c r="J77" s="64" t="str" cm="1">
        <f t="array" ref="J77">_xlfn.IFS(I77=0,"Saturday",I77=1,"Sunday",I77=2,"Monday",I77=3,"Tuesday",I77=4,"Wednesday",I77=5,"Thusday",I77=6,"Friday")</f>
        <v>Monday</v>
      </c>
      <c r="K77" s="1">
        <v>1</v>
      </c>
      <c r="L77" s="1">
        <v>0.12</v>
      </c>
      <c r="M77" t="str">
        <f t="shared" si="2"/>
        <v>Rainy</v>
      </c>
    </row>
    <row r="78" spans="1:13" x14ac:dyDescent="0.35">
      <c r="A78" s="1">
        <v>76</v>
      </c>
      <c r="B78" s="3">
        <v>40547</v>
      </c>
      <c r="C78" s="1">
        <v>1</v>
      </c>
      <c r="D78" s="1">
        <v>0</v>
      </c>
      <c r="E78" s="1">
        <v>1</v>
      </c>
      <c r="F78" s="32">
        <v>7</v>
      </c>
      <c r="G78" s="64" t="str" cm="1">
        <f t="array" ref="G78">_xlfn.IFS(AND(F78&gt;=5,F78&lt;12),"Morning",AND(F78&gt;=12,F78&lt;17),"AfterNoon",AND(F78&gt;=17,F78&lt;20),"Evening",TRUE,"Night")</f>
        <v>Morning</v>
      </c>
      <c r="H78" s="1" t="b">
        <v>0</v>
      </c>
      <c r="I78" s="1">
        <v>2</v>
      </c>
      <c r="J78" s="64" t="str" cm="1">
        <f t="array" ref="J78">_xlfn.IFS(I78=0,"Saturday",I78=1,"Sunday",I78=2,"Monday",I78=3,"Tuesday",I78=4,"Wednesday",I78=5,"Thusday",I78=6,"Friday")</f>
        <v>Monday</v>
      </c>
      <c r="K78" s="1">
        <v>1</v>
      </c>
      <c r="L78" s="1">
        <v>0.12</v>
      </c>
      <c r="M78" t="str">
        <f t="shared" si="2"/>
        <v>Rainy</v>
      </c>
    </row>
    <row r="79" spans="1:13" x14ac:dyDescent="0.35">
      <c r="A79" s="1">
        <v>77</v>
      </c>
      <c r="B79" s="3">
        <v>40547</v>
      </c>
      <c r="C79" s="1">
        <v>1</v>
      </c>
      <c r="D79" s="1">
        <v>0</v>
      </c>
      <c r="E79" s="1">
        <v>1</v>
      </c>
      <c r="F79" s="32">
        <v>8</v>
      </c>
      <c r="G79" s="64" t="str" cm="1">
        <f t="array" ref="G79">_xlfn.IFS(AND(F79&gt;=5,F79&lt;12),"Morning",AND(F79&gt;=12,F79&lt;17),"AfterNoon",AND(F79&gt;=17,F79&lt;20),"Evening",TRUE,"Night")</f>
        <v>Morning</v>
      </c>
      <c r="H79" s="1" t="b">
        <v>0</v>
      </c>
      <c r="I79" s="1">
        <v>2</v>
      </c>
      <c r="J79" s="64" t="str" cm="1">
        <f t="array" ref="J79">_xlfn.IFS(I79=0,"Saturday",I79=1,"Sunday",I79=2,"Monday",I79=3,"Tuesday",I79=4,"Wednesday",I79=5,"Thusday",I79=6,"Friday")</f>
        <v>Monday</v>
      </c>
      <c r="K79" s="1">
        <v>1</v>
      </c>
      <c r="L79" s="1">
        <v>0.14000000000000001</v>
      </c>
      <c r="M79" t="str">
        <f t="shared" si="2"/>
        <v>Rainy</v>
      </c>
    </row>
    <row r="80" spans="1:13" x14ac:dyDescent="0.35">
      <c r="A80" s="1">
        <v>78</v>
      </c>
      <c r="B80" s="3">
        <v>40547</v>
      </c>
      <c r="C80" s="1">
        <v>1</v>
      </c>
      <c r="D80" s="1">
        <v>0</v>
      </c>
      <c r="E80" s="1">
        <v>1</v>
      </c>
      <c r="F80" s="32">
        <v>9</v>
      </c>
      <c r="G80" s="64" t="str" cm="1">
        <f t="array" ref="G80">_xlfn.IFS(AND(F80&gt;=5,F80&lt;12),"Morning",AND(F80&gt;=12,F80&lt;17),"AfterNoon",AND(F80&gt;=17,F80&lt;20),"Evening",TRUE,"Night")</f>
        <v>Morning</v>
      </c>
      <c r="H80" s="1" t="b">
        <v>0</v>
      </c>
      <c r="I80" s="1">
        <v>2</v>
      </c>
      <c r="J80" s="64" t="str" cm="1">
        <f t="array" ref="J80">_xlfn.IFS(I80=0,"Saturday",I80=1,"Sunday",I80=2,"Monday",I80=3,"Tuesday",I80=4,"Wednesday",I80=5,"Thusday",I80=6,"Friday")</f>
        <v>Monday</v>
      </c>
      <c r="K80" s="1">
        <v>1</v>
      </c>
      <c r="L80" s="1">
        <v>0.16</v>
      </c>
      <c r="M80" t="str">
        <f t="shared" si="2"/>
        <v>Rainy</v>
      </c>
    </row>
    <row r="81" spans="1:13" x14ac:dyDescent="0.35">
      <c r="A81" s="1">
        <v>79</v>
      </c>
      <c r="B81" s="3">
        <v>40547</v>
      </c>
      <c r="C81" s="1">
        <v>1</v>
      </c>
      <c r="D81" s="1">
        <v>0</v>
      </c>
      <c r="E81" s="1">
        <v>1</v>
      </c>
      <c r="F81" s="32">
        <v>10</v>
      </c>
      <c r="G81" s="64" t="str" cm="1">
        <f t="array" ref="G81">_xlfn.IFS(AND(F81&gt;=5,F81&lt;12),"Morning",AND(F81&gt;=12,F81&lt;17),"AfterNoon",AND(F81&gt;=17,F81&lt;20),"Evening",TRUE,"Night")</f>
        <v>Morning</v>
      </c>
      <c r="H81" s="1" t="b">
        <v>0</v>
      </c>
      <c r="I81" s="1">
        <v>2</v>
      </c>
      <c r="J81" s="64" t="str" cm="1">
        <f t="array" ref="J81">_xlfn.IFS(I81=0,"Saturday",I81=1,"Sunday",I81=2,"Monday",I81=3,"Tuesday",I81=4,"Wednesday",I81=5,"Thusday",I81=6,"Friday")</f>
        <v>Monday</v>
      </c>
      <c r="K81" s="1">
        <v>2</v>
      </c>
      <c r="L81" s="1">
        <v>0.16</v>
      </c>
      <c r="M81" t="str">
        <f t="shared" si="2"/>
        <v>Rainy</v>
      </c>
    </row>
    <row r="82" spans="1:13" x14ac:dyDescent="0.35">
      <c r="A82" s="1">
        <v>80</v>
      </c>
      <c r="B82" s="3">
        <v>40547</v>
      </c>
      <c r="C82" s="1">
        <v>1</v>
      </c>
      <c r="D82" s="1">
        <v>0</v>
      </c>
      <c r="E82" s="1">
        <v>1</v>
      </c>
      <c r="F82" s="32">
        <v>11</v>
      </c>
      <c r="G82" s="64" t="str" cm="1">
        <f t="array" ref="G82">_xlfn.IFS(AND(F82&gt;=5,F82&lt;12),"Morning",AND(F82&gt;=12,F82&lt;17),"AfterNoon",AND(F82&gt;=17,F82&lt;20),"Evening",TRUE,"Night")</f>
        <v>Morning</v>
      </c>
      <c r="H82" s="1" t="b">
        <v>0</v>
      </c>
      <c r="I82" s="1">
        <v>2</v>
      </c>
      <c r="J82" s="64" t="str" cm="1">
        <f t="array" ref="J82">_xlfn.IFS(I82=0,"Saturday",I82=1,"Sunday",I82=2,"Monday",I82=3,"Tuesday",I82=4,"Wednesday",I82=5,"Thusday",I82=6,"Friday")</f>
        <v>Monday</v>
      </c>
      <c r="K82" s="1">
        <v>1</v>
      </c>
      <c r="L82" s="1">
        <v>0.22</v>
      </c>
      <c r="M82" t="str">
        <f t="shared" si="2"/>
        <v>Cloudy</v>
      </c>
    </row>
    <row r="83" spans="1:13" x14ac:dyDescent="0.35">
      <c r="A83" s="1">
        <v>81</v>
      </c>
      <c r="B83" s="3">
        <v>40547</v>
      </c>
      <c r="C83" s="1">
        <v>1</v>
      </c>
      <c r="D83" s="1">
        <v>0</v>
      </c>
      <c r="E83" s="1">
        <v>1</v>
      </c>
      <c r="F83" s="32">
        <v>12</v>
      </c>
      <c r="G83" s="64" t="str" cm="1">
        <f t="array" ref="G83">_xlfn.IFS(AND(F83&gt;=5,F83&lt;12),"Morning",AND(F83&gt;=12,F83&lt;17),"AfterNoon",AND(F83&gt;=17,F83&lt;20),"Evening",TRUE,"Night")</f>
        <v>AfterNoon</v>
      </c>
      <c r="H83" s="1" t="b">
        <v>0</v>
      </c>
      <c r="I83" s="1">
        <v>2</v>
      </c>
      <c r="J83" s="64" t="str" cm="1">
        <f t="array" ref="J83">_xlfn.IFS(I83=0,"Saturday",I83=1,"Sunday",I83=2,"Monday",I83=3,"Tuesday",I83=4,"Wednesday",I83=5,"Thusday",I83=6,"Friday")</f>
        <v>Monday</v>
      </c>
      <c r="K83" s="1">
        <v>1</v>
      </c>
      <c r="L83" s="1">
        <v>0.22</v>
      </c>
      <c r="M83" t="str">
        <f t="shared" si="2"/>
        <v>Cloudy</v>
      </c>
    </row>
    <row r="84" spans="1:13" x14ac:dyDescent="0.35">
      <c r="A84" s="1">
        <v>82</v>
      </c>
      <c r="B84" s="3">
        <v>40547</v>
      </c>
      <c r="C84" s="1">
        <v>1</v>
      </c>
      <c r="D84" s="1">
        <v>0</v>
      </c>
      <c r="E84" s="1">
        <v>1</v>
      </c>
      <c r="F84" s="32">
        <v>13</v>
      </c>
      <c r="G84" s="64" t="str" cm="1">
        <f t="array" ref="G84">_xlfn.IFS(AND(F84&gt;=5,F84&lt;12),"Morning",AND(F84&gt;=12,F84&lt;17),"AfterNoon",AND(F84&gt;=17,F84&lt;20),"Evening",TRUE,"Night")</f>
        <v>AfterNoon</v>
      </c>
      <c r="H84" s="1" t="b">
        <v>0</v>
      </c>
      <c r="I84" s="1">
        <v>2</v>
      </c>
      <c r="J84" s="64" t="str" cm="1">
        <f t="array" ref="J84">_xlfn.IFS(I84=0,"Saturday",I84=1,"Sunday",I84=2,"Monday",I84=3,"Tuesday",I84=4,"Wednesday",I84=5,"Thusday",I84=6,"Friday")</f>
        <v>Monday</v>
      </c>
      <c r="K84" s="1">
        <v>1</v>
      </c>
      <c r="L84" s="1">
        <v>0.24</v>
      </c>
      <c r="M84" t="str">
        <f t="shared" si="2"/>
        <v>Cloudy</v>
      </c>
    </row>
    <row r="85" spans="1:13" x14ac:dyDescent="0.35">
      <c r="A85" s="1">
        <v>83</v>
      </c>
      <c r="B85" s="3">
        <v>40547</v>
      </c>
      <c r="C85" s="1">
        <v>1</v>
      </c>
      <c r="D85" s="1">
        <v>0</v>
      </c>
      <c r="E85" s="1">
        <v>1</v>
      </c>
      <c r="F85" s="32">
        <v>14</v>
      </c>
      <c r="G85" s="64" t="str" cm="1">
        <f t="array" ref="G85">_xlfn.IFS(AND(F85&gt;=5,F85&lt;12),"Morning",AND(F85&gt;=12,F85&lt;17),"AfterNoon",AND(F85&gt;=17,F85&lt;20),"Evening",TRUE,"Night")</f>
        <v>AfterNoon</v>
      </c>
      <c r="H85" s="1" t="b">
        <v>0</v>
      </c>
      <c r="I85" s="1">
        <v>2</v>
      </c>
      <c r="J85" s="64" t="str" cm="1">
        <f t="array" ref="J85">_xlfn.IFS(I85=0,"Saturday",I85=1,"Sunday",I85=2,"Monday",I85=3,"Tuesday",I85=4,"Wednesday",I85=5,"Thusday",I85=6,"Friday")</f>
        <v>Monday</v>
      </c>
      <c r="K85" s="1">
        <v>1</v>
      </c>
      <c r="L85" s="1">
        <v>0.26</v>
      </c>
      <c r="M85" t="str">
        <f t="shared" si="2"/>
        <v>Cloudy</v>
      </c>
    </row>
    <row r="86" spans="1:13" x14ac:dyDescent="0.35">
      <c r="A86" s="1">
        <v>84</v>
      </c>
      <c r="B86" s="3">
        <v>40547</v>
      </c>
      <c r="C86" s="1">
        <v>1</v>
      </c>
      <c r="D86" s="1">
        <v>0</v>
      </c>
      <c r="E86" s="1">
        <v>1</v>
      </c>
      <c r="F86" s="32">
        <v>15</v>
      </c>
      <c r="G86" s="64" t="str" cm="1">
        <f t="array" ref="G86">_xlfn.IFS(AND(F86&gt;=5,F86&lt;12),"Morning",AND(F86&gt;=12,F86&lt;17),"AfterNoon",AND(F86&gt;=17,F86&lt;20),"Evening",TRUE,"Night")</f>
        <v>AfterNoon</v>
      </c>
      <c r="H86" s="1" t="b">
        <v>0</v>
      </c>
      <c r="I86" s="1">
        <v>2</v>
      </c>
      <c r="J86" s="64" t="str" cm="1">
        <f t="array" ref="J86">_xlfn.IFS(I86=0,"Saturday",I86=1,"Sunday",I86=2,"Monday",I86=3,"Tuesday",I86=4,"Wednesday",I86=5,"Thusday",I86=6,"Friday")</f>
        <v>Monday</v>
      </c>
      <c r="K86" s="1">
        <v>1</v>
      </c>
      <c r="L86" s="1">
        <v>0.28000000000000003</v>
      </c>
      <c r="M86" t="str">
        <f t="shared" si="2"/>
        <v>Cloudy</v>
      </c>
    </row>
    <row r="87" spans="1:13" x14ac:dyDescent="0.35">
      <c r="A87" s="1">
        <v>85</v>
      </c>
      <c r="B87" s="3">
        <v>40547</v>
      </c>
      <c r="C87" s="1">
        <v>1</v>
      </c>
      <c r="D87" s="1">
        <v>0</v>
      </c>
      <c r="E87" s="1">
        <v>1</v>
      </c>
      <c r="F87" s="32">
        <v>16</v>
      </c>
      <c r="G87" s="64" t="str" cm="1">
        <f t="array" ref="G87">_xlfn.IFS(AND(F87&gt;=5,F87&lt;12),"Morning",AND(F87&gt;=12,F87&lt;17),"AfterNoon",AND(F87&gt;=17,F87&lt;20),"Evening",TRUE,"Night")</f>
        <v>AfterNoon</v>
      </c>
      <c r="H87" s="1" t="b">
        <v>0</v>
      </c>
      <c r="I87" s="1">
        <v>2</v>
      </c>
      <c r="J87" s="64" t="str" cm="1">
        <f t="array" ref="J87">_xlfn.IFS(I87=0,"Saturday",I87=1,"Sunday",I87=2,"Monday",I87=3,"Tuesday",I87=4,"Wednesday",I87=5,"Thusday",I87=6,"Friday")</f>
        <v>Monday</v>
      </c>
      <c r="K87" s="1">
        <v>1</v>
      </c>
      <c r="L87" s="1">
        <v>0.3</v>
      </c>
      <c r="M87" t="str">
        <f t="shared" si="2"/>
        <v>Cloudy</v>
      </c>
    </row>
    <row r="88" spans="1:13" x14ac:dyDescent="0.35">
      <c r="A88" s="1">
        <v>86</v>
      </c>
      <c r="B88" s="3">
        <v>40547</v>
      </c>
      <c r="C88" s="1">
        <v>1</v>
      </c>
      <c r="D88" s="1">
        <v>0</v>
      </c>
      <c r="E88" s="1">
        <v>1</v>
      </c>
      <c r="F88" s="32">
        <v>17</v>
      </c>
      <c r="G88" s="64" t="str" cm="1">
        <f t="array" ref="G88">_xlfn.IFS(AND(F88&gt;=5,F88&lt;12),"Morning",AND(F88&gt;=12,F88&lt;17),"AfterNoon",AND(F88&gt;=17,F88&lt;20),"Evening",TRUE,"Night")</f>
        <v>Evening</v>
      </c>
      <c r="H88" s="1" t="b">
        <v>0</v>
      </c>
      <c r="I88" s="1">
        <v>2</v>
      </c>
      <c r="J88" s="64" t="str" cm="1">
        <f t="array" ref="J88">_xlfn.IFS(I88=0,"Saturday",I88=1,"Sunday",I88=2,"Monday",I88=3,"Tuesday",I88=4,"Wednesday",I88=5,"Thusday",I88=6,"Friday")</f>
        <v>Monday</v>
      </c>
      <c r="K88" s="1">
        <v>1</v>
      </c>
      <c r="L88" s="1">
        <v>0.28000000000000003</v>
      </c>
      <c r="M88" t="str">
        <f t="shared" si="2"/>
        <v>Cloudy</v>
      </c>
    </row>
    <row r="89" spans="1:13" x14ac:dyDescent="0.35">
      <c r="A89" s="1">
        <v>87</v>
      </c>
      <c r="B89" s="3">
        <v>40547</v>
      </c>
      <c r="C89" s="1">
        <v>1</v>
      </c>
      <c r="D89" s="1">
        <v>0</v>
      </c>
      <c r="E89" s="1">
        <v>1</v>
      </c>
      <c r="F89" s="32">
        <v>18</v>
      </c>
      <c r="G89" s="64" t="str" cm="1">
        <f t="array" ref="G89">_xlfn.IFS(AND(F89&gt;=5,F89&lt;12),"Morning",AND(F89&gt;=12,F89&lt;17),"AfterNoon",AND(F89&gt;=17,F89&lt;20),"Evening",TRUE,"Night")</f>
        <v>Evening</v>
      </c>
      <c r="H89" s="1" t="b">
        <v>0</v>
      </c>
      <c r="I89" s="1">
        <v>2</v>
      </c>
      <c r="J89" s="64" t="str" cm="1">
        <f t="array" ref="J89">_xlfn.IFS(I89=0,"Saturday",I89=1,"Sunday",I89=2,"Monday",I89=3,"Tuesday",I89=4,"Wednesday",I89=5,"Thusday",I89=6,"Friday")</f>
        <v>Monday</v>
      </c>
      <c r="K89" s="1">
        <v>1</v>
      </c>
      <c r="L89" s="1">
        <v>0.26</v>
      </c>
      <c r="M89" t="str">
        <f t="shared" si="2"/>
        <v>Cloudy</v>
      </c>
    </row>
    <row r="90" spans="1:13" x14ac:dyDescent="0.35">
      <c r="A90" s="1">
        <v>88</v>
      </c>
      <c r="B90" s="3">
        <v>40547</v>
      </c>
      <c r="C90" s="1">
        <v>1</v>
      </c>
      <c r="D90" s="1">
        <v>0</v>
      </c>
      <c r="E90" s="1">
        <v>1</v>
      </c>
      <c r="F90" s="32">
        <v>19</v>
      </c>
      <c r="G90" s="64" t="str" cm="1">
        <f t="array" ref="G90">_xlfn.IFS(AND(F90&gt;=5,F90&lt;12),"Morning",AND(F90&gt;=12,F90&lt;17),"AfterNoon",AND(F90&gt;=17,F90&lt;20),"Evening",TRUE,"Night")</f>
        <v>Evening</v>
      </c>
      <c r="H90" s="1" t="b">
        <v>0</v>
      </c>
      <c r="I90" s="1">
        <v>2</v>
      </c>
      <c r="J90" s="64" t="str" cm="1">
        <f t="array" ref="J90">_xlfn.IFS(I90=0,"Saturday",I90=1,"Sunday",I90=2,"Monday",I90=3,"Tuesday",I90=4,"Wednesday",I90=5,"Thusday",I90=6,"Friday")</f>
        <v>Monday</v>
      </c>
      <c r="K90" s="1">
        <v>1</v>
      </c>
      <c r="L90" s="1">
        <v>0.24</v>
      </c>
      <c r="M90" t="str">
        <f t="shared" si="2"/>
        <v>Cloudy</v>
      </c>
    </row>
    <row r="91" spans="1:13" x14ac:dyDescent="0.35">
      <c r="A91" s="1">
        <v>89</v>
      </c>
      <c r="B91" s="3">
        <v>40547</v>
      </c>
      <c r="C91" s="1">
        <v>1</v>
      </c>
      <c r="D91" s="1">
        <v>0</v>
      </c>
      <c r="E91" s="1">
        <v>1</v>
      </c>
      <c r="F91" s="32">
        <v>20</v>
      </c>
      <c r="G91" s="64" t="str" cm="1">
        <f t="array" ref="G91">_xlfn.IFS(AND(F91&gt;=5,F91&lt;12),"Morning",AND(F91&gt;=12,F91&lt;17),"AfterNoon",AND(F91&gt;=17,F91&lt;20),"Evening",TRUE,"Night")</f>
        <v>Night</v>
      </c>
      <c r="H91" s="1" t="b">
        <v>0</v>
      </c>
      <c r="I91" s="1">
        <v>2</v>
      </c>
      <c r="J91" s="64" t="str" cm="1">
        <f t="array" ref="J91">_xlfn.IFS(I91=0,"Saturday",I91=1,"Sunday",I91=2,"Monday",I91=3,"Tuesday",I91=4,"Wednesday",I91=5,"Thusday",I91=6,"Friday")</f>
        <v>Monday</v>
      </c>
      <c r="K91" s="1">
        <v>1</v>
      </c>
      <c r="L91" s="1">
        <v>0.24</v>
      </c>
      <c r="M91" t="str">
        <f t="shared" si="2"/>
        <v>Cloudy</v>
      </c>
    </row>
    <row r="92" spans="1:13" x14ac:dyDescent="0.35">
      <c r="A92" s="1">
        <v>90</v>
      </c>
      <c r="B92" s="3">
        <v>40547</v>
      </c>
      <c r="C92" s="1">
        <v>1</v>
      </c>
      <c r="D92" s="1">
        <v>0</v>
      </c>
      <c r="E92" s="1">
        <v>1</v>
      </c>
      <c r="F92" s="32">
        <v>21</v>
      </c>
      <c r="G92" s="64" t="str" cm="1">
        <f t="array" ref="G92">_xlfn.IFS(AND(F92&gt;=5,F92&lt;12),"Morning",AND(F92&gt;=12,F92&lt;17),"AfterNoon",AND(F92&gt;=17,F92&lt;20),"Evening",TRUE,"Night")</f>
        <v>Night</v>
      </c>
      <c r="H92" s="1" t="b">
        <v>0</v>
      </c>
      <c r="I92" s="1">
        <v>2</v>
      </c>
      <c r="J92" s="64" t="str" cm="1">
        <f t="array" ref="J92">_xlfn.IFS(I92=0,"Saturday",I92=1,"Sunday",I92=2,"Monday",I92=3,"Tuesday",I92=4,"Wednesday",I92=5,"Thusday",I92=6,"Friday")</f>
        <v>Monday</v>
      </c>
      <c r="K92" s="1">
        <v>1</v>
      </c>
      <c r="L92" s="1">
        <v>0.22</v>
      </c>
      <c r="M92" t="str">
        <f t="shared" si="2"/>
        <v>Cloudy</v>
      </c>
    </row>
    <row r="93" spans="1:13" x14ac:dyDescent="0.35">
      <c r="A93" s="1">
        <v>91</v>
      </c>
      <c r="B93" s="3">
        <v>40547</v>
      </c>
      <c r="C93" s="1">
        <v>1</v>
      </c>
      <c r="D93" s="1">
        <v>0</v>
      </c>
      <c r="E93" s="1">
        <v>1</v>
      </c>
      <c r="F93" s="32">
        <v>22</v>
      </c>
      <c r="G93" s="64" t="str" cm="1">
        <f t="array" ref="G93">_xlfn.IFS(AND(F93&gt;=5,F93&lt;12),"Morning",AND(F93&gt;=12,F93&lt;17),"AfterNoon",AND(F93&gt;=17,F93&lt;20),"Evening",TRUE,"Night")</f>
        <v>Night</v>
      </c>
      <c r="H93" s="1" t="b">
        <v>0</v>
      </c>
      <c r="I93" s="1">
        <v>2</v>
      </c>
      <c r="J93" s="64" t="str" cm="1">
        <f t="array" ref="J93">_xlfn.IFS(I93=0,"Saturday",I93=1,"Sunday",I93=2,"Monday",I93=3,"Tuesday",I93=4,"Wednesday",I93=5,"Thusday",I93=6,"Friday")</f>
        <v>Monday</v>
      </c>
      <c r="K93" s="1">
        <v>1</v>
      </c>
      <c r="L93" s="1">
        <v>0.22</v>
      </c>
      <c r="M93" t="str">
        <f t="shared" si="2"/>
        <v>Cloudy</v>
      </c>
    </row>
    <row r="94" spans="1:13" x14ac:dyDescent="0.35">
      <c r="A94" s="1">
        <v>92</v>
      </c>
      <c r="B94" s="3">
        <v>40547</v>
      </c>
      <c r="C94" s="1">
        <v>1</v>
      </c>
      <c r="D94" s="1">
        <v>0</v>
      </c>
      <c r="E94" s="1">
        <v>1</v>
      </c>
      <c r="F94" s="32">
        <v>23</v>
      </c>
      <c r="G94" s="64" t="str" cm="1">
        <f t="array" ref="G94">_xlfn.IFS(AND(F94&gt;=5,F94&lt;12),"Morning",AND(F94&gt;=12,F94&lt;17),"AfterNoon",AND(F94&gt;=17,F94&lt;20),"Evening",TRUE,"Night")</f>
        <v>Night</v>
      </c>
      <c r="H94" s="1" t="b">
        <v>0</v>
      </c>
      <c r="I94" s="1">
        <v>2</v>
      </c>
      <c r="J94" s="64" t="str" cm="1">
        <f t="array" ref="J94">_xlfn.IFS(I94=0,"Saturday",I94=1,"Sunday",I94=2,"Monday",I94=3,"Tuesday",I94=4,"Wednesday",I94=5,"Thusday",I94=6,"Friday")</f>
        <v>Monday</v>
      </c>
      <c r="K94" s="1">
        <v>1</v>
      </c>
      <c r="L94" s="1">
        <v>0.2</v>
      </c>
      <c r="M94" t="str">
        <f t="shared" si="2"/>
        <v>Rainy</v>
      </c>
    </row>
    <row r="95" spans="1:13" x14ac:dyDescent="0.35">
      <c r="A95" s="1">
        <v>93</v>
      </c>
      <c r="B95" s="3">
        <v>40548</v>
      </c>
      <c r="C95" s="1">
        <v>1</v>
      </c>
      <c r="D95" s="1">
        <v>0</v>
      </c>
      <c r="E95" s="1">
        <v>1</v>
      </c>
      <c r="F95" s="32">
        <v>0</v>
      </c>
      <c r="G95" s="64" t="str" cm="1">
        <f t="array" ref="G95">_xlfn.IFS(AND(F95&gt;=5,F95&lt;12),"Morning",AND(F95&gt;=12,F95&lt;17),"AfterNoon",AND(F95&gt;=17,F95&lt;20),"Evening",TRUE,"Night")</f>
        <v>Night</v>
      </c>
      <c r="H95" s="1" t="b">
        <v>0</v>
      </c>
      <c r="I95" s="1">
        <v>3</v>
      </c>
      <c r="J95" s="64" t="str" cm="1">
        <f t="array" ref="J95">_xlfn.IFS(I95=0,"Saturday",I95=1,"Sunday",I95=2,"Monday",I95=3,"Tuesday",I95=4,"Wednesday",I95=5,"Thusday",I95=6,"Friday")</f>
        <v>Tuesday</v>
      </c>
      <c r="K95" s="1">
        <v>1</v>
      </c>
      <c r="L95" s="1">
        <v>0.2</v>
      </c>
      <c r="M95" t="str">
        <f t="shared" si="2"/>
        <v>Rainy</v>
      </c>
    </row>
    <row r="96" spans="1:13" x14ac:dyDescent="0.35">
      <c r="A96" s="1">
        <v>94</v>
      </c>
      <c r="B96" s="3">
        <v>40548</v>
      </c>
      <c r="C96" s="1">
        <v>1</v>
      </c>
      <c r="D96" s="1">
        <v>0</v>
      </c>
      <c r="E96" s="1">
        <v>1</v>
      </c>
      <c r="F96" s="32">
        <v>1</v>
      </c>
      <c r="G96" s="64" t="str" cm="1">
        <f t="array" ref="G96">_xlfn.IFS(AND(F96&gt;=5,F96&lt;12),"Morning",AND(F96&gt;=12,F96&lt;17),"AfterNoon",AND(F96&gt;=17,F96&lt;20),"Evening",TRUE,"Night")</f>
        <v>Night</v>
      </c>
      <c r="H96" s="1" t="b">
        <v>0</v>
      </c>
      <c r="I96" s="1">
        <v>3</v>
      </c>
      <c r="J96" s="64" t="str" cm="1">
        <f t="array" ref="J96">_xlfn.IFS(I96=0,"Saturday",I96=1,"Sunday",I96=2,"Monday",I96=3,"Tuesday",I96=4,"Wednesday",I96=5,"Thusday",I96=6,"Friday")</f>
        <v>Tuesday</v>
      </c>
      <c r="K96" s="1">
        <v>1</v>
      </c>
      <c r="L96" s="1">
        <v>0.16</v>
      </c>
      <c r="M96" t="str">
        <f t="shared" si="2"/>
        <v>Rainy</v>
      </c>
    </row>
    <row r="97" spans="1:13" x14ac:dyDescent="0.35">
      <c r="A97" s="1">
        <v>95</v>
      </c>
      <c r="B97" s="3">
        <v>40548</v>
      </c>
      <c r="C97" s="1">
        <v>1</v>
      </c>
      <c r="D97" s="1">
        <v>0</v>
      </c>
      <c r="E97" s="1">
        <v>1</v>
      </c>
      <c r="F97" s="32">
        <v>2</v>
      </c>
      <c r="G97" s="64" t="str" cm="1">
        <f t="array" ref="G97">_xlfn.IFS(AND(F97&gt;=5,F97&lt;12),"Morning",AND(F97&gt;=12,F97&lt;17),"AfterNoon",AND(F97&gt;=17,F97&lt;20),"Evening",TRUE,"Night")</f>
        <v>Night</v>
      </c>
      <c r="H97" s="1" t="b">
        <v>0</v>
      </c>
      <c r="I97" s="1">
        <v>3</v>
      </c>
      <c r="J97" s="64" t="str" cm="1">
        <f t="array" ref="J97">_xlfn.IFS(I97=0,"Saturday",I97=1,"Sunday",I97=2,"Monday",I97=3,"Tuesday",I97=4,"Wednesday",I97=5,"Thusday",I97=6,"Friday")</f>
        <v>Tuesday</v>
      </c>
      <c r="K97" s="1">
        <v>1</v>
      </c>
      <c r="L97" s="1">
        <v>0.16</v>
      </c>
      <c r="M97" t="str">
        <f t="shared" si="2"/>
        <v>Rainy</v>
      </c>
    </row>
    <row r="98" spans="1:13" x14ac:dyDescent="0.35">
      <c r="A98" s="1">
        <v>96</v>
      </c>
      <c r="B98" s="3">
        <v>40548</v>
      </c>
      <c r="C98" s="1">
        <v>1</v>
      </c>
      <c r="D98" s="1">
        <v>0</v>
      </c>
      <c r="E98" s="1">
        <v>1</v>
      </c>
      <c r="F98" s="32">
        <v>4</v>
      </c>
      <c r="G98" s="64" t="str" cm="1">
        <f t="array" ref="G98">_xlfn.IFS(AND(F98&gt;=5,F98&lt;12),"Morning",AND(F98&gt;=12,F98&lt;17),"AfterNoon",AND(F98&gt;=17,F98&lt;20),"Evening",TRUE,"Night")</f>
        <v>Night</v>
      </c>
      <c r="H98" s="1" t="b">
        <v>0</v>
      </c>
      <c r="I98" s="1">
        <v>3</v>
      </c>
      <c r="J98" s="64" t="str" cm="1">
        <f t="array" ref="J98">_xlfn.IFS(I98=0,"Saturday",I98=1,"Sunday",I98=2,"Monday",I98=3,"Tuesday",I98=4,"Wednesday",I98=5,"Thusday",I98=6,"Friday")</f>
        <v>Tuesday</v>
      </c>
      <c r="K98" s="1">
        <v>1</v>
      </c>
      <c r="L98" s="1">
        <v>0.24</v>
      </c>
      <c r="M98" t="str">
        <f t="shared" si="2"/>
        <v>Cloudy</v>
      </c>
    </row>
    <row r="99" spans="1:13" x14ac:dyDescent="0.35">
      <c r="A99" s="1">
        <v>97</v>
      </c>
      <c r="B99" s="3">
        <v>40548</v>
      </c>
      <c r="C99" s="1">
        <v>1</v>
      </c>
      <c r="D99" s="1">
        <v>0</v>
      </c>
      <c r="E99" s="1">
        <v>1</v>
      </c>
      <c r="F99" s="32">
        <v>5</v>
      </c>
      <c r="G99" s="64" t="str" cm="1">
        <f t="array" ref="G99">_xlfn.IFS(AND(F99&gt;=5,F99&lt;12),"Morning",AND(F99&gt;=12,F99&lt;17),"AfterNoon",AND(F99&gt;=17,F99&lt;20),"Evening",TRUE,"Night")</f>
        <v>Morning</v>
      </c>
      <c r="H99" s="1" t="b">
        <v>0</v>
      </c>
      <c r="I99" s="1">
        <v>3</v>
      </c>
      <c r="J99" s="64" t="str" cm="1">
        <f t="array" ref="J99">_xlfn.IFS(I99=0,"Saturday",I99=1,"Sunday",I99=2,"Monday",I99=3,"Tuesday",I99=4,"Wednesday",I99=5,"Thusday",I99=6,"Friday")</f>
        <v>Tuesday</v>
      </c>
      <c r="K99" s="1">
        <v>1</v>
      </c>
      <c r="L99" s="1">
        <v>0.22</v>
      </c>
      <c r="M99" t="str">
        <f t="shared" si="2"/>
        <v>Cloudy</v>
      </c>
    </row>
    <row r="100" spans="1:13" x14ac:dyDescent="0.35">
      <c r="A100" s="1">
        <v>98</v>
      </c>
      <c r="B100" s="3">
        <v>40548</v>
      </c>
      <c r="C100" s="1">
        <v>1</v>
      </c>
      <c r="D100" s="1">
        <v>0</v>
      </c>
      <c r="E100" s="1">
        <v>1</v>
      </c>
      <c r="F100" s="32">
        <v>6</v>
      </c>
      <c r="G100" s="64" t="str" cm="1">
        <f t="array" ref="G100">_xlfn.IFS(AND(F100&gt;=5,F100&lt;12),"Morning",AND(F100&gt;=12,F100&lt;17),"AfterNoon",AND(F100&gt;=17,F100&lt;20),"Evening",TRUE,"Night")</f>
        <v>Morning</v>
      </c>
      <c r="H100" s="1" t="b">
        <v>0</v>
      </c>
      <c r="I100" s="1">
        <v>3</v>
      </c>
      <c r="J100" s="64" t="str" cm="1">
        <f t="array" ref="J100">_xlfn.IFS(I100=0,"Saturday",I100=1,"Sunday",I100=2,"Monday",I100=3,"Tuesday",I100=4,"Wednesday",I100=5,"Thusday",I100=6,"Friday")</f>
        <v>Tuesday</v>
      </c>
      <c r="K100" s="1">
        <v>1</v>
      </c>
      <c r="L100" s="1">
        <v>0.2</v>
      </c>
      <c r="M100" t="str">
        <f t="shared" si="2"/>
        <v>Rainy</v>
      </c>
    </row>
    <row r="101" spans="1:13" x14ac:dyDescent="0.35">
      <c r="A101" s="1">
        <v>99</v>
      </c>
      <c r="B101" s="3">
        <v>40548</v>
      </c>
      <c r="C101" s="1">
        <v>1</v>
      </c>
      <c r="D101" s="1">
        <v>0</v>
      </c>
      <c r="E101" s="1">
        <v>1</v>
      </c>
      <c r="F101" s="32">
        <v>7</v>
      </c>
      <c r="G101" s="64" t="str" cm="1">
        <f t="array" ref="G101">_xlfn.IFS(AND(F101&gt;=5,F101&lt;12),"Morning",AND(F101&gt;=12,F101&lt;17),"AfterNoon",AND(F101&gt;=17,F101&lt;20),"Evening",TRUE,"Night")</f>
        <v>Morning</v>
      </c>
      <c r="H101" s="1" t="b">
        <v>0</v>
      </c>
      <c r="I101" s="1">
        <v>3</v>
      </c>
      <c r="J101" s="64" t="str" cm="1">
        <f t="array" ref="J101">_xlfn.IFS(I101=0,"Saturday",I101=1,"Sunday",I101=2,"Monday",I101=3,"Tuesday",I101=4,"Wednesday",I101=5,"Thusday",I101=6,"Friday")</f>
        <v>Tuesday</v>
      </c>
      <c r="K101" s="1">
        <v>1</v>
      </c>
      <c r="L101" s="1">
        <v>0.18</v>
      </c>
      <c r="M101" t="str">
        <f t="shared" si="2"/>
        <v>Rainy</v>
      </c>
    </row>
    <row r="102" spans="1:13" x14ac:dyDescent="0.35">
      <c r="A102" s="1">
        <v>100</v>
      </c>
      <c r="B102" s="3">
        <v>40548</v>
      </c>
      <c r="C102" s="1">
        <v>1</v>
      </c>
      <c r="D102" s="1">
        <v>0</v>
      </c>
      <c r="E102" s="1">
        <v>1</v>
      </c>
      <c r="F102" s="32">
        <v>8</v>
      </c>
      <c r="G102" s="64" t="str" cm="1">
        <f t="array" ref="G102">_xlfn.IFS(AND(F102&gt;=5,F102&lt;12),"Morning",AND(F102&gt;=12,F102&lt;17),"AfterNoon",AND(F102&gt;=17,F102&lt;20),"Evening",TRUE,"Night")</f>
        <v>Morning</v>
      </c>
      <c r="H102" s="1" t="b">
        <v>0</v>
      </c>
      <c r="I102" s="1">
        <v>3</v>
      </c>
      <c r="J102" s="64" t="str" cm="1">
        <f t="array" ref="J102">_xlfn.IFS(I102=0,"Saturday",I102=1,"Sunday",I102=2,"Monday",I102=3,"Tuesday",I102=4,"Wednesday",I102=5,"Thusday",I102=6,"Friday")</f>
        <v>Tuesday</v>
      </c>
      <c r="K102" s="1">
        <v>1</v>
      </c>
      <c r="L102" s="1">
        <v>0.2</v>
      </c>
      <c r="M102" t="str">
        <f t="shared" si="2"/>
        <v>Rainy</v>
      </c>
    </row>
    <row r="103" spans="1:13" x14ac:dyDescent="0.35">
      <c r="A103" s="1">
        <v>101</v>
      </c>
      <c r="B103" s="3">
        <v>40548</v>
      </c>
      <c r="C103" s="1">
        <v>1</v>
      </c>
      <c r="D103" s="1">
        <v>0</v>
      </c>
      <c r="E103" s="1">
        <v>1</v>
      </c>
      <c r="F103" s="32">
        <v>9</v>
      </c>
      <c r="G103" s="64" t="str" cm="1">
        <f t="array" ref="G103">_xlfn.IFS(AND(F103&gt;=5,F103&lt;12),"Morning",AND(F103&gt;=12,F103&lt;17),"AfterNoon",AND(F103&gt;=17,F103&lt;20),"Evening",TRUE,"Night")</f>
        <v>Morning</v>
      </c>
      <c r="H103" s="1" t="b">
        <v>0</v>
      </c>
      <c r="I103" s="1">
        <v>3</v>
      </c>
      <c r="J103" s="64" t="str" cm="1">
        <f t="array" ref="J103">_xlfn.IFS(I103=0,"Saturday",I103=1,"Sunday",I103=2,"Monday",I103=3,"Tuesday",I103=4,"Wednesday",I103=5,"Thusday",I103=6,"Friday")</f>
        <v>Tuesday</v>
      </c>
      <c r="K103" s="1">
        <v>1</v>
      </c>
      <c r="L103" s="1">
        <v>0.22</v>
      </c>
      <c r="M103" t="str">
        <f t="shared" si="2"/>
        <v>Cloudy</v>
      </c>
    </row>
    <row r="104" spans="1:13" x14ac:dyDescent="0.35">
      <c r="A104" s="1">
        <v>102</v>
      </c>
      <c r="B104" s="3">
        <v>40548</v>
      </c>
      <c r="C104" s="1">
        <v>1</v>
      </c>
      <c r="D104" s="1">
        <v>0</v>
      </c>
      <c r="E104" s="1">
        <v>1</v>
      </c>
      <c r="F104" s="32">
        <v>10</v>
      </c>
      <c r="G104" s="64" t="str" cm="1">
        <f t="array" ref="G104">_xlfn.IFS(AND(F104&gt;=5,F104&lt;12),"Morning",AND(F104&gt;=12,F104&lt;17),"AfterNoon",AND(F104&gt;=17,F104&lt;20),"Evening",TRUE,"Night")</f>
        <v>Morning</v>
      </c>
      <c r="H104" s="1" t="b">
        <v>0</v>
      </c>
      <c r="I104" s="1">
        <v>3</v>
      </c>
      <c r="J104" s="64" t="str" cm="1">
        <f t="array" ref="J104">_xlfn.IFS(I104=0,"Saturday",I104=1,"Sunday",I104=2,"Monday",I104=3,"Tuesday",I104=4,"Wednesday",I104=5,"Thusday",I104=6,"Friday")</f>
        <v>Tuesday</v>
      </c>
      <c r="K104" s="1">
        <v>1</v>
      </c>
      <c r="L104" s="1">
        <v>0.22</v>
      </c>
      <c r="M104" t="str">
        <f t="shared" si="2"/>
        <v>Cloudy</v>
      </c>
    </row>
    <row r="105" spans="1:13" x14ac:dyDescent="0.35">
      <c r="A105" s="1">
        <v>103</v>
      </c>
      <c r="B105" s="3">
        <v>40548</v>
      </c>
      <c r="C105" s="1">
        <v>1</v>
      </c>
      <c r="D105" s="1">
        <v>0</v>
      </c>
      <c r="E105" s="1">
        <v>1</v>
      </c>
      <c r="F105" s="32">
        <v>11</v>
      </c>
      <c r="G105" s="64" t="str" cm="1">
        <f t="array" ref="G105">_xlfn.IFS(AND(F105&gt;=5,F105&lt;12),"Morning",AND(F105&gt;=12,F105&lt;17),"AfterNoon",AND(F105&gt;=17,F105&lt;20),"Evening",TRUE,"Night")</f>
        <v>Morning</v>
      </c>
      <c r="H105" s="1" t="b">
        <v>0</v>
      </c>
      <c r="I105" s="1">
        <v>3</v>
      </c>
      <c r="J105" s="64" t="str" cm="1">
        <f t="array" ref="J105">_xlfn.IFS(I105=0,"Saturday",I105=1,"Sunday",I105=2,"Monday",I105=3,"Tuesday",I105=4,"Wednesday",I105=5,"Thusday",I105=6,"Friday")</f>
        <v>Tuesday</v>
      </c>
      <c r="K105" s="1">
        <v>1</v>
      </c>
      <c r="L105" s="1">
        <v>0.26</v>
      </c>
      <c r="M105" t="str">
        <f t="shared" si="2"/>
        <v>Cloudy</v>
      </c>
    </row>
    <row r="106" spans="1:13" x14ac:dyDescent="0.35">
      <c r="A106" s="1">
        <v>104</v>
      </c>
      <c r="B106" s="3">
        <v>40548</v>
      </c>
      <c r="C106" s="1">
        <v>1</v>
      </c>
      <c r="D106" s="1">
        <v>0</v>
      </c>
      <c r="E106" s="1">
        <v>1</v>
      </c>
      <c r="F106" s="32">
        <v>12</v>
      </c>
      <c r="G106" s="64" t="str" cm="1">
        <f t="array" ref="G106">_xlfn.IFS(AND(F106&gt;=5,F106&lt;12),"Morning",AND(F106&gt;=12,F106&lt;17),"AfterNoon",AND(F106&gt;=17,F106&lt;20),"Evening",TRUE,"Night")</f>
        <v>AfterNoon</v>
      </c>
      <c r="H106" s="1" t="b">
        <v>0</v>
      </c>
      <c r="I106" s="1">
        <v>3</v>
      </c>
      <c r="J106" s="64" t="str" cm="1">
        <f t="array" ref="J106">_xlfn.IFS(I106=0,"Saturday",I106=1,"Sunday",I106=2,"Monday",I106=3,"Tuesday",I106=4,"Wednesday",I106=5,"Thusday",I106=6,"Friday")</f>
        <v>Tuesday</v>
      </c>
      <c r="K106" s="1">
        <v>1</v>
      </c>
      <c r="L106" s="1">
        <v>0.26</v>
      </c>
      <c r="M106" t="str">
        <f t="shared" si="2"/>
        <v>Cloudy</v>
      </c>
    </row>
    <row r="107" spans="1:13" x14ac:dyDescent="0.35">
      <c r="A107" s="1">
        <v>105</v>
      </c>
      <c r="B107" s="3">
        <v>40548</v>
      </c>
      <c r="C107" s="1">
        <v>1</v>
      </c>
      <c r="D107" s="1">
        <v>0</v>
      </c>
      <c r="E107" s="1">
        <v>1</v>
      </c>
      <c r="F107" s="32">
        <v>13</v>
      </c>
      <c r="G107" s="64" t="str" cm="1">
        <f t="array" ref="G107">_xlfn.IFS(AND(F107&gt;=5,F107&lt;12),"Morning",AND(F107&gt;=12,F107&lt;17),"AfterNoon",AND(F107&gt;=17,F107&lt;20),"Evening",TRUE,"Night")</f>
        <v>AfterNoon</v>
      </c>
      <c r="H107" s="1" t="b">
        <v>0</v>
      </c>
      <c r="I107" s="1">
        <v>3</v>
      </c>
      <c r="J107" s="64" t="str" cm="1">
        <f t="array" ref="J107">_xlfn.IFS(I107=0,"Saturday",I107=1,"Sunday",I107=2,"Monday",I107=3,"Tuesday",I107=4,"Wednesday",I107=5,"Thusday",I107=6,"Friday")</f>
        <v>Tuesday</v>
      </c>
      <c r="K107" s="1">
        <v>1</v>
      </c>
      <c r="L107" s="1">
        <v>0.28000000000000003</v>
      </c>
      <c r="M107" t="str">
        <f t="shared" si="2"/>
        <v>Cloudy</v>
      </c>
    </row>
    <row r="108" spans="1:13" x14ac:dyDescent="0.35">
      <c r="A108" s="1">
        <v>106</v>
      </c>
      <c r="B108" s="3">
        <v>40548</v>
      </c>
      <c r="C108" s="1">
        <v>1</v>
      </c>
      <c r="D108" s="1">
        <v>0</v>
      </c>
      <c r="E108" s="1">
        <v>1</v>
      </c>
      <c r="F108" s="32">
        <v>14</v>
      </c>
      <c r="G108" s="64" t="str" cm="1">
        <f t="array" ref="G108">_xlfn.IFS(AND(F108&gt;=5,F108&lt;12),"Morning",AND(F108&gt;=12,F108&lt;17),"AfterNoon",AND(F108&gt;=17,F108&lt;20),"Evening",TRUE,"Night")</f>
        <v>AfterNoon</v>
      </c>
      <c r="H108" s="1" t="b">
        <v>0</v>
      </c>
      <c r="I108" s="1">
        <v>3</v>
      </c>
      <c r="J108" s="64" t="str" cm="1">
        <f t="array" ref="J108">_xlfn.IFS(I108=0,"Saturday",I108=1,"Sunday",I108=2,"Monday",I108=3,"Tuesday",I108=4,"Wednesday",I108=5,"Thusday",I108=6,"Friday")</f>
        <v>Tuesday</v>
      </c>
      <c r="K108" s="1">
        <v>1</v>
      </c>
      <c r="L108" s="1">
        <v>0.3</v>
      </c>
      <c r="M108" t="str">
        <f t="shared" si="2"/>
        <v>Cloudy</v>
      </c>
    </row>
    <row r="109" spans="1:13" x14ac:dyDescent="0.35">
      <c r="A109" s="1">
        <v>107</v>
      </c>
      <c r="B109" s="3">
        <v>40548</v>
      </c>
      <c r="C109" s="1">
        <v>1</v>
      </c>
      <c r="D109" s="1">
        <v>0</v>
      </c>
      <c r="E109" s="1">
        <v>1</v>
      </c>
      <c r="F109" s="32">
        <v>15</v>
      </c>
      <c r="G109" s="64" t="str" cm="1">
        <f t="array" ref="G109">_xlfn.IFS(AND(F109&gt;=5,F109&lt;12),"Morning",AND(F109&gt;=12,F109&lt;17),"AfterNoon",AND(F109&gt;=17,F109&lt;20),"Evening",TRUE,"Night")</f>
        <v>AfterNoon</v>
      </c>
      <c r="H109" s="1" t="b">
        <v>0</v>
      </c>
      <c r="I109" s="1">
        <v>3</v>
      </c>
      <c r="J109" s="64" t="str" cm="1">
        <f t="array" ref="J109">_xlfn.IFS(I109=0,"Saturday",I109=1,"Sunday",I109=2,"Monday",I109=3,"Tuesday",I109=4,"Wednesday",I109=5,"Thusday",I109=6,"Friday")</f>
        <v>Tuesday</v>
      </c>
      <c r="K109" s="1">
        <v>1</v>
      </c>
      <c r="L109" s="1">
        <v>0.3</v>
      </c>
      <c r="M109" t="str">
        <f t="shared" si="2"/>
        <v>Cloudy</v>
      </c>
    </row>
    <row r="110" spans="1:13" x14ac:dyDescent="0.35">
      <c r="A110" s="1">
        <v>108</v>
      </c>
      <c r="B110" s="3">
        <v>40548</v>
      </c>
      <c r="C110" s="1">
        <v>1</v>
      </c>
      <c r="D110" s="1">
        <v>0</v>
      </c>
      <c r="E110" s="1">
        <v>1</v>
      </c>
      <c r="F110" s="32">
        <v>16</v>
      </c>
      <c r="G110" s="64" t="str" cm="1">
        <f t="array" ref="G110">_xlfn.IFS(AND(F110&gt;=5,F110&lt;12),"Morning",AND(F110&gt;=12,F110&lt;17),"AfterNoon",AND(F110&gt;=17,F110&lt;20),"Evening",TRUE,"Night")</f>
        <v>AfterNoon</v>
      </c>
      <c r="H110" s="1" t="b">
        <v>0</v>
      </c>
      <c r="I110" s="1">
        <v>3</v>
      </c>
      <c r="J110" s="64" t="str" cm="1">
        <f t="array" ref="J110">_xlfn.IFS(I110=0,"Saturday",I110=1,"Sunday",I110=2,"Monday",I110=3,"Tuesday",I110=4,"Wednesday",I110=5,"Thusday",I110=6,"Friday")</f>
        <v>Tuesday</v>
      </c>
      <c r="K110" s="1">
        <v>1</v>
      </c>
      <c r="L110" s="1">
        <v>0.3</v>
      </c>
      <c r="M110" t="str">
        <f t="shared" si="2"/>
        <v>Cloudy</v>
      </c>
    </row>
    <row r="111" spans="1:13" x14ac:dyDescent="0.35">
      <c r="A111" s="1">
        <v>109</v>
      </c>
      <c r="B111" s="3">
        <v>40548</v>
      </c>
      <c r="C111" s="1">
        <v>1</v>
      </c>
      <c r="D111" s="1">
        <v>0</v>
      </c>
      <c r="E111" s="1">
        <v>1</v>
      </c>
      <c r="F111" s="32">
        <v>17</v>
      </c>
      <c r="G111" s="64" t="str" cm="1">
        <f t="array" ref="G111">_xlfn.IFS(AND(F111&gt;=5,F111&lt;12),"Morning",AND(F111&gt;=12,F111&lt;17),"AfterNoon",AND(F111&gt;=17,F111&lt;20),"Evening",TRUE,"Night")</f>
        <v>Evening</v>
      </c>
      <c r="H111" s="1" t="b">
        <v>0</v>
      </c>
      <c r="I111" s="1">
        <v>3</v>
      </c>
      <c r="J111" s="64" t="str" cm="1">
        <f t="array" ref="J111">_xlfn.IFS(I111=0,"Saturday",I111=1,"Sunday",I111=2,"Monday",I111=3,"Tuesday",I111=4,"Wednesday",I111=5,"Thusday",I111=6,"Friday")</f>
        <v>Tuesday</v>
      </c>
      <c r="K111" s="1">
        <v>1</v>
      </c>
      <c r="L111" s="1">
        <v>0.24</v>
      </c>
      <c r="M111" t="str">
        <f t="shared" si="2"/>
        <v>Cloudy</v>
      </c>
    </row>
    <row r="112" spans="1:13" x14ac:dyDescent="0.35">
      <c r="A112" s="1">
        <v>110</v>
      </c>
      <c r="B112" s="3">
        <v>40548</v>
      </c>
      <c r="C112" s="1">
        <v>1</v>
      </c>
      <c r="D112" s="1">
        <v>0</v>
      </c>
      <c r="E112" s="1">
        <v>1</v>
      </c>
      <c r="F112" s="32">
        <v>18</v>
      </c>
      <c r="G112" s="64" t="str" cm="1">
        <f t="array" ref="G112">_xlfn.IFS(AND(F112&gt;=5,F112&lt;12),"Morning",AND(F112&gt;=12,F112&lt;17),"AfterNoon",AND(F112&gt;=17,F112&lt;20),"Evening",TRUE,"Night")</f>
        <v>Evening</v>
      </c>
      <c r="H112" s="1" t="b">
        <v>0</v>
      </c>
      <c r="I112" s="1">
        <v>3</v>
      </c>
      <c r="J112" s="64" t="str" cm="1">
        <f t="array" ref="J112">_xlfn.IFS(I112=0,"Saturday",I112=1,"Sunday",I112=2,"Monday",I112=3,"Tuesday",I112=4,"Wednesday",I112=5,"Thusday",I112=6,"Friday")</f>
        <v>Tuesday</v>
      </c>
      <c r="K112" s="1">
        <v>1</v>
      </c>
      <c r="L112" s="1">
        <v>0.24</v>
      </c>
      <c r="M112" t="str">
        <f t="shared" si="2"/>
        <v>Cloudy</v>
      </c>
    </row>
    <row r="113" spans="1:13" x14ac:dyDescent="0.35">
      <c r="A113" s="1">
        <v>111</v>
      </c>
      <c r="B113" s="3">
        <v>40548</v>
      </c>
      <c r="C113" s="1">
        <v>1</v>
      </c>
      <c r="D113" s="1">
        <v>0</v>
      </c>
      <c r="E113" s="1">
        <v>1</v>
      </c>
      <c r="F113" s="32">
        <v>19</v>
      </c>
      <c r="G113" s="64" t="str" cm="1">
        <f t="array" ref="G113">_xlfn.IFS(AND(F113&gt;=5,F113&lt;12),"Morning",AND(F113&gt;=12,F113&lt;17),"AfterNoon",AND(F113&gt;=17,F113&lt;20),"Evening",TRUE,"Night")</f>
        <v>Evening</v>
      </c>
      <c r="H113" s="1" t="b">
        <v>0</v>
      </c>
      <c r="I113" s="1">
        <v>3</v>
      </c>
      <c r="J113" s="64" t="str" cm="1">
        <f t="array" ref="J113">_xlfn.IFS(I113=0,"Saturday",I113=1,"Sunday",I113=2,"Monday",I113=3,"Tuesday",I113=4,"Wednesday",I113=5,"Thusday",I113=6,"Friday")</f>
        <v>Tuesday</v>
      </c>
      <c r="K113" s="1">
        <v>1</v>
      </c>
      <c r="L113" s="1">
        <v>0.24</v>
      </c>
      <c r="M113" t="str">
        <f t="shared" si="2"/>
        <v>Cloudy</v>
      </c>
    </row>
    <row r="114" spans="1:13" x14ac:dyDescent="0.35">
      <c r="A114" s="1">
        <v>112</v>
      </c>
      <c r="B114" s="3">
        <v>40548</v>
      </c>
      <c r="C114" s="1">
        <v>1</v>
      </c>
      <c r="D114" s="1">
        <v>0</v>
      </c>
      <c r="E114" s="1">
        <v>1</v>
      </c>
      <c r="F114" s="32">
        <v>20</v>
      </c>
      <c r="G114" s="64" t="str" cm="1">
        <f t="array" ref="G114">_xlfn.IFS(AND(F114&gt;=5,F114&lt;12),"Morning",AND(F114&gt;=12,F114&lt;17),"AfterNoon",AND(F114&gt;=17,F114&lt;20),"Evening",TRUE,"Night")</f>
        <v>Night</v>
      </c>
      <c r="H114" s="1" t="b">
        <v>0</v>
      </c>
      <c r="I114" s="1">
        <v>3</v>
      </c>
      <c r="J114" s="64" t="str" cm="1">
        <f t="array" ref="J114">_xlfn.IFS(I114=0,"Saturday",I114=1,"Sunday",I114=2,"Monday",I114=3,"Tuesday",I114=4,"Wednesday",I114=5,"Thusday",I114=6,"Friday")</f>
        <v>Tuesday</v>
      </c>
      <c r="K114" s="1">
        <v>1</v>
      </c>
      <c r="L114" s="1">
        <v>0.22</v>
      </c>
      <c r="M114" t="str">
        <f t="shared" si="2"/>
        <v>Cloudy</v>
      </c>
    </row>
    <row r="115" spans="1:13" x14ac:dyDescent="0.35">
      <c r="A115" s="1">
        <v>113</v>
      </c>
      <c r="B115" s="3">
        <v>40548</v>
      </c>
      <c r="C115" s="1">
        <v>1</v>
      </c>
      <c r="D115" s="1">
        <v>0</v>
      </c>
      <c r="E115" s="1">
        <v>1</v>
      </c>
      <c r="F115" s="32">
        <v>21</v>
      </c>
      <c r="G115" s="64" t="str" cm="1">
        <f t="array" ref="G115">_xlfn.IFS(AND(F115&gt;=5,F115&lt;12),"Morning",AND(F115&gt;=12,F115&lt;17),"AfterNoon",AND(F115&gt;=17,F115&lt;20),"Evening",TRUE,"Night")</f>
        <v>Night</v>
      </c>
      <c r="H115" s="1" t="b">
        <v>0</v>
      </c>
      <c r="I115" s="1">
        <v>3</v>
      </c>
      <c r="J115" s="64" t="str" cm="1">
        <f t="array" ref="J115">_xlfn.IFS(I115=0,"Saturday",I115=1,"Sunday",I115=2,"Monday",I115=3,"Tuesday",I115=4,"Wednesday",I115=5,"Thusday",I115=6,"Friday")</f>
        <v>Tuesday</v>
      </c>
      <c r="K115" s="1">
        <v>1</v>
      </c>
      <c r="L115" s="1">
        <v>0.2</v>
      </c>
      <c r="M115" t="str">
        <f t="shared" si="2"/>
        <v>Rainy</v>
      </c>
    </row>
    <row r="116" spans="1:13" x14ac:dyDescent="0.35">
      <c r="A116" s="1">
        <v>114</v>
      </c>
      <c r="B116" s="3">
        <v>40548</v>
      </c>
      <c r="C116" s="1">
        <v>1</v>
      </c>
      <c r="D116" s="1">
        <v>0</v>
      </c>
      <c r="E116" s="1">
        <v>1</v>
      </c>
      <c r="F116" s="32">
        <v>22</v>
      </c>
      <c r="G116" s="64" t="str" cm="1">
        <f t="array" ref="G116">_xlfn.IFS(AND(F116&gt;=5,F116&lt;12),"Morning",AND(F116&gt;=12,F116&lt;17),"AfterNoon",AND(F116&gt;=17,F116&lt;20),"Evening",TRUE,"Night")</f>
        <v>Night</v>
      </c>
      <c r="H116" s="1" t="b">
        <v>0</v>
      </c>
      <c r="I116" s="1">
        <v>3</v>
      </c>
      <c r="J116" s="64" t="str" cm="1">
        <f t="array" ref="J116">_xlfn.IFS(I116=0,"Saturday",I116=1,"Sunday",I116=2,"Monday",I116=3,"Tuesday",I116=4,"Wednesday",I116=5,"Thusday",I116=6,"Friday")</f>
        <v>Tuesday</v>
      </c>
      <c r="K116" s="1">
        <v>1</v>
      </c>
      <c r="L116" s="1">
        <v>0.18</v>
      </c>
      <c r="M116" t="str">
        <f t="shared" si="2"/>
        <v>Rainy</v>
      </c>
    </row>
    <row r="117" spans="1:13" x14ac:dyDescent="0.35">
      <c r="A117" s="1">
        <v>115</v>
      </c>
      <c r="B117" s="3">
        <v>40548</v>
      </c>
      <c r="C117" s="1">
        <v>1</v>
      </c>
      <c r="D117" s="1">
        <v>0</v>
      </c>
      <c r="E117" s="1">
        <v>1</v>
      </c>
      <c r="F117" s="32">
        <v>23</v>
      </c>
      <c r="G117" s="64" t="str" cm="1">
        <f t="array" ref="G117">_xlfn.IFS(AND(F117&gt;=5,F117&lt;12),"Morning",AND(F117&gt;=12,F117&lt;17),"AfterNoon",AND(F117&gt;=17,F117&lt;20),"Evening",TRUE,"Night")</f>
        <v>Night</v>
      </c>
      <c r="H117" s="1" t="b">
        <v>0</v>
      </c>
      <c r="I117" s="1">
        <v>3</v>
      </c>
      <c r="J117" s="64" t="str" cm="1">
        <f t="array" ref="J117">_xlfn.IFS(I117=0,"Saturday",I117=1,"Sunday",I117=2,"Monday",I117=3,"Tuesday",I117=4,"Wednesday",I117=5,"Thusday",I117=6,"Friday")</f>
        <v>Tuesday</v>
      </c>
      <c r="K117" s="1">
        <v>1</v>
      </c>
      <c r="L117" s="1">
        <v>0.2</v>
      </c>
      <c r="M117" t="str">
        <f t="shared" si="2"/>
        <v>Rainy</v>
      </c>
    </row>
    <row r="118" spans="1:13" x14ac:dyDescent="0.35">
      <c r="A118" s="1">
        <v>116</v>
      </c>
      <c r="B118" s="3">
        <v>40549</v>
      </c>
      <c r="C118" s="1">
        <v>1</v>
      </c>
      <c r="D118" s="1">
        <v>0</v>
      </c>
      <c r="E118" s="1">
        <v>1</v>
      </c>
      <c r="F118" s="32">
        <v>0</v>
      </c>
      <c r="G118" s="64" t="str" cm="1">
        <f t="array" ref="G118">_xlfn.IFS(AND(F118&gt;=5,F118&lt;12),"Morning",AND(F118&gt;=12,F118&lt;17),"AfterNoon",AND(F118&gt;=17,F118&lt;20),"Evening",TRUE,"Night")</f>
        <v>Night</v>
      </c>
      <c r="H118" s="1" t="b">
        <v>0</v>
      </c>
      <c r="I118" s="1">
        <v>4</v>
      </c>
      <c r="J118" s="64" t="str" cm="1">
        <f t="array" ref="J118">_xlfn.IFS(I118=0,"Saturday",I118=1,"Sunday",I118=2,"Monday",I118=3,"Tuesday",I118=4,"Wednesday",I118=5,"Thusday",I118=6,"Friday")</f>
        <v>Wednesday</v>
      </c>
      <c r="K118" s="1">
        <v>1</v>
      </c>
      <c r="L118" s="1">
        <v>0.18</v>
      </c>
      <c r="M118" t="str">
        <f t="shared" si="2"/>
        <v>Rainy</v>
      </c>
    </row>
    <row r="119" spans="1:13" x14ac:dyDescent="0.35">
      <c r="A119" s="1">
        <v>117</v>
      </c>
      <c r="B119" s="3">
        <v>40549</v>
      </c>
      <c r="C119" s="1">
        <v>1</v>
      </c>
      <c r="D119" s="1">
        <v>0</v>
      </c>
      <c r="E119" s="1">
        <v>1</v>
      </c>
      <c r="F119" s="32">
        <v>1</v>
      </c>
      <c r="G119" s="64" t="str" cm="1">
        <f t="array" ref="G119">_xlfn.IFS(AND(F119&gt;=5,F119&lt;12),"Morning",AND(F119&gt;=12,F119&lt;17),"AfterNoon",AND(F119&gt;=17,F119&lt;20),"Evening",TRUE,"Night")</f>
        <v>Night</v>
      </c>
      <c r="H119" s="1" t="b">
        <v>0</v>
      </c>
      <c r="I119" s="1">
        <v>4</v>
      </c>
      <c r="J119" s="64" t="str" cm="1">
        <f t="array" ref="J119">_xlfn.IFS(I119=0,"Saturday",I119=1,"Sunday",I119=2,"Monday",I119=3,"Tuesday",I119=4,"Wednesday",I119=5,"Thusday",I119=6,"Friday")</f>
        <v>Wednesday</v>
      </c>
      <c r="K119" s="1">
        <v>1</v>
      </c>
      <c r="L119" s="1">
        <v>0.16</v>
      </c>
      <c r="M119" t="str">
        <f t="shared" si="2"/>
        <v>Rainy</v>
      </c>
    </row>
    <row r="120" spans="1:13" x14ac:dyDescent="0.35">
      <c r="A120" s="1">
        <v>118</v>
      </c>
      <c r="B120" s="3">
        <v>40549</v>
      </c>
      <c r="C120" s="1">
        <v>1</v>
      </c>
      <c r="D120" s="1">
        <v>0</v>
      </c>
      <c r="E120" s="1">
        <v>1</v>
      </c>
      <c r="F120" s="32">
        <v>2</v>
      </c>
      <c r="G120" s="64" t="str" cm="1">
        <f t="array" ref="G120">_xlfn.IFS(AND(F120&gt;=5,F120&lt;12),"Morning",AND(F120&gt;=12,F120&lt;17),"AfterNoon",AND(F120&gt;=17,F120&lt;20),"Evening",TRUE,"Night")</f>
        <v>Night</v>
      </c>
      <c r="H120" s="1" t="b">
        <v>0</v>
      </c>
      <c r="I120" s="1">
        <v>4</v>
      </c>
      <c r="J120" s="64" t="str" cm="1">
        <f t="array" ref="J120">_xlfn.IFS(I120=0,"Saturday",I120=1,"Sunday",I120=2,"Monday",I120=3,"Tuesday",I120=4,"Wednesday",I120=5,"Thusday",I120=6,"Friday")</f>
        <v>Wednesday</v>
      </c>
      <c r="K120" s="1">
        <v>1</v>
      </c>
      <c r="L120" s="1">
        <v>0.16</v>
      </c>
      <c r="M120" t="str">
        <f t="shared" si="2"/>
        <v>Rainy</v>
      </c>
    </row>
    <row r="121" spans="1:13" x14ac:dyDescent="0.35">
      <c r="A121" s="1">
        <v>119</v>
      </c>
      <c r="B121" s="3">
        <v>40549</v>
      </c>
      <c r="C121" s="1">
        <v>1</v>
      </c>
      <c r="D121" s="1">
        <v>0</v>
      </c>
      <c r="E121" s="1">
        <v>1</v>
      </c>
      <c r="F121" s="32">
        <v>4</v>
      </c>
      <c r="G121" s="64" t="str" cm="1">
        <f t="array" ref="G121">_xlfn.IFS(AND(F121&gt;=5,F121&lt;12),"Morning",AND(F121&gt;=12,F121&lt;17),"AfterNoon",AND(F121&gt;=17,F121&lt;20),"Evening",TRUE,"Night")</f>
        <v>Night</v>
      </c>
      <c r="H121" s="1" t="b">
        <v>0</v>
      </c>
      <c r="I121" s="1">
        <v>4</v>
      </c>
      <c r="J121" s="64" t="str" cm="1">
        <f t="array" ref="J121">_xlfn.IFS(I121=0,"Saturday",I121=1,"Sunday",I121=2,"Monday",I121=3,"Tuesday",I121=4,"Wednesday",I121=5,"Thusday",I121=6,"Friday")</f>
        <v>Wednesday</v>
      </c>
      <c r="K121" s="1">
        <v>2</v>
      </c>
      <c r="L121" s="1">
        <v>0.16</v>
      </c>
      <c r="M121" t="str">
        <f t="shared" si="2"/>
        <v>Rainy</v>
      </c>
    </row>
    <row r="122" spans="1:13" x14ac:dyDescent="0.35">
      <c r="A122" s="1">
        <v>120</v>
      </c>
      <c r="B122" s="3">
        <v>40549</v>
      </c>
      <c r="C122" s="1">
        <v>1</v>
      </c>
      <c r="D122" s="1">
        <v>0</v>
      </c>
      <c r="E122" s="1">
        <v>1</v>
      </c>
      <c r="F122" s="32">
        <v>5</v>
      </c>
      <c r="G122" s="64" t="str" cm="1">
        <f t="array" ref="G122">_xlfn.IFS(AND(F122&gt;=5,F122&lt;12),"Morning",AND(F122&gt;=12,F122&lt;17),"AfterNoon",AND(F122&gt;=17,F122&lt;20),"Evening",TRUE,"Night")</f>
        <v>Morning</v>
      </c>
      <c r="H122" s="1" t="b">
        <v>0</v>
      </c>
      <c r="I122" s="1">
        <v>4</v>
      </c>
      <c r="J122" s="64" t="str" cm="1">
        <f t="array" ref="J122">_xlfn.IFS(I122=0,"Saturday",I122=1,"Sunday",I122=2,"Monday",I122=3,"Tuesday",I122=4,"Wednesday",I122=5,"Thusday",I122=6,"Friday")</f>
        <v>Wednesday</v>
      </c>
      <c r="K122" s="1">
        <v>2</v>
      </c>
      <c r="L122" s="1">
        <v>0.14000000000000001</v>
      </c>
      <c r="M122" t="str">
        <f t="shared" si="2"/>
        <v>Rainy</v>
      </c>
    </row>
    <row r="123" spans="1:13" x14ac:dyDescent="0.35">
      <c r="A123" s="1">
        <v>121</v>
      </c>
      <c r="B123" s="3">
        <v>40549</v>
      </c>
      <c r="C123" s="1">
        <v>1</v>
      </c>
      <c r="D123" s="1">
        <v>0</v>
      </c>
      <c r="E123" s="1">
        <v>1</v>
      </c>
      <c r="F123" s="32">
        <v>6</v>
      </c>
      <c r="G123" s="64" t="str" cm="1">
        <f t="array" ref="G123">_xlfn.IFS(AND(F123&gt;=5,F123&lt;12),"Morning",AND(F123&gt;=12,F123&lt;17),"AfterNoon",AND(F123&gt;=17,F123&lt;20),"Evening",TRUE,"Night")</f>
        <v>Morning</v>
      </c>
      <c r="H123" s="1" t="b">
        <v>0</v>
      </c>
      <c r="I123" s="1">
        <v>4</v>
      </c>
      <c r="J123" s="64" t="str" cm="1">
        <f t="array" ref="J123">_xlfn.IFS(I123=0,"Saturday",I123=1,"Sunday",I123=2,"Monday",I123=3,"Tuesday",I123=4,"Wednesday",I123=5,"Thusday",I123=6,"Friday")</f>
        <v>Wednesday</v>
      </c>
      <c r="K123" s="1">
        <v>2</v>
      </c>
      <c r="L123" s="1">
        <v>0.14000000000000001</v>
      </c>
      <c r="M123" t="str">
        <f t="shared" si="2"/>
        <v>Rainy</v>
      </c>
    </row>
    <row r="124" spans="1:13" x14ac:dyDescent="0.35">
      <c r="A124" s="1">
        <v>122</v>
      </c>
      <c r="B124" s="3">
        <v>40549</v>
      </c>
      <c r="C124" s="1">
        <v>1</v>
      </c>
      <c r="D124" s="1">
        <v>0</v>
      </c>
      <c r="E124" s="1">
        <v>1</v>
      </c>
      <c r="F124" s="32">
        <v>7</v>
      </c>
      <c r="G124" s="64" t="str" cm="1">
        <f t="array" ref="G124">_xlfn.IFS(AND(F124&gt;=5,F124&lt;12),"Morning",AND(F124&gt;=12,F124&lt;17),"AfterNoon",AND(F124&gt;=17,F124&lt;20),"Evening",TRUE,"Night")</f>
        <v>Morning</v>
      </c>
      <c r="H124" s="1" t="b">
        <v>0</v>
      </c>
      <c r="I124" s="1">
        <v>4</v>
      </c>
      <c r="J124" s="64" t="str" cm="1">
        <f t="array" ref="J124">_xlfn.IFS(I124=0,"Saturday",I124=1,"Sunday",I124=2,"Monday",I124=3,"Tuesday",I124=4,"Wednesday",I124=5,"Thusday",I124=6,"Friday")</f>
        <v>Wednesday</v>
      </c>
      <c r="K124" s="1">
        <v>2</v>
      </c>
      <c r="L124" s="1">
        <v>0.16</v>
      </c>
      <c r="M124" t="str">
        <f t="shared" si="2"/>
        <v>Rainy</v>
      </c>
    </row>
    <row r="125" spans="1:13" x14ac:dyDescent="0.35">
      <c r="A125" s="1">
        <v>123</v>
      </c>
      <c r="B125" s="3">
        <v>40549</v>
      </c>
      <c r="C125" s="1">
        <v>1</v>
      </c>
      <c r="D125" s="1">
        <v>0</v>
      </c>
      <c r="E125" s="1">
        <v>1</v>
      </c>
      <c r="F125" s="32">
        <v>8</v>
      </c>
      <c r="G125" s="64" t="str" cm="1">
        <f t="array" ref="G125">_xlfn.IFS(AND(F125&gt;=5,F125&lt;12),"Morning",AND(F125&gt;=12,F125&lt;17),"AfterNoon",AND(F125&gt;=17,F125&lt;20),"Evening",TRUE,"Night")</f>
        <v>Morning</v>
      </c>
      <c r="H125" s="1" t="b">
        <v>0</v>
      </c>
      <c r="I125" s="1">
        <v>4</v>
      </c>
      <c r="J125" s="64" t="str" cm="1">
        <f t="array" ref="J125">_xlfn.IFS(I125=0,"Saturday",I125=1,"Sunday",I125=2,"Monday",I125=3,"Tuesday",I125=4,"Wednesday",I125=5,"Thusday",I125=6,"Friday")</f>
        <v>Wednesday</v>
      </c>
      <c r="K125" s="1">
        <v>1</v>
      </c>
      <c r="L125" s="1">
        <v>0.16</v>
      </c>
      <c r="M125" t="str">
        <f t="shared" si="2"/>
        <v>Rainy</v>
      </c>
    </row>
    <row r="126" spans="1:13" x14ac:dyDescent="0.35">
      <c r="A126" s="1">
        <v>124</v>
      </c>
      <c r="B126" s="3">
        <v>40549</v>
      </c>
      <c r="C126" s="1">
        <v>1</v>
      </c>
      <c r="D126" s="1">
        <v>0</v>
      </c>
      <c r="E126" s="1">
        <v>1</v>
      </c>
      <c r="F126" s="32">
        <v>9</v>
      </c>
      <c r="G126" s="64" t="str" cm="1">
        <f t="array" ref="G126">_xlfn.IFS(AND(F126&gt;=5,F126&lt;12),"Morning",AND(F126&gt;=12,F126&lt;17),"AfterNoon",AND(F126&gt;=17,F126&lt;20),"Evening",TRUE,"Night")</f>
        <v>Morning</v>
      </c>
      <c r="H126" s="1" t="b">
        <v>0</v>
      </c>
      <c r="I126" s="1">
        <v>4</v>
      </c>
      <c r="J126" s="64" t="str" cm="1">
        <f t="array" ref="J126">_xlfn.IFS(I126=0,"Saturday",I126=1,"Sunday",I126=2,"Monday",I126=3,"Tuesday",I126=4,"Wednesday",I126=5,"Thusday",I126=6,"Friday")</f>
        <v>Wednesday</v>
      </c>
      <c r="K126" s="1">
        <v>2</v>
      </c>
      <c r="L126" s="1">
        <v>0.18</v>
      </c>
      <c r="M126" t="str">
        <f t="shared" si="2"/>
        <v>Rainy</v>
      </c>
    </row>
    <row r="127" spans="1:13" x14ac:dyDescent="0.35">
      <c r="A127" s="1">
        <v>125</v>
      </c>
      <c r="B127" s="3">
        <v>40549</v>
      </c>
      <c r="C127" s="1">
        <v>1</v>
      </c>
      <c r="D127" s="1">
        <v>0</v>
      </c>
      <c r="E127" s="1">
        <v>1</v>
      </c>
      <c r="F127" s="32">
        <v>10</v>
      </c>
      <c r="G127" s="64" t="str" cm="1">
        <f t="array" ref="G127">_xlfn.IFS(AND(F127&gt;=5,F127&lt;12),"Morning",AND(F127&gt;=12,F127&lt;17),"AfterNoon",AND(F127&gt;=17,F127&lt;20),"Evening",TRUE,"Night")</f>
        <v>Morning</v>
      </c>
      <c r="H127" s="1" t="b">
        <v>0</v>
      </c>
      <c r="I127" s="1">
        <v>4</v>
      </c>
      <c r="J127" s="64" t="str" cm="1">
        <f t="array" ref="J127">_xlfn.IFS(I127=0,"Saturday",I127=1,"Sunday",I127=2,"Monday",I127=3,"Tuesday",I127=4,"Wednesday",I127=5,"Thusday",I127=6,"Friday")</f>
        <v>Wednesday</v>
      </c>
      <c r="K127" s="1">
        <v>1</v>
      </c>
      <c r="L127" s="1">
        <v>0.2</v>
      </c>
      <c r="M127" t="str">
        <f t="shared" si="2"/>
        <v>Rainy</v>
      </c>
    </row>
    <row r="128" spans="1:13" x14ac:dyDescent="0.35">
      <c r="A128" s="1">
        <v>126</v>
      </c>
      <c r="B128" s="3">
        <v>40549</v>
      </c>
      <c r="C128" s="1">
        <v>1</v>
      </c>
      <c r="D128" s="1">
        <v>0</v>
      </c>
      <c r="E128" s="1">
        <v>1</v>
      </c>
      <c r="F128" s="32">
        <v>11</v>
      </c>
      <c r="G128" s="64" t="str" cm="1">
        <f t="array" ref="G128">_xlfn.IFS(AND(F128&gt;=5,F128&lt;12),"Morning",AND(F128&gt;=12,F128&lt;17),"AfterNoon",AND(F128&gt;=17,F128&lt;20),"Evening",TRUE,"Night")</f>
        <v>Morning</v>
      </c>
      <c r="H128" s="1" t="b">
        <v>0</v>
      </c>
      <c r="I128" s="1">
        <v>4</v>
      </c>
      <c r="J128" s="64" t="str" cm="1">
        <f t="array" ref="J128">_xlfn.IFS(I128=0,"Saturday",I128=1,"Sunday",I128=2,"Monday",I128=3,"Tuesday",I128=4,"Wednesday",I128=5,"Thusday",I128=6,"Friday")</f>
        <v>Wednesday</v>
      </c>
      <c r="K128" s="1">
        <v>1</v>
      </c>
      <c r="L128" s="1">
        <v>0.22</v>
      </c>
      <c r="M128" t="str">
        <f t="shared" si="2"/>
        <v>Cloudy</v>
      </c>
    </row>
    <row r="129" spans="1:13" x14ac:dyDescent="0.35">
      <c r="A129" s="1">
        <v>127</v>
      </c>
      <c r="B129" s="3">
        <v>40549</v>
      </c>
      <c r="C129" s="1">
        <v>1</v>
      </c>
      <c r="D129" s="1">
        <v>0</v>
      </c>
      <c r="E129" s="1">
        <v>1</v>
      </c>
      <c r="F129" s="32">
        <v>12</v>
      </c>
      <c r="G129" s="64" t="str" cm="1">
        <f t="array" ref="G129">_xlfn.IFS(AND(F129&gt;=5,F129&lt;12),"Morning",AND(F129&gt;=12,F129&lt;17),"AfterNoon",AND(F129&gt;=17,F129&lt;20),"Evening",TRUE,"Night")</f>
        <v>AfterNoon</v>
      </c>
      <c r="H129" s="1" t="b">
        <v>0</v>
      </c>
      <c r="I129" s="1">
        <v>4</v>
      </c>
      <c r="J129" s="64" t="str" cm="1">
        <f t="array" ref="J129">_xlfn.IFS(I129=0,"Saturday",I129=1,"Sunday",I129=2,"Monday",I129=3,"Tuesday",I129=4,"Wednesday",I129=5,"Thusday",I129=6,"Friday")</f>
        <v>Wednesday</v>
      </c>
      <c r="K129" s="1">
        <v>1</v>
      </c>
      <c r="L129" s="1">
        <v>0.26</v>
      </c>
      <c r="M129" t="str">
        <f t="shared" si="2"/>
        <v>Cloudy</v>
      </c>
    </row>
    <row r="130" spans="1:13" x14ac:dyDescent="0.35">
      <c r="A130" s="1">
        <v>128</v>
      </c>
      <c r="B130" s="3">
        <v>40549</v>
      </c>
      <c r="C130" s="1">
        <v>1</v>
      </c>
      <c r="D130" s="1">
        <v>0</v>
      </c>
      <c r="E130" s="1">
        <v>1</v>
      </c>
      <c r="F130" s="32">
        <v>13</v>
      </c>
      <c r="G130" s="64" t="str" cm="1">
        <f t="array" ref="G130">_xlfn.IFS(AND(F130&gt;=5,F130&lt;12),"Morning",AND(F130&gt;=12,F130&lt;17),"AfterNoon",AND(F130&gt;=17,F130&lt;20),"Evening",TRUE,"Night")</f>
        <v>AfterNoon</v>
      </c>
      <c r="H130" s="1" t="b">
        <v>0</v>
      </c>
      <c r="I130" s="1">
        <v>4</v>
      </c>
      <c r="J130" s="64" t="str" cm="1">
        <f t="array" ref="J130">_xlfn.IFS(I130=0,"Saturday",I130=1,"Sunday",I130=2,"Monday",I130=3,"Tuesday",I130=4,"Wednesday",I130=5,"Thusday",I130=6,"Friday")</f>
        <v>Wednesday</v>
      </c>
      <c r="K130" s="1">
        <v>1</v>
      </c>
      <c r="L130" s="1">
        <v>0.26</v>
      </c>
      <c r="M130" t="str">
        <f t="shared" si="2"/>
        <v>Cloudy</v>
      </c>
    </row>
    <row r="131" spans="1:13" x14ac:dyDescent="0.35">
      <c r="A131" s="1">
        <v>129</v>
      </c>
      <c r="B131" s="3">
        <v>40549</v>
      </c>
      <c r="C131" s="1">
        <v>1</v>
      </c>
      <c r="D131" s="1">
        <v>0</v>
      </c>
      <c r="E131" s="1">
        <v>1</v>
      </c>
      <c r="F131" s="32">
        <v>14</v>
      </c>
      <c r="G131" s="64" t="str" cm="1">
        <f t="array" ref="G131">_xlfn.IFS(AND(F131&gt;=5,F131&lt;12),"Morning",AND(F131&gt;=12,F131&lt;17),"AfterNoon",AND(F131&gt;=17,F131&lt;20),"Evening",TRUE,"Night")</f>
        <v>AfterNoon</v>
      </c>
      <c r="H131" s="1" t="b">
        <v>0</v>
      </c>
      <c r="I131" s="1">
        <v>4</v>
      </c>
      <c r="J131" s="64" t="str" cm="1">
        <f t="array" ref="J131">_xlfn.IFS(I131=0,"Saturday",I131=1,"Sunday",I131=2,"Monday",I131=3,"Tuesday",I131=4,"Wednesday",I131=5,"Thusday",I131=6,"Friday")</f>
        <v>Wednesday</v>
      </c>
      <c r="K131" s="1">
        <v>1</v>
      </c>
      <c r="L131" s="1">
        <v>0.28000000000000003</v>
      </c>
      <c r="M131" t="str">
        <f t="shared" si="2"/>
        <v>Cloudy</v>
      </c>
    </row>
    <row r="132" spans="1:13" x14ac:dyDescent="0.35">
      <c r="A132" s="1">
        <v>130</v>
      </c>
      <c r="B132" s="3">
        <v>40549</v>
      </c>
      <c r="C132" s="1">
        <v>1</v>
      </c>
      <c r="D132" s="1">
        <v>0</v>
      </c>
      <c r="E132" s="1">
        <v>1</v>
      </c>
      <c r="F132" s="32">
        <v>15</v>
      </c>
      <c r="G132" s="64" t="str" cm="1">
        <f t="array" ref="G132">_xlfn.IFS(AND(F132&gt;=5,F132&lt;12),"Morning",AND(F132&gt;=12,F132&lt;17),"AfterNoon",AND(F132&gt;=17,F132&lt;20),"Evening",TRUE,"Night")</f>
        <v>AfterNoon</v>
      </c>
      <c r="H132" s="1" t="b">
        <v>0</v>
      </c>
      <c r="I132" s="1">
        <v>4</v>
      </c>
      <c r="J132" s="64" t="str" cm="1">
        <f t="array" ref="J132">_xlfn.IFS(I132=0,"Saturday",I132=1,"Sunday",I132=2,"Monday",I132=3,"Tuesday",I132=4,"Wednesday",I132=5,"Thusday",I132=6,"Friday")</f>
        <v>Wednesday</v>
      </c>
      <c r="K132" s="1">
        <v>1</v>
      </c>
      <c r="L132" s="1">
        <v>0.28000000000000003</v>
      </c>
      <c r="M132" t="str">
        <f t="shared" ref="M132:M195" si="3">IF(L132&lt;=0.1,"Stromy",IF(L132&lt;=0.2,"Rainy",IF(L132&lt;=0.3,"Cloudy","Sunny")))</f>
        <v>Cloudy</v>
      </c>
    </row>
    <row r="133" spans="1:13" x14ac:dyDescent="0.35">
      <c r="A133" s="1">
        <v>131</v>
      </c>
      <c r="B133" s="3">
        <v>40549</v>
      </c>
      <c r="C133" s="1">
        <v>1</v>
      </c>
      <c r="D133" s="1">
        <v>0</v>
      </c>
      <c r="E133" s="1">
        <v>1</v>
      </c>
      <c r="F133" s="32">
        <v>16</v>
      </c>
      <c r="G133" s="64" t="str" cm="1">
        <f t="array" ref="G133">_xlfn.IFS(AND(F133&gt;=5,F133&lt;12),"Morning",AND(F133&gt;=12,F133&lt;17),"AfterNoon",AND(F133&gt;=17,F133&lt;20),"Evening",TRUE,"Night")</f>
        <v>AfterNoon</v>
      </c>
      <c r="H133" s="1" t="b">
        <v>0</v>
      </c>
      <c r="I133" s="1">
        <v>4</v>
      </c>
      <c r="J133" s="64" t="str" cm="1">
        <f t="array" ref="J133">_xlfn.IFS(I133=0,"Saturday",I133=1,"Sunday",I133=2,"Monday",I133=3,"Tuesday",I133=4,"Wednesday",I133=5,"Thusday",I133=6,"Friday")</f>
        <v>Wednesday</v>
      </c>
      <c r="K133" s="1">
        <v>1</v>
      </c>
      <c r="L133" s="1">
        <v>0.26</v>
      </c>
      <c r="M133" t="str">
        <f t="shared" si="3"/>
        <v>Cloudy</v>
      </c>
    </row>
    <row r="134" spans="1:13" x14ac:dyDescent="0.35">
      <c r="A134" s="1">
        <v>132</v>
      </c>
      <c r="B134" s="3">
        <v>40549</v>
      </c>
      <c r="C134" s="1">
        <v>1</v>
      </c>
      <c r="D134" s="1">
        <v>0</v>
      </c>
      <c r="E134" s="1">
        <v>1</v>
      </c>
      <c r="F134" s="32">
        <v>17</v>
      </c>
      <c r="G134" s="64" t="str" cm="1">
        <f t="array" ref="G134">_xlfn.IFS(AND(F134&gt;=5,F134&lt;12),"Morning",AND(F134&gt;=12,F134&lt;17),"AfterNoon",AND(F134&gt;=17,F134&lt;20),"Evening",TRUE,"Night")</f>
        <v>Evening</v>
      </c>
      <c r="H134" s="1" t="b">
        <v>0</v>
      </c>
      <c r="I134" s="1">
        <v>4</v>
      </c>
      <c r="J134" s="64" t="str" cm="1">
        <f t="array" ref="J134">_xlfn.IFS(I134=0,"Saturday",I134=1,"Sunday",I134=2,"Monday",I134=3,"Tuesday",I134=4,"Wednesday",I134=5,"Thusday",I134=6,"Friday")</f>
        <v>Wednesday</v>
      </c>
      <c r="K134" s="1">
        <v>1</v>
      </c>
      <c r="L134" s="1">
        <v>0.22</v>
      </c>
      <c r="M134" t="str">
        <f t="shared" si="3"/>
        <v>Cloudy</v>
      </c>
    </row>
    <row r="135" spans="1:13" x14ac:dyDescent="0.35">
      <c r="A135" s="1">
        <v>133</v>
      </c>
      <c r="B135" s="3">
        <v>40549</v>
      </c>
      <c r="C135" s="1">
        <v>1</v>
      </c>
      <c r="D135" s="1">
        <v>0</v>
      </c>
      <c r="E135" s="1">
        <v>1</v>
      </c>
      <c r="F135" s="32">
        <v>18</v>
      </c>
      <c r="G135" s="64" t="str" cm="1">
        <f t="array" ref="G135">_xlfn.IFS(AND(F135&gt;=5,F135&lt;12),"Morning",AND(F135&gt;=12,F135&lt;17),"AfterNoon",AND(F135&gt;=17,F135&lt;20),"Evening",TRUE,"Night")</f>
        <v>Evening</v>
      </c>
      <c r="H135" s="1" t="b">
        <v>0</v>
      </c>
      <c r="I135" s="1">
        <v>4</v>
      </c>
      <c r="J135" s="64" t="str" cm="1">
        <f t="array" ref="J135">_xlfn.IFS(I135=0,"Saturday",I135=1,"Sunday",I135=2,"Monday",I135=3,"Tuesday",I135=4,"Wednesday",I135=5,"Thusday",I135=6,"Friday")</f>
        <v>Wednesday</v>
      </c>
      <c r="K135" s="1">
        <v>1</v>
      </c>
      <c r="L135" s="1">
        <v>0.22</v>
      </c>
      <c r="M135" t="str">
        <f t="shared" si="3"/>
        <v>Cloudy</v>
      </c>
    </row>
    <row r="136" spans="1:13" x14ac:dyDescent="0.35">
      <c r="A136" s="1">
        <v>134</v>
      </c>
      <c r="B136" s="3">
        <v>40549</v>
      </c>
      <c r="C136" s="1">
        <v>1</v>
      </c>
      <c r="D136" s="1">
        <v>0</v>
      </c>
      <c r="E136" s="1">
        <v>1</v>
      </c>
      <c r="F136" s="32">
        <v>19</v>
      </c>
      <c r="G136" s="64" t="str" cm="1">
        <f t="array" ref="G136">_xlfn.IFS(AND(F136&gt;=5,F136&lt;12),"Morning",AND(F136&gt;=12,F136&lt;17),"AfterNoon",AND(F136&gt;=17,F136&lt;20),"Evening",TRUE,"Night")</f>
        <v>Evening</v>
      </c>
      <c r="H136" s="1" t="b">
        <v>0</v>
      </c>
      <c r="I136" s="1">
        <v>4</v>
      </c>
      <c r="J136" s="64" t="str" cm="1">
        <f t="array" ref="J136">_xlfn.IFS(I136=0,"Saturday",I136=1,"Sunday",I136=2,"Monday",I136=3,"Tuesday",I136=4,"Wednesday",I136=5,"Thusday",I136=6,"Friday")</f>
        <v>Wednesday</v>
      </c>
      <c r="K136" s="1">
        <v>1</v>
      </c>
      <c r="L136" s="1">
        <v>0.22</v>
      </c>
      <c r="M136" t="str">
        <f t="shared" si="3"/>
        <v>Cloudy</v>
      </c>
    </row>
    <row r="137" spans="1:13" x14ac:dyDescent="0.35">
      <c r="A137" s="1">
        <v>135</v>
      </c>
      <c r="B137" s="3">
        <v>40549</v>
      </c>
      <c r="C137" s="1">
        <v>1</v>
      </c>
      <c r="D137" s="1">
        <v>0</v>
      </c>
      <c r="E137" s="1">
        <v>1</v>
      </c>
      <c r="F137" s="32">
        <v>20</v>
      </c>
      <c r="G137" s="64" t="str" cm="1">
        <f t="array" ref="G137">_xlfn.IFS(AND(F137&gt;=5,F137&lt;12),"Morning",AND(F137&gt;=12,F137&lt;17),"AfterNoon",AND(F137&gt;=17,F137&lt;20),"Evening",TRUE,"Night")</f>
        <v>Night</v>
      </c>
      <c r="H137" s="1" t="b">
        <v>0</v>
      </c>
      <c r="I137" s="1">
        <v>4</v>
      </c>
      <c r="J137" s="64" t="str" cm="1">
        <f t="array" ref="J137">_xlfn.IFS(I137=0,"Saturday",I137=1,"Sunday",I137=2,"Monday",I137=3,"Tuesday",I137=4,"Wednesday",I137=5,"Thusday",I137=6,"Friday")</f>
        <v>Wednesday</v>
      </c>
      <c r="K137" s="1">
        <v>1</v>
      </c>
      <c r="L137" s="1">
        <v>0.2</v>
      </c>
      <c r="M137" t="str">
        <f t="shared" si="3"/>
        <v>Rainy</v>
      </c>
    </row>
    <row r="138" spans="1:13" x14ac:dyDescent="0.35">
      <c r="A138" s="1">
        <v>136</v>
      </c>
      <c r="B138" s="3">
        <v>40549</v>
      </c>
      <c r="C138" s="1">
        <v>1</v>
      </c>
      <c r="D138" s="1">
        <v>0</v>
      </c>
      <c r="E138" s="1">
        <v>1</v>
      </c>
      <c r="F138" s="32">
        <v>21</v>
      </c>
      <c r="G138" s="64" t="str" cm="1">
        <f t="array" ref="G138">_xlfn.IFS(AND(F138&gt;=5,F138&lt;12),"Morning",AND(F138&gt;=12,F138&lt;17),"AfterNoon",AND(F138&gt;=17,F138&lt;20),"Evening",TRUE,"Night")</f>
        <v>Night</v>
      </c>
      <c r="H138" s="1" t="b">
        <v>0</v>
      </c>
      <c r="I138" s="1">
        <v>4</v>
      </c>
      <c r="J138" s="64" t="str" cm="1">
        <f t="array" ref="J138">_xlfn.IFS(I138=0,"Saturday",I138=1,"Sunday",I138=2,"Monday",I138=3,"Tuesday",I138=4,"Wednesday",I138=5,"Thusday",I138=6,"Friday")</f>
        <v>Wednesday</v>
      </c>
      <c r="K138" s="1">
        <v>2</v>
      </c>
      <c r="L138" s="1">
        <v>0.22</v>
      </c>
      <c r="M138" t="str">
        <f t="shared" si="3"/>
        <v>Cloudy</v>
      </c>
    </row>
    <row r="139" spans="1:13" x14ac:dyDescent="0.35">
      <c r="A139" s="1">
        <v>137</v>
      </c>
      <c r="B139" s="3">
        <v>40549</v>
      </c>
      <c r="C139" s="1">
        <v>1</v>
      </c>
      <c r="D139" s="1">
        <v>0</v>
      </c>
      <c r="E139" s="1">
        <v>1</v>
      </c>
      <c r="F139" s="32">
        <v>22</v>
      </c>
      <c r="G139" s="64" t="str" cm="1">
        <f t="array" ref="G139">_xlfn.IFS(AND(F139&gt;=5,F139&lt;12),"Morning",AND(F139&gt;=12,F139&lt;17),"AfterNoon",AND(F139&gt;=17,F139&lt;20),"Evening",TRUE,"Night")</f>
        <v>Night</v>
      </c>
      <c r="H139" s="1" t="b">
        <v>0</v>
      </c>
      <c r="I139" s="1">
        <v>4</v>
      </c>
      <c r="J139" s="64" t="str" cm="1">
        <f t="array" ref="J139">_xlfn.IFS(I139=0,"Saturday",I139=1,"Sunday",I139=2,"Monday",I139=3,"Tuesday",I139=4,"Wednesday",I139=5,"Thusday",I139=6,"Friday")</f>
        <v>Wednesday</v>
      </c>
      <c r="K139" s="1">
        <v>2</v>
      </c>
      <c r="L139" s="1">
        <v>0.22</v>
      </c>
      <c r="M139" t="str">
        <f t="shared" si="3"/>
        <v>Cloudy</v>
      </c>
    </row>
    <row r="140" spans="1:13" x14ac:dyDescent="0.35">
      <c r="A140" s="1">
        <v>138</v>
      </c>
      <c r="B140" s="3">
        <v>40549</v>
      </c>
      <c r="C140" s="1">
        <v>1</v>
      </c>
      <c r="D140" s="1">
        <v>0</v>
      </c>
      <c r="E140" s="1">
        <v>1</v>
      </c>
      <c r="F140" s="32">
        <v>23</v>
      </c>
      <c r="G140" s="64" t="str" cm="1">
        <f t="array" ref="G140">_xlfn.IFS(AND(F140&gt;=5,F140&lt;12),"Morning",AND(F140&gt;=12,F140&lt;17),"AfterNoon",AND(F140&gt;=17,F140&lt;20),"Evening",TRUE,"Night")</f>
        <v>Night</v>
      </c>
      <c r="H140" s="1" t="b">
        <v>0</v>
      </c>
      <c r="I140" s="1">
        <v>4</v>
      </c>
      <c r="J140" s="64" t="str" cm="1">
        <f t="array" ref="J140">_xlfn.IFS(I140=0,"Saturday",I140=1,"Sunday",I140=2,"Monday",I140=3,"Tuesday",I140=4,"Wednesday",I140=5,"Thusday",I140=6,"Friday")</f>
        <v>Wednesday</v>
      </c>
      <c r="K140" s="1">
        <v>2</v>
      </c>
      <c r="L140" s="1">
        <v>0.2</v>
      </c>
      <c r="M140" t="str">
        <f t="shared" si="3"/>
        <v>Rainy</v>
      </c>
    </row>
    <row r="141" spans="1:13" x14ac:dyDescent="0.35">
      <c r="A141" s="1">
        <v>139</v>
      </c>
      <c r="B141" s="3">
        <v>40550</v>
      </c>
      <c r="C141" s="1">
        <v>1</v>
      </c>
      <c r="D141" s="1">
        <v>0</v>
      </c>
      <c r="E141" s="1">
        <v>1</v>
      </c>
      <c r="F141" s="32">
        <v>0</v>
      </c>
      <c r="G141" s="64" t="str" cm="1">
        <f t="array" ref="G141">_xlfn.IFS(AND(F141&gt;=5,F141&lt;12),"Morning",AND(F141&gt;=12,F141&lt;17),"AfterNoon",AND(F141&gt;=17,F141&lt;20),"Evening",TRUE,"Night")</f>
        <v>Night</v>
      </c>
      <c r="H141" s="1" t="b">
        <v>0</v>
      </c>
      <c r="I141" s="1">
        <v>5</v>
      </c>
      <c r="J141" s="64" t="str" cm="1">
        <f t="array" ref="J141">_xlfn.IFS(I141=0,"Saturday",I141=1,"Sunday",I141=2,"Monday",I141=3,"Tuesday",I141=4,"Wednesday",I141=5,"Thusday",I141=6,"Friday")</f>
        <v>Thusday</v>
      </c>
      <c r="K141" s="1">
        <v>2</v>
      </c>
      <c r="L141" s="1">
        <v>0.2</v>
      </c>
      <c r="M141" t="str">
        <f t="shared" si="3"/>
        <v>Rainy</v>
      </c>
    </row>
    <row r="142" spans="1:13" x14ac:dyDescent="0.35">
      <c r="A142" s="1">
        <v>140</v>
      </c>
      <c r="B142" s="3">
        <v>40550</v>
      </c>
      <c r="C142" s="1">
        <v>1</v>
      </c>
      <c r="D142" s="1">
        <v>0</v>
      </c>
      <c r="E142" s="1">
        <v>1</v>
      </c>
      <c r="F142" s="32">
        <v>1</v>
      </c>
      <c r="G142" s="64" t="str" cm="1">
        <f t="array" ref="G142">_xlfn.IFS(AND(F142&gt;=5,F142&lt;12),"Morning",AND(F142&gt;=12,F142&lt;17),"AfterNoon",AND(F142&gt;=17,F142&lt;20),"Evening",TRUE,"Night")</f>
        <v>Night</v>
      </c>
      <c r="H142" s="1" t="b">
        <v>0</v>
      </c>
      <c r="I142" s="1">
        <v>5</v>
      </c>
      <c r="J142" s="64" t="str" cm="1">
        <f t="array" ref="J142">_xlfn.IFS(I142=0,"Saturday",I142=1,"Sunday",I142=2,"Monday",I142=3,"Tuesday",I142=4,"Wednesday",I142=5,"Thusday",I142=6,"Friday")</f>
        <v>Thusday</v>
      </c>
      <c r="K142" s="1">
        <v>2</v>
      </c>
      <c r="L142" s="1">
        <v>0.2</v>
      </c>
      <c r="M142" t="str">
        <f t="shared" si="3"/>
        <v>Rainy</v>
      </c>
    </row>
    <row r="143" spans="1:13" x14ac:dyDescent="0.35">
      <c r="A143" s="1">
        <v>141</v>
      </c>
      <c r="B143" s="3">
        <v>40550</v>
      </c>
      <c r="C143" s="1">
        <v>1</v>
      </c>
      <c r="D143" s="1">
        <v>0</v>
      </c>
      <c r="E143" s="1">
        <v>1</v>
      </c>
      <c r="F143" s="32">
        <v>2</v>
      </c>
      <c r="G143" s="64" t="str" cm="1">
        <f t="array" ref="G143">_xlfn.IFS(AND(F143&gt;=5,F143&lt;12),"Morning",AND(F143&gt;=12,F143&lt;17),"AfterNoon",AND(F143&gt;=17,F143&lt;20),"Evening",TRUE,"Night")</f>
        <v>Night</v>
      </c>
      <c r="H143" s="1" t="b">
        <v>0</v>
      </c>
      <c r="I143" s="1">
        <v>5</v>
      </c>
      <c r="J143" s="64" t="str" cm="1">
        <f t="array" ref="J143">_xlfn.IFS(I143=0,"Saturday",I143=1,"Sunday",I143=2,"Monday",I143=3,"Tuesday",I143=4,"Wednesday",I143=5,"Thusday",I143=6,"Friday")</f>
        <v>Thusday</v>
      </c>
      <c r="K143" s="1">
        <v>2</v>
      </c>
      <c r="L143" s="1">
        <v>0.2</v>
      </c>
      <c r="M143" t="str">
        <f t="shared" si="3"/>
        <v>Rainy</v>
      </c>
    </row>
    <row r="144" spans="1:13" x14ac:dyDescent="0.35">
      <c r="A144" s="1">
        <v>142</v>
      </c>
      <c r="B144" s="3">
        <v>40550</v>
      </c>
      <c r="C144" s="1">
        <v>1</v>
      </c>
      <c r="D144" s="1">
        <v>0</v>
      </c>
      <c r="E144" s="1">
        <v>1</v>
      </c>
      <c r="F144" s="32">
        <v>4</v>
      </c>
      <c r="G144" s="64" t="str" cm="1">
        <f t="array" ref="G144">_xlfn.IFS(AND(F144&gt;=5,F144&lt;12),"Morning",AND(F144&gt;=12,F144&lt;17),"AfterNoon",AND(F144&gt;=17,F144&lt;20),"Evening",TRUE,"Night")</f>
        <v>Night</v>
      </c>
      <c r="H144" s="1" t="b">
        <v>0</v>
      </c>
      <c r="I144" s="1">
        <v>5</v>
      </c>
      <c r="J144" s="64" t="str" cm="1">
        <f t="array" ref="J144">_xlfn.IFS(I144=0,"Saturday",I144=1,"Sunday",I144=2,"Monday",I144=3,"Tuesday",I144=4,"Wednesday",I144=5,"Thusday",I144=6,"Friday")</f>
        <v>Thusday</v>
      </c>
      <c r="K144" s="1">
        <v>2</v>
      </c>
      <c r="L144" s="1">
        <v>0.2</v>
      </c>
      <c r="M144" t="str">
        <f t="shared" si="3"/>
        <v>Rainy</v>
      </c>
    </row>
    <row r="145" spans="1:13" x14ac:dyDescent="0.35">
      <c r="A145" s="1">
        <v>143</v>
      </c>
      <c r="B145" s="3">
        <v>40550</v>
      </c>
      <c r="C145" s="1">
        <v>1</v>
      </c>
      <c r="D145" s="1">
        <v>0</v>
      </c>
      <c r="E145" s="1">
        <v>1</v>
      </c>
      <c r="F145" s="32">
        <v>5</v>
      </c>
      <c r="G145" s="64" t="str" cm="1">
        <f t="array" ref="G145">_xlfn.IFS(AND(F145&gt;=5,F145&lt;12),"Morning",AND(F145&gt;=12,F145&lt;17),"AfterNoon",AND(F145&gt;=17,F145&lt;20),"Evening",TRUE,"Night")</f>
        <v>Morning</v>
      </c>
      <c r="H145" s="1" t="b">
        <v>0</v>
      </c>
      <c r="I145" s="1">
        <v>5</v>
      </c>
      <c r="J145" s="64" t="str" cm="1">
        <f t="array" ref="J145">_xlfn.IFS(I145=0,"Saturday",I145=1,"Sunday",I145=2,"Monday",I145=3,"Tuesday",I145=4,"Wednesday",I145=5,"Thusday",I145=6,"Friday")</f>
        <v>Thusday</v>
      </c>
      <c r="K145" s="1">
        <v>3</v>
      </c>
      <c r="L145" s="1">
        <v>0.22</v>
      </c>
      <c r="M145" t="str">
        <f t="shared" si="3"/>
        <v>Cloudy</v>
      </c>
    </row>
    <row r="146" spans="1:13" x14ac:dyDescent="0.35">
      <c r="A146" s="1">
        <v>144</v>
      </c>
      <c r="B146" s="3">
        <v>40550</v>
      </c>
      <c r="C146" s="1">
        <v>1</v>
      </c>
      <c r="D146" s="1">
        <v>0</v>
      </c>
      <c r="E146" s="1">
        <v>1</v>
      </c>
      <c r="F146" s="32">
        <v>6</v>
      </c>
      <c r="G146" s="64" t="str" cm="1">
        <f t="array" ref="G146">_xlfn.IFS(AND(F146&gt;=5,F146&lt;12),"Morning",AND(F146&gt;=12,F146&lt;17),"AfterNoon",AND(F146&gt;=17,F146&lt;20),"Evening",TRUE,"Night")</f>
        <v>Morning</v>
      </c>
      <c r="H146" s="1" t="b">
        <v>0</v>
      </c>
      <c r="I146" s="1">
        <v>5</v>
      </c>
      <c r="J146" s="64" t="str" cm="1">
        <f t="array" ref="J146">_xlfn.IFS(I146=0,"Saturday",I146=1,"Sunday",I146=2,"Monday",I146=3,"Tuesday",I146=4,"Wednesday",I146=5,"Thusday",I146=6,"Friday")</f>
        <v>Thusday</v>
      </c>
      <c r="K146" s="1">
        <v>2</v>
      </c>
      <c r="L146" s="1">
        <v>0.2</v>
      </c>
      <c r="M146" t="str">
        <f t="shared" si="3"/>
        <v>Rainy</v>
      </c>
    </row>
    <row r="147" spans="1:13" x14ac:dyDescent="0.35">
      <c r="A147" s="1">
        <v>145</v>
      </c>
      <c r="B147" s="3">
        <v>40550</v>
      </c>
      <c r="C147" s="1">
        <v>1</v>
      </c>
      <c r="D147" s="1">
        <v>0</v>
      </c>
      <c r="E147" s="1">
        <v>1</v>
      </c>
      <c r="F147" s="32">
        <v>7</v>
      </c>
      <c r="G147" s="64" t="str" cm="1">
        <f t="array" ref="G147">_xlfn.IFS(AND(F147&gt;=5,F147&lt;12),"Morning",AND(F147&gt;=12,F147&lt;17),"AfterNoon",AND(F147&gt;=17,F147&lt;20),"Evening",TRUE,"Night")</f>
        <v>Morning</v>
      </c>
      <c r="H147" s="1" t="b">
        <v>0</v>
      </c>
      <c r="I147" s="1">
        <v>5</v>
      </c>
      <c r="J147" s="64" t="str" cm="1">
        <f t="array" ref="J147">_xlfn.IFS(I147=0,"Saturday",I147=1,"Sunday",I147=2,"Monday",I147=3,"Tuesday",I147=4,"Wednesday",I147=5,"Thusday",I147=6,"Friday")</f>
        <v>Thusday</v>
      </c>
      <c r="K147" s="1">
        <v>1</v>
      </c>
      <c r="L147" s="1">
        <v>0.2</v>
      </c>
      <c r="M147" t="str">
        <f t="shared" si="3"/>
        <v>Rainy</v>
      </c>
    </row>
    <row r="148" spans="1:13" x14ac:dyDescent="0.35">
      <c r="A148" s="1">
        <v>146</v>
      </c>
      <c r="B148" s="3">
        <v>40550</v>
      </c>
      <c r="C148" s="1">
        <v>1</v>
      </c>
      <c r="D148" s="1">
        <v>0</v>
      </c>
      <c r="E148" s="1">
        <v>1</v>
      </c>
      <c r="F148" s="32">
        <v>8</v>
      </c>
      <c r="G148" s="64" t="str" cm="1">
        <f t="array" ref="G148">_xlfn.IFS(AND(F148&gt;=5,F148&lt;12),"Morning",AND(F148&gt;=12,F148&lt;17),"AfterNoon",AND(F148&gt;=17,F148&lt;20),"Evening",TRUE,"Night")</f>
        <v>Morning</v>
      </c>
      <c r="H148" s="1" t="b">
        <v>0</v>
      </c>
      <c r="I148" s="1">
        <v>5</v>
      </c>
      <c r="J148" s="64" t="str" cm="1">
        <f t="array" ref="J148">_xlfn.IFS(I148=0,"Saturday",I148=1,"Sunday",I148=2,"Monday",I148=3,"Tuesday",I148=4,"Wednesday",I148=5,"Thusday",I148=6,"Friday")</f>
        <v>Thusday</v>
      </c>
      <c r="K148" s="1">
        <v>1</v>
      </c>
      <c r="L148" s="1">
        <v>0.2</v>
      </c>
      <c r="M148" t="str">
        <f t="shared" si="3"/>
        <v>Rainy</v>
      </c>
    </row>
    <row r="149" spans="1:13" x14ac:dyDescent="0.35">
      <c r="A149" s="1">
        <v>147</v>
      </c>
      <c r="B149" s="3">
        <v>40550</v>
      </c>
      <c r="C149" s="1">
        <v>1</v>
      </c>
      <c r="D149" s="1">
        <v>0</v>
      </c>
      <c r="E149" s="1">
        <v>1</v>
      </c>
      <c r="F149" s="32">
        <v>9</v>
      </c>
      <c r="G149" s="64" t="str" cm="1">
        <f t="array" ref="G149">_xlfn.IFS(AND(F149&gt;=5,F149&lt;12),"Morning",AND(F149&gt;=12,F149&lt;17),"AfterNoon",AND(F149&gt;=17,F149&lt;20),"Evening",TRUE,"Night")</f>
        <v>Morning</v>
      </c>
      <c r="H149" s="1" t="b">
        <v>0</v>
      </c>
      <c r="I149" s="1">
        <v>5</v>
      </c>
      <c r="J149" s="64" t="str" cm="1">
        <f t="array" ref="J149">_xlfn.IFS(I149=0,"Saturday",I149=1,"Sunday",I149=2,"Monday",I149=3,"Tuesday",I149=4,"Wednesday",I149=5,"Thusday",I149=6,"Friday")</f>
        <v>Thusday</v>
      </c>
      <c r="K149" s="1">
        <v>1</v>
      </c>
      <c r="L149" s="1">
        <v>0.2</v>
      </c>
      <c r="M149" t="str">
        <f t="shared" si="3"/>
        <v>Rainy</v>
      </c>
    </row>
    <row r="150" spans="1:13" x14ac:dyDescent="0.35">
      <c r="A150" s="1">
        <v>148</v>
      </c>
      <c r="B150" s="3">
        <v>40550</v>
      </c>
      <c r="C150" s="1">
        <v>1</v>
      </c>
      <c r="D150" s="1">
        <v>0</v>
      </c>
      <c r="E150" s="1">
        <v>1</v>
      </c>
      <c r="F150" s="32">
        <v>10</v>
      </c>
      <c r="G150" s="64" t="str" cm="1">
        <f t="array" ref="G150">_xlfn.IFS(AND(F150&gt;=5,F150&lt;12),"Morning",AND(F150&gt;=12,F150&lt;17),"AfterNoon",AND(F150&gt;=17,F150&lt;20),"Evening",TRUE,"Night")</f>
        <v>Morning</v>
      </c>
      <c r="H150" s="1" t="b">
        <v>0</v>
      </c>
      <c r="I150" s="1">
        <v>5</v>
      </c>
      <c r="J150" s="64" t="str" cm="1">
        <f t="array" ref="J150">_xlfn.IFS(I150=0,"Saturday",I150=1,"Sunday",I150=2,"Monday",I150=3,"Tuesday",I150=4,"Wednesday",I150=5,"Thusday",I150=6,"Friday")</f>
        <v>Thusday</v>
      </c>
      <c r="K150" s="1">
        <v>1</v>
      </c>
      <c r="L150" s="1">
        <v>0.22</v>
      </c>
      <c r="M150" t="str">
        <f t="shared" si="3"/>
        <v>Cloudy</v>
      </c>
    </row>
    <row r="151" spans="1:13" x14ac:dyDescent="0.35">
      <c r="A151" s="1">
        <v>149</v>
      </c>
      <c r="B151" s="3">
        <v>40550</v>
      </c>
      <c r="C151" s="1">
        <v>1</v>
      </c>
      <c r="D151" s="1">
        <v>0</v>
      </c>
      <c r="E151" s="1">
        <v>1</v>
      </c>
      <c r="F151" s="32">
        <v>11</v>
      </c>
      <c r="G151" s="64" t="str" cm="1">
        <f t="array" ref="G151">_xlfn.IFS(AND(F151&gt;=5,F151&lt;12),"Morning",AND(F151&gt;=12,F151&lt;17),"AfterNoon",AND(F151&gt;=17,F151&lt;20),"Evening",TRUE,"Night")</f>
        <v>Morning</v>
      </c>
      <c r="H151" s="1" t="b">
        <v>0</v>
      </c>
      <c r="I151" s="1">
        <v>5</v>
      </c>
      <c r="J151" s="64" t="str" cm="1">
        <f t="array" ref="J151">_xlfn.IFS(I151=0,"Saturday",I151=1,"Sunday",I151=2,"Monday",I151=3,"Tuesday",I151=4,"Wednesday",I151=5,"Thusday",I151=6,"Friday")</f>
        <v>Thusday</v>
      </c>
      <c r="K151" s="1">
        <v>2</v>
      </c>
      <c r="L151" s="1">
        <v>0.2</v>
      </c>
      <c r="M151" t="str">
        <f t="shared" si="3"/>
        <v>Rainy</v>
      </c>
    </row>
    <row r="152" spans="1:13" x14ac:dyDescent="0.35">
      <c r="A152" s="1">
        <v>150</v>
      </c>
      <c r="B152" s="3">
        <v>40550</v>
      </c>
      <c r="C152" s="1">
        <v>1</v>
      </c>
      <c r="D152" s="1">
        <v>0</v>
      </c>
      <c r="E152" s="1">
        <v>1</v>
      </c>
      <c r="F152" s="32">
        <v>12</v>
      </c>
      <c r="G152" s="64" t="str" cm="1">
        <f t="array" ref="G152">_xlfn.IFS(AND(F152&gt;=5,F152&lt;12),"Morning",AND(F152&gt;=12,F152&lt;17),"AfterNoon",AND(F152&gt;=17,F152&lt;20),"Evening",TRUE,"Night")</f>
        <v>AfterNoon</v>
      </c>
      <c r="H152" s="1" t="b">
        <v>0</v>
      </c>
      <c r="I152" s="1">
        <v>5</v>
      </c>
      <c r="J152" s="64" t="str" cm="1">
        <f t="array" ref="J152">_xlfn.IFS(I152=0,"Saturday",I152=1,"Sunday",I152=2,"Monday",I152=3,"Tuesday",I152=4,"Wednesday",I152=5,"Thusday",I152=6,"Friday")</f>
        <v>Thusday</v>
      </c>
      <c r="K152" s="1">
        <v>2</v>
      </c>
      <c r="L152" s="1">
        <v>0.2</v>
      </c>
      <c r="M152" t="str">
        <f t="shared" si="3"/>
        <v>Rainy</v>
      </c>
    </row>
    <row r="153" spans="1:13" x14ac:dyDescent="0.35">
      <c r="A153" s="1">
        <v>151</v>
      </c>
      <c r="B153" s="3">
        <v>40550</v>
      </c>
      <c r="C153" s="1">
        <v>1</v>
      </c>
      <c r="D153" s="1">
        <v>0</v>
      </c>
      <c r="E153" s="1">
        <v>1</v>
      </c>
      <c r="F153" s="32">
        <v>13</v>
      </c>
      <c r="G153" s="64" t="str" cm="1">
        <f t="array" ref="G153">_xlfn.IFS(AND(F153&gt;=5,F153&lt;12),"Morning",AND(F153&gt;=12,F153&lt;17),"AfterNoon",AND(F153&gt;=17,F153&lt;20),"Evening",TRUE,"Night")</f>
        <v>AfterNoon</v>
      </c>
      <c r="H153" s="1" t="b">
        <v>0</v>
      </c>
      <c r="I153" s="1">
        <v>5</v>
      </c>
      <c r="J153" s="64" t="str" cm="1">
        <f t="array" ref="J153">_xlfn.IFS(I153=0,"Saturday",I153=1,"Sunday",I153=2,"Monday",I153=3,"Tuesday",I153=4,"Wednesday",I153=5,"Thusday",I153=6,"Friday")</f>
        <v>Thusday</v>
      </c>
      <c r="K153" s="1">
        <v>2</v>
      </c>
      <c r="L153" s="1">
        <v>0.2</v>
      </c>
      <c r="M153" t="str">
        <f t="shared" si="3"/>
        <v>Rainy</v>
      </c>
    </row>
    <row r="154" spans="1:13" x14ac:dyDescent="0.35">
      <c r="A154" s="1">
        <v>152</v>
      </c>
      <c r="B154" s="3">
        <v>40550</v>
      </c>
      <c r="C154" s="1">
        <v>1</v>
      </c>
      <c r="D154" s="1">
        <v>0</v>
      </c>
      <c r="E154" s="1">
        <v>1</v>
      </c>
      <c r="F154" s="32">
        <v>14</v>
      </c>
      <c r="G154" s="64" t="str" cm="1">
        <f t="array" ref="G154">_xlfn.IFS(AND(F154&gt;=5,F154&lt;12),"Morning",AND(F154&gt;=12,F154&lt;17),"AfterNoon",AND(F154&gt;=17,F154&lt;20),"Evening",TRUE,"Night")</f>
        <v>AfterNoon</v>
      </c>
      <c r="H154" s="1" t="b">
        <v>0</v>
      </c>
      <c r="I154" s="1">
        <v>5</v>
      </c>
      <c r="J154" s="64" t="str" cm="1">
        <f t="array" ref="J154">_xlfn.IFS(I154=0,"Saturday",I154=1,"Sunday",I154=2,"Monday",I154=3,"Tuesday",I154=4,"Wednesday",I154=5,"Thusday",I154=6,"Friday")</f>
        <v>Thusday</v>
      </c>
      <c r="K154" s="1">
        <v>2</v>
      </c>
      <c r="L154" s="1">
        <v>0.2</v>
      </c>
      <c r="M154" t="str">
        <f t="shared" si="3"/>
        <v>Rainy</v>
      </c>
    </row>
    <row r="155" spans="1:13" x14ac:dyDescent="0.35">
      <c r="A155" s="1">
        <v>153</v>
      </c>
      <c r="B155" s="3">
        <v>40550</v>
      </c>
      <c r="C155" s="1">
        <v>1</v>
      </c>
      <c r="D155" s="1">
        <v>0</v>
      </c>
      <c r="E155" s="1">
        <v>1</v>
      </c>
      <c r="F155" s="32">
        <v>15</v>
      </c>
      <c r="G155" s="64" t="str" cm="1">
        <f t="array" ref="G155">_xlfn.IFS(AND(F155&gt;=5,F155&lt;12),"Morning",AND(F155&gt;=12,F155&lt;17),"AfterNoon",AND(F155&gt;=17,F155&lt;20),"Evening",TRUE,"Night")</f>
        <v>AfterNoon</v>
      </c>
      <c r="H155" s="1" t="b">
        <v>0</v>
      </c>
      <c r="I155" s="1">
        <v>5</v>
      </c>
      <c r="J155" s="64" t="str" cm="1">
        <f t="array" ref="J155">_xlfn.IFS(I155=0,"Saturday",I155=1,"Sunday",I155=2,"Monday",I155=3,"Tuesday",I155=4,"Wednesday",I155=5,"Thusday",I155=6,"Friday")</f>
        <v>Thusday</v>
      </c>
      <c r="K155" s="1">
        <v>2</v>
      </c>
      <c r="L155" s="1">
        <v>0.2</v>
      </c>
      <c r="M155" t="str">
        <f t="shared" si="3"/>
        <v>Rainy</v>
      </c>
    </row>
    <row r="156" spans="1:13" x14ac:dyDescent="0.35">
      <c r="A156" s="1">
        <v>154</v>
      </c>
      <c r="B156" s="3">
        <v>40550</v>
      </c>
      <c r="C156" s="1">
        <v>1</v>
      </c>
      <c r="D156" s="1">
        <v>0</v>
      </c>
      <c r="E156" s="1">
        <v>1</v>
      </c>
      <c r="F156" s="32">
        <v>16</v>
      </c>
      <c r="G156" s="64" t="str" cm="1">
        <f t="array" ref="G156">_xlfn.IFS(AND(F156&gt;=5,F156&lt;12),"Morning",AND(F156&gt;=12,F156&lt;17),"AfterNoon",AND(F156&gt;=17,F156&lt;20),"Evening",TRUE,"Night")</f>
        <v>AfterNoon</v>
      </c>
      <c r="H156" s="1" t="b">
        <v>0</v>
      </c>
      <c r="I156" s="1">
        <v>5</v>
      </c>
      <c r="J156" s="64" t="str" cm="1">
        <f t="array" ref="J156">_xlfn.IFS(I156=0,"Saturday",I156=1,"Sunday",I156=2,"Monday",I156=3,"Tuesday",I156=4,"Wednesday",I156=5,"Thusday",I156=6,"Friday")</f>
        <v>Thusday</v>
      </c>
      <c r="K156" s="1">
        <v>2</v>
      </c>
      <c r="L156" s="1">
        <v>0.2</v>
      </c>
      <c r="M156" t="str">
        <f t="shared" si="3"/>
        <v>Rainy</v>
      </c>
    </row>
    <row r="157" spans="1:13" x14ac:dyDescent="0.35">
      <c r="A157" s="1">
        <v>155</v>
      </c>
      <c r="B157" s="3">
        <v>40550</v>
      </c>
      <c r="C157" s="1">
        <v>1</v>
      </c>
      <c r="D157" s="1">
        <v>0</v>
      </c>
      <c r="E157" s="1">
        <v>1</v>
      </c>
      <c r="F157" s="32">
        <v>17</v>
      </c>
      <c r="G157" s="64" t="str" cm="1">
        <f t="array" ref="G157">_xlfn.IFS(AND(F157&gt;=5,F157&lt;12),"Morning",AND(F157&gt;=12,F157&lt;17),"AfterNoon",AND(F157&gt;=17,F157&lt;20),"Evening",TRUE,"Night")</f>
        <v>Evening</v>
      </c>
      <c r="H157" s="1" t="b">
        <v>0</v>
      </c>
      <c r="I157" s="1">
        <v>5</v>
      </c>
      <c r="J157" s="64" t="str" cm="1">
        <f t="array" ref="J157">_xlfn.IFS(I157=0,"Saturday",I157=1,"Sunday",I157=2,"Monday",I157=3,"Tuesday",I157=4,"Wednesday",I157=5,"Thusday",I157=6,"Friday")</f>
        <v>Thusday</v>
      </c>
      <c r="K157" s="1">
        <v>2</v>
      </c>
      <c r="L157" s="1">
        <v>0.2</v>
      </c>
      <c r="M157" t="str">
        <f t="shared" si="3"/>
        <v>Rainy</v>
      </c>
    </row>
    <row r="158" spans="1:13" x14ac:dyDescent="0.35">
      <c r="A158" s="1">
        <v>156</v>
      </c>
      <c r="B158" s="3">
        <v>40550</v>
      </c>
      <c r="C158" s="1">
        <v>1</v>
      </c>
      <c r="D158" s="1">
        <v>0</v>
      </c>
      <c r="E158" s="1">
        <v>1</v>
      </c>
      <c r="F158" s="32">
        <v>18</v>
      </c>
      <c r="G158" s="64" t="str" cm="1">
        <f t="array" ref="G158">_xlfn.IFS(AND(F158&gt;=5,F158&lt;12),"Morning",AND(F158&gt;=12,F158&lt;17),"AfterNoon",AND(F158&gt;=17,F158&lt;20),"Evening",TRUE,"Night")</f>
        <v>Evening</v>
      </c>
      <c r="H158" s="1" t="b">
        <v>0</v>
      </c>
      <c r="I158" s="1">
        <v>5</v>
      </c>
      <c r="J158" s="64" t="str" cm="1">
        <f t="array" ref="J158">_xlfn.IFS(I158=0,"Saturday",I158=1,"Sunday",I158=2,"Monday",I158=3,"Tuesday",I158=4,"Wednesday",I158=5,"Thusday",I158=6,"Friday")</f>
        <v>Thusday</v>
      </c>
      <c r="K158" s="1">
        <v>1</v>
      </c>
      <c r="L158" s="1">
        <v>0.2</v>
      </c>
      <c r="M158" t="str">
        <f t="shared" si="3"/>
        <v>Rainy</v>
      </c>
    </row>
    <row r="159" spans="1:13" x14ac:dyDescent="0.35">
      <c r="A159" s="1">
        <v>157</v>
      </c>
      <c r="B159" s="3">
        <v>40550</v>
      </c>
      <c r="C159" s="1">
        <v>1</v>
      </c>
      <c r="D159" s="1">
        <v>0</v>
      </c>
      <c r="E159" s="1">
        <v>1</v>
      </c>
      <c r="F159" s="32">
        <v>19</v>
      </c>
      <c r="G159" s="64" t="str" cm="1">
        <f t="array" ref="G159">_xlfn.IFS(AND(F159&gt;=5,F159&lt;12),"Morning",AND(F159&gt;=12,F159&lt;17),"AfterNoon",AND(F159&gt;=17,F159&lt;20),"Evening",TRUE,"Night")</f>
        <v>Evening</v>
      </c>
      <c r="H159" s="1" t="b">
        <v>0</v>
      </c>
      <c r="I159" s="1">
        <v>5</v>
      </c>
      <c r="J159" s="64" t="str" cm="1">
        <f t="array" ref="J159">_xlfn.IFS(I159=0,"Saturday",I159=1,"Sunday",I159=2,"Monday",I159=3,"Tuesday",I159=4,"Wednesday",I159=5,"Thusday",I159=6,"Friday")</f>
        <v>Thusday</v>
      </c>
      <c r="K159" s="1">
        <v>1</v>
      </c>
      <c r="L159" s="1">
        <v>0.16</v>
      </c>
      <c r="M159" t="str">
        <f t="shared" si="3"/>
        <v>Rainy</v>
      </c>
    </row>
    <row r="160" spans="1:13" x14ac:dyDescent="0.35">
      <c r="A160" s="1">
        <v>158</v>
      </c>
      <c r="B160" s="3">
        <v>40550</v>
      </c>
      <c r="C160" s="1">
        <v>1</v>
      </c>
      <c r="D160" s="1">
        <v>0</v>
      </c>
      <c r="E160" s="1">
        <v>1</v>
      </c>
      <c r="F160" s="32">
        <v>20</v>
      </c>
      <c r="G160" s="64" t="str" cm="1">
        <f t="array" ref="G160">_xlfn.IFS(AND(F160&gt;=5,F160&lt;12),"Morning",AND(F160&gt;=12,F160&lt;17),"AfterNoon",AND(F160&gt;=17,F160&lt;20),"Evening",TRUE,"Night")</f>
        <v>Night</v>
      </c>
      <c r="H160" s="1" t="b">
        <v>0</v>
      </c>
      <c r="I160" s="1">
        <v>5</v>
      </c>
      <c r="J160" s="64" t="str" cm="1">
        <f t="array" ref="J160">_xlfn.IFS(I160=0,"Saturday",I160=1,"Sunday",I160=2,"Monday",I160=3,"Tuesday",I160=4,"Wednesday",I160=5,"Thusday",I160=6,"Friday")</f>
        <v>Thusday</v>
      </c>
      <c r="K160" s="1">
        <v>1</v>
      </c>
      <c r="L160" s="1">
        <v>0.18</v>
      </c>
      <c r="M160" t="str">
        <f t="shared" si="3"/>
        <v>Rainy</v>
      </c>
    </row>
    <row r="161" spans="1:13" x14ac:dyDescent="0.35">
      <c r="A161" s="1">
        <v>159</v>
      </c>
      <c r="B161" s="3">
        <v>40550</v>
      </c>
      <c r="C161" s="1">
        <v>1</v>
      </c>
      <c r="D161" s="1">
        <v>0</v>
      </c>
      <c r="E161" s="1">
        <v>1</v>
      </c>
      <c r="F161" s="32">
        <v>21</v>
      </c>
      <c r="G161" s="64" t="str" cm="1">
        <f t="array" ref="G161">_xlfn.IFS(AND(F161&gt;=5,F161&lt;12),"Morning",AND(F161&gt;=12,F161&lt;17),"AfterNoon",AND(F161&gt;=17,F161&lt;20),"Evening",TRUE,"Night")</f>
        <v>Night</v>
      </c>
      <c r="H161" s="1" t="b">
        <v>0</v>
      </c>
      <c r="I161" s="1">
        <v>5</v>
      </c>
      <c r="J161" s="64" t="str" cm="1">
        <f t="array" ref="J161">_xlfn.IFS(I161=0,"Saturday",I161=1,"Sunday",I161=2,"Monday",I161=3,"Tuesday",I161=4,"Wednesday",I161=5,"Thusday",I161=6,"Friday")</f>
        <v>Thusday</v>
      </c>
      <c r="K161" s="1">
        <v>1</v>
      </c>
      <c r="L161" s="1">
        <v>0.18</v>
      </c>
      <c r="M161" t="str">
        <f t="shared" si="3"/>
        <v>Rainy</v>
      </c>
    </row>
    <row r="162" spans="1:13" x14ac:dyDescent="0.35">
      <c r="A162" s="1">
        <v>160</v>
      </c>
      <c r="B162" s="3">
        <v>40550</v>
      </c>
      <c r="C162" s="1">
        <v>1</v>
      </c>
      <c r="D162" s="1">
        <v>0</v>
      </c>
      <c r="E162" s="1">
        <v>1</v>
      </c>
      <c r="F162" s="32">
        <v>22</v>
      </c>
      <c r="G162" s="64" t="str" cm="1">
        <f t="array" ref="G162">_xlfn.IFS(AND(F162&gt;=5,F162&lt;12),"Morning",AND(F162&gt;=12,F162&lt;17),"AfterNoon",AND(F162&gt;=17,F162&lt;20),"Evening",TRUE,"Night")</f>
        <v>Night</v>
      </c>
      <c r="H162" s="1" t="b">
        <v>0</v>
      </c>
      <c r="I162" s="1">
        <v>5</v>
      </c>
      <c r="J162" s="64" t="str" cm="1">
        <f t="array" ref="J162">_xlfn.IFS(I162=0,"Saturday",I162=1,"Sunday",I162=2,"Monday",I162=3,"Tuesday",I162=4,"Wednesday",I162=5,"Thusday",I162=6,"Friday")</f>
        <v>Thusday</v>
      </c>
      <c r="K162" s="1">
        <v>2</v>
      </c>
      <c r="L162" s="1">
        <v>0.18</v>
      </c>
      <c r="M162" t="str">
        <f t="shared" si="3"/>
        <v>Rainy</v>
      </c>
    </row>
    <row r="163" spans="1:13" x14ac:dyDescent="0.35">
      <c r="A163" s="1">
        <v>161</v>
      </c>
      <c r="B163" s="3">
        <v>40550</v>
      </c>
      <c r="C163" s="1">
        <v>1</v>
      </c>
      <c r="D163" s="1">
        <v>0</v>
      </c>
      <c r="E163" s="1">
        <v>1</v>
      </c>
      <c r="F163" s="32">
        <v>23</v>
      </c>
      <c r="G163" s="64" t="str" cm="1">
        <f t="array" ref="G163">_xlfn.IFS(AND(F163&gt;=5,F163&lt;12),"Morning",AND(F163&gt;=12,F163&lt;17),"AfterNoon",AND(F163&gt;=17,F163&lt;20),"Evening",TRUE,"Night")</f>
        <v>Night</v>
      </c>
      <c r="H163" s="1" t="b">
        <v>0</v>
      </c>
      <c r="I163" s="1">
        <v>5</v>
      </c>
      <c r="J163" s="64" t="str" cm="1">
        <f t="array" ref="J163">_xlfn.IFS(I163=0,"Saturday",I163=1,"Sunday",I163=2,"Monday",I163=3,"Tuesday",I163=4,"Wednesday",I163=5,"Thusday",I163=6,"Friday")</f>
        <v>Thusday</v>
      </c>
      <c r="K163" s="1">
        <v>2</v>
      </c>
      <c r="L163" s="1">
        <v>0.18</v>
      </c>
      <c r="M163" t="str">
        <f t="shared" si="3"/>
        <v>Rainy</v>
      </c>
    </row>
    <row r="164" spans="1:13" x14ac:dyDescent="0.35">
      <c r="A164" s="1">
        <v>162</v>
      </c>
      <c r="B164" s="3">
        <v>40551</v>
      </c>
      <c r="C164" s="1">
        <v>1</v>
      </c>
      <c r="D164" s="1">
        <v>0</v>
      </c>
      <c r="E164" s="1">
        <v>1</v>
      </c>
      <c r="F164" s="32">
        <v>0</v>
      </c>
      <c r="G164" s="64" t="str" cm="1">
        <f t="array" ref="G164">_xlfn.IFS(AND(F164&gt;=5,F164&lt;12),"Morning",AND(F164&gt;=12,F164&lt;17),"AfterNoon",AND(F164&gt;=17,F164&lt;20),"Evening",TRUE,"Night")</f>
        <v>Night</v>
      </c>
      <c r="H164" s="1" t="b">
        <v>0</v>
      </c>
      <c r="I164" s="1">
        <v>6</v>
      </c>
      <c r="J164" s="64" t="str" cm="1">
        <f t="array" ref="J164">_xlfn.IFS(I164=0,"Saturday",I164=1,"Sunday",I164=2,"Monday",I164=3,"Tuesday",I164=4,"Wednesday",I164=5,"Thusday",I164=6,"Friday")</f>
        <v>Friday</v>
      </c>
      <c r="K164" s="1">
        <v>2</v>
      </c>
      <c r="L164" s="1">
        <v>0.18</v>
      </c>
      <c r="M164" t="str">
        <f t="shared" si="3"/>
        <v>Rainy</v>
      </c>
    </row>
    <row r="165" spans="1:13" x14ac:dyDescent="0.35">
      <c r="A165" s="1">
        <v>163</v>
      </c>
      <c r="B165" s="3">
        <v>40551</v>
      </c>
      <c r="C165" s="1">
        <v>1</v>
      </c>
      <c r="D165" s="1">
        <v>0</v>
      </c>
      <c r="E165" s="1">
        <v>1</v>
      </c>
      <c r="F165" s="32">
        <v>1</v>
      </c>
      <c r="G165" s="64" t="str" cm="1">
        <f t="array" ref="G165">_xlfn.IFS(AND(F165&gt;=5,F165&lt;12),"Morning",AND(F165&gt;=12,F165&lt;17),"AfterNoon",AND(F165&gt;=17,F165&lt;20),"Evening",TRUE,"Night")</f>
        <v>Night</v>
      </c>
      <c r="H165" s="1" t="b">
        <v>0</v>
      </c>
      <c r="I165" s="1">
        <v>6</v>
      </c>
      <c r="J165" s="64" t="str" cm="1">
        <f t="array" ref="J165">_xlfn.IFS(I165=0,"Saturday",I165=1,"Sunday",I165=2,"Monday",I165=3,"Tuesday",I165=4,"Wednesday",I165=5,"Thusday",I165=6,"Friday")</f>
        <v>Friday</v>
      </c>
      <c r="K165" s="1">
        <v>2</v>
      </c>
      <c r="L165" s="1">
        <v>0.18</v>
      </c>
      <c r="M165" t="str">
        <f t="shared" si="3"/>
        <v>Rainy</v>
      </c>
    </row>
    <row r="166" spans="1:13" x14ac:dyDescent="0.35">
      <c r="A166" s="1">
        <v>164</v>
      </c>
      <c r="B166" s="3">
        <v>40551</v>
      </c>
      <c r="C166" s="1">
        <v>1</v>
      </c>
      <c r="D166" s="1">
        <v>0</v>
      </c>
      <c r="E166" s="1">
        <v>1</v>
      </c>
      <c r="F166" s="32">
        <v>2</v>
      </c>
      <c r="G166" s="64" t="str" cm="1">
        <f t="array" ref="G166">_xlfn.IFS(AND(F166&gt;=5,F166&lt;12),"Morning",AND(F166&gt;=12,F166&lt;17),"AfterNoon",AND(F166&gt;=17,F166&lt;20),"Evening",TRUE,"Night")</f>
        <v>Night</v>
      </c>
      <c r="H166" s="1" t="b">
        <v>0</v>
      </c>
      <c r="I166" s="1">
        <v>6</v>
      </c>
      <c r="J166" s="64" t="str" cm="1">
        <f t="array" ref="J166">_xlfn.IFS(I166=0,"Saturday",I166=1,"Sunday",I166=2,"Monday",I166=3,"Tuesday",I166=4,"Wednesday",I166=5,"Thusday",I166=6,"Friday")</f>
        <v>Friday</v>
      </c>
      <c r="K166" s="1">
        <v>2</v>
      </c>
      <c r="L166" s="1">
        <v>0.18</v>
      </c>
      <c r="M166" t="str">
        <f t="shared" si="3"/>
        <v>Rainy</v>
      </c>
    </row>
    <row r="167" spans="1:13" x14ac:dyDescent="0.35">
      <c r="A167" s="1">
        <v>165</v>
      </c>
      <c r="B167" s="3">
        <v>40551</v>
      </c>
      <c r="C167" s="1">
        <v>1</v>
      </c>
      <c r="D167" s="1">
        <v>0</v>
      </c>
      <c r="E167" s="1">
        <v>1</v>
      </c>
      <c r="F167" s="32">
        <v>3</v>
      </c>
      <c r="G167" s="64" t="str" cm="1">
        <f t="array" ref="G167">_xlfn.IFS(AND(F167&gt;=5,F167&lt;12),"Morning",AND(F167&gt;=12,F167&lt;17),"AfterNoon",AND(F167&gt;=17,F167&lt;20),"Evening",TRUE,"Night")</f>
        <v>Night</v>
      </c>
      <c r="H167" s="1" t="b">
        <v>0</v>
      </c>
      <c r="I167" s="1">
        <v>6</v>
      </c>
      <c r="J167" s="64" t="str" cm="1">
        <f t="array" ref="J167">_xlfn.IFS(I167=0,"Saturday",I167=1,"Sunday",I167=2,"Monday",I167=3,"Tuesday",I167=4,"Wednesday",I167=5,"Thusday",I167=6,"Friday")</f>
        <v>Friday</v>
      </c>
      <c r="K167" s="1">
        <v>3</v>
      </c>
      <c r="L167" s="1">
        <v>0.18</v>
      </c>
      <c r="M167" t="str">
        <f t="shared" si="3"/>
        <v>Rainy</v>
      </c>
    </row>
    <row r="168" spans="1:13" x14ac:dyDescent="0.35">
      <c r="A168" s="1">
        <v>166</v>
      </c>
      <c r="B168" s="3">
        <v>40551</v>
      </c>
      <c r="C168" s="1">
        <v>1</v>
      </c>
      <c r="D168" s="1">
        <v>0</v>
      </c>
      <c r="E168" s="1">
        <v>1</v>
      </c>
      <c r="F168" s="32">
        <v>4</v>
      </c>
      <c r="G168" s="64" t="str" cm="1">
        <f t="array" ref="G168">_xlfn.IFS(AND(F168&gt;=5,F168&lt;12),"Morning",AND(F168&gt;=12,F168&lt;17),"AfterNoon",AND(F168&gt;=17,F168&lt;20),"Evening",TRUE,"Night")</f>
        <v>Night</v>
      </c>
      <c r="H168" s="1" t="b">
        <v>0</v>
      </c>
      <c r="I168" s="1">
        <v>6</v>
      </c>
      <c r="J168" s="64" t="str" cm="1">
        <f t="array" ref="J168">_xlfn.IFS(I168=0,"Saturday",I168=1,"Sunday",I168=2,"Monday",I168=3,"Tuesday",I168=4,"Wednesday",I168=5,"Thusday",I168=6,"Friday")</f>
        <v>Friday</v>
      </c>
      <c r="K168" s="1">
        <v>3</v>
      </c>
      <c r="L168" s="1">
        <v>0.18</v>
      </c>
      <c r="M168" t="str">
        <f t="shared" si="3"/>
        <v>Rainy</v>
      </c>
    </row>
    <row r="169" spans="1:13" x14ac:dyDescent="0.35">
      <c r="A169" s="1">
        <v>167</v>
      </c>
      <c r="B169" s="3">
        <v>40551</v>
      </c>
      <c r="C169" s="1">
        <v>1</v>
      </c>
      <c r="D169" s="1">
        <v>0</v>
      </c>
      <c r="E169" s="1">
        <v>1</v>
      </c>
      <c r="F169" s="32">
        <v>5</v>
      </c>
      <c r="G169" s="64" t="str" cm="1">
        <f t="array" ref="G169">_xlfn.IFS(AND(F169&gt;=5,F169&lt;12),"Morning",AND(F169&gt;=12,F169&lt;17),"AfterNoon",AND(F169&gt;=17,F169&lt;20),"Evening",TRUE,"Night")</f>
        <v>Morning</v>
      </c>
      <c r="H169" s="1" t="b">
        <v>0</v>
      </c>
      <c r="I169" s="1">
        <v>6</v>
      </c>
      <c r="J169" s="64" t="str" cm="1">
        <f t="array" ref="J169">_xlfn.IFS(I169=0,"Saturday",I169=1,"Sunday",I169=2,"Monday",I169=3,"Tuesday",I169=4,"Wednesday",I169=5,"Thusday",I169=6,"Friday")</f>
        <v>Friday</v>
      </c>
      <c r="K169" s="1">
        <v>2</v>
      </c>
      <c r="L169" s="1">
        <v>0.16</v>
      </c>
      <c r="M169" t="str">
        <f t="shared" si="3"/>
        <v>Rainy</v>
      </c>
    </row>
    <row r="170" spans="1:13" x14ac:dyDescent="0.35">
      <c r="A170" s="1">
        <v>168</v>
      </c>
      <c r="B170" s="3">
        <v>40551</v>
      </c>
      <c r="C170" s="1">
        <v>1</v>
      </c>
      <c r="D170" s="1">
        <v>0</v>
      </c>
      <c r="E170" s="1">
        <v>1</v>
      </c>
      <c r="F170" s="32">
        <v>6</v>
      </c>
      <c r="G170" s="64" t="str" cm="1">
        <f t="array" ref="G170">_xlfn.IFS(AND(F170&gt;=5,F170&lt;12),"Morning",AND(F170&gt;=12,F170&lt;17),"AfterNoon",AND(F170&gt;=17,F170&lt;20),"Evening",TRUE,"Night")</f>
        <v>Morning</v>
      </c>
      <c r="H170" s="1" t="b">
        <v>0</v>
      </c>
      <c r="I170" s="1">
        <v>6</v>
      </c>
      <c r="J170" s="64" t="str" cm="1">
        <f t="array" ref="J170">_xlfn.IFS(I170=0,"Saturday",I170=1,"Sunday",I170=2,"Monday",I170=3,"Tuesday",I170=4,"Wednesday",I170=5,"Thusday",I170=6,"Friday")</f>
        <v>Friday</v>
      </c>
      <c r="K170" s="1">
        <v>2</v>
      </c>
      <c r="L170" s="1">
        <v>0.16</v>
      </c>
      <c r="M170" t="str">
        <f t="shared" si="3"/>
        <v>Rainy</v>
      </c>
    </row>
    <row r="171" spans="1:13" x14ac:dyDescent="0.35">
      <c r="A171" s="1">
        <v>169</v>
      </c>
      <c r="B171" s="3">
        <v>40551</v>
      </c>
      <c r="C171" s="1">
        <v>1</v>
      </c>
      <c r="D171" s="1">
        <v>0</v>
      </c>
      <c r="E171" s="1">
        <v>1</v>
      </c>
      <c r="F171" s="32">
        <v>7</v>
      </c>
      <c r="G171" s="64" t="str" cm="1">
        <f t="array" ref="G171">_xlfn.IFS(AND(F171&gt;=5,F171&lt;12),"Morning",AND(F171&gt;=12,F171&lt;17),"AfterNoon",AND(F171&gt;=17,F171&lt;20),"Evening",TRUE,"Night")</f>
        <v>Morning</v>
      </c>
      <c r="H171" s="1" t="b">
        <v>0</v>
      </c>
      <c r="I171" s="1">
        <v>6</v>
      </c>
      <c r="J171" s="64" t="str" cm="1">
        <f t="array" ref="J171">_xlfn.IFS(I171=0,"Saturday",I171=1,"Sunday",I171=2,"Monday",I171=3,"Tuesday",I171=4,"Wednesday",I171=5,"Thusday",I171=6,"Friday")</f>
        <v>Friday</v>
      </c>
      <c r="K171" s="1">
        <v>2</v>
      </c>
      <c r="L171" s="1">
        <v>0.16</v>
      </c>
      <c r="M171" t="str">
        <f t="shared" si="3"/>
        <v>Rainy</v>
      </c>
    </row>
    <row r="172" spans="1:13" x14ac:dyDescent="0.35">
      <c r="A172" s="1">
        <v>170</v>
      </c>
      <c r="B172" s="3">
        <v>40551</v>
      </c>
      <c r="C172" s="1">
        <v>1</v>
      </c>
      <c r="D172" s="1">
        <v>0</v>
      </c>
      <c r="E172" s="1">
        <v>1</v>
      </c>
      <c r="F172" s="32">
        <v>8</v>
      </c>
      <c r="G172" s="64" t="str" cm="1">
        <f t="array" ref="G172">_xlfn.IFS(AND(F172&gt;=5,F172&lt;12),"Morning",AND(F172&gt;=12,F172&lt;17),"AfterNoon",AND(F172&gt;=17,F172&lt;20),"Evening",TRUE,"Night")</f>
        <v>Morning</v>
      </c>
      <c r="H172" s="1" t="b">
        <v>0</v>
      </c>
      <c r="I172" s="1">
        <v>6</v>
      </c>
      <c r="J172" s="64" t="str" cm="1">
        <f t="array" ref="J172">_xlfn.IFS(I172=0,"Saturday",I172=1,"Sunday",I172=2,"Monday",I172=3,"Tuesday",I172=4,"Wednesday",I172=5,"Thusday",I172=6,"Friday")</f>
        <v>Friday</v>
      </c>
      <c r="K172" s="1">
        <v>3</v>
      </c>
      <c r="L172" s="1">
        <v>0.16</v>
      </c>
      <c r="M172" t="str">
        <f t="shared" si="3"/>
        <v>Rainy</v>
      </c>
    </row>
    <row r="173" spans="1:13" x14ac:dyDescent="0.35">
      <c r="A173" s="1">
        <v>171</v>
      </c>
      <c r="B173" s="3">
        <v>40551</v>
      </c>
      <c r="C173" s="1">
        <v>1</v>
      </c>
      <c r="D173" s="1">
        <v>0</v>
      </c>
      <c r="E173" s="1">
        <v>1</v>
      </c>
      <c r="F173" s="32">
        <v>9</v>
      </c>
      <c r="G173" s="64" t="str" cm="1">
        <f t="array" ref="G173">_xlfn.IFS(AND(F173&gt;=5,F173&lt;12),"Morning",AND(F173&gt;=12,F173&lt;17),"AfterNoon",AND(F173&gt;=17,F173&lt;20),"Evening",TRUE,"Night")</f>
        <v>Morning</v>
      </c>
      <c r="H173" s="1" t="b">
        <v>0</v>
      </c>
      <c r="I173" s="1">
        <v>6</v>
      </c>
      <c r="J173" s="64" t="str" cm="1">
        <f t="array" ref="J173">_xlfn.IFS(I173=0,"Saturday",I173=1,"Sunday",I173=2,"Monday",I173=3,"Tuesday",I173=4,"Wednesday",I173=5,"Thusday",I173=6,"Friday")</f>
        <v>Friday</v>
      </c>
      <c r="K173" s="1">
        <v>3</v>
      </c>
      <c r="L173" s="1">
        <v>0.16</v>
      </c>
      <c r="M173" t="str">
        <f t="shared" si="3"/>
        <v>Rainy</v>
      </c>
    </row>
    <row r="174" spans="1:13" x14ac:dyDescent="0.35">
      <c r="A174" s="1">
        <v>172</v>
      </c>
      <c r="B174" s="3">
        <v>40551</v>
      </c>
      <c r="C174" s="1">
        <v>1</v>
      </c>
      <c r="D174" s="1">
        <v>0</v>
      </c>
      <c r="E174" s="1">
        <v>1</v>
      </c>
      <c r="F174" s="32">
        <v>10</v>
      </c>
      <c r="G174" s="64" t="str" cm="1">
        <f t="array" ref="G174">_xlfn.IFS(AND(F174&gt;=5,F174&lt;12),"Morning",AND(F174&gt;=12,F174&lt;17),"AfterNoon",AND(F174&gt;=17,F174&lt;20),"Evening",TRUE,"Night")</f>
        <v>Morning</v>
      </c>
      <c r="H174" s="1" t="b">
        <v>0</v>
      </c>
      <c r="I174" s="1">
        <v>6</v>
      </c>
      <c r="J174" s="64" t="str" cm="1">
        <f t="array" ref="J174">_xlfn.IFS(I174=0,"Saturday",I174=1,"Sunday",I174=2,"Monday",I174=3,"Tuesday",I174=4,"Wednesday",I174=5,"Thusday",I174=6,"Friday")</f>
        <v>Friday</v>
      </c>
      <c r="K174" s="1">
        <v>2</v>
      </c>
      <c r="L174" s="1">
        <v>0.18</v>
      </c>
      <c r="M174" t="str">
        <f t="shared" si="3"/>
        <v>Rainy</v>
      </c>
    </row>
    <row r="175" spans="1:13" x14ac:dyDescent="0.35">
      <c r="A175" s="1">
        <v>173</v>
      </c>
      <c r="B175" s="3">
        <v>40551</v>
      </c>
      <c r="C175" s="1">
        <v>1</v>
      </c>
      <c r="D175" s="1">
        <v>0</v>
      </c>
      <c r="E175" s="1">
        <v>1</v>
      </c>
      <c r="F175" s="32">
        <v>11</v>
      </c>
      <c r="G175" s="64" t="str" cm="1">
        <f t="array" ref="G175">_xlfn.IFS(AND(F175&gt;=5,F175&lt;12),"Morning",AND(F175&gt;=12,F175&lt;17),"AfterNoon",AND(F175&gt;=17,F175&lt;20),"Evening",TRUE,"Night")</f>
        <v>Morning</v>
      </c>
      <c r="H175" s="1" t="b">
        <v>0</v>
      </c>
      <c r="I175" s="1">
        <v>6</v>
      </c>
      <c r="J175" s="64" t="str" cm="1">
        <f t="array" ref="J175">_xlfn.IFS(I175=0,"Saturday",I175=1,"Sunday",I175=2,"Monday",I175=3,"Tuesday",I175=4,"Wednesday",I175=5,"Thusday",I175=6,"Friday")</f>
        <v>Friday</v>
      </c>
      <c r="K175" s="1">
        <v>2</v>
      </c>
      <c r="L175" s="1">
        <v>0.2</v>
      </c>
      <c r="M175" t="str">
        <f t="shared" si="3"/>
        <v>Rainy</v>
      </c>
    </row>
    <row r="176" spans="1:13" x14ac:dyDescent="0.35">
      <c r="A176" s="1">
        <v>174</v>
      </c>
      <c r="B176" s="3">
        <v>40551</v>
      </c>
      <c r="C176" s="1">
        <v>1</v>
      </c>
      <c r="D176" s="1">
        <v>0</v>
      </c>
      <c r="E176" s="1">
        <v>1</v>
      </c>
      <c r="F176" s="32">
        <v>12</v>
      </c>
      <c r="G176" s="64" t="str" cm="1">
        <f t="array" ref="G176">_xlfn.IFS(AND(F176&gt;=5,F176&lt;12),"Morning",AND(F176&gt;=12,F176&lt;17),"AfterNoon",AND(F176&gt;=17,F176&lt;20),"Evening",TRUE,"Night")</f>
        <v>AfterNoon</v>
      </c>
      <c r="H176" s="1" t="b">
        <v>0</v>
      </c>
      <c r="I176" s="1">
        <v>6</v>
      </c>
      <c r="J176" s="64" t="str" cm="1">
        <f t="array" ref="J176">_xlfn.IFS(I176=0,"Saturday",I176=1,"Sunday",I176=2,"Monday",I176=3,"Tuesday",I176=4,"Wednesday",I176=5,"Thusday",I176=6,"Friday")</f>
        <v>Friday</v>
      </c>
      <c r="K176" s="1">
        <v>2</v>
      </c>
      <c r="L176" s="1">
        <v>0.2</v>
      </c>
      <c r="M176" t="str">
        <f t="shared" si="3"/>
        <v>Rainy</v>
      </c>
    </row>
    <row r="177" spans="1:13" x14ac:dyDescent="0.35">
      <c r="A177" s="1">
        <v>175</v>
      </c>
      <c r="B177" s="3">
        <v>40551</v>
      </c>
      <c r="C177" s="1">
        <v>1</v>
      </c>
      <c r="D177" s="1">
        <v>0</v>
      </c>
      <c r="E177" s="1">
        <v>1</v>
      </c>
      <c r="F177" s="32">
        <v>13</v>
      </c>
      <c r="G177" s="64" t="str" cm="1">
        <f t="array" ref="G177">_xlfn.IFS(AND(F177&gt;=5,F177&lt;12),"Morning",AND(F177&gt;=12,F177&lt;17),"AfterNoon",AND(F177&gt;=17,F177&lt;20),"Evening",TRUE,"Night")</f>
        <v>AfterNoon</v>
      </c>
      <c r="H177" s="1" t="b">
        <v>0</v>
      </c>
      <c r="I177" s="1">
        <v>6</v>
      </c>
      <c r="J177" s="64" t="str" cm="1">
        <f t="array" ref="J177">_xlfn.IFS(I177=0,"Saturday",I177=1,"Sunday",I177=2,"Monday",I177=3,"Tuesday",I177=4,"Wednesday",I177=5,"Thusday",I177=6,"Friday")</f>
        <v>Friday</v>
      </c>
      <c r="K177" s="1">
        <v>1</v>
      </c>
      <c r="L177" s="1">
        <v>0.2</v>
      </c>
      <c r="M177" t="str">
        <f t="shared" si="3"/>
        <v>Rainy</v>
      </c>
    </row>
    <row r="178" spans="1:13" x14ac:dyDescent="0.35">
      <c r="A178" s="1">
        <v>176</v>
      </c>
      <c r="B178" s="3">
        <v>40551</v>
      </c>
      <c r="C178" s="1">
        <v>1</v>
      </c>
      <c r="D178" s="1">
        <v>0</v>
      </c>
      <c r="E178" s="1">
        <v>1</v>
      </c>
      <c r="F178" s="32">
        <v>14</v>
      </c>
      <c r="G178" s="64" t="str" cm="1">
        <f t="array" ref="G178">_xlfn.IFS(AND(F178&gt;=5,F178&lt;12),"Morning",AND(F178&gt;=12,F178&lt;17),"AfterNoon",AND(F178&gt;=17,F178&lt;20),"Evening",TRUE,"Night")</f>
        <v>AfterNoon</v>
      </c>
      <c r="H178" s="1" t="b">
        <v>0</v>
      </c>
      <c r="I178" s="1">
        <v>6</v>
      </c>
      <c r="J178" s="64" t="str" cm="1">
        <f t="array" ref="J178">_xlfn.IFS(I178=0,"Saturday",I178=1,"Sunday",I178=2,"Monday",I178=3,"Tuesday",I178=4,"Wednesday",I178=5,"Thusday",I178=6,"Friday")</f>
        <v>Friday</v>
      </c>
      <c r="K178" s="1">
        <v>1</v>
      </c>
      <c r="L178" s="1">
        <v>0.2</v>
      </c>
      <c r="M178" t="str">
        <f t="shared" si="3"/>
        <v>Rainy</v>
      </c>
    </row>
    <row r="179" spans="1:13" x14ac:dyDescent="0.35">
      <c r="A179" s="1">
        <v>177</v>
      </c>
      <c r="B179" s="3">
        <v>40551</v>
      </c>
      <c r="C179" s="1">
        <v>1</v>
      </c>
      <c r="D179" s="1">
        <v>0</v>
      </c>
      <c r="E179" s="1">
        <v>1</v>
      </c>
      <c r="F179" s="32">
        <v>15</v>
      </c>
      <c r="G179" s="64" t="str" cm="1">
        <f t="array" ref="G179">_xlfn.IFS(AND(F179&gt;=5,F179&lt;12),"Morning",AND(F179&gt;=12,F179&lt;17),"AfterNoon",AND(F179&gt;=17,F179&lt;20),"Evening",TRUE,"Night")</f>
        <v>AfterNoon</v>
      </c>
      <c r="H179" s="1" t="b">
        <v>0</v>
      </c>
      <c r="I179" s="1">
        <v>6</v>
      </c>
      <c r="J179" s="64" t="str" cm="1">
        <f t="array" ref="J179">_xlfn.IFS(I179=0,"Saturday",I179=1,"Sunday",I179=2,"Monday",I179=3,"Tuesday",I179=4,"Wednesday",I179=5,"Thusday",I179=6,"Friday")</f>
        <v>Friday</v>
      </c>
      <c r="K179" s="1">
        <v>1</v>
      </c>
      <c r="L179" s="1">
        <v>0.2</v>
      </c>
      <c r="M179" t="str">
        <f t="shared" si="3"/>
        <v>Rainy</v>
      </c>
    </row>
    <row r="180" spans="1:13" x14ac:dyDescent="0.35">
      <c r="A180" s="1">
        <v>178</v>
      </c>
      <c r="B180" s="3">
        <v>40551</v>
      </c>
      <c r="C180" s="1">
        <v>1</v>
      </c>
      <c r="D180" s="1">
        <v>0</v>
      </c>
      <c r="E180" s="1">
        <v>1</v>
      </c>
      <c r="F180" s="32">
        <v>16</v>
      </c>
      <c r="G180" s="64" t="str" cm="1">
        <f t="array" ref="G180">_xlfn.IFS(AND(F180&gt;=5,F180&lt;12),"Morning",AND(F180&gt;=12,F180&lt;17),"AfterNoon",AND(F180&gt;=17,F180&lt;20),"Evening",TRUE,"Night")</f>
        <v>AfterNoon</v>
      </c>
      <c r="H180" s="1" t="b">
        <v>0</v>
      </c>
      <c r="I180" s="1">
        <v>6</v>
      </c>
      <c r="J180" s="64" t="str" cm="1">
        <f t="array" ref="J180">_xlfn.IFS(I180=0,"Saturday",I180=1,"Sunday",I180=2,"Monday",I180=3,"Tuesday",I180=4,"Wednesday",I180=5,"Thusday",I180=6,"Friday")</f>
        <v>Friday</v>
      </c>
      <c r="K180" s="1">
        <v>1</v>
      </c>
      <c r="L180" s="1">
        <v>0.18</v>
      </c>
      <c r="M180" t="str">
        <f t="shared" si="3"/>
        <v>Rainy</v>
      </c>
    </row>
    <row r="181" spans="1:13" x14ac:dyDescent="0.35">
      <c r="A181" s="1">
        <v>179</v>
      </c>
      <c r="B181" s="3">
        <v>40551</v>
      </c>
      <c r="C181" s="1">
        <v>1</v>
      </c>
      <c r="D181" s="1">
        <v>0</v>
      </c>
      <c r="E181" s="1">
        <v>1</v>
      </c>
      <c r="F181" s="32">
        <v>17</v>
      </c>
      <c r="G181" s="64" t="str" cm="1">
        <f t="array" ref="G181">_xlfn.IFS(AND(F181&gt;=5,F181&lt;12),"Morning",AND(F181&gt;=12,F181&lt;17),"AfterNoon",AND(F181&gt;=17,F181&lt;20),"Evening",TRUE,"Night")</f>
        <v>Evening</v>
      </c>
      <c r="H181" s="1" t="b">
        <v>0</v>
      </c>
      <c r="I181" s="1">
        <v>6</v>
      </c>
      <c r="J181" s="64" t="str" cm="1">
        <f t="array" ref="J181">_xlfn.IFS(I181=0,"Saturday",I181=1,"Sunday",I181=2,"Monday",I181=3,"Tuesday",I181=4,"Wednesday",I181=5,"Thusday",I181=6,"Friday")</f>
        <v>Friday</v>
      </c>
      <c r="K181" s="1">
        <v>1</v>
      </c>
      <c r="L181" s="1">
        <v>0.16</v>
      </c>
      <c r="M181" t="str">
        <f t="shared" si="3"/>
        <v>Rainy</v>
      </c>
    </row>
    <row r="182" spans="1:13" x14ac:dyDescent="0.35">
      <c r="A182" s="1">
        <v>180</v>
      </c>
      <c r="B182" s="3">
        <v>40551</v>
      </c>
      <c r="C182" s="1">
        <v>1</v>
      </c>
      <c r="D182" s="1">
        <v>0</v>
      </c>
      <c r="E182" s="1">
        <v>1</v>
      </c>
      <c r="F182" s="32">
        <v>18</v>
      </c>
      <c r="G182" s="64" t="str" cm="1">
        <f t="array" ref="G182">_xlfn.IFS(AND(F182&gt;=5,F182&lt;12),"Morning",AND(F182&gt;=12,F182&lt;17),"AfterNoon",AND(F182&gt;=17,F182&lt;20),"Evening",TRUE,"Night")</f>
        <v>Evening</v>
      </c>
      <c r="H182" s="1" t="b">
        <v>0</v>
      </c>
      <c r="I182" s="1">
        <v>6</v>
      </c>
      <c r="J182" s="64" t="str" cm="1">
        <f t="array" ref="J182">_xlfn.IFS(I182=0,"Saturday",I182=1,"Sunday",I182=2,"Monday",I182=3,"Tuesday",I182=4,"Wednesday",I182=5,"Thusday",I182=6,"Friday")</f>
        <v>Friday</v>
      </c>
      <c r="K182" s="1">
        <v>1</v>
      </c>
      <c r="L182" s="1">
        <v>0.14000000000000001</v>
      </c>
      <c r="M182" t="str">
        <f t="shared" si="3"/>
        <v>Rainy</v>
      </c>
    </row>
    <row r="183" spans="1:13" x14ac:dyDescent="0.35">
      <c r="A183" s="1">
        <v>181</v>
      </c>
      <c r="B183" s="3">
        <v>40551</v>
      </c>
      <c r="C183" s="1">
        <v>1</v>
      </c>
      <c r="D183" s="1">
        <v>0</v>
      </c>
      <c r="E183" s="1">
        <v>1</v>
      </c>
      <c r="F183" s="32">
        <v>19</v>
      </c>
      <c r="G183" s="64" t="str" cm="1">
        <f t="array" ref="G183">_xlfn.IFS(AND(F183&gt;=5,F183&lt;12),"Morning",AND(F183&gt;=12,F183&lt;17),"AfterNoon",AND(F183&gt;=17,F183&lt;20),"Evening",TRUE,"Night")</f>
        <v>Evening</v>
      </c>
      <c r="H183" s="1" t="b">
        <v>0</v>
      </c>
      <c r="I183" s="1">
        <v>6</v>
      </c>
      <c r="J183" s="64" t="str" cm="1">
        <f t="array" ref="J183">_xlfn.IFS(I183=0,"Saturday",I183=1,"Sunday",I183=2,"Monday",I183=3,"Tuesday",I183=4,"Wednesday",I183=5,"Thusday",I183=6,"Friday")</f>
        <v>Friday</v>
      </c>
      <c r="K183" s="1">
        <v>1</v>
      </c>
      <c r="L183" s="1">
        <v>0.14000000000000001</v>
      </c>
      <c r="M183" t="str">
        <f t="shared" si="3"/>
        <v>Rainy</v>
      </c>
    </row>
    <row r="184" spans="1:13" x14ac:dyDescent="0.35">
      <c r="A184" s="1">
        <v>182</v>
      </c>
      <c r="B184" s="3">
        <v>40551</v>
      </c>
      <c r="C184" s="1">
        <v>1</v>
      </c>
      <c r="D184" s="1">
        <v>0</v>
      </c>
      <c r="E184" s="1">
        <v>1</v>
      </c>
      <c r="F184" s="32">
        <v>20</v>
      </c>
      <c r="G184" s="64" t="str" cm="1">
        <f t="array" ref="G184">_xlfn.IFS(AND(F184&gt;=5,F184&lt;12),"Morning",AND(F184&gt;=12,F184&lt;17),"AfterNoon",AND(F184&gt;=17,F184&lt;20),"Evening",TRUE,"Night")</f>
        <v>Night</v>
      </c>
      <c r="H184" s="1" t="b">
        <v>0</v>
      </c>
      <c r="I184" s="1">
        <v>6</v>
      </c>
      <c r="J184" s="64" t="str" cm="1">
        <f t="array" ref="J184">_xlfn.IFS(I184=0,"Saturday",I184=1,"Sunday",I184=2,"Monday",I184=3,"Tuesday",I184=4,"Wednesday",I184=5,"Thusday",I184=6,"Friday")</f>
        <v>Friday</v>
      </c>
      <c r="K184" s="1">
        <v>1</v>
      </c>
      <c r="L184" s="1">
        <v>0.12</v>
      </c>
      <c r="M184" t="str">
        <f t="shared" si="3"/>
        <v>Rainy</v>
      </c>
    </row>
    <row r="185" spans="1:13" x14ac:dyDescent="0.35">
      <c r="A185" s="1">
        <v>183</v>
      </c>
      <c r="B185" s="3">
        <v>40551</v>
      </c>
      <c r="C185" s="1">
        <v>1</v>
      </c>
      <c r="D185" s="1">
        <v>0</v>
      </c>
      <c r="E185" s="1">
        <v>1</v>
      </c>
      <c r="F185" s="32">
        <v>21</v>
      </c>
      <c r="G185" s="64" t="str" cm="1">
        <f t="array" ref="G185">_xlfn.IFS(AND(F185&gt;=5,F185&lt;12),"Morning",AND(F185&gt;=12,F185&lt;17),"AfterNoon",AND(F185&gt;=17,F185&lt;20),"Evening",TRUE,"Night")</f>
        <v>Night</v>
      </c>
      <c r="H185" s="1" t="b">
        <v>0</v>
      </c>
      <c r="I185" s="1">
        <v>6</v>
      </c>
      <c r="J185" s="64" t="str" cm="1">
        <f t="array" ref="J185">_xlfn.IFS(I185=0,"Saturday",I185=1,"Sunday",I185=2,"Monday",I185=3,"Tuesday",I185=4,"Wednesday",I185=5,"Thusday",I185=6,"Friday")</f>
        <v>Friday</v>
      </c>
      <c r="K185" s="1">
        <v>1</v>
      </c>
      <c r="L185" s="1">
        <v>0.12</v>
      </c>
      <c r="M185" t="str">
        <f t="shared" si="3"/>
        <v>Rainy</v>
      </c>
    </row>
    <row r="186" spans="1:13" x14ac:dyDescent="0.35">
      <c r="A186" s="1">
        <v>184</v>
      </c>
      <c r="B186" s="3">
        <v>40551</v>
      </c>
      <c r="C186" s="1">
        <v>1</v>
      </c>
      <c r="D186" s="1">
        <v>0</v>
      </c>
      <c r="E186" s="1">
        <v>1</v>
      </c>
      <c r="F186" s="32">
        <v>22</v>
      </c>
      <c r="G186" s="64" t="str" cm="1">
        <f t="array" ref="G186">_xlfn.IFS(AND(F186&gt;=5,F186&lt;12),"Morning",AND(F186&gt;=12,F186&lt;17),"AfterNoon",AND(F186&gt;=17,F186&lt;20),"Evening",TRUE,"Night")</f>
        <v>Night</v>
      </c>
      <c r="H186" s="1" t="b">
        <v>0</v>
      </c>
      <c r="I186" s="1">
        <v>6</v>
      </c>
      <c r="J186" s="64" t="str" cm="1">
        <f t="array" ref="J186">_xlfn.IFS(I186=0,"Saturday",I186=1,"Sunday",I186=2,"Monday",I186=3,"Tuesday",I186=4,"Wednesday",I186=5,"Thusday",I186=6,"Friday")</f>
        <v>Friday</v>
      </c>
      <c r="K186" s="1">
        <v>1</v>
      </c>
      <c r="L186" s="1">
        <v>0.12</v>
      </c>
      <c r="M186" t="str">
        <f t="shared" si="3"/>
        <v>Rainy</v>
      </c>
    </row>
    <row r="187" spans="1:13" x14ac:dyDescent="0.35">
      <c r="A187" s="1">
        <v>185</v>
      </c>
      <c r="B187" s="3">
        <v>40551</v>
      </c>
      <c r="C187" s="1">
        <v>1</v>
      </c>
      <c r="D187" s="1">
        <v>0</v>
      </c>
      <c r="E187" s="1">
        <v>1</v>
      </c>
      <c r="F187" s="32">
        <v>23</v>
      </c>
      <c r="G187" s="64" t="str" cm="1">
        <f t="array" ref="G187">_xlfn.IFS(AND(F187&gt;=5,F187&lt;12),"Morning",AND(F187&gt;=12,F187&lt;17),"AfterNoon",AND(F187&gt;=17,F187&lt;20),"Evening",TRUE,"Night")</f>
        <v>Night</v>
      </c>
      <c r="H187" s="1" t="b">
        <v>0</v>
      </c>
      <c r="I187" s="1">
        <v>6</v>
      </c>
      <c r="J187" s="64" t="str" cm="1">
        <f t="array" ref="J187">_xlfn.IFS(I187=0,"Saturday",I187=1,"Sunday",I187=2,"Monday",I187=3,"Tuesday",I187=4,"Wednesday",I187=5,"Thusday",I187=6,"Friday")</f>
        <v>Friday</v>
      </c>
      <c r="K187" s="1">
        <v>1</v>
      </c>
      <c r="L187" s="1">
        <v>0.1</v>
      </c>
      <c r="M187" t="str">
        <f t="shared" si="3"/>
        <v>Stromy</v>
      </c>
    </row>
    <row r="188" spans="1:13" x14ac:dyDescent="0.35">
      <c r="A188" s="1">
        <v>186</v>
      </c>
      <c r="B188" s="3">
        <v>40552</v>
      </c>
      <c r="C188" s="1">
        <v>1</v>
      </c>
      <c r="D188" s="1">
        <v>0</v>
      </c>
      <c r="E188" s="1">
        <v>1</v>
      </c>
      <c r="F188" s="32">
        <v>0</v>
      </c>
      <c r="G188" s="64" t="str" cm="1">
        <f t="array" ref="G188">_xlfn.IFS(AND(F188&gt;=5,F188&lt;12),"Morning",AND(F188&gt;=12,F188&lt;17),"AfterNoon",AND(F188&gt;=17,F188&lt;20),"Evening",TRUE,"Night")</f>
        <v>Night</v>
      </c>
      <c r="H188" s="1" t="b">
        <v>0</v>
      </c>
      <c r="I188" s="1">
        <v>0</v>
      </c>
      <c r="J188" s="64" t="str" cm="1">
        <f t="array" ref="J188">_xlfn.IFS(I188=0,"Saturday",I188=1,"Sunday",I188=2,"Monday",I188=3,"Tuesday",I188=4,"Wednesday",I188=5,"Thusday",I188=6,"Friday")</f>
        <v>Saturday</v>
      </c>
      <c r="K188" s="1">
        <v>1</v>
      </c>
      <c r="L188" s="1">
        <v>0.1</v>
      </c>
      <c r="M188" t="str">
        <f t="shared" si="3"/>
        <v>Stromy</v>
      </c>
    </row>
    <row r="189" spans="1:13" x14ac:dyDescent="0.35">
      <c r="A189" s="1">
        <v>187</v>
      </c>
      <c r="B189" s="3">
        <v>40552</v>
      </c>
      <c r="C189" s="1">
        <v>1</v>
      </c>
      <c r="D189" s="1">
        <v>0</v>
      </c>
      <c r="E189" s="1">
        <v>1</v>
      </c>
      <c r="F189" s="32">
        <v>1</v>
      </c>
      <c r="G189" s="64" t="str" cm="1">
        <f t="array" ref="G189">_xlfn.IFS(AND(F189&gt;=5,F189&lt;12),"Morning",AND(F189&gt;=12,F189&lt;17),"AfterNoon",AND(F189&gt;=17,F189&lt;20),"Evening",TRUE,"Night")</f>
        <v>Night</v>
      </c>
      <c r="H189" s="1" t="b">
        <v>0</v>
      </c>
      <c r="I189" s="1">
        <v>0</v>
      </c>
      <c r="J189" s="64" t="str" cm="1">
        <f t="array" ref="J189">_xlfn.IFS(I189=0,"Saturday",I189=1,"Sunday",I189=2,"Monday",I189=3,"Tuesday",I189=4,"Wednesday",I189=5,"Thusday",I189=6,"Friday")</f>
        <v>Saturday</v>
      </c>
      <c r="K189" s="1">
        <v>1</v>
      </c>
      <c r="L189" s="1">
        <v>0.1</v>
      </c>
      <c r="M189" t="str">
        <f t="shared" si="3"/>
        <v>Stromy</v>
      </c>
    </row>
    <row r="190" spans="1:13" x14ac:dyDescent="0.35">
      <c r="A190" s="1">
        <v>188</v>
      </c>
      <c r="B190" s="3">
        <v>40552</v>
      </c>
      <c r="C190" s="1">
        <v>1</v>
      </c>
      <c r="D190" s="1">
        <v>0</v>
      </c>
      <c r="E190" s="1">
        <v>1</v>
      </c>
      <c r="F190" s="32">
        <v>2</v>
      </c>
      <c r="G190" s="64" t="str" cm="1">
        <f t="array" ref="G190">_xlfn.IFS(AND(F190&gt;=5,F190&lt;12),"Morning",AND(F190&gt;=12,F190&lt;17),"AfterNoon",AND(F190&gt;=17,F190&lt;20),"Evening",TRUE,"Night")</f>
        <v>Night</v>
      </c>
      <c r="H190" s="1" t="b">
        <v>0</v>
      </c>
      <c r="I190" s="1">
        <v>0</v>
      </c>
      <c r="J190" s="64" t="str" cm="1">
        <f t="array" ref="J190">_xlfn.IFS(I190=0,"Saturday",I190=1,"Sunday",I190=2,"Monday",I190=3,"Tuesday",I190=4,"Wednesday",I190=5,"Thusday",I190=6,"Friday")</f>
        <v>Saturday</v>
      </c>
      <c r="K190" s="1">
        <v>1</v>
      </c>
      <c r="L190" s="1">
        <v>0.1</v>
      </c>
      <c r="M190" t="str">
        <f t="shared" si="3"/>
        <v>Stromy</v>
      </c>
    </row>
    <row r="191" spans="1:13" x14ac:dyDescent="0.35">
      <c r="A191" s="1">
        <v>189</v>
      </c>
      <c r="B191" s="3">
        <v>40552</v>
      </c>
      <c r="C191" s="1">
        <v>1</v>
      </c>
      <c r="D191" s="1">
        <v>0</v>
      </c>
      <c r="E191" s="1">
        <v>1</v>
      </c>
      <c r="F191" s="32">
        <v>3</v>
      </c>
      <c r="G191" s="64" t="str" cm="1">
        <f t="array" ref="G191">_xlfn.IFS(AND(F191&gt;=5,F191&lt;12),"Morning",AND(F191&gt;=12,F191&lt;17),"AfterNoon",AND(F191&gt;=17,F191&lt;20),"Evening",TRUE,"Night")</f>
        <v>Night</v>
      </c>
      <c r="H191" s="1" t="b">
        <v>0</v>
      </c>
      <c r="I191" s="1">
        <v>0</v>
      </c>
      <c r="J191" s="64" t="str" cm="1">
        <f t="array" ref="J191">_xlfn.IFS(I191=0,"Saturday",I191=1,"Sunday",I191=2,"Monday",I191=3,"Tuesday",I191=4,"Wednesday",I191=5,"Thusday",I191=6,"Friday")</f>
        <v>Saturday</v>
      </c>
      <c r="K191" s="1">
        <v>1</v>
      </c>
      <c r="L191" s="1">
        <v>0.1</v>
      </c>
      <c r="M191" t="str">
        <f t="shared" si="3"/>
        <v>Stromy</v>
      </c>
    </row>
    <row r="192" spans="1:13" x14ac:dyDescent="0.35">
      <c r="A192" s="1">
        <v>190</v>
      </c>
      <c r="B192" s="3">
        <v>40552</v>
      </c>
      <c r="C192" s="1">
        <v>1</v>
      </c>
      <c r="D192" s="1">
        <v>0</v>
      </c>
      <c r="E192" s="1">
        <v>1</v>
      </c>
      <c r="F192" s="32">
        <v>4</v>
      </c>
      <c r="G192" s="64" t="str" cm="1">
        <f t="array" ref="G192">_xlfn.IFS(AND(F192&gt;=5,F192&lt;12),"Morning",AND(F192&gt;=12,F192&lt;17),"AfterNoon",AND(F192&gt;=17,F192&lt;20),"Evening",TRUE,"Night")</f>
        <v>Night</v>
      </c>
      <c r="H192" s="1" t="b">
        <v>0</v>
      </c>
      <c r="I192" s="1">
        <v>0</v>
      </c>
      <c r="J192" s="64" t="str" cm="1">
        <f t="array" ref="J192">_xlfn.IFS(I192=0,"Saturday",I192=1,"Sunday",I192=2,"Monday",I192=3,"Tuesday",I192=4,"Wednesday",I192=5,"Thusday",I192=6,"Friday")</f>
        <v>Saturday</v>
      </c>
      <c r="K192" s="1">
        <v>1</v>
      </c>
      <c r="L192" s="1">
        <v>0.08</v>
      </c>
      <c r="M192" t="str">
        <f t="shared" si="3"/>
        <v>Stromy</v>
      </c>
    </row>
    <row r="193" spans="1:13" x14ac:dyDescent="0.35">
      <c r="A193" s="1">
        <v>191</v>
      </c>
      <c r="B193" s="3">
        <v>40552</v>
      </c>
      <c r="C193" s="1">
        <v>1</v>
      </c>
      <c r="D193" s="1">
        <v>0</v>
      </c>
      <c r="E193" s="1">
        <v>1</v>
      </c>
      <c r="F193" s="32">
        <v>5</v>
      </c>
      <c r="G193" s="64" t="str" cm="1">
        <f t="array" ref="G193">_xlfn.IFS(AND(F193&gt;=5,F193&lt;12),"Morning",AND(F193&gt;=12,F193&lt;17),"AfterNoon",AND(F193&gt;=17,F193&lt;20),"Evening",TRUE,"Night")</f>
        <v>Morning</v>
      </c>
      <c r="H193" s="1" t="b">
        <v>0</v>
      </c>
      <c r="I193" s="1">
        <v>0</v>
      </c>
      <c r="J193" s="64" t="str" cm="1">
        <f t="array" ref="J193">_xlfn.IFS(I193=0,"Saturday",I193=1,"Sunday",I193=2,"Monday",I193=3,"Tuesday",I193=4,"Wednesday",I193=5,"Thusday",I193=6,"Friday")</f>
        <v>Saturday</v>
      </c>
      <c r="K193" s="1">
        <v>1</v>
      </c>
      <c r="L193" s="1">
        <v>0.08</v>
      </c>
      <c r="M193" t="str">
        <f t="shared" si="3"/>
        <v>Stromy</v>
      </c>
    </row>
    <row r="194" spans="1:13" x14ac:dyDescent="0.35">
      <c r="A194" s="1">
        <v>192</v>
      </c>
      <c r="B194" s="3">
        <v>40552</v>
      </c>
      <c r="C194" s="1">
        <v>1</v>
      </c>
      <c r="D194" s="1">
        <v>0</v>
      </c>
      <c r="E194" s="1">
        <v>1</v>
      </c>
      <c r="F194" s="32">
        <v>6</v>
      </c>
      <c r="G194" s="64" t="str" cm="1">
        <f t="array" ref="G194">_xlfn.IFS(AND(F194&gt;=5,F194&lt;12),"Morning",AND(F194&gt;=12,F194&lt;17),"AfterNoon",AND(F194&gt;=17,F194&lt;20),"Evening",TRUE,"Night")</f>
        <v>Morning</v>
      </c>
      <c r="H194" s="1" t="b">
        <v>0</v>
      </c>
      <c r="I194" s="1">
        <v>0</v>
      </c>
      <c r="J194" s="64" t="str" cm="1">
        <f t="array" ref="J194">_xlfn.IFS(I194=0,"Saturday",I194=1,"Sunday",I194=2,"Monday",I194=3,"Tuesday",I194=4,"Wednesday",I194=5,"Thusday",I194=6,"Friday")</f>
        <v>Saturday</v>
      </c>
      <c r="K194" s="1">
        <v>1</v>
      </c>
      <c r="L194" s="1">
        <v>0.1</v>
      </c>
      <c r="M194" t="str">
        <f t="shared" si="3"/>
        <v>Stromy</v>
      </c>
    </row>
    <row r="195" spans="1:13" x14ac:dyDescent="0.35">
      <c r="A195" s="1">
        <v>193</v>
      </c>
      <c r="B195" s="3">
        <v>40552</v>
      </c>
      <c r="C195" s="1">
        <v>1</v>
      </c>
      <c r="D195" s="1">
        <v>0</v>
      </c>
      <c r="E195" s="1">
        <v>1</v>
      </c>
      <c r="F195" s="32">
        <v>7</v>
      </c>
      <c r="G195" s="64" t="str" cm="1">
        <f t="array" ref="G195">_xlfn.IFS(AND(F195&gt;=5,F195&lt;12),"Morning",AND(F195&gt;=12,F195&lt;17),"AfterNoon",AND(F195&gt;=17,F195&lt;20),"Evening",TRUE,"Night")</f>
        <v>Morning</v>
      </c>
      <c r="H195" s="1" t="b">
        <v>0</v>
      </c>
      <c r="I195" s="1">
        <v>0</v>
      </c>
      <c r="J195" s="64" t="str" cm="1">
        <f t="array" ref="J195">_xlfn.IFS(I195=0,"Saturday",I195=1,"Sunday",I195=2,"Monday",I195=3,"Tuesday",I195=4,"Wednesday",I195=5,"Thusday",I195=6,"Friday")</f>
        <v>Saturday</v>
      </c>
      <c r="K195" s="1">
        <v>1</v>
      </c>
      <c r="L195" s="1">
        <v>0.08</v>
      </c>
      <c r="M195" t="str">
        <f t="shared" si="3"/>
        <v>Stromy</v>
      </c>
    </row>
    <row r="196" spans="1:13" x14ac:dyDescent="0.35">
      <c r="A196" s="1">
        <v>194</v>
      </c>
      <c r="B196" s="3">
        <v>40552</v>
      </c>
      <c r="C196" s="1">
        <v>1</v>
      </c>
      <c r="D196" s="1">
        <v>0</v>
      </c>
      <c r="E196" s="1">
        <v>1</v>
      </c>
      <c r="F196" s="32">
        <v>8</v>
      </c>
      <c r="G196" s="64" t="str" cm="1">
        <f t="array" ref="G196">_xlfn.IFS(AND(F196&gt;=5,F196&lt;12),"Morning",AND(F196&gt;=12,F196&lt;17),"AfterNoon",AND(F196&gt;=17,F196&lt;20),"Evening",TRUE,"Night")</f>
        <v>Morning</v>
      </c>
      <c r="H196" s="1" t="b">
        <v>0</v>
      </c>
      <c r="I196" s="1">
        <v>0</v>
      </c>
      <c r="J196" s="64" t="str" cm="1">
        <f t="array" ref="J196">_xlfn.IFS(I196=0,"Saturday",I196=1,"Sunday",I196=2,"Monday",I196=3,"Tuesday",I196=4,"Wednesday",I196=5,"Thusday",I196=6,"Friday")</f>
        <v>Saturday</v>
      </c>
      <c r="K196" s="1">
        <v>1</v>
      </c>
      <c r="L196" s="1">
        <v>0.1</v>
      </c>
      <c r="M196" t="str">
        <f t="shared" ref="M196:M259" si="4">IF(L196&lt;=0.1,"Stromy",IF(L196&lt;=0.2,"Rainy",IF(L196&lt;=0.3,"Cloudy","Sunny")))</f>
        <v>Stromy</v>
      </c>
    </row>
    <row r="197" spans="1:13" x14ac:dyDescent="0.35">
      <c r="A197" s="1">
        <v>195</v>
      </c>
      <c r="B197" s="3">
        <v>40552</v>
      </c>
      <c r="C197" s="1">
        <v>1</v>
      </c>
      <c r="D197" s="1">
        <v>0</v>
      </c>
      <c r="E197" s="1">
        <v>1</v>
      </c>
      <c r="F197" s="32">
        <v>9</v>
      </c>
      <c r="G197" s="64" t="str" cm="1">
        <f t="array" ref="G197">_xlfn.IFS(AND(F197&gt;=5,F197&lt;12),"Morning",AND(F197&gt;=12,F197&lt;17),"AfterNoon",AND(F197&gt;=17,F197&lt;20),"Evening",TRUE,"Night")</f>
        <v>Morning</v>
      </c>
      <c r="H197" s="1" t="b">
        <v>0</v>
      </c>
      <c r="I197" s="1">
        <v>0</v>
      </c>
      <c r="J197" s="64" t="str" cm="1">
        <f t="array" ref="J197">_xlfn.IFS(I197=0,"Saturday",I197=1,"Sunday",I197=2,"Monday",I197=3,"Tuesday",I197=4,"Wednesday",I197=5,"Thusday",I197=6,"Friday")</f>
        <v>Saturday</v>
      </c>
      <c r="K197" s="1">
        <v>1</v>
      </c>
      <c r="L197" s="1">
        <v>0.12</v>
      </c>
      <c r="M197" t="str">
        <f t="shared" si="4"/>
        <v>Rainy</v>
      </c>
    </row>
    <row r="198" spans="1:13" x14ac:dyDescent="0.35">
      <c r="A198" s="1">
        <v>196</v>
      </c>
      <c r="B198" s="3">
        <v>40552</v>
      </c>
      <c r="C198" s="1">
        <v>1</v>
      </c>
      <c r="D198" s="1">
        <v>0</v>
      </c>
      <c r="E198" s="1">
        <v>1</v>
      </c>
      <c r="F198" s="32">
        <v>10</v>
      </c>
      <c r="G198" s="64" t="str" cm="1">
        <f t="array" ref="G198">_xlfn.IFS(AND(F198&gt;=5,F198&lt;12),"Morning",AND(F198&gt;=12,F198&lt;17),"AfterNoon",AND(F198&gt;=17,F198&lt;20),"Evening",TRUE,"Night")</f>
        <v>Morning</v>
      </c>
      <c r="H198" s="1" t="b">
        <v>0</v>
      </c>
      <c r="I198" s="1">
        <v>0</v>
      </c>
      <c r="J198" s="64" t="str" cm="1">
        <f t="array" ref="J198">_xlfn.IFS(I198=0,"Saturday",I198=1,"Sunday",I198=2,"Monday",I198=3,"Tuesday",I198=4,"Wednesday",I198=5,"Thusday",I198=6,"Friday")</f>
        <v>Saturday</v>
      </c>
      <c r="K198" s="1">
        <v>1</v>
      </c>
      <c r="L198" s="1">
        <v>0.14000000000000001</v>
      </c>
      <c r="M198" t="str">
        <f t="shared" si="4"/>
        <v>Rainy</v>
      </c>
    </row>
    <row r="199" spans="1:13" x14ac:dyDescent="0.35">
      <c r="A199" s="1">
        <v>197</v>
      </c>
      <c r="B199" s="3">
        <v>40552</v>
      </c>
      <c r="C199" s="1">
        <v>1</v>
      </c>
      <c r="D199" s="1">
        <v>0</v>
      </c>
      <c r="E199" s="1">
        <v>1</v>
      </c>
      <c r="F199" s="32">
        <v>11</v>
      </c>
      <c r="G199" s="64" t="str" cm="1">
        <f t="array" ref="G199">_xlfn.IFS(AND(F199&gt;=5,F199&lt;12),"Morning",AND(F199&gt;=12,F199&lt;17),"AfterNoon",AND(F199&gt;=17,F199&lt;20),"Evening",TRUE,"Night")</f>
        <v>Morning</v>
      </c>
      <c r="H199" s="1" t="b">
        <v>0</v>
      </c>
      <c r="I199" s="1">
        <v>0</v>
      </c>
      <c r="J199" s="64" t="str" cm="1">
        <f t="array" ref="J199">_xlfn.IFS(I199=0,"Saturday",I199=1,"Sunday",I199=2,"Monday",I199=3,"Tuesday",I199=4,"Wednesday",I199=5,"Thusday",I199=6,"Friday")</f>
        <v>Saturday</v>
      </c>
      <c r="K199" s="1">
        <v>1</v>
      </c>
      <c r="L199" s="1">
        <v>0.16</v>
      </c>
      <c r="M199" t="str">
        <f t="shared" si="4"/>
        <v>Rainy</v>
      </c>
    </row>
    <row r="200" spans="1:13" x14ac:dyDescent="0.35">
      <c r="A200" s="1">
        <v>198</v>
      </c>
      <c r="B200" s="3">
        <v>40552</v>
      </c>
      <c r="C200" s="1">
        <v>1</v>
      </c>
      <c r="D200" s="1">
        <v>0</v>
      </c>
      <c r="E200" s="1">
        <v>1</v>
      </c>
      <c r="F200" s="32">
        <v>12</v>
      </c>
      <c r="G200" s="64" t="str" cm="1">
        <f t="array" ref="G200">_xlfn.IFS(AND(F200&gt;=5,F200&lt;12),"Morning",AND(F200&gt;=12,F200&lt;17),"AfterNoon",AND(F200&gt;=17,F200&lt;20),"Evening",TRUE,"Night")</f>
        <v>AfterNoon</v>
      </c>
      <c r="H200" s="1" t="b">
        <v>0</v>
      </c>
      <c r="I200" s="1">
        <v>0</v>
      </c>
      <c r="J200" s="64" t="str" cm="1">
        <f t="array" ref="J200">_xlfn.IFS(I200=0,"Saturday",I200=1,"Sunday",I200=2,"Monday",I200=3,"Tuesday",I200=4,"Wednesday",I200=5,"Thusday",I200=6,"Friday")</f>
        <v>Saturday</v>
      </c>
      <c r="K200" s="1">
        <v>1</v>
      </c>
      <c r="L200" s="1">
        <v>0.18</v>
      </c>
      <c r="M200" t="str">
        <f t="shared" si="4"/>
        <v>Rainy</v>
      </c>
    </row>
    <row r="201" spans="1:13" x14ac:dyDescent="0.35">
      <c r="A201" s="1">
        <v>199</v>
      </c>
      <c r="B201" s="3">
        <v>40552</v>
      </c>
      <c r="C201" s="1">
        <v>1</v>
      </c>
      <c r="D201" s="1">
        <v>0</v>
      </c>
      <c r="E201" s="1">
        <v>1</v>
      </c>
      <c r="F201" s="32">
        <v>13</v>
      </c>
      <c r="G201" s="64" t="str" cm="1">
        <f t="array" ref="G201">_xlfn.IFS(AND(F201&gt;=5,F201&lt;12),"Morning",AND(F201&gt;=12,F201&lt;17),"AfterNoon",AND(F201&gt;=17,F201&lt;20),"Evening",TRUE,"Night")</f>
        <v>AfterNoon</v>
      </c>
      <c r="H201" s="1" t="b">
        <v>0</v>
      </c>
      <c r="I201" s="1">
        <v>0</v>
      </c>
      <c r="J201" s="64" t="str" cm="1">
        <f t="array" ref="J201">_xlfn.IFS(I201=0,"Saturday",I201=1,"Sunday",I201=2,"Monday",I201=3,"Tuesday",I201=4,"Wednesday",I201=5,"Thusday",I201=6,"Friday")</f>
        <v>Saturday</v>
      </c>
      <c r="K201" s="1">
        <v>1</v>
      </c>
      <c r="L201" s="1">
        <v>0.2</v>
      </c>
      <c r="M201" t="str">
        <f t="shared" si="4"/>
        <v>Rainy</v>
      </c>
    </row>
    <row r="202" spans="1:13" x14ac:dyDescent="0.35">
      <c r="A202" s="1">
        <v>200</v>
      </c>
      <c r="B202" s="3">
        <v>40552</v>
      </c>
      <c r="C202" s="1">
        <v>1</v>
      </c>
      <c r="D202" s="1">
        <v>0</v>
      </c>
      <c r="E202" s="1">
        <v>1</v>
      </c>
      <c r="F202" s="32">
        <v>14</v>
      </c>
      <c r="G202" s="64" t="str" cm="1">
        <f t="array" ref="G202">_xlfn.IFS(AND(F202&gt;=5,F202&lt;12),"Morning",AND(F202&gt;=12,F202&lt;17),"AfterNoon",AND(F202&gt;=17,F202&lt;20),"Evening",TRUE,"Night")</f>
        <v>AfterNoon</v>
      </c>
      <c r="H202" s="1" t="b">
        <v>0</v>
      </c>
      <c r="I202" s="1">
        <v>0</v>
      </c>
      <c r="J202" s="64" t="str" cm="1">
        <f t="array" ref="J202">_xlfn.IFS(I202=0,"Saturday",I202=1,"Sunday",I202=2,"Monday",I202=3,"Tuesday",I202=4,"Wednesday",I202=5,"Thusday",I202=6,"Friday")</f>
        <v>Saturday</v>
      </c>
      <c r="K202" s="1">
        <v>1</v>
      </c>
      <c r="L202" s="1">
        <v>0.22</v>
      </c>
      <c r="M202" t="str">
        <f t="shared" si="4"/>
        <v>Cloudy</v>
      </c>
    </row>
    <row r="203" spans="1:13" x14ac:dyDescent="0.35">
      <c r="A203" s="1">
        <v>201</v>
      </c>
      <c r="B203" s="3">
        <v>40552</v>
      </c>
      <c r="C203" s="1">
        <v>1</v>
      </c>
      <c r="D203" s="1">
        <v>0</v>
      </c>
      <c r="E203" s="1">
        <v>1</v>
      </c>
      <c r="F203" s="32">
        <v>15</v>
      </c>
      <c r="G203" s="64" t="str" cm="1">
        <f t="array" ref="G203">_xlfn.IFS(AND(F203&gt;=5,F203&lt;12),"Morning",AND(F203&gt;=12,F203&lt;17),"AfterNoon",AND(F203&gt;=17,F203&lt;20),"Evening",TRUE,"Night")</f>
        <v>AfterNoon</v>
      </c>
      <c r="H203" s="1" t="b">
        <v>0</v>
      </c>
      <c r="I203" s="1">
        <v>0</v>
      </c>
      <c r="J203" s="64" t="str" cm="1">
        <f t="array" ref="J203">_xlfn.IFS(I203=0,"Saturday",I203=1,"Sunday",I203=2,"Monday",I203=3,"Tuesday",I203=4,"Wednesday",I203=5,"Thusday",I203=6,"Friday")</f>
        <v>Saturday</v>
      </c>
      <c r="K203" s="1">
        <v>1</v>
      </c>
      <c r="L203" s="1">
        <v>0.22</v>
      </c>
      <c r="M203" t="str">
        <f t="shared" si="4"/>
        <v>Cloudy</v>
      </c>
    </row>
    <row r="204" spans="1:13" x14ac:dyDescent="0.35">
      <c r="A204" s="1">
        <v>202</v>
      </c>
      <c r="B204" s="3">
        <v>40552</v>
      </c>
      <c r="C204" s="1">
        <v>1</v>
      </c>
      <c r="D204" s="1">
        <v>0</v>
      </c>
      <c r="E204" s="1">
        <v>1</v>
      </c>
      <c r="F204" s="32">
        <v>16</v>
      </c>
      <c r="G204" s="64" t="str" cm="1">
        <f t="array" ref="G204">_xlfn.IFS(AND(F204&gt;=5,F204&lt;12),"Morning",AND(F204&gt;=12,F204&lt;17),"AfterNoon",AND(F204&gt;=17,F204&lt;20),"Evening",TRUE,"Night")</f>
        <v>AfterNoon</v>
      </c>
      <c r="H204" s="1" t="b">
        <v>0</v>
      </c>
      <c r="I204" s="1">
        <v>0</v>
      </c>
      <c r="J204" s="64" t="str" cm="1">
        <f t="array" ref="J204">_xlfn.IFS(I204=0,"Saturday",I204=1,"Sunday",I204=2,"Monday",I204=3,"Tuesday",I204=4,"Wednesday",I204=5,"Thusday",I204=6,"Friday")</f>
        <v>Saturday</v>
      </c>
      <c r="K204" s="1">
        <v>1</v>
      </c>
      <c r="L204" s="1">
        <v>0.2</v>
      </c>
      <c r="M204" t="str">
        <f t="shared" si="4"/>
        <v>Rainy</v>
      </c>
    </row>
    <row r="205" spans="1:13" x14ac:dyDescent="0.35">
      <c r="A205" s="1">
        <v>203</v>
      </c>
      <c r="B205" s="3">
        <v>40552</v>
      </c>
      <c r="C205" s="1">
        <v>1</v>
      </c>
      <c r="D205" s="1">
        <v>0</v>
      </c>
      <c r="E205" s="1">
        <v>1</v>
      </c>
      <c r="F205" s="32">
        <v>17</v>
      </c>
      <c r="G205" s="64" t="str" cm="1">
        <f t="array" ref="G205">_xlfn.IFS(AND(F205&gt;=5,F205&lt;12),"Morning",AND(F205&gt;=12,F205&lt;17),"AfterNoon",AND(F205&gt;=17,F205&lt;20),"Evening",TRUE,"Night")</f>
        <v>Evening</v>
      </c>
      <c r="H205" s="1" t="b">
        <v>0</v>
      </c>
      <c r="I205" s="1">
        <v>0</v>
      </c>
      <c r="J205" s="64" t="str" cm="1">
        <f t="array" ref="J205">_xlfn.IFS(I205=0,"Saturday",I205=1,"Sunday",I205=2,"Monday",I205=3,"Tuesday",I205=4,"Wednesday",I205=5,"Thusday",I205=6,"Friday")</f>
        <v>Saturday</v>
      </c>
      <c r="K205" s="1">
        <v>1</v>
      </c>
      <c r="L205" s="1">
        <v>0.18</v>
      </c>
      <c r="M205" t="str">
        <f t="shared" si="4"/>
        <v>Rainy</v>
      </c>
    </row>
    <row r="206" spans="1:13" x14ac:dyDescent="0.35">
      <c r="A206" s="1">
        <v>204</v>
      </c>
      <c r="B206" s="3">
        <v>40552</v>
      </c>
      <c r="C206" s="1">
        <v>1</v>
      </c>
      <c r="D206" s="1">
        <v>0</v>
      </c>
      <c r="E206" s="1">
        <v>1</v>
      </c>
      <c r="F206" s="32">
        <v>18</v>
      </c>
      <c r="G206" s="64" t="str" cm="1">
        <f t="array" ref="G206">_xlfn.IFS(AND(F206&gt;=5,F206&lt;12),"Morning",AND(F206&gt;=12,F206&lt;17),"AfterNoon",AND(F206&gt;=17,F206&lt;20),"Evening",TRUE,"Night")</f>
        <v>Evening</v>
      </c>
      <c r="H206" s="1" t="b">
        <v>0</v>
      </c>
      <c r="I206" s="1">
        <v>0</v>
      </c>
      <c r="J206" s="64" t="str" cm="1">
        <f t="array" ref="J206">_xlfn.IFS(I206=0,"Saturday",I206=1,"Sunday",I206=2,"Monday",I206=3,"Tuesday",I206=4,"Wednesday",I206=5,"Thusday",I206=6,"Friday")</f>
        <v>Saturday</v>
      </c>
      <c r="K206" s="1">
        <v>1</v>
      </c>
      <c r="L206" s="1">
        <v>0.16</v>
      </c>
      <c r="M206" t="str">
        <f t="shared" si="4"/>
        <v>Rainy</v>
      </c>
    </row>
    <row r="207" spans="1:13" x14ac:dyDescent="0.35">
      <c r="A207" s="1">
        <v>205</v>
      </c>
      <c r="B207" s="3">
        <v>40552</v>
      </c>
      <c r="C207" s="1">
        <v>1</v>
      </c>
      <c r="D207" s="1">
        <v>0</v>
      </c>
      <c r="E207" s="1">
        <v>1</v>
      </c>
      <c r="F207" s="32">
        <v>19</v>
      </c>
      <c r="G207" s="64" t="str" cm="1">
        <f t="array" ref="G207">_xlfn.IFS(AND(F207&gt;=5,F207&lt;12),"Morning",AND(F207&gt;=12,F207&lt;17),"AfterNoon",AND(F207&gt;=17,F207&lt;20),"Evening",TRUE,"Night")</f>
        <v>Evening</v>
      </c>
      <c r="H207" s="1" t="b">
        <v>0</v>
      </c>
      <c r="I207" s="1">
        <v>0</v>
      </c>
      <c r="J207" s="64" t="str" cm="1">
        <f t="array" ref="J207">_xlfn.IFS(I207=0,"Saturday",I207=1,"Sunday",I207=2,"Monday",I207=3,"Tuesday",I207=4,"Wednesday",I207=5,"Thusday",I207=6,"Friday")</f>
        <v>Saturday</v>
      </c>
      <c r="K207" s="1">
        <v>1</v>
      </c>
      <c r="L207" s="1">
        <v>0.16</v>
      </c>
      <c r="M207" t="str">
        <f t="shared" si="4"/>
        <v>Rainy</v>
      </c>
    </row>
    <row r="208" spans="1:13" x14ac:dyDescent="0.35">
      <c r="A208" s="1">
        <v>206</v>
      </c>
      <c r="B208" s="3">
        <v>40552</v>
      </c>
      <c r="C208" s="1">
        <v>1</v>
      </c>
      <c r="D208" s="1">
        <v>0</v>
      </c>
      <c r="E208" s="1">
        <v>1</v>
      </c>
      <c r="F208" s="32">
        <v>20</v>
      </c>
      <c r="G208" s="64" t="str" cm="1">
        <f t="array" ref="G208">_xlfn.IFS(AND(F208&gt;=5,F208&lt;12),"Morning",AND(F208&gt;=12,F208&lt;17),"AfterNoon",AND(F208&gt;=17,F208&lt;20),"Evening",TRUE,"Night")</f>
        <v>Night</v>
      </c>
      <c r="H208" s="1" t="b">
        <v>0</v>
      </c>
      <c r="I208" s="1">
        <v>0</v>
      </c>
      <c r="J208" s="64" t="str" cm="1">
        <f t="array" ref="J208">_xlfn.IFS(I208=0,"Saturday",I208=1,"Sunday",I208=2,"Monday",I208=3,"Tuesday",I208=4,"Wednesday",I208=5,"Thusday",I208=6,"Friday")</f>
        <v>Saturday</v>
      </c>
      <c r="K208" s="1">
        <v>1</v>
      </c>
      <c r="L208" s="1">
        <v>0.14000000000000001</v>
      </c>
      <c r="M208" t="str">
        <f t="shared" si="4"/>
        <v>Rainy</v>
      </c>
    </row>
    <row r="209" spans="1:13" x14ac:dyDescent="0.35">
      <c r="A209" s="1">
        <v>207</v>
      </c>
      <c r="B209" s="3">
        <v>40552</v>
      </c>
      <c r="C209" s="1">
        <v>1</v>
      </c>
      <c r="D209" s="1">
        <v>0</v>
      </c>
      <c r="E209" s="1">
        <v>1</v>
      </c>
      <c r="F209" s="32">
        <v>21</v>
      </c>
      <c r="G209" s="64" t="str" cm="1">
        <f t="array" ref="G209">_xlfn.IFS(AND(F209&gt;=5,F209&lt;12),"Morning",AND(F209&gt;=12,F209&lt;17),"AfterNoon",AND(F209&gt;=17,F209&lt;20),"Evening",TRUE,"Night")</f>
        <v>Night</v>
      </c>
      <c r="H209" s="1" t="b">
        <v>0</v>
      </c>
      <c r="I209" s="1">
        <v>0</v>
      </c>
      <c r="J209" s="64" t="str" cm="1">
        <f t="array" ref="J209">_xlfn.IFS(I209=0,"Saturday",I209=1,"Sunday",I209=2,"Monday",I209=3,"Tuesday",I209=4,"Wednesday",I209=5,"Thusday",I209=6,"Friday")</f>
        <v>Saturday</v>
      </c>
      <c r="K209" s="1">
        <v>1</v>
      </c>
      <c r="L209" s="1">
        <v>0.14000000000000001</v>
      </c>
      <c r="M209" t="str">
        <f t="shared" si="4"/>
        <v>Rainy</v>
      </c>
    </row>
    <row r="210" spans="1:13" x14ac:dyDescent="0.35">
      <c r="A210" s="1">
        <v>208</v>
      </c>
      <c r="B210" s="3">
        <v>40552</v>
      </c>
      <c r="C210" s="1">
        <v>1</v>
      </c>
      <c r="D210" s="1">
        <v>0</v>
      </c>
      <c r="E210" s="1">
        <v>1</v>
      </c>
      <c r="F210" s="32">
        <v>22</v>
      </c>
      <c r="G210" s="64" t="str" cm="1">
        <f t="array" ref="G210">_xlfn.IFS(AND(F210&gt;=5,F210&lt;12),"Morning",AND(F210&gt;=12,F210&lt;17),"AfterNoon",AND(F210&gt;=17,F210&lt;20),"Evening",TRUE,"Night")</f>
        <v>Night</v>
      </c>
      <c r="H210" s="1" t="b">
        <v>0</v>
      </c>
      <c r="I210" s="1">
        <v>0</v>
      </c>
      <c r="J210" s="64" t="str" cm="1">
        <f t="array" ref="J210">_xlfn.IFS(I210=0,"Saturday",I210=1,"Sunday",I210=2,"Monday",I210=3,"Tuesday",I210=4,"Wednesday",I210=5,"Thusday",I210=6,"Friday")</f>
        <v>Saturday</v>
      </c>
      <c r="K210" s="1">
        <v>1</v>
      </c>
      <c r="L210" s="1">
        <v>0.14000000000000001</v>
      </c>
      <c r="M210" t="str">
        <f t="shared" si="4"/>
        <v>Rainy</v>
      </c>
    </row>
    <row r="211" spans="1:13" x14ac:dyDescent="0.35">
      <c r="A211" s="1">
        <v>209</v>
      </c>
      <c r="B211" s="3">
        <v>40552</v>
      </c>
      <c r="C211" s="1">
        <v>1</v>
      </c>
      <c r="D211" s="1">
        <v>0</v>
      </c>
      <c r="E211" s="1">
        <v>1</v>
      </c>
      <c r="F211" s="32">
        <v>23</v>
      </c>
      <c r="G211" s="64" t="str" cm="1">
        <f t="array" ref="G211">_xlfn.IFS(AND(F211&gt;=5,F211&lt;12),"Morning",AND(F211&gt;=12,F211&lt;17),"AfterNoon",AND(F211&gt;=17,F211&lt;20),"Evening",TRUE,"Night")</f>
        <v>Night</v>
      </c>
      <c r="H211" s="1" t="b">
        <v>0</v>
      </c>
      <c r="I211" s="1">
        <v>0</v>
      </c>
      <c r="J211" s="64" t="str" cm="1">
        <f t="array" ref="J211">_xlfn.IFS(I211=0,"Saturday",I211=1,"Sunday",I211=2,"Monday",I211=3,"Tuesday",I211=4,"Wednesday",I211=5,"Thusday",I211=6,"Friday")</f>
        <v>Saturday</v>
      </c>
      <c r="K211" s="1">
        <v>1</v>
      </c>
      <c r="L211" s="1">
        <v>0.12</v>
      </c>
      <c r="M211" t="str">
        <f t="shared" si="4"/>
        <v>Rainy</v>
      </c>
    </row>
    <row r="212" spans="1:13" x14ac:dyDescent="0.35">
      <c r="A212" s="1">
        <v>210</v>
      </c>
      <c r="B212" s="3">
        <v>40553</v>
      </c>
      <c r="C212" s="1">
        <v>1</v>
      </c>
      <c r="D212" s="1">
        <v>0</v>
      </c>
      <c r="E212" s="1">
        <v>1</v>
      </c>
      <c r="F212" s="32">
        <v>0</v>
      </c>
      <c r="G212" s="64" t="str" cm="1">
        <f t="array" ref="G212">_xlfn.IFS(AND(F212&gt;=5,F212&lt;12),"Morning",AND(F212&gt;=12,F212&lt;17),"AfterNoon",AND(F212&gt;=17,F212&lt;20),"Evening",TRUE,"Night")</f>
        <v>Night</v>
      </c>
      <c r="H212" s="1" t="b">
        <v>0</v>
      </c>
      <c r="I212" s="1">
        <v>1</v>
      </c>
      <c r="J212" s="64" t="str" cm="1">
        <f t="array" ref="J212">_xlfn.IFS(I212=0,"Saturday",I212=1,"Sunday",I212=2,"Monday",I212=3,"Tuesday",I212=4,"Wednesday",I212=5,"Thusday",I212=6,"Friday")</f>
        <v>Sunday</v>
      </c>
      <c r="K212" s="1">
        <v>1</v>
      </c>
      <c r="L212" s="1">
        <v>0.12</v>
      </c>
      <c r="M212" t="str">
        <f t="shared" si="4"/>
        <v>Rainy</v>
      </c>
    </row>
    <row r="213" spans="1:13" x14ac:dyDescent="0.35">
      <c r="A213" s="1">
        <v>211</v>
      </c>
      <c r="B213" s="3">
        <v>40553</v>
      </c>
      <c r="C213" s="1">
        <v>1</v>
      </c>
      <c r="D213" s="1">
        <v>0</v>
      </c>
      <c r="E213" s="1">
        <v>1</v>
      </c>
      <c r="F213" s="32">
        <v>1</v>
      </c>
      <c r="G213" s="64" t="str" cm="1">
        <f t="array" ref="G213">_xlfn.IFS(AND(F213&gt;=5,F213&lt;12),"Morning",AND(F213&gt;=12,F213&lt;17),"AfterNoon",AND(F213&gt;=17,F213&lt;20),"Evening",TRUE,"Night")</f>
        <v>Night</v>
      </c>
      <c r="H213" s="1" t="b">
        <v>0</v>
      </c>
      <c r="I213" s="1">
        <v>1</v>
      </c>
      <c r="J213" s="64" t="str" cm="1">
        <f t="array" ref="J213">_xlfn.IFS(I213=0,"Saturday",I213=1,"Sunday",I213=2,"Monday",I213=3,"Tuesday",I213=4,"Wednesday",I213=5,"Thusday",I213=6,"Friday")</f>
        <v>Sunday</v>
      </c>
      <c r="K213" s="1">
        <v>1</v>
      </c>
      <c r="L213" s="1">
        <v>0.12</v>
      </c>
      <c r="M213" t="str">
        <f t="shared" si="4"/>
        <v>Rainy</v>
      </c>
    </row>
    <row r="214" spans="1:13" x14ac:dyDescent="0.35">
      <c r="A214" s="1">
        <v>212</v>
      </c>
      <c r="B214" s="3">
        <v>40553</v>
      </c>
      <c r="C214" s="1">
        <v>1</v>
      </c>
      <c r="D214" s="1">
        <v>0</v>
      </c>
      <c r="E214" s="1">
        <v>1</v>
      </c>
      <c r="F214" s="32">
        <v>2</v>
      </c>
      <c r="G214" s="64" t="str" cm="1">
        <f t="array" ref="G214">_xlfn.IFS(AND(F214&gt;=5,F214&lt;12),"Morning",AND(F214&gt;=12,F214&lt;17),"AfterNoon",AND(F214&gt;=17,F214&lt;20),"Evening",TRUE,"Night")</f>
        <v>Night</v>
      </c>
      <c r="H214" s="1" t="b">
        <v>0</v>
      </c>
      <c r="I214" s="1">
        <v>1</v>
      </c>
      <c r="J214" s="64" t="str" cm="1">
        <f t="array" ref="J214">_xlfn.IFS(I214=0,"Saturday",I214=1,"Sunday",I214=2,"Monday",I214=3,"Tuesday",I214=4,"Wednesday",I214=5,"Thusday",I214=6,"Friday")</f>
        <v>Sunday</v>
      </c>
      <c r="K214" s="1">
        <v>1</v>
      </c>
      <c r="L214" s="1">
        <v>0.12</v>
      </c>
      <c r="M214" t="str">
        <f t="shared" si="4"/>
        <v>Rainy</v>
      </c>
    </row>
    <row r="215" spans="1:13" x14ac:dyDescent="0.35">
      <c r="A215" s="1">
        <v>213</v>
      </c>
      <c r="B215" s="3">
        <v>40553</v>
      </c>
      <c r="C215" s="1">
        <v>1</v>
      </c>
      <c r="D215" s="1">
        <v>0</v>
      </c>
      <c r="E215" s="1">
        <v>1</v>
      </c>
      <c r="F215" s="32">
        <v>3</v>
      </c>
      <c r="G215" s="64" t="str" cm="1">
        <f t="array" ref="G215">_xlfn.IFS(AND(F215&gt;=5,F215&lt;12),"Morning",AND(F215&gt;=12,F215&lt;17),"AfterNoon",AND(F215&gt;=17,F215&lt;20),"Evening",TRUE,"Night")</f>
        <v>Night</v>
      </c>
      <c r="H215" s="1" t="b">
        <v>0</v>
      </c>
      <c r="I215" s="1">
        <v>1</v>
      </c>
      <c r="J215" s="64" t="str" cm="1">
        <f t="array" ref="J215">_xlfn.IFS(I215=0,"Saturday",I215=1,"Sunday",I215=2,"Monday",I215=3,"Tuesday",I215=4,"Wednesday",I215=5,"Thusday",I215=6,"Friday")</f>
        <v>Sunday</v>
      </c>
      <c r="K215" s="1">
        <v>1</v>
      </c>
      <c r="L215" s="1">
        <v>0.12</v>
      </c>
      <c r="M215" t="str">
        <f t="shared" si="4"/>
        <v>Rainy</v>
      </c>
    </row>
    <row r="216" spans="1:13" x14ac:dyDescent="0.35">
      <c r="A216" s="1">
        <v>214</v>
      </c>
      <c r="B216" s="3">
        <v>40553</v>
      </c>
      <c r="C216" s="1">
        <v>1</v>
      </c>
      <c r="D216" s="1">
        <v>0</v>
      </c>
      <c r="E216" s="1">
        <v>1</v>
      </c>
      <c r="F216" s="32">
        <v>4</v>
      </c>
      <c r="G216" s="64" t="str" cm="1">
        <f t="array" ref="G216">_xlfn.IFS(AND(F216&gt;=5,F216&lt;12),"Morning",AND(F216&gt;=12,F216&lt;17),"AfterNoon",AND(F216&gt;=17,F216&lt;20),"Evening",TRUE,"Night")</f>
        <v>Night</v>
      </c>
      <c r="H216" s="1" t="b">
        <v>0</v>
      </c>
      <c r="I216" s="1">
        <v>1</v>
      </c>
      <c r="J216" s="64" t="str" cm="1">
        <f t="array" ref="J216">_xlfn.IFS(I216=0,"Saturday",I216=1,"Sunday",I216=2,"Monday",I216=3,"Tuesday",I216=4,"Wednesday",I216=5,"Thusday",I216=6,"Friday")</f>
        <v>Sunday</v>
      </c>
      <c r="K216" s="1">
        <v>1</v>
      </c>
      <c r="L216" s="1">
        <v>0.1</v>
      </c>
      <c r="M216" t="str">
        <f t="shared" si="4"/>
        <v>Stromy</v>
      </c>
    </row>
    <row r="217" spans="1:13" x14ac:dyDescent="0.35">
      <c r="A217" s="1">
        <v>215</v>
      </c>
      <c r="B217" s="3">
        <v>40553</v>
      </c>
      <c r="C217" s="1">
        <v>1</v>
      </c>
      <c r="D217" s="1">
        <v>0</v>
      </c>
      <c r="E217" s="1">
        <v>1</v>
      </c>
      <c r="F217" s="32">
        <v>5</v>
      </c>
      <c r="G217" s="64" t="str" cm="1">
        <f t="array" ref="G217">_xlfn.IFS(AND(F217&gt;=5,F217&lt;12),"Morning",AND(F217&gt;=12,F217&lt;17),"AfterNoon",AND(F217&gt;=17,F217&lt;20),"Evening",TRUE,"Night")</f>
        <v>Morning</v>
      </c>
      <c r="H217" s="1" t="b">
        <v>0</v>
      </c>
      <c r="I217" s="1">
        <v>1</v>
      </c>
      <c r="J217" s="64" t="str" cm="1">
        <f t="array" ref="J217">_xlfn.IFS(I217=0,"Saturday",I217=1,"Sunday",I217=2,"Monday",I217=3,"Tuesday",I217=4,"Wednesday",I217=5,"Thusday",I217=6,"Friday")</f>
        <v>Sunday</v>
      </c>
      <c r="K217" s="1">
        <v>1</v>
      </c>
      <c r="L217" s="1">
        <v>0.1</v>
      </c>
      <c r="M217" t="str">
        <f t="shared" si="4"/>
        <v>Stromy</v>
      </c>
    </row>
    <row r="218" spans="1:13" x14ac:dyDescent="0.35">
      <c r="A218" s="1">
        <v>216</v>
      </c>
      <c r="B218" s="3">
        <v>40553</v>
      </c>
      <c r="C218" s="1">
        <v>1</v>
      </c>
      <c r="D218" s="1">
        <v>0</v>
      </c>
      <c r="E218" s="1">
        <v>1</v>
      </c>
      <c r="F218" s="32">
        <v>6</v>
      </c>
      <c r="G218" s="64" t="str" cm="1">
        <f t="array" ref="G218">_xlfn.IFS(AND(F218&gt;=5,F218&lt;12),"Morning",AND(F218&gt;=12,F218&lt;17),"AfterNoon",AND(F218&gt;=17,F218&lt;20),"Evening",TRUE,"Night")</f>
        <v>Morning</v>
      </c>
      <c r="H218" s="1" t="b">
        <v>0</v>
      </c>
      <c r="I218" s="1">
        <v>1</v>
      </c>
      <c r="J218" s="64" t="str" cm="1">
        <f t="array" ref="J218">_xlfn.IFS(I218=0,"Saturday",I218=1,"Sunday",I218=2,"Monday",I218=3,"Tuesday",I218=4,"Wednesday",I218=5,"Thusday",I218=6,"Friday")</f>
        <v>Sunday</v>
      </c>
      <c r="K218" s="1">
        <v>1</v>
      </c>
      <c r="L218" s="1">
        <v>0.12</v>
      </c>
      <c r="M218" t="str">
        <f t="shared" si="4"/>
        <v>Rainy</v>
      </c>
    </row>
    <row r="219" spans="1:13" x14ac:dyDescent="0.35">
      <c r="A219" s="1">
        <v>217</v>
      </c>
      <c r="B219" s="3">
        <v>40553</v>
      </c>
      <c r="C219" s="1">
        <v>1</v>
      </c>
      <c r="D219" s="1">
        <v>0</v>
      </c>
      <c r="E219" s="1">
        <v>1</v>
      </c>
      <c r="F219" s="32">
        <v>7</v>
      </c>
      <c r="G219" s="64" t="str" cm="1">
        <f t="array" ref="G219">_xlfn.IFS(AND(F219&gt;=5,F219&lt;12),"Morning",AND(F219&gt;=12,F219&lt;17),"AfterNoon",AND(F219&gt;=17,F219&lt;20),"Evening",TRUE,"Night")</f>
        <v>Morning</v>
      </c>
      <c r="H219" s="1" t="b">
        <v>0</v>
      </c>
      <c r="I219" s="1">
        <v>1</v>
      </c>
      <c r="J219" s="64" t="str" cm="1">
        <f t="array" ref="J219">_xlfn.IFS(I219=0,"Saturday",I219=1,"Sunday",I219=2,"Monday",I219=3,"Tuesday",I219=4,"Wednesday",I219=5,"Thusday",I219=6,"Friday")</f>
        <v>Sunday</v>
      </c>
      <c r="K219" s="1">
        <v>1</v>
      </c>
      <c r="L219" s="1">
        <v>0.12</v>
      </c>
      <c r="M219" t="str">
        <f t="shared" si="4"/>
        <v>Rainy</v>
      </c>
    </row>
    <row r="220" spans="1:13" x14ac:dyDescent="0.35">
      <c r="A220" s="1">
        <v>218</v>
      </c>
      <c r="B220" s="3">
        <v>40553</v>
      </c>
      <c r="C220" s="1">
        <v>1</v>
      </c>
      <c r="D220" s="1">
        <v>0</v>
      </c>
      <c r="E220" s="1">
        <v>1</v>
      </c>
      <c r="F220" s="32">
        <v>8</v>
      </c>
      <c r="G220" s="64" t="str" cm="1">
        <f t="array" ref="G220">_xlfn.IFS(AND(F220&gt;=5,F220&lt;12),"Morning",AND(F220&gt;=12,F220&lt;17),"AfterNoon",AND(F220&gt;=17,F220&lt;20),"Evening",TRUE,"Night")</f>
        <v>Morning</v>
      </c>
      <c r="H220" s="1" t="b">
        <v>0</v>
      </c>
      <c r="I220" s="1">
        <v>1</v>
      </c>
      <c r="J220" s="64" t="str" cm="1">
        <f t="array" ref="J220">_xlfn.IFS(I220=0,"Saturday",I220=1,"Sunday",I220=2,"Monday",I220=3,"Tuesday",I220=4,"Wednesday",I220=5,"Thusday",I220=6,"Friday")</f>
        <v>Sunday</v>
      </c>
      <c r="K220" s="1">
        <v>2</v>
      </c>
      <c r="L220" s="1">
        <v>0.12</v>
      </c>
      <c r="M220" t="str">
        <f t="shared" si="4"/>
        <v>Rainy</v>
      </c>
    </row>
    <row r="221" spans="1:13" x14ac:dyDescent="0.35">
      <c r="A221" s="1">
        <v>219</v>
      </c>
      <c r="B221" s="3">
        <v>40553</v>
      </c>
      <c r="C221" s="1">
        <v>1</v>
      </c>
      <c r="D221" s="1">
        <v>0</v>
      </c>
      <c r="E221" s="1">
        <v>1</v>
      </c>
      <c r="F221" s="32">
        <v>9</v>
      </c>
      <c r="G221" s="64" t="str" cm="1">
        <f t="array" ref="G221">_xlfn.IFS(AND(F221&gt;=5,F221&lt;12),"Morning",AND(F221&gt;=12,F221&lt;17),"AfterNoon",AND(F221&gt;=17,F221&lt;20),"Evening",TRUE,"Night")</f>
        <v>Morning</v>
      </c>
      <c r="H221" s="1" t="b">
        <v>0</v>
      </c>
      <c r="I221" s="1">
        <v>1</v>
      </c>
      <c r="J221" s="64" t="str" cm="1">
        <f t="array" ref="J221">_xlfn.IFS(I221=0,"Saturday",I221=1,"Sunday",I221=2,"Monday",I221=3,"Tuesday",I221=4,"Wednesday",I221=5,"Thusday",I221=6,"Friday")</f>
        <v>Sunday</v>
      </c>
      <c r="K221" s="1">
        <v>2</v>
      </c>
      <c r="L221" s="1">
        <v>0.14000000000000001</v>
      </c>
      <c r="M221" t="str">
        <f t="shared" si="4"/>
        <v>Rainy</v>
      </c>
    </row>
    <row r="222" spans="1:13" x14ac:dyDescent="0.35">
      <c r="A222" s="1">
        <v>220</v>
      </c>
      <c r="B222" s="3">
        <v>40553</v>
      </c>
      <c r="C222" s="1">
        <v>1</v>
      </c>
      <c r="D222" s="1">
        <v>0</v>
      </c>
      <c r="E222" s="1">
        <v>1</v>
      </c>
      <c r="F222" s="32">
        <v>10</v>
      </c>
      <c r="G222" s="64" t="str" cm="1">
        <f t="array" ref="G222">_xlfn.IFS(AND(F222&gt;=5,F222&lt;12),"Morning",AND(F222&gt;=12,F222&lt;17),"AfterNoon",AND(F222&gt;=17,F222&lt;20),"Evening",TRUE,"Night")</f>
        <v>Morning</v>
      </c>
      <c r="H222" s="1" t="b">
        <v>0</v>
      </c>
      <c r="I222" s="1">
        <v>1</v>
      </c>
      <c r="J222" s="64" t="str" cm="1">
        <f t="array" ref="J222">_xlfn.IFS(I222=0,"Saturday",I222=1,"Sunday",I222=2,"Monday",I222=3,"Tuesday",I222=4,"Wednesday",I222=5,"Thusday",I222=6,"Friday")</f>
        <v>Sunday</v>
      </c>
      <c r="K222" s="1">
        <v>2</v>
      </c>
      <c r="L222" s="1">
        <v>0.14000000000000001</v>
      </c>
      <c r="M222" t="str">
        <f t="shared" si="4"/>
        <v>Rainy</v>
      </c>
    </row>
    <row r="223" spans="1:13" x14ac:dyDescent="0.35">
      <c r="A223" s="1">
        <v>221</v>
      </c>
      <c r="B223" s="3">
        <v>40553</v>
      </c>
      <c r="C223" s="1">
        <v>1</v>
      </c>
      <c r="D223" s="1">
        <v>0</v>
      </c>
      <c r="E223" s="1">
        <v>1</v>
      </c>
      <c r="F223" s="32">
        <v>11</v>
      </c>
      <c r="G223" s="64" t="str" cm="1">
        <f t="array" ref="G223">_xlfn.IFS(AND(F223&gt;=5,F223&lt;12),"Morning",AND(F223&gt;=12,F223&lt;17),"AfterNoon",AND(F223&gt;=17,F223&lt;20),"Evening",TRUE,"Night")</f>
        <v>Morning</v>
      </c>
      <c r="H223" s="1" t="b">
        <v>0</v>
      </c>
      <c r="I223" s="1">
        <v>1</v>
      </c>
      <c r="J223" s="64" t="str" cm="1">
        <f t="array" ref="J223">_xlfn.IFS(I223=0,"Saturday",I223=1,"Sunday",I223=2,"Monday",I223=3,"Tuesday",I223=4,"Wednesday",I223=5,"Thusday",I223=6,"Friday")</f>
        <v>Sunday</v>
      </c>
      <c r="K223" s="1">
        <v>2</v>
      </c>
      <c r="L223" s="1">
        <v>0.16</v>
      </c>
      <c r="M223" t="str">
        <f t="shared" si="4"/>
        <v>Rainy</v>
      </c>
    </row>
    <row r="224" spans="1:13" x14ac:dyDescent="0.35">
      <c r="A224" s="1">
        <v>222</v>
      </c>
      <c r="B224" s="3">
        <v>40553</v>
      </c>
      <c r="C224" s="1">
        <v>1</v>
      </c>
      <c r="D224" s="1">
        <v>0</v>
      </c>
      <c r="E224" s="1">
        <v>1</v>
      </c>
      <c r="F224" s="32">
        <v>12</v>
      </c>
      <c r="G224" s="64" t="str" cm="1">
        <f t="array" ref="G224">_xlfn.IFS(AND(F224&gt;=5,F224&lt;12),"Morning",AND(F224&gt;=12,F224&lt;17),"AfterNoon",AND(F224&gt;=17,F224&lt;20),"Evening",TRUE,"Night")</f>
        <v>AfterNoon</v>
      </c>
      <c r="H224" s="1" t="b">
        <v>0</v>
      </c>
      <c r="I224" s="1">
        <v>1</v>
      </c>
      <c r="J224" s="64" t="str" cm="1">
        <f t="array" ref="J224">_xlfn.IFS(I224=0,"Saturday",I224=1,"Sunday",I224=2,"Monday",I224=3,"Tuesday",I224=4,"Wednesday",I224=5,"Thusday",I224=6,"Friday")</f>
        <v>Sunday</v>
      </c>
      <c r="K224" s="1">
        <v>2</v>
      </c>
      <c r="L224" s="1">
        <v>0.2</v>
      </c>
      <c r="M224" t="str">
        <f t="shared" si="4"/>
        <v>Rainy</v>
      </c>
    </row>
    <row r="225" spans="1:13" x14ac:dyDescent="0.35">
      <c r="A225" s="1">
        <v>223</v>
      </c>
      <c r="B225" s="3">
        <v>40553</v>
      </c>
      <c r="C225" s="1">
        <v>1</v>
      </c>
      <c r="D225" s="1">
        <v>0</v>
      </c>
      <c r="E225" s="1">
        <v>1</v>
      </c>
      <c r="F225" s="32">
        <v>13</v>
      </c>
      <c r="G225" s="64" t="str" cm="1">
        <f t="array" ref="G225">_xlfn.IFS(AND(F225&gt;=5,F225&lt;12),"Morning",AND(F225&gt;=12,F225&lt;17),"AfterNoon",AND(F225&gt;=17,F225&lt;20),"Evening",TRUE,"Night")</f>
        <v>AfterNoon</v>
      </c>
      <c r="H225" s="1" t="b">
        <v>0</v>
      </c>
      <c r="I225" s="1">
        <v>1</v>
      </c>
      <c r="J225" s="64" t="str" cm="1">
        <f t="array" ref="J225">_xlfn.IFS(I225=0,"Saturday",I225=1,"Sunday",I225=2,"Monday",I225=3,"Tuesday",I225=4,"Wednesday",I225=5,"Thusday",I225=6,"Friday")</f>
        <v>Sunday</v>
      </c>
      <c r="K225" s="1">
        <v>2</v>
      </c>
      <c r="L225" s="1">
        <v>0.2</v>
      </c>
      <c r="M225" t="str">
        <f t="shared" si="4"/>
        <v>Rainy</v>
      </c>
    </row>
    <row r="226" spans="1:13" x14ac:dyDescent="0.35">
      <c r="A226" s="1">
        <v>224</v>
      </c>
      <c r="B226" s="3">
        <v>40553</v>
      </c>
      <c r="C226" s="1">
        <v>1</v>
      </c>
      <c r="D226" s="1">
        <v>0</v>
      </c>
      <c r="E226" s="1">
        <v>1</v>
      </c>
      <c r="F226" s="32">
        <v>14</v>
      </c>
      <c r="G226" s="64" t="str" cm="1">
        <f t="array" ref="G226">_xlfn.IFS(AND(F226&gt;=5,F226&lt;12),"Morning",AND(F226&gt;=12,F226&lt;17),"AfterNoon",AND(F226&gt;=17,F226&lt;20),"Evening",TRUE,"Night")</f>
        <v>AfterNoon</v>
      </c>
      <c r="H226" s="1" t="b">
        <v>0</v>
      </c>
      <c r="I226" s="1">
        <v>1</v>
      </c>
      <c r="J226" s="64" t="str" cm="1">
        <f t="array" ref="J226">_xlfn.IFS(I226=0,"Saturday",I226=1,"Sunday",I226=2,"Monday",I226=3,"Tuesday",I226=4,"Wednesday",I226=5,"Thusday",I226=6,"Friday")</f>
        <v>Sunday</v>
      </c>
      <c r="K226" s="1">
        <v>2</v>
      </c>
      <c r="L226" s="1">
        <v>0.2</v>
      </c>
      <c r="M226" t="str">
        <f t="shared" si="4"/>
        <v>Rainy</v>
      </c>
    </row>
    <row r="227" spans="1:13" x14ac:dyDescent="0.35">
      <c r="A227" s="1">
        <v>225</v>
      </c>
      <c r="B227" s="3">
        <v>40553</v>
      </c>
      <c r="C227" s="1">
        <v>1</v>
      </c>
      <c r="D227" s="1">
        <v>0</v>
      </c>
      <c r="E227" s="1">
        <v>1</v>
      </c>
      <c r="F227" s="32">
        <v>15</v>
      </c>
      <c r="G227" s="64" t="str" cm="1">
        <f t="array" ref="G227">_xlfn.IFS(AND(F227&gt;=5,F227&lt;12),"Morning",AND(F227&gt;=12,F227&lt;17),"AfterNoon",AND(F227&gt;=17,F227&lt;20),"Evening",TRUE,"Night")</f>
        <v>AfterNoon</v>
      </c>
      <c r="H227" s="1" t="b">
        <v>0</v>
      </c>
      <c r="I227" s="1">
        <v>1</v>
      </c>
      <c r="J227" s="64" t="str" cm="1">
        <f t="array" ref="J227">_xlfn.IFS(I227=0,"Saturday",I227=1,"Sunday",I227=2,"Monday",I227=3,"Tuesday",I227=4,"Wednesday",I227=5,"Thusday",I227=6,"Friday")</f>
        <v>Sunday</v>
      </c>
      <c r="K227" s="1">
        <v>2</v>
      </c>
      <c r="L227" s="1">
        <v>0.2</v>
      </c>
      <c r="M227" t="str">
        <f t="shared" si="4"/>
        <v>Rainy</v>
      </c>
    </row>
    <row r="228" spans="1:13" x14ac:dyDescent="0.35">
      <c r="A228" s="1">
        <v>226</v>
      </c>
      <c r="B228" s="3">
        <v>40553</v>
      </c>
      <c r="C228" s="1">
        <v>1</v>
      </c>
      <c r="D228" s="1">
        <v>0</v>
      </c>
      <c r="E228" s="1">
        <v>1</v>
      </c>
      <c r="F228" s="32">
        <v>16</v>
      </c>
      <c r="G228" s="64" t="str" cm="1">
        <f t="array" ref="G228">_xlfn.IFS(AND(F228&gt;=5,F228&lt;12),"Morning",AND(F228&gt;=12,F228&lt;17),"AfterNoon",AND(F228&gt;=17,F228&lt;20),"Evening",TRUE,"Night")</f>
        <v>AfterNoon</v>
      </c>
      <c r="H228" s="1" t="b">
        <v>0</v>
      </c>
      <c r="I228" s="1">
        <v>1</v>
      </c>
      <c r="J228" s="64" t="str" cm="1">
        <f t="array" ref="J228">_xlfn.IFS(I228=0,"Saturday",I228=1,"Sunday",I228=2,"Monday",I228=3,"Tuesday",I228=4,"Wednesday",I228=5,"Thusday",I228=6,"Friday")</f>
        <v>Sunday</v>
      </c>
      <c r="K228" s="1">
        <v>1</v>
      </c>
      <c r="L228" s="1">
        <v>0.2</v>
      </c>
      <c r="M228" t="str">
        <f t="shared" si="4"/>
        <v>Rainy</v>
      </c>
    </row>
    <row r="229" spans="1:13" x14ac:dyDescent="0.35">
      <c r="A229" s="1">
        <v>227</v>
      </c>
      <c r="B229" s="3">
        <v>40553</v>
      </c>
      <c r="C229" s="1">
        <v>1</v>
      </c>
      <c r="D229" s="1">
        <v>0</v>
      </c>
      <c r="E229" s="1">
        <v>1</v>
      </c>
      <c r="F229" s="32">
        <v>17</v>
      </c>
      <c r="G229" s="64" t="str" cm="1">
        <f t="array" ref="G229">_xlfn.IFS(AND(F229&gt;=5,F229&lt;12),"Morning",AND(F229&gt;=12,F229&lt;17),"AfterNoon",AND(F229&gt;=17,F229&lt;20),"Evening",TRUE,"Night")</f>
        <v>Evening</v>
      </c>
      <c r="H229" s="1" t="b">
        <v>0</v>
      </c>
      <c r="I229" s="1">
        <v>1</v>
      </c>
      <c r="J229" s="64" t="str" cm="1">
        <f t="array" ref="J229">_xlfn.IFS(I229=0,"Saturday",I229=1,"Sunday",I229=2,"Monday",I229=3,"Tuesday",I229=4,"Wednesday",I229=5,"Thusday",I229=6,"Friday")</f>
        <v>Sunday</v>
      </c>
      <c r="K229" s="1">
        <v>1</v>
      </c>
      <c r="L229" s="1">
        <v>0.2</v>
      </c>
      <c r="M229" t="str">
        <f t="shared" si="4"/>
        <v>Rainy</v>
      </c>
    </row>
    <row r="230" spans="1:13" x14ac:dyDescent="0.35">
      <c r="A230" s="1">
        <v>228</v>
      </c>
      <c r="B230" s="3">
        <v>40553</v>
      </c>
      <c r="C230" s="1">
        <v>1</v>
      </c>
      <c r="D230" s="1">
        <v>0</v>
      </c>
      <c r="E230" s="1">
        <v>1</v>
      </c>
      <c r="F230" s="32">
        <v>18</v>
      </c>
      <c r="G230" s="64" t="str" cm="1">
        <f t="array" ref="G230">_xlfn.IFS(AND(F230&gt;=5,F230&lt;12),"Morning",AND(F230&gt;=12,F230&lt;17),"AfterNoon",AND(F230&gt;=17,F230&lt;20),"Evening",TRUE,"Night")</f>
        <v>Evening</v>
      </c>
      <c r="H230" s="1" t="b">
        <v>0</v>
      </c>
      <c r="I230" s="1">
        <v>1</v>
      </c>
      <c r="J230" s="64" t="str" cm="1">
        <f t="array" ref="J230">_xlfn.IFS(I230=0,"Saturday",I230=1,"Sunday",I230=2,"Monday",I230=3,"Tuesday",I230=4,"Wednesday",I230=5,"Thusday",I230=6,"Friday")</f>
        <v>Sunday</v>
      </c>
      <c r="K230" s="1">
        <v>1</v>
      </c>
      <c r="L230" s="1">
        <v>0.2</v>
      </c>
      <c r="M230" t="str">
        <f t="shared" si="4"/>
        <v>Rainy</v>
      </c>
    </row>
    <row r="231" spans="1:13" x14ac:dyDescent="0.35">
      <c r="A231" s="1">
        <v>229</v>
      </c>
      <c r="B231" s="3">
        <v>40553</v>
      </c>
      <c r="C231" s="1">
        <v>1</v>
      </c>
      <c r="D231" s="1">
        <v>0</v>
      </c>
      <c r="E231" s="1">
        <v>1</v>
      </c>
      <c r="F231" s="32">
        <v>19</v>
      </c>
      <c r="G231" s="64" t="str" cm="1">
        <f t="array" ref="G231">_xlfn.IFS(AND(F231&gt;=5,F231&lt;12),"Morning",AND(F231&gt;=12,F231&lt;17),"AfterNoon",AND(F231&gt;=17,F231&lt;20),"Evening",TRUE,"Night")</f>
        <v>Evening</v>
      </c>
      <c r="H231" s="1" t="b">
        <v>0</v>
      </c>
      <c r="I231" s="1">
        <v>1</v>
      </c>
      <c r="J231" s="64" t="str" cm="1">
        <f t="array" ref="J231">_xlfn.IFS(I231=0,"Saturday",I231=1,"Sunday",I231=2,"Monday",I231=3,"Tuesday",I231=4,"Wednesday",I231=5,"Thusday",I231=6,"Friday")</f>
        <v>Sunday</v>
      </c>
      <c r="K231" s="1">
        <v>1</v>
      </c>
      <c r="L231" s="1">
        <v>0.16</v>
      </c>
      <c r="M231" t="str">
        <f t="shared" si="4"/>
        <v>Rainy</v>
      </c>
    </row>
    <row r="232" spans="1:13" x14ac:dyDescent="0.35">
      <c r="A232" s="1">
        <v>230</v>
      </c>
      <c r="B232" s="3">
        <v>40553</v>
      </c>
      <c r="C232" s="1">
        <v>1</v>
      </c>
      <c r="D232" s="1">
        <v>0</v>
      </c>
      <c r="E232" s="1">
        <v>1</v>
      </c>
      <c r="F232" s="32">
        <v>20</v>
      </c>
      <c r="G232" s="64" t="str" cm="1">
        <f t="array" ref="G232">_xlfn.IFS(AND(F232&gt;=5,F232&lt;12),"Morning",AND(F232&gt;=12,F232&lt;17),"AfterNoon",AND(F232&gt;=17,F232&lt;20),"Evening",TRUE,"Night")</f>
        <v>Night</v>
      </c>
      <c r="H232" s="1" t="b">
        <v>0</v>
      </c>
      <c r="I232" s="1">
        <v>1</v>
      </c>
      <c r="J232" s="64" t="str" cm="1">
        <f t="array" ref="J232">_xlfn.IFS(I232=0,"Saturday",I232=1,"Sunday",I232=2,"Monday",I232=3,"Tuesday",I232=4,"Wednesday",I232=5,"Thusday",I232=6,"Friday")</f>
        <v>Sunday</v>
      </c>
      <c r="K232" s="1">
        <v>1</v>
      </c>
      <c r="L232" s="1">
        <v>0.16</v>
      </c>
      <c r="M232" t="str">
        <f t="shared" si="4"/>
        <v>Rainy</v>
      </c>
    </row>
    <row r="233" spans="1:13" x14ac:dyDescent="0.35">
      <c r="A233" s="1">
        <v>231</v>
      </c>
      <c r="B233" s="3">
        <v>40553</v>
      </c>
      <c r="C233" s="1">
        <v>1</v>
      </c>
      <c r="D233" s="1">
        <v>0</v>
      </c>
      <c r="E233" s="1">
        <v>1</v>
      </c>
      <c r="F233" s="32">
        <v>21</v>
      </c>
      <c r="G233" s="64" t="str" cm="1">
        <f t="array" ref="G233">_xlfn.IFS(AND(F233&gt;=5,F233&lt;12),"Morning",AND(F233&gt;=12,F233&lt;17),"AfterNoon",AND(F233&gt;=17,F233&lt;20),"Evening",TRUE,"Night")</f>
        <v>Night</v>
      </c>
      <c r="H233" s="1" t="b">
        <v>0</v>
      </c>
      <c r="I233" s="1">
        <v>1</v>
      </c>
      <c r="J233" s="64" t="str" cm="1">
        <f t="array" ref="J233">_xlfn.IFS(I233=0,"Saturday",I233=1,"Sunday",I233=2,"Monday",I233=3,"Tuesday",I233=4,"Wednesday",I233=5,"Thusday",I233=6,"Friday")</f>
        <v>Sunday</v>
      </c>
      <c r="K233" s="1">
        <v>1</v>
      </c>
      <c r="L233" s="1">
        <v>0.14000000000000001</v>
      </c>
      <c r="M233" t="str">
        <f t="shared" si="4"/>
        <v>Rainy</v>
      </c>
    </row>
    <row r="234" spans="1:13" x14ac:dyDescent="0.35">
      <c r="A234" s="1">
        <v>232</v>
      </c>
      <c r="B234" s="3">
        <v>40553</v>
      </c>
      <c r="C234" s="1">
        <v>1</v>
      </c>
      <c r="D234" s="1">
        <v>0</v>
      </c>
      <c r="E234" s="1">
        <v>1</v>
      </c>
      <c r="F234" s="32">
        <v>22</v>
      </c>
      <c r="G234" s="64" t="str" cm="1">
        <f t="array" ref="G234">_xlfn.IFS(AND(F234&gt;=5,F234&lt;12),"Morning",AND(F234&gt;=12,F234&lt;17),"AfterNoon",AND(F234&gt;=17,F234&lt;20),"Evening",TRUE,"Night")</f>
        <v>Night</v>
      </c>
      <c r="H234" s="1" t="b">
        <v>0</v>
      </c>
      <c r="I234" s="1">
        <v>1</v>
      </c>
      <c r="J234" s="64" t="str" cm="1">
        <f t="array" ref="J234">_xlfn.IFS(I234=0,"Saturday",I234=1,"Sunday",I234=2,"Monday",I234=3,"Tuesday",I234=4,"Wednesday",I234=5,"Thusday",I234=6,"Friday")</f>
        <v>Sunday</v>
      </c>
      <c r="K234" s="1">
        <v>1</v>
      </c>
      <c r="L234" s="1">
        <v>0.14000000000000001</v>
      </c>
      <c r="M234" t="str">
        <f t="shared" si="4"/>
        <v>Rainy</v>
      </c>
    </row>
    <row r="235" spans="1:13" x14ac:dyDescent="0.35">
      <c r="A235" s="1">
        <v>233</v>
      </c>
      <c r="B235" s="3">
        <v>40553</v>
      </c>
      <c r="C235" s="1">
        <v>1</v>
      </c>
      <c r="D235" s="1">
        <v>0</v>
      </c>
      <c r="E235" s="1">
        <v>1</v>
      </c>
      <c r="F235" s="32">
        <v>23</v>
      </c>
      <c r="G235" s="64" t="str" cm="1">
        <f t="array" ref="G235">_xlfn.IFS(AND(F235&gt;=5,F235&lt;12),"Morning",AND(F235&gt;=12,F235&lt;17),"AfterNoon",AND(F235&gt;=17,F235&lt;20),"Evening",TRUE,"Night")</f>
        <v>Night</v>
      </c>
      <c r="H235" s="1" t="b">
        <v>0</v>
      </c>
      <c r="I235" s="1">
        <v>1</v>
      </c>
      <c r="J235" s="64" t="str" cm="1">
        <f t="array" ref="J235">_xlfn.IFS(I235=0,"Saturday",I235=1,"Sunday",I235=2,"Monday",I235=3,"Tuesday",I235=4,"Wednesday",I235=5,"Thusday",I235=6,"Friday")</f>
        <v>Sunday</v>
      </c>
      <c r="K235" s="1">
        <v>1</v>
      </c>
      <c r="L235" s="1">
        <v>0.14000000000000001</v>
      </c>
      <c r="M235" t="str">
        <f t="shared" si="4"/>
        <v>Rainy</v>
      </c>
    </row>
    <row r="236" spans="1:13" x14ac:dyDescent="0.35">
      <c r="A236" s="1">
        <v>234</v>
      </c>
      <c r="B236" s="3">
        <v>40554</v>
      </c>
      <c r="C236" s="1">
        <v>1</v>
      </c>
      <c r="D236" s="1">
        <v>0</v>
      </c>
      <c r="E236" s="1">
        <v>1</v>
      </c>
      <c r="F236" s="32">
        <v>0</v>
      </c>
      <c r="G236" s="64" t="str" cm="1">
        <f t="array" ref="G236">_xlfn.IFS(AND(F236&gt;=5,F236&lt;12),"Morning",AND(F236&gt;=12,F236&lt;17),"AfterNoon",AND(F236&gt;=17,F236&lt;20),"Evening",TRUE,"Night")</f>
        <v>Night</v>
      </c>
      <c r="H236" s="1" t="b">
        <v>0</v>
      </c>
      <c r="I236" s="1">
        <v>2</v>
      </c>
      <c r="J236" s="64" t="str" cm="1">
        <f t="array" ref="J236">_xlfn.IFS(I236=0,"Saturday",I236=1,"Sunday",I236=2,"Monday",I236=3,"Tuesday",I236=4,"Wednesday",I236=5,"Thusday",I236=6,"Friday")</f>
        <v>Monday</v>
      </c>
      <c r="K236" s="1">
        <v>1</v>
      </c>
      <c r="L236" s="1">
        <v>0.14000000000000001</v>
      </c>
      <c r="M236" t="str">
        <f t="shared" si="4"/>
        <v>Rainy</v>
      </c>
    </row>
    <row r="237" spans="1:13" x14ac:dyDescent="0.35">
      <c r="A237" s="1">
        <v>235</v>
      </c>
      <c r="B237" s="3">
        <v>40554</v>
      </c>
      <c r="C237" s="1">
        <v>1</v>
      </c>
      <c r="D237" s="1">
        <v>0</v>
      </c>
      <c r="E237" s="1">
        <v>1</v>
      </c>
      <c r="F237" s="32">
        <v>1</v>
      </c>
      <c r="G237" s="64" t="str" cm="1">
        <f t="array" ref="G237">_xlfn.IFS(AND(F237&gt;=5,F237&lt;12),"Morning",AND(F237&gt;=12,F237&lt;17),"AfterNoon",AND(F237&gt;=17,F237&lt;20),"Evening",TRUE,"Night")</f>
        <v>Night</v>
      </c>
      <c r="H237" s="1" t="b">
        <v>0</v>
      </c>
      <c r="I237" s="1">
        <v>2</v>
      </c>
      <c r="J237" s="64" t="str" cm="1">
        <f t="array" ref="J237">_xlfn.IFS(I237=0,"Saturday",I237=1,"Sunday",I237=2,"Monday",I237=3,"Tuesday",I237=4,"Wednesday",I237=5,"Thusday",I237=6,"Friday")</f>
        <v>Monday</v>
      </c>
      <c r="K237" s="1">
        <v>1</v>
      </c>
      <c r="L237" s="1">
        <v>0.14000000000000001</v>
      </c>
      <c r="M237" t="str">
        <f t="shared" si="4"/>
        <v>Rainy</v>
      </c>
    </row>
    <row r="238" spans="1:13" x14ac:dyDescent="0.35">
      <c r="A238" s="1">
        <v>236</v>
      </c>
      <c r="B238" s="3">
        <v>40554</v>
      </c>
      <c r="C238" s="1">
        <v>1</v>
      </c>
      <c r="D238" s="1">
        <v>0</v>
      </c>
      <c r="E238" s="1">
        <v>1</v>
      </c>
      <c r="F238" s="32">
        <v>2</v>
      </c>
      <c r="G238" s="64" t="str" cm="1">
        <f t="array" ref="G238">_xlfn.IFS(AND(F238&gt;=5,F238&lt;12),"Morning",AND(F238&gt;=12,F238&lt;17),"AfterNoon",AND(F238&gt;=17,F238&lt;20),"Evening",TRUE,"Night")</f>
        <v>Night</v>
      </c>
      <c r="H238" s="1" t="b">
        <v>0</v>
      </c>
      <c r="I238" s="1">
        <v>2</v>
      </c>
      <c r="J238" s="64" t="str" cm="1">
        <f t="array" ref="J238">_xlfn.IFS(I238=0,"Saturday",I238=1,"Sunday",I238=2,"Monday",I238=3,"Tuesday",I238=4,"Wednesday",I238=5,"Thusday",I238=6,"Friday")</f>
        <v>Monday</v>
      </c>
      <c r="K238" s="1">
        <v>2</v>
      </c>
      <c r="L238" s="1">
        <v>0.16</v>
      </c>
      <c r="M238" t="str">
        <f t="shared" si="4"/>
        <v>Rainy</v>
      </c>
    </row>
    <row r="239" spans="1:13" x14ac:dyDescent="0.35">
      <c r="A239" s="1">
        <v>237</v>
      </c>
      <c r="B239" s="3">
        <v>40554</v>
      </c>
      <c r="C239" s="1">
        <v>1</v>
      </c>
      <c r="D239" s="1">
        <v>0</v>
      </c>
      <c r="E239" s="1">
        <v>1</v>
      </c>
      <c r="F239" s="32">
        <v>5</v>
      </c>
      <c r="G239" s="64" t="str" cm="1">
        <f t="array" ref="G239">_xlfn.IFS(AND(F239&gt;=5,F239&lt;12),"Morning",AND(F239&gt;=12,F239&lt;17),"AfterNoon",AND(F239&gt;=17,F239&lt;20),"Evening",TRUE,"Night")</f>
        <v>Morning</v>
      </c>
      <c r="H239" s="1" t="b">
        <v>0</v>
      </c>
      <c r="I239" s="1">
        <v>2</v>
      </c>
      <c r="J239" s="64" t="str" cm="1">
        <f t="array" ref="J239">_xlfn.IFS(I239=0,"Saturday",I239=1,"Sunday",I239=2,"Monday",I239=3,"Tuesday",I239=4,"Wednesday",I239=5,"Thusday",I239=6,"Friday")</f>
        <v>Monday</v>
      </c>
      <c r="K239" s="1">
        <v>2</v>
      </c>
      <c r="L239" s="1">
        <v>0.16</v>
      </c>
      <c r="M239" t="str">
        <f t="shared" si="4"/>
        <v>Rainy</v>
      </c>
    </row>
    <row r="240" spans="1:13" x14ac:dyDescent="0.35">
      <c r="A240" s="1">
        <v>238</v>
      </c>
      <c r="B240" s="3">
        <v>40554</v>
      </c>
      <c r="C240" s="1">
        <v>1</v>
      </c>
      <c r="D240" s="1">
        <v>0</v>
      </c>
      <c r="E240" s="1">
        <v>1</v>
      </c>
      <c r="F240" s="32">
        <v>6</v>
      </c>
      <c r="G240" s="64" t="str" cm="1">
        <f t="array" ref="G240">_xlfn.IFS(AND(F240&gt;=5,F240&lt;12),"Morning",AND(F240&gt;=12,F240&lt;17),"AfterNoon",AND(F240&gt;=17,F240&lt;20),"Evening",TRUE,"Night")</f>
        <v>Morning</v>
      </c>
      <c r="H240" s="1" t="b">
        <v>0</v>
      </c>
      <c r="I240" s="1">
        <v>2</v>
      </c>
      <c r="J240" s="64" t="str" cm="1">
        <f t="array" ref="J240">_xlfn.IFS(I240=0,"Saturday",I240=1,"Sunday",I240=2,"Monday",I240=3,"Tuesday",I240=4,"Wednesday",I240=5,"Thusday",I240=6,"Friday")</f>
        <v>Monday</v>
      </c>
      <c r="K240" s="1">
        <v>2</v>
      </c>
      <c r="L240" s="1">
        <v>0.16</v>
      </c>
      <c r="M240" t="str">
        <f t="shared" si="4"/>
        <v>Rainy</v>
      </c>
    </row>
    <row r="241" spans="1:13" x14ac:dyDescent="0.35">
      <c r="A241" s="1">
        <v>239</v>
      </c>
      <c r="B241" s="3">
        <v>40554</v>
      </c>
      <c r="C241" s="1">
        <v>1</v>
      </c>
      <c r="D241" s="1">
        <v>0</v>
      </c>
      <c r="E241" s="1">
        <v>1</v>
      </c>
      <c r="F241" s="32">
        <v>7</v>
      </c>
      <c r="G241" s="64" t="str" cm="1">
        <f t="array" ref="G241">_xlfn.IFS(AND(F241&gt;=5,F241&lt;12),"Morning",AND(F241&gt;=12,F241&lt;17),"AfterNoon",AND(F241&gt;=17,F241&lt;20),"Evening",TRUE,"Night")</f>
        <v>Morning</v>
      </c>
      <c r="H241" s="1" t="b">
        <v>0</v>
      </c>
      <c r="I241" s="1">
        <v>2</v>
      </c>
      <c r="J241" s="64" t="str" cm="1">
        <f t="array" ref="J241">_xlfn.IFS(I241=0,"Saturday",I241=1,"Sunday",I241=2,"Monday",I241=3,"Tuesday",I241=4,"Wednesday",I241=5,"Thusday",I241=6,"Friday")</f>
        <v>Monday</v>
      </c>
      <c r="K241" s="1">
        <v>2</v>
      </c>
      <c r="L241" s="1">
        <v>0.16</v>
      </c>
      <c r="M241" t="str">
        <f t="shared" si="4"/>
        <v>Rainy</v>
      </c>
    </row>
    <row r="242" spans="1:13" x14ac:dyDescent="0.35">
      <c r="A242" s="1">
        <v>240</v>
      </c>
      <c r="B242" s="3">
        <v>40554</v>
      </c>
      <c r="C242" s="1">
        <v>1</v>
      </c>
      <c r="D242" s="1">
        <v>0</v>
      </c>
      <c r="E242" s="1">
        <v>1</v>
      </c>
      <c r="F242" s="32">
        <v>8</v>
      </c>
      <c r="G242" s="64" t="str" cm="1">
        <f t="array" ref="G242">_xlfn.IFS(AND(F242&gt;=5,F242&lt;12),"Morning",AND(F242&gt;=12,F242&lt;17),"AfterNoon",AND(F242&gt;=17,F242&lt;20),"Evening",TRUE,"Night")</f>
        <v>Morning</v>
      </c>
      <c r="H242" s="1" t="b">
        <v>0</v>
      </c>
      <c r="I242" s="1">
        <v>2</v>
      </c>
      <c r="J242" s="64" t="str" cm="1">
        <f t="array" ref="J242">_xlfn.IFS(I242=0,"Saturday",I242=1,"Sunday",I242=2,"Monday",I242=3,"Tuesday",I242=4,"Wednesday",I242=5,"Thusday",I242=6,"Friday")</f>
        <v>Monday</v>
      </c>
      <c r="K242" s="1">
        <v>2</v>
      </c>
      <c r="L242" s="1">
        <v>0.18</v>
      </c>
      <c r="M242" t="str">
        <f t="shared" si="4"/>
        <v>Rainy</v>
      </c>
    </row>
    <row r="243" spans="1:13" x14ac:dyDescent="0.35">
      <c r="A243" s="1">
        <v>241</v>
      </c>
      <c r="B243" s="3">
        <v>40554</v>
      </c>
      <c r="C243" s="1">
        <v>1</v>
      </c>
      <c r="D243" s="1">
        <v>0</v>
      </c>
      <c r="E243" s="1">
        <v>1</v>
      </c>
      <c r="F243" s="32">
        <v>9</v>
      </c>
      <c r="G243" s="64" t="str" cm="1">
        <f t="array" ref="G243">_xlfn.IFS(AND(F243&gt;=5,F243&lt;12),"Morning",AND(F243&gt;=12,F243&lt;17),"AfterNoon",AND(F243&gt;=17,F243&lt;20),"Evening",TRUE,"Night")</f>
        <v>Morning</v>
      </c>
      <c r="H243" s="1" t="b">
        <v>0</v>
      </c>
      <c r="I243" s="1">
        <v>2</v>
      </c>
      <c r="J243" s="64" t="str" cm="1">
        <f t="array" ref="J243">_xlfn.IFS(I243=0,"Saturday",I243=1,"Sunday",I243=2,"Monday",I243=3,"Tuesday",I243=4,"Wednesday",I243=5,"Thusday",I243=6,"Friday")</f>
        <v>Monday</v>
      </c>
      <c r="K243" s="1">
        <v>2</v>
      </c>
      <c r="L243" s="1">
        <v>0.18</v>
      </c>
      <c r="M243" t="str">
        <f t="shared" si="4"/>
        <v>Rainy</v>
      </c>
    </row>
    <row r="244" spans="1:13" x14ac:dyDescent="0.35">
      <c r="A244" s="1">
        <v>242</v>
      </c>
      <c r="B244" s="3">
        <v>40554</v>
      </c>
      <c r="C244" s="1">
        <v>1</v>
      </c>
      <c r="D244" s="1">
        <v>0</v>
      </c>
      <c r="E244" s="1">
        <v>1</v>
      </c>
      <c r="F244" s="32">
        <v>10</v>
      </c>
      <c r="G244" s="64" t="str" cm="1">
        <f t="array" ref="G244">_xlfn.IFS(AND(F244&gt;=5,F244&lt;12),"Morning",AND(F244&gt;=12,F244&lt;17),"AfterNoon",AND(F244&gt;=17,F244&lt;20),"Evening",TRUE,"Night")</f>
        <v>Morning</v>
      </c>
      <c r="H244" s="1" t="b">
        <v>0</v>
      </c>
      <c r="I244" s="1">
        <v>2</v>
      </c>
      <c r="J244" s="64" t="str" cm="1">
        <f t="array" ref="J244">_xlfn.IFS(I244=0,"Saturday",I244=1,"Sunday",I244=2,"Monday",I244=3,"Tuesday",I244=4,"Wednesday",I244=5,"Thusday",I244=6,"Friday")</f>
        <v>Monday</v>
      </c>
      <c r="K244" s="1">
        <v>2</v>
      </c>
      <c r="L244" s="1">
        <v>0.2</v>
      </c>
      <c r="M244" t="str">
        <f t="shared" si="4"/>
        <v>Rainy</v>
      </c>
    </row>
    <row r="245" spans="1:13" x14ac:dyDescent="0.35">
      <c r="A245" s="1">
        <v>243</v>
      </c>
      <c r="B245" s="3">
        <v>40554</v>
      </c>
      <c r="C245" s="1">
        <v>1</v>
      </c>
      <c r="D245" s="1">
        <v>0</v>
      </c>
      <c r="E245" s="1">
        <v>1</v>
      </c>
      <c r="F245" s="32">
        <v>11</v>
      </c>
      <c r="G245" s="64" t="str" cm="1">
        <f t="array" ref="G245">_xlfn.IFS(AND(F245&gt;=5,F245&lt;12),"Morning",AND(F245&gt;=12,F245&lt;17),"AfterNoon",AND(F245&gt;=17,F245&lt;20),"Evening",TRUE,"Night")</f>
        <v>Morning</v>
      </c>
      <c r="H245" s="1" t="b">
        <v>0</v>
      </c>
      <c r="I245" s="1">
        <v>2</v>
      </c>
      <c r="J245" s="64" t="str" cm="1">
        <f t="array" ref="J245">_xlfn.IFS(I245=0,"Saturday",I245=1,"Sunday",I245=2,"Monday",I245=3,"Tuesday",I245=4,"Wednesday",I245=5,"Thusday",I245=6,"Friday")</f>
        <v>Monday</v>
      </c>
      <c r="K245" s="1">
        <v>2</v>
      </c>
      <c r="L245" s="1">
        <v>0.2</v>
      </c>
      <c r="M245" t="str">
        <f t="shared" si="4"/>
        <v>Rainy</v>
      </c>
    </row>
    <row r="246" spans="1:13" x14ac:dyDescent="0.35">
      <c r="A246" s="1">
        <v>244</v>
      </c>
      <c r="B246" s="3">
        <v>40554</v>
      </c>
      <c r="C246" s="1">
        <v>1</v>
      </c>
      <c r="D246" s="1">
        <v>0</v>
      </c>
      <c r="E246" s="1">
        <v>1</v>
      </c>
      <c r="F246" s="32">
        <v>12</v>
      </c>
      <c r="G246" s="64" t="str" cm="1">
        <f t="array" ref="G246">_xlfn.IFS(AND(F246&gt;=5,F246&lt;12),"Morning",AND(F246&gt;=12,F246&lt;17),"AfterNoon",AND(F246&gt;=17,F246&lt;20),"Evening",TRUE,"Night")</f>
        <v>AfterNoon</v>
      </c>
      <c r="H246" s="1" t="b">
        <v>0</v>
      </c>
      <c r="I246" s="1">
        <v>2</v>
      </c>
      <c r="J246" s="64" t="str" cm="1">
        <f t="array" ref="J246">_xlfn.IFS(I246=0,"Saturday",I246=1,"Sunday",I246=2,"Monday",I246=3,"Tuesday",I246=4,"Wednesday",I246=5,"Thusday",I246=6,"Friday")</f>
        <v>Monday</v>
      </c>
      <c r="K246" s="1">
        <v>2</v>
      </c>
      <c r="L246" s="1">
        <v>0.2</v>
      </c>
      <c r="M246" t="str">
        <f t="shared" si="4"/>
        <v>Rainy</v>
      </c>
    </row>
    <row r="247" spans="1:13" x14ac:dyDescent="0.35">
      <c r="A247" s="1">
        <v>245</v>
      </c>
      <c r="B247" s="3">
        <v>40554</v>
      </c>
      <c r="C247" s="1">
        <v>1</v>
      </c>
      <c r="D247" s="1">
        <v>0</v>
      </c>
      <c r="E247" s="1">
        <v>1</v>
      </c>
      <c r="F247" s="32">
        <v>13</v>
      </c>
      <c r="G247" s="64" t="str" cm="1">
        <f t="array" ref="G247">_xlfn.IFS(AND(F247&gt;=5,F247&lt;12),"Morning",AND(F247&gt;=12,F247&lt;17),"AfterNoon",AND(F247&gt;=17,F247&lt;20),"Evening",TRUE,"Night")</f>
        <v>AfterNoon</v>
      </c>
      <c r="H247" s="1" t="b">
        <v>0</v>
      </c>
      <c r="I247" s="1">
        <v>2</v>
      </c>
      <c r="J247" s="64" t="str" cm="1">
        <f t="array" ref="J247">_xlfn.IFS(I247=0,"Saturday",I247=1,"Sunday",I247=2,"Monday",I247=3,"Tuesday",I247=4,"Wednesday",I247=5,"Thusday",I247=6,"Friday")</f>
        <v>Monday</v>
      </c>
      <c r="K247" s="1">
        <v>2</v>
      </c>
      <c r="L247" s="1">
        <v>0.2</v>
      </c>
      <c r="M247" t="str">
        <f t="shared" si="4"/>
        <v>Rainy</v>
      </c>
    </row>
    <row r="248" spans="1:13" x14ac:dyDescent="0.35">
      <c r="A248" s="1">
        <v>246</v>
      </c>
      <c r="B248" s="3">
        <v>40554</v>
      </c>
      <c r="C248" s="1">
        <v>1</v>
      </c>
      <c r="D248" s="1">
        <v>0</v>
      </c>
      <c r="E248" s="1">
        <v>1</v>
      </c>
      <c r="F248" s="32">
        <v>14</v>
      </c>
      <c r="G248" s="64" t="str" cm="1">
        <f t="array" ref="G248">_xlfn.IFS(AND(F248&gt;=5,F248&lt;12),"Morning",AND(F248&gt;=12,F248&lt;17),"AfterNoon",AND(F248&gt;=17,F248&lt;20),"Evening",TRUE,"Night")</f>
        <v>AfterNoon</v>
      </c>
      <c r="H248" s="1" t="b">
        <v>0</v>
      </c>
      <c r="I248" s="1">
        <v>2</v>
      </c>
      <c r="J248" s="64" t="str" cm="1">
        <f t="array" ref="J248">_xlfn.IFS(I248=0,"Saturday",I248=1,"Sunday",I248=2,"Monday",I248=3,"Tuesday",I248=4,"Wednesday",I248=5,"Thusday",I248=6,"Friday")</f>
        <v>Monday</v>
      </c>
      <c r="K248" s="1">
        <v>2</v>
      </c>
      <c r="L248" s="1">
        <v>0.2</v>
      </c>
      <c r="M248" t="str">
        <f t="shared" si="4"/>
        <v>Rainy</v>
      </c>
    </row>
    <row r="249" spans="1:13" x14ac:dyDescent="0.35">
      <c r="A249" s="1">
        <v>247</v>
      </c>
      <c r="B249" s="3">
        <v>40554</v>
      </c>
      <c r="C249" s="1">
        <v>1</v>
      </c>
      <c r="D249" s="1">
        <v>0</v>
      </c>
      <c r="E249" s="1">
        <v>1</v>
      </c>
      <c r="F249" s="32">
        <v>15</v>
      </c>
      <c r="G249" s="64" t="str" cm="1">
        <f t="array" ref="G249">_xlfn.IFS(AND(F249&gt;=5,F249&lt;12),"Morning",AND(F249&gt;=12,F249&lt;17),"AfterNoon",AND(F249&gt;=17,F249&lt;20),"Evening",TRUE,"Night")</f>
        <v>AfterNoon</v>
      </c>
      <c r="H249" s="1" t="b">
        <v>0</v>
      </c>
      <c r="I249" s="1">
        <v>2</v>
      </c>
      <c r="J249" s="64" t="str" cm="1">
        <f t="array" ref="J249">_xlfn.IFS(I249=0,"Saturday",I249=1,"Sunday",I249=2,"Monday",I249=3,"Tuesday",I249=4,"Wednesday",I249=5,"Thusday",I249=6,"Friday")</f>
        <v>Monday</v>
      </c>
      <c r="K249" s="1">
        <v>2</v>
      </c>
      <c r="L249" s="1">
        <v>0.16</v>
      </c>
      <c r="M249" t="str">
        <f t="shared" si="4"/>
        <v>Rainy</v>
      </c>
    </row>
    <row r="250" spans="1:13" x14ac:dyDescent="0.35">
      <c r="A250" s="1">
        <v>248</v>
      </c>
      <c r="B250" s="3">
        <v>40554</v>
      </c>
      <c r="C250" s="1">
        <v>1</v>
      </c>
      <c r="D250" s="1">
        <v>0</v>
      </c>
      <c r="E250" s="1">
        <v>1</v>
      </c>
      <c r="F250" s="32">
        <v>16</v>
      </c>
      <c r="G250" s="64" t="str" cm="1">
        <f t="array" ref="G250">_xlfn.IFS(AND(F250&gt;=5,F250&lt;12),"Morning",AND(F250&gt;=12,F250&lt;17),"AfterNoon",AND(F250&gt;=17,F250&lt;20),"Evening",TRUE,"Night")</f>
        <v>AfterNoon</v>
      </c>
      <c r="H250" s="1" t="b">
        <v>0</v>
      </c>
      <c r="I250" s="1">
        <v>2</v>
      </c>
      <c r="J250" s="64" t="str" cm="1">
        <f t="array" ref="J250">_xlfn.IFS(I250=0,"Saturday",I250=1,"Sunday",I250=2,"Monday",I250=3,"Tuesday",I250=4,"Wednesday",I250=5,"Thusday",I250=6,"Friday")</f>
        <v>Monday</v>
      </c>
      <c r="K250" s="1">
        <v>2</v>
      </c>
      <c r="L250" s="1">
        <v>0.16</v>
      </c>
      <c r="M250" t="str">
        <f t="shared" si="4"/>
        <v>Rainy</v>
      </c>
    </row>
    <row r="251" spans="1:13" x14ac:dyDescent="0.35">
      <c r="A251" s="1">
        <v>249</v>
      </c>
      <c r="B251" s="3">
        <v>40554</v>
      </c>
      <c r="C251" s="1">
        <v>1</v>
      </c>
      <c r="D251" s="1">
        <v>0</v>
      </c>
      <c r="E251" s="1">
        <v>1</v>
      </c>
      <c r="F251" s="32">
        <v>17</v>
      </c>
      <c r="G251" s="64" t="str" cm="1">
        <f t="array" ref="G251">_xlfn.IFS(AND(F251&gt;=5,F251&lt;12),"Morning",AND(F251&gt;=12,F251&lt;17),"AfterNoon",AND(F251&gt;=17,F251&lt;20),"Evening",TRUE,"Night")</f>
        <v>Evening</v>
      </c>
      <c r="H251" s="1" t="b">
        <v>0</v>
      </c>
      <c r="I251" s="1">
        <v>2</v>
      </c>
      <c r="J251" s="64" t="str" cm="1">
        <f t="array" ref="J251">_xlfn.IFS(I251=0,"Saturday",I251=1,"Sunday",I251=2,"Monday",I251=3,"Tuesday",I251=4,"Wednesday",I251=5,"Thusday",I251=6,"Friday")</f>
        <v>Monday</v>
      </c>
      <c r="K251" s="1">
        <v>2</v>
      </c>
      <c r="L251" s="1">
        <v>0.16</v>
      </c>
      <c r="M251" t="str">
        <f t="shared" si="4"/>
        <v>Rainy</v>
      </c>
    </row>
    <row r="252" spans="1:13" x14ac:dyDescent="0.35">
      <c r="A252" s="1">
        <v>250</v>
      </c>
      <c r="B252" s="3">
        <v>40554</v>
      </c>
      <c r="C252" s="1">
        <v>1</v>
      </c>
      <c r="D252" s="1">
        <v>0</v>
      </c>
      <c r="E252" s="1">
        <v>1</v>
      </c>
      <c r="F252" s="32">
        <v>18</v>
      </c>
      <c r="G252" s="64" t="str" cm="1">
        <f t="array" ref="G252">_xlfn.IFS(AND(F252&gt;=5,F252&lt;12),"Morning",AND(F252&gt;=12,F252&lt;17),"AfterNoon",AND(F252&gt;=17,F252&lt;20),"Evening",TRUE,"Night")</f>
        <v>Evening</v>
      </c>
      <c r="H252" s="1" t="b">
        <v>0</v>
      </c>
      <c r="I252" s="1">
        <v>2</v>
      </c>
      <c r="J252" s="64" t="str" cm="1">
        <f t="array" ref="J252">_xlfn.IFS(I252=0,"Saturday",I252=1,"Sunday",I252=2,"Monday",I252=3,"Tuesday",I252=4,"Wednesday",I252=5,"Thusday",I252=6,"Friday")</f>
        <v>Monday</v>
      </c>
      <c r="K252" s="1">
        <v>3</v>
      </c>
      <c r="L252" s="1">
        <v>0.16</v>
      </c>
      <c r="M252" t="str">
        <f t="shared" si="4"/>
        <v>Rainy</v>
      </c>
    </row>
    <row r="253" spans="1:13" x14ac:dyDescent="0.35">
      <c r="A253" s="1">
        <v>251</v>
      </c>
      <c r="B253" s="3">
        <v>40554</v>
      </c>
      <c r="C253" s="1">
        <v>1</v>
      </c>
      <c r="D253" s="1">
        <v>0</v>
      </c>
      <c r="E253" s="1">
        <v>1</v>
      </c>
      <c r="F253" s="32">
        <v>19</v>
      </c>
      <c r="G253" s="64" t="str" cm="1">
        <f t="array" ref="G253">_xlfn.IFS(AND(F253&gt;=5,F253&lt;12),"Morning",AND(F253&gt;=12,F253&lt;17),"AfterNoon",AND(F253&gt;=17,F253&lt;20),"Evening",TRUE,"Night")</f>
        <v>Evening</v>
      </c>
      <c r="H253" s="1" t="b">
        <v>0</v>
      </c>
      <c r="I253" s="1">
        <v>2</v>
      </c>
      <c r="J253" s="64" t="str" cm="1">
        <f t="array" ref="J253">_xlfn.IFS(I253=0,"Saturday",I253=1,"Sunday",I253=2,"Monday",I253=3,"Tuesday",I253=4,"Wednesday",I253=5,"Thusday",I253=6,"Friday")</f>
        <v>Monday</v>
      </c>
      <c r="K253" s="1">
        <v>3</v>
      </c>
      <c r="L253" s="1">
        <v>0.16</v>
      </c>
      <c r="M253" t="str">
        <f t="shared" si="4"/>
        <v>Rainy</v>
      </c>
    </row>
    <row r="254" spans="1:13" x14ac:dyDescent="0.35">
      <c r="A254" s="1">
        <v>252</v>
      </c>
      <c r="B254" s="3">
        <v>40554</v>
      </c>
      <c r="C254" s="1">
        <v>1</v>
      </c>
      <c r="D254" s="1">
        <v>0</v>
      </c>
      <c r="E254" s="1">
        <v>1</v>
      </c>
      <c r="F254" s="32">
        <v>20</v>
      </c>
      <c r="G254" s="64" t="str" cm="1">
        <f t="array" ref="G254">_xlfn.IFS(AND(F254&gt;=5,F254&lt;12),"Morning",AND(F254&gt;=12,F254&lt;17),"AfterNoon",AND(F254&gt;=17,F254&lt;20),"Evening",TRUE,"Night")</f>
        <v>Night</v>
      </c>
      <c r="H254" s="1" t="b">
        <v>0</v>
      </c>
      <c r="I254" s="1">
        <v>2</v>
      </c>
      <c r="J254" s="64" t="str" cm="1">
        <f t="array" ref="J254">_xlfn.IFS(I254=0,"Saturday",I254=1,"Sunday",I254=2,"Monday",I254=3,"Tuesday",I254=4,"Wednesday",I254=5,"Thusday",I254=6,"Friday")</f>
        <v>Monday</v>
      </c>
      <c r="K254" s="1">
        <v>3</v>
      </c>
      <c r="L254" s="1">
        <v>0.16</v>
      </c>
      <c r="M254" t="str">
        <f t="shared" si="4"/>
        <v>Rainy</v>
      </c>
    </row>
    <row r="255" spans="1:13" x14ac:dyDescent="0.35">
      <c r="A255" s="1">
        <v>253</v>
      </c>
      <c r="B255" s="3">
        <v>40554</v>
      </c>
      <c r="C255" s="1">
        <v>1</v>
      </c>
      <c r="D255" s="1">
        <v>0</v>
      </c>
      <c r="E255" s="1">
        <v>1</v>
      </c>
      <c r="F255" s="32">
        <v>21</v>
      </c>
      <c r="G255" s="64" t="str" cm="1">
        <f t="array" ref="G255">_xlfn.IFS(AND(F255&gt;=5,F255&lt;12),"Morning",AND(F255&gt;=12,F255&lt;17),"AfterNoon",AND(F255&gt;=17,F255&lt;20),"Evening",TRUE,"Night")</f>
        <v>Night</v>
      </c>
      <c r="H255" s="1" t="b">
        <v>0</v>
      </c>
      <c r="I255" s="1">
        <v>2</v>
      </c>
      <c r="J255" s="64" t="str" cm="1">
        <f t="array" ref="J255">_xlfn.IFS(I255=0,"Saturday",I255=1,"Sunday",I255=2,"Monday",I255=3,"Tuesday",I255=4,"Wednesday",I255=5,"Thusday",I255=6,"Friday")</f>
        <v>Monday</v>
      </c>
      <c r="K255" s="1">
        <v>3</v>
      </c>
      <c r="L255" s="1">
        <v>0.16</v>
      </c>
      <c r="M255" t="str">
        <f t="shared" si="4"/>
        <v>Rainy</v>
      </c>
    </row>
    <row r="256" spans="1:13" x14ac:dyDescent="0.35">
      <c r="A256" s="1">
        <v>254</v>
      </c>
      <c r="B256" s="3">
        <v>40554</v>
      </c>
      <c r="C256" s="1">
        <v>1</v>
      </c>
      <c r="D256" s="1">
        <v>0</v>
      </c>
      <c r="E256" s="1">
        <v>1</v>
      </c>
      <c r="F256" s="32">
        <v>22</v>
      </c>
      <c r="G256" s="64" t="str" cm="1">
        <f t="array" ref="G256">_xlfn.IFS(AND(F256&gt;=5,F256&lt;12),"Morning",AND(F256&gt;=12,F256&lt;17),"AfterNoon",AND(F256&gt;=17,F256&lt;20),"Evening",TRUE,"Night")</f>
        <v>Night</v>
      </c>
      <c r="H256" s="1" t="b">
        <v>0</v>
      </c>
      <c r="I256" s="1">
        <v>2</v>
      </c>
      <c r="J256" s="64" t="str" cm="1">
        <f t="array" ref="J256">_xlfn.IFS(I256=0,"Saturday",I256=1,"Sunday",I256=2,"Monday",I256=3,"Tuesday",I256=4,"Wednesday",I256=5,"Thusday",I256=6,"Friday")</f>
        <v>Monday</v>
      </c>
      <c r="K256" s="1">
        <v>3</v>
      </c>
      <c r="L256" s="1">
        <v>0.16</v>
      </c>
      <c r="M256" t="str">
        <f t="shared" si="4"/>
        <v>Rainy</v>
      </c>
    </row>
    <row r="257" spans="1:13" x14ac:dyDescent="0.35">
      <c r="A257" s="1">
        <v>255</v>
      </c>
      <c r="B257" s="3">
        <v>40554</v>
      </c>
      <c r="C257" s="1">
        <v>1</v>
      </c>
      <c r="D257" s="1">
        <v>0</v>
      </c>
      <c r="E257" s="1">
        <v>1</v>
      </c>
      <c r="F257" s="32">
        <v>23</v>
      </c>
      <c r="G257" s="64" t="str" cm="1">
        <f t="array" ref="G257">_xlfn.IFS(AND(F257&gt;=5,F257&lt;12),"Morning",AND(F257&gt;=12,F257&lt;17),"AfterNoon",AND(F257&gt;=17,F257&lt;20),"Evening",TRUE,"Night")</f>
        <v>Night</v>
      </c>
      <c r="H257" s="1" t="b">
        <v>0</v>
      </c>
      <c r="I257" s="1">
        <v>2</v>
      </c>
      <c r="J257" s="64" t="str" cm="1">
        <f t="array" ref="J257">_xlfn.IFS(I257=0,"Saturday",I257=1,"Sunday",I257=2,"Monday",I257=3,"Tuesday",I257=4,"Wednesday",I257=5,"Thusday",I257=6,"Friday")</f>
        <v>Monday</v>
      </c>
      <c r="K257" s="1">
        <v>3</v>
      </c>
      <c r="L257" s="1">
        <v>0.16</v>
      </c>
      <c r="M257" t="str">
        <f t="shared" si="4"/>
        <v>Rainy</v>
      </c>
    </row>
    <row r="258" spans="1:13" x14ac:dyDescent="0.35">
      <c r="A258" s="1">
        <v>256</v>
      </c>
      <c r="B258" s="3">
        <v>40555</v>
      </c>
      <c r="C258" s="1">
        <v>1</v>
      </c>
      <c r="D258" s="1">
        <v>0</v>
      </c>
      <c r="E258" s="1">
        <v>1</v>
      </c>
      <c r="F258" s="32">
        <v>0</v>
      </c>
      <c r="G258" s="64" t="str" cm="1">
        <f t="array" ref="G258">_xlfn.IFS(AND(F258&gt;=5,F258&lt;12),"Morning",AND(F258&gt;=12,F258&lt;17),"AfterNoon",AND(F258&gt;=17,F258&lt;20),"Evening",TRUE,"Night")</f>
        <v>Night</v>
      </c>
      <c r="H258" s="1" t="b">
        <v>0</v>
      </c>
      <c r="I258" s="1">
        <v>3</v>
      </c>
      <c r="J258" s="64" t="str" cm="1">
        <f t="array" ref="J258">_xlfn.IFS(I258=0,"Saturday",I258=1,"Sunday",I258=2,"Monday",I258=3,"Tuesday",I258=4,"Wednesday",I258=5,"Thusday",I258=6,"Friday")</f>
        <v>Tuesday</v>
      </c>
      <c r="K258" s="1">
        <v>2</v>
      </c>
      <c r="L258" s="1">
        <v>0.16</v>
      </c>
      <c r="M258" t="str">
        <f t="shared" si="4"/>
        <v>Rainy</v>
      </c>
    </row>
    <row r="259" spans="1:13" x14ac:dyDescent="0.35">
      <c r="A259" s="1">
        <v>257</v>
      </c>
      <c r="B259" s="3">
        <v>40555</v>
      </c>
      <c r="C259" s="1">
        <v>1</v>
      </c>
      <c r="D259" s="1">
        <v>0</v>
      </c>
      <c r="E259" s="1">
        <v>1</v>
      </c>
      <c r="F259" s="32">
        <v>1</v>
      </c>
      <c r="G259" s="64" t="str" cm="1">
        <f t="array" ref="G259">_xlfn.IFS(AND(F259&gt;=5,F259&lt;12),"Morning",AND(F259&gt;=12,F259&lt;17),"AfterNoon",AND(F259&gt;=17,F259&lt;20),"Evening",TRUE,"Night")</f>
        <v>Night</v>
      </c>
      <c r="H259" s="1" t="b">
        <v>0</v>
      </c>
      <c r="I259" s="1">
        <v>3</v>
      </c>
      <c r="J259" s="64" t="str" cm="1">
        <f t="array" ref="J259">_xlfn.IFS(I259=0,"Saturday",I259=1,"Sunday",I259=2,"Monday",I259=3,"Tuesday",I259=4,"Wednesday",I259=5,"Thusday",I259=6,"Friday")</f>
        <v>Tuesday</v>
      </c>
      <c r="K259" s="1">
        <v>2</v>
      </c>
      <c r="L259" s="1">
        <v>0.16</v>
      </c>
      <c r="M259" t="str">
        <f t="shared" si="4"/>
        <v>Rainy</v>
      </c>
    </row>
    <row r="260" spans="1:13" x14ac:dyDescent="0.35">
      <c r="A260" s="1">
        <v>258</v>
      </c>
      <c r="B260" s="3">
        <v>40555</v>
      </c>
      <c r="C260" s="1">
        <v>1</v>
      </c>
      <c r="D260" s="1">
        <v>0</v>
      </c>
      <c r="E260" s="1">
        <v>1</v>
      </c>
      <c r="F260" s="32">
        <v>2</v>
      </c>
      <c r="G260" s="64" t="str" cm="1">
        <f t="array" ref="G260">_xlfn.IFS(AND(F260&gt;=5,F260&lt;12),"Morning",AND(F260&gt;=12,F260&lt;17),"AfterNoon",AND(F260&gt;=17,F260&lt;20),"Evening",TRUE,"Night")</f>
        <v>Night</v>
      </c>
      <c r="H260" s="1" t="b">
        <v>0</v>
      </c>
      <c r="I260" s="1">
        <v>3</v>
      </c>
      <c r="J260" s="64" t="str" cm="1">
        <f t="array" ref="J260">_xlfn.IFS(I260=0,"Saturday",I260=1,"Sunday",I260=2,"Monday",I260=3,"Tuesday",I260=4,"Wednesday",I260=5,"Thusday",I260=6,"Friday")</f>
        <v>Tuesday</v>
      </c>
      <c r="K260" s="1">
        <v>1</v>
      </c>
      <c r="L260" s="1">
        <v>0.14000000000000001</v>
      </c>
      <c r="M260" t="str">
        <f t="shared" ref="M260:M323" si="5">IF(L260&lt;=0.1,"Stromy",IF(L260&lt;=0.2,"Rainy",IF(L260&lt;=0.3,"Cloudy","Sunny")))</f>
        <v>Rainy</v>
      </c>
    </row>
    <row r="261" spans="1:13" x14ac:dyDescent="0.35">
      <c r="A261" s="1">
        <v>259</v>
      </c>
      <c r="B261" s="3">
        <v>40555</v>
      </c>
      <c r="C261" s="1">
        <v>1</v>
      </c>
      <c r="D261" s="1">
        <v>0</v>
      </c>
      <c r="E261" s="1">
        <v>1</v>
      </c>
      <c r="F261" s="32">
        <v>5</v>
      </c>
      <c r="G261" s="64" t="str" cm="1">
        <f t="array" ref="G261">_xlfn.IFS(AND(F261&gt;=5,F261&lt;12),"Morning",AND(F261&gt;=12,F261&lt;17),"AfterNoon",AND(F261&gt;=17,F261&lt;20),"Evening",TRUE,"Night")</f>
        <v>Morning</v>
      </c>
      <c r="H261" s="1" t="b">
        <v>0</v>
      </c>
      <c r="I261" s="1">
        <v>3</v>
      </c>
      <c r="J261" s="64" t="str" cm="1">
        <f t="array" ref="J261">_xlfn.IFS(I261=0,"Saturday",I261=1,"Sunday",I261=2,"Monday",I261=3,"Tuesday",I261=4,"Wednesday",I261=5,"Thusday",I261=6,"Friday")</f>
        <v>Tuesday</v>
      </c>
      <c r="K261" s="1">
        <v>1</v>
      </c>
      <c r="L261" s="1">
        <v>0.14000000000000001</v>
      </c>
      <c r="M261" t="str">
        <f t="shared" si="5"/>
        <v>Rainy</v>
      </c>
    </row>
    <row r="262" spans="1:13" x14ac:dyDescent="0.35">
      <c r="A262" s="1">
        <v>260</v>
      </c>
      <c r="B262" s="3">
        <v>40555</v>
      </c>
      <c r="C262" s="1">
        <v>1</v>
      </c>
      <c r="D262" s="1">
        <v>0</v>
      </c>
      <c r="E262" s="1">
        <v>1</v>
      </c>
      <c r="F262" s="32">
        <v>6</v>
      </c>
      <c r="G262" s="64" t="str" cm="1">
        <f t="array" ref="G262">_xlfn.IFS(AND(F262&gt;=5,F262&lt;12),"Morning",AND(F262&gt;=12,F262&lt;17),"AfterNoon",AND(F262&gt;=17,F262&lt;20),"Evening",TRUE,"Night")</f>
        <v>Morning</v>
      </c>
      <c r="H262" s="1" t="b">
        <v>0</v>
      </c>
      <c r="I262" s="1">
        <v>3</v>
      </c>
      <c r="J262" s="64" t="str" cm="1">
        <f t="array" ref="J262">_xlfn.IFS(I262=0,"Saturday",I262=1,"Sunday",I262=2,"Monday",I262=3,"Tuesday",I262=4,"Wednesday",I262=5,"Thusday",I262=6,"Friday")</f>
        <v>Tuesday</v>
      </c>
      <c r="K262" s="1">
        <v>1</v>
      </c>
      <c r="L262" s="1">
        <v>0.12</v>
      </c>
      <c r="M262" t="str">
        <f t="shared" si="5"/>
        <v>Rainy</v>
      </c>
    </row>
    <row r="263" spans="1:13" x14ac:dyDescent="0.35">
      <c r="A263" s="1">
        <v>261</v>
      </c>
      <c r="B263" s="3">
        <v>40555</v>
      </c>
      <c r="C263" s="1">
        <v>1</v>
      </c>
      <c r="D263" s="1">
        <v>0</v>
      </c>
      <c r="E263" s="1">
        <v>1</v>
      </c>
      <c r="F263" s="32">
        <v>7</v>
      </c>
      <c r="G263" s="64" t="str" cm="1">
        <f t="array" ref="G263">_xlfn.IFS(AND(F263&gt;=5,F263&lt;12),"Morning",AND(F263&gt;=12,F263&lt;17),"AfterNoon",AND(F263&gt;=17,F263&lt;20),"Evening",TRUE,"Night")</f>
        <v>Morning</v>
      </c>
      <c r="H263" s="1" t="b">
        <v>0</v>
      </c>
      <c r="I263" s="1">
        <v>3</v>
      </c>
      <c r="J263" s="64" t="str" cm="1">
        <f t="array" ref="J263">_xlfn.IFS(I263=0,"Saturday",I263=1,"Sunday",I263=2,"Monday",I263=3,"Tuesday",I263=4,"Wednesday",I263=5,"Thusday",I263=6,"Friday")</f>
        <v>Tuesday</v>
      </c>
      <c r="K263" s="1">
        <v>1</v>
      </c>
      <c r="L263" s="1">
        <v>0.14000000000000001</v>
      </c>
      <c r="M263" t="str">
        <f t="shared" si="5"/>
        <v>Rainy</v>
      </c>
    </row>
    <row r="264" spans="1:13" x14ac:dyDescent="0.35">
      <c r="A264" s="1">
        <v>262</v>
      </c>
      <c r="B264" s="3">
        <v>40555</v>
      </c>
      <c r="C264" s="1">
        <v>1</v>
      </c>
      <c r="D264" s="1">
        <v>0</v>
      </c>
      <c r="E264" s="1">
        <v>1</v>
      </c>
      <c r="F264" s="32">
        <v>8</v>
      </c>
      <c r="G264" s="64" t="str" cm="1">
        <f t="array" ref="G264">_xlfn.IFS(AND(F264&gt;=5,F264&lt;12),"Morning",AND(F264&gt;=12,F264&lt;17),"AfterNoon",AND(F264&gt;=17,F264&lt;20),"Evening",TRUE,"Night")</f>
        <v>Morning</v>
      </c>
      <c r="H264" s="1" t="b">
        <v>0</v>
      </c>
      <c r="I264" s="1">
        <v>3</v>
      </c>
      <c r="J264" s="64" t="str" cm="1">
        <f t="array" ref="J264">_xlfn.IFS(I264=0,"Saturday",I264=1,"Sunday",I264=2,"Monday",I264=3,"Tuesday",I264=4,"Wednesday",I264=5,"Thusday",I264=6,"Friday")</f>
        <v>Tuesday</v>
      </c>
      <c r="K264" s="1">
        <v>1</v>
      </c>
      <c r="L264" s="1">
        <v>0.16</v>
      </c>
      <c r="M264" t="str">
        <f t="shared" si="5"/>
        <v>Rainy</v>
      </c>
    </row>
    <row r="265" spans="1:13" x14ac:dyDescent="0.35">
      <c r="A265" s="1">
        <v>263</v>
      </c>
      <c r="B265" s="3">
        <v>40555</v>
      </c>
      <c r="C265" s="1">
        <v>1</v>
      </c>
      <c r="D265" s="1">
        <v>0</v>
      </c>
      <c r="E265" s="1">
        <v>1</v>
      </c>
      <c r="F265" s="32">
        <v>9</v>
      </c>
      <c r="G265" s="64" t="str" cm="1">
        <f t="array" ref="G265">_xlfn.IFS(AND(F265&gt;=5,F265&lt;12),"Morning",AND(F265&gt;=12,F265&lt;17),"AfterNoon",AND(F265&gt;=17,F265&lt;20),"Evening",TRUE,"Night")</f>
        <v>Morning</v>
      </c>
      <c r="H265" s="1" t="b">
        <v>0</v>
      </c>
      <c r="I265" s="1">
        <v>3</v>
      </c>
      <c r="J265" s="64" t="str" cm="1">
        <f t="array" ref="J265">_xlfn.IFS(I265=0,"Saturday",I265=1,"Sunday",I265=2,"Monday",I265=3,"Tuesday",I265=4,"Wednesday",I265=5,"Thusday",I265=6,"Friday")</f>
        <v>Tuesday</v>
      </c>
      <c r="K265" s="1">
        <v>1</v>
      </c>
      <c r="L265" s="1">
        <v>0.16</v>
      </c>
      <c r="M265" t="str">
        <f t="shared" si="5"/>
        <v>Rainy</v>
      </c>
    </row>
    <row r="266" spans="1:13" x14ac:dyDescent="0.35">
      <c r="A266" s="1">
        <v>264</v>
      </c>
      <c r="B266" s="3">
        <v>40555</v>
      </c>
      <c r="C266" s="1">
        <v>1</v>
      </c>
      <c r="D266" s="1">
        <v>0</v>
      </c>
      <c r="E266" s="1">
        <v>1</v>
      </c>
      <c r="F266" s="32">
        <v>10</v>
      </c>
      <c r="G266" s="64" t="str" cm="1">
        <f t="array" ref="G266">_xlfn.IFS(AND(F266&gt;=5,F266&lt;12),"Morning",AND(F266&gt;=12,F266&lt;17),"AfterNoon",AND(F266&gt;=17,F266&lt;20),"Evening",TRUE,"Night")</f>
        <v>Morning</v>
      </c>
      <c r="H266" s="1" t="b">
        <v>0</v>
      </c>
      <c r="I266" s="1">
        <v>3</v>
      </c>
      <c r="J266" s="64" t="str" cm="1">
        <f t="array" ref="J266">_xlfn.IFS(I266=0,"Saturday",I266=1,"Sunday",I266=2,"Monday",I266=3,"Tuesday",I266=4,"Wednesday",I266=5,"Thusday",I266=6,"Friday")</f>
        <v>Tuesday</v>
      </c>
      <c r="K266" s="1">
        <v>1</v>
      </c>
      <c r="L266" s="1">
        <v>0.18</v>
      </c>
      <c r="M266" t="str">
        <f t="shared" si="5"/>
        <v>Rainy</v>
      </c>
    </row>
    <row r="267" spans="1:13" x14ac:dyDescent="0.35">
      <c r="A267" s="1">
        <v>265</v>
      </c>
      <c r="B267" s="3">
        <v>40555</v>
      </c>
      <c r="C267" s="1">
        <v>1</v>
      </c>
      <c r="D267" s="1">
        <v>0</v>
      </c>
      <c r="E267" s="1">
        <v>1</v>
      </c>
      <c r="F267" s="32">
        <v>11</v>
      </c>
      <c r="G267" s="64" t="str" cm="1">
        <f t="array" ref="G267">_xlfn.IFS(AND(F267&gt;=5,F267&lt;12),"Morning",AND(F267&gt;=12,F267&lt;17),"AfterNoon",AND(F267&gt;=17,F267&lt;20),"Evening",TRUE,"Night")</f>
        <v>Morning</v>
      </c>
      <c r="H267" s="1" t="b">
        <v>0</v>
      </c>
      <c r="I267" s="1">
        <v>3</v>
      </c>
      <c r="J267" s="64" t="str" cm="1">
        <f t="array" ref="J267">_xlfn.IFS(I267=0,"Saturday",I267=1,"Sunday",I267=2,"Monday",I267=3,"Tuesday",I267=4,"Wednesday",I267=5,"Thusday",I267=6,"Friday")</f>
        <v>Tuesday</v>
      </c>
      <c r="K267" s="1">
        <v>1</v>
      </c>
      <c r="L267" s="1">
        <v>0.2</v>
      </c>
      <c r="M267" t="str">
        <f t="shared" si="5"/>
        <v>Rainy</v>
      </c>
    </row>
    <row r="268" spans="1:13" x14ac:dyDescent="0.35">
      <c r="A268" s="1">
        <v>266</v>
      </c>
      <c r="B268" s="3">
        <v>40555</v>
      </c>
      <c r="C268" s="1">
        <v>1</v>
      </c>
      <c r="D268" s="1">
        <v>0</v>
      </c>
      <c r="E268" s="1">
        <v>1</v>
      </c>
      <c r="F268" s="32">
        <v>12</v>
      </c>
      <c r="G268" s="64" t="str" cm="1">
        <f t="array" ref="G268">_xlfn.IFS(AND(F268&gt;=5,F268&lt;12),"Morning",AND(F268&gt;=12,F268&lt;17),"AfterNoon",AND(F268&gt;=17,F268&lt;20),"Evening",TRUE,"Night")</f>
        <v>AfterNoon</v>
      </c>
      <c r="H268" s="1" t="b">
        <v>0</v>
      </c>
      <c r="I268" s="1">
        <v>3</v>
      </c>
      <c r="J268" s="64" t="str" cm="1">
        <f t="array" ref="J268">_xlfn.IFS(I268=0,"Saturday",I268=1,"Sunday",I268=2,"Monday",I268=3,"Tuesday",I268=4,"Wednesday",I268=5,"Thusday",I268=6,"Friday")</f>
        <v>Tuesday</v>
      </c>
      <c r="K268" s="1">
        <v>1</v>
      </c>
      <c r="L268" s="1">
        <v>0.2</v>
      </c>
      <c r="M268" t="str">
        <f t="shared" si="5"/>
        <v>Rainy</v>
      </c>
    </row>
    <row r="269" spans="1:13" x14ac:dyDescent="0.35">
      <c r="A269" s="1">
        <v>267</v>
      </c>
      <c r="B269" s="3">
        <v>40555</v>
      </c>
      <c r="C269" s="1">
        <v>1</v>
      </c>
      <c r="D269" s="1">
        <v>0</v>
      </c>
      <c r="E269" s="1">
        <v>1</v>
      </c>
      <c r="F269" s="32">
        <v>13</v>
      </c>
      <c r="G269" s="64" t="str" cm="1">
        <f t="array" ref="G269">_xlfn.IFS(AND(F269&gt;=5,F269&lt;12),"Morning",AND(F269&gt;=12,F269&lt;17),"AfterNoon",AND(F269&gt;=17,F269&lt;20),"Evening",TRUE,"Night")</f>
        <v>AfterNoon</v>
      </c>
      <c r="H269" s="1" t="b">
        <v>0</v>
      </c>
      <c r="I269" s="1">
        <v>3</v>
      </c>
      <c r="J269" s="64" t="str" cm="1">
        <f t="array" ref="J269">_xlfn.IFS(I269=0,"Saturday",I269=1,"Sunday",I269=2,"Monday",I269=3,"Tuesday",I269=4,"Wednesday",I269=5,"Thusday",I269=6,"Friday")</f>
        <v>Tuesday</v>
      </c>
      <c r="K269" s="1">
        <v>1</v>
      </c>
      <c r="L269" s="1">
        <v>0.22</v>
      </c>
      <c r="M269" t="str">
        <f t="shared" si="5"/>
        <v>Cloudy</v>
      </c>
    </row>
    <row r="270" spans="1:13" x14ac:dyDescent="0.35">
      <c r="A270" s="1">
        <v>268</v>
      </c>
      <c r="B270" s="3">
        <v>40555</v>
      </c>
      <c r="C270" s="1">
        <v>1</v>
      </c>
      <c r="D270" s="1">
        <v>0</v>
      </c>
      <c r="E270" s="1">
        <v>1</v>
      </c>
      <c r="F270" s="32">
        <v>14</v>
      </c>
      <c r="G270" s="64" t="str" cm="1">
        <f t="array" ref="G270">_xlfn.IFS(AND(F270&gt;=5,F270&lt;12),"Morning",AND(F270&gt;=12,F270&lt;17),"AfterNoon",AND(F270&gt;=17,F270&lt;20),"Evening",TRUE,"Night")</f>
        <v>AfterNoon</v>
      </c>
      <c r="H270" s="1" t="b">
        <v>0</v>
      </c>
      <c r="I270" s="1">
        <v>3</v>
      </c>
      <c r="J270" s="64" t="str" cm="1">
        <f t="array" ref="J270">_xlfn.IFS(I270=0,"Saturday",I270=1,"Sunday",I270=2,"Monday",I270=3,"Tuesday",I270=4,"Wednesday",I270=5,"Thusday",I270=6,"Friday")</f>
        <v>Tuesday</v>
      </c>
      <c r="K270" s="1">
        <v>1</v>
      </c>
      <c r="L270" s="1">
        <v>0.2</v>
      </c>
      <c r="M270" t="str">
        <f t="shared" si="5"/>
        <v>Rainy</v>
      </c>
    </row>
    <row r="271" spans="1:13" x14ac:dyDescent="0.35">
      <c r="A271" s="1">
        <v>269</v>
      </c>
      <c r="B271" s="3">
        <v>40555</v>
      </c>
      <c r="C271" s="1">
        <v>1</v>
      </c>
      <c r="D271" s="1">
        <v>0</v>
      </c>
      <c r="E271" s="1">
        <v>1</v>
      </c>
      <c r="F271" s="32">
        <v>15</v>
      </c>
      <c r="G271" s="64" t="str" cm="1">
        <f t="array" ref="G271">_xlfn.IFS(AND(F271&gt;=5,F271&lt;12),"Morning",AND(F271&gt;=12,F271&lt;17),"AfterNoon",AND(F271&gt;=17,F271&lt;20),"Evening",TRUE,"Night")</f>
        <v>AfterNoon</v>
      </c>
      <c r="H271" s="1" t="b">
        <v>0</v>
      </c>
      <c r="I271" s="1">
        <v>3</v>
      </c>
      <c r="J271" s="64" t="str" cm="1">
        <f t="array" ref="J271">_xlfn.IFS(I271=0,"Saturday",I271=1,"Sunday",I271=2,"Monday",I271=3,"Tuesday",I271=4,"Wednesday",I271=5,"Thusday",I271=6,"Friday")</f>
        <v>Tuesday</v>
      </c>
      <c r="K271" s="1">
        <v>1</v>
      </c>
      <c r="L271" s="1">
        <v>0.2</v>
      </c>
      <c r="M271" t="str">
        <f t="shared" si="5"/>
        <v>Rainy</v>
      </c>
    </row>
    <row r="272" spans="1:13" x14ac:dyDescent="0.35">
      <c r="A272" s="1">
        <v>270</v>
      </c>
      <c r="B272" s="3">
        <v>40555</v>
      </c>
      <c r="C272" s="1">
        <v>1</v>
      </c>
      <c r="D272" s="1">
        <v>0</v>
      </c>
      <c r="E272" s="1">
        <v>1</v>
      </c>
      <c r="F272" s="32">
        <v>16</v>
      </c>
      <c r="G272" s="64" t="str" cm="1">
        <f t="array" ref="G272">_xlfn.IFS(AND(F272&gt;=5,F272&lt;12),"Morning",AND(F272&gt;=12,F272&lt;17),"AfterNoon",AND(F272&gt;=17,F272&lt;20),"Evening",TRUE,"Night")</f>
        <v>AfterNoon</v>
      </c>
      <c r="H272" s="1" t="b">
        <v>0</v>
      </c>
      <c r="I272" s="1">
        <v>3</v>
      </c>
      <c r="J272" s="64" t="str" cm="1">
        <f t="array" ref="J272">_xlfn.IFS(I272=0,"Saturday",I272=1,"Sunday",I272=2,"Monday",I272=3,"Tuesday",I272=4,"Wednesday",I272=5,"Thusday",I272=6,"Friday")</f>
        <v>Tuesday</v>
      </c>
      <c r="K272" s="1">
        <v>1</v>
      </c>
      <c r="L272" s="1">
        <v>0.22</v>
      </c>
      <c r="M272" t="str">
        <f t="shared" si="5"/>
        <v>Cloudy</v>
      </c>
    </row>
    <row r="273" spans="1:13" x14ac:dyDescent="0.35">
      <c r="A273" s="1">
        <v>271</v>
      </c>
      <c r="B273" s="3">
        <v>40555</v>
      </c>
      <c r="C273" s="1">
        <v>1</v>
      </c>
      <c r="D273" s="1">
        <v>0</v>
      </c>
      <c r="E273" s="1">
        <v>1</v>
      </c>
      <c r="F273" s="32">
        <v>17</v>
      </c>
      <c r="G273" s="64" t="str" cm="1">
        <f t="array" ref="G273">_xlfn.IFS(AND(F273&gt;=5,F273&lt;12),"Morning",AND(F273&gt;=12,F273&lt;17),"AfterNoon",AND(F273&gt;=17,F273&lt;20),"Evening",TRUE,"Night")</f>
        <v>Evening</v>
      </c>
      <c r="H273" s="1" t="b">
        <v>0</v>
      </c>
      <c r="I273" s="1">
        <v>3</v>
      </c>
      <c r="J273" s="64" t="str" cm="1">
        <f t="array" ref="J273">_xlfn.IFS(I273=0,"Saturday",I273=1,"Sunday",I273=2,"Monday",I273=3,"Tuesday",I273=4,"Wednesday",I273=5,"Thusday",I273=6,"Friday")</f>
        <v>Tuesday</v>
      </c>
      <c r="K273" s="1">
        <v>1</v>
      </c>
      <c r="L273" s="1">
        <v>0.2</v>
      </c>
      <c r="M273" t="str">
        <f t="shared" si="5"/>
        <v>Rainy</v>
      </c>
    </row>
    <row r="274" spans="1:13" x14ac:dyDescent="0.35">
      <c r="A274" s="1">
        <v>272</v>
      </c>
      <c r="B274" s="3">
        <v>40555</v>
      </c>
      <c r="C274" s="1">
        <v>1</v>
      </c>
      <c r="D274" s="1">
        <v>0</v>
      </c>
      <c r="E274" s="1">
        <v>1</v>
      </c>
      <c r="F274" s="32">
        <v>18</v>
      </c>
      <c r="G274" s="64" t="str" cm="1">
        <f t="array" ref="G274">_xlfn.IFS(AND(F274&gt;=5,F274&lt;12),"Morning",AND(F274&gt;=12,F274&lt;17),"AfterNoon",AND(F274&gt;=17,F274&lt;20),"Evening",TRUE,"Night")</f>
        <v>Evening</v>
      </c>
      <c r="H274" s="1" t="b">
        <v>0</v>
      </c>
      <c r="I274" s="1">
        <v>3</v>
      </c>
      <c r="J274" s="64" t="str" cm="1">
        <f t="array" ref="J274">_xlfn.IFS(I274=0,"Saturday",I274=1,"Sunday",I274=2,"Monday",I274=3,"Tuesday",I274=4,"Wednesday",I274=5,"Thusday",I274=6,"Friday")</f>
        <v>Tuesday</v>
      </c>
      <c r="K274" s="1">
        <v>1</v>
      </c>
      <c r="L274" s="1">
        <v>0.2</v>
      </c>
      <c r="M274" t="str">
        <f t="shared" si="5"/>
        <v>Rainy</v>
      </c>
    </row>
    <row r="275" spans="1:13" x14ac:dyDescent="0.35">
      <c r="A275" s="1">
        <v>273</v>
      </c>
      <c r="B275" s="3">
        <v>40555</v>
      </c>
      <c r="C275" s="1">
        <v>1</v>
      </c>
      <c r="D275" s="1">
        <v>0</v>
      </c>
      <c r="E275" s="1">
        <v>1</v>
      </c>
      <c r="F275" s="32">
        <v>19</v>
      </c>
      <c r="G275" s="64" t="str" cm="1">
        <f t="array" ref="G275">_xlfn.IFS(AND(F275&gt;=5,F275&lt;12),"Morning",AND(F275&gt;=12,F275&lt;17),"AfterNoon",AND(F275&gt;=17,F275&lt;20),"Evening",TRUE,"Night")</f>
        <v>Evening</v>
      </c>
      <c r="H275" s="1" t="b">
        <v>0</v>
      </c>
      <c r="I275" s="1">
        <v>3</v>
      </c>
      <c r="J275" s="64" t="str" cm="1">
        <f t="array" ref="J275">_xlfn.IFS(I275=0,"Saturday",I275=1,"Sunday",I275=2,"Monday",I275=3,"Tuesday",I275=4,"Wednesday",I275=5,"Thusday",I275=6,"Friday")</f>
        <v>Tuesday</v>
      </c>
      <c r="K275" s="1">
        <v>1</v>
      </c>
      <c r="L275" s="1">
        <v>0.18</v>
      </c>
      <c r="M275" t="str">
        <f t="shared" si="5"/>
        <v>Rainy</v>
      </c>
    </row>
    <row r="276" spans="1:13" x14ac:dyDescent="0.35">
      <c r="A276" s="1">
        <v>274</v>
      </c>
      <c r="B276" s="3">
        <v>40555</v>
      </c>
      <c r="C276" s="1">
        <v>1</v>
      </c>
      <c r="D276" s="1">
        <v>0</v>
      </c>
      <c r="E276" s="1">
        <v>1</v>
      </c>
      <c r="F276" s="32">
        <v>20</v>
      </c>
      <c r="G276" s="64" t="str" cm="1">
        <f t="array" ref="G276">_xlfn.IFS(AND(F276&gt;=5,F276&lt;12),"Morning",AND(F276&gt;=12,F276&lt;17),"AfterNoon",AND(F276&gt;=17,F276&lt;20),"Evening",TRUE,"Night")</f>
        <v>Night</v>
      </c>
      <c r="H276" s="1" t="b">
        <v>0</v>
      </c>
      <c r="I276" s="1">
        <v>3</v>
      </c>
      <c r="J276" s="64" t="str" cm="1">
        <f t="array" ref="J276">_xlfn.IFS(I276=0,"Saturday",I276=1,"Sunday",I276=2,"Monday",I276=3,"Tuesday",I276=4,"Wednesday",I276=5,"Thusday",I276=6,"Friday")</f>
        <v>Tuesday</v>
      </c>
      <c r="K276" s="1">
        <v>1</v>
      </c>
      <c r="L276" s="1">
        <v>0.16</v>
      </c>
      <c r="M276" t="str">
        <f t="shared" si="5"/>
        <v>Rainy</v>
      </c>
    </row>
    <row r="277" spans="1:13" x14ac:dyDescent="0.35">
      <c r="A277" s="1">
        <v>275</v>
      </c>
      <c r="B277" s="3">
        <v>40555</v>
      </c>
      <c r="C277" s="1">
        <v>1</v>
      </c>
      <c r="D277" s="1">
        <v>0</v>
      </c>
      <c r="E277" s="1">
        <v>1</v>
      </c>
      <c r="F277" s="32">
        <v>21</v>
      </c>
      <c r="G277" s="64" t="str" cm="1">
        <f t="array" ref="G277">_xlfn.IFS(AND(F277&gt;=5,F277&lt;12),"Morning",AND(F277&gt;=12,F277&lt;17),"AfterNoon",AND(F277&gt;=17,F277&lt;20),"Evening",TRUE,"Night")</f>
        <v>Night</v>
      </c>
      <c r="H277" s="1" t="b">
        <v>0</v>
      </c>
      <c r="I277" s="1">
        <v>3</v>
      </c>
      <c r="J277" s="64" t="str" cm="1">
        <f t="array" ref="J277">_xlfn.IFS(I277=0,"Saturday",I277=1,"Sunday",I277=2,"Monday",I277=3,"Tuesday",I277=4,"Wednesday",I277=5,"Thusday",I277=6,"Friday")</f>
        <v>Tuesday</v>
      </c>
      <c r="K277" s="1">
        <v>1</v>
      </c>
      <c r="L277" s="1">
        <v>0.16</v>
      </c>
      <c r="M277" t="str">
        <f t="shared" si="5"/>
        <v>Rainy</v>
      </c>
    </row>
    <row r="278" spans="1:13" x14ac:dyDescent="0.35">
      <c r="A278" s="1">
        <v>276</v>
      </c>
      <c r="B278" s="3">
        <v>40555</v>
      </c>
      <c r="C278" s="1">
        <v>1</v>
      </c>
      <c r="D278" s="1">
        <v>0</v>
      </c>
      <c r="E278" s="1">
        <v>1</v>
      </c>
      <c r="F278" s="32">
        <v>22</v>
      </c>
      <c r="G278" s="64" t="str" cm="1">
        <f t="array" ref="G278">_xlfn.IFS(AND(F278&gt;=5,F278&lt;12),"Morning",AND(F278&gt;=12,F278&lt;17),"AfterNoon",AND(F278&gt;=17,F278&lt;20),"Evening",TRUE,"Night")</f>
        <v>Night</v>
      </c>
      <c r="H278" s="1" t="b">
        <v>0</v>
      </c>
      <c r="I278" s="1">
        <v>3</v>
      </c>
      <c r="J278" s="64" t="str" cm="1">
        <f t="array" ref="J278">_xlfn.IFS(I278=0,"Saturday",I278=1,"Sunday",I278=2,"Monday",I278=3,"Tuesday",I278=4,"Wednesday",I278=5,"Thusday",I278=6,"Friday")</f>
        <v>Tuesday</v>
      </c>
      <c r="K278" s="1">
        <v>1</v>
      </c>
      <c r="L278" s="1">
        <v>0.16</v>
      </c>
      <c r="M278" t="str">
        <f t="shared" si="5"/>
        <v>Rainy</v>
      </c>
    </row>
    <row r="279" spans="1:13" x14ac:dyDescent="0.35">
      <c r="A279" s="1">
        <v>277</v>
      </c>
      <c r="B279" s="3">
        <v>40555</v>
      </c>
      <c r="C279" s="1">
        <v>1</v>
      </c>
      <c r="D279" s="1">
        <v>0</v>
      </c>
      <c r="E279" s="1">
        <v>1</v>
      </c>
      <c r="F279" s="32">
        <v>23</v>
      </c>
      <c r="G279" s="64" t="str" cm="1">
        <f t="array" ref="G279">_xlfn.IFS(AND(F279&gt;=5,F279&lt;12),"Morning",AND(F279&gt;=12,F279&lt;17),"AfterNoon",AND(F279&gt;=17,F279&lt;20),"Evening",TRUE,"Night")</f>
        <v>Night</v>
      </c>
      <c r="H279" s="1" t="b">
        <v>0</v>
      </c>
      <c r="I279" s="1">
        <v>3</v>
      </c>
      <c r="J279" s="64" t="str" cm="1">
        <f t="array" ref="J279">_xlfn.IFS(I279=0,"Saturday",I279=1,"Sunday",I279=2,"Monday",I279=3,"Tuesday",I279=4,"Wednesday",I279=5,"Thusday",I279=6,"Friday")</f>
        <v>Tuesday</v>
      </c>
      <c r="K279" s="1">
        <v>1</v>
      </c>
      <c r="L279" s="1">
        <v>0.14000000000000001</v>
      </c>
      <c r="M279" t="str">
        <f t="shared" si="5"/>
        <v>Rainy</v>
      </c>
    </row>
    <row r="280" spans="1:13" x14ac:dyDescent="0.35">
      <c r="A280" s="1">
        <v>278</v>
      </c>
      <c r="B280" s="3">
        <v>40556</v>
      </c>
      <c r="C280" s="1">
        <v>1</v>
      </c>
      <c r="D280" s="1">
        <v>0</v>
      </c>
      <c r="E280" s="1">
        <v>1</v>
      </c>
      <c r="F280" s="32">
        <v>0</v>
      </c>
      <c r="G280" s="64" t="str" cm="1">
        <f t="array" ref="G280">_xlfn.IFS(AND(F280&gt;=5,F280&lt;12),"Morning",AND(F280&gt;=12,F280&lt;17),"AfterNoon",AND(F280&gt;=17,F280&lt;20),"Evening",TRUE,"Night")</f>
        <v>Night</v>
      </c>
      <c r="H280" s="1" t="b">
        <v>0</v>
      </c>
      <c r="I280" s="1">
        <v>4</v>
      </c>
      <c r="J280" s="64" t="str" cm="1">
        <f t="array" ref="J280">_xlfn.IFS(I280=0,"Saturday",I280=1,"Sunday",I280=2,"Monday",I280=3,"Tuesday",I280=4,"Wednesday",I280=5,"Thusday",I280=6,"Friday")</f>
        <v>Wednesday</v>
      </c>
      <c r="K280" s="1">
        <v>1</v>
      </c>
      <c r="L280" s="1">
        <v>0.14000000000000001</v>
      </c>
      <c r="M280" t="str">
        <f t="shared" si="5"/>
        <v>Rainy</v>
      </c>
    </row>
    <row r="281" spans="1:13" x14ac:dyDescent="0.35">
      <c r="A281" s="1">
        <v>279</v>
      </c>
      <c r="B281" s="3">
        <v>40556</v>
      </c>
      <c r="C281" s="1">
        <v>1</v>
      </c>
      <c r="D281" s="1">
        <v>0</v>
      </c>
      <c r="E281" s="1">
        <v>1</v>
      </c>
      <c r="F281" s="32">
        <v>1</v>
      </c>
      <c r="G281" s="64" t="str" cm="1">
        <f t="array" ref="G281">_xlfn.IFS(AND(F281&gt;=5,F281&lt;12),"Morning",AND(F281&gt;=12,F281&lt;17),"AfterNoon",AND(F281&gt;=17,F281&lt;20),"Evening",TRUE,"Night")</f>
        <v>Night</v>
      </c>
      <c r="H281" s="1" t="b">
        <v>0</v>
      </c>
      <c r="I281" s="1">
        <v>4</v>
      </c>
      <c r="J281" s="64" t="str" cm="1">
        <f t="array" ref="J281">_xlfn.IFS(I281=0,"Saturday",I281=1,"Sunday",I281=2,"Monday",I281=3,"Tuesday",I281=4,"Wednesday",I281=5,"Thusday",I281=6,"Friday")</f>
        <v>Wednesday</v>
      </c>
      <c r="K281" s="1">
        <v>1</v>
      </c>
      <c r="L281" s="1">
        <v>0.14000000000000001</v>
      </c>
      <c r="M281" t="str">
        <f t="shared" si="5"/>
        <v>Rainy</v>
      </c>
    </row>
    <row r="282" spans="1:13" x14ac:dyDescent="0.35">
      <c r="A282" s="1">
        <v>280</v>
      </c>
      <c r="B282" s="3">
        <v>40556</v>
      </c>
      <c r="C282" s="1">
        <v>1</v>
      </c>
      <c r="D282" s="1">
        <v>0</v>
      </c>
      <c r="E282" s="1">
        <v>1</v>
      </c>
      <c r="F282" s="32">
        <v>2</v>
      </c>
      <c r="G282" s="64" t="str" cm="1">
        <f t="array" ref="G282">_xlfn.IFS(AND(F282&gt;=5,F282&lt;12),"Morning",AND(F282&gt;=12,F282&lt;17),"AfterNoon",AND(F282&gt;=17,F282&lt;20),"Evening",TRUE,"Night")</f>
        <v>Night</v>
      </c>
      <c r="H282" s="1" t="b">
        <v>0</v>
      </c>
      <c r="I282" s="1">
        <v>4</v>
      </c>
      <c r="J282" s="64" t="str" cm="1">
        <f t="array" ref="J282">_xlfn.IFS(I282=0,"Saturday",I282=1,"Sunday",I282=2,"Monday",I282=3,"Tuesday",I282=4,"Wednesday",I282=5,"Thusday",I282=6,"Friday")</f>
        <v>Wednesday</v>
      </c>
      <c r="K282" s="1">
        <v>1</v>
      </c>
      <c r="L282" s="1">
        <v>0.14000000000000001</v>
      </c>
      <c r="M282" t="str">
        <f t="shared" si="5"/>
        <v>Rainy</v>
      </c>
    </row>
    <row r="283" spans="1:13" x14ac:dyDescent="0.35">
      <c r="A283" s="1">
        <v>281</v>
      </c>
      <c r="B283" s="3">
        <v>40556</v>
      </c>
      <c r="C283" s="1">
        <v>1</v>
      </c>
      <c r="D283" s="1">
        <v>0</v>
      </c>
      <c r="E283" s="1">
        <v>1</v>
      </c>
      <c r="F283" s="32">
        <v>3</v>
      </c>
      <c r="G283" s="64" t="str" cm="1">
        <f t="array" ref="G283">_xlfn.IFS(AND(F283&gt;=5,F283&lt;12),"Morning",AND(F283&gt;=12,F283&lt;17),"AfterNoon",AND(F283&gt;=17,F283&lt;20),"Evening",TRUE,"Night")</f>
        <v>Night</v>
      </c>
      <c r="H283" s="1" t="b">
        <v>0</v>
      </c>
      <c r="I283" s="1">
        <v>4</v>
      </c>
      <c r="J283" s="64" t="str" cm="1">
        <f t="array" ref="J283">_xlfn.IFS(I283=0,"Saturday",I283=1,"Sunday",I283=2,"Monday",I283=3,"Tuesday",I283=4,"Wednesday",I283=5,"Thusday",I283=6,"Friday")</f>
        <v>Wednesday</v>
      </c>
      <c r="K283" s="1">
        <v>1</v>
      </c>
      <c r="L283" s="1">
        <v>0.14000000000000001</v>
      </c>
      <c r="M283" t="str">
        <f t="shared" si="5"/>
        <v>Rainy</v>
      </c>
    </row>
    <row r="284" spans="1:13" x14ac:dyDescent="0.35">
      <c r="A284" s="1">
        <v>282</v>
      </c>
      <c r="B284" s="3">
        <v>40556</v>
      </c>
      <c r="C284" s="1">
        <v>1</v>
      </c>
      <c r="D284" s="1">
        <v>0</v>
      </c>
      <c r="E284" s="1">
        <v>1</v>
      </c>
      <c r="F284" s="32">
        <v>4</v>
      </c>
      <c r="G284" s="64" t="str" cm="1">
        <f t="array" ref="G284">_xlfn.IFS(AND(F284&gt;=5,F284&lt;12),"Morning",AND(F284&gt;=12,F284&lt;17),"AfterNoon",AND(F284&gt;=17,F284&lt;20),"Evening",TRUE,"Night")</f>
        <v>Night</v>
      </c>
      <c r="H284" s="1" t="b">
        <v>0</v>
      </c>
      <c r="I284" s="1">
        <v>4</v>
      </c>
      <c r="J284" s="64" t="str" cm="1">
        <f t="array" ref="J284">_xlfn.IFS(I284=0,"Saturday",I284=1,"Sunday",I284=2,"Monday",I284=3,"Tuesday",I284=4,"Wednesday",I284=5,"Thusday",I284=6,"Friday")</f>
        <v>Wednesday</v>
      </c>
      <c r="K284" s="1">
        <v>1</v>
      </c>
      <c r="L284" s="1">
        <v>0.14000000000000001</v>
      </c>
      <c r="M284" t="str">
        <f t="shared" si="5"/>
        <v>Rainy</v>
      </c>
    </row>
    <row r="285" spans="1:13" x14ac:dyDescent="0.35">
      <c r="A285" s="1">
        <v>283</v>
      </c>
      <c r="B285" s="3">
        <v>40556</v>
      </c>
      <c r="C285" s="1">
        <v>1</v>
      </c>
      <c r="D285" s="1">
        <v>0</v>
      </c>
      <c r="E285" s="1">
        <v>1</v>
      </c>
      <c r="F285" s="32">
        <v>5</v>
      </c>
      <c r="G285" s="64" t="str" cm="1">
        <f t="array" ref="G285">_xlfn.IFS(AND(F285&gt;=5,F285&lt;12),"Morning",AND(F285&gt;=12,F285&lt;17),"AfterNoon",AND(F285&gt;=17,F285&lt;20),"Evening",TRUE,"Night")</f>
        <v>Morning</v>
      </c>
      <c r="H285" s="1" t="b">
        <v>0</v>
      </c>
      <c r="I285" s="1">
        <v>4</v>
      </c>
      <c r="J285" s="64" t="str" cm="1">
        <f t="array" ref="J285">_xlfn.IFS(I285=0,"Saturday",I285=1,"Sunday",I285=2,"Monday",I285=3,"Tuesday",I285=4,"Wednesday",I285=5,"Thusday",I285=6,"Friday")</f>
        <v>Wednesday</v>
      </c>
      <c r="K285" s="1">
        <v>1</v>
      </c>
      <c r="L285" s="1">
        <v>0.14000000000000001</v>
      </c>
      <c r="M285" t="str">
        <f t="shared" si="5"/>
        <v>Rainy</v>
      </c>
    </row>
    <row r="286" spans="1:13" x14ac:dyDescent="0.35">
      <c r="A286" s="1">
        <v>284</v>
      </c>
      <c r="B286" s="3">
        <v>40556</v>
      </c>
      <c r="C286" s="1">
        <v>1</v>
      </c>
      <c r="D286" s="1">
        <v>0</v>
      </c>
      <c r="E286" s="1">
        <v>1</v>
      </c>
      <c r="F286" s="32">
        <v>6</v>
      </c>
      <c r="G286" s="64" t="str" cm="1">
        <f t="array" ref="G286">_xlfn.IFS(AND(F286&gt;=5,F286&lt;12),"Morning",AND(F286&gt;=12,F286&lt;17),"AfterNoon",AND(F286&gt;=17,F286&lt;20),"Evening",TRUE,"Night")</f>
        <v>Morning</v>
      </c>
      <c r="H286" s="1" t="b">
        <v>0</v>
      </c>
      <c r="I286" s="1">
        <v>4</v>
      </c>
      <c r="J286" s="64" t="str" cm="1">
        <f t="array" ref="J286">_xlfn.IFS(I286=0,"Saturday",I286=1,"Sunday",I286=2,"Monday",I286=3,"Tuesday",I286=4,"Wednesday",I286=5,"Thusday",I286=6,"Friday")</f>
        <v>Wednesday</v>
      </c>
      <c r="K286" s="1">
        <v>1</v>
      </c>
      <c r="L286" s="1">
        <v>0.12</v>
      </c>
      <c r="M286" t="str">
        <f t="shared" si="5"/>
        <v>Rainy</v>
      </c>
    </row>
    <row r="287" spans="1:13" x14ac:dyDescent="0.35">
      <c r="A287" s="1">
        <v>285</v>
      </c>
      <c r="B287" s="3">
        <v>40556</v>
      </c>
      <c r="C287" s="1">
        <v>1</v>
      </c>
      <c r="D287" s="1">
        <v>0</v>
      </c>
      <c r="E287" s="1">
        <v>1</v>
      </c>
      <c r="F287" s="32">
        <v>7</v>
      </c>
      <c r="G287" s="64" t="str" cm="1">
        <f t="array" ref="G287">_xlfn.IFS(AND(F287&gt;=5,F287&lt;12),"Morning",AND(F287&gt;=12,F287&lt;17),"AfterNoon",AND(F287&gt;=17,F287&lt;20),"Evening",TRUE,"Night")</f>
        <v>Morning</v>
      </c>
      <c r="H287" s="1" t="b">
        <v>0</v>
      </c>
      <c r="I287" s="1">
        <v>4</v>
      </c>
      <c r="J287" s="64" t="str" cm="1">
        <f t="array" ref="J287">_xlfn.IFS(I287=0,"Saturday",I287=1,"Sunday",I287=2,"Monday",I287=3,"Tuesday",I287=4,"Wednesday",I287=5,"Thusday",I287=6,"Friday")</f>
        <v>Wednesday</v>
      </c>
      <c r="K287" s="1">
        <v>1</v>
      </c>
      <c r="L287" s="1">
        <v>0.12</v>
      </c>
      <c r="M287" t="str">
        <f t="shared" si="5"/>
        <v>Rainy</v>
      </c>
    </row>
    <row r="288" spans="1:13" x14ac:dyDescent="0.35">
      <c r="A288" s="1">
        <v>286</v>
      </c>
      <c r="B288" s="3">
        <v>40556</v>
      </c>
      <c r="C288" s="1">
        <v>1</v>
      </c>
      <c r="D288" s="1">
        <v>0</v>
      </c>
      <c r="E288" s="1">
        <v>1</v>
      </c>
      <c r="F288" s="32">
        <v>8</v>
      </c>
      <c r="G288" s="64" t="str" cm="1">
        <f t="array" ref="G288">_xlfn.IFS(AND(F288&gt;=5,F288&lt;12),"Morning",AND(F288&gt;=12,F288&lt;17),"AfterNoon",AND(F288&gt;=17,F288&lt;20),"Evening",TRUE,"Night")</f>
        <v>Morning</v>
      </c>
      <c r="H288" s="1" t="b">
        <v>0</v>
      </c>
      <c r="I288" s="1">
        <v>4</v>
      </c>
      <c r="J288" s="64" t="str" cm="1">
        <f t="array" ref="J288">_xlfn.IFS(I288=0,"Saturday",I288=1,"Sunday",I288=2,"Monday",I288=3,"Tuesday",I288=4,"Wednesday",I288=5,"Thusday",I288=6,"Friday")</f>
        <v>Wednesday</v>
      </c>
      <c r="K288" s="1">
        <v>1</v>
      </c>
      <c r="L288" s="1">
        <v>0.14000000000000001</v>
      </c>
      <c r="M288" t="str">
        <f t="shared" si="5"/>
        <v>Rainy</v>
      </c>
    </row>
    <row r="289" spans="1:13" x14ac:dyDescent="0.35">
      <c r="A289" s="1">
        <v>287</v>
      </c>
      <c r="B289" s="3">
        <v>40556</v>
      </c>
      <c r="C289" s="1">
        <v>1</v>
      </c>
      <c r="D289" s="1">
        <v>0</v>
      </c>
      <c r="E289" s="1">
        <v>1</v>
      </c>
      <c r="F289" s="32">
        <v>9</v>
      </c>
      <c r="G289" s="64" t="str" cm="1">
        <f t="array" ref="G289">_xlfn.IFS(AND(F289&gt;=5,F289&lt;12),"Morning",AND(F289&gt;=12,F289&lt;17),"AfterNoon",AND(F289&gt;=17,F289&lt;20),"Evening",TRUE,"Night")</f>
        <v>Morning</v>
      </c>
      <c r="H289" s="1" t="b">
        <v>0</v>
      </c>
      <c r="I289" s="1">
        <v>4</v>
      </c>
      <c r="J289" s="64" t="str" cm="1">
        <f t="array" ref="J289">_xlfn.IFS(I289=0,"Saturday",I289=1,"Sunday",I289=2,"Monday",I289=3,"Tuesday",I289=4,"Wednesday",I289=5,"Thusday",I289=6,"Friday")</f>
        <v>Wednesday</v>
      </c>
      <c r="K289" s="1">
        <v>1</v>
      </c>
      <c r="L289" s="1">
        <v>0.14000000000000001</v>
      </c>
      <c r="M289" t="str">
        <f t="shared" si="5"/>
        <v>Rainy</v>
      </c>
    </row>
    <row r="290" spans="1:13" x14ac:dyDescent="0.35">
      <c r="A290" s="1">
        <v>288</v>
      </c>
      <c r="B290" s="3">
        <v>40556</v>
      </c>
      <c r="C290" s="1">
        <v>1</v>
      </c>
      <c r="D290" s="1">
        <v>0</v>
      </c>
      <c r="E290" s="1">
        <v>1</v>
      </c>
      <c r="F290" s="32">
        <v>10</v>
      </c>
      <c r="G290" s="64" t="str" cm="1">
        <f t="array" ref="G290">_xlfn.IFS(AND(F290&gt;=5,F290&lt;12),"Morning",AND(F290&gt;=12,F290&lt;17),"AfterNoon",AND(F290&gt;=17,F290&lt;20),"Evening",TRUE,"Night")</f>
        <v>Morning</v>
      </c>
      <c r="H290" s="1" t="b">
        <v>0</v>
      </c>
      <c r="I290" s="1">
        <v>4</v>
      </c>
      <c r="J290" s="64" t="str" cm="1">
        <f t="array" ref="J290">_xlfn.IFS(I290=0,"Saturday",I290=1,"Sunday",I290=2,"Monday",I290=3,"Tuesday",I290=4,"Wednesday",I290=5,"Thusday",I290=6,"Friday")</f>
        <v>Wednesday</v>
      </c>
      <c r="K290" s="1">
        <v>2</v>
      </c>
      <c r="L290" s="1">
        <v>0.16</v>
      </c>
      <c r="M290" t="str">
        <f t="shared" si="5"/>
        <v>Rainy</v>
      </c>
    </row>
    <row r="291" spans="1:13" x14ac:dyDescent="0.35">
      <c r="A291" s="1">
        <v>289</v>
      </c>
      <c r="B291" s="3">
        <v>40556</v>
      </c>
      <c r="C291" s="1">
        <v>1</v>
      </c>
      <c r="D291" s="1">
        <v>0</v>
      </c>
      <c r="E291" s="1">
        <v>1</v>
      </c>
      <c r="F291" s="32">
        <v>11</v>
      </c>
      <c r="G291" s="64" t="str" cm="1">
        <f t="array" ref="G291">_xlfn.IFS(AND(F291&gt;=5,F291&lt;12),"Morning",AND(F291&gt;=12,F291&lt;17),"AfterNoon",AND(F291&gt;=17,F291&lt;20),"Evening",TRUE,"Night")</f>
        <v>Morning</v>
      </c>
      <c r="H291" s="1" t="b">
        <v>0</v>
      </c>
      <c r="I291" s="1">
        <v>4</v>
      </c>
      <c r="J291" s="64" t="str" cm="1">
        <f t="array" ref="J291">_xlfn.IFS(I291=0,"Saturday",I291=1,"Sunday",I291=2,"Monday",I291=3,"Tuesday",I291=4,"Wednesday",I291=5,"Thusday",I291=6,"Friday")</f>
        <v>Wednesday</v>
      </c>
      <c r="K291" s="1">
        <v>2</v>
      </c>
      <c r="L291" s="1">
        <v>0.2</v>
      </c>
      <c r="M291" t="str">
        <f t="shared" si="5"/>
        <v>Rainy</v>
      </c>
    </row>
    <row r="292" spans="1:13" x14ac:dyDescent="0.35">
      <c r="A292" s="1">
        <v>290</v>
      </c>
      <c r="B292" s="3">
        <v>40556</v>
      </c>
      <c r="C292" s="1">
        <v>1</v>
      </c>
      <c r="D292" s="1">
        <v>0</v>
      </c>
      <c r="E292" s="1">
        <v>1</v>
      </c>
      <c r="F292" s="32">
        <v>12</v>
      </c>
      <c r="G292" s="64" t="str" cm="1">
        <f t="array" ref="G292">_xlfn.IFS(AND(F292&gt;=5,F292&lt;12),"Morning",AND(F292&gt;=12,F292&lt;17),"AfterNoon",AND(F292&gt;=17,F292&lt;20),"Evening",TRUE,"Night")</f>
        <v>AfterNoon</v>
      </c>
      <c r="H292" s="1" t="b">
        <v>0</v>
      </c>
      <c r="I292" s="1">
        <v>4</v>
      </c>
      <c r="J292" s="64" t="str" cm="1">
        <f t="array" ref="J292">_xlfn.IFS(I292=0,"Saturday",I292=1,"Sunday",I292=2,"Monday",I292=3,"Tuesday",I292=4,"Wednesday",I292=5,"Thusday",I292=6,"Friday")</f>
        <v>Wednesday</v>
      </c>
      <c r="K292" s="1">
        <v>1</v>
      </c>
      <c r="L292" s="1">
        <v>0.2</v>
      </c>
      <c r="M292" t="str">
        <f t="shared" si="5"/>
        <v>Rainy</v>
      </c>
    </row>
    <row r="293" spans="1:13" x14ac:dyDescent="0.35">
      <c r="A293" s="1">
        <v>291</v>
      </c>
      <c r="B293" s="3">
        <v>40556</v>
      </c>
      <c r="C293" s="1">
        <v>1</v>
      </c>
      <c r="D293" s="1">
        <v>0</v>
      </c>
      <c r="E293" s="1">
        <v>1</v>
      </c>
      <c r="F293" s="32">
        <v>13</v>
      </c>
      <c r="G293" s="64" t="str" cm="1">
        <f t="array" ref="G293">_xlfn.IFS(AND(F293&gt;=5,F293&lt;12),"Morning",AND(F293&gt;=12,F293&lt;17),"AfterNoon",AND(F293&gt;=17,F293&lt;20),"Evening",TRUE,"Night")</f>
        <v>AfterNoon</v>
      </c>
      <c r="H293" s="1" t="b">
        <v>0</v>
      </c>
      <c r="I293" s="1">
        <v>4</v>
      </c>
      <c r="J293" s="64" t="str" cm="1">
        <f t="array" ref="J293">_xlfn.IFS(I293=0,"Saturday",I293=1,"Sunday",I293=2,"Monday",I293=3,"Tuesday",I293=4,"Wednesday",I293=5,"Thusday",I293=6,"Friday")</f>
        <v>Wednesday</v>
      </c>
      <c r="K293" s="1">
        <v>1</v>
      </c>
      <c r="L293" s="1">
        <v>0.22</v>
      </c>
      <c r="M293" t="str">
        <f t="shared" si="5"/>
        <v>Cloudy</v>
      </c>
    </row>
    <row r="294" spans="1:13" x14ac:dyDescent="0.35">
      <c r="A294" s="1">
        <v>292</v>
      </c>
      <c r="B294" s="3">
        <v>40556</v>
      </c>
      <c r="C294" s="1">
        <v>1</v>
      </c>
      <c r="D294" s="1">
        <v>0</v>
      </c>
      <c r="E294" s="1">
        <v>1</v>
      </c>
      <c r="F294" s="32">
        <v>14</v>
      </c>
      <c r="G294" s="64" t="str" cm="1">
        <f t="array" ref="G294">_xlfn.IFS(AND(F294&gt;=5,F294&lt;12),"Morning",AND(F294&gt;=12,F294&lt;17),"AfterNoon",AND(F294&gt;=17,F294&lt;20),"Evening",TRUE,"Night")</f>
        <v>AfterNoon</v>
      </c>
      <c r="H294" s="1" t="b">
        <v>0</v>
      </c>
      <c r="I294" s="1">
        <v>4</v>
      </c>
      <c r="J294" s="64" t="str" cm="1">
        <f t="array" ref="J294">_xlfn.IFS(I294=0,"Saturday",I294=1,"Sunday",I294=2,"Monday",I294=3,"Tuesday",I294=4,"Wednesday",I294=5,"Thusday",I294=6,"Friday")</f>
        <v>Wednesday</v>
      </c>
      <c r="K294" s="1">
        <v>1</v>
      </c>
      <c r="L294" s="1">
        <v>0.22</v>
      </c>
      <c r="M294" t="str">
        <f t="shared" si="5"/>
        <v>Cloudy</v>
      </c>
    </row>
    <row r="295" spans="1:13" x14ac:dyDescent="0.35">
      <c r="A295" s="1">
        <v>293</v>
      </c>
      <c r="B295" s="3">
        <v>40556</v>
      </c>
      <c r="C295" s="1">
        <v>1</v>
      </c>
      <c r="D295" s="1">
        <v>0</v>
      </c>
      <c r="E295" s="1">
        <v>1</v>
      </c>
      <c r="F295" s="32">
        <v>15</v>
      </c>
      <c r="G295" s="64" t="str" cm="1">
        <f t="array" ref="G295">_xlfn.IFS(AND(F295&gt;=5,F295&lt;12),"Morning",AND(F295&gt;=12,F295&lt;17),"AfterNoon",AND(F295&gt;=17,F295&lt;20),"Evening",TRUE,"Night")</f>
        <v>AfterNoon</v>
      </c>
      <c r="H295" s="1" t="b">
        <v>0</v>
      </c>
      <c r="I295" s="1">
        <v>4</v>
      </c>
      <c r="J295" s="64" t="str" cm="1">
        <f t="array" ref="J295">_xlfn.IFS(I295=0,"Saturday",I295=1,"Sunday",I295=2,"Monday",I295=3,"Tuesday",I295=4,"Wednesday",I295=5,"Thusday",I295=6,"Friday")</f>
        <v>Wednesday</v>
      </c>
      <c r="K295" s="1">
        <v>1</v>
      </c>
      <c r="L295" s="1">
        <v>0.24</v>
      </c>
      <c r="M295" t="str">
        <f t="shared" si="5"/>
        <v>Cloudy</v>
      </c>
    </row>
    <row r="296" spans="1:13" x14ac:dyDescent="0.35">
      <c r="A296" s="1">
        <v>294</v>
      </c>
      <c r="B296" s="3">
        <v>40556</v>
      </c>
      <c r="C296" s="1">
        <v>1</v>
      </c>
      <c r="D296" s="1">
        <v>0</v>
      </c>
      <c r="E296" s="1">
        <v>1</v>
      </c>
      <c r="F296" s="32">
        <v>16</v>
      </c>
      <c r="G296" s="64" t="str" cm="1">
        <f t="array" ref="G296">_xlfn.IFS(AND(F296&gt;=5,F296&lt;12),"Morning",AND(F296&gt;=12,F296&lt;17),"AfterNoon",AND(F296&gt;=17,F296&lt;20),"Evening",TRUE,"Night")</f>
        <v>AfterNoon</v>
      </c>
      <c r="H296" s="1" t="b">
        <v>0</v>
      </c>
      <c r="I296" s="1">
        <v>4</v>
      </c>
      <c r="J296" s="64" t="str" cm="1">
        <f t="array" ref="J296">_xlfn.IFS(I296=0,"Saturday",I296=1,"Sunday",I296=2,"Monday",I296=3,"Tuesday",I296=4,"Wednesday",I296=5,"Thusday",I296=6,"Friday")</f>
        <v>Wednesday</v>
      </c>
      <c r="K296" s="1">
        <v>1</v>
      </c>
      <c r="L296" s="1">
        <v>0.24</v>
      </c>
      <c r="M296" t="str">
        <f t="shared" si="5"/>
        <v>Cloudy</v>
      </c>
    </row>
    <row r="297" spans="1:13" x14ac:dyDescent="0.35">
      <c r="A297" s="1">
        <v>295</v>
      </c>
      <c r="B297" s="3">
        <v>40556</v>
      </c>
      <c r="C297" s="1">
        <v>1</v>
      </c>
      <c r="D297" s="1">
        <v>0</v>
      </c>
      <c r="E297" s="1">
        <v>1</v>
      </c>
      <c r="F297" s="32">
        <v>17</v>
      </c>
      <c r="G297" s="64" t="str" cm="1">
        <f t="array" ref="G297">_xlfn.IFS(AND(F297&gt;=5,F297&lt;12),"Morning",AND(F297&gt;=12,F297&lt;17),"AfterNoon",AND(F297&gt;=17,F297&lt;20),"Evening",TRUE,"Night")</f>
        <v>Evening</v>
      </c>
      <c r="H297" s="1" t="b">
        <v>0</v>
      </c>
      <c r="I297" s="1">
        <v>4</v>
      </c>
      <c r="J297" s="64" t="str" cm="1">
        <f t="array" ref="J297">_xlfn.IFS(I297=0,"Saturday",I297=1,"Sunday",I297=2,"Monday",I297=3,"Tuesday",I297=4,"Wednesday",I297=5,"Thusday",I297=6,"Friday")</f>
        <v>Wednesday</v>
      </c>
      <c r="K297" s="1">
        <v>1</v>
      </c>
      <c r="L297" s="1">
        <v>0.2</v>
      </c>
      <c r="M297" t="str">
        <f t="shared" si="5"/>
        <v>Rainy</v>
      </c>
    </row>
    <row r="298" spans="1:13" x14ac:dyDescent="0.35">
      <c r="A298" s="1">
        <v>296</v>
      </c>
      <c r="B298" s="3">
        <v>40556</v>
      </c>
      <c r="C298" s="1">
        <v>1</v>
      </c>
      <c r="D298" s="1">
        <v>0</v>
      </c>
      <c r="E298" s="1">
        <v>1</v>
      </c>
      <c r="F298" s="32">
        <v>18</v>
      </c>
      <c r="G298" s="64" t="str" cm="1">
        <f t="array" ref="G298">_xlfn.IFS(AND(F298&gt;=5,F298&lt;12),"Morning",AND(F298&gt;=12,F298&lt;17),"AfterNoon",AND(F298&gt;=17,F298&lt;20),"Evening",TRUE,"Night")</f>
        <v>Evening</v>
      </c>
      <c r="H298" s="1" t="b">
        <v>0</v>
      </c>
      <c r="I298" s="1">
        <v>4</v>
      </c>
      <c r="J298" s="64" t="str" cm="1">
        <f t="array" ref="J298">_xlfn.IFS(I298=0,"Saturday",I298=1,"Sunday",I298=2,"Monday",I298=3,"Tuesday",I298=4,"Wednesday",I298=5,"Thusday",I298=6,"Friday")</f>
        <v>Wednesday</v>
      </c>
      <c r="K298" s="1">
        <v>1</v>
      </c>
      <c r="L298" s="1">
        <v>0.2</v>
      </c>
      <c r="M298" t="str">
        <f t="shared" si="5"/>
        <v>Rainy</v>
      </c>
    </row>
    <row r="299" spans="1:13" x14ac:dyDescent="0.35">
      <c r="A299" s="1">
        <v>297</v>
      </c>
      <c r="B299" s="3">
        <v>40556</v>
      </c>
      <c r="C299" s="1">
        <v>1</v>
      </c>
      <c r="D299" s="1">
        <v>0</v>
      </c>
      <c r="E299" s="1">
        <v>1</v>
      </c>
      <c r="F299" s="32">
        <v>19</v>
      </c>
      <c r="G299" s="64" t="str" cm="1">
        <f t="array" ref="G299">_xlfn.IFS(AND(F299&gt;=5,F299&lt;12),"Morning",AND(F299&gt;=12,F299&lt;17),"AfterNoon",AND(F299&gt;=17,F299&lt;20),"Evening",TRUE,"Night")</f>
        <v>Evening</v>
      </c>
      <c r="H299" s="1" t="b">
        <v>0</v>
      </c>
      <c r="I299" s="1">
        <v>4</v>
      </c>
      <c r="J299" s="64" t="str" cm="1">
        <f t="array" ref="J299">_xlfn.IFS(I299=0,"Saturday",I299=1,"Sunday",I299=2,"Monday",I299=3,"Tuesday",I299=4,"Wednesday",I299=5,"Thusday",I299=6,"Friday")</f>
        <v>Wednesday</v>
      </c>
      <c r="K299" s="1">
        <v>1</v>
      </c>
      <c r="L299" s="1">
        <v>0.16</v>
      </c>
      <c r="M299" t="str">
        <f t="shared" si="5"/>
        <v>Rainy</v>
      </c>
    </row>
    <row r="300" spans="1:13" x14ac:dyDescent="0.35">
      <c r="A300" s="1">
        <v>298</v>
      </c>
      <c r="B300" s="3">
        <v>40556</v>
      </c>
      <c r="C300" s="1">
        <v>1</v>
      </c>
      <c r="D300" s="1">
        <v>0</v>
      </c>
      <c r="E300" s="1">
        <v>1</v>
      </c>
      <c r="F300" s="32">
        <v>20</v>
      </c>
      <c r="G300" s="64" t="str" cm="1">
        <f t="array" ref="G300">_xlfn.IFS(AND(F300&gt;=5,F300&lt;12),"Morning",AND(F300&gt;=12,F300&lt;17),"AfterNoon",AND(F300&gt;=17,F300&lt;20),"Evening",TRUE,"Night")</f>
        <v>Night</v>
      </c>
      <c r="H300" s="1" t="b">
        <v>0</v>
      </c>
      <c r="I300" s="1">
        <v>4</v>
      </c>
      <c r="J300" s="64" t="str" cm="1">
        <f t="array" ref="J300">_xlfn.IFS(I300=0,"Saturday",I300=1,"Sunday",I300=2,"Monday",I300=3,"Tuesday",I300=4,"Wednesday",I300=5,"Thusday",I300=6,"Friday")</f>
        <v>Wednesday</v>
      </c>
      <c r="K300" s="1">
        <v>1</v>
      </c>
      <c r="L300" s="1">
        <v>0.16</v>
      </c>
      <c r="M300" t="str">
        <f t="shared" si="5"/>
        <v>Rainy</v>
      </c>
    </row>
    <row r="301" spans="1:13" x14ac:dyDescent="0.35">
      <c r="A301" s="1">
        <v>299</v>
      </c>
      <c r="B301" s="3">
        <v>40556</v>
      </c>
      <c r="C301" s="1">
        <v>1</v>
      </c>
      <c r="D301" s="1">
        <v>0</v>
      </c>
      <c r="E301" s="1">
        <v>1</v>
      </c>
      <c r="F301" s="32">
        <v>21</v>
      </c>
      <c r="G301" s="64" t="str" cm="1">
        <f t="array" ref="G301">_xlfn.IFS(AND(F301&gt;=5,F301&lt;12),"Morning",AND(F301&gt;=12,F301&lt;17),"AfterNoon",AND(F301&gt;=17,F301&lt;20),"Evening",TRUE,"Night")</f>
        <v>Night</v>
      </c>
      <c r="H301" s="1" t="b">
        <v>0</v>
      </c>
      <c r="I301" s="1">
        <v>4</v>
      </c>
      <c r="J301" s="64" t="str" cm="1">
        <f t="array" ref="J301">_xlfn.IFS(I301=0,"Saturday",I301=1,"Sunday",I301=2,"Monday",I301=3,"Tuesday",I301=4,"Wednesday",I301=5,"Thusday",I301=6,"Friday")</f>
        <v>Wednesday</v>
      </c>
      <c r="K301" s="1">
        <v>1</v>
      </c>
      <c r="L301" s="1">
        <v>0.14000000000000001</v>
      </c>
      <c r="M301" t="str">
        <f t="shared" si="5"/>
        <v>Rainy</v>
      </c>
    </row>
    <row r="302" spans="1:13" x14ac:dyDescent="0.35">
      <c r="A302" s="1">
        <v>300</v>
      </c>
      <c r="B302" s="3">
        <v>40556</v>
      </c>
      <c r="C302" s="1">
        <v>1</v>
      </c>
      <c r="D302" s="1">
        <v>0</v>
      </c>
      <c r="E302" s="1">
        <v>1</v>
      </c>
      <c r="F302" s="32">
        <v>22</v>
      </c>
      <c r="G302" s="64" t="str" cm="1">
        <f t="array" ref="G302">_xlfn.IFS(AND(F302&gt;=5,F302&lt;12),"Morning",AND(F302&gt;=12,F302&lt;17),"AfterNoon",AND(F302&gt;=17,F302&lt;20),"Evening",TRUE,"Night")</f>
        <v>Night</v>
      </c>
      <c r="H302" s="1" t="b">
        <v>0</v>
      </c>
      <c r="I302" s="1">
        <v>4</v>
      </c>
      <c r="J302" s="64" t="str" cm="1">
        <f t="array" ref="J302">_xlfn.IFS(I302=0,"Saturday",I302=1,"Sunday",I302=2,"Monday",I302=3,"Tuesday",I302=4,"Wednesday",I302=5,"Thusday",I302=6,"Friday")</f>
        <v>Wednesday</v>
      </c>
      <c r="K302" s="1">
        <v>1</v>
      </c>
      <c r="L302" s="1">
        <v>0.14000000000000001</v>
      </c>
      <c r="M302" t="str">
        <f t="shared" si="5"/>
        <v>Rainy</v>
      </c>
    </row>
    <row r="303" spans="1:13" x14ac:dyDescent="0.35">
      <c r="A303" s="1">
        <v>301</v>
      </c>
      <c r="B303" s="3">
        <v>40556</v>
      </c>
      <c r="C303" s="1">
        <v>1</v>
      </c>
      <c r="D303" s="1">
        <v>0</v>
      </c>
      <c r="E303" s="1">
        <v>1</v>
      </c>
      <c r="F303" s="32">
        <v>23</v>
      </c>
      <c r="G303" s="64" t="str" cm="1">
        <f t="array" ref="G303">_xlfn.IFS(AND(F303&gt;=5,F303&lt;12),"Morning",AND(F303&gt;=12,F303&lt;17),"AfterNoon",AND(F303&gt;=17,F303&lt;20),"Evening",TRUE,"Night")</f>
        <v>Night</v>
      </c>
      <c r="H303" s="1" t="b">
        <v>0</v>
      </c>
      <c r="I303" s="1">
        <v>4</v>
      </c>
      <c r="J303" s="64" t="str" cm="1">
        <f t="array" ref="J303">_xlfn.IFS(I303=0,"Saturday",I303=1,"Sunday",I303=2,"Monday",I303=3,"Tuesday",I303=4,"Wednesday",I303=5,"Thusday",I303=6,"Friday")</f>
        <v>Wednesday</v>
      </c>
      <c r="K303" s="1">
        <v>1</v>
      </c>
      <c r="L303" s="1">
        <v>0.12</v>
      </c>
      <c r="M303" t="str">
        <f t="shared" si="5"/>
        <v>Rainy</v>
      </c>
    </row>
    <row r="304" spans="1:13" x14ac:dyDescent="0.35">
      <c r="A304" s="1">
        <v>302</v>
      </c>
      <c r="B304" s="3">
        <v>40557</v>
      </c>
      <c r="C304" s="1">
        <v>1</v>
      </c>
      <c r="D304" s="1">
        <v>0</v>
      </c>
      <c r="E304" s="1">
        <v>1</v>
      </c>
      <c r="F304" s="32">
        <v>0</v>
      </c>
      <c r="G304" s="64" t="str" cm="1">
        <f t="array" ref="G304">_xlfn.IFS(AND(F304&gt;=5,F304&lt;12),"Morning",AND(F304&gt;=12,F304&lt;17),"AfterNoon",AND(F304&gt;=17,F304&lt;20),"Evening",TRUE,"Night")</f>
        <v>Night</v>
      </c>
      <c r="H304" s="1" t="b">
        <v>0</v>
      </c>
      <c r="I304" s="1">
        <v>5</v>
      </c>
      <c r="J304" s="64" t="str" cm="1">
        <f t="array" ref="J304">_xlfn.IFS(I304=0,"Saturday",I304=1,"Sunday",I304=2,"Monday",I304=3,"Tuesday",I304=4,"Wednesday",I304=5,"Thusday",I304=6,"Friday")</f>
        <v>Thusday</v>
      </c>
      <c r="K304" s="1">
        <v>1</v>
      </c>
      <c r="L304" s="1">
        <v>0.12</v>
      </c>
      <c r="M304" t="str">
        <f t="shared" si="5"/>
        <v>Rainy</v>
      </c>
    </row>
    <row r="305" spans="1:13" x14ac:dyDescent="0.35">
      <c r="A305" s="1">
        <v>303</v>
      </c>
      <c r="B305" s="3">
        <v>40557</v>
      </c>
      <c r="C305" s="1">
        <v>1</v>
      </c>
      <c r="D305" s="1">
        <v>0</v>
      </c>
      <c r="E305" s="1">
        <v>1</v>
      </c>
      <c r="F305" s="32">
        <v>1</v>
      </c>
      <c r="G305" s="64" t="str" cm="1">
        <f t="array" ref="G305">_xlfn.IFS(AND(F305&gt;=5,F305&lt;12),"Morning",AND(F305&gt;=12,F305&lt;17),"AfterNoon",AND(F305&gt;=17,F305&lt;20),"Evening",TRUE,"Night")</f>
        <v>Night</v>
      </c>
      <c r="H305" s="1" t="b">
        <v>0</v>
      </c>
      <c r="I305" s="1">
        <v>5</v>
      </c>
      <c r="J305" s="64" t="str" cm="1">
        <f t="array" ref="J305">_xlfn.IFS(I305=0,"Saturday",I305=1,"Sunday",I305=2,"Monday",I305=3,"Tuesday",I305=4,"Wednesday",I305=5,"Thusday",I305=6,"Friday")</f>
        <v>Thusday</v>
      </c>
      <c r="K305" s="1">
        <v>1</v>
      </c>
      <c r="L305" s="1">
        <v>0.1</v>
      </c>
      <c r="M305" t="str">
        <f t="shared" si="5"/>
        <v>Stromy</v>
      </c>
    </row>
    <row r="306" spans="1:13" x14ac:dyDescent="0.35">
      <c r="A306" s="1">
        <v>304</v>
      </c>
      <c r="B306" s="3">
        <v>40557</v>
      </c>
      <c r="C306" s="1">
        <v>1</v>
      </c>
      <c r="D306" s="1">
        <v>0</v>
      </c>
      <c r="E306" s="1">
        <v>1</v>
      </c>
      <c r="F306" s="32">
        <v>2</v>
      </c>
      <c r="G306" s="64" t="str" cm="1">
        <f t="array" ref="G306">_xlfn.IFS(AND(F306&gt;=5,F306&lt;12),"Morning",AND(F306&gt;=12,F306&lt;17),"AfterNoon",AND(F306&gt;=17,F306&lt;20),"Evening",TRUE,"Night")</f>
        <v>Night</v>
      </c>
      <c r="H306" s="1" t="b">
        <v>0</v>
      </c>
      <c r="I306" s="1">
        <v>5</v>
      </c>
      <c r="J306" s="64" t="str" cm="1">
        <f t="array" ref="J306">_xlfn.IFS(I306=0,"Saturday",I306=1,"Sunday",I306=2,"Monday",I306=3,"Tuesday",I306=4,"Wednesday",I306=5,"Thusday",I306=6,"Friday")</f>
        <v>Thusday</v>
      </c>
      <c r="K306" s="1">
        <v>1</v>
      </c>
      <c r="L306" s="1">
        <v>0.1</v>
      </c>
      <c r="M306" t="str">
        <f t="shared" si="5"/>
        <v>Stromy</v>
      </c>
    </row>
    <row r="307" spans="1:13" x14ac:dyDescent="0.35">
      <c r="A307" s="1">
        <v>305</v>
      </c>
      <c r="B307" s="3">
        <v>40557</v>
      </c>
      <c r="C307" s="1">
        <v>1</v>
      </c>
      <c r="D307" s="1">
        <v>0</v>
      </c>
      <c r="E307" s="1">
        <v>1</v>
      </c>
      <c r="F307" s="32">
        <v>3</v>
      </c>
      <c r="G307" s="64" t="str" cm="1">
        <f t="array" ref="G307">_xlfn.IFS(AND(F307&gt;=5,F307&lt;12),"Morning",AND(F307&gt;=12,F307&lt;17),"AfterNoon",AND(F307&gt;=17,F307&lt;20),"Evening",TRUE,"Night")</f>
        <v>Night</v>
      </c>
      <c r="H307" s="1" t="b">
        <v>0</v>
      </c>
      <c r="I307" s="1">
        <v>5</v>
      </c>
      <c r="J307" s="64" t="str" cm="1">
        <f t="array" ref="J307">_xlfn.IFS(I307=0,"Saturday",I307=1,"Sunday",I307=2,"Monday",I307=3,"Tuesday",I307=4,"Wednesday",I307=5,"Thusday",I307=6,"Friday")</f>
        <v>Thusday</v>
      </c>
      <c r="K307" s="1">
        <v>1</v>
      </c>
      <c r="L307" s="1">
        <v>0.1</v>
      </c>
      <c r="M307" t="str">
        <f t="shared" si="5"/>
        <v>Stromy</v>
      </c>
    </row>
    <row r="308" spans="1:13" x14ac:dyDescent="0.35">
      <c r="A308" s="1">
        <v>306</v>
      </c>
      <c r="B308" s="3">
        <v>40557</v>
      </c>
      <c r="C308" s="1">
        <v>1</v>
      </c>
      <c r="D308" s="1">
        <v>0</v>
      </c>
      <c r="E308" s="1">
        <v>1</v>
      </c>
      <c r="F308" s="32">
        <v>5</v>
      </c>
      <c r="G308" s="64" t="str" cm="1">
        <f t="array" ref="G308">_xlfn.IFS(AND(F308&gt;=5,F308&lt;12),"Morning",AND(F308&gt;=12,F308&lt;17),"AfterNoon",AND(F308&gt;=17,F308&lt;20),"Evening",TRUE,"Night")</f>
        <v>Morning</v>
      </c>
      <c r="H308" s="1" t="b">
        <v>0</v>
      </c>
      <c r="I308" s="1">
        <v>5</v>
      </c>
      <c r="J308" s="64" t="str" cm="1">
        <f t="array" ref="J308">_xlfn.IFS(I308=0,"Saturday",I308=1,"Sunday",I308=2,"Monday",I308=3,"Tuesday",I308=4,"Wednesday",I308=5,"Thusday",I308=6,"Friday")</f>
        <v>Thusday</v>
      </c>
      <c r="K308" s="1">
        <v>1</v>
      </c>
      <c r="L308" s="1">
        <v>0.1</v>
      </c>
      <c r="M308" t="str">
        <f t="shared" si="5"/>
        <v>Stromy</v>
      </c>
    </row>
    <row r="309" spans="1:13" x14ac:dyDescent="0.35">
      <c r="A309" s="1">
        <v>307</v>
      </c>
      <c r="B309" s="3">
        <v>40557</v>
      </c>
      <c r="C309" s="1">
        <v>1</v>
      </c>
      <c r="D309" s="1">
        <v>0</v>
      </c>
      <c r="E309" s="1">
        <v>1</v>
      </c>
      <c r="F309" s="32">
        <v>6</v>
      </c>
      <c r="G309" s="64" t="str" cm="1">
        <f t="array" ref="G309">_xlfn.IFS(AND(F309&gt;=5,F309&lt;12),"Morning",AND(F309&gt;=12,F309&lt;17),"AfterNoon",AND(F309&gt;=17,F309&lt;20),"Evening",TRUE,"Night")</f>
        <v>Morning</v>
      </c>
      <c r="H309" s="1" t="b">
        <v>0</v>
      </c>
      <c r="I309" s="1">
        <v>5</v>
      </c>
      <c r="J309" s="64" t="str" cm="1">
        <f t="array" ref="J309">_xlfn.IFS(I309=0,"Saturday",I309=1,"Sunday",I309=2,"Monday",I309=3,"Tuesday",I309=4,"Wednesday",I309=5,"Thusday",I309=6,"Friday")</f>
        <v>Thusday</v>
      </c>
      <c r="K309" s="1">
        <v>1</v>
      </c>
      <c r="L309" s="1">
        <v>0.1</v>
      </c>
      <c r="M309" t="str">
        <f t="shared" si="5"/>
        <v>Stromy</v>
      </c>
    </row>
    <row r="310" spans="1:13" x14ac:dyDescent="0.35">
      <c r="A310" s="1">
        <v>308</v>
      </c>
      <c r="B310" s="3">
        <v>40557</v>
      </c>
      <c r="C310" s="1">
        <v>1</v>
      </c>
      <c r="D310" s="1">
        <v>0</v>
      </c>
      <c r="E310" s="1">
        <v>1</v>
      </c>
      <c r="F310" s="32">
        <v>7</v>
      </c>
      <c r="G310" s="64" t="str" cm="1">
        <f t="array" ref="G310">_xlfn.IFS(AND(F310&gt;=5,F310&lt;12),"Morning",AND(F310&gt;=12,F310&lt;17),"AfterNoon",AND(F310&gt;=17,F310&lt;20),"Evening",TRUE,"Night")</f>
        <v>Morning</v>
      </c>
      <c r="H310" s="1" t="b">
        <v>0</v>
      </c>
      <c r="I310" s="1">
        <v>5</v>
      </c>
      <c r="J310" s="64" t="str" cm="1">
        <f t="array" ref="J310">_xlfn.IFS(I310=0,"Saturday",I310=1,"Sunday",I310=2,"Monday",I310=3,"Tuesday",I310=4,"Wednesday",I310=5,"Thusday",I310=6,"Friday")</f>
        <v>Thusday</v>
      </c>
      <c r="K310" s="1">
        <v>1</v>
      </c>
      <c r="L310" s="1">
        <v>0.1</v>
      </c>
      <c r="M310" t="str">
        <f t="shared" si="5"/>
        <v>Stromy</v>
      </c>
    </row>
    <row r="311" spans="1:13" x14ac:dyDescent="0.35">
      <c r="A311" s="1">
        <v>309</v>
      </c>
      <c r="B311" s="3">
        <v>40557</v>
      </c>
      <c r="C311" s="1">
        <v>1</v>
      </c>
      <c r="D311" s="1">
        <v>0</v>
      </c>
      <c r="E311" s="1">
        <v>1</v>
      </c>
      <c r="F311" s="32">
        <v>8</v>
      </c>
      <c r="G311" s="64" t="str" cm="1">
        <f t="array" ref="G311">_xlfn.IFS(AND(F311&gt;=5,F311&lt;12),"Morning",AND(F311&gt;=12,F311&lt;17),"AfterNoon",AND(F311&gt;=17,F311&lt;20),"Evening",TRUE,"Night")</f>
        <v>Morning</v>
      </c>
      <c r="H311" s="1" t="b">
        <v>0</v>
      </c>
      <c r="I311" s="1">
        <v>5</v>
      </c>
      <c r="J311" s="64" t="str" cm="1">
        <f t="array" ref="J311">_xlfn.IFS(I311=0,"Saturday",I311=1,"Sunday",I311=2,"Monday",I311=3,"Tuesday",I311=4,"Wednesday",I311=5,"Thusday",I311=6,"Friday")</f>
        <v>Thusday</v>
      </c>
      <c r="K311" s="1">
        <v>1</v>
      </c>
      <c r="L311" s="1">
        <v>0.12</v>
      </c>
      <c r="M311" t="str">
        <f t="shared" si="5"/>
        <v>Rainy</v>
      </c>
    </row>
    <row r="312" spans="1:13" x14ac:dyDescent="0.35">
      <c r="A312" s="1">
        <v>310</v>
      </c>
      <c r="B312" s="3">
        <v>40557</v>
      </c>
      <c r="C312" s="1">
        <v>1</v>
      </c>
      <c r="D312" s="1">
        <v>0</v>
      </c>
      <c r="E312" s="1">
        <v>1</v>
      </c>
      <c r="F312" s="32">
        <v>9</v>
      </c>
      <c r="G312" s="64" t="str" cm="1">
        <f t="array" ref="G312">_xlfn.IFS(AND(F312&gt;=5,F312&lt;12),"Morning",AND(F312&gt;=12,F312&lt;17),"AfterNoon",AND(F312&gt;=17,F312&lt;20),"Evening",TRUE,"Night")</f>
        <v>Morning</v>
      </c>
      <c r="H312" s="1" t="b">
        <v>0</v>
      </c>
      <c r="I312" s="1">
        <v>5</v>
      </c>
      <c r="J312" s="64" t="str" cm="1">
        <f t="array" ref="J312">_xlfn.IFS(I312=0,"Saturday",I312=1,"Sunday",I312=2,"Monday",I312=3,"Tuesday",I312=4,"Wednesday",I312=5,"Thusday",I312=6,"Friday")</f>
        <v>Thusday</v>
      </c>
      <c r="K312" s="1">
        <v>1</v>
      </c>
      <c r="L312" s="1">
        <v>0.14000000000000001</v>
      </c>
      <c r="M312" t="str">
        <f t="shared" si="5"/>
        <v>Rainy</v>
      </c>
    </row>
    <row r="313" spans="1:13" x14ac:dyDescent="0.35">
      <c r="A313" s="1">
        <v>311</v>
      </c>
      <c r="B313" s="3">
        <v>40557</v>
      </c>
      <c r="C313" s="1">
        <v>1</v>
      </c>
      <c r="D313" s="1">
        <v>0</v>
      </c>
      <c r="E313" s="1">
        <v>1</v>
      </c>
      <c r="F313" s="32">
        <v>10</v>
      </c>
      <c r="G313" s="64" t="str" cm="1">
        <f t="array" ref="G313">_xlfn.IFS(AND(F313&gt;=5,F313&lt;12),"Morning",AND(F313&gt;=12,F313&lt;17),"AfterNoon",AND(F313&gt;=17,F313&lt;20),"Evening",TRUE,"Night")</f>
        <v>Morning</v>
      </c>
      <c r="H313" s="1" t="b">
        <v>0</v>
      </c>
      <c r="I313" s="1">
        <v>5</v>
      </c>
      <c r="J313" s="64" t="str" cm="1">
        <f t="array" ref="J313">_xlfn.IFS(I313=0,"Saturday",I313=1,"Sunday",I313=2,"Monday",I313=3,"Tuesday",I313=4,"Wednesday",I313=5,"Thusday",I313=6,"Friday")</f>
        <v>Thusday</v>
      </c>
      <c r="K313" s="1">
        <v>1</v>
      </c>
      <c r="L313" s="1">
        <v>0.18</v>
      </c>
      <c r="M313" t="str">
        <f t="shared" si="5"/>
        <v>Rainy</v>
      </c>
    </row>
    <row r="314" spans="1:13" x14ac:dyDescent="0.35">
      <c r="A314" s="1">
        <v>312</v>
      </c>
      <c r="B314" s="3">
        <v>40557</v>
      </c>
      <c r="C314" s="1">
        <v>1</v>
      </c>
      <c r="D314" s="1">
        <v>0</v>
      </c>
      <c r="E314" s="1">
        <v>1</v>
      </c>
      <c r="F314" s="32">
        <v>11</v>
      </c>
      <c r="G314" s="64" t="str" cm="1">
        <f t="array" ref="G314">_xlfn.IFS(AND(F314&gt;=5,F314&lt;12),"Morning",AND(F314&gt;=12,F314&lt;17),"AfterNoon",AND(F314&gt;=17,F314&lt;20),"Evening",TRUE,"Night")</f>
        <v>Morning</v>
      </c>
      <c r="H314" s="1" t="b">
        <v>0</v>
      </c>
      <c r="I314" s="1">
        <v>5</v>
      </c>
      <c r="J314" s="64" t="str" cm="1">
        <f t="array" ref="J314">_xlfn.IFS(I314=0,"Saturday",I314=1,"Sunday",I314=2,"Monday",I314=3,"Tuesday",I314=4,"Wednesday",I314=5,"Thusday",I314=6,"Friday")</f>
        <v>Thusday</v>
      </c>
      <c r="K314" s="1">
        <v>1</v>
      </c>
      <c r="L314" s="1">
        <v>0.18</v>
      </c>
      <c r="M314" t="str">
        <f t="shared" si="5"/>
        <v>Rainy</v>
      </c>
    </row>
    <row r="315" spans="1:13" x14ac:dyDescent="0.35">
      <c r="A315" s="1">
        <v>313</v>
      </c>
      <c r="B315" s="3">
        <v>40557</v>
      </c>
      <c r="C315" s="1">
        <v>1</v>
      </c>
      <c r="D315" s="1">
        <v>0</v>
      </c>
      <c r="E315" s="1">
        <v>1</v>
      </c>
      <c r="F315" s="32">
        <v>12</v>
      </c>
      <c r="G315" s="64" t="str" cm="1">
        <f t="array" ref="G315">_xlfn.IFS(AND(F315&gt;=5,F315&lt;12),"Morning",AND(F315&gt;=12,F315&lt;17),"AfterNoon",AND(F315&gt;=17,F315&lt;20),"Evening",TRUE,"Night")</f>
        <v>AfterNoon</v>
      </c>
      <c r="H315" s="1" t="b">
        <v>0</v>
      </c>
      <c r="I315" s="1">
        <v>5</v>
      </c>
      <c r="J315" s="64" t="str" cm="1">
        <f t="array" ref="J315">_xlfn.IFS(I315=0,"Saturday",I315=1,"Sunday",I315=2,"Monday",I315=3,"Tuesday",I315=4,"Wednesday",I315=5,"Thusday",I315=6,"Friday")</f>
        <v>Thusday</v>
      </c>
      <c r="K315" s="1">
        <v>1</v>
      </c>
      <c r="L315" s="1">
        <v>0.2</v>
      </c>
      <c r="M315" t="str">
        <f t="shared" si="5"/>
        <v>Rainy</v>
      </c>
    </row>
    <row r="316" spans="1:13" x14ac:dyDescent="0.35">
      <c r="A316" s="1">
        <v>314</v>
      </c>
      <c r="B316" s="3">
        <v>40557</v>
      </c>
      <c r="C316" s="1">
        <v>1</v>
      </c>
      <c r="D316" s="1">
        <v>0</v>
      </c>
      <c r="E316" s="1">
        <v>1</v>
      </c>
      <c r="F316" s="32">
        <v>13</v>
      </c>
      <c r="G316" s="64" t="str" cm="1">
        <f t="array" ref="G316">_xlfn.IFS(AND(F316&gt;=5,F316&lt;12),"Morning",AND(F316&gt;=12,F316&lt;17),"AfterNoon",AND(F316&gt;=17,F316&lt;20),"Evening",TRUE,"Night")</f>
        <v>AfterNoon</v>
      </c>
      <c r="H316" s="1" t="b">
        <v>0</v>
      </c>
      <c r="I316" s="1">
        <v>5</v>
      </c>
      <c r="J316" s="64" t="str" cm="1">
        <f t="array" ref="J316">_xlfn.IFS(I316=0,"Saturday",I316=1,"Sunday",I316=2,"Monday",I316=3,"Tuesday",I316=4,"Wednesday",I316=5,"Thusday",I316=6,"Friday")</f>
        <v>Thusday</v>
      </c>
      <c r="K316" s="1">
        <v>1</v>
      </c>
      <c r="L316" s="1">
        <v>0.22</v>
      </c>
      <c r="M316" t="str">
        <f t="shared" si="5"/>
        <v>Cloudy</v>
      </c>
    </row>
    <row r="317" spans="1:13" x14ac:dyDescent="0.35">
      <c r="A317" s="1">
        <v>315</v>
      </c>
      <c r="B317" s="3">
        <v>40557</v>
      </c>
      <c r="C317" s="1">
        <v>1</v>
      </c>
      <c r="D317" s="1">
        <v>0</v>
      </c>
      <c r="E317" s="1">
        <v>1</v>
      </c>
      <c r="F317" s="32">
        <v>14</v>
      </c>
      <c r="G317" s="64" t="str" cm="1">
        <f t="array" ref="G317">_xlfn.IFS(AND(F317&gt;=5,F317&lt;12),"Morning",AND(F317&gt;=12,F317&lt;17),"AfterNoon",AND(F317&gt;=17,F317&lt;20),"Evening",TRUE,"Night")</f>
        <v>AfterNoon</v>
      </c>
      <c r="H317" s="1" t="b">
        <v>0</v>
      </c>
      <c r="I317" s="1">
        <v>5</v>
      </c>
      <c r="J317" s="64" t="str" cm="1">
        <f t="array" ref="J317">_xlfn.IFS(I317=0,"Saturday",I317=1,"Sunday",I317=2,"Monday",I317=3,"Tuesday",I317=4,"Wednesday",I317=5,"Thusday",I317=6,"Friday")</f>
        <v>Thusday</v>
      </c>
      <c r="K317" s="1">
        <v>1</v>
      </c>
      <c r="L317" s="1">
        <v>0.22</v>
      </c>
      <c r="M317" t="str">
        <f t="shared" si="5"/>
        <v>Cloudy</v>
      </c>
    </row>
    <row r="318" spans="1:13" x14ac:dyDescent="0.35">
      <c r="A318" s="1">
        <v>316</v>
      </c>
      <c r="B318" s="3">
        <v>40557</v>
      </c>
      <c r="C318" s="1">
        <v>1</v>
      </c>
      <c r="D318" s="1">
        <v>0</v>
      </c>
      <c r="E318" s="1">
        <v>1</v>
      </c>
      <c r="F318" s="32">
        <v>15</v>
      </c>
      <c r="G318" s="64" t="str" cm="1">
        <f t="array" ref="G318">_xlfn.IFS(AND(F318&gt;=5,F318&lt;12),"Morning",AND(F318&gt;=12,F318&lt;17),"AfterNoon",AND(F318&gt;=17,F318&lt;20),"Evening",TRUE,"Night")</f>
        <v>AfterNoon</v>
      </c>
      <c r="H318" s="1" t="b">
        <v>0</v>
      </c>
      <c r="I318" s="1">
        <v>5</v>
      </c>
      <c r="J318" s="64" t="str" cm="1">
        <f t="array" ref="J318">_xlfn.IFS(I318=0,"Saturday",I318=1,"Sunday",I318=2,"Monday",I318=3,"Tuesday",I318=4,"Wednesday",I318=5,"Thusday",I318=6,"Friday")</f>
        <v>Thusday</v>
      </c>
      <c r="K318" s="1">
        <v>1</v>
      </c>
      <c r="L318" s="1">
        <v>0.24</v>
      </c>
      <c r="M318" t="str">
        <f t="shared" si="5"/>
        <v>Cloudy</v>
      </c>
    </row>
    <row r="319" spans="1:13" x14ac:dyDescent="0.35">
      <c r="A319" s="1">
        <v>317</v>
      </c>
      <c r="B319" s="3">
        <v>40557</v>
      </c>
      <c r="C319" s="1">
        <v>1</v>
      </c>
      <c r="D319" s="1">
        <v>0</v>
      </c>
      <c r="E319" s="1">
        <v>1</v>
      </c>
      <c r="F319" s="32">
        <v>16</v>
      </c>
      <c r="G319" s="64" t="str" cm="1">
        <f t="array" ref="G319">_xlfn.IFS(AND(F319&gt;=5,F319&lt;12),"Morning",AND(F319&gt;=12,F319&lt;17),"AfterNoon",AND(F319&gt;=17,F319&lt;20),"Evening",TRUE,"Night")</f>
        <v>AfterNoon</v>
      </c>
      <c r="H319" s="1" t="b">
        <v>0</v>
      </c>
      <c r="I319" s="1">
        <v>5</v>
      </c>
      <c r="J319" s="64" t="str" cm="1">
        <f t="array" ref="J319">_xlfn.IFS(I319=0,"Saturday",I319=1,"Sunday",I319=2,"Monday",I319=3,"Tuesday",I319=4,"Wednesday",I319=5,"Thusday",I319=6,"Friday")</f>
        <v>Thusday</v>
      </c>
      <c r="K319" s="1">
        <v>1</v>
      </c>
      <c r="L319" s="1">
        <v>0.22</v>
      </c>
      <c r="M319" t="str">
        <f t="shared" si="5"/>
        <v>Cloudy</v>
      </c>
    </row>
    <row r="320" spans="1:13" x14ac:dyDescent="0.35">
      <c r="A320" s="1">
        <v>318</v>
      </c>
      <c r="B320" s="3">
        <v>40557</v>
      </c>
      <c r="C320" s="1">
        <v>1</v>
      </c>
      <c r="D320" s="1">
        <v>0</v>
      </c>
      <c r="E320" s="1">
        <v>1</v>
      </c>
      <c r="F320" s="32">
        <v>17</v>
      </c>
      <c r="G320" s="64" t="str" cm="1">
        <f t="array" ref="G320">_xlfn.IFS(AND(F320&gt;=5,F320&lt;12),"Morning",AND(F320&gt;=12,F320&lt;17),"AfterNoon",AND(F320&gt;=17,F320&lt;20),"Evening",TRUE,"Night")</f>
        <v>Evening</v>
      </c>
      <c r="H320" s="1" t="b">
        <v>0</v>
      </c>
      <c r="I320" s="1">
        <v>5</v>
      </c>
      <c r="J320" s="64" t="str" cm="1">
        <f t="array" ref="J320">_xlfn.IFS(I320=0,"Saturday",I320=1,"Sunday",I320=2,"Monday",I320=3,"Tuesday",I320=4,"Wednesday",I320=5,"Thusday",I320=6,"Friday")</f>
        <v>Thusday</v>
      </c>
      <c r="K320" s="1">
        <v>1</v>
      </c>
      <c r="L320" s="1">
        <v>0.22</v>
      </c>
      <c r="M320" t="str">
        <f t="shared" si="5"/>
        <v>Cloudy</v>
      </c>
    </row>
    <row r="321" spans="1:13" x14ac:dyDescent="0.35">
      <c r="A321" s="1">
        <v>319</v>
      </c>
      <c r="B321" s="3">
        <v>40557</v>
      </c>
      <c r="C321" s="1">
        <v>1</v>
      </c>
      <c r="D321" s="1">
        <v>0</v>
      </c>
      <c r="E321" s="1">
        <v>1</v>
      </c>
      <c r="F321" s="32">
        <v>18</v>
      </c>
      <c r="G321" s="64" t="str" cm="1">
        <f t="array" ref="G321">_xlfn.IFS(AND(F321&gt;=5,F321&lt;12),"Morning",AND(F321&gt;=12,F321&lt;17),"AfterNoon",AND(F321&gt;=17,F321&lt;20),"Evening",TRUE,"Night")</f>
        <v>Evening</v>
      </c>
      <c r="H321" s="1" t="b">
        <v>0</v>
      </c>
      <c r="I321" s="1">
        <v>5</v>
      </c>
      <c r="J321" s="64" t="str" cm="1">
        <f t="array" ref="J321">_xlfn.IFS(I321=0,"Saturday",I321=1,"Sunday",I321=2,"Monday",I321=3,"Tuesday",I321=4,"Wednesday",I321=5,"Thusday",I321=6,"Friday")</f>
        <v>Thusday</v>
      </c>
      <c r="K321" s="1">
        <v>1</v>
      </c>
      <c r="L321" s="1">
        <v>0.2</v>
      </c>
      <c r="M321" t="str">
        <f t="shared" si="5"/>
        <v>Rainy</v>
      </c>
    </row>
    <row r="322" spans="1:13" x14ac:dyDescent="0.35">
      <c r="A322" s="1">
        <v>320</v>
      </c>
      <c r="B322" s="3">
        <v>40557</v>
      </c>
      <c r="C322" s="1">
        <v>1</v>
      </c>
      <c r="D322" s="1">
        <v>0</v>
      </c>
      <c r="E322" s="1">
        <v>1</v>
      </c>
      <c r="F322" s="32">
        <v>19</v>
      </c>
      <c r="G322" s="64" t="str" cm="1">
        <f t="array" ref="G322">_xlfn.IFS(AND(F322&gt;=5,F322&lt;12),"Morning",AND(F322&gt;=12,F322&lt;17),"AfterNoon",AND(F322&gt;=17,F322&lt;20),"Evening",TRUE,"Night")</f>
        <v>Evening</v>
      </c>
      <c r="H322" s="1" t="b">
        <v>0</v>
      </c>
      <c r="I322" s="1">
        <v>5</v>
      </c>
      <c r="J322" s="64" t="str" cm="1">
        <f t="array" ref="J322">_xlfn.IFS(I322=0,"Saturday",I322=1,"Sunday",I322=2,"Monday",I322=3,"Tuesday",I322=4,"Wednesday",I322=5,"Thusday",I322=6,"Friday")</f>
        <v>Thusday</v>
      </c>
      <c r="K322" s="1">
        <v>1</v>
      </c>
      <c r="L322" s="1">
        <v>0.16</v>
      </c>
      <c r="M322" t="str">
        <f t="shared" si="5"/>
        <v>Rainy</v>
      </c>
    </row>
    <row r="323" spans="1:13" x14ac:dyDescent="0.35">
      <c r="A323" s="1">
        <v>321</v>
      </c>
      <c r="B323" s="3">
        <v>40557</v>
      </c>
      <c r="C323" s="1">
        <v>1</v>
      </c>
      <c r="D323" s="1">
        <v>0</v>
      </c>
      <c r="E323" s="1">
        <v>1</v>
      </c>
      <c r="F323" s="32">
        <v>20</v>
      </c>
      <c r="G323" s="64" t="str" cm="1">
        <f t="array" ref="G323">_xlfn.IFS(AND(F323&gt;=5,F323&lt;12),"Morning",AND(F323&gt;=12,F323&lt;17),"AfterNoon",AND(F323&gt;=17,F323&lt;20),"Evening",TRUE,"Night")</f>
        <v>Night</v>
      </c>
      <c r="H323" s="1" t="b">
        <v>0</v>
      </c>
      <c r="I323" s="1">
        <v>5</v>
      </c>
      <c r="J323" s="64" t="str" cm="1">
        <f t="array" ref="J323">_xlfn.IFS(I323=0,"Saturday",I323=1,"Sunday",I323=2,"Monday",I323=3,"Tuesday",I323=4,"Wednesday",I323=5,"Thusday",I323=6,"Friday")</f>
        <v>Thusday</v>
      </c>
      <c r="K323" s="1">
        <v>1</v>
      </c>
      <c r="L323" s="1">
        <v>0.18</v>
      </c>
      <c r="M323" t="str">
        <f t="shared" si="5"/>
        <v>Rainy</v>
      </c>
    </row>
    <row r="324" spans="1:13" x14ac:dyDescent="0.35">
      <c r="A324" s="1">
        <v>322</v>
      </c>
      <c r="B324" s="3">
        <v>40557</v>
      </c>
      <c r="C324" s="1">
        <v>1</v>
      </c>
      <c r="D324" s="1">
        <v>0</v>
      </c>
      <c r="E324" s="1">
        <v>1</v>
      </c>
      <c r="F324" s="32">
        <v>21</v>
      </c>
      <c r="G324" s="64" t="str" cm="1">
        <f t="array" ref="G324">_xlfn.IFS(AND(F324&gt;=5,F324&lt;12),"Morning",AND(F324&gt;=12,F324&lt;17),"AfterNoon",AND(F324&gt;=17,F324&lt;20),"Evening",TRUE,"Night")</f>
        <v>Night</v>
      </c>
      <c r="H324" s="1" t="b">
        <v>0</v>
      </c>
      <c r="I324" s="1">
        <v>5</v>
      </c>
      <c r="J324" s="64" t="str" cm="1">
        <f t="array" ref="J324">_xlfn.IFS(I324=0,"Saturday",I324=1,"Sunday",I324=2,"Monday",I324=3,"Tuesday",I324=4,"Wednesday",I324=5,"Thusday",I324=6,"Friday")</f>
        <v>Thusday</v>
      </c>
      <c r="K324" s="1">
        <v>1</v>
      </c>
      <c r="L324" s="1">
        <v>0.16</v>
      </c>
      <c r="M324" t="str">
        <f t="shared" ref="M324:M387" si="6">IF(L324&lt;=0.1,"Stromy",IF(L324&lt;=0.2,"Rainy",IF(L324&lt;=0.3,"Cloudy","Sunny")))</f>
        <v>Rainy</v>
      </c>
    </row>
    <row r="325" spans="1:13" x14ac:dyDescent="0.35">
      <c r="A325" s="1">
        <v>323</v>
      </c>
      <c r="B325" s="3">
        <v>40557</v>
      </c>
      <c r="C325" s="1">
        <v>1</v>
      </c>
      <c r="D325" s="1">
        <v>0</v>
      </c>
      <c r="E325" s="1">
        <v>1</v>
      </c>
      <c r="F325" s="32">
        <v>22</v>
      </c>
      <c r="G325" s="64" t="str" cm="1">
        <f t="array" ref="G325">_xlfn.IFS(AND(F325&gt;=5,F325&lt;12),"Morning",AND(F325&gt;=12,F325&lt;17),"AfterNoon",AND(F325&gt;=17,F325&lt;20),"Evening",TRUE,"Night")</f>
        <v>Night</v>
      </c>
      <c r="H325" s="1" t="b">
        <v>0</v>
      </c>
      <c r="I325" s="1">
        <v>5</v>
      </c>
      <c r="J325" s="64" t="str" cm="1">
        <f t="array" ref="J325">_xlfn.IFS(I325=0,"Saturday",I325=1,"Sunday",I325=2,"Monday",I325=3,"Tuesday",I325=4,"Wednesday",I325=5,"Thusday",I325=6,"Friday")</f>
        <v>Thusday</v>
      </c>
      <c r="K325" s="1">
        <v>2</v>
      </c>
      <c r="L325" s="1">
        <v>0.16</v>
      </c>
      <c r="M325" t="str">
        <f t="shared" si="6"/>
        <v>Rainy</v>
      </c>
    </row>
    <row r="326" spans="1:13" x14ac:dyDescent="0.35">
      <c r="A326" s="1">
        <v>324</v>
      </c>
      <c r="B326" s="3">
        <v>40557</v>
      </c>
      <c r="C326" s="1">
        <v>1</v>
      </c>
      <c r="D326" s="1">
        <v>0</v>
      </c>
      <c r="E326" s="1">
        <v>1</v>
      </c>
      <c r="F326" s="32">
        <v>23</v>
      </c>
      <c r="G326" s="64" t="str" cm="1">
        <f t="array" ref="G326">_xlfn.IFS(AND(F326&gt;=5,F326&lt;12),"Morning",AND(F326&gt;=12,F326&lt;17),"AfterNoon",AND(F326&gt;=17,F326&lt;20),"Evening",TRUE,"Night")</f>
        <v>Night</v>
      </c>
      <c r="H326" s="1" t="b">
        <v>0</v>
      </c>
      <c r="I326" s="1">
        <v>5</v>
      </c>
      <c r="J326" s="64" t="str" cm="1">
        <f t="array" ref="J326">_xlfn.IFS(I326=0,"Saturday",I326=1,"Sunday",I326=2,"Monday",I326=3,"Tuesday",I326=4,"Wednesday",I326=5,"Thusday",I326=6,"Friday")</f>
        <v>Thusday</v>
      </c>
      <c r="K326" s="1">
        <v>2</v>
      </c>
      <c r="L326" s="1">
        <v>0.18</v>
      </c>
      <c r="M326" t="str">
        <f t="shared" si="6"/>
        <v>Rainy</v>
      </c>
    </row>
    <row r="327" spans="1:13" x14ac:dyDescent="0.35">
      <c r="A327" s="1">
        <v>325</v>
      </c>
      <c r="B327" s="3">
        <v>40558</v>
      </c>
      <c r="C327" s="1">
        <v>1</v>
      </c>
      <c r="D327" s="1">
        <v>0</v>
      </c>
      <c r="E327" s="1">
        <v>1</v>
      </c>
      <c r="F327" s="32">
        <v>0</v>
      </c>
      <c r="G327" s="64" t="str" cm="1">
        <f t="array" ref="G327">_xlfn.IFS(AND(F327&gt;=5,F327&lt;12),"Morning",AND(F327&gt;=12,F327&lt;17),"AfterNoon",AND(F327&gt;=17,F327&lt;20),"Evening",TRUE,"Night")</f>
        <v>Night</v>
      </c>
      <c r="H327" s="1" t="b">
        <v>0</v>
      </c>
      <c r="I327" s="1">
        <v>6</v>
      </c>
      <c r="J327" s="64" t="str" cm="1">
        <f t="array" ref="J327">_xlfn.IFS(I327=0,"Saturday",I327=1,"Sunday",I327=2,"Monday",I327=3,"Tuesday",I327=4,"Wednesday",I327=5,"Thusday",I327=6,"Friday")</f>
        <v>Friday</v>
      </c>
      <c r="K327" s="1">
        <v>1</v>
      </c>
      <c r="L327" s="1">
        <v>0.18</v>
      </c>
      <c r="M327" t="str">
        <f t="shared" si="6"/>
        <v>Rainy</v>
      </c>
    </row>
    <row r="328" spans="1:13" x14ac:dyDescent="0.35">
      <c r="A328" s="1">
        <v>326</v>
      </c>
      <c r="B328" s="3">
        <v>40558</v>
      </c>
      <c r="C328" s="1">
        <v>1</v>
      </c>
      <c r="D328" s="1">
        <v>0</v>
      </c>
      <c r="E328" s="1">
        <v>1</v>
      </c>
      <c r="F328" s="32">
        <v>1</v>
      </c>
      <c r="G328" s="64" t="str" cm="1">
        <f t="array" ref="G328">_xlfn.IFS(AND(F328&gt;=5,F328&lt;12),"Morning",AND(F328&gt;=12,F328&lt;17),"AfterNoon",AND(F328&gt;=17,F328&lt;20),"Evening",TRUE,"Night")</f>
        <v>Night</v>
      </c>
      <c r="H328" s="1" t="b">
        <v>0</v>
      </c>
      <c r="I328" s="1">
        <v>6</v>
      </c>
      <c r="J328" s="64" t="str" cm="1">
        <f t="array" ref="J328">_xlfn.IFS(I328=0,"Saturday",I328=1,"Sunday",I328=2,"Monday",I328=3,"Tuesday",I328=4,"Wednesday",I328=5,"Thusday",I328=6,"Friday")</f>
        <v>Friday</v>
      </c>
      <c r="K328" s="1">
        <v>2</v>
      </c>
      <c r="L328" s="1">
        <v>0.16</v>
      </c>
      <c r="M328" t="str">
        <f t="shared" si="6"/>
        <v>Rainy</v>
      </c>
    </row>
    <row r="329" spans="1:13" x14ac:dyDescent="0.35">
      <c r="A329" s="1">
        <v>327</v>
      </c>
      <c r="B329" s="3">
        <v>40558</v>
      </c>
      <c r="C329" s="1">
        <v>1</v>
      </c>
      <c r="D329" s="1">
        <v>0</v>
      </c>
      <c r="E329" s="1">
        <v>1</v>
      </c>
      <c r="F329" s="32">
        <v>2</v>
      </c>
      <c r="G329" s="64" t="str" cm="1">
        <f t="array" ref="G329">_xlfn.IFS(AND(F329&gt;=5,F329&lt;12),"Morning",AND(F329&gt;=12,F329&lt;17),"AfterNoon",AND(F329&gt;=17,F329&lt;20),"Evening",TRUE,"Night")</f>
        <v>Night</v>
      </c>
      <c r="H329" s="1" t="b">
        <v>0</v>
      </c>
      <c r="I329" s="1">
        <v>6</v>
      </c>
      <c r="J329" s="64" t="str" cm="1">
        <f t="array" ref="J329">_xlfn.IFS(I329=0,"Saturday",I329=1,"Sunday",I329=2,"Monday",I329=3,"Tuesday",I329=4,"Wednesday",I329=5,"Thusday",I329=6,"Friday")</f>
        <v>Friday</v>
      </c>
      <c r="K329" s="1">
        <v>2</v>
      </c>
      <c r="L329" s="1">
        <v>0.16</v>
      </c>
      <c r="M329" t="str">
        <f t="shared" si="6"/>
        <v>Rainy</v>
      </c>
    </row>
    <row r="330" spans="1:13" x14ac:dyDescent="0.35">
      <c r="A330" s="1">
        <v>328</v>
      </c>
      <c r="B330" s="3">
        <v>40558</v>
      </c>
      <c r="C330" s="1">
        <v>1</v>
      </c>
      <c r="D330" s="1">
        <v>0</v>
      </c>
      <c r="E330" s="1">
        <v>1</v>
      </c>
      <c r="F330" s="32">
        <v>3</v>
      </c>
      <c r="G330" s="64" t="str" cm="1">
        <f t="array" ref="G330">_xlfn.IFS(AND(F330&gt;=5,F330&lt;12),"Morning",AND(F330&gt;=12,F330&lt;17),"AfterNoon",AND(F330&gt;=17,F330&lt;20),"Evening",TRUE,"Night")</f>
        <v>Night</v>
      </c>
      <c r="H330" s="1" t="b">
        <v>0</v>
      </c>
      <c r="I330" s="1">
        <v>6</v>
      </c>
      <c r="J330" s="64" t="str" cm="1">
        <f t="array" ref="J330">_xlfn.IFS(I330=0,"Saturday",I330=1,"Sunday",I330=2,"Monday",I330=3,"Tuesday",I330=4,"Wednesday",I330=5,"Thusday",I330=6,"Friday")</f>
        <v>Friday</v>
      </c>
      <c r="K330" s="1">
        <v>2</v>
      </c>
      <c r="L330" s="1">
        <v>0.16</v>
      </c>
      <c r="M330" t="str">
        <f t="shared" si="6"/>
        <v>Rainy</v>
      </c>
    </row>
    <row r="331" spans="1:13" x14ac:dyDescent="0.35">
      <c r="A331" s="1">
        <v>329</v>
      </c>
      <c r="B331" s="3">
        <v>40558</v>
      </c>
      <c r="C331" s="1">
        <v>1</v>
      </c>
      <c r="D331" s="1">
        <v>0</v>
      </c>
      <c r="E331" s="1">
        <v>1</v>
      </c>
      <c r="F331" s="32">
        <v>4</v>
      </c>
      <c r="G331" s="64" t="str" cm="1">
        <f t="array" ref="G331">_xlfn.IFS(AND(F331&gt;=5,F331&lt;12),"Morning",AND(F331&gt;=12,F331&lt;17),"AfterNoon",AND(F331&gt;=17,F331&lt;20),"Evening",TRUE,"Night")</f>
        <v>Night</v>
      </c>
      <c r="H331" s="1" t="b">
        <v>0</v>
      </c>
      <c r="I331" s="1">
        <v>6</v>
      </c>
      <c r="J331" s="64" t="str" cm="1">
        <f t="array" ref="J331">_xlfn.IFS(I331=0,"Saturday",I331=1,"Sunday",I331=2,"Monday",I331=3,"Tuesday",I331=4,"Wednesday",I331=5,"Thusday",I331=6,"Friday")</f>
        <v>Friday</v>
      </c>
      <c r="K331" s="1">
        <v>2</v>
      </c>
      <c r="L331" s="1">
        <v>0.16</v>
      </c>
      <c r="M331" t="str">
        <f t="shared" si="6"/>
        <v>Rainy</v>
      </c>
    </row>
    <row r="332" spans="1:13" x14ac:dyDescent="0.35">
      <c r="A332" s="1">
        <v>330</v>
      </c>
      <c r="B332" s="3">
        <v>40558</v>
      </c>
      <c r="C332" s="1">
        <v>1</v>
      </c>
      <c r="D332" s="1">
        <v>0</v>
      </c>
      <c r="E332" s="1">
        <v>1</v>
      </c>
      <c r="F332" s="32">
        <v>5</v>
      </c>
      <c r="G332" s="64" t="str" cm="1">
        <f t="array" ref="G332">_xlfn.IFS(AND(F332&gt;=5,F332&lt;12),"Morning",AND(F332&gt;=12,F332&lt;17),"AfterNoon",AND(F332&gt;=17,F332&lt;20),"Evening",TRUE,"Night")</f>
        <v>Morning</v>
      </c>
      <c r="H332" s="1" t="b">
        <v>0</v>
      </c>
      <c r="I332" s="1">
        <v>6</v>
      </c>
      <c r="J332" s="64" t="str" cm="1">
        <f t="array" ref="J332">_xlfn.IFS(I332=0,"Saturday",I332=1,"Sunday",I332=2,"Monday",I332=3,"Tuesday",I332=4,"Wednesday",I332=5,"Thusday",I332=6,"Friday")</f>
        <v>Friday</v>
      </c>
      <c r="K332" s="1">
        <v>1</v>
      </c>
      <c r="L332" s="1">
        <v>0.16</v>
      </c>
      <c r="M332" t="str">
        <f t="shared" si="6"/>
        <v>Rainy</v>
      </c>
    </row>
    <row r="333" spans="1:13" x14ac:dyDescent="0.35">
      <c r="A333" s="1">
        <v>331</v>
      </c>
      <c r="B333" s="3">
        <v>40558</v>
      </c>
      <c r="C333" s="1">
        <v>1</v>
      </c>
      <c r="D333" s="1">
        <v>0</v>
      </c>
      <c r="E333" s="1">
        <v>1</v>
      </c>
      <c r="F333" s="32">
        <v>6</v>
      </c>
      <c r="G333" s="64" t="str" cm="1">
        <f t="array" ref="G333">_xlfn.IFS(AND(F333&gt;=5,F333&lt;12),"Morning",AND(F333&gt;=12,F333&lt;17),"AfterNoon",AND(F333&gt;=17,F333&lt;20),"Evening",TRUE,"Night")</f>
        <v>Morning</v>
      </c>
      <c r="H333" s="1" t="b">
        <v>0</v>
      </c>
      <c r="I333" s="1">
        <v>6</v>
      </c>
      <c r="J333" s="64" t="str" cm="1">
        <f t="array" ref="J333">_xlfn.IFS(I333=0,"Saturday",I333=1,"Sunday",I333=2,"Monday",I333=3,"Tuesday",I333=4,"Wednesday",I333=5,"Thusday",I333=6,"Friday")</f>
        <v>Friday</v>
      </c>
      <c r="K333" s="1">
        <v>1</v>
      </c>
      <c r="L333" s="1">
        <v>0.14000000000000001</v>
      </c>
      <c r="M333" t="str">
        <f t="shared" si="6"/>
        <v>Rainy</v>
      </c>
    </row>
    <row r="334" spans="1:13" x14ac:dyDescent="0.35">
      <c r="A334" s="1">
        <v>332</v>
      </c>
      <c r="B334" s="3">
        <v>40558</v>
      </c>
      <c r="C334" s="1">
        <v>1</v>
      </c>
      <c r="D334" s="1">
        <v>0</v>
      </c>
      <c r="E334" s="1">
        <v>1</v>
      </c>
      <c r="F334" s="32">
        <v>7</v>
      </c>
      <c r="G334" s="64" t="str" cm="1">
        <f t="array" ref="G334">_xlfn.IFS(AND(F334&gt;=5,F334&lt;12),"Morning",AND(F334&gt;=12,F334&lt;17),"AfterNoon",AND(F334&gt;=17,F334&lt;20),"Evening",TRUE,"Night")</f>
        <v>Morning</v>
      </c>
      <c r="H334" s="1" t="b">
        <v>0</v>
      </c>
      <c r="I334" s="1">
        <v>6</v>
      </c>
      <c r="J334" s="64" t="str" cm="1">
        <f t="array" ref="J334">_xlfn.IFS(I334=0,"Saturday",I334=1,"Sunday",I334=2,"Monday",I334=3,"Tuesday",I334=4,"Wednesday",I334=5,"Thusday",I334=6,"Friday")</f>
        <v>Friday</v>
      </c>
      <c r="K334" s="1">
        <v>1</v>
      </c>
      <c r="L334" s="1">
        <v>0.14000000000000001</v>
      </c>
      <c r="M334" t="str">
        <f t="shared" si="6"/>
        <v>Rainy</v>
      </c>
    </row>
    <row r="335" spans="1:13" x14ac:dyDescent="0.35">
      <c r="A335" s="1">
        <v>333</v>
      </c>
      <c r="B335" s="3">
        <v>40558</v>
      </c>
      <c r="C335" s="1">
        <v>1</v>
      </c>
      <c r="D335" s="1">
        <v>0</v>
      </c>
      <c r="E335" s="1">
        <v>1</v>
      </c>
      <c r="F335" s="32">
        <v>8</v>
      </c>
      <c r="G335" s="64" t="str" cm="1">
        <f t="array" ref="G335">_xlfn.IFS(AND(F335&gt;=5,F335&lt;12),"Morning",AND(F335&gt;=12,F335&lt;17),"AfterNoon",AND(F335&gt;=17,F335&lt;20),"Evening",TRUE,"Night")</f>
        <v>Morning</v>
      </c>
      <c r="H335" s="1" t="b">
        <v>0</v>
      </c>
      <c r="I335" s="1">
        <v>6</v>
      </c>
      <c r="J335" s="64" t="str" cm="1">
        <f t="array" ref="J335">_xlfn.IFS(I335=0,"Saturday",I335=1,"Sunday",I335=2,"Monday",I335=3,"Tuesday",I335=4,"Wednesday",I335=5,"Thusday",I335=6,"Friday")</f>
        <v>Friday</v>
      </c>
      <c r="K335" s="1">
        <v>1</v>
      </c>
      <c r="L335" s="1">
        <v>0.14000000000000001</v>
      </c>
      <c r="M335" t="str">
        <f t="shared" si="6"/>
        <v>Rainy</v>
      </c>
    </row>
    <row r="336" spans="1:13" x14ac:dyDescent="0.35">
      <c r="A336" s="1">
        <v>334</v>
      </c>
      <c r="B336" s="3">
        <v>40558</v>
      </c>
      <c r="C336" s="1">
        <v>1</v>
      </c>
      <c r="D336" s="1">
        <v>0</v>
      </c>
      <c r="E336" s="1">
        <v>1</v>
      </c>
      <c r="F336" s="32">
        <v>9</v>
      </c>
      <c r="G336" s="64" t="str" cm="1">
        <f t="array" ref="G336">_xlfn.IFS(AND(F336&gt;=5,F336&lt;12),"Morning",AND(F336&gt;=12,F336&lt;17),"AfterNoon",AND(F336&gt;=17,F336&lt;20),"Evening",TRUE,"Night")</f>
        <v>Morning</v>
      </c>
      <c r="H336" s="1" t="b">
        <v>0</v>
      </c>
      <c r="I336" s="1">
        <v>6</v>
      </c>
      <c r="J336" s="64" t="str" cm="1">
        <f t="array" ref="J336">_xlfn.IFS(I336=0,"Saturday",I336=1,"Sunday",I336=2,"Monday",I336=3,"Tuesday",I336=4,"Wednesday",I336=5,"Thusday",I336=6,"Friday")</f>
        <v>Friday</v>
      </c>
      <c r="K336" s="1">
        <v>1</v>
      </c>
      <c r="L336" s="1">
        <v>0.16</v>
      </c>
      <c r="M336" t="str">
        <f t="shared" si="6"/>
        <v>Rainy</v>
      </c>
    </row>
    <row r="337" spans="1:13" x14ac:dyDescent="0.35">
      <c r="A337" s="1">
        <v>335</v>
      </c>
      <c r="B337" s="3">
        <v>40558</v>
      </c>
      <c r="C337" s="1">
        <v>1</v>
      </c>
      <c r="D337" s="1">
        <v>0</v>
      </c>
      <c r="E337" s="1">
        <v>1</v>
      </c>
      <c r="F337" s="32">
        <v>10</v>
      </c>
      <c r="G337" s="64" t="str" cm="1">
        <f t="array" ref="G337">_xlfn.IFS(AND(F337&gt;=5,F337&lt;12),"Morning",AND(F337&gt;=12,F337&lt;17),"AfterNoon",AND(F337&gt;=17,F337&lt;20),"Evening",TRUE,"Night")</f>
        <v>Morning</v>
      </c>
      <c r="H337" s="1" t="b">
        <v>0</v>
      </c>
      <c r="I337" s="1">
        <v>6</v>
      </c>
      <c r="J337" s="64" t="str" cm="1">
        <f t="array" ref="J337">_xlfn.IFS(I337=0,"Saturday",I337=1,"Sunday",I337=2,"Monday",I337=3,"Tuesday",I337=4,"Wednesday",I337=5,"Thusday",I337=6,"Friday")</f>
        <v>Friday</v>
      </c>
      <c r="K337" s="1">
        <v>1</v>
      </c>
      <c r="L337" s="1">
        <v>0.18</v>
      </c>
      <c r="M337" t="str">
        <f t="shared" si="6"/>
        <v>Rainy</v>
      </c>
    </row>
    <row r="338" spans="1:13" x14ac:dyDescent="0.35">
      <c r="A338" s="1">
        <v>336</v>
      </c>
      <c r="B338" s="3">
        <v>40558</v>
      </c>
      <c r="C338" s="1">
        <v>1</v>
      </c>
      <c r="D338" s="1">
        <v>0</v>
      </c>
      <c r="E338" s="1">
        <v>1</v>
      </c>
      <c r="F338" s="32">
        <v>11</v>
      </c>
      <c r="G338" s="64" t="str" cm="1">
        <f t="array" ref="G338">_xlfn.IFS(AND(F338&gt;=5,F338&lt;12),"Morning",AND(F338&gt;=12,F338&lt;17),"AfterNoon",AND(F338&gt;=17,F338&lt;20),"Evening",TRUE,"Night")</f>
        <v>Morning</v>
      </c>
      <c r="H338" s="1" t="b">
        <v>0</v>
      </c>
      <c r="I338" s="1">
        <v>6</v>
      </c>
      <c r="J338" s="64" t="str" cm="1">
        <f t="array" ref="J338">_xlfn.IFS(I338=0,"Saturday",I338=1,"Sunday",I338=2,"Monday",I338=3,"Tuesday",I338=4,"Wednesday",I338=5,"Thusday",I338=6,"Friday")</f>
        <v>Friday</v>
      </c>
      <c r="K338" s="1">
        <v>1</v>
      </c>
      <c r="L338" s="1">
        <v>0.2</v>
      </c>
      <c r="M338" t="str">
        <f t="shared" si="6"/>
        <v>Rainy</v>
      </c>
    </row>
    <row r="339" spans="1:13" x14ac:dyDescent="0.35">
      <c r="A339" s="1">
        <v>337</v>
      </c>
      <c r="B339" s="3">
        <v>40558</v>
      </c>
      <c r="C339" s="1">
        <v>1</v>
      </c>
      <c r="D339" s="1">
        <v>0</v>
      </c>
      <c r="E339" s="1">
        <v>1</v>
      </c>
      <c r="F339" s="32">
        <v>12</v>
      </c>
      <c r="G339" s="64" t="str" cm="1">
        <f t="array" ref="G339">_xlfn.IFS(AND(F339&gt;=5,F339&lt;12),"Morning",AND(F339&gt;=12,F339&lt;17),"AfterNoon",AND(F339&gt;=17,F339&lt;20),"Evening",TRUE,"Night")</f>
        <v>AfterNoon</v>
      </c>
      <c r="H339" s="1" t="b">
        <v>0</v>
      </c>
      <c r="I339" s="1">
        <v>6</v>
      </c>
      <c r="J339" s="64" t="str" cm="1">
        <f t="array" ref="J339">_xlfn.IFS(I339=0,"Saturday",I339=1,"Sunday",I339=2,"Monday",I339=3,"Tuesday",I339=4,"Wednesday",I339=5,"Thusday",I339=6,"Friday")</f>
        <v>Friday</v>
      </c>
      <c r="K339" s="1">
        <v>1</v>
      </c>
      <c r="L339" s="1">
        <v>0.24</v>
      </c>
      <c r="M339" t="str">
        <f t="shared" si="6"/>
        <v>Cloudy</v>
      </c>
    </row>
    <row r="340" spans="1:13" x14ac:dyDescent="0.35">
      <c r="A340" s="1">
        <v>338</v>
      </c>
      <c r="B340" s="3">
        <v>40558</v>
      </c>
      <c r="C340" s="1">
        <v>1</v>
      </c>
      <c r="D340" s="1">
        <v>0</v>
      </c>
      <c r="E340" s="1">
        <v>1</v>
      </c>
      <c r="F340" s="32">
        <v>13</v>
      </c>
      <c r="G340" s="64" t="str" cm="1">
        <f t="array" ref="G340">_xlfn.IFS(AND(F340&gt;=5,F340&lt;12),"Morning",AND(F340&gt;=12,F340&lt;17),"AfterNoon",AND(F340&gt;=17,F340&lt;20),"Evening",TRUE,"Night")</f>
        <v>AfterNoon</v>
      </c>
      <c r="H340" s="1" t="b">
        <v>0</v>
      </c>
      <c r="I340" s="1">
        <v>6</v>
      </c>
      <c r="J340" s="64" t="str" cm="1">
        <f t="array" ref="J340">_xlfn.IFS(I340=0,"Saturday",I340=1,"Sunday",I340=2,"Monday",I340=3,"Tuesday",I340=4,"Wednesday",I340=5,"Thusday",I340=6,"Friday")</f>
        <v>Friday</v>
      </c>
      <c r="K340" s="1">
        <v>1</v>
      </c>
      <c r="L340" s="1">
        <v>0.28000000000000003</v>
      </c>
      <c r="M340" t="str">
        <f t="shared" si="6"/>
        <v>Cloudy</v>
      </c>
    </row>
    <row r="341" spans="1:13" x14ac:dyDescent="0.35">
      <c r="A341" s="1">
        <v>339</v>
      </c>
      <c r="B341" s="3">
        <v>40558</v>
      </c>
      <c r="C341" s="1">
        <v>1</v>
      </c>
      <c r="D341" s="1">
        <v>0</v>
      </c>
      <c r="E341" s="1">
        <v>1</v>
      </c>
      <c r="F341" s="32">
        <v>14</v>
      </c>
      <c r="G341" s="64" t="str" cm="1">
        <f t="array" ref="G341">_xlfn.IFS(AND(F341&gt;=5,F341&lt;12),"Morning",AND(F341&gt;=12,F341&lt;17),"AfterNoon",AND(F341&gt;=17,F341&lt;20),"Evening",TRUE,"Night")</f>
        <v>AfterNoon</v>
      </c>
      <c r="H341" s="1" t="b">
        <v>0</v>
      </c>
      <c r="I341" s="1">
        <v>6</v>
      </c>
      <c r="J341" s="64" t="str" cm="1">
        <f t="array" ref="J341">_xlfn.IFS(I341=0,"Saturday",I341=1,"Sunday",I341=2,"Monday",I341=3,"Tuesday",I341=4,"Wednesday",I341=5,"Thusday",I341=6,"Friday")</f>
        <v>Friday</v>
      </c>
      <c r="K341" s="1">
        <v>1</v>
      </c>
      <c r="L341" s="1">
        <v>0.3</v>
      </c>
      <c r="M341" t="str">
        <f t="shared" si="6"/>
        <v>Cloudy</v>
      </c>
    </row>
    <row r="342" spans="1:13" x14ac:dyDescent="0.35">
      <c r="A342" s="1">
        <v>340</v>
      </c>
      <c r="B342" s="3">
        <v>40558</v>
      </c>
      <c r="C342" s="1">
        <v>1</v>
      </c>
      <c r="D342" s="1">
        <v>0</v>
      </c>
      <c r="E342" s="1">
        <v>1</v>
      </c>
      <c r="F342" s="32">
        <v>15</v>
      </c>
      <c r="G342" s="64" t="str" cm="1">
        <f t="array" ref="G342">_xlfn.IFS(AND(F342&gt;=5,F342&lt;12),"Morning",AND(F342&gt;=12,F342&lt;17),"AfterNoon",AND(F342&gt;=17,F342&lt;20),"Evening",TRUE,"Night")</f>
        <v>AfterNoon</v>
      </c>
      <c r="H342" s="1" t="b">
        <v>0</v>
      </c>
      <c r="I342" s="1">
        <v>6</v>
      </c>
      <c r="J342" s="64" t="str" cm="1">
        <f t="array" ref="J342">_xlfn.IFS(I342=0,"Saturday",I342=1,"Sunday",I342=2,"Monday",I342=3,"Tuesday",I342=4,"Wednesday",I342=5,"Thusday",I342=6,"Friday")</f>
        <v>Friday</v>
      </c>
      <c r="K342" s="1">
        <v>2</v>
      </c>
      <c r="L342" s="1">
        <v>0.32</v>
      </c>
      <c r="M342" t="str">
        <f t="shared" si="6"/>
        <v>Sunny</v>
      </c>
    </row>
    <row r="343" spans="1:13" x14ac:dyDescent="0.35">
      <c r="A343" s="1">
        <v>341</v>
      </c>
      <c r="B343" s="3">
        <v>40558</v>
      </c>
      <c r="C343" s="1">
        <v>1</v>
      </c>
      <c r="D343" s="1">
        <v>0</v>
      </c>
      <c r="E343" s="1">
        <v>1</v>
      </c>
      <c r="F343" s="32">
        <v>16</v>
      </c>
      <c r="G343" s="64" t="str" cm="1">
        <f t="array" ref="G343">_xlfn.IFS(AND(F343&gt;=5,F343&lt;12),"Morning",AND(F343&gt;=12,F343&lt;17),"AfterNoon",AND(F343&gt;=17,F343&lt;20),"Evening",TRUE,"Night")</f>
        <v>AfterNoon</v>
      </c>
      <c r="H343" s="1" t="b">
        <v>0</v>
      </c>
      <c r="I343" s="1">
        <v>6</v>
      </c>
      <c r="J343" s="64" t="str" cm="1">
        <f t="array" ref="J343">_xlfn.IFS(I343=0,"Saturday",I343=1,"Sunday",I343=2,"Monday",I343=3,"Tuesday",I343=4,"Wednesday",I343=5,"Thusday",I343=6,"Friday")</f>
        <v>Friday</v>
      </c>
      <c r="K343" s="1">
        <v>2</v>
      </c>
      <c r="L343" s="1">
        <v>0.34</v>
      </c>
      <c r="M343" t="str">
        <f t="shared" si="6"/>
        <v>Sunny</v>
      </c>
    </row>
    <row r="344" spans="1:13" x14ac:dyDescent="0.35">
      <c r="A344" s="1">
        <v>342</v>
      </c>
      <c r="B344" s="3">
        <v>40558</v>
      </c>
      <c r="C344" s="1">
        <v>1</v>
      </c>
      <c r="D344" s="1">
        <v>0</v>
      </c>
      <c r="E344" s="1">
        <v>1</v>
      </c>
      <c r="F344" s="32">
        <v>17</v>
      </c>
      <c r="G344" s="64" t="str" cm="1">
        <f t="array" ref="G344">_xlfn.IFS(AND(F344&gt;=5,F344&lt;12),"Morning",AND(F344&gt;=12,F344&lt;17),"AfterNoon",AND(F344&gt;=17,F344&lt;20),"Evening",TRUE,"Night")</f>
        <v>Evening</v>
      </c>
      <c r="H344" s="1" t="b">
        <v>0</v>
      </c>
      <c r="I344" s="1">
        <v>6</v>
      </c>
      <c r="J344" s="64" t="str" cm="1">
        <f t="array" ref="J344">_xlfn.IFS(I344=0,"Saturday",I344=1,"Sunday",I344=2,"Monday",I344=3,"Tuesday",I344=4,"Wednesday",I344=5,"Thusday",I344=6,"Friday")</f>
        <v>Friday</v>
      </c>
      <c r="K344" s="1">
        <v>2</v>
      </c>
      <c r="L344" s="1">
        <v>0.32</v>
      </c>
      <c r="M344" t="str">
        <f t="shared" si="6"/>
        <v>Sunny</v>
      </c>
    </row>
    <row r="345" spans="1:13" x14ac:dyDescent="0.35">
      <c r="A345" s="1">
        <v>343</v>
      </c>
      <c r="B345" s="3">
        <v>40558</v>
      </c>
      <c r="C345" s="1">
        <v>1</v>
      </c>
      <c r="D345" s="1">
        <v>0</v>
      </c>
      <c r="E345" s="1">
        <v>1</v>
      </c>
      <c r="F345" s="32">
        <v>18</v>
      </c>
      <c r="G345" s="64" t="str" cm="1">
        <f t="array" ref="G345">_xlfn.IFS(AND(F345&gt;=5,F345&lt;12),"Morning",AND(F345&gt;=12,F345&lt;17),"AfterNoon",AND(F345&gt;=17,F345&lt;20),"Evening",TRUE,"Night")</f>
        <v>Evening</v>
      </c>
      <c r="H345" s="1" t="b">
        <v>0</v>
      </c>
      <c r="I345" s="1">
        <v>6</v>
      </c>
      <c r="J345" s="64" t="str" cm="1">
        <f t="array" ref="J345">_xlfn.IFS(I345=0,"Saturday",I345=1,"Sunday",I345=2,"Monday",I345=3,"Tuesday",I345=4,"Wednesday",I345=5,"Thusday",I345=6,"Friday")</f>
        <v>Friday</v>
      </c>
      <c r="K345" s="1">
        <v>2</v>
      </c>
      <c r="L345" s="1">
        <v>0.3</v>
      </c>
      <c r="M345" t="str">
        <f t="shared" si="6"/>
        <v>Cloudy</v>
      </c>
    </row>
    <row r="346" spans="1:13" x14ac:dyDescent="0.35">
      <c r="A346" s="1">
        <v>344</v>
      </c>
      <c r="B346" s="3">
        <v>40558</v>
      </c>
      <c r="C346" s="1">
        <v>1</v>
      </c>
      <c r="D346" s="1">
        <v>0</v>
      </c>
      <c r="E346" s="1">
        <v>1</v>
      </c>
      <c r="F346" s="32">
        <v>19</v>
      </c>
      <c r="G346" s="64" t="str" cm="1">
        <f t="array" ref="G346">_xlfn.IFS(AND(F346&gt;=5,F346&lt;12),"Morning",AND(F346&gt;=12,F346&lt;17),"AfterNoon",AND(F346&gt;=17,F346&lt;20),"Evening",TRUE,"Night")</f>
        <v>Evening</v>
      </c>
      <c r="H346" s="1" t="b">
        <v>0</v>
      </c>
      <c r="I346" s="1">
        <v>6</v>
      </c>
      <c r="J346" s="64" t="str" cm="1">
        <f t="array" ref="J346">_xlfn.IFS(I346=0,"Saturday",I346=1,"Sunday",I346=2,"Monday",I346=3,"Tuesday",I346=4,"Wednesday",I346=5,"Thusday",I346=6,"Friday")</f>
        <v>Friday</v>
      </c>
      <c r="K346" s="1">
        <v>2</v>
      </c>
      <c r="L346" s="1">
        <v>0.32</v>
      </c>
      <c r="M346" t="str">
        <f t="shared" si="6"/>
        <v>Sunny</v>
      </c>
    </row>
    <row r="347" spans="1:13" x14ac:dyDescent="0.35">
      <c r="A347" s="1">
        <v>345</v>
      </c>
      <c r="B347" s="3">
        <v>40558</v>
      </c>
      <c r="C347" s="1">
        <v>1</v>
      </c>
      <c r="D347" s="1">
        <v>0</v>
      </c>
      <c r="E347" s="1">
        <v>1</v>
      </c>
      <c r="F347" s="32">
        <v>20</v>
      </c>
      <c r="G347" s="64" t="str" cm="1">
        <f t="array" ref="G347">_xlfn.IFS(AND(F347&gt;=5,F347&lt;12),"Morning",AND(F347&gt;=12,F347&lt;17),"AfterNoon",AND(F347&gt;=17,F347&lt;20),"Evening",TRUE,"Night")</f>
        <v>Night</v>
      </c>
      <c r="H347" s="1" t="b">
        <v>0</v>
      </c>
      <c r="I347" s="1">
        <v>6</v>
      </c>
      <c r="J347" s="64" t="str" cm="1">
        <f t="array" ref="J347">_xlfn.IFS(I347=0,"Saturday",I347=1,"Sunday",I347=2,"Monday",I347=3,"Tuesday",I347=4,"Wednesday",I347=5,"Thusday",I347=6,"Friday")</f>
        <v>Friday</v>
      </c>
      <c r="K347" s="1">
        <v>2</v>
      </c>
      <c r="L347" s="1">
        <v>0.32</v>
      </c>
      <c r="M347" t="str">
        <f t="shared" si="6"/>
        <v>Sunny</v>
      </c>
    </row>
    <row r="348" spans="1:13" x14ac:dyDescent="0.35">
      <c r="A348" s="1">
        <v>346</v>
      </c>
      <c r="B348" s="3">
        <v>40558</v>
      </c>
      <c r="C348" s="1">
        <v>1</v>
      </c>
      <c r="D348" s="1">
        <v>0</v>
      </c>
      <c r="E348" s="1">
        <v>1</v>
      </c>
      <c r="F348" s="32">
        <v>21</v>
      </c>
      <c r="G348" s="64" t="str" cm="1">
        <f t="array" ref="G348">_xlfn.IFS(AND(F348&gt;=5,F348&lt;12),"Morning",AND(F348&gt;=12,F348&lt;17),"AfterNoon",AND(F348&gt;=17,F348&lt;20),"Evening",TRUE,"Night")</f>
        <v>Night</v>
      </c>
      <c r="H348" s="1" t="b">
        <v>0</v>
      </c>
      <c r="I348" s="1">
        <v>6</v>
      </c>
      <c r="J348" s="64" t="str" cm="1">
        <f t="array" ref="J348">_xlfn.IFS(I348=0,"Saturday",I348=1,"Sunday",I348=2,"Monday",I348=3,"Tuesday",I348=4,"Wednesday",I348=5,"Thusday",I348=6,"Friday")</f>
        <v>Friday</v>
      </c>
      <c r="K348" s="1">
        <v>2</v>
      </c>
      <c r="L348" s="1">
        <v>0.32</v>
      </c>
      <c r="M348" t="str">
        <f t="shared" si="6"/>
        <v>Sunny</v>
      </c>
    </row>
    <row r="349" spans="1:13" x14ac:dyDescent="0.35">
      <c r="A349" s="1">
        <v>347</v>
      </c>
      <c r="B349" s="3">
        <v>40558</v>
      </c>
      <c r="C349" s="1">
        <v>1</v>
      </c>
      <c r="D349" s="1">
        <v>0</v>
      </c>
      <c r="E349" s="1">
        <v>1</v>
      </c>
      <c r="F349" s="32">
        <v>22</v>
      </c>
      <c r="G349" s="64" t="str" cm="1">
        <f t="array" ref="G349">_xlfn.IFS(AND(F349&gt;=5,F349&lt;12),"Morning",AND(F349&gt;=12,F349&lt;17),"AfterNoon",AND(F349&gt;=17,F349&lt;20),"Evening",TRUE,"Night")</f>
        <v>Night</v>
      </c>
      <c r="H349" s="1" t="b">
        <v>0</v>
      </c>
      <c r="I349" s="1">
        <v>6</v>
      </c>
      <c r="J349" s="64" t="str" cm="1">
        <f t="array" ref="J349">_xlfn.IFS(I349=0,"Saturday",I349=1,"Sunday",I349=2,"Monday",I349=3,"Tuesday",I349=4,"Wednesday",I349=5,"Thusday",I349=6,"Friday")</f>
        <v>Friday</v>
      </c>
      <c r="K349" s="1">
        <v>2</v>
      </c>
      <c r="L349" s="1">
        <v>0.3</v>
      </c>
      <c r="M349" t="str">
        <f t="shared" si="6"/>
        <v>Cloudy</v>
      </c>
    </row>
    <row r="350" spans="1:13" x14ac:dyDescent="0.35">
      <c r="A350" s="1">
        <v>348</v>
      </c>
      <c r="B350" s="3">
        <v>40558</v>
      </c>
      <c r="C350" s="1">
        <v>1</v>
      </c>
      <c r="D350" s="1">
        <v>0</v>
      </c>
      <c r="E350" s="1">
        <v>1</v>
      </c>
      <c r="F350" s="32">
        <v>23</v>
      </c>
      <c r="G350" s="64" t="str" cm="1">
        <f t="array" ref="G350">_xlfn.IFS(AND(F350&gt;=5,F350&lt;12),"Morning",AND(F350&gt;=12,F350&lt;17),"AfterNoon",AND(F350&gt;=17,F350&lt;20),"Evening",TRUE,"Night")</f>
        <v>Night</v>
      </c>
      <c r="H350" s="1" t="b">
        <v>0</v>
      </c>
      <c r="I350" s="1">
        <v>6</v>
      </c>
      <c r="J350" s="64" t="str" cm="1">
        <f t="array" ref="J350">_xlfn.IFS(I350=0,"Saturday",I350=1,"Sunday",I350=2,"Monday",I350=3,"Tuesday",I350=4,"Wednesday",I350=5,"Thusday",I350=6,"Friday")</f>
        <v>Friday</v>
      </c>
      <c r="K350" s="1">
        <v>1</v>
      </c>
      <c r="L350" s="1">
        <v>0.3</v>
      </c>
      <c r="M350" t="str">
        <f t="shared" si="6"/>
        <v>Cloudy</v>
      </c>
    </row>
    <row r="351" spans="1:13" x14ac:dyDescent="0.35">
      <c r="A351" s="1">
        <v>349</v>
      </c>
      <c r="B351" s="3">
        <v>40559</v>
      </c>
      <c r="C351" s="1">
        <v>1</v>
      </c>
      <c r="D351" s="1">
        <v>0</v>
      </c>
      <c r="E351" s="1">
        <v>1</v>
      </c>
      <c r="F351" s="32">
        <v>0</v>
      </c>
      <c r="G351" s="64" t="str" cm="1">
        <f t="array" ref="G351">_xlfn.IFS(AND(F351&gt;=5,F351&lt;12),"Morning",AND(F351&gt;=12,F351&lt;17),"AfterNoon",AND(F351&gt;=17,F351&lt;20),"Evening",TRUE,"Night")</f>
        <v>Night</v>
      </c>
      <c r="H351" s="1" t="b">
        <v>0</v>
      </c>
      <c r="I351" s="1">
        <v>0</v>
      </c>
      <c r="J351" s="64" t="str" cm="1">
        <f t="array" ref="J351">_xlfn.IFS(I351=0,"Saturday",I351=1,"Sunday",I351=2,"Monday",I351=3,"Tuesday",I351=4,"Wednesday",I351=5,"Thusday",I351=6,"Friday")</f>
        <v>Saturday</v>
      </c>
      <c r="K351" s="1">
        <v>1</v>
      </c>
      <c r="L351" s="1">
        <v>0.26</v>
      </c>
      <c r="M351" t="str">
        <f t="shared" si="6"/>
        <v>Cloudy</v>
      </c>
    </row>
    <row r="352" spans="1:13" x14ac:dyDescent="0.35">
      <c r="A352" s="1">
        <v>350</v>
      </c>
      <c r="B352" s="3">
        <v>40559</v>
      </c>
      <c r="C352" s="1">
        <v>1</v>
      </c>
      <c r="D352" s="1">
        <v>0</v>
      </c>
      <c r="E352" s="1">
        <v>1</v>
      </c>
      <c r="F352" s="32">
        <v>1</v>
      </c>
      <c r="G352" s="64" t="str" cm="1">
        <f t="array" ref="G352">_xlfn.IFS(AND(F352&gt;=5,F352&lt;12),"Morning",AND(F352&gt;=12,F352&lt;17),"AfterNoon",AND(F352&gt;=17,F352&lt;20),"Evening",TRUE,"Night")</f>
        <v>Night</v>
      </c>
      <c r="H352" s="1" t="b">
        <v>0</v>
      </c>
      <c r="I352" s="1">
        <v>0</v>
      </c>
      <c r="J352" s="64" t="str" cm="1">
        <f t="array" ref="J352">_xlfn.IFS(I352=0,"Saturday",I352=1,"Sunday",I352=2,"Monday",I352=3,"Tuesday",I352=4,"Wednesday",I352=5,"Thusday",I352=6,"Friday")</f>
        <v>Saturday</v>
      </c>
      <c r="K352" s="1">
        <v>1</v>
      </c>
      <c r="L352" s="1">
        <v>0.26</v>
      </c>
      <c r="M352" t="str">
        <f t="shared" si="6"/>
        <v>Cloudy</v>
      </c>
    </row>
    <row r="353" spans="1:13" x14ac:dyDescent="0.35">
      <c r="A353" s="1">
        <v>351</v>
      </c>
      <c r="B353" s="3">
        <v>40559</v>
      </c>
      <c r="C353" s="1">
        <v>1</v>
      </c>
      <c r="D353" s="1">
        <v>0</v>
      </c>
      <c r="E353" s="1">
        <v>1</v>
      </c>
      <c r="F353" s="32">
        <v>2</v>
      </c>
      <c r="G353" s="64" t="str" cm="1">
        <f t="array" ref="G353">_xlfn.IFS(AND(F353&gt;=5,F353&lt;12),"Morning",AND(F353&gt;=12,F353&lt;17),"AfterNoon",AND(F353&gt;=17,F353&lt;20),"Evening",TRUE,"Night")</f>
        <v>Night</v>
      </c>
      <c r="H353" s="1" t="b">
        <v>0</v>
      </c>
      <c r="I353" s="1">
        <v>0</v>
      </c>
      <c r="J353" s="64" t="str" cm="1">
        <f t="array" ref="J353">_xlfn.IFS(I353=0,"Saturday",I353=1,"Sunday",I353=2,"Monday",I353=3,"Tuesday",I353=4,"Wednesday",I353=5,"Thusday",I353=6,"Friday")</f>
        <v>Saturday</v>
      </c>
      <c r="K353" s="1">
        <v>1</v>
      </c>
      <c r="L353" s="1">
        <v>0.26</v>
      </c>
      <c r="M353" t="str">
        <f t="shared" si="6"/>
        <v>Cloudy</v>
      </c>
    </row>
    <row r="354" spans="1:13" x14ac:dyDescent="0.35">
      <c r="A354" s="1">
        <v>352</v>
      </c>
      <c r="B354" s="3">
        <v>40559</v>
      </c>
      <c r="C354" s="1">
        <v>1</v>
      </c>
      <c r="D354" s="1">
        <v>0</v>
      </c>
      <c r="E354" s="1">
        <v>1</v>
      </c>
      <c r="F354" s="32">
        <v>3</v>
      </c>
      <c r="G354" s="64" t="str" cm="1">
        <f t="array" ref="G354">_xlfn.IFS(AND(F354&gt;=5,F354&lt;12),"Morning",AND(F354&gt;=12,F354&lt;17),"AfterNoon",AND(F354&gt;=17,F354&lt;20),"Evening",TRUE,"Night")</f>
        <v>Night</v>
      </c>
      <c r="H354" s="1" t="b">
        <v>0</v>
      </c>
      <c r="I354" s="1">
        <v>0</v>
      </c>
      <c r="J354" s="64" t="str" cm="1">
        <f t="array" ref="J354">_xlfn.IFS(I354=0,"Saturday",I354=1,"Sunday",I354=2,"Monday",I354=3,"Tuesday",I354=4,"Wednesday",I354=5,"Thusday",I354=6,"Friday")</f>
        <v>Saturday</v>
      </c>
      <c r="K354" s="1">
        <v>1</v>
      </c>
      <c r="L354" s="1">
        <v>0.22</v>
      </c>
      <c r="M354" t="str">
        <f t="shared" si="6"/>
        <v>Cloudy</v>
      </c>
    </row>
    <row r="355" spans="1:13" x14ac:dyDescent="0.35">
      <c r="A355" s="1">
        <v>353</v>
      </c>
      <c r="B355" s="3">
        <v>40559</v>
      </c>
      <c r="C355" s="1">
        <v>1</v>
      </c>
      <c r="D355" s="1">
        <v>0</v>
      </c>
      <c r="E355" s="1">
        <v>1</v>
      </c>
      <c r="F355" s="32">
        <v>4</v>
      </c>
      <c r="G355" s="64" t="str" cm="1">
        <f t="array" ref="G355">_xlfn.IFS(AND(F355&gt;=5,F355&lt;12),"Morning",AND(F355&gt;=12,F355&lt;17),"AfterNoon",AND(F355&gt;=17,F355&lt;20),"Evening",TRUE,"Night")</f>
        <v>Night</v>
      </c>
      <c r="H355" s="1" t="b">
        <v>0</v>
      </c>
      <c r="I355" s="1">
        <v>0</v>
      </c>
      <c r="J355" s="64" t="str" cm="1">
        <f t="array" ref="J355">_xlfn.IFS(I355=0,"Saturday",I355=1,"Sunday",I355=2,"Monday",I355=3,"Tuesday",I355=4,"Wednesday",I355=5,"Thusday",I355=6,"Friday")</f>
        <v>Saturday</v>
      </c>
      <c r="K355" s="1">
        <v>1</v>
      </c>
      <c r="L355" s="1">
        <v>0.26</v>
      </c>
      <c r="M355" t="str">
        <f t="shared" si="6"/>
        <v>Cloudy</v>
      </c>
    </row>
    <row r="356" spans="1:13" x14ac:dyDescent="0.35">
      <c r="A356" s="1">
        <v>354</v>
      </c>
      <c r="B356" s="3">
        <v>40559</v>
      </c>
      <c r="C356" s="1">
        <v>1</v>
      </c>
      <c r="D356" s="1">
        <v>0</v>
      </c>
      <c r="E356" s="1">
        <v>1</v>
      </c>
      <c r="F356" s="32">
        <v>5</v>
      </c>
      <c r="G356" s="64" t="str" cm="1">
        <f t="array" ref="G356">_xlfn.IFS(AND(F356&gt;=5,F356&lt;12),"Morning",AND(F356&gt;=12,F356&lt;17),"AfterNoon",AND(F356&gt;=17,F356&lt;20),"Evening",TRUE,"Night")</f>
        <v>Morning</v>
      </c>
      <c r="H356" s="1" t="b">
        <v>0</v>
      </c>
      <c r="I356" s="1">
        <v>0</v>
      </c>
      <c r="J356" s="64" t="str" cm="1">
        <f t="array" ref="J356">_xlfn.IFS(I356=0,"Saturday",I356=1,"Sunday",I356=2,"Monday",I356=3,"Tuesday",I356=4,"Wednesday",I356=5,"Thusday",I356=6,"Friday")</f>
        <v>Saturday</v>
      </c>
      <c r="K356" s="1">
        <v>2</v>
      </c>
      <c r="L356" s="1">
        <v>0.26</v>
      </c>
      <c r="M356" t="str">
        <f t="shared" si="6"/>
        <v>Cloudy</v>
      </c>
    </row>
    <row r="357" spans="1:13" x14ac:dyDescent="0.35">
      <c r="A357" s="1">
        <v>355</v>
      </c>
      <c r="B357" s="3">
        <v>40559</v>
      </c>
      <c r="C357" s="1">
        <v>1</v>
      </c>
      <c r="D357" s="1">
        <v>0</v>
      </c>
      <c r="E357" s="1">
        <v>1</v>
      </c>
      <c r="F357" s="32">
        <v>6</v>
      </c>
      <c r="G357" s="64" t="str" cm="1">
        <f t="array" ref="G357">_xlfn.IFS(AND(F357&gt;=5,F357&lt;12),"Morning",AND(F357&gt;=12,F357&lt;17),"AfterNoon",AND(F357&gt;=17,F357&lt;20),"Evening",TRUE,"Night")</f>
        <v>Morning</v>
      </c>
      <c r="H357" s="1" t="b">
        <v>0</v>
      </c>
      <c r="I357" s="1">
        <v>0</v>
      </c>
      <c r="J357" s="64" t="str" cm="1">
        <f t="array" ref="J357">_xlfn.IFS(I357=0,"Saturday",I357=1,"Sunday",I357=2,"Monday",I357=3,"Tuesday",I357=4,"Wednesday",I357=5,"Thusday",I357=6,"Friday")</f>
        <v>Saturday</v>
      </c>
      <c r="K357" s="1">
        <v>2</v>
      </c>
      <c r="L357" s="1">
        <v>0.26</v>
      </c>
      <c r="M357" t="str">
        <f t="shared" si="6"/>
        <v>Cloudy</v>
      </c>
    </row>
    <row r="358" spans="1:13" x14ac:dyDescent="0.35">
      <c r="A358" s="1">
        <v>356</v>
      </c>
      <c r="B358" s="3">
        <v>40559</v>
      </c>
      <c r="C358" s="1">
        <v>1</v>
      </c>
      <c r="D358" s="1">
        <v>0</v>
      </c>
      <c r="E358" s="1">
        <v>1</v>
      </c>
      <c r="F358" s="32">
        <v>7</v>
      </c>
      <c r="G358" s="64" t="str" cm="1">
        <f t="array" ref="G358">_xlfn.IFS(AND(F358&gt;=5,F358&lt;12),"Morning",AND(F358&gt;=12,F358&lt;17),"AfterNoon",AND(F358&gt;=17,F358&lt;20),"Evening",TRUE,"Night")</f>
        <v>Morning</v>
      </c>
      <c r="H358" s="1" t="b">
        <v>0</v>
      </c>
      <c r="I358" s="1">
        <v>0</v>
      </c>
      <c r="J358" s="64" t="str" cm="1">
        <f t="array" ref="J358">_xlfn.IFS(I358=0,"Saturday",I358=1,"Sunday",I358=2,"Monday",I358=3,"Tuesday",I358=4,"Wednesday",I358=5,"Thusday",I358=6,"Friday")</f>
        <v>Saturday</v>
      </c>
      <c r="K358" s="1">
        <v>2</v>
      </c>
      <c r="L358" s="1">
        <v>0.24</v>
      </c>
      <c r="M358" t="str">
        <f t="shared" si="6"/>
        <v>Cloudy</v>
      </c>
    </row>
    <row r="359" spans="1:13" x14ac:dyDescent="0.35">
      <c r="A359" s="1">
        <v>357</v>
      </c>
      <c r="B359" s="3">
        <v>40559</v>
      </c>
      <c r="C359" s="1">
        <v>1</v>
      </c>
      <c r="D359" s="1">
        <v>0</v>
      </c>
      <c r="E359" s="1">
        <v>1</v>
      </c>
      <c r="F359" s="32">
        <v>8</v>
      </c>
      <c r="G359" s="64" t="str" cm="1">
        <f t="array" ref="G359">_xlfn.IFS(AND(F359&gt;=5,F359&lt;12),"Morning",AND(F359&gt;=12,F359&lt;17),"AfterNoon",AND(F359&gt;=17,F359&lt;20),"Evening",TRUE,"Night")</f>
        <v>Morning</v>
      </c>
      <c r="H359" s="1" t="b">
        <v>0</v>
      </c>
      <c r="I359" s="1">
        <v>0</v>
      </c>
      <c r="J359" s="64" t="str" cm="1">
        <f t="array" ref="J359">_xlfn.IFS(I359=0,"Saturday",I359=1,"Sunday",I359=2,"Monday",I359=3,"Tuesday",I359=4,"Wednesday",I359=5,"Thusday",I359=6,"Friday")</f>
        <v>Saturday</v>
      </c>
      <c r="K359" s="1">
        <v>1</v>
      </c>
      <c r="L359" s="1">
        <v>0.22</v>
      </c>
      <c r="M359" t="str">
        <f t="shared" si="6"/>
        <v>Cloudy</v>
      </c>
    </row>
    <row r="360" spans="1:13" x14ac:dyDescent="0.35">
      <c r="A360" s="1">
        <v>358</v>
      </c>
      <c r="B360" s="3">
        <v>40559</v>
      </c>
      <c r="C360" s="1">
        <v>1</v>
      </c>
      <c r="D360" s="1">
        <v>0</v>
      </c>
      <c r="E360" s="1">
        <v>1</v>
      </c>
      <c r="F360" s="32">
        <v>9</v>
      </c>
      <c r="G360" s="64" t="str" cm="1">
        <f t="array" ref="G360">_xlfn.IFS(AND(F360&gt;=5,F360&lt;12),"Morning",AND(F360&gt;=12,F360&lt;17),"AfterNoon",AND(F360&gt;=17,F360&lt;20),"Evening",TRUE,"Night")</f>
        <v>Morning</v>
      </c>
      <c r="H360" s="1" t="b">
        <v>0</v>
      </c>
      <c r="I360" s="1">
        <v>0</v>
      </c>
      <c r="J360" s="64" t="str" cm="1">
        <f t="array" ref="J360">_xlfn.IFS(I360=0,"Saturday",I360=1,"Sunday",I360=2,"Monday",I360=3,"Tuesday",I360=4,"Wednesday",I360=5,"Thusday",I360=6,"Friday")</f>
        <v>Saturday</v>
      </c>
      <c r="K360" s="1">
        <v>1</v>
      </c>
      <c r="L360" s="1">
        <v>0.22</v>
      </c>
      <c r="M360" t="str">
        <f t="shared" si="6"/>
        <v>Cloudy</v>
      </c>
    </row>
    <row r="361" spans="1:13" x14ac:dyDescent="0.35">
      <c r="A361" s="1">
        <v>359</v>
      </c>
      <c r="B361" s="3">
        <v>40559</v>
      </c>
      <c r="C361" s="1">
        <v>1</v>
      </c>
      <c r="D361" s="1">
        <v>0</v>
      </c>
      <c r="E361" s="1">
        <v>1</v>
      </c>
      <c r="F361" s="32">
        <v>10</v>
      </c>
      <c r="G361" s="64" t="str" cm="1">
        <f t="array" ref="G361">_xlfn.IFS(AND(F361&gt;=5,F361&lt;12),"Morning",AND(F361&gt;=12,F361&lt;17),"AfterNoon",AND(F361&gt;=17,F361&lt;20),"Evening",TRUE,"Night")</f>
        <v>Morning</v>
      </c>
      <c r="H361" s="1" t="b">
        <v>0</v>
      </c>
      <c r="I361" s="1">
        <v>0</v>
      </c>
      <c r="J361" s="64" t="str" cm="1">
        <f t="array" ref="J361">_xlfn.IFS(I361=0,"Saturday",I361=1,"Sunday",I361=2,"Monday",I361=3,"Tuesday",I361=4,"Wednesday",I361=5,"Thusday",I361=6,"Friday")</f>
        <v>Saturday</v>
      </c>
      <c r="K361" s="1">
        <v>1</v>
      </c>
      <c r="L361" s="1">
        <v>0.22</v>
      </c>
      <c r="M361" t="str">
        <f t="shared" si="6"/>
        <v>Cloudy</v>
      </c>
    </row>
    <row r="362" spans="1:13" x14ac:dyDescent="0.35">
      <c r="A362" s="1">
        <v>360</v>
      </c>
      <c r="B362" s="3">
        <v>40559</v>
      </c>
      <c r="C362" s="1">
        <v>1</v>
      </c>
      <c r="D362" s="1">
        <v>0</v>
      </c>
      <c r="E362" s="1">
        <v>1</v>
      </c>
      <c r="F362" s="32">
        <v>11</v>
      </c>
      <c r="G362" s="64" t="str" cm="1">
        <f t="array" ref="G362">_xlfn.IFS(AND(F362&gt;=5,F362&lt;12),"Morning",AND(F362&gt;=12,F362&lt;17),"AfterNoon",AND(F362&gt;=17,F362&lt;20),"Evening",TRUE,"Night")</f>
        <v>Morning</v>
      </c>
      <c r="H362" s="1" t="b">
        <v>0</v>
      </c>
      <c r="I362" s="1">
        <v>0</v>
      </c>
      <c r="J362" s="64" t="str" cm="1">
        <f t="array" ref="J362">_xlfn.IFS(I362=0,"Saturday",I362=1,"Sunday",I362=2,"Monday",I362=3,"Tuesday",I362=4,"Wednesday",I362=5,"Thusday",I362=6,"Friday")</f>
        <v>Saturday</v>
      </c>
      <c r="K362" s="1">
        <v>1</v>
      </c>
      <c r="L362" s="1">
        <v>0.24</v>
      </c>
      <c r="M362" t="str">
        <f t="shared" si="6"/>
        <v>Cloudy</v>
      </c>
    </row>
    <row r="363" spans="1:13" x14ac:dyDescent="0.35">
      <c r="A363" s="1">
        <v>361</v>
      </c>
      <c r="B363" s="3">
        <v>40559</v>
      </c>
      <c r="C363" s="1">
        <v>1</v>
      </c>
      <c r="D363" s="1">
        <v>0</v>
      </c>
      <c r="E363" s="1">
        <v>1</v>
      </c>
      <c r="F363" s="32">
        <v>12</v>
      </c>
      <c r="G363" s="64" t="str" cm="1">
        <f t="array" ref="G363">_xlfn.IFS(AND(F363&gt;=5,F363&lt;12),"Morning",AND(F363&gt;=12,F363&lt;17),"AfterNoon",AND(F363&gt;=17,F363&lt;20),"Evening",TRUE,"Night")</f>
        <v>AfterNoon</v>
      </c>
      <c r="H363" s="1" t="b">
        <v>0</v>
      </c>
      <c r="I363" s="1">
        <v>0</v>
      </c>
      <c r="J363" s="64" t="str" cm="1">
        <f t="array" ref="J363">_xlfn.IFS(I363=0,"Saturday",I363=1,"Sunday",I363=2,"Monday",I363=3,"Tuesday",I363=4,"Wednesday",I363=5,"Thusday",I363=6,"Friday")</f>
        <v>Saturday</v>
      </c>
      <c r="K363" s="1">
        <v>1</v>
      </c>
      <c r="L363" s="1">
        <v>0.24</v>
      </c>
      <c r="M363" t="str">
        <f t="shared" si="6"/>
        <v>Cloudy</v>
      </c>
    </row>
    <row r="364" spans="1:13" x14ac:dyDescent="0.35">
      <c r="A364" s="1">
        <v>362</v>
      </c>
      <c r="B364" s="3">
        <v>40559</v>
      </c>
      <c r="C364" s="1">
        <v>1</v>
      </c>
      <c r="D364" s="1">
        <v>0</v>
      </c>
      <c r="E364" s="1">
        <v>1</v>
      </c>
      <c r="F364" s="32">
        <v>13</v>
      </c>
      <c r="G364" s="64" t="str" cm="1">
        <f t="array" ref="G364">_xlfn.IFS(AND(F364&gt;=5,F364&lt;12),"Morning",AND(F364&gt;=12,F364&lt;17),"AfterNoon",AND(F364&gt;=17,F364&lt;20),"Evening",TRUE,"Night")</f>
        <v>AfterNoon</v>
      </c>
      <c r="H364" s="1" t="b">
        <v>0</v>
      </c>
      <c r="I364" s="1">
        <v>0</v>
      </c>
      <c r="J364" s="64" t="str" cm="1">
        <f t="array" ref="J364">_xlfn.IFS(I364=0,"Saturday",I364=1,"Sunday",I364=2,"Monday",I364=3,"Tuesday",I364=4,"Wednesday",I364=5,"Thusday",I364=6,"Friday")</f>
        <v>Saturday</v>
      </c>
      <c r="K364" s="1">
        <v>1</v>
      </c>
      <c r="L364" s="1">
        <v>0.26</v>
      </c>
      <c r="M364" t="str">
        <f t="shared" si="6"/>
        <v>Cloudy</v>
      </c>
    </row>
    <row r="365" spans="1:13" x14ac:dyDescent="0.35">
      <c r="A365" s="1">
        <v>363</v>
      </c>
      <c r="B365" s="3">
        <v>40559</v>
      </c>
      <c r="C365" s="1">
        <v>1</v>
      </c>
      <c r="D365" s="1">
        <v>0</v>
      </c>
      <c r="E365" s="1">
        <v>1</v>
      </c>
      <c r="F365" s="32">
        <v>14</v>
      </c>
      <c r="G365" s="64" t="str" cm="1">
        <f t="array" ref="G365">_xlfn.IFS(AND(F365&gt;=5,F365&lt;12),"Morning",AND(F365&gt;=12,F365&lt;17),"AfterNoon",AND(F365&gt;=17,F365&lt;20),"Evening",TRUE,"Night")</f>
        <v>AfterNoon</v>
      </c>
      <c r="H365" s="1" t="b">
        <v>0</v>
      </c>
      <c r="I365" s="1">
        <v>0</v>
      </c>
      <c r="J365" s="64" t="str" cm="1">
        <f t="array" ref="J365">_xlfn.IFS(I365=0,"Saturday",I365=1,"Sunday",I365=2,"Monday",I365=3,"Tuesday",I365=4,"Wednesday",I365=5,"Thusday",I365=6,"Friday")</f>
        <v>Saturday</v>
      </c>
      <c r="K365" s="1">
        <v>1</v>
      </c>
      <c r="L365" s="1">
        <v>0.28000000000000003</v>
      </c>
      <c r="M365" t="str">
        <f t="shared" si="6"/>
        <v>Cloudy</v>
      </c>
    </row>
    <row r="366" spans="1:13" x14ac:dyDescent="0.35">
      <c r="A366" s="1">
        <v>364</v>
      </c>
      <c r="B366" s="3">
        <v>40559</v>
      </c>
      <c r="C366" s="1">
        <v>1</v>
      </c>
      <c r="D366" s="1">
        <v>0</v>
      </c>
      <c r="E366" s="1">
        <v>1</v>
      </c>
      <c r="F366" s="32">
        <v>15</v>
      </c>
      <c r="G366" s="64" t="str" cm="1">
        <f t="array" ref="G366">_xlfn.IFS(AND(F366&gt;=5,F366&lt;12),"Morning",AND(F366&gt;=12,F366&lt;17),"AfterNoon",AND(F366&gt;=17,F366&lt;20),"Evening",TRUE,"Night")</f>
        <v>AfterNoon</v>
      </c>
      <c r="H366" s="1" t="b">
        <v>0</v>
      </c>
      <c r="I366" s="1">
        <v>0</v>
      </c>
      <c r="J366" s="64" t="str" cm="1">
        <f t="array" ref="J366">_xlfn.IFS(I366=0,"Saturday",I366=1,"Sunday",I366=2,"Monday",I366=3,"Tuesday",I366=4,"Wednesday",I366=5,"Thusday",I366=6,"Friday")</f>
        <v>Saturday</v>
      </c>
      <c r="K366" s="1">
        <v>1</v>
      </c>
      <c r="L366" s="1">
        <v>0.26</v>
      </c>
      <c r="M366" t="str">
        <f t="shared" si="6"/>
        <v>Cloudy</v>
      </c>
    </row>
    <row r="367" spans="1:13" x14ac:dyDescent="0.35">
      <c r="A367" s="1">
        <v>365</v>
      </c>
      <c r="B367" s="3">
        <v>40559</v>
      </c>
      <c r="C367" s="1">
        <v>1</v>
      </c>
      <c r="D367" s="1">
        <v>0</v>
      </c>
      <c r="E367" s="1">
        <v>1</v>
      </c>
      <c r="F367" s="32">
        <v>16</v>
      </c>
      <c r="G367" s="64" t="str" cm="1">
        <f t="array" ref="G367">_xlfn.IFS(AND(F367&gt;=5,F367&lt;12),"Morning",AND(F367&gt;=12,F367&lt;17),"AfterNoon",AND(F367&gt;=17,F367&lt;20),"Evening",TRUE,"Night")</f>
        <v>AfterNoon</v>
      </c>
      <c r="H367" s="1" t="b">
        <v>0</v>
      </c>
      <c r="I367" s="1">
        <v>0</v>
      </c>
      <c r="J367" s="64" t="str" cm="1">
        <f t="array" ref="J367">_xlfn.IFS(I367=0,"Saturday",I367=1,"Sunday",I367=2,"Monday",I367=3,"Tuesday",I367=4,"Wednesday",I367=5,"Thusday",I367=6,"Friday")</f>
        <v>Saturday</v>
      </c>
      <c r="K367" s="1">
        <v>1</v>
      </c>
      <c r="L367" s="1">
        <v>0.24</v>
      </c>
      <c r="M367" t="str">
        <f t="shared" si="6"/>
        <v>Cloudy</v>
      </c>
    </row>
    <row r="368" spans="1:13" x14ac:dyDescent="0.35">
      <c r="A368" s="1">
        <v>366</v>
      </c>
      <c r="B368" s="3">
        <v>40559</v>
      </c>
      <c r="C368" s="1">
        <v>1</v>
      </c>
      <c r="D368" s="1">
        <v>0</v>
      </c>
      <c r="E368" s="1">
        <v>1</v>
      </c>
      <c r="F368" s="32">
        <v>17</v>
      </c>
      <c r="G368" s="64" t="str" cm="1">
        <f t="array" ref="G368">_xlfn.IFS(AND(F368&gt;=5,F368&lt;12),"Morning",AND(F368&gt;=12,F368&lt;17),"AfterNoon",AND(F368&gt;=17,F368&lt;20),"Evening",TRUE,"Night")</f>
        <v>Evening</v>
      </c>
      <c r="H368" s="1" t="b">
        <v>0</v>
      </c>
      <c r="I368" s="1">
        <v>0</v>
      </c>
      <c r="J368" s="64" t="str" cm="1">
        <f t="array" ref="J368">_xlfn.IFS(I368=0,"Saturday",I368=1,"Sunday",I368=2,"Monday",I368=3,"Tuesday",I368=4,"Wednesday",I368=5,"Thusday",I368=6,"Friday")</f>
        <v>Saturday</v>
      </c>
      <c r="K368" s="1">
        <v>1</v>
      </c>
      <c r="L368" s="1">
        <v>0.22</v>
      </c>
      <c r="M368" t="str">
        <f t="shared" si="6"/>
        <v>Cloudy</v>
      </c>
    </row>
    <row r="369" spans="1:13" x14ac:dyDescent="0.35">
      <c r="A369" s="1">
        <v>367</v>
      </c>
      <c r="B369" s="3">
        <v>40559</v>
      </c>
      <c r="C369" s="1">
        <v>1</v>
      </c>
      <c r="D369" s="1">
        <v>0</v>
      </c>
      <c r="E369" s="1">
        <v>1</v>
      </c>
      <c r="F369" s="32">
        <v>18</v>
      </c>
      <c r="G369" s="64" t="str" cm="1">
        <f t="array" ref="G369">_xlfn.IFS(AND(F369&gt;=5,F369&lt;12),"Morning",AND(F369&gt;=12,F369&lt;17),"AfterNoon",AND(F369&gt;=17,F369&lt;20),"Evening",TRUE,"Night")</f>
        <v>Evening</v>
      </c>
      <c r="H369" s="1" t="b">
        <v>0</v>
      </c>
      <c r="I369" s="1">
        <v>0</v>
      </c>
      <c r="J369" s="64" t="str" cm="1">
        <f t="array" ref="J369">_xlfn.IFS(I369=0,"Saturday",I369=1,"Sunday",I369=2,"Monday",I369=3,"Tuesday",I369=4,"Wednesday",I369=5,"Thusday",I369=6,"Friday")</f>
        <v>Saturday</v>
      </c>
      <c r="K369" s="1">
        <v>1</v>
      </c>
      <c r="L369" s="1">
        <v>0.2</v>
      </c>
      <c r="M369" t="str">
        <f t="shared" si="6"/>
        <v>Rainy</v>
      </c>
    </row>
    <row r="370" spans="1:13" x14ac:dyDescent="0.35">
      <c r="A370" s="1">
        <v>368</v>
      </c>
      <c r="B370" s="3">
        <v>40559</v>
      </c>
      <c r="C370" s="1">
        <v>1</v>
      </c>
      <c r="D370" s="1">
        <v>0</v>
      </c>
      <c r="E370" s="1">
        <v>1</v>
      </c>
      <c r="F370" s="32">
        <v>19</v>
      </c>
      <c r="G370" s="64" t="str" cm="1">
        <f t="array" ref="G370">_xlfn.IFS(AND(F370&gt;=5,F370&lt;12),"Morning",AND(F370&gt;=12,F370&lt;17),"AfterNoon",AND(F370&gt;=17,F370&lt;20),"Evening",TRUE,"Night")</f>
        <v>Evening</v>
      </c>
      <c r="H370" s="1" t="b">
        <v>0</v>
      </c>
      <c r="I370" s="1">
        <v>0</v>
      </c>
      <c r="J370" s="64" t="str" cm="1">
        <f t="array" ref="J370">_xlfn.IFS(I370=0,"Saturday",I370=1,"Sunday",I370=2,"Monday",I370=3,"Tuesday",I370=4,"Wednesday",I370=5,"Thusday",I370=6,"Friday")</f>
        <v>Saturday</v>
      </c>
      <c r="K370" s="1">
        <v>1</v>
      </c>
      <c r="L370" s="1">
        <v>0.18</v>
      </c>
      <c r="M370" t="str">
        <f t="shared" si="6"/>
        <v>Rainy</v>
      </c>
    </row>
    <row r="371" spans="1:13" x14ac:dyDescent="0.35">
      <c r="A371" s="1">
        <v>369</v>
      </c>
      <c r="B371" s="3">
        <v>40559</v>
      </c>
      <c r="C371" s="1">
        <v>1</v>
      </c>
      <c r="D371" s="1">
        <v>0</v>
      </c>
      <c r="E371" s="1">
        <v>1</v>
      </c>
      <c r="F371" s="32">
        <v>20</v>
      </c>
      <c r="G371" s="64" t="str" cm="1">
        <f t="array" ref="G371">_xlfn.IFS(AND(F371&gt;=5,F371&lt;12),"Morning",AND(F371&gt;=12,F371&lt;17),"AfterNoon",AND(F371&gt;=17,F371&lt;20),"Evening",TRUE,"Night")</f>
        <v>Night</v>
      </c>
      <c r="H371" s="1" t="b">
        <v>0</v>
      </c>
      <c r="I371" s="1">
        <v>0</v>
      </c>
      <c r="J371" s="64" t="str" cm="1">
        <f t="array" ref="J371">_xlfn.IFS(I371=0,"Saturday",I371=1,"Sunday",I371=2,"Monday",I371=3,"Tuesday",I371=4,"Wednesday",I371=5,"Thusday",I371=6,"Friday")</f>
        <v>Saturday</v>
      </c>
      <c r="K371" s="1">
        <v>1</v>
      </c>
      <c r="L371" s="1">
        <v>0.18</v>
      </c>
      <c r="M371" t="str">
        <f t="shared" si="6"/>
        <v>Rainy</v>
      </c>
    </row>
    <row r="372" spans="1:13" x14ac:dyDescent="0.35">
      <c r="A372" s="1">
        <v>370</v>
      </c>
      <c r="B372" s="3">
        <v>40559</v>
      </c>
      <c r="C372" s="1">
        <v>1</v>
      </c>
      <c r="D372" s="1">
        <v>0</v>
      </c>
      <c r="E372" s="1">
        <v>1</v>
      </c>
      <c r="F372" s="32">
        <v>21</v>
      </c>
      <c r="G372" s="64" t="str" cm="1">
        <f t="array" ref="G372">_xlfn.IFS(AND(F372&gt;=5,F372&lt;12),"Morning",AND(F372&gt;=12,F372&lt;17),"AfterNoon",AND(F372&gt;=17,F372&lt;20),"Evening",TRUE,"Night")</f>
        <v>Night</v>
      </c>
      <c r="H372" s="1" t="b">
        <v>0</v>
      </c>
      <c r="I372" s="1">
        <v>0</v>
      </c>
      <c r="J372" s="64" t="str" cm="1">
        <f t="array" ref="J372">_xlfn.IFS(I372=0,"Saturday",I372=1,"Sunday",I372=2,"Monday",I372=3,"Tuesday",I372=4,"Wednesday",I372=5,"Thusday",I372=6,"Friday")</f>
        <v>Saturday</v>
      </c>
      <c r="K372" s="1">
        <v>1</v>
      </c>
      <c r="L372" s="1">
        <v>0.18</v>
      </c>
      <c r="M372" t="str">
        <f t="shared" si="6"/>
        <v>Rainy</v>
      </c>
    </row>
    <row r="373" spans="1:13" x14ac:dyDescent="0.35">
      <c r="A373" s="1">
        <v>371</v>
      </c>
      <c r="B373" s="3">
        <v>40559</v>
      </c>
      <c r="C373" s="1">
        <v>1</v>
      </c>
      <c r="D373" s="1">
        <v>0</v>
      </c>
      <c r="E373" s="1">
        <v>1</v>
      </c>
      <c r="F373" s="32">
        <v>22</v>
      </c>
      <c r="G373" s="64" t="str" cm="1">
        <f t="array" ref="G373">_xlfn.IFS(AND(F373&gt;=5,F373&lt;12),"Morning",AND(F373&gt;=12,F373&lt;17),"AfterNoon",AND(F373&gt;=17,F373&lt;20),"Evening",TRUE,"Night")</f>
        <v>Night</v>
      </c>
      <c r="H373" s="1" t="b">
        <v>0</v>
      </c>
      <c r="I373" s="1">
        <v>0</v>
      </c>
      <c r="J373" s="64" t="str" cm="1">
        <f t="array" ref="J373">_xlfn.IFS(I373=0,"Saturday",I373=1,"Sunday",I373=2,"Monday",I373=3,"Tuesday",I373=4,"Wednesday",I373=5,"Thusday",I373=6,"Friday")</f>
        <v>Saturday</v>
      </c>
      <c r="K373" s="1">
        <v>2</v>
      </c>
      <c r="L373" s="1">
        <v>0.2</v>
      </c>
      <c r="M373" t="str">
        <f t="shared" si="6"/>
        <v>Rainy</v>
      </c>
    </row>
    <row r="374" spans="1:13" x14ac:dyDescent="0.35">
      <c r="A374" s="1">
        <v>372</v>
      </c>
      <c r="B374" s="3">
        <v>40559</v>
      </c>
      <c r="C374" s="1">
        <v>1</v>
      </c>
      <c r="D374" s="1">
        <v>0</v>
      </c>
      <c r="E374" s="1">
        <v>1</v>
      </c>
      <c r="F374" s="32">
        <v>23</v>
      </c>
      <c r="G374" s="64" t="str" cm="1">
        <f t="array" ref="G374">_xlfn.IFS(AND(F374&gt;=5,F374&lt;12),"Morning",AND(F374&gt;=12,F374&lt;17),"AfterNoon",AND(F374&gt;=17,F374&lt;20),"Evening",TRUE,"Night")</f>
        <v>Night</v>
      </c>
      <c r="H374" s="1" t="b">
        <v>0</v>
      </c>
      <c r="I374" s="1">
        <v>0</v>
      </c>
      <c r="J374" s="64" t="str" cm="1">
        <f t="array" ref="J374">_xlfn.IFS(I374=0,"Saturday",I374=1,"Sunday",I374=2,"Monday",I374=3,"Tuesday",I374=4,"Wednesday",I374=5,"Thusday",I374=6,"Friday")</f>
        <v>Saturday</v>
      </c>
      <c r="K374" s="1">
        <v>2</v>
      </c>
      <c r="L374" s="1">
        <v>0.2</v>
      </c>
      <c r="M374" t="str">
        <f t="shared" si="6"/>
        <v>Rainy</v>
      </c>
    </row>
    <row r="375" spans="1:13" x14ac:dyDescent="0.35">
      <c r="A375" s="1">
        <v>373</v>
      </c>
      <c r="B375" s="3">
        <v>40560</v>
      </c>
      <c r="C375" s="1">
        <v>1</v>
      </c>
      <c r="D375" s="1">
        <v>0</v>
      </c>
      <c r="E375" s="1">
        <v>1</v>
      </c>
      <c r="F375" s="32">
        <v>0</v>
      </c>
      <c r="G375" s="64" t="str" cm="1">
        <f t="array" ref="G375">_xlfn.IFS(AND(F375&gt;=5,F375&lt;12),"Morning",AND(F375&gt;=12,F375&lt;17),"AfterNoon",AND(F375&gt;=17,F375&lt;20),"Evening",TRUE,"Night")</f>
        <v>Night</v>
      </c>
      <c r="H375" s="1" t="b">
        <v>1</v>
      </c>
      <c r="I375" s="1">
        <v>1</v>
      </c>
      <c r="J375" s="64" t="str" cm="1">
        <f t="array" ref="J375">_xlfn.IFS(I375=0,"Saturday",I375=1,"Sunday",I375=2,"Monday",I375=3,"Tuesday",I375=4,"Wednesday",I375=5,"Thusday",I375=6,"Friday")</f>
        <v>Sunday</v>
      </c>
      <c r="K375" s="1">
        <v>2</v>
      </c>
      <c r="L375" s="1">
        <v>0.2</v>
      </c>
      <c r="M375" t="str">
        <f t="shared" si="6"/>
        <v>Rainy</v>
      </c>
    </row>
    <row r="376" spans="1:13" x14ac:dyDescent="0.35">
      <c r="A376" s="1">
        <v>374</v>
      </c>
      <c r="B376" s="3">
        <v>40560</v>
      </c>
      <c r="C376" s="1">
        <v>1</v>
      </c>
      <c r="D376" s="1">
        <v>0</v>
      </c>
      <c r="E376" s="1">
        <v>1</v>
      </c>
      <c r="F376" s="32">
        <v>1</v>
      </c>
      <c r="G376" s="64" t="str" cm="1">
        <f t="array" ref="G376">_xlfn.IFS(AND(F376&gt;=5,F376&lt;12),"Morning",AND(F376&gt;=12,F376&lt;17),"AfterNoon",AND(F376&gt;=17,F376&lt;20),"Evening",TRUE,"Night")</f>
        <v>Night</v>
      </c>
      <c r="H376" s="1" t="b">
        <v>1</v>
      </c>
      <c r="I376" s="1">
        <v>1</v>
      </c>
      <c r="J376" s="64" t="str" cm="1">
        <f t="array" ref="J376">_xlfn.IFS(I376=0,"Saturday",I376=1,"Sunday",I376=2,"Monday",I376=3,"Tuesday",I376=4,"Wednesday",I376=5,"Thusday",I376=6,"Friday")</f>
        <v>Sunday</v>
      </c>
      <c r="K376" s="1">
        <v>2</v>
      </c>
      <c r="L376" s="1">
        <v>0.2</v>
      </c>
      <c r="M376" t="str">
        <f t="shared" si="6"/>
        <v>Rainy</v>
      </c>
    </row>
    <row r="377" spans="1:13" x14ac:dyDescent="0.35">
      <c r="A377" s="1">
        <v>375</v>
      </c>
      <c r="B377" s="3">
        <v>40560</v>
      </c>
      <c r="C377" s="1">
        <v>1</v>
      </c>
      <c r="D377" s="1">
        <v>0</v>
      </c>
      <c r="E377" s="1">
        <v>1</v>
      </c>
      <c r="F377" s="32">
        <v>2</v>
      </c>
      <c r="G377" s="64" t="str" cm="1">
        <f t="array" ref="G377">_xlfn.IFS(AND(F377&gt;=5,F377&lt;12),"Morning",AND(F377&gt;=12,F377&lt;17),"AfterNoon",AND(F377&gt;=17,F377&lt;20),"Evening",TRUE,"Night")</f>
        <v>Night</v>
      </c>
      <c r="H377" s="1" t="b">
        <v>1</v>
      </c>
      <c r="I377" s="1">
        <v>1</v>
      </c>
      <c r="J377" s="64" t="str" cm="1">
        <f t="array" ref="J377">_xlfn.IFS(I377=0,"Saturday",I377=1,"Sunday",I377=2,"Monday",I377=3,"Tuesday",I377=4,"Wednesday",I377=5,"Thusday",I377=6,"Friday")</f>
        <v>Sunday</v>
      </c>
      <c r="K377" s="1">
        <v>2</v>
      </c>
      <c r="L377" s="1">
        <v>0.18</v>
      </c>
      <c r="M377" t="str">
        <f t="shared" si="6"/>
        <v>Rainy</v>
      </c>
    </row>
    <row r="378" spans="1:13" x14ac:dyDescent="0.35">
      <c r="A378" s="1">
        <v>376</v>
      </c>
      <c r="B378" s="3">
        <v>40560</v>
      </c>
      <c r="C378" s="1">
        <v>1</v>
      </c>
      <c r="D378" s="1">
        <v>0</v>
      </c>
      <c r="E378" s="1">
        <v>1</v>
      </c>
      <c r="F378" s="32">
        <v>3</v>
      </c>
      <c r="G378" s="64" t="str" cm="1">
        <f t="array" ref="G378">_xlfn.IFS(AND(F378&gt;=5,F378&lt;12),"Morning",AND(F378&gt;=12,F378&lt;17),"AfterNoon",AND(F378&gt;=17,F378&lt;20),"Evening",TRUE,"Night")</f>
        <v>Night</v>
      </c>
      <c r="H378" s="1" t="b">
        <v>1</v>
      </c>
      <c r="I378" s="1">
        <v>1</v>
      </c>
      <c r="J378" s="64" t="str" cm="1">
        <f t="array" ref="J378">_xlfn.IFS(I378=0,"Saturday",I378=1,"Sunday",I378=2,"Monday",I378=3,"Tuesday",I378=4,"Wednesday",I378=5,"Thusday",I378=6,"Friday")</f>
        <v>Sunday</v>
      </c>
      <c r="K378" s="1">
        <v>2</v>
      </c>
      <c r="L378" s="1">
        <v>0.18</v>
      </c>
      <c r="M378" t="str">
        <f t="shared" si="6"/>
        <v>Rainy</v>
      </c>
    </row>
    <row r="379" spans="1:13" x14ac:dyDescent="0.35">
      <c r="A379" s="1">
        <v>377</v>
      </c>
      <c r="B379" s="3">
        <v>40560</v>
      </c>
      <c r="C379" s="1">
        <v>1</v>
      </c>
      <c r="D379" s="1">
        <v>0</v>
      </c>
      <c r="E379" s="1">
        <v>1</v>
      </c>
      <c r="F379" s="32">
        <v>4</v>
      </c>
      <c r="G379" s="64" t="str" cm="1">
        <f t="array" ref="G379">_xlfn.IFS(AND(F379&gt;=5,F379&lt;12),"Morning",AND(F379&gt;=12,F379&lt;17),"AfterNoon",AND(F379&gt;=17,F379&lt;20),"Evening",TRUE,"Night")</f>
        <v>Night</v>
      </c>
      <c r="H379" s="1" t="b">
        <v>1</v>
      </c>
      <c r="I379" s="1">
        <v>1</v>
      </c>
      <c r="J379" s="64" t="str" cm="1">
        <f t="array" ref="J379">_xlfn.IFS(I379=0,"Saturday",I379=1,"Sunday",I379=2,"Monday",I379=3,"Tuesday",I379=4,"Wednesday",I379=5,"Thusday",I379=6,"Friday")</f>
        <v>Sunday</v>
      </c>
      <c r="K379" s="1">
        <v>2</v>
      </c>
      <c r="L379" s="1">
        <v>0.18</v>
      </c>
      <c r="M379" t="str">
        <f t="shared" si="6"/>
        <v>Rainy</v>
      </c>
    </row>
    <row r="380" spans="1:13" x14ac:dyDescent="0.35">
      <c r="A380" s="1">
        <v>378</v>
      </c>
      <c r="B380" s="3">
        <v>40560</v>
      </c>
      <c r="C380" s="1">
        <v>1</v>
      </c>
      <c r="D380" s="1">
        <v>0</v>
      </c>
      <c r="E380" s="1">
        <v>1</v>
      </c>
      <c r="F380" s="32">
        <v>5</v>
      </c>
      <c r="G380" s="64" t="str" cm="1">
        <f t="array" ref="G380">_xlfn.IFS(AND(F380&gt;=5,F380&lt;12),"Morning",AND(F380&gt;=12,F380&lt;17),"AfterNoon",AND(F380&gt;=17,F380&lt;20),"Evening",TRUE,"Night")</f>
        <v>Morning</v>
      </c>
      <c r="H380" s="1" t="b">
        <v>1</v>
      </c>
      <c r="I380" s="1">
        <v>1</v>
      </c>
      <c r="J380" s="64" t="str" cm="1">
        <f t="array" ref="J380">_xlfn.IFS(I380=0,"Saturday",I380=1,"Sunday",I380=2,"Monday",I380=3,"Tuesday",I380=4,"Wednesday",I380=5,"Thusday",I380=6,"Friday")</f>
        <v>Sunday</v>
      </c>
      <c r="K380" s="1">
        <v>2</v>
      </c>
      <c r="L380" s="1">
        <v>0.18</v>
      </c>
      <c r="M380" t="str">
        <f t="shared" si="6"/>
        <v>Rainy</v>
      </c>
    </row>
    <row r="381" spans="1:13" x14ac:dyDescent="0.35">
      <c r="A381" s="1">
        <v>379</v>
      </c>
      <c r="B381" s="3">
        <v>40560</v>
      </c>
      <c r="C381" s="1">
        <v>1</v>
      </c>
      <c r="D381" s="1">
        <v>0</v>
      </c>
      <c r="E381" s="1">
        <v>1</v>
      </c>
      <c r="F381" s="32">
        <v>6</v>
      </c>
      <c r="G381" s="64" t="str" cm="1">
        <f t="array" ref="G381">_xlfn.IFS(AND(F381&gt;=5,F381&lt;12),"Morning",AND(F381&gt;=12,F381&lt;17),"AfterNoon",AND(F381&gt;=17,F381&lt;20),"Evening",TRUE,"Night")</f>
        <v>Morning</v>
      </c>
      <c r="H381" s="1" t="b">
        <v>1</v>
      </c>
      <c r="I381" s="1">
        <v>1</v>
      </c>
      <c r="J381" s="64" t="str" cm="1">
        <f t="array" ref="J381">_xlfn.IFS(I381=0,"Saturday",I381=1,"Sunday",I381=2,"Monday",I381=3,"Tuesday",I381=4,"Wednesday",I381=5,"Thusday",I381=6,"Friday")</f>
        <v>Sunday</v>
      </c>
      <c r="K381" s="1">
        <v>2</v>
      </c>
      <c r="L381" s="1">
        <v>0.18</v>
      </c>
      <c r="M381" t="str">
        <f t="shared" si="6"/>
        <v>Rainy</v>
      </c>
    </row>
    <row r="382" spans="1:13" x14ac:dyDescent="0.35">
      <c r="A382" s="1">
        <v>380</v>
      </c>
      <c r="B382" s="3">
        <v>40560</v>
      </c>
      <c r="C382" s="1">
        <v>1</v>
      </c>
      <c r="D382" s="1">
        <v>0</v>
      </c>
      <c r="E382" s="1">
        <v>1</v>
      </c>
      <c r="F382" s="32">
        <v>7</v>
      </c>
      <c r="G382" s="64" t="str" cm="1">
        <f t="array" ref="G382">_xlfn.IFS(AND(F382&gt;=5,F382&lt;12),"Morning",AND(F382&gt;=12,F382&lt;17),"AfterNoon",AND(F382&gt;=17,F382&lt;20),"Evening",TRUE,"Night")</f>
        <v>Morning</v>
      </c>
      <c r="H382" s="1" t="b">
        <v>1</v>
      </c>
      <c r="I382" s="1">
        <v>1</v>
      </c>
      <c r="J382" s="64" t="str" cm="1">
        <f t="array" ref="J382">_xlfn.IFS(I382=0,"Saturday",I382=1,"Sunday",I382=2,"Monday",I382=3,"Tuesday",I382=4,"Wednesday",I382=5,"Thusday",I382=6,"Friday")</f>
        <v>Sunday</v>
      </c>
      <c r="K382" s="1">
        <v>2</v>
      </c>
      <c r="L382" s="1">
        <v>0.16</v>
      </c>
      <c r="M382" t="str">
        <f t="shared" si="6"/>
        <v>Rainy</v>
      </c>
    </row>
    <row r="383" spans="1:13" x14ac:dyDescent="0.35">
      <c r="A383" s="1">
        <v>381</v>
      </c>
      <c r="B383" s="3">
        <v>40560</v>
      </c>
      <c r="C383" s="1">
        <v>1</v>
      </c>
      <c r="D383" s="1">
        <v>0</v>
      </c>
      <c r="E383" s="1">
        <v>1</v>
      </c>
      <c r="F383" s="32">
        <v>8</v>
      </c>
      <c r="G383" s="64" t="str" cm="1">
        <f t="array" ref="G383">_xlfn.IFS(AND(F383&gt;=5,F383&lt;12),"Morning",AND(F383&gt;=12,F383&lt;17),"AfterNoon",AND(F383&gt;=17,F383&lt;20),"Evening",TRUE,"Night")</f>
        <v>Morning</v>
      </c>
      <c r="H383" s="1" t="b">
        <v>1</v>
      </c>
      <c r="I383" s="1">
        <v>1</v>
      </c>
      <c r="J383" s="64" t="str" cm="1">
        <f t="array" ref="J383">_xlfn.IFS(I383=0,"Saturday",I383=1,"Sunday",I383=2,"Monday",I383=3,"Tuesday",I383=4,"Wednesday",I383=5,"Thusday",I383=6,"Friday")</f>
        <v>Sunday</v>
      </c>
      <c r="K383" s="1">
        <v>2</v>
      </c>
      <c r="L383" s="1">
        <v>0.16</v>
      </c>
      <c r="M383" t="str">
        <f t="shared" si="6"/>
        <v>Rainy</v>
      </c>
    </row>
    <row r="384" spans="1:13" x14ac:dyDescent="0.35">
      <c r="A384" s="1">
        <v>382</v>
      </c>
      <c r="B384" s="3">
        <v>40560</v>
      </c>
      <c r="C384" s="1">
        <v>1</v>
      </c>
      <c r="D384" s="1">
        <v>0</v>
      </c>
      <c r="E384" s="1">
        <v>1</v>
      </c>
      <c r="F384" s="32">
        <v>9</v>
      </c>
      <c r="G384" s="64" t="str" cm="1">
        <f t="array" ref="G384">_xlfn.IFS(AND(F384&gt;=5,F384&lt;12),"Morning",AND(F384&gt;=12,F384&lt;17),"AfterNoon",AND(F384&gt;=17,F384&lt;20),"Evening",TRUE,"Night")</f>
        <v>Morning</v>
      </c>
      <c r="H384" s="1" t="b">
        <v>1</v>
      </c>
      <c r="I384" s="1">
        <v>1</v>
      </c>
      <c r="J384" s="64" t="str" cm="1">
        <f t="array" ref="J384">_xlfn.IFS(I384=0,"Saturday",I384=1,"Sunday",I384=2,"Monday",I384=3,"Tuesday",I384=4,"Wednesday",I384=5,"Thusday",I384=6,"Friday")</f>
        <v>Sunday</v>
      </c>
      <c r="K384" s="1">
        <v>2</v>
      </c>
      <c r="L384" s="1">
        <v>0.16</v>
      </c>
      <c r="M384" t="str">
        <f t="shared" si="6"/>
        <v>Rainy</v>
      </c>
    </row>
    <row r="385" spans="1:13" x14ac:dyDescent="0.35">
      <c r="A385" s="1">
        <v>383</v>
      </c>
      <c r="B385" s="3">
        <v>40560</v>
      </c>
      <c r="C385" s="1">
        <v>1</v>
      </c>
      <c r="D385" s="1">
        <v>0</v>
      </c>
      <c r="E385" s="1">
        <v>1</v>
      </c>
      <c r="F385" s="32">
        <v>10</v>
      </c>
      <c r="G385" s="64" t="str" cm="1">
        <f t="array" ref="G385">_xlfn.IFS(AND(F385&gt;=5,F385&lt;12),"Morning",AND(F385&gt;=12,F385&lt;17),"AfterNoon",AND(F385&gt;=17,F385&lt;20),"Evening",TRUE,"Night")</f>
        <v>Morning</v>
      </c>
      <c r="H385" s="1" t="b">
        <v>1</v>
      </c>
      <c r="I385" s="1">
        <v>1</v>
      </c>
      <c r="J385" s="64" t="str" cm="1">
        <f t="array" ref="J385">_xlfn.IFS(I385=0,"Saturday",I385=1,"Sunday",I385=2,"Monday",I385=3,"Tuesday",I385=4,"Wednesday",I385=5,"Thusday",I385=6,"Friday")</f>
        <v>Sunday</v>
      </c>
      <c r="K385" s="1">
        <v>2</v>
      </c>
      <c r="L385" s="1">
        <v>0.16</v>
      </c>
      <c r="M385" t="str">
        <f t="shared" si="6"/>
        <v>Rainy</v>
      </c>
    </row>
    <row r="386" spans="1:13" x14ac:dyDescent="0.35">
      <c r="A386" s="1">
        <v>384</v>
      </c>
      <c r="B386" s="3">
        <v>40560</v>
      </c>
      <c r="C386" s="1">
        <v>1</v>
      </c>
      <c r="D386" s="1">
        <v>0</v>
      </c>
      <c r="E386" s="1">
        <v>1</v>
      </c>
      <c r="F386" s="32">
        <v>11</v>
      </c>
      <c r="G386" s="64" t="str" cm="1">
        <f t="array" ref="G386">_xlfn.IFS(AND(F386&gt;=5,F386&lt;12),"Morning",AND(F386&gt;=12,F386&lt;17),"AfterNoon",AND(F386&gt;=17,F386&lt;20),"Evening",TRUE,"Night")</f>
        <v>Morning</v>
      </c>
      <c r="H386" s="1" t="b">
        <v>1</v>
      </c>
      <c r="I386" s="1">
        <v>1</v>
      </c>
      <c r="J386" s="64" t="str" cm="1">
        <f t="array" ref="J386">_xlfn.IFS(I386=0,"Saturday",I386=1,"Sunday",I386=2,"Monday",I386=3,"Tuesday",I386=4,"Wednesday",I386=5,"Thusday",I386=6,"Friday")</f>
        <v>Sunday</v>
      </c>
      <c r="K386" s="1">
        <v>2</v>
      </c>
      <c r="L386" s="1">
        <v>0.16</v>
      </c>
      <c r="M386" t="str">
        <f t="shared" si="6"/>
        <v>Rainy</v>
      </c>
    </row>
    <row r="387" spans="1:13" x14ac:dyDescent="0.35">
      <c r="A387" s="1">
        <v>385</v>
      </c>
      <c r="B387" s="3">
        <v>40560</v>
      </c>
      <c r="C387" s="1">
        <v>1</v>
      </c>
      <c r="D387" s="1">
        <v>0</v>
      </c>
      <c r="E387" s="1">
        <v>1</v>
      </c>
      <c r="F387" s="32">
        <v>12</v>
      </c>
      <c r="G387" s="64" t="str" cm="1">
        <f t="array" ref="G387">_xlfn.IFS(AND(F387&gt;=5,F387&lt;12),"Morning",AND(F387&gt;=12,F387&lt;17),"AfterNoon",AND(F387&gt;=17,F387&lt;20),"Evening",TRUE,"Night")</f>
        <v>AfterNoon</v>
      </c>
      <c r="H387" s="1" t="b">
        <v>1</v>
      </c>
      <c r="I387" s="1">
        <v>1</v>
      </c>
      <c r="J387" s="64" t="str" cm="1">
        <f t="array" ref="J387">_xlfn.IFS(I387=0,"Saturday",I387=1,"Sunday",I387=2,"Monday",I387=3,"Tuesday",I387=4,"Wednesday",I387=5,"Thusday",I387=6,"Friday")</f>
        <v>Sunday</v>
      </c>
      <c r="K387" s="1">
        <v>2</v>
      </c>
      <c r="L387" s="1">
        <v>0.18</v>
      </c>
      <c r="M387" t="str">
        <f t="shared" si="6"/>
        <v>Rainy</v>
      </c>
    </row>
    <row r="388" spans="1:13" x14ac:dyDescent="0.35">
      <c r="A388" s="1">
        <v>386</v>
      </c>
      <c r="B388" s="3">
        <v>40560</v>
      </c>
      <c r="C388" s="1">
        <v>1</v>
      </c>
      <c r="D388" s="1">
        <v>0</v>
      </c>
      <c r="E388" s="1">
        <v>1</v>
      </c>
      <c r="F388" s="32">
        <v>13</v>
      </c>
      <c r="G388" s="64" t="str" cm="1">
        <f t="array" ref="G388">_xlfn.IFS(AND(F388&gt;=5,F388&lt;12),"Morning",AND(F388&gt;=12,F388&lt;17),"AfterNoon",AND(F388&gt;=17,F388&lt;20),"Evening",TRUE,"Night")</f>
        <v>AfterNoon</v>
      </c>
      <c r="H388" s="1" t="b">
        <v>1</v>
      </c>
      <c r="I388" s="1">
        <v>1</v>
      </c>
      <c r="J388" s="64" t="str" cm="1">
        <f t="array" ref="J388">_xlfn.IFS(I388=0,"Saturday",I388=1,"Sunday",I388=2,"Monday",I388=3,"Tuesday",I388=4,"Wednesday",I388=5,"Thusday",I388=6,"Friday")</f>
        <v>Sunday</v>
      </c>
      <c r="K388" s="1">
        <v>2</v>
      </c>
      <c r="L388" s="1">
        <v>0.18</v>
      </c>
      <c r="M388" t="str">
        <f t="shared" ref="M388:M451" si="7">IF(L388&lt;=0.1,"Stromy",IF(L388&lt;=0.2,"Rainy",IF(L388&lt;=0.3,"Cloudy","Sunny")))</f>
        <v>Rainy</v>
      </c>
    </row>
    <row r="389" spans="1:13" x14ac:dyDescent="0.35">
      <c r="A389" s="1">
        <v>387</v>
      </c>
      <c r="B389" s="3">
        <v>40560</v>
      </c>
      <c r="C389" s="1">
        <v>1</v>
      </c>
      <c r="D389" s="1">
        <v>0</v>
      </c>
      <c r="E389" s="1">
        <v>1</v>
      </c>
      <c r="F389" s="32">
        <v>14</v>
      </c>
      <c r="G389" s="64" t="str" cm="1">
        <f t="array" ref="G389">_xlfn.IFS(AND(F389&gt;=5,F389&lt;12),"Morning",AND(F389&gt;=12,F389&lt;17),"AfterNoon",AND(F389&gt;=17,F389&lt;20),"Evening",TRUE,"Night")</f>
        <v>AfterNoon</v>
      </c>
      <c r="H389" s="1" t="b">
        <v>1</v>
      </c>
      <c r="I389" s="1">
        <v>1</v>
      </c>
      <c r="J389" s="64" t="str" cm="1">
        <f t="array" ref="J389">_xlfn.IFS(I389=0,"Saturday",I389=1,"Sunday",I389=2,"Monday",I389=3,"Tuesday",I389=4,"Wednesday",I389=5,"Thusday",I389=6,"Friday")</f>
        <v>Sunday</v>
      </c>
      <c r="K389" s="1">
        <v>2</v>
      </c>
      <c r="L389" s="1">
        <v>0.18</v>
      </c>
      <c r="M389" t="str">
        <f t="shared" si="7"/>
        <v>Rainy</v>
      </c>
    </row>
    <row r="390" spans="1:13" x14ac:dyDescent="0.35">
      <c r="A390" s="1">
        <v>388</v>
      </c>
      <c r="B390" s="3">
        <v>40560</v>
      </c>
      <c r="C390" s="1">
        <v>1</v>
      </c>
      <c r="D390" s="1">
        <v>0</v>
      </c>
      <c r="E390" s="1">
        <v>1</v>
      </c>
      <c r="F390" s="32">
        <v>15</v>
      </c>
      <c r="G390" s="64" t="str" cm="1">
        <f t="array" ref="G390">_xlfn.IFS(AND(F390&gt;=5,F390&lt;12),"Morning",AND(F390&gt;=12,F390&lt;17),"AfterNoon",AND(F390&gt;=17,F390&lt;20),"Evening",TRUE,"Night")</f>
        <v>AfterNoon</v>
      </c>
      <c r="H390" s="1" t="b">
        <v>1</v>
      </c>
      <c r="I390" s="1">
        <v>1</v>
      </c>
      <c r="J390" s="64" t="str" cm="1">
        <f t="array" ref="J390">_xlfn.IFS(I390=0,"Saturday",I390=1,"Sunday",I390=2,"Monday",I390=3,"Tuesday",I390=4,"Wednesday",I390=5,"Thusday",I390=6,"Friday")</f>
        <v>Sunday</v>
      </c>
      <c r="K390" s="1">
        <v>2</v>
      </c>
      <c r="L390" s="1">
        <v>0.2</v>
      </c>
      <c r="M390" t="str">
        <f t="shared" si="7"/>
        <v>Rainy</v>
      </c>
    </row>
    <row r="391" spans="1:13" x14ac:dyDescent="0.35">
      <c r="A391" s="1">
        <v>389</v>
      </c>
      <c r="B391" s="3">
        <v>40560</v>
      </c>
      <c r="C391" s="1">
        <v>1</v>
      </c>
      <c r="D391" s="1">
        <v>0</v>
      </c>
      <c r="E391" s="1">
        <v>1</v>
      </c>
      <c r="F391" s="32">
        <v>16</v>
      </c>
      <c r="G391" s="64" t="str" cm="1">
        <f t="array" ref="G391">_xlfn.IFS(AND(F391&gt;=5,F391&lt;12),"Morning",AND(F391&gt;=12,F391&lt;17),"AfterNoon",AND(F391&gt;=17,F391&lt;20),"Evening",TRUE,"Night")</f>
        <v>AfterNoon</v>
      </c>
      <c r="H391" s="1" t="b">
        <v>1</v>
      </c>
      <c r="I391" s="1">
        <v>1</v>
      </c>
      <c r="J391" s="64" t="str" cm="1">
        <f t="array" ref="J391">_xlfn.IFS(I391=0,"Saturday",I391=1,"Sunday",I391=2,"Monday",I391=3,"Tuesday",I391=4,"Wednesday",I391=5,"Thusday",I391=6,"Friday")</f>
        <v>Sunday</v>
      </c>
      <c r="K391" s="1">
        <v>2</v>
      </c>
      <c r="L391" s="1">
        <v>0.2</v>
      </c>
      <c r="M391" t="str">
        <f t="shared" si="7"/>
        <v>Rainy</v>
      </c>
    </row>
    <row r="392" spans="1:13" x14ac:dyDescent="0.35">
      <c r="A392" s="1">
        <v>390</v>
      </c>
      <c r="B392" s="3">
        <v>40560</v>
      </c>
      <c r="C392" s="1">
        <v>1</v>
      </c>
      <c r="D392" s="1">
        <v>0</v>
      </c>
      <c r="E392" s="1">
        <v>1</v>
      </c>
      <c r="F392" s="32">
        <v>17</v>
      </c>
      <c r="G392" s="64" t="str" cm="1">
        <f t="array" ref="G392">_xlfn.IFS(AND(F392&gt;=5,F392&lt;12),"Morning",AND(F392&gt;=12,F392&lt;17),"AfterNoon",AND(F392&gt;=17,F392&lt;20),"Evening",TRUE,"Night")</f>
        <v>Evening</v>
      </c>
      <c r="H392" s="1" t="b">
        <v>1</v>
      </c>
      <c r="I392" s="1">
        <v>1</v>
      </c>
      <c r="J392" s="64" t="str" cm="1">
        <f t="array" ref="J392">_xlfn.IFS(I392=0,"Saturday",I392=1,"Sunday",I392=2,"Monday",I392=3,"Tuesday",I392=4,"Wednesday",I392=5,"Thusday",I392=6,"Friday")</f>
        <v>Sunday</v>
      </c>
      <c r="K392" s="1">
        <v>1</v>
      </c>
      <c r="L392" s="1">
        <v>0.2</v>
      </c>
      <c r="M392" t="str">
        <f t="shared" si="7"/>
        <v>Rainy</v>
      </c>
    </row>
    <row r="393" spans="1:13" x14ac:dyDescent="0.35">
      <c r="A393" s="1">
        <v>391</v>
      </c>
      <c r="B393" s="3">
        <v>40560</v>
      </c>
      <c r="C393" s="1">
        <v>1</v>
      </c>
      <c r="D393" s="1">
        <v>0</v>
      </c>
      <c r="E393" s="1">
        <v>1</v>
      </c>
      <c r="F393" s="32">
        <v>18</v>
      </c>
      <c r="G393" s="64" t="str" cm="1">
        <f t="array" ref="G393">_xlfn.IFS(AND(F393&gt;=5,F393&lt;12),"Morning",AND(F393&gt;=12,F393&lt;17),"AfterNoon",AND(F393&gt;=17,F393&lt;20),"Evening",TRUE,"Night")</f>
        <v>Evening</v>
      </c>
      <c r="H393" s="1" t="b">
        <v>1</v>
      </c>
      <c r="I393" s="1">
        <v>1</v>
      </c>
      <c r="J393" s="64" t="str" cm="1">
        <f t="array" ref="J393">_xlfn.IFS(I393=0,"Saturday",I393=1,"Sunday",I393=2,"Monday",I393=3,"Tuesday",I393=4,"Wednesday",I393=5,"Thusday",I393=6,"Friday")</f>
        <v>Sunday</v>
      </c>
      <c r="K393" s="1">
        <v>2</v>
      </c>
      <c r="L393" s="1">
        <v>0.18</v>
      </c>
      <c r="M393" t="str">
        <f t="shared" si="7"/>
        <v>Rainy</v>
      </c>
    </row>
    <row r="394" spans="1:13" x14ac:dyDescent="0.35">
      <c r="A394" s="1">
        <v>392</v>
      </c>
      <c r="B394" s="3">
        <v>40560</v>
      </c>
      <c r="C394" s="1">
        <v>1</v>
      </c>
      <c r="D394" s="1">
        <v>0</v>
      </c>
      <c r="E394" s="1">
        <v>1</v>
      </c>
      <c r="F394" s="32">
        <v>19</v>
      </c>
      <c r="G394" s="64" t="str" cm="1">
        <f t="array" ref="G394">_xlfn.IFS(AND(F394&gt;=5,F394&lt;12),"Morning",AND(F394&gt;=12,F394&lt;17),"AfterNoon",AND(F394&gt;=17,F394&lt;20),"Evening",TRUE,"Night")</f>
        <v>Evening</v>
      </c>
      <c r="H394" s="1" t="b">
        <v>1</v>
      </c>
      <c r="I394" s="1">
        <v>1</v>
      </c>
      <c r="J394" s="64" t="str" cm="1">
        <f t="array" ref="J394">_xlfn.IFS(I394=0,"Saturday",I394=1,"Sunday",I394=2,"Monday",I394=3,"Tuesday",I394=4,"Wednesday",I394=5,"Thusday",I394=6,"Friday")</f>
        <v>Sunday</v>
      </c>
      <c r="K394" s="1">
        <v>3</v>
      </c>
      <c r="L394" s="1">
        <v>0.18</v>
      </c>
      <c r="M394" t="str">
        <f t="shared" si="7"/>
        <v>Rainy</v>
      </c>
    </row>
    <row r="395" spans="1:13" x14ac:dyDescent="0.35">
      <c r="A395" s="1">
        <v>393</v>
      </c>
      <c r="B395" s="3">
        <v>40560</v>
      </c>
      <c r="C395" s="1">
        <v>1</v>
      </c>
      <c r="D395" s="1">
        <v>0</v>
      </c>
      <c r="E395" s="1">
        <v>1</v>
      </c>
      <c r="F395" s="32">
        <v>20</v>
      </c>
      <c r="G395" s="64" t="str" cm="1">
        <f t="array" ref="G395">_xlfn.IFS(AND(F395&gt;=5,F395&lt;12),"Morning",AND(F395&gt;=12,F395&lt;17),"AfterNoon",AND(F395&gt;=17,F395&lt;20),"Evening",TRUE,"Night")</f>
        <v>Night</v>
      </c>
      <c r="H395" s="1" t="b">
        <v>1</v>
      </c>
      <c r="I395" s="1">
        <v>1</v>
      </c>
      <c r="J395" s="64" t="str" cm="1">
        <f t="array" ref="J395">_xlfn.IFS(I395=0,"Saturday",I395=1,"Sunday",I395=2,"Monday",I395=3,"Tuesday",I395=4,"Wednesday",I395=5,"Thusday",I395=6,"Friday")</f>
        <v>Sunday</v>
      </c>
      <c r="K395" s="1">
        <v>3</v>
      </c>
      <c r="L395" s="1">
        <v>0.16</v>
      </c>
      <c r="M395" t="str">
        <f t="shared" si="7"/>
        <v>Rainy</v>
      </c>
    </row>
    <row r="396" spans="1:13" x14ac:dyDescent="0.35">
      <c r="A396" s="1">
        <v>394</v>
      </c>
      <c r="B396" s="3">
        <v>40560</v>
      </c>
      <c r="C396" s="1">
        <v>1</v>
      </c>
      <c r="D396" s="1">
        <v>0</v>
      </c>
      <c r="E396" s="1">
        <v>1</v>
      </c>
      <c r="F396" s="32">
        <v>21</v>
      </c>
      <c r="G396" s="64" t="str" cm="1">
        <f t="array" ref="G396">_xlfn.IFS(AND(F396&gt;=5,F396&lt;12),"Morning",AND(F396&gt;=12,F396&lt;17),"AfterNoon",AND(F396&gt;=17,F396&lt;20),"Evening",TRUE,"Night")</f>
        <v>Night</v>
      </c>
      <c r="H396" s="1" t="b">
        <v>1</v>
      </c>
      <c r="I396" s="1">
        <v>1</v>
      </c>
      <c r="J396" s="64" t="str" cm="1">
        <f t="array" ref="J396">_xlfn.IFS(I396=0,"Saturday",I396=1,"Sunday",I396=2,"Monday",I396=3,"Tuesday",I396=4,"Wednesday",I396=5,"Thusday",I396=6,"Friday")</f>
        <v>Sunday</v>
      </c>
      <c r="K396" s="1">
        <v>3</v>
      </c>
      <c r="L396" s="1">
        <v>0.16</v>
      </c>
      <c r="M396" t="str">
        <f t="shared" si="7"/>
        <v>Rainy</v>
      </c>
    </row>
    <row r="397" spans="1:13" x14ac:dyDescent="0.35">
      <c r="A397" s="1">
        <v>395</v>
      </c>
      <c r="B397" s="3">
        <v>40560</v>
      </c>
      <c r="C397" s="1">
        <v>1</v>
      </c>
      <c r="D397" s="1">
        <v>0</v>
      </c>
      <c r="E397" s="1">
        <v>1</v>
      </c>
      <c r="F397" s="32">
        <v>22</v>
      </c>
      <c r="G397" s="64" t="str" cm="1">
        <f t="array" ref="G397">_xlfn.IFS(AND(F397&gt;=5,F397&lt;12),"Morning",AND(F397&gt;=12,F397&lt;17),"AfterNoon",AND(F397&gt;=17,F397&lt;20),"Evening",TRUE,"Night")</f>
        <v>Night</v>
      </c>
      <c r="H397" s="1" t="b">
        <v>1</v>
      </c>
      <c r="I397" s="1">
        <v>1</v>
      </c>
      <c r="J397" s="64" t="str" cm="1">
        <f t="array" ref="J397">_xlfn.IFS(I397=0,"Saturday",I397=1,"Sunday",I397=2,"Monday",I397=3,"Tuesday",I397=4,"Wednesday",I397=5,"Thusday",I397=6,"Friday")</f>
        <v>Sunday</v>
      </c>
      <c r="K397" s="1">
        <v>3</v>
      </c>
      <c r="L397" s="1">
        <v>0.14000000000000001</v>
      </c>
      <c r="M397" t="str">
        <f t="shared" si="7"/>
        <v>Rainy</v>
      </c>
    </row>
    <row r="398" spans="1:13" x14ac:dyDescent="0.35">
      <c r="A398" s="1">
        <v>396</v>
      </c>
      <c r="B398" s="3">
        <v>40560</v>
      </c>
      <c r="C398" s="1">
        <v>1</v>
      </c>
      <c r="D398" s="1">
        <v>0</v>
      </c>
      <c r="E398" s="1">
        <v>1</v>
      </c>
      <c r="F398" s="32">
        <v>23</v>
      </c>
      <c r="G398" s="64" t="str" cm="1">
        <f t="array" ref="G398">_xlfn.IFS(AND(F398&gt;=5,F398&lt;12),"Morning",AND(F398&gt;=12,F398&lt;17),"AfterNoon",AND(F398&gt;=17,F398&lt;20),"Evening",TRUE,"Night")</f>
        <v>Night</v>
      </c>
      <c r="H398" s="1" t="b">
        <v>1</v>
      </c>
      <c r="I398" s="1">
        <v>1</v>
      </c>
      <c r="J398" s="64" t="str" cm="1">
        <f t="array" ref="J398">_xlfn.IFS(I398=0,"Saturday",I398=1,"Sunday",I398=2,"Monday",I398=3,"Tuesday",I398=4,"Wednesday",I398=5,"Thusday",I398=6,"Friday")</f>
        <v>Sunday</v>
      </c>
      <c r="K398" s="1">
        <v>3</v>
      </c>
      <c r="L398" s="1">
        <v>0.16</v>
      </c>
      <c r="M398" t="str">
        <f t="shared" si="7"/>
        <v>Rainy</v>
      </c>
    </row>
    <row r="399" spans="1:13" x14ac:dyDescent="0.35">
      <c r="A399" s="1">
        <v>397</v>
      </c>
      <c r="B399" s="3">
        <v>40561</v>
      </c>
      <c r="C399" s="1">
        <v>1</v>
      </c>
      <c r="D399" s="1">
        <v>0</v>
      </c>
      <c r="E399" s="1">
        <v>1</v>
      </c>
      <c r="F399" s="32">
        <v>12</v>
      </c>
      <c r="G399" s="64" t="str" cm="1">
        <f t="array" ref="G399">_xlfn.IFS(AND(F399&gt;=5,F399&lt;12),"Morning",AND(F399&gt;=12,F399&lt;17),"AfterNoon",AND(F399&gt;=17,F399&lt;20),"Evening",TRUE,"Night")</f>
        <v>AfterNoon</v>
      </c>
      <c r="H399" s="1" t="b">
        <v>0</v>
      </c>
      <c r="I399" s="1">
        <v>2</v>
      </c>
      <c r="J399" s="64" t="str" cm="1">
        <f t="array" ref="J399">_xlfn.IFS(I399=0,"Saturday",I399=1,"Sunday",I399=2,"Monday",I399=3,"Tuesday",I399=4,"Wednesday",I399=5,"Thusday",I399=6,"Friday")</f>
        <v>Monday</v>
      </c>
      <c r="K399" s="1">
        <v>2</v>
      </c>
      <c r="L399" s="1">
        <v>0.2</v>
      </c>
      <c r="M399" t="str">
        <f t="shared" si="7"/>
        <v>Rainy</v>
      </c>
    </row>
    <row r="400" spans="1:13" x14ac:dyDescent="0.35">
      <c r="A400" s="1">
        <v>398</v>
      </c>
      <c r="B400" s="3">
        <v>40561</v>
      </c>
      <c r="C400" s="1">
        <v>1</v>
      </c>
      <c r="D400" s="1">
        <v>0</v>
      </c>
      <c r="E400" s="1">
        <v>1</v>
      </c>
      <c r="F400" s="32">
        <v>13</v>
      </c>
      <c r="G400" s="64" t="str" cm="1">
        <f t="array" ref="G400">_xlfn.IFS(AND(F400&gt;=5,F400&lt;12),"Morning",AND(F400&gt;=12,F400&lt;17),"AfterNoon",AND(F400&gt;=17,F400&lt;20),"Evening",TRUE,"Night")</f>
        <v>AfterNoon</v>
      </c>
      <c r="H400" s="1" t="b">
        <v>0</v>
      </c>
      <c r="I400" s="1">
        <v>2</v>
      </c>
      <c r="J400" s="64" t="str" cm="1">
        <f t="array" ref="J400">_xlfn.IFS(I400=0,"Saturday",I400=1,"Sunday",I400=2,"Monday",I400=3,"Tuesday",I400=4,"Wednesday",I400=5,"Thusday",I400=6,"Friday")</f>
        <v>Monday</v>
      </c>
      <c r="K400" s="1">
        <v>2</v>
      </c>
      <c r="L400" s="1">
        <v>0.2</v>
      </c>
      <c r="M400" t="str">
        <f t="shared" si="7"/>
        <v>Rainy</v>
      </c>
    </row>
    <row r="401" spans="1:13" x14ac:dyDescent="0.35">
      <c r="A401" s="1">
        <v>399</v>
      </c>
      <c r="B401" s="3">
        <v>40561</v>
      </c>
      <c r="C401" s="1">
        <v>1</v>
      </c>
      <c r="D401" s="1">
        <v>0</v>
      </c>
      <c r="E401" s="1">
        <v>1</v>
      </c>
      <c r="F401" s="32">
        <v>14</v>
      </c>
      <c r="G401" s="64" t="str" cm="1">
        <f t="array" ref="G401">_xlfn.IFS(AND(F401&gt;=5,F401&lt;12),"Morning",AND(F401&gt;=12,F401&lt;17),"AfterNoon",AND(F401&gt;=17,F401&lt;20),"Evening",TRUE,"Night")</f>
        <v>AfterNoon</v>
      </c>
      <c r="H401" s="1" t="b">
        <v>0</v>
      </c>
      <c r="I401" s="1">
        <v>2</v>
      </c>
      <c r="J401" s="64" t="str" cm="1">
        <f t="array" ref="J401">_xlfn.IFS(I401=0,"Saturday",I401=1,"Sunday",I401=2,"Monday",I401=3,"Tuesday",I401=4,"Wednesday",I401=5,"Thusday",I401=6,"Friday")</f>
        <v>Monday</v>
      </c>
      <c r="K401" s="1">
        <v>2</v>
      </c>
      <c r="L401" s="1">
        <v>0.22</v>
      </c>
      <c r="M401" t="str">
        <f t="shared" si="7"/>
        <v>Cloudy</v>
      </c>
    </row>
    <row r="402" spans="1:13" x14ac:dyDescent="0.35">
      <c r="A402" s="1">
        <v>400</v>
      </c>
      <c r="B402" s="3">
        <v>40561</v>
      </c>
      <c r="C402" s="1">
        <v>1</v>
      </c>
      <c r="D402" s="1">
        <v>0</v>
      </c>
      <c r="E402" s="1">
        <v>1</v>
      </c>
      <c r="F402" s="32">
        <v>15</v>
      </c>
      <c r="G402" s="64" t="str" cm="1">
        <f t="array" ref="G402">_xlfn.IFS(AND(F402&gt;=5,F402&lt;12),"Morning",AND(F402&gt;=12,F402&lt;17),"AfterNoon",AND(F402&gt;=17,F402&lt;20),"Evening",TRUE,"Night")</f>
        <v>AfterNoon</v>
      </c>
      <c r="H402" s="1" t="b">
        <v>0</v>
      </c>
      <c r="I402" s="1">
        <v>2</v>
      </c>
      <c r="J402" s="64" t="str" cm="1">
        <f t="array" ref="J402">_xlfn.IFS(I402=0,"Saturday",I402=1,"Sunday",I402=2,"Monday",I402=3,"Tuesday",I402=4,"Wednesday",I402=5,"Thusday",I402=6,"Friday")</f>
        <v>Monday</v>
      </c>
      <c r="K402" s="1">
        <v>2</v>
      </c>
      <c r="L402" s="1">
        <v>0.22</v>
      </c>
      <c r="M402" t="str">
        <f t="shared" si="7"/>
        <v>Cloudy</v>
      </c>
    </row>
    <row r="403" spans="1:13" x14ac:dyDescent="0.35">
      <c r="A403" s="1">
        <v>401</v>
      </c>
      <c r="B403" s="3">
        <v>40561</v>
      </c>
      <c r="C403" s="1">
        <v>1</v>
      </c>
      <c r="D403" s="1">
        <v>0</v>
      </c>
      <c r="E403" s="1">
        <v>1</v>
      </c>
      <c r="F403" s="32">
        <v>16</v>
      </c>
      <c r="G403" s="64" t="str" cm="1">
        <f t="array" ref="G403">_xlfn.IFS(AND(F403&gt;=5,F403&lt;12),"Morning",AND(F403&gt;=12,F403&lt;17),"AfterNoon",AND(F403&gt;=17,F403&lt;20),"Evening",TRUE,"Night")</f>
        <v>AfterNoon</v>
      </c>
      <c r="H403" s="1" t="b">
        <v>0</v>
      </c>
      <c r="I403" s="1">
        <v>2</v>
      </c>
      <c r="J403" s="64" t="str" cm="1">
        <f t="array" ref="J403">_xlfn.IFS(I403=0,"Saturday",I403=1,"Sunday",I403=2,"Monday",I403=3,"Tuesday",I403=4,"Wednesday",I403=5,"Thusday",I403=6,"Friday")</f>
        <v>Monday</v>
      </c>
      <c r="K403" s="1">
        <v>2</v>
      </c>
      <c r="L403" s="1">
        <v>0.22</v>
      </c>
      <c r="M403" t="str">
        <f t="shared" si="7"/>
        <v>Cloudy</v>
      </c>
    </row>
    <row r="404" spans="1:13" x14ac:dyDescent="0.35">
      <c r="A404" s="1">
        <v>402</v>
      </c>
      <c r="B404" s="3">
        <v>40561</v>
      </c>
      <c r="C404" s="1">
        <v>1</v>
      </c>
      <c r="D404" s="1">
        <v>0</v>
      </c>
      <c r="E404" s="1">
        <v>1</v>
      </c>
      <c r="F404" s="32">
        <v>17</v>
      </c>
      <c r="G404" s="64" t="str" cm="1">
        <f t="array" ref="G404">_xlfn.IFS(AND(F404&gt;=5,F404&lt;12),"Morning",AND(F404&gt;=12,F404&lt;17),"AfterNoon",AND(F404&gt;=17,F404&lt;20),"Evening",TRUE,"Night")</f>
        <v>Evening</v>
      </c>
      <c r="H404" s="1" t="b">
        <v>0</v>
      </c>
      <c r="I404" s="1">
        <v>2</v>
      </c>
      <c r="J404" s="64" t="str" cm="1">
        <f t="array" ref="J404">_xlfn.IFS(I404=0,"Saturday",I404=1,"Sunday",I404=2,"Monday",I404=3,"Tuesday",I404=4,"Wednesday",I404=5,"Thusday",I404=6,"Friday")</f>
        <v>Monday</v>
      </c>
      <c r="K404" s="1">
        <v>2</v>
      </c>
      <c r="L404" s="1">
        <v>0.22</v>
      </c>
      <c r="M404" t="str">
        <f t="shared" si="7"/>
        <v>Cloudy</v>
      </c>
    </row>
    <row r="405" spans="1:13" x14ac:dyDescent="0.35">
      <c r="A405" s="1">
        <v>403</v>
      </c>
      <c r="B405" s="3">
        <v>40561</v>
      </c>
      <c r="C405" s="1">
        <v>1</v>
      </c>
      <c r="D405" s="1">
        <v>0</v>
      </c>
      <c r="E405" s="1">
        <v>1</v>
      </c>
      <c r="F405" s="32">
        <v>18</v>
      </c>
      <c r="G405" s="64" t="str" cm="1">
        <f t="array" ref="G405">_xlfn.IFS(AND(F405&gt;=5,F405&lt;12),"Morning",AND(F405&gt;=12,F405&lt;17),"AfterNoon",AND(F405&gt;=17,F405&lt;20),"Evening",TRUE,"Night")</f>
        <v>Evening</v>
      </c>
      <c r="H405" s="1" t="b">
        <v>0</v>
      </c>
      <c r="I405" s="1">
        <v>2</v>
      </c>
      <c r="J405" s="64" t="str" cm="1">
        <f t="array" ref="J405">_xlfn.IFS(I405=0,"Saturday",I405=1,"Sunday",I405=2,"Monday",I405=3,"Tuesday",I405=4,"Wednesday",I405=5,"Thusday",I405=6,"Friday")</f>
        <v>Monday</v>
      </c>
      <c r="K405" s="1">
        <v>2</v>
      </c>
      <c r="L405" s="1">
        <v>0.22</v>
      </c>
      <c r="M405" t="str">
        <f t="shared" si="7"/>
        <v>Cloudy</v>
      </c>
    </row>
    <row r="406" spans="1:13" x14ac:dyDescent="0.35">
      <c r="A406" s="1">
        <v>404</v>
      </c>
      <c r="B406" s="3">
        <v>40561</v>
      </c>
      <c r="C406" s="1">
        <v>1</v>
      </c>
      <c r="D406" s="1">
        <v>0</v>
      </c>
      <c r="E406" s="1">
        <v>1</v>
      </c>
      <c r="F406" s="32">
        <v>19</v>
      </c>
      <c r="G406" s="64" t="str" cm="1">
        <f t="array" ref="G406">_xlfn.IFS(AND(F406&gt;=5,F406&lt;12),"Morning",AND(F406&gt;=12,F406&lt;17),"AfterNoon",AND(F406&gt;=17,F406&lt;20),"Evening",TRUE,"Night")</f>
        <v>Evening</v>
      </c>
      <c r="H406" s="1" t="b">
        <v>0</v>
      </c>
      <c r="I406" s="1">
        <v>2</v>
      </c>
      <c r="J406" s="64" t="str" cm="1">
        <f t="array" ref="J406">_xlfn.IFS(I406=0,"Saturday",I406=1,"Sunday",I406=2,"Monday",I406=3,"Tuesday",I406=4,"Wednesday",I406=5,"Thusday",I406=6,"Friday")</f>
        <v>Monday</v>
      </c>
      <c r="K406" s="1">
        <v>2</v>
      </c>
      <c r="L406" s="1">
        <v>0.22</v>
      </c>
      <c r="M406" t="str">
        <f t="shared" si="7"/>
        <v>Cloudy</v>
      </c>
    </row>
    <row r="407" spans="1:13" x14ac:dyDescent="0.35">
      <c r="A407" s="1">
        <v>405</v>
      </c>
      <c r="B407" s="3">
        <v>40561</v>
      </c>
      <c r="C407" s="1">
        <v>1</v>
      </c>
      <c r="D407" s="1">
        <v>0</v>
      </c>
      <c r="E407" s="1">
        <v>1</v>
      </c>
      <c r="F407" s="32">
        <v>20</v>
      </c>
      <c r="G407" s="64" t="str" cm="1">
        <f t="array" ref="G407">_xlfn.IFS(AND(F407&gt;=5,F407&lt;12),"Morning",AND(F407&gt;=12,F407&lt;17),"AfterNoon",AND(F407&gt;=17,F407&lt;20),"Evening",TRUE,"Night")</f>
        <v>Night</v>
      </c>
      <c r="H407" s="1" t="b">
        <v>0</v>
      </c>
      <c r="I407" s="1">
        <v>2</v>
      </c>
      <c r="J407" s="64" t="str" cm="1">
        <f t="array" ref="J407">_xlfn.IFS(I407=0,"Saturday",I407=1,"Sunday",I407=2,"Monday",I407=3,"Tuesday",I407=4,"Wednesday",I407=5,"Thusday",I407=6,"Friday")</f>
        <v>Monday</v>
      </c>
      <c r="K407" s="1">
        <v>2</v>
      </c>
      <c r="L407" s="1">
        <v>0.22</v>
      </c>
      <c r="M407" t="str">
        <f t="shared" si="7"/>
        <v>Cloudy</v>
      </c>
    </row>
    <row r="408" spans="1:13" x14ac:dyDescent="0.35">
      <c r="A408" s="1">
        <v>406</v>
      </c>
      <c r="B408" s="3">
        <v>40561</v>
      </c>
      <c r="C408" s="1">
        <v>1</v>
      </c>
      <c r="D408" s="1">
        <v>0</v>
      </c>
      <c r="E408" s="1">
        <v>1</v>
      </c>
      <c r="F408" s="32">
        <v>21</v>
      </c>
      <c r="G408" s="64" t="str" cm="1">
        <f t="array" ref="G408">_xlfn.IFS(AND(F408&gt;=5,F408&lt;12),"Morning",AND(F408&gt;=12,F408&lt;17),"AfterNoon",AND(F408&gt;=17,F408&lt;20),"Evening",TRUE,"Night")</f>
        <v>Night</v>
      </c>
      <c r="H408" s="1" t="b">
        <v>0</v>
      </c>
      <c r="I408" s="1">
        <v>2</v>
      </c>
      <c r="J408" s="64" t="str" cm="1">
        <f t="array" ref="J408">_xlfn.IFS(I408=0,"Saturday",I408=1,"Sunday",I408=2,"Monday",I408=3,"Tuesday",I408=4,"Wednesday",I408=5,"Thusday",I408=6,"Friday")</f>
        <v>Monday</v>
      </c>
      <c r="K408" s="1">
        <v>2</v>
      </c>
      <c r="L408" s="1">
        <v>0.22</v>
      </c>
      <c r="M408" t="str">
        <f t="shared" si="7"/>
        <v>Cloudy</v>
      </c>
    </row>
    <row r="409" spans="1:13" x14ac:dyDescent="0.35">
      <c r="A409" s="1">
        <v>407</v>
      </c>
      <c r="B409" s="3">
        <v>40561</v>
      </c>
      <c r="C409" s="1">
        <v>1</v>
      </c>
      <c r="D409" s="1">
        <v>0</v>
      </c>
      <c r="E409" s="1">
        <v>1</v>
      </c>
      <c r="F409" s="32">
        <v>22</v>
      </c>
      <c r="G409" s="64" t="str" cm="1">
        <f t="array" ref="G409">_xlfn.IFS(AND(F409&gt;=5,F409&lt;12),"Morning",AND(F409&gt;=12,F409&lt;17),"AfterNoon",AND(F409&gt;=17,F409&lt;20),"Evening",TRUE,"Night")</f>
        <v>Night</v>
      </c>
      <c r="H409" s="1" t="b">
        <v>0</v>
      </c>
      <c r="I409" s="1">
        <v>2</v>
      </c>
      <c r="J409" s="64" t="str" cm="1">
        <f t="array" ref="J409">_xlfn.IFS(I409=0,"Saturday",I409=1,"Sunday",I409=2,"Monday",I409=3,"Tuesday",I409=4,"Wednesday",I409=5,"Thusday",I409=6,"Friday")</f>
        <v>Monday</v>
      </c>
      <c r="K409" s="1">
        <v>2</v>
      </c>
      <c r="L409" s="1">
        <v>0.22</v>
      </c>
      <c r="M409" t="str">
        <f t="shared" si="7"/>
        <v>Cloudy</v>
      </c>
    </row>
    <row r="410" spans="1:13" x14ac:dyDescent="0.35">
      <c r="A410" s="1">
        <v>408</v>
      </c>
      <c r="B410" s="3">
        <v>40561</v>
      </c>
      <c r="C410" s="1">
        <v>1</v>
      </c>
      <c r="D410" s="1">
        <v>0</v>
      </c>
      <c r="E410" s="1">
        <v>1</v>
      </c>
      <c r="F410" s="32">
        <v>23</v>
      </c>
      <c r="G410" s="64" t="str" cm="1">
        <f t="array" ref="G410">_xlfn.IFS(AND(F410&gt;=5,F410&lt;12),"Morning",AND(F410&gt;=12,F410&lt;17),"AfterNoon",AND(F410&gt;=17,F410&lt;20),"Evening",TRUE,"Night")</f>
        <v>Night</v>
      </c>
      <c r="H410" s="1" t="b">
        <v>0</v>
      </c>
      <c r="I410" s="1">
        <v>2</v>
      </c>
      <c r="J410" s="64" t="str" cm="1">
        <f t="array" ref="J410">_xlfn.IFS(I410=0,"Saturday",I410=1,"Sunday",I410=2,"Monday",I410=3,"Tuesday",I410=4,"Wednesday",I410=5,"Thusday",I410=6,"Friday")</f>
        <v>Monday</v>
      </c>
      <c r="K410" s="1">
        <v>2</v>
      </c>
      <c r="L410" s="1">
        <v>0.22</v>
      </c>
      <c r="M410" t="str">
        <f t="shared" si="7"/>
        <v>Cloudy</v>
      </c>
    </row>
    <row r="411" spans="1:13" x14ac:dyDescent="0.35">
      <c r="A411" s="1">
        <v>409</v>
      </c>
      <c r="B411" s="3">
        <v>40562</v>
      </c>
      <c r="C411" s="1">
        <v>1</v>
      </c>
      <c r="D411" s="1">
        <v>0</v>
      </c>
      <c r="E411" s="1">
        <v>1</v>
      </c>
      <c r="F411" s="32">
        <v>0</v>
      </c>
      <c r="G411" s="64" t="str" cm="1">
        <f t="array" ref="G411">_xlfn.IFS(AND(F411&gt;=5,F411&lt;12),"Morning",AND(F411&gt;=12,F411&lt;17),"AfterNoon",AND(F411&gt;=17,F411&lt;20),"Evening",TRUE,"Night")</f>
        <v>Night</v>
      </c>
      <c r="H411" s="1" t="b">
        <v>0</v>
      </c>
      <c r="I411" s="1">
        <v>3</v>
      </c>
      <c r="J411" s="64" t="str" cm="1">
        <f t="array" ref="J411">_xlfn.IFS(I411=0,"Saturday",I411=1,"Sunday",I411=2,"Monday",I411=3,"Tuesday",I411=4,"Wednesday",I411=5,"Thusday",I411=6,"Friday")</f>
        <v>Tuesday</v>
      </c>
      <c r="K411" s="1">
        <v>2</v>
      </c>
      <c r="L411" s="1">
        <v>0.22</v>
      </c>
      <c r="M411" t="str">
        <f t="shared" si="7"/>
        <v>Cloudy</v>
      </c>
    </row>
    <row r="412" spans="1:13" x14ac:dyDescent="0.35">
      <c r="A412" s="1">
        <v>410</v>
      </c>
      <c r="B412" s="3">
        <v>40562</v>
      </c>
      <c r="C412" s="1">
        <v>1</v>
      </c>
      <c r="D412" s="1">
        <v>0</v>
      </c>
      <c r="E412" s="1">
        <v>1</v>
      </c>
      <c r="F412" s="32">
        <v>1</v>
      </c>
      <c r="G412" s="64" t="str" cm="1">
        <f t="array" ref="G412">_xlfn.IFS(AND(F412&gt;=5,F412&lt;12),"Morning",AND(F412&gt;=12,F412&lt;17),"AfterNoon",AND(F412&gt;=17,F412&lt;20),"Evening",TRUE,"Night")</f>
        <v>Night</v>
      </c>
      <c r="H412" s="1" t="b">
        <v>0</v>
      </c>
      <c r="I412" s="1">
        <v>3</v>
      </c>
      <c r="J412" s="64" t="str" cm="1">
        <f t="array" ref="J412">_xlfn.IFS(I412=0,"Saturday",I412=1,"Sunday",I412=2,"Monday",I412=3,"Tuesday",I412=4,"Wednesday",I412=5,"Thusday",I412=6,"Friday")</f>
        <v>Tuesday</v>
      </c>
      <c r="K412" s="1">
        <v>3</v>
      </c>
      <c r="L412" s="1">
        <v>0.22</v>
      </c>
      <c r="M412" t="str">
        <f t="shared" si="7"/>
        <v>Cloudy</v>
      </c>
    </row>
    <row r="413" spans="1:13" x14ac:dyDescent="0.35">
      <c r="A413" s="1">
        <v>411</v>
      </c>
      <c r="B413" s="3">
        <v>40562</v>
      </c>
      <c r="C413" s="1">
        <v>1</v>
      </c>
      <c r="D413" s="1">
        <v>0</v>
      </c>
      <c r="E413" s="1">
        <v>1</v>
      </c>
      <c r="F413" s="32">
        <v>2</v>
      </c>
      <c r="G413" s="64" t="str" cm="1">
        <f t="array" ref="G413">_xlfn.IFS(AND(F413&gt;=5,F413&lt;12),"Morning",AND(F413&gt;=12,F413&lt;17),"AfterNoon",AND(F413&gt;=17,F413&lt;20),"Evening",TRUE,"Night")</f>
        <v>Night</v>
      </c>
      <c r="H413" s="1" t="b">
        <v>0</v>
      </c>
      <c r="I413" s="1">
        <v>3</v>
      </c>
      <c r="J413" s="64" t="str" cm="1">
        <f t="array" ref="J413">_xlfn.IFS(I413=0,"Saturday",I413=1,"Sunday",I413=2,"Monday",I413=3,"Tuesday",I413=4,"Wednesday",I413=5,"Thusday",I413=6,"Friday")</f>
        <v>Tuesday</v>
      </c>
      <c r="K413" s="1">
        <v>3</v>
      </c>
      <c r="L413" s="1">
        <v>0.22</v>
      </c>
      <c r="M413" t="str">
        <f t="shared" si="7"/>
        <v>Cloudy</v>
      </c>
    </row>
    <row r="414" spans="1:13" x14ac:dyDescent="0.35">
      <c r="A414" s="1">
        <v>412</v>
      </c>
      <c r="B414" s="3">
        <v>40562</v>
      </c>
      <c r="C414" s="1">
        <v>1</v>
      </c>
      <c r="D414" s="1">
        <v>0</v>
      </c>
      <c r="E414" s="1">
        <v>1</v>
      </c>
      <c r="F414" s="32">
        <v>4</v>
      </c>
      <c r="G414" s="64" t="str" cm="1">
        <f t="array" ref="G414">_xlfn.IFS(AND(F414&gt;=5,F414&lt;12),"Morning",AND(F414&gt;=12,F414&lt;17),"AfterNoon",AND(F414&gt;=17,F414&lt;20),"Evening",TRUE,"Night")</f>
        <v>Night</v>
      </c>
      <c r="H414" s="1" t="b">
        <v>0</v>
      </c>
      <c r="I414" s="1">
        <v>3</v>
      </c>
      <c r="J414" s="64" t="str" cm="1">
        <f t="array" ref="J414">_xlfn.IFS(I414=0,"Saturday",I414=1,"Sunday",I414=2,"Monday",I414=3,"Tuesday",I414=4,"Wednesday",I414=5,"Thusday",I414=6,"Friday")</f>
        <v>Tuesday</v>
      </c>
      <c r="K414" s="1">
        <v>3</v>
      </c>
      <c r="L414" s="1">
        <v>0.22</v>
      </c>
      <c r="M414" t="str">
        <f t="shared" si="7"/>
        <v>Cloudy</v>
      </c>
    </row>
    <row r="415" spans="1:13" x14ac:dyDescent="0.35">
      <c r="A415" s="1">
        <v>413</v>
      </c>
      <c r="B415" s="3">
        <v>40562</v>
      </c>
      <c r="C415" s="1">
        <v>1</v>
      </c>
      <c r="D415" s="1">
        <v>0</v>
      </c>
      <c r="E415" s="1">
        <v>1</v>
      </c>
      <c r="F415" s="32">
        <v>5</v>
      </c>
      <c r="G415" s="64" t="str" cm="1">
        <f t="array" ref="G415">_xlfn.IFS(AND(F415&gt;=5,F415&lt;12),"Morning",AND(F415&gt;=12,F415&lt;17),"AfterNoon",AND(F415&gt;=17,F415&lt;20),"Evening",TRUE,"Night")</f>
        <v>Morning</v>
      </c>
      <c r="H415" s="1" t="b">
        <v>0</v>
      </c>
      <c r="I415" s="1">
        <v>3</v>
      </c>
      <c r="J415" s="64" t="str" cm="1">
        <f t="array" ref="J415">_xlfn.IFS(I415=0,"Saturday",I415=1,"Sunday",I415=2,"Monday",I415=3,"Tuesday",I415=4,"Wednesday",I415=5,"Thusday",I415=6,"Friday")</f>
        <v>Tuesday</v>
      </c>
      <c r="K415" s="1">
        <v>2</v>
      </c>
      <c r="L415" s="1">
        <v>0.22</v>
      </c>
      <c r="M415" t="str">
        <f t="shared" si="7"/>
        <v>Cloudy</v>
      </c>
    </row>
    <row r="416" spans="1:13" x14ac:dyDescent="0.35">
      <c r="A416" s="1">
        <v>414</v>
      </c>
      <c r="B416" s="3">
        <v>40562</v>
      </c>
      <c r="C416" s="1">
        <v>1</v>
      </c>
      <c r="D416" s="1">
        <v>0</v>
      </c>
      <c r="E416" s="1">
        <v>1</v>
      </c>
      <c r="F416" s="32">
        <v>6</v>
      </c>
      <c r="G416" s="64" t="str" cm="1">
        <f t="array" ref="G416">_xlfn.IFS(AND(F416&gt;=5,F416&lt;12),"Morning",AND(F416&gt;=12,F416&lt;17),"AfterNoon",AND(F416&gt;=17,F416&lt;20),"Evening",TRUE,"Night")</f>
        <v>Morning</v>
      </c>
      <c r="H416" s="1" t="b">
        <v>0</v>
      </c>
      <c r="I416" s="1">
        <v>3</v>
      </c>
      <c r="J416" s="64" t="str" cm="1">
        <f t="array" ref="J416">_xlfn.IFS(I416=0,"Saturday",I416=1,"Sunday",I416=2,"Monday",I416=3,"Tuesday",I416=4,"Wednesday",I416=5,"Thusday",I416=6,"Friday")</f>
        <v>Tuesday</v>
      </c>
      <c r="K416" s="1">
        <v>2</v>
      </c>
      <c r="L416" s="1">
        <v>0.22</v>
      </c>
      <c r="M416" t="str">
        <f t="shared" si="7"/>
        <v>Cloudy</v>
      </c>
    </row>
    <row r="417" spans="1:13" x14ac:dyDescent="0.35">
      <c r="A417" s="1">
        <v>415</v>
      </c>
      <c r="B417" s="3">
        <v>40562</v>
      </c>
      <c r="C417" s="1">
        <v>1</v>
      </c>
      <c r="D417" s="1">
        <v>0</v>
      </c>
      <c r="E417" s="1">
        <v>1</v>
      </c>
      <c r="F417" s="32">
        <v>7</v>
      </c>
      <c r="G417" s="64" t="str" cm="1">
        <f t="array" ref="G417">_xlfn.IFS(AND(F417&gt;=5,F417&lt;12),"Morning",AND(F417&gt;=12,F417&lt;17),"AfterNoon",AND(F417&gt;=17,F417&lt;20),"Evening",TRUE,"Night")</f>
        <v>Morning</v>
      </c>
      <c r="H417" s="1" t="b">
        <v>0</v>
      </c>
      <c r="I417" s="1">
        <v>3</v>
      </c>
      <c r="J417" s="64" t="str" cm="1">
        <f t="array" ref="J417">_xlfn.IFS(I417=0,"Saturday",I417=1,"Sunday",I417=2,"Monday",I417=3,"Tuesday",I417=4,"Wednesday",I417=5,"Thusday",I417=6,"Friday")</f>
        <v>Tuesday</v>
      </c>
      <c r="K417" s="1">
        <v>2</v>
      </c>
      <c r="L417" s="1">
        <v>0.24</v>
      </c>
      <c r="M417" t="str">
        <f t="shared" si="7"/>
        <v>Cloudy</v>
      </c>
    </row>
    <row r="418" spans="1:13" x14ac:dyDescent="0.35">
      <c r="A418" s="1">
        <v>416</v>
      </c>
      <c r="B418" s="3">
        <v>40562</v>
      </c>
      <c r="C418" s="1">
        <v>1</v>
      </c>
      <c r="D418" s="1">
        <v>0</v>
      </c>
      <c r="E418" s="1">
        <v>1</v>
      </c>
      <c r="F418" s="32">
        <v>8</v>
      </c>
      <c r="G418" s="64" t="str" cm="1">
        <f t="array" ref="G418">_xlfn.IFS(AND(F418&gt;=5,F418&lt;12),"Morning",AND(F418&gt;=12,F418&lt;17),"AfterNoon",AND(F418&gt;=17,F418&lt;20),"Evening",TRUE,"Night")</f>
        <v>Morning</v>
      </c>
      <c r="H418" s="1" t="b">
        <v>0</v>
      </c>
      <c r="I418" s="1">
        <v>3</v>
      </c>
      <c r="J418" s="64" t="str" cm="1">
        <f t="array" ref="J418">_xlfn.IFS(I418=0,"Saturday",I418=1,"Sunday",I418=2,"Monday",I418=3,"Tuesday",I418=4,"Wednesday",I418=5,"Thusday",I418=6,"Friday")</f>
        <v>Tuesday</v>
      </c>
      <c r="K418" s="1">
        <v>2</v>
      </c>
      <c r="L418" s="1">
        <v>0.24</v>
      </c>
      <c r="M418" t="str">
        <f t="shared" si="7"/>
        <v>Cloudy</v>
      </c>
    </row>
    <row r="419" spans="1:13" x14ac:dyDescent="0.35">
      <c r="A419" s="1">
        <v>417</v>
      </c>
      <c r="B419" s="3">
        <v>40562</v>
      </c>
      <c r="C419" s="1">
        <v>1</v>
      </c>
      <c r="D419" s="1">
        <v>0</v>
      </c>
      <c r="E419" s="1">
        <v>1</v>
      </c>
      <c r="F419" s="32">
        <v>9</v>
      </c>
      <c r="G419" s="64" t="str" cm="1">
        <f t="array" ref="G419">_xlfn.IFS(AND(F419&gt;=5,F419&lt;12),"Morning",AND(F419&gt;=12,F419&lt;17),"AfterNoon",AND(F419&gt;=17,F419&lt;20),"Evening",TRUE,"Night")</f>
        <v>Morning</v>
      </c>
      <c r="H419" s="1" t="b">
        <v>0</v>
      </c>
      <c r="I419" s="1">
        <v>3</v>
      </c>
      <c r="J419" s="64" t="str" cm="1">
        <f t="array" ref="J419">_xlfn.IFS(I419=0,"Saturday",I419=1,"Sunday",I419=2,"Monday",I419=3,"Tuesday",I419=4,"Wednesday",I419=5,"Thusday",I419=6,"Friday")</f>
        <v>Tuesday</v>
      </c>
      <c r="K419" s="1">
        <v>2</v>
      </c>
      <c r="L419" s="1">
        <v>0.24</v>
      </c>
      <c r="M419" t="str">
        <f t="shared" si="7"/>
        <v>Cloudy</v>
      </c>
    </row>
    <row r="420" spans="1:13" x14ac:dyDescent="0.35">
      <c r="A420" s="1">
        <v>418</v>
      </c>
      <c r="B420" s="3">
        <v>40562</v>
      </c>
      <c r="C420" s="1">
        <v>1</v>
      </c>
      <c r="D420" s="1">
        <v>0</v>
      </c>
      <c r="E420" s="1">
        <v>1</v>
      </c>
      <c r="F420" s="32">
        <v>10</v>
      </c>
      <c r="G420" s="64" t="str" cm="1">
        <f t="array" ref="G420">_xlfn.IFS(AND(F420&gt;=5,F420&lt;12),"Morning",AND(F420&gt;=12,F420&lt;17),"AfterNoon",AND(F420&gt;=17,F420&lt;20),"Evening",TRUE,"Night")</f>
        <v>Morning</v>
      </c>
      <c r="H420" s="1" t="b">
        <v>0</v>
      </c>
      <c r="I420" s="1">
        <v>3</v>
      </c>
      <c r="J420" s="64" t="str" cm="1">
        <f t="array" ref="J420">_xlfn.IFS(I420=0,"Saturday",I420=1,"Sunday",I420=2,"Monday",I420=3,"Tuesday",I420=4,"Wednesday",I420=5,"Thusday",I420=6,"Friday")</f>
        <v>Tuesday</v>
      </c>
      <c r="K420" s="1">
        <v>2</v>
      </c>
      <c r="L420" s="1">
        <v>0.26</v>
      </c>
      <c r="M420" t="str">
        <f t="shared" si="7"/>
        <v>Cloudy</v>
      </c>
    </row>
    <row r="421" spans="1:13" x14ac:dyDescent="0.35">
      <c r="A421" s="1">
        <v>419</v>
      </c>
      <c r="B421" s="3">
        <v>40562</v>
      </c>
      <c r="C421" s="1">
        <v>1</v>
      </c>
      <c r="D421" s="1">
        <v>0</v>
      </c>
      <c r="E421" s="1">
        <v>1</v>
      </c>
      <c r="F421" s="32">
        <v>11</v>
      </c>
      <c r="G421" s="64" t="str" cm="1">
        <f t="array" ref="G421">_xlfn.IFS(AND(F421&gt;=5,F421&lt;12),"Morning",AND(F421&gt;=12,F421&lt;17),"AfterNoon",AND(F421&gt;=17,F421&lt;20),"Evening",TRUE,"Night")</f>
        <v>Morning</v>
      </c>
      <c r="H421" s="1" t="b">
        <v>0</v>
      </c>
      <c r="I421" s="1">
        <v>3</v>
      </c>
      <c r="J421" s="64" t="str" cm="1">
        <f t="array" ref="J421">_xlfn.IFS(I421=0,"Saturday",I421=1,"Sunday",I421=2,"Monday",I421=3,"Tuesday",I421=4,"Wednesday",I421=5,"Thusday",I421=6,"Friday")</f>
        <v>Tuesday</v>
      </c>
      <c r="K421" s="1">
        <v>2</v>
      </c>
      <c r="L421" s="1">
        <v>0.28000000000000003</v>
      </c>
      <c r="M421" t="str">
        <f t="shared" si="7"/>
        <v>Cloudy</v>
      </c>
    </row>
    <row r="422" spans="1:13" x14ac:dyDescent="0.35">
      <c r="A422" s="1">
        <v>420</v>
      </c>
      <c r="B422" s="3">
        <v>40562</v>
      </c>
      <c r="C422" s="1">
        <v>1</v>
      </c>
      <c r="D422" s="1">
        <v>0</v>
      </c>
      <c r="E422" s="1">
        <v>1</v>
      </c>
      <c r="F422" s="32">
        <v>12</v>
      </c>
      <c r="G422" s="64" t="str" cm="1">
        <f t="array" ref="G422">_xlfn.IFS(AND(F422&gt;=5,F422&lt;12),"Morning",AND(F422&gt;=12,F422&lt;17),"AfterNoon",AND(F422&gt;=17,F422&lt;20),"Evening",TRUE,"Night")</f>
        <v>AfterNoon</v>
      </c>
      <c r="H422" s="1" t="b">
        <v>0</v>
      </c>
      <c r="I422" s="1">
        <v>3</v>
      </c>
      <c r="J422" s="64" t="str" cm="1">
        <f t="array" ref="J422">_xlfn.IFS(I422=0,"Saturday",I422=1,"Sunday",I422=2,"Monday",I422=3,"Tuesday",I422=4,"Wednesday",I422=5,"Thusday",I422=6,"Friday")</f>
        <v>Tuesday</v>
      </c>
      <c r="K422" s="1">
        <v>2</v>
      </c>
      <c r="L422" s="1">
        <v>0.3</v>
      </c>
      <c r="M422" t="str">
        <f t="shared" si="7"/>
        <v>Cloudy</v>
      </c>
    </row>
    <row r="423" spans="1:13" x14ac:dyDescent="0.35">
      <c r="A423" s="1">
        <v>421</v>
      </c>
      <c r="B423" s="3">
        <v>40562</v>
      </c>
      <c r="C423" s="1">
        <v>1</v>
      </c>
      <c r="D423" s="1">
        <v>0</v>
      </c>
      <c r="E423" s="1">
        <v>1</v>
      </c>
      <c r="F423" s="32">
        <v>13</v>
      </c>
      <c r="G423" s="64" t="str" cm="1">
        <f t="array" ref="G423">_xlfn.IFS(AND(F423&gt;=5,F423&lt;12),"Morning",AND(F423&gt;=12,F423&lt;17),"AfterNoon",AND(F423&gt;=17,F423&lt;20),"Evening",TRUE,"Night")</f>
        <v>AfterNoon</v>
      </c>
      <c r="H423" s="1" t="b">
        <v>0</v>
      </c>
      <c r="I423" s="1">
        <v>3</v>
      </c>
      <c r="J423" s="64" t="str" cm="1">
        <f t="array" ref="J423">_xlfn.IFS(I423=0,"Saturday",I423=1,"Sunday",I423=2,"Monday",I423=3,"Tuesday",I423=4,"Wednesday",I423=5,"Thusday",I423=6,"Friday")</f>
        <v>Tuesday</v>
      </c>
      <c r="K423" s="1">
        <v>1</v>
      </c>
      <c r="L423" s="1">
        <v>0.4</v>
      </c>
      <c r="M423" t="str">
        <f t="shared" si="7"/>
        <v>Sunny</v>
      </c>
    </row>
    <row r="424" spans="1:13" x14ac:dyDescent="0.35">
      <c r="A424" s="1">
        <v>422</v>
      </c>
      <c r="B424" s="3">
        <v>40562</v>
      </c>
      <c r="C424" s="1">
        <v>1</v>
      </c>
      <c r="D424" s="1">
        <v>0</v>
      </c>
      <c r="E424" s="1">
        <v>1</v>
      </c>
      <c r="F424" s="32">
        <v>14</v>
      </c>
      <c r="G424" s="64" t="str" cm="1">
        <f t="array" ref="G424">_xlfn.IFS(AND(F424&gt;=5,F424&lt;12),"Morning",AND(F424&gt;=12,F424&lt;17),"AfterNoon",AND(F424&gt;=17,F424&lt;20),"Evening",TRUE,"Night")</f>
        <v>AfterNoon</v>
      </c>
      <c r="H424" s="1" t="b">
        <v>0</v>
      </c>
      <c r="I424" s="1">
        <v>3</v>
      </c>
      <c r="J424" s="64" t="str" cm="1">
        <f t="array" ref="J424">_xlfn.IFS(I424=0,"Saturday",I424=1,"Sunday",I424=2,"Monday",I424=3,"Tuesday",I424=4,"Wednesday",I424=5,"Thusday",I424=6,"Friday")</f>
        <v>Tuesday</v>
      </c>
      <c r="K424" s="1">
        <v>1</v>
      </c>
      <c r="L424" s="1">
        <v>0.4</v>
      </c>
      <c r="M424" t="str">
        <f t="shared" si="7"/>
        <v>Sunny</v>
      </c>
    </row>
    <row r="425" spans="1:13" x14ac:dyDescent="0.35">
      <c r="A425" s="1">
        <v>423</v>
      </c>
      <c r="B425" s="3">
        <v>40562</v>
      </c>
      <c r="C425" s="1">
        <v>1</v>
      </c>
      <c r="D425" s="1">
        <v>0</v>
      </c>
      <c r="E425" s="1">
        <v>1</v>
      </c>
      <c r="F425" s="32">
        <v>15</v>
      </c>
      <c r="G425" s="64" t="str" cm="1">
        <f t="array" ref="G425">_xlfn.IFS(AND(F425&gt;=5,F425&lt;12),"Morning",AND(F425&gt;=12,F425&lt;17),"AfterNoon",AND(F425&gt;=17,F425&lt;20),"Evening",TRUE,"Night")</f>
        <v>AfterNoon</v>
      </c>
      <c r="H425" s="1" t="b">
        <v>0</v>
      </c>
      <c r="I425" s="1">
        <v>3</v>
      </c>
      <c r="J425" s="64" t="str" cm="1">
        <f t="array" ref="J425">_xlfn.IFS(I425=0,"Saturday",I425=1,"Sunday",I425=2,"Monday",I425=3,"Tuesday",I425=4,"Wednesday",I425=5,"Thusday",I425=6,"Friday")</f>
        <v>Tuesday</v>
      </c>
      <c r="K425" s="1">
        <v>1</v>
      </c>
      <c r="L425" s="1">
        <v>0.4</v>
      </c>
      <c r="M425" t="str">
        <f t="shared" si="7"/>
        <v>Sunny</v>
      </c>
    </row>
    <row r="426" spans="1:13" x14ac:dyDescent="0.35">
      <c r="A426" s="1">
        <v>424</v>
      </c>
      <c r="B426" s="3">
        <v>40562</v>
      </c>
      <c r="C426" s="1">
        <v>1</v>
      </c>
      <c r="D426" s="1">
        <v>0</v>
      </c>
      <c r="E426" s="1">
        <v>1</v>
      </c>
      <c r="F426" s="32">
        <v>16</v>
      </c>
      <c r="G426" s="64" t="str" cm="1">
        <f t="array" ref="G426">_xlfn.IFS(AND(F426&gt;=5,F426&lt;12),"Morning",AND(F426&gt;=12,F426&lt;17),"AfterNoon",AND(F426&gt;=17,F426&lt;20),"Evening",TRUE,"Night")</f>
        <v>AfterNoon</v>
      </c>
      <c r="H426" s="1" t="b">
        <v>0</v>
      </c>
      <c r="I426" s="1">
        <v>3</v>
      </c>
      <c r="J426" s="64" t="str" cm="1">
        <f t="array" ref="J426">_xlfn.IFS(I426=0,"Saturday",I426=1,"Sunday",I426=2,"Monday",I426=3,"Tuesday",I426=4,"Wednesday",I426=5,"Thusday",I426=6,"Friday")</f>
        <v>Tuesday</v>
      </c>
      <c r="K426" s="1">
        <v>1</v>
      </c>
      <c r="L426" s="1">
        <v>0.38</v>
      </c>
      <c r="M426" t="str">
        <f t="shared" si="7"/>
        <v>Sunny</v>
      </c>
    </row>
    <row r="427" spans="1:13" x14ac:dyDescent="0.35">
      <c r="A427" s="1">
        <v>425</v>
      </c>
      <c r="B427" s="3">
        <v>40562</v>
      </c>
      <c r="C427" s="1">
        <v>1</v>
      </c>
      <c r="D427" s="1">
        <v>0</v>
      </c>
      <c r="E427" s="1">
        <v>1</v>
      </c>
      <c r="F427" s="32">
        <v>17</v>
      </c>
      <c r="G427" s="64" t="str" cm="1">
        <f t="array" ref="G427">_xlfn.IFS(AND(F427&gt;=5,F427&lt;12),"Morning",AND(F427&gt;=12,F427&lt;17),"AfterNoon",AND(F427&gt;=17,F427&lt;20),"Evening",TRUE,"Night")</f>
        <v>Evening</v>
      </c>
      <c r="H427" s="1" t="b">
        <v>0</v>
      </c>
      <c r="I427" s="1">
        <v>3</v>
      </c>
      <c r="J427" s="64" t="str" cm="1">
        <f t="array" ref="J427">_xlfn.IFS(I427=0,"Saturday",I427=1,"Sunday",I427=2,"Monday",I427=3,"Tuesday",I427=4,"Wednesday",I427=5,"Thusday",I427=6,"Friday")</f>
        <v>Tuesday</v>
      </c>
      <c r="K427" s="1">
        <v>1</v>
      </c>
      <c r="L427" s="1">
        <v>0.36</v>
      </c>
      <c r="M427" t="str">
        <f t="shared" si="7"/>
        <v>Sunny</v>
      </c>
    </row>
    <row r="428" spans="1:13" x14ac:dyDescent="0.35">
      <c r="A428" s="1">
        <v>426</v>
      </c>
      <c r="B428" s="3">
        <v>40562</v>
      </c>
      <c r="C428" s="1">
        <v>1</v>
      </c>
      <c r="D428" s="1">
        <v>0</v>
      </c>
      <c r="E428" s="1">
        <v>1</v>
      </c>
      <c r="F428" s="32">
        <v>18</v>
      </c>
      <c r="G428" s="64" t="str" cm="1">
        <f t="array" ref="G428">_xlfn.IFS(AND(F428&gt;=5,F428&lt;12),"Morning",AND(F428&gt;=12,F428&lt;17),"AfterNoon",AND(F428&gt;=17,F428&lt;20),"Evening",TRUE,"Night")</f>
        <v>Evening</v>
      </c>
      <c r="H428" s="1" t="b">
        <v>0</v>
      </c>
      <c r="I428" s="1">
        <v>3</v>
      </c>
      <c r="J428" s="64" t="str" cm="1">
        <f t="array" ref="J428">_xlfn.IFS(I428=0,"Saturday",I428=1,"Sunday",I428=2,"Monday",I428=3,"Tuesday",I428=4,"Wednesday",I428=5,"Thusday",I428=6,"Friday")</f>
        <v>Tuesday</v>
      </c>
      <c r="K428" s="1">
        <v>1</v>
      </c>
      <c r="L428" s="1">
        <v>0.34</v>
      </c>
      <c r="M428" t="str">
        <f t="shared" si="7"/>
        <v>Sunny</v>
      </c>
    </row>
    <row r="429" spans="1:13" x14ac:dyDescent="0.35">
      <c r="A429" s="1">
        <v>427</v>
      </c>
      <c r="B429" s="3">
        <v>40562</v>
      </c>
      <c r="C429" s="1">
        <v>1</v>
      </c>
      <c r="D429" s="1">
        <v>0</v>
      </c>
      <c r="E429" s="1">
        <v>1</v>
      </c>
      <c r="F429" s="32">
        <v>19</v>
      </c>
      <c r="G429" s="64" t="str" cm="1">
        <f t="array" ref="G429">_xlfn.IFS(AND(F429&gt;=5,F429&lt;12),"Morning",AND(F429&gt;=12,F429&lt;17),"AfterNoon",AND(F429&gt;=17,F429&lt;20),"Evening",TRUE,"Night")</f>
        <v>Evening</v>
      </c>
      <c r="H429" s="1" t="b">
        <v>0</v>
      </c>
      <c r="I429" s="1">
        <v>3</v>
      </c>
      <c r="J429" s="64" t="str" cm="1">
        <f t="array" ref="J429">_xlfn.IFS(I429=0,"Saturday",I429=1,"Sunday",I429=2,"Monday",I429=3,"Tuesday",I429=4,"Wednesday",I429=5,"Thusday",I429=6,"Friday")</f>
        <v>Tuesday</v>
      </c>
      <c r="K429" s="1">
        <v>1</v>
      </c>
      <c r="L429" s="1">
        <v>0.32</v>
      </c>
      <c r="M429" t="str">
        <f t="shared" si="7"/>
        <v>Sunny</v>
      </c>
    </row>
    <row r="430" spans="1:13" x14ac:dyDescent="0.35">
      <c r="A430" s="1">
        <v>428</v>
      </c>
      <c r="B430" s="3">
        <v>40562</v>
      </c>
      <c r="C430" s="1">
        <v>1</v>
      </c>
      <c r="D430" s="1">
        <v>0</v>
      </c>
      <c r="E430" s="1">
        <v>1</v>
      </c>
      <c r="F430" s="32">
        <v>20</v>
      </c>
      <c r="G430" s="64" t="str" cm="1">
        <f t="array" ref="G430">_xlfn.IFS(AND(F430&gt;=5,F430&lt;12),"Morning",AND(F430&gt;=12,F430&lt;17),"AfterNoon",AND(F430&gt;=17,F430&lt;20),"Evening",TRUE,"Night")</f>
        <v>Night</v>
      </c>
      <c r="H430" s="1" t="b">
        <v>0</v>
      </c>
      <c r="I430" s="1">
        <v>3</v>
      </c>
      <c r="J430" s="64" t="str" cm="1">
        <f t="array" ref="J430">_xlfn.IFS(I430=0,"Saturday",I430=1,"Sunday",I430=2,"Monday",I430=3,"Tuesday",I430=4,"Wednesday",I430=5,"Thusday",I430=6,"Friday")</f>
        <v>Tuesday</v>
      </c>
      <c r="K430" s="1">
        <v>1</v>
      </c>
      <c r="L430" s="1">
        <v>0.32</v>
      </c>
      <c r="M430" t="str">
        <f t="shared" si="7"/>
        <v>Sunny</v>
      </c>
    </row>
    <row r="431" spans="1:13" x14ac:dyDescent="0.35">
      <c r="A431" s="1">
        <v>429</v>
      </c>
      <c r="B431" s="3">
        <v>40562</v>
      </c>
      <c r="C431" s="1">
        <v>1</v>
      </c>
      <c r="D431" s="1">
        <v>0</v>
      </c>
      <c r="E431" s="1">
        <v>1</v>
      </c>
      <c r="F431" s="32">
        <v>21</v>
      </c>
      <c r="G431" s="64" t="str" cm="1">
        <f t="array" ref="G431">_xlfn.IFS(AND(F431&gt;=5,F431&lt;12),"Morning",AND(F431&gt;=12,F431&lt;17),"AfterNoon",AND(F431&gt;=17,F431&lt;20),"Evening",TRUE,"Night")</f>
        <v>Night</v>
      </c>
      <c r="H431" s="1" t="b">
        <v>0</v>
      </c>
      <c r="I431" s="1">
        <v>3</v>
      </c>
      <c r="J431" s="64" t="str" cm="1">
        <f t="array" ref="J431">_xlfn.IFS(I431=0,"Saturday",I431=1,"Sunday",I431=2,"Monday",I431=3,"Tuesday",I431=4,"Wednesday",I431=5,"Thusday",I431=6,"Friday")</f>
        <v>Tuesday</v>
      </c>
      <c r="K431" s="1">
        <v>1</v>
      </c>
      <c r="L431" s="1">
        <v>0.32</v>
      </c>
      <c r="M431" t="str">
        <f t="shared" si="7"/>
        <v>Sunny</v>
      </c>
    </row>
    <row r="432" spans="1:13" x14ac:dyDescent="0.35">
      <c r="A432" s="1">
        <v>430</v>
      </c>
      <c r="B432" s="3">
        <v>40562</v>
      </c>
      <c r="C432" s="1">
        <v>1</v>
      </c>
      <c r="D432" s="1">
        <v>0</v>
      </c>
      <c r="E432" s="1">
        <v>1</v>
      </c>
      <c r="F432" s="32">
        <v>22</v>
      </c>
      <c r="G432" s="64" t="str" cm="1">
        <f t="array" ref="G432">_xlfn.IFS(AND(F432&gt;=5,F432&lt;12),"Morning",AND(F432&gt;=12,F432&lt;17),"AfterNoon",AND(F432&gt;=17,F432&lt;20),"Evening",TRUE,"Night")</f>
        <v>Night</v>
      </c>
      <c r="H432" s="1" t="b">
        <v>0</v>
      </c>
      <c r="I432" s="1">
        <v>3</v>
      </c>
      <c r="J432" s="64" t="str" cm="1">
        <f t="array" ref="J432">_xlfn.IFS(I432=0,"Saturday",I432=1,"Sunday",I432=2,"Monday",I432=3,"Tuesday",I432=4,"Wednesday",I432=5,"Thusday",I432=6,"Friday")</f>
        <v>Tuesday</v>
      </c>
      <c r="K432" s="1">
        <v>1</v>
      </c>
      <c r="L432" s="1">
        <v>0.3</v>
      </c>
      <c r="M432" t="str">
        <f t="shared" si="7"/>
        <v>Cloudy</v>
      </c>
    </row>
    <row r="433" spans="1:13" x14ac:dyDescent="0.35">
      <c r="A433" s="1">
        <v>431</v>
      </c>
      <c r="B433" s="3">
        <v>40562</v>
      </c>
      <c r="C433" s="1">
        <v>1</v>
      </c>
      <c r="D433" s="1">
        <v>0</v>
      </c>
      <c r="E433" s="1">
        <v>1</v>
      </c>
      <c r="F433" s="32">
        <v>23</v>
      </c>
      <c r="G433" s="64" t="str" cm="1">
        <f t="array" ref="G433">_xlfn.IFS(AND(F433&gt;=5,F433&lt;12),"Morning",AND(F433&gt;=12,F433&lt;17),"AfterNoon",AND(F433&gt;=17,F433&lt;20),"Evening",TRUE,"Night")</f>
        <v>Night</v>
      </c>
      <c r="H433" s="1" t="b">
        <v>0</v>
      </c>
      <c r="I433" s="1">
        <v>3</v>
      </c>
      <c r="J433" s="64" t="str" cm="1">
        <f t="array" ref="J433">_xlfn.IFS(I433=0,"Saturday",I433=1,"Sunday",I433=2,"Monday",I433=3,"Tuesday",I433=4,"Wednesday",I433=5,"Thusday",I433=6,"Friday")</f>
        <v>Tuesday</v>
      </c>
      <c r="K433" s="1">
        <v>1</v>
      </c>
      <c r="L433" s="1">
        <v>0.3</v>
      </c>
      <c r="M433" t="str">
        <f t="shared" si="7"/>
        <v>Cloudy</v>
      </c>
    </row>
    <row r="434" spans="1:13" x14ac:dyDescent="0.35">
      <c r="A434" s="1">
        <v>432</v>
      </c>
      <c r="B434" s="3">
        <v>40563</v>
      </c>
      <c r="C434" s="1">
        <v>1</v>
      </c>
      <c r="D434" s="1">
        <v>0</v>
      </c>
      <c r="E434" s="1">
        <v>1</v>
      </c>
      <c r="F434" s="32">
        <v>0</v>
      </c>
      <c r="G434" s="64" t="str" cm="1">
        <f t="array" ref="G434">_xlfn.IFS(AND(F434&gt;=5,F434&lt;12),"Morning",AND(F434&gt;=12,F434&lt;17),"AfterNoon",AND(F434&gt;=17,F434&lt;20),"Evening",TRUE,"Night")</f>
        <v>Night</v>
      </c>
      <c r="H434" s="1" t="b">
        <v>0</v>
      </c>
      <c r="I434" s="1">
        <v>4</v>
      </c>
      <c r="J434" s="64" t="str" cm="1">
        <f t="array" ref="J434">_xlfn.IFS(I434=0,"Saturday",I434=1,"Sunday",I434=2,"Monday",I434=3,"Tuesday",I434=4,"Wednesday",I434=5,"Thusday",I434=6,"Friday")</f>
        <v>Wednesday</v>
      </c>
      <c r="K434" s="1">
        <v>1</v>
      </c>
      <c r="L434" s="1">
        <v>0.26</v>
      </c>
      <c r="M434" t="str">
        <f t="shared" si="7"/>
        <v>Cloudy</v>
      </c>
    </row>
    <row r="435" spans="1:13" x14ac:dyDescent="0.35">
      <c r="A435" s="1">
        <v>433</v>
      </c>
      <c r="B435" s="3">
        <v>40563</v>
      </c>
      <c r="C435" s="1">
        <v>1</v>
      </c>
      <c r="D435" s="1">
        <v>0</v>
      </c>
      <c r="E435" s="1">
        <v>1</v>
      </c>
      <c r="F435" s="32">
        <v>1</v>
      </c>
      <c r="G435" s="64" t="str" cm="1">
        <f t="array" ref="G435">_xlfn.IFS(AND(F435&gt;=5,F435&lt;12),"Morning",AND(F435&gt;=12,F435&lt;17),"AfterNoon",AND(F435&gt;=17,F435&lt;20),"Evening",TRUE,"Night")</f>
        <v>Night</v>
      </c>
      <c r="H435" s="1" t="b">
        <v>0</v>
      </c>
      <c r="I435" s="1">
        <v>4</v>
      </c>
      <c r="J435" s="64" t="str" cm="1">
        <f t="array" ref="J435">_xlfn.IFS(I435=0,"Saturday",I435=1,"Sunday",I435=2,"Monday",I435=3,"Tuesday",I435=4,"Wednesday",I435=5,"Thusday",I435=6,"Friday")</f>
        <v>Wednesday</v>
      </c>
      <c r="K435" s="1">
        <v>1</v>
      </c>
      <c r="L435" s="1">
        <v>0.26</v>
      </c>
      <c r="M435" t="str">
        <f t="shared" si="7"/>
        <v>Cloudy</v>
      </c>
    </row>
    <row r="436" spans="1:13" x14ac:dyDescent="0.35">
      <c r="A436" s="1">
        <v>434</v>
      </c>
      <c r="B436" s="3">
        <v>40563</v>
      </c>
      <c r="C436" s="1">
        <v>1</v>
      </c>
      <c r="D436" s="1">
        <v>0</v>
      </c>
      <c r="E436" s="1">
        <v>1</v>
      </c>
      <c r="F436" s="32">
        <v>2</v>
      </c>
      <c r="G436" s="64" t="str" cm="1">
        <f t="array" ref="G436">_xlfn.IFS(AND(F436&gt;=5,F436&lt;12),"Morning",AND(F436&gt;=12,F436&lt;17),"AfterNoon",AND(F436&gt;=17,F436&lt;20),"Evening",TRUE,"Night")</f>
        <v>Night</v>
      </c>
      <c r="H436" s="1" t="b">
        <v>0</v>
      </c>
      <c r="I436" s="1">
        <v>4</v>
      </c>
      <c r="J436" s="64" t="str" cm="1">
        <f t="array" ref="J436">_xlfn.IFS(I436=0,"Saturday",I436=1,"Sunday",I436=2,"Monday",I436=3,"Tuesday",I436=4,"Wednesday",I436=5,"Thusday",I436=6,"Friday")</f>
        <v>Wednesday</v>
      </c>
      <c r="K436" s="1">
        <v>1</v>
      </c>
      <c r="L436" s="1">
        <v>0.26</v>
      </c>
      <c r="M436" t="str">
        <f t="shared" si="7"/>
        <v>Cloudy</v>
      </c>
    </row>
    <row r="437" spans="1:13" x14ac:dyDescent="0.35">
      <c r="A437" s="1">
        <v>435</v>
      </c>
      <c r="B437" s="3">
        <v>40563</v>
      </c>
      <c r="C437" s="1">
        <v>1</v>
      </c>
      <c r="D437" s="1">
        <v>0</v>
      </c>
      <c r="E437" s="1">
        <v>1</v>
      </c>
      <c r="F437" s="32">
        <v>3</v>
      </c>
      <c r="G437" s="64" t="str" cm="1">
        <f t="array" ref="G437">_xlfn.IFS(AND(F437&gt;=5,F437&lt;12),"Morning",AND(F437&gt;=12,F437&lt;17),"AfterNoon",AND(F437&gt;=17,F437&lt;20),"Evening",TRUE,"Night")</f>
        <v>Night</v>
      </c>
      <c r="H437" s="1" t="b">
        <v>0</v>
      </c>
      <c r="I437" s="1">
        <v>4</v>
      </c>
      <c r="J437" s="64" t="str" cm="1">
        <f t="array" ref="J437">_xlfn.IFS(I437=0,"Saturday",I437=1,"Sunday",I437=2,"Monday",I437=3,"Tuesday",I437=4,"Wednesday",I437=5,"Thusday",I437=6,"Friday")</f>
        <v>Wednesday</v>
      </c>
      <c r="K437" s="1">
        <v>1</v>
      </c>
      <c r="L437" s="1">
        <v>0.26</v>
      </c>
      <c r="M437" t="str">
        <f t="shared" si="7"/>
        <v>Cloudy</v>
      </c>
    </row>
    <row r="438" spans="1:13" x14ac:dyDescent="0.35">
      <c r="A438" s="1">
        <v>436</v>
      </c>
      <c r="B438" s="3">
        <v>40563</v>
      </c>
      <c r="C438" s="1">
        <v>1</v>
      </c>
      <c r="D438" s="1">
        <v>0</v>
      </c>
      <c r="E438" s="1">
        <v>1</v>
      </c>
      <c r="F438" s="32">
        <v>4</v>
      </c>
      <c r="G438" s="64" t="str" cm="1">
        <f t="array" ref="G438">_xlfn.IFS(AND(F438&gt;=5,F438&lt;12),"Morning",AND(F438&gt;=12,F438&lt;17),"AfterNoon",AND(F438&gt;=17,F438&lt;20),"Evening",TRUE,"Night")</f>
        <v>Night</v>
      </c>
      <c r="H438" s="1" t="b">
        <v>0</v>
      </c>
      <c r="I438" s="1">
        <v>4</v>
      </c>
      <c r="J438" s="64" t="str" cm="1">
        <f t="array" ref="J438">_xlfn.IFS(I438=0,"Saturday",I438=1,"Sunday",I438=2,"Monday",I438=3,"Tuesday",I438=4,"Wednesday",I438=5,"Thusday",I438=6,"Friday")</f>
        <v>Wednesday</v>
      </c>
      <c r="K438" s="1">
        <v>1</v>
      </c>
      <c r="L438" s="1">
        <v>0.26</v>
      </c>
      <c r="M438" t="str">
        <f t="shared" si="7"/>
        <v>Cloudy</v>
      </c>
    </row>
    <row r="439" spans="1:13" x14ac:dyDescent="0.35">
      <c r="A439" s="1">
        <v>437</v>
      </c>
      <c r="B439" s="3">
        <v>40563</v>
      </c>
      <c r="C439" s="1">
        <v>1</v>
      </c>
      <c r="D439" s="1">
        <v>0</v>
      </c>
      <c r="E439" s="1">
        <v>1</v>
      </c>
      <c r="F439" s="32">
        <v>5</v>
      </c>
      <c r="G439" s="64" t="str" cm="1">
        <f t="array" ref="G439">_xlfn.IFS(AND(F439&gt;=5,F439&lt;12),"Morning",AND(F439&gt;=12,F439&lt;17),"AfterNoon",AND(F439&gt;=17,F439&lt;20),"Evening",TRUE,"Night")</f>
        <v>Morning</v>
      </c>
      <c r="H439" s="1" t="b">
        <v>0</v>
      </c>
      <c r="I439" s="1">
        <v>4</v>
      </c>
      <c r="J439" s="64" t="str" cm="1">
        <f t="array" ref="J439">_xlfn.IFS(I439=0,"Saturday",I439=1,"Sunday",I439=2,"Monday",I439=3,"Tuesday",I439=4,"Wednesday",I439=5,"Thusday",I439=6,"Friday")</f>
        <v>Wednesday</v>
      </c>
      <c r="K439" s="1">
        <v>1</v>
      </c>
      <c r="L439" s="1">
        <v>0.24</v>
      </c>
      <c r="M439" t="str">
        <f t="shared" si="7"/>
        <v>Cloudy</v>
      </c>
    </row>
    <row r="440" spans="1:13" x14ac:dyDescent="0.35">
      <c r="A440" s="1">
        <v>438</v>
      </c>
      <c r="B440" s="3">
        <v>40563</v>
      </c>
      <c r="C440" s="1">
        <v>1</v>
      </c>
      <c r="D440" s="1">
        <v>0</v>
      </c>
      <c r="E440" s="1">
        <v>1</v>
      </c>
      <c r="F440" s="32">
        <v>6</v>
      </c>
      <c r="G440" s="64" t="str" cm="1">
        <f t="array" ref="G440">_xlfn.IFS(AND(F440&gt;=5,F440&lt;12),"Morning",AND(F440&gt;=12,F440&lt;17),"AfterNoon",AND(F440&gt;=17,F440&lt;20),"Evening",TRUE,"Night")</f>
        <v>Morning</v>
      </c>
      <c r="H440" s="1" t="b">
        <v>0</v>
      </c>
      <c r="I440" s="1">
        <v>4</v>
      </c>
      <c r="J440" s="64" t="str" cm="1">
        <f t="array" ref="J440">_xlfn.IFS(I440=0,"Saturday",I440=1,"Sunday",I440=2,"Monday",I440=3,"Tuesday",I440=4,"Wednesday",I440=5,"Thusday",I440=6,"Friday")</f>
        <v>Wednesday</v>
      </c>
      <c r="K440" s="1">
        <v>1</v>
      </c>
      <c r="L440" s="1">
        <v>0.22</v>
      </c>
      <c r="M440" t="str">
        <f t="shared" si="7"/>
        <v>Cloudy</v>
      </c>
    </row>
    <row r="441" spans="1:13" x14ac:dyDescent="0.35">
      <c r="A441" s="1">
        <v>439</v>
      </c>
      <c r="B441" s="3">
        <v>40563</v>
      </c>
      <c r="C441" s="1">
        <v>1</v>
      </c>
      <c r="D441" s="1">
        <v>0</v>
      </c>
      <c r="E441" s="1">
        <v>1</v>
      </c>
      <c r="F441" s="32">
        <v>7</v>
      </c>
      <c r="G441" s="64" t="str" cm="1">
        <f t="array" ref="G441">_xlfn.IFS(AND(F441&gt;=5,F441&lt;12),"Morning",AND(F441&gt;=12,F441&lt;17),"AfterNoon",AND(F441&gt;=17,F441&lt;20),"Evening",TRUE,"Night")</f>
        <v>Morning</v>
      </c>
      <c r="H441" s="1" t="b">
        <v>0</v>
      </c>
      <c r="I441" s="1">
        <v>4</v>
      </c>
      <c r="J441" s="64" t="str" cm="1">
        <f t="array" ref="J441">_xlfn.IFS(I441=0,"Saturday",I441=1,"Sunday",I441=2,"Monday",I441=3,"Tuesday",I441=4,"Wednesday",I441=5,"Thusday",I441=6,"Friday")</f>
        <v>Wednesday</v>
      </c>
      <c r="K441" s="1">
        <v>1</v>
      </c>
      <c r="L441" s="1">
        <v>0.22</v>
      </c>
      <c r="M441" t="str">
        <f t="shared" si="7"/>
        <v>Cloudy</v>
      </c>
    </row>
    <row r="442" spans="1:13" x14ac:dyDescent="0.35">
      <c r="A442" s="1">
        <v>440</v>
      </c>
      <c r="B442" s="3">
        <v>40563</v>
      </c>
      <c r="C442" s="1">
        <v>1</v>
      </c>
      <c r="D442" s="1">
        <v>0</v>
      </c>
      <c r="E442" s="1">
        <v>1</v>
      </c>
      <c r="F442" s="32">
        <v>8</v>
      </c>
      <c r="G442" s="64" t="str" cm="1">
        <f t="array" ref="G442">_xlfn.IFS(AND(F442&gt;=5,F442&lt;12),"Morning",AND(F442&gt;=12,F442&lt;17),"AfterNoon",AND(F442&gt;=17,F442&lt;20),"Evening",TRUE,"Night")</f>
        <v>Morning</v>
      </c>
      <c r="H442" s="1" t="b">
        <v>0</v>
      </c>
      <c r="I442" s="1">
        <v>4</v>
      </c>
      <c r="J442" s="64" t="str" cm="1">
        <f t="array" ref="J442">_xlfn.IFS(I442=0,"Saturday",I442=1,"Sunday",I442=2,"Monday",I442=3,"Tuesday",I442=4,"Wednesday",I442=5,"Thusday",I442=6,"Friday")</f>
        <v>Wednesday</v>
      </c>
      <c r="K442" s="1">
        <v>1</v>
      </c>
      <c r="L442" s="1">
        <v>0.22</v>
      </c>
      <c r="M442" t="str">
        <f t="shared" si="7"/>
        <v>Cloudy</v>
      </c>
    </row>
    <row r="443" spans="1:13" x14ac:dyDescent="0.35">
      <c r="A443" s="1">
        <v>441</v>
      </c>
      <c r="B443" s="3">
        <v>40563</v>
      </c>
      <c r="C443" s="1">
        <v>1</v>
      </c>
      <c r="D443" s="1">
        <v>0</v>
      </c>
      <c r="E443" s="1">
        <v>1</v>
      </c>
      <c r="F443" s="32">
        <v>9</v>
      </c>
      <c r="G443" s="64" t="str" cm="1">
        <f t="array" ref="G443">_xlfn.IFS(AND(F443&gt;=5,F443&lt;12),"Morning",AND(F443&gt;=12,F443&lt;17),"AfterNoon",AND(F443&gt;=17,F443&lt;20),"Evening",TRUE,"Night")</f>
        <v>Morning</v>
      </c>
      <c r="H443" s="1" t="b">
        <v>0</v>
      </c>
      <c r="I443" s="1">
        <v>4</v>
      </c>
      <c r="J443" s="64" t="str" cm="1">
        <f t="array" ref="J443">_xlfn.IFS(I443=0,"Saturday",I443=1,"Sunday",I443=2,"Monday",I443=3,"Tuesday",I443=4,"Wednesday",I443=5,"Thusday",I443=6,"Friday")</f>
        <v>Wednesday</v>
      </c>
      <c r="K443" s="1">
        <v>2</v>
      </c>
      <c r="L443" s="1">
        <v>0.24</v>
      </c>
      <c r="M443" t="str">
        <f t="shared" si="7"/>
        <v>Cloudy</v>
      </c>
    </row>
    <row r="444" spans="1:13" x14ac:dyDescent="0.35">
      <c r="A444" s="1">
        <v>442</v>
      </c>
      <c r="B444" s="3">
        <v>40563</v>
      </c>
      <c r="C444" s="1">
        <v>1</v>
      </c>
      <c r="D444" s="1">
        <v>0</v>
      </c>
      <c r="E444" s="1">
        <v>1</v>
      </c>
      <c r="F444" s="32">
        <v>10</v>
      </c>
      <c r="G444" s="64" t="str" cm="1">
        <f t="array" ref="G444">_xlfn.IFS(AND(F444&gt;=5,F444&lt;12),"Morning",AND(F444&gt;=12,F444&lt;17),"AfterNoon",AND(F444&gt;=17,F444&lt;20),"Evening",TRUE,"Night")</f>
        <v>Morning</v>
      </c>
      <c r="H444" s="1" t="b">
        <v>0</v>
      </c>
      <c r="I444" s="1">
        <v>4</v>
      </c>
      <c r="J444" s="64" t="str" cm="1">
        <f t="array" ref="J444">_xlfn.IFS(I444=0,"Saturday",I444=1,"Sunday",I444=2,"Monday",I444=3,"Tuesday",I444=4,"Wednesday",I444=5,"Thusday",I444=6,"Friday")</f>
        <v>Wednesday</v>
      </c>
      <c r="K444" s="1">
        <v>1</v>
      </c>
      <c r="L444" s="1">
        <v>0.26</v>
      </c>
      <c r="M444" t="str">
        <f t="shared" si="7"/>
        <v>Cloudy</v>
      </c>
    </row>
    <row r="445" spans="1:13" x14ac:dyDescent="0.35">
      <c r="A445" s="1">
        <v>443</v>
      </c>
      <c r="B445" s="3">
        <v>40563</v>
      </c>
      <c r="C445" s="1">
        <v>1</v>
      </c>
      <c r="D445" s="1">
        <v>0</v>
      </c>
      <c r="E445" s="1">
        <v>1</v>
      </c>
      <c r="F445" s="32">
        <v>11</v>
      </c>
      <c r="G445" s="64" t="str" cm="1">
        <f t="array" ref="G445">_xlfn.IFS(AND(F445&gt;=5,F445&lt;12),"Morning",AND(F445&gt;=12,F445&lt;17),"AfterNoon",AND(F445&gt;=17,F445&lt;20),"Evening",TRUE,"Night")</f>
        <v>Morning</v>
      </c>
      <c r="H445" s="1" t="b">
        <v>0</v>
      </c>
      <c r="I445" s="1">
        <v>4</v>
      </c>
      <c r="J445" s="64" t="str" cm="1">
        <f t="array" ref="J445">_xlfn.IFS(I445=0,"Saturday",I445=1,"Sunday",I445=2,"Monday",I445=3,"Tuesday",I445=4,"Wednesday",I445=5,"Thusday",I445=6,"Friday")</f>
        <v>Wednesday</v>
      </c>
      <c r="K445" s="1">
        <v>2</v>
      </c>
      <c r="L445" s="1">
        <v>0.28000000000000003</v>
      </c>
      <c r="M445" t="str">
        <f t="shared" si="7"/>
        <v>Cloudy</v>
      </c>
    </row>
    <row r="446" spans="1:13" x14ac:dyDescent="0.35">
      <c r="A446" s="1">
        <v>444</v>
      </c>
      <c r="B446" s="3">
        <v>40563</v>
      </c>
      <c r="C446" s="1">
        <v>1</v>
      </c>
      <c r="D446" s="1">
        <v>0</v>
      </c>
      <c r="E446" s="1">
        <v>1</v>
      </c>
      <c r="F446" s="32">
        <v>12</v>
      </c>
      <c r="G446" s="64" t="str" cm="1">
        <f t="array" ref="G446">_xlfn.IFS(AND(F446&gt;=5,F446&lt;12),"Morning",AND(F446&gt;=12,F446&lt;17),"AfterNoon",AND(F446&gt;=17,F446&lt;20),"Evening",TRUE,"Night")</f>
        <v>AfterNoon</v>
      </c>
      <c r="H446" s="1" t="b">
        <v>0</v>
      </c>
      <c r="I446" s="1">
        <v>4</v>
      </c>
      <c r="J446" s="64" t="str" cm="1">
        <f t="array" ref="J446">_xlfn.IFS(I446=0,"Saturday",I446=1,"Sunday",I446=2,"Monday",I446=3,"Tuesday",I446=4,"Wednesday",I446=5,"Thusday",I446=6,"Friday")</f>
        <v>Wednesday</v>
      </c>
      <c r="K446" s="1">
        <v>2</v>
      </c>
      <c r="L446" s="1">
        <v>0.3</v>
      </c>
      <c r="M446" t="str">
        <f t="shared" si="7"/>
        <v>Cloudy</v>
      </c>
    </row>
    <row r="447" spans="1:13" x14ac:dyDescent="0.35">
      <c r="A447" s="1">
        <v>445</v>
      </c>
      <c r="B447" s="3">
        <v>40563</v>
      </c>
      <c r="C447" s="1">
        <v>1</v>
      </c>
      <c r="D447" s="1">
        <v>0</v>
      </c>
      <c r="E447" s="1">
        <v>1</v>
      </c>
      <c r="F447" s="32">
        <v>13</v>
      </c>
      <c r="G447" s="64" t="str" cm="1">
        <f t="array" ref="G447">_xlfn.IFS(AND(F447&gt;=5,F447&lt;12),"Morning",AND(F447&gt;=12,F447&lt;17),"AfterNoon",AND(F447&gt;=17,F447&lt;20),"Evening",TRUE,"Night")</f>
        <v>AfterNoon</v>
      </c>
      <c r="H447" s="1" t="b">
        <v>0</v>
      </c>
      <c r="I447" s="1">
        <v>4</v>
      </c>
      <c r="J447" s="64" t="str" cm="1">
        <f t="array" ref="J447">_xlfn.IFS(I447=0,"Saturday",I447=1,"Sunday",I447=2,"Monday",I447=3,"Tuesday",I447=4,"Wednesday",I447=5,"Thusday",I447=6,"Friday")</f>
        <v>Wednesday</v>
      </c>
      <c r="K447" s="1">
        <v>2</v>
      </c>
      <c r="L447" s="1">
        <v>0.28000000000000003</v>
      </c>
      <c r="M447" t="str">
        <f t="shared" si="7"/>
        <v>Cloudy</v>
      </c>
    </row>
    <row r="448" spans="1:13" x14ac:dyDescent="0.35">
      <c r="A448" s="1">
        <v>446</v>
      </c>
      <c r="B448" s="3">
        <v>40563</v>
      </c>
      <c r="C448" s="1">
        <v>1</v>
      </c>
      <c r="D448" s="1">
        <v>0</v>
      </c>
      <c r="E448" s="1">
        <v>1</v>
      </c>
      <c r="F448" s="32">
        <v>14</v>
      </c>
      <c r="G448" s="64" t="str" cm="1">
        <f t="array" ref="G448">_xlfn.IFS(AND(F448&gt;=5,F448&lt;12),"Morning",AND(F448&gt;=12,F448&lt;17),"AfterNoon",AND(F448&gt;=17,F448&lt;20),"Evening",TRUE,"Night")</f>
        <v>AfterNoon</v>
      </c>
      <c r="H448" s="1" t="b">
        <v>0</v>
      </c>
      <c r="I448" s="1">
        <v>4</v>
      </c>
      <c r="J448" s="64" t="str" cm="1">
        <f t="array" ref="J448">_xlfn.IFS(I448=0,"Saturday",I448=1,"Sunday",I448=2,"Monday",I448=3,"Tuesday",I448=4,"Wednesday",I448=5,"Thusday",I448=6,"Friday")</f>
        <v>Wednesday</v>
      </c>
      <c r="K448" s="1">
        <v>2</v>
      </c>
      <c r="L448" s="1">
        <v>0.3</v>
      </c>
      <c r="M448" t="str">
        <f t="shared" si="7"/>
        <v>Cloudy</v>
      </c>
    </row>
    <row r="449" spans="1:13" x14ac:dyDescent="0.35">
      <c r="A449" s="1">
        <v>447</v>
      </c>
      <c r="B449" s="3">
        <v>40563</v>
      </c>
      <c r="C449" s="1">
        <v>1</v>
      </c>
      <c r="D449" s="1">
        <v>0</v>
      </c>
      <c r="E449" s="1">
        <v>1</v>
      </c>
      <c r="F449" s="32">
        <v>15</v>
      </c>
      <c r="G449" s="64" t="str" cm="1">
        <f t="array" ref="G449">_xlfn.IFS(AND(F449&gt;=5,F449&lt;12),"Morning",AND(F449&gt;=12,F449&lt;17),"AfterNoon",AND(F449&gt;=17,F449&lt;20),"Evening",TRUE,"Night")</f>
        <v>AfterNoon</v>
      </c>
      <c r="H449" s="1" t="b">
        <v>0</v>
      </c>
      <c r="I449" s="1">
        <v>4</v>
      </c>
      <c r="J449" s="64" t="str" cm="1">
        <f t="array" ref="J449">_xlfn.IFS(I449=0,"Saturday",I449=1,"Sunday",I449=2,"Monday",I449=3,"Tuesday",I449=4,"Wednesday",I449=5,"Thusday",I449=6,"Friday")</f>
        <v>Wednesday</v>
      </c>
      <c r="K449" s="1">
        <v>2</v>
      </c>
      <c r="L449" s="1">
        <v>0.32</v>
      </c>
      <c r="M449" t="str">
        <f t="shared" si="7"/>
        <v>Sunny</v>
      </c>
    </row>
    <row r="450" spans="1:13" x14ac:dyDescent="0.35">
      <c r="A450" s="1">
        <v>448</v>
      </c>
      <c r="B450" s="3">
        <v>40563</v>
      </c>
      <c r="C450" s="1">
        <v>1</v>
      </c>
      <c r="D450" s="1">
        <v>0</v>
      </c>
      <c r="E450" s="1">
        <v>1</v>
      </c>
      <c r="F450" s="32">
        <v>16</v>
      </c>
      <c r="G450" s="64" t="str" cm="1">
        <f t="array" ref="G450">_xlfn.IFS(AND(F450&gt;=5,F450&lt;12),"Morning",AND(F450&gt;=12,F450&lt;17),"AfterNoon",AND(F450&gt;=17,F450&lt;20),"Evening",TRUE,"Night")</f>
        <v>AfterNoon</v>
      </c>
      <c r="H450" s="1" t="b">
        <v>0</v>
      </c>
      <c r="I450" s="1">
        <v>4</v>
      </c>
      <c r="J450" s="64" t="str" cm="1">
        <f t="array" ref="J450">_xlfn.IFS(I450=0,"Saturday",I450=1,"Sunday",I450=2,"Monday",I450=3,"Tuesday",I450=4,"Wednesday",I450=5,"Thusday",I450=6,"Friday")</f>
        <v>Wednesday</v>
      </c>
      <c r="K450" s="1">
        <v>2</v>
      </c>
      <c r="L450" s="1">
        <v>0.3</v>
      </c>
      <c r="M450" t="str">
        <f t="shared" si="7"/>
        <v>Cloudy</v>
      </c>
    </row>
    <row r="451" spans="1:13" x14ac:dyDescent="0.35">
      <c r="A451" s="1">
        <v>449</v>
      </c>
      <c r="B451" s="3">
        <v>40563</v>
      </c>
      <c r="C451" s="1">
        <v>1</v>
      </c>
      <c r="D451" s="1">
        <v>0</v>
      </c>
      <c r="E451" s="1">
        <v>1</v>
      </c>
      <c r="F451" s="32">
        <v>17</v>
      </c>
      <c r="G451" s="64" t="str" cm="1">
        <f t="array" ref="G451">_xlfn.IFS(AND(F451&gt;=5,F451&lt;12),"Morning",AND(F451&gt;=12,F451&lt;17),"AfterNoon",AND(F451&gt;=17,F451&lt;20),"Evening",TRUE,"Night")</f>
        <v>Evening</v>
      </c>
      <c r="H451" s="1" t="b">
        <v>0</v>
      </c>
      <c r="I451" s="1">
        <v>4</v>
      </c>
      <c r="J451" s="64" t="str" cm="1">
        <f t="array" ref="J451">_xlfn.IFS(I451=0,"Saturday",I451=1,"Sunday",I451=2,"Monday",I451=3,"Tuesday",I451=4,"Wednesday",I451=5,"Thusday",I451=6,"Friday")</f>
        <v>Wednesday</v>
      </c>
      <c r="K451" s="1">
        <v>2</v>
      </c>
      <c r="L451" s="1">
        <v>0.3</v>
      </c>
      <c r="M451" t="str">
        <f t="shared" si="7"/>
        <v>Cloudy</v>
      </c>
    </row>
    <row r="452" spans="1:13" x14ac:dyDescent="0.35">
      <c r="A452" s="1">
        <v>450</v>
      </c>
      <c r="B452" s="3">
        <v>40563</v>
      </c>
      <c r="C452" s="1">
        <v>1</v>
      </c>
      <c r="D452" s="1">
        <v>0</v>
      </c>
      <c r="E452" s="1">
        <v>1</v>
      </c>
      <c r="F452" s="32">
        <v>18</v>
      </c>
      <c r="G452" s="64" t="str" cm="1">
        <f t="array" ref="G452">_xlfn.IFS(AND(F452&gt;=5,F452&lt;12),"Morning",AND(F452&gt;=12,F452&lt;17),"AfterNoon",AND(F452&gt;=17,F452&lt;20),"Evening",TRUE,"Night")</f>
        <v>Evening</v>
      </c>
      <c r="H452" s="1" t="b">
        <v>0</v>
      </c>
      <c r="I452" s="1">
        <v>4</v>
      </c>
      <c r="J452" s="64" t="str" cm="1">
        <f t="array" ref="J452">_xlfn.IFS(I452=0,"Saturday",I452=1,"Sunday",I452=2,"Monday",I452=3,"Tuesday",I452=4,"Wednesday",I452=5,"Thusday",I452=6,"Friday")</f>
        <v>Wednesday</v>
      </c>
      <c r="K452" s="1">
        <v>2</v>
      </c>
      <c r="L452" s="1">
        <v>0.26</v>
      </c>
      <c r="M452" t="str">
        <f t="shared" ref="M452:M515" si="8">IF(L452&lt;=0.1,"Stromy",IF(L452&lt;=0.2,"Rainy",IF(L452&lt;=0.3,"Cloudy","Sunny")))</f>
        <v>Cloudy</v>
      </c>
    </row>
    <row r="453" spans="1:13" x14ac:dyDescent="0.35">
      <c r="A453" s="1">
        <v>451</v>
      </c>
      <c r="B453" s="3">
        <v>40563</v>
      </c>
      <c r="C453" s="1">
        <v>1</v>
      </c>
      <c r="D453" s="1">
        <v>0</v>
      </c>
      <c r="E453" s="1">
        <v>1</v>
      </c>
      <c r="F453" s="32">
        <v>19</v>
      </c>
      <c r="G453" s="64" t="str" cm="1">
        <f t="array" ref="G453">_xlfn.IFS(AND(F453&gt;=5,F453&lt;12),"Morning",AND(F453&gt;=12,F453&lt;17),"AfterNoon",AND(F453&gt;=17,F453&lt;20),"Evening",TRUE,"Night")</f>
        <v>Evening</v>
      </c>
      <c r="H453" s="1" t="b">
        <v>0</v>
      </c>
      <c r="I453" s="1">
        <v>4</v>
      </c>
      <c r="J453" s="64" t="str" cm="1">
        <f t="array" ref="J453">_xlfn.IFS(I453=0,"Saturday",I453=1,"Sunday",I453=2,"Monday",I453=3,"Tuesday",I453=4,"Wednesday",I453=5,"Thusday",I453=6,"Friday")</f>
        <v>Wednesday</v>
      </c>
      <c r="K453" s="1">
        <v>1</v>
      </c>
      <c r="L453" s="1">
        <v>0.26</v>
      </c>
      <c r="M453" t="str">
        <f t="shared" si="8"/>
        <v>Cloudy</v>
      </c>
    </row>
    <row r="454" spans="1:13" x14ac:dyDescent="0.35">
      <c r="A454" s="1">
        <v>452</v>
      </c>
      <c r="B454" s="3">
        <v>40563</v>
      </c>
      <c r="C454" s="1">
        <v>1</v>
      </c>
      <c r="D454" s="1">
        <v>0</v>
      </c>
      <c r="E454" s="1">
        <v>1</v>
      </c>
      <c r="F454" s="32">
        <v>20</v>
      </c>
      <c r="G454" s="64" t="str" cm="1">
        <f t="array" ref="G454">_xlfn.IFS(AND(F454&gt;=5,F454&lt;12),"Morning",AND(F454&gt;=12,F454&lt;17),"AfterNoon",AND(F454&gt;=17,F454&lt;20),"Evening",TRUE,"Night")</f>
        <v>Night</v>
      </c>
      <c r="H454" s="1" t="b">
        <v>0</v>
      </c>
      <c r="I454" s="1">
        <v>4</v>
      </c>
      <c r="J454" s="64" t="str" cm="1">
        <f t="array" ref="J454">_xlfn.IFS(I454=0,"Saturday",I454=1,"Sunday",I454=2,"Monday",I454=3,"Tuesday",I454=4,"Wednesday",I454=5,"Thusday",I454=6,"Friday")</f>
        <v>Wednesday</v>
      </c>
      <c r="K454" s="1">
        <v>2</v>
      </c>
      <c r="L454" s="1">
        <v>0.26</v>
      </c>
      <c r="M454" t="str">
        <f t="shared" si="8"/>
        <v>Cloudy</v>
      </c>
    </row>
    <row r="455" spans="1:13" x14ac:dyDescent="0.35">
      <c r="A455" s="1">
        <v>453</v>
      </c>
      <c r="B455" s="3">
        <v>40563</v>
      </c>
      <c r="C455" s="1">
        <v>1</v>
      </c>
      <c r="D455" s="1">
        <v>0</v>
      </c>
      <c r="E455" s="1">
        <v>1</v>
      </c>
      <c r="F455" s="32">
        <v>21</v>
      </c>
      <c r="G455" s="64" t="str" cm="1">
        <f t="array" ref="G455">_xlfn.IFS(AND(F455&gt;=5,F455&lt;12),"Morning",AND(F455&gt;=12,F455&lt;17),"AfterNoon",AND(F455&gt;=17,F455&lt;20),"Evening",TRUE,"Night")</f>
        <v>Night</v>
      </c>
      <c r="H455" s="1" t="b">
        <v>0</v>
      </c>
      <c r="I455" s="1">
        <v>4</v>
      </c>
      <c r="J455" s="64" t="str" cm="1">
        <f t="array" ref="J455">_xlfn.IFS(I455=0,"Saturday",I455=1,"Sunday",I455=2,"Monday",I455=3,"Tuesday",I455=4,"Wednesday",I455=5,"Thusday",I455=6,"Friday")</f>
        <v>Wednesday</v>
      </c>
      <c r="K455" s="1">
        <v>2</v>
      </c>
      <c r="L455" s="1">
        <v>0.24</v>
      </c>
      <c r="M455" t="str">
        <f t="shared" si="8"/>
        <v>Cloudy</v>
      </c>
    </row>
    <row r="456" spans="1:13" x14ac:dyDescent="0.35">
      <c r="A456" s="1">
        <v>454</v>
      </c>
      <c r="B456" s="3">
        <v>40563</v>
      </c>
      <c r="C456" s="1">
        <v>1</v>
      </c>
      <c r="D456" s="1">
        <v>0</v>
      </c>
      <c r="E456" s="1">
        <v>1</v>
      </c>
      <c r="F456" s="32">
        <v>22</v>
      </c>
      <c r="G456" s="64" t="str" cm="1">
        <f t="array" ref="G456">_xlfn.IFS(AND(F456&gt;=5,F456&lt;12),"Morning",AND(F456&gt;=12,F456&lt;17),"AfterNoon",AND(F456&gt;=17,F456&lt;20),"Evening",TRUE,"Night")</f>
        <v>Night</v>
      </c>
      <c r="H456" s="1" t="b">
        <v>0</v>
      </c>
      <c r="I456" s="1">
        <v>4</v>
      </c>
      <c r="J456" s="64" t="str" cm="1">
        <f t="array" ref="J456">_xlfn.IFS(I456=0,"Saturday",I456=1,"Sunday",I456=2,"Monday",I456=3,"Tuesday",I456=4,"Wednesday",I456=5,"Thusday",I456=6,"Friday")</f>
        <v>Wednesday</v>
      </c>
      <c r="K456" s="1">
        <v>2</v>
      </c>
      <c r="L456" s="1">
        <v>0.24</v>
      </c>
      <c r="M456" t="str">
        <f t="shared" si="8"/>
        <v>Cloudy</v>
      </c>
    </row>
    <row r="457" spans="1:13" x14ac:dyDescent="0.35">
      <c r="A457" s="1">
        <v>455</v>
      </c>
      <c r="B457" s="3">
        <v>40563</v>
      </c>
      <c r="C457" s="1">
        <v>1</v>
      </c>
      <c r="D457" s="1">
        <v>0</v>
      </c>
      <c r="E457" s="1">
        <v>1</v>
      </c>
      <c r="F457" s="32">
        <v>23</v>
      </c>
      <c r="G457" s="64" t="str" cm="1">
        <f t="array" ref="G457">_xlfn.IFS(AND(F457&gt;=5,F457&lt;12),"Morning",AND(F457&gt;=12,F457&lt;17),"AfterNoon",AND(F457&gt;=17,F457&lt;20),"Evening",TRUE,"Night")</f>
        <v>Night</v>
      </c>
      <c r="H457" s="1" t="b">
        <v>0</v>
      </c>
      <c r="I457" s="1">
        <v>4</v>
      </c>
      <c r="J457" s="64" t="str" cm="1">
        <f t="array" ref="J457">_xlfn.IFS(I457=0,"Saturday",I457=1,"Sunday",I457=2,"Monday",I457=3,"Tuesday",I457=4,"Wednesday",I457=5,"Thusday",I457=6,"Friday")</f>
        <v>Wednesday</v>
      </c>
      <c r="K457" s="1">
        <v>2</v>
      </c>
      <c r="L457" s="1">
        <v>0.24</v>
      </c>
      <c r="M457" t="str">
        <f t="shared" si="8"/>
        <v>Cloudy</v>
      </c>
    </row>
    <row r="458" spans="1:13" x14ac:dyDescent="0.35">
      <c r="A458" s="1">
        <v>456</v>
      </c>
      <c r="B458" s="3">
        <v>40564</v>
      </c>
      <c r="C458" s="1">
        <v>1</v>
      </c>
      <c r="D458" s="1">
        <v>0</v>
      </c>
      <c r="E458" s="1">
        <v>1</v>
      </c>
      <c r="F458" s="32">
        <v>0</v>
      </c>
      <c r="G458" s="64" t="str" cm="1">
        <f t="array" ref="G458">_xlfn.IFS(AND(F458&gt;=5,F458&lt;12),"Morning",AND(F458&gt;=12,F458&lt;17),"AfterNoon",AND(F458&gt;=17,F458&lt;20),"Evening",TRUE,"Night")</f>
        <v>Night</v>
      </c>
      <c r="H458" s="1" t="b">
        <v>0</v>
      </c>
      <c r="I458" s="1">
        <v>5</v>
      </c>
      <c r="J458" s="64" t="str" cm="1">
        <f t="array" ref="J458">_xlfn.IFS(I458=0,"Saturday",I458=1,"Sunday",I458=2,"Monday",I458=3,"Tuesday",I458=4,"Wednesday",I458=5,"Thusday",I458=6,"Friday")</f>
        <v>Thusday</v>
      </c>
      <c r="K458" s="1">
        <v>2</v>
      </c>
      <c r="L458" s="1">
        <v>0.24</v>
      </c>
      <c r="M458" t="str">
        <f t="shared" si="8"/>
        <v>Cloudy</v>
      </c>
    </row>
    <row r="459" spans="1:13" x14ac:dyDescent="0.35">
      <c r="A459" s="1">
        <v>457</v>
      </c>
      <c r="B459" s="3">
        <v>40564</v>
      </c>
      <c r="C459" s="1">
        <v>1</v>
      </c>
      <c r="D459" s="1">
        <v>0</v>
      </c>
      <c r="E459" s="1">
        <v>1</v>
      </c>
      <c r="F459" s="32">
        <v>1</v>
      </c>
      <c r="G459" s="64" t="str" cm="1">
        <f t="array" ref="G459">_xlfn.IFS(AND(F459&gt;=5,F459&lt;12),"Morning",AND(F459&gt;=12,F459&lt;17),"AfterNoon",AND(F459&gt;=17,F459&lt;20),"Evening",TRUE,"Night")</f>
        <v>Night</v>
      </c>
      <c r="H459" s="1" t="b">
        <v>0</v>
      </c>
      <c r="I459" s="1">
        <v>5</v>
      </c>
      <c r="J459" s="64" t="str" cm="1">
        <f t="array" ref="J459">_xlfn.IFS(I459=0,"Saturday",I459=1,"Sunday",I459=2,"Monday",I459=3,"Tuesday",I459=4,"Wednesday",I459=5,"Thusday",I459=6,"Friday")</f>
        <v>Thusday</v>
      </c>
      <c r="K459" s="1">
        <v>2</v>
      </c>
      <c r="L459" s="1">
        <v>0.24</v>
      </c>
      <c r="M459" t="str">
        <f t="shared" si="8"/>
        <v>Cloudy</v>
      </c>
    </row>
    <row r="460" spans="1:13" x14ac:dyDescent="0.35">
      <c r="A460" s="1">
        <v>458</v>
      </c>
      <c r="B460" s="3">
        <v>40564</v>
      </c>
      <c r="C460" s="1">
        <v>1</v>
      </c>
      <c r="D460" s="1">
        <v>0</v>
      </c>
      <c r="E460" s="1">
        <v>1</v>
      </c>
      <c r="F460" s="32">
        <v>2</v>
      </c>
      <c r="G460" s="64" t="str" cm="1">
        <f t="array" ref="G460">_xlfn.IFS(AND(F460&gt;=5,F460&lt;12),"Morning",AND(F460&gt;=12,F460&lt;17),"AfterNoon",AND(F460&gt;=17,F460&lt;20),"Evening",TRUE,"Night")</f>
        <v>Night</v>
      </c>
      <c r="H460" s="1" t="b">
        <v>0</v>
      </c>
      <c r="I460" s="1">
        <v>5</v>
      </c>
      <c r="J460" s="64" t="str" cm="1">
        <f t="array" ref="J460">_xlfn.IFS(I460=0,"Saturday",I460=1,"Sunday",I460=2,"Monday",I460=3,"Tuesday",I460=4,"Wednesday",I460=5,"Thusday",I460=6,"Friday")</f>
        <v>Thusday</v>
      </c>
      <c r="K460" s="1">
        <v>3</v>
      </c>
      <c r="L460" s="1">
        <v>0.24</v>
      </c>
      <c r="M460" t="str">
        <f t="shared" si="8"/>
        <v>Cloudy</v>
      </c>
    </row>
    <row r="461" spans="1:13" x14ac:dyDescent="0.35">
      <c r="A461" s="1">
        <v>459</v>
      </c>
      <c r="B461" s="3">
        <v>40564</v>
      </c>
      <c r="C461" s="1">
        <v>1</v>
      </c>
      <c r="D461" s="1">
        <v>0</v>
      </c>
      <c r="E461" s="1">
        <v>1</v>
      </c>
      <c r="F461" s="32">
        <v>3</v>
      </c>
      <c r="G461" s="64" t="str" cm="1">
        <f t="array" ref="G461">_xlfn.IFS(AND(F461&gt;=5,F461&lt;12),"Morning",AND(F461&gt;=12,F461&lt;17),"AfterNoon",AND(F461&gt;=17,F461&lt;20),"Evening",TRUE,"Night")</f>
        <v>Night</v>
      </c>
      <c r="H461" s="1" t="b">
        <v>0</v>
      </c>
      <c r="I461" s="1">
        <v>5</v>
      </c>
      <c r="J461" s="64" t="str" cm="1">
        <f t="array" ref="J461">_xlfn.IFS(I461=0,"Saturday",I461=1,"Sunday",I461=2,"Monday",I461=3,"Tuesday",I461=4,"Wednesday",I461=5,"Thusday",I461=6,"Friday")</f>
        <v>Thusday</v>
      </c>
      <c r="K461" s="1">
        <v>3</v>
      </c>
      <c r="L461" s="1">
        <v>0.22</v>
      </c>
      <c r="M461" t="str">
        <f t="shared" si="8"/>
        <v>Cloudy</v>
      </c>
    </row>
    <row r="462" spans="1:13" x14ac:dyDescent="0.35">
      <c r="A462" s="1">
        <v>460</v>
      </c>
      <c r="B462" s="3">
        <v>40564</v>
      </c>
      <c r="C462" s="1">
        <v>1</v>
      </c>
      <c r="D462" s="1">
        <v>0</v>
      </c>
      <c r="E462" s="1">
        <v>1</v>
      </c>
      <c r="F462" s="32">
        <v>4</v>
      </c>
      <c r="G462" s="64" t="str" cm="1">
        <f t="array" ref="G462">_xlfn.IFS(AND(F462&gt;=5,F462&lt;12),"Morning",AND(F462&gt;=12,F462&lt;17),"AfterNoon",AND(F462&gt;=17,F462&lt;20),"Evening",TRUE,"Night")</f>
        <v>Night</v>
      </c>
      <c r="H462" s="1" t="b">
        <v>0</v>
      </c>
      <c r="I462" s="1">
        <v>5</v>
      </c>
      <c r="J462" s="64" t="str" cm="1">
        <f t="array" ref="J462">_xlfn.IFS(I462=0,"Saturday",I462=1,"Sunday",I462=2,"Monday",I462=3,"Tuesday",I462=4,"Wednesday",I462=5,"Thusday",I462=6,"Friday")</f>
        <v>Thusday</v>
      </c>
      <c r="K462" s="1">
        <v>2</v>
      </c>
      <c r="L462" s="1">
        <v>0.22</v>
      </c>
      <c r="M462" t="str">
        <f t="shared" si="8"/>
        <v>Cloudy</v>
      </c>
    </row>
    <row r="463" spans="1:13" x14ac:dyDescent="0.35">
      <c r="A463" s="1">
        <v>461</v>
      </c>
      <c r="B463" s="3">
        <v>40564</v>
      </c>
      <c r="C463" s="1">
        <v>1</v>
      </c>
      <c r="D463" s="1">
        <v>0</v>
      </c>
      <c r="E463" s="1">
        <v>1</v>
      </c>
      <c r="F463" s="32">
        <v>5</v>
      </c>
      <c r="G463" s="64" t="str" cm="1">
        <f t="array" ref="G463">_xlfn.IFS(AND(F463&gt;=5,F463&lt;12),"Morning",AND(F463&gt;=12,F463&lt;17),"AfterNoon",AND(F463&gt;=17,F463&lt;20),"Evening",TRUE,"Night")</f>
        <v>Morning</v>
      </c>
      <c r="H463" s="1" t="b">
        <v>0</v>
      </c>
      <c r="I463" s="1">
        <v>5</v>
      </c>
      <c r="J463" s="64" t="str" cm="1">
        <f t="array" ref="J463">_xlfn.IFS(I463=0,"Saturday",I463=1,"Sunday",I463=2,"Monday",I463=3,"Tuesday",I463=4,"Wednesday",I463=5,"Thusday",I463=6,"Friday")</f>
        <v>Thusday</v>
      </c>
      <c r="K463" s="1">
        <v>1</v>
      </c>
      <c r="L463" s="1">
        <v>0.24</v>
      </c>
      <c r="M463" t="str">
        <f t="shared" si="8"/>
        <v>Cloudy</v>
      </c>
    </row>
    <row r="464" spans="1:13" x14ac:dyDescent="0.35">
      <c r="A464" s="1">
        <v>462</v>
      </c>
      <c r="B464" s="3">
        <v>40564</v>
      </c>
      <c r="C464" s="1">
        <v>1</v>
      </c>
      <c r="D464" s="1">
        <v>0</v>
      </c>
      <c r="E464" s="1">
        <v>1</v>
      </c>
      <c r="F464" s="32">
        <v>6</v>
      </c>
      <c r="G464" s="64" t="str" cm="1">
        <f t="array" ref="G464">_xlfn.IFS(AND(F464&gt;=5,F464&lt;12),"Morning",AND(F464&gt;=12,F464&lt;17),"AfterNoon",AND(F464&gt;=17,F464&lt;20),"Evening",TRUE,"Night")</f>
        <v>Morning</v>
      </c>
      <c r="H464" s="1" t="b">
        <v>0</v>
      </c>
      <c r="I464" s="1">
        <v>5</v>
      </c>
      <c r="J464" s="64" t="str" cm="1">
        <f t="array" ref="J464">_xlfn.IFS(I464=0,"Saturday",I464=1,"Sunday",I464=2,"Monday",I464=3,"Tuesday",I464=4,"Wednesday",I464=5,"Thusday",I464=6,"Friday")</f>
        <v>Thusday</v>
      </c>
      <c r="K464" s="1">
        <v>1</v>
      </c>
      <c r="L464" s="1">
        <v>0.22</v>
      </c>
      <c r="M464" t="str">
        <f t="shared" si="8"/>
        <v>Cloudy</v>
      </c>
    </row>
    <row r="465" spans="1:13" x14ac:dyDescent="0.35">
      <c r="A465" s="1">
        <v>463</v>
      </c>
      <c r="B465" s="3">
        <v>40564</v>
      </c>
      <c r="C465" s="1">
        <v>1</v>
      </c>
      <c r="D465" s="1">
        <v>0</v>
      </c>
      <c r="E465" s="1">
        <v>1</v>
      </c>
      <c r="F465" s="32">
        <v>7</v>
      </c>
      <c r="G465" s="64" t="str" cm="1">
        <f t="array" ref="G465">_xlfn.IFS(AND(F465&gt;=5,F465&lt;12),"Morning",AND(F465&gt;=12,F465&lt;17),"AfterNoon",AND(F465&gt;=17,F465&lt;20),"Evening",TRUE,"Night")</f>
        <v>Morning</v>
      </c>
      <c r="H465" s="1" t="b">
        <v>0</v>
      </c>
      <c r="I465" s="1">
        <v>5</v>
      </c>
      <c r="J465" s="64" t="str" cm="1">
        <f t="array" ref="J465">_xlfn.IFS(I465=0,"Saturday",I465=1,"Sunday",I465=2,"Monday",I465=3,"Tuesday",I465=4,"Wednesday",I465=5,"Thusday",I465=6,"Friday")</f>
        <v>Thusday</v>
      </c>
      <c r="K465" s="1">
        <v>1</v>
      </c>
      <c r="L465" s="1">
        <v>0.2</v>
      </c>
      <c r="M465" t="str">
        <f t="shared" si="8"/>
        <v>Rainy</v>
      </c>
    </row>
    <row r="466" spans="1:13" x14ac:dyDescent="0.35">
      <c r="A466" s="1">
        <v>464</v>
      </c>
      <c r="B466" s="3">
        <v>40564</v>
      </c>
      <c r="C466" s="1">
        <v>1</v>
      </c>
      <c r="D466" s="1">
        <v>0</v>
      </c>
      <c r="E466" s="1">
        <v>1</v>
      </c>
      <c r="F466" s="32">
        <v>8</v>
      </c>
      <c r="G466" s="64" t="str" cm="1">
        <f t="array" ref="G466">_xlfn.IFS(AND(F466&gt;=5,F466&lt;12),"Morning",AND(F466&gt;=12,F466&lt;17),"AfterNoon",AND(F466&gt;=17,F466&lt;20),"Evening",TRUE,"Night")</f>
        <v>Morning</v>
      </c>
      <c r="H466" s="1" t="b">
        <v>0</v>
      </c>
      <c r="I466" s="1">
        <v>5</v>
      </c>
      <c r="J466" s="64" t="str" cm="1">
        <f t="array" ref="J466">_xlfn.IFS(I466=0,"Saturday",I466=1,"Sunday",I466=2,"Monday",I466=3,"Tuesday",I466=4,"Wednesday",I466=5,"Thusday",I466=6,"Friday")</f>
        <v>Thusday</v>
      </c>
      <c r="K466" s="1">
        <v>1</v>
      </c>
      <c r="L466" s="1">
        <v>0.2</v>
      </c>
      <c r="M466" t="str">
        <f t="shared" si="8"/>
        <v>Rainy</v>
      </c>
    </row>
    <row r="467" spans="1:13" x14ac:dyDescent="0.35">
      <c r="A467" s="1">
        <v>465</v>
      </c>
      <c r="B467" s="3">
        <v>40564</v>
      </c>
      <c r="C467" s="1">
        <v>1</v>
      </c>
      <c r="D467" s="1">
        <v>0</v>
      </c>
      <c r="E467" s="1">
        <v>1</v>
      </c>
      <c r="F467" s="32">
        <v>9</v>
      </c>
      <c r="G467" s="64" t="str" cm="1">
        <f t="array" ref="G467">_xlfn.IFS(AND(F467&gt;=5,F467&lt;12),"Morning",AND(F467&gt;=12,F467&lt;17),"AfterNoon",AND(F467&gt;=17,F467&lt;20),"Evening",TRUE,"Night")</f>
        <v>Morning</v>
      </c>
      <c r="H467" s="1" t="b">
        <v>0</v>
      </c>
      <c r="I467" s="1">
        <v>5</v>
      </c>
      <c r="J467" s="64" t="str" cm="1">
        <f t="array" ref="J467">_xlfn.IFS(I467=0,"Saturday",I467=1,"Sunday",I467=2,"Monday",I467=3,"Tuesday",I467=4,"Wednesday",I467=5,"Thusday",I467=6,"Friday")</f>
        <v>Thusday</v>
      </c>
      <c r="K467" s="1">
        <v>1</v>
      </c>
      <c r="L467" s="1">
        <v>0.2</v>
      </c>
      <c r="M467" t="str">
        <f t="shared" si="8"/>
        <v>Rainy</v>
      </c>
    </row>
    <row r="468" spans="1:13" x14ac:dyDescent="0.35">
      <c r="A468" s="1">
        <v>466</v>
      </c>
      <c r="B468" s="3">
        <v>40564</v>
      </c>
      <c r="C468" s="1">
        <v>1</v>
      </c>
      <c r="D468" s="1">
        <v>0</v>
      </c>
      <c r="E468" s="1">
        <v>1</v>
      </c>
      <c r="F468" s="32">
        <v>10</v>
      </c>
      <c r="G468" s="64" t="str" cm="1">
        <f t="array" ref="G468">_xlfn.IFS(AND(F468&gt;=5,F468&lt;12),"Morning",AND(F468&gt;=12,F468&lt;17),"AfterNoon",AND(F468&gt;=17,F468&lt;20),"Evening",TRUE,"Night")</f>
        <v>Morning</v>
      </c>
      <c r="H468" s="1" t="b">
        <v>0</v>
      </c>
      <c r="I468" s="1">
        <v>5</v>
      </c>
      <c r="J468" s="64" t="str" cm="1">
        <f t="array" ref="J468">_xlfn.IFS(I468=0,"Saturday",I468=1,"Sunday",I468=2,"Monday",I468=3,"Tuesday",I468=4,"Wednesday",I468=5,"Thusday",I468=6,"Friday")</f>
        <v>Thusday</v>
      </c>
      <c r="K468" s="1">
        <v>1</v>
      </c>
      <c r="L468" s="1">
        <v>0.2</v>
      </c>
      <c r="M468" t="str">
        <f t="shared" si="8"/>
        <v>Rainy</v>
      </c>
    </row>
    <row r="469" spans="1:13" x14ac:dyDescent="0.35">
      <c r="A469" s="1">
        <v>467</v>
      </c>
      <c r="B469" s="3">
        <v>40564</v>
      </c>
      <c r="C469" s="1">
        <v>1</v>
      </c>
      <c r="D469" s="1">
        <v>0</v>
      </c>
      <c r="E469" s="1">
        <v>1</v>
      </c>
      <c r="F469" s="32">
        <v>11</v>
      </c>
      <c r="G469" s="64" t="str" cm="1">
        <f t="array" ref="G469">_xlfn.IFS(AND(F469&gt;=5,F469&lt;12),"Morning",AND(F469&gt;=12,F469&lt;17),"AfterNoon",AND(F469&gt;=17,F469&lt;20),"Evening",TRUE,"Night")</f>
        <v>Morning</v>
      </c>
      <c r="H469" s="1" t="b">
        <v>0</v>
      </c>
      <c r="I469" s="1">
        <v>5</v>
      </c>
      <c r="J469" s="64" t="str" cm="1">
        <f t="array" ref="J469">_xlfn.IFS(I469=0,"Saturday",I469=1,"Sunday",I469=2,"Monday",I469=3,"Tuesday",I469=4,"Wednesday",I469=5,"Thusday",I469=6,"Friday")</f>
        <v>Thusday</v>
      </c>
      <c r="K469" s="1">
        <v>1</v>
      </c>
      <c r="L469" s="1">
        <v>0.22</v>
      </c>
      <c r="M469" t="str">
        <f t="shared" si="8"/>
        <v>Cloudy</v>
      </c>
    </row>
    <row r="470" spans="1:13" x14ac:dyDescent="0.35">
      <c r="A470" s="1">
        <v>468</v>
      </c>
      <c r="B470" s="3">
        <v>40564</v>
      </c>
      <c r="C470" s="1">
        <v>1</v>
      </c>
      <c r="D470" s="1">
        <v>0</v>
      </c>
      <c r="E470" s="1">
        <v>1</v>
      </c>
      <c r="F470" s="32">
        <v>12</v>
      </c>
      <c r="G470" s="64" t="str" cm="1">
        <f t="array" ref="G470">_xlfn.IFS(AND(F470&gt;=5,F470&lt;12),"Morning",AND(F470&gt;=12,F470&lt;17),"AfterNoon",AND(F470&gt;=17,F470&lt;20),"Evening",TRUE,"Night")</f>
        <v>AfterNoon</v>
      </c>
      <c r="H470" s="1" t="b">
        <v>0</v>
      </c>
      <c r="I470" s="1">
        <v>5</v>
      </c>
      <c r="J470" s="64" t="str" cm="1">
        <f t="array" ref="J470">_xlfn.IFS(I470=0,"Saturday",I470=1,"Sunday",I470=2,"Monday",I470=3,"Tuesday",I470=4,"Wednesday",I470=5,"Thusday",I470=6,"Friday")</f>
        <v>Thusday</v>
      </c>
      <c r="K470" s="1">
        <v>1</v>
      </c>
      <c r="L470" s="1">
        <v>0.22</v>
      </c>
      <c r="M470" t="str">
        <f t="shared" si="8"/>
        <v>Cloudy</v>
      </c>
    </row>
    <row r="471" spans="1:13" x14ac:dyDescent="0.35">
      <c r="A471" s="1">
        <v>469</v>
      </c>
      <c r="B471" s="3">
        <v>40564</v>
      </c>
      <c r="C471" s="1">
        <v>1</v>
      </c>
      <c r="D471" s="1">
        <v>0</v>
      </c>
      <c r="E471" s="1">
        <v>1</v>
      </c>
      <c r="F471" s="32">
        <v>13</v>
      </c>
      <c r="G471" s="64" t="str" cm="1">
        <f t="array" ref="G471">_xlfn.IFS(AND(F471&gt;=5,F471&lt;12),"Morning",AND(F471&gt;=12,F471&lt;17),"AfterNoon",AND(F471&gt;=17,F471&lt;20),"Evening",TRUE,"Night")</f>
        <v>AfterNoon</v>
      </c>
      <c r="H471" s="1" t="b">
        <v>0</v>
      </c>
      <c r="I471" s="1">
        <v>5</v>
      </c>
      <c r="J471" s="64" t="str" cm="1">
        <f t="array" ref="J471">_xlfn.IFS(I471=0,"Saturday",I471=1,"Sunday",I471=2,"Monday",I471=3,"Tuesday",I471=4,"Wednesday",I471=5,"Thusday",I471=6,"Friday")</f>
        <v>Thusday</v>
      </c>
      <c r="K471" s="1">
        <v>1</v>
      </c>
      <c r="L471" s="1">
        <v>0.2</v>
      </c>
      <c r="M471" t="str">
        <f t="shared" si="8"/>
        <v>Rainy</v>
      </c>
    </row>
    <row r="472" spans="1:13" x14ac:dyDescent="0.35">
      <c r="A472" s="1">
        <v>470</v>
      </c>
      <c r="B472" s="3">
        <v>40564</v>
      </c>
      <c r="C472" s="1">
        <v>1</v>
      </c>
      <c r="D472" s="1">
        <v>0</v>
      </c>
      <c r="E472" s="1">
        <v>1</v>
      </c>
      <c r="F472" s="32">
        <v>14</v>
      </c>
      <c r="G472" s="64" t="str" cm="1">
        <f t="array" ref="G472">_xlfn.IFS(AND(F472&gt;=5,F472&lt;12),"Morning",AND(F472&gt;=12,F472&lt;17),"AfterNoon",AND(F472&gt;=17,F472&lt;20),"Evening",TRUE,"Night")</f>
        <v>AfterNoon</v>
      </c>
      <c r="H472" s="1" t="b">
        <v>0</v>
      </c>
      <c r="I472" s="1">
        <v>5</v>
      </c>
      <c r="J472" s="64" t="str" cm="1">
        <f t="array" ref="J472">_xlfn.IFS(I472=0,"Saturday",I472=1,"Sunday",I472=2,"Monday",I472=3,"Tuesday",I472=4,"Wednesday",I472=5,"Thusday",I472=6,"Friday")</f>
        <v>Thusday</v>
      </c>
      <c r="K472" s="1">
        <v>1</v>
      </c>
      <c r="L472" s="1">
        <v>0.2</v>
      </c>
      <c r="M472" t="str">
        <f t="shared" si="8"/>
        <v>Rainy</v>
      </c>
    </row>
    <row r="473" spans="1:13" x14ac:dyDescent="0.35">
      <c r="A473" s="1">
        <v>471</v>
      </c>
      <c r="B473" s="3">
        <v>40564</v>
      </c>
      <c r="C473" s="1">
        <v>1</v>
      </c>
      <c r="D473" s="1">
        <v>0</v>
      </c>
      <c r="E473" s="1">
        <v>1</v>
      </c>
      <c r="F473" s="32">
        <v>15</v>
      </c>
      <c r="G473" s="64" t="str" cm="1">
        <f t="array" ref="G473">_xlfn.IFS(AND(F473&gt;=5,F473&lt;12),"Morning",AND(F473&gt;=12,F473&lt;17),"AfterNoon",AND(F473&gt;=17,F473&lt;20),"Evening",TRUE,"Night")</f>
        <v>AfterNoon</v>
      </c>
      <c r="H473" s="1" t="b">
        <v>0</v>
      </c>
      <c r="I473" s="1">
        <v>5</v>
      </c>
      <c r="J473" s="64" t="str" cm="1">
        <f t="array" ref="J473">_xlfn.IFS(I473=0,"Saturday",I473=1,"Sunday",I473=2,"Monday",I473=3,"Tuesday",I473=4,"Wednesday",I473=5,"Thusday",I473=6,"Friday")</f>
        <v>Thusday</v>
      </c>
      <c r="K473" s="1">
        <v>1</v>
      </c>
      <c r="L473" s="1">
        <v>0.16</v>
      </c>
      <c r="M473" t="str">
        <f t="shared" si="8"/>
        <v>Rainy</v>
      </c>
    </row>
    <row r="474" spans="1:13" x14ac:dyDescent="0.35">
      <c r="A474" s="1">
        <v>472</v>
      </c>
      <c r="B474" s="3">
        <v>40564</v>
      </c>
      <c r="C474" s="1">
        <v>1</v>
      </c>
      <c r="D474" s="1">
        <v>0</v>
      </c>
      <c r="E474" s="1">
        <v>1</v>
      </c>
      <c r="F474" s="32">
        <v>16</v>
      </c>
      <c r="G474" s="64" t="str" cm="1">
        <f t="array" ref="G474">_xlfn.IFS(AND(F474&gt;=5,F474&lt;12),"Morning",AND(F474&gt;=12,F474&lt;17),"AfterNoon",AND(F474&gt;=17,F474&lt;20),"Evening",TRUE,"Night")</f>
        <v>AfterNoon</v>
      </c>
      <c r="H474" s="1" t="b">
        <v>0</v>
      </c>
      <c r="I474" s="1">
        <v>5</v>
      </c>
      <c r="J474" s="64" t="str" cm="1">
        <f t="array" ref="J474">_xlfn.IFS(I474=0,"Saturday",I474=1,"Sunday",I474=2,"Monday",I474=3,"Tuesday",I474=4,"Wednesday",I474=5,"Thusday",I474=6,"Friday")</f>
        <v>Thusday</v>
      </c>
      <c r="K474" s="1">
        <v>1</v>
      </c>
      <c r="L474" s="1">
        <v>0.16</v>
      </c>
      <c r="M474" t="str">
        <f t="shared" si="8"/>
        <v>Rainy</v>
      </c>
    </row>
    <row r="475" spans="1:13" x14ac:dyDescent="0.35">
      <c r="A475" s="1">
        <v>473</v>
      </c>
      <c r="B475" s="3">
        <v>40564</v>
      </c>
      <c r="C475" s="1">
        <v>1</v>
      </c>
      <c r="D475" s="1">
        <v>0</v>
      </c>
      <c r="E475" s="1">
        <v>1</v>
      </c>
      <c r="F475" s="32">
        <v>17</v>
      </c>
      <c r="G475" s="64" t="str" cm="1">
        <f t="array" ref="G475">_xlfn.IFS(AND(F475&gt;=5,F475&lt;12),"Morning",AND(F475&gt;=12,F475&lt;17),"AfterNoon",AND(F475&gt;=17,F475&lt;20),"Evening",TRUE,"Night")</f>
        <v>Evening</v>
      </c>
      <c r="H475" s="1" t="b">
        <v>0</v>
      </c>
      <c r="I475" s="1">
        <v>5</v>
      </c>
      <c r="J475" s="64" t="str" cm="1">
        <f t="array" ref="J475">_xlfn.IFS(I475=0,"Saturday",I475=1,"Sunday",I475=2,"Monday",I475=3,"Tuesday",I475=4,"Wednesday",I475=5,"Thusday",I475=6,"Friday")</f>
        <v>Thusday</v>
      </c>
      <c r="K475" s="1">
        <v>1</v>
      </c>
      <c r="L475" s="1">
        <v>0.14000000000000001</v>
      </c>
      <c r="M475" t="str">
        <f t="shared" si="8"/>
        <v>Rainy</v>
      </c>
    </row>
    <row r="476" spans="1:13" x14ac:dyDescent="0.35">
      <c r="A476" s="1">
        <v>474</v>
      </c>
      <c r="B476" s="3">
        <v>40564</v>
      </c>
      <c r="C476" s="1">
        <v>1</v>
      </c>
      <c r="D476" s="1">
        <v>0</v>
      </c>
      <c r="E476" s="1">
        <v>1</v>
      </c>
      <c r="F476" s="32">
        <v>18</v>
      </c>
      <c r="G476" s="64" t="str" cm="1">
        <f t="array" ref="G476">_xlfn.IFS(AND(F476&gt;=5,F476&lt;12),"Morning",AND(F476&gt;=12,F476&lt;17),"AfterNoon",AND(F476&gt;=17,F476&lt;20),"Evening",TRUE,"Night")</f>
        <v>Evening</v>
      </c>
      <c r="H476" s="1" t="b">
        <v>0</v>
      </c>
      <c r="I476" s="1">
        <v>5</v>
      </c>
      <c r="J476" s="64" t="str" cm="1">
        <f t="array" ref="J476">_xlfn.IFS(I476=0,"Saturday",I476=1,"Sunday",I476=2,"Monday",I476=3,"Tuesday",I476=4,"Wednesday",I476=5,"Thusday",I476=6,"Friday")</f>
        <v>Thusday</v>
      </c>
      <c r="K476" s="1">
        <v>1</v>
      </c>
      <c r="L476" s="1">
        <v>0.12</v>
      </c>
      <c r="M476" t="str">
        <f t="shared" si="8"/>
        <v>Rainy</v>
      </c>
    </row>
    <row r="477" spans="1:13" x14ac:dyDescent="0.35">
      <c r="A477" s="1">
        <v>475</v>
      </c>
      <c r="B477" s="3">
        <v>40564</v>
      </c>
      <c r="C477" s="1">
        <v>1</v>
      </c>
      <c r="D477" s="1">
        <v>0</v>
      </c>
      <c r="E477" s="1">
        <v>1</v>
      </c>
      <c r="F477" s="32">
        <v>19</v>
      </c>
      <c r="G477" s="64" t="str" cm="1">
        <f t="array" ref="G477">_xlfn.IFS(AND(F477&gt;=5,F477&lt;12),"Morning",AND(F477&gt;=12,F477&lt;17),"AfterNoon",AND(F477&gt;=17,F477&lt;20),"Evening",TRUE,"Night")</f>
        <v>Evening</v>
      </c>
      <c r="H477" s="1" t="b">
        <v>0</v>
      </c>
      <c r="I477" s="1">
        <v>5</v>
      </c>
      <c r="J477" s="64" t="str" cm="1">
        <f t="array" ref="J477">_xlfn.IFS(I477=0,"Saturday",I477=1,"Sunday",I477=2,"Monday",I477=3,"Tuesday",I477=4,"Wednesday",I477=5,"Thusday",I477=6,"Friday")</f>
        <v>Thusday</v>
      </c>
      <c r="K477" s="1">
        <v>1</v>
      </c>
      <c r="L477" s="1">
        <v>0.12</v>
      </c>
      <c r="M477" t="str">
        <f t="shared" si="8"/>
        <v>Rainy</v>
      </c>
    </row>
    <row r="478" spans="1:13" x14ac:dyDescent="0.35">
      <c r="A478" s="1">
        <v>476</v>
      </c>
      <c r="B478" s="3">
        <v>40564</v>
      </c>
      <c r="C478" s="1">
        <v>1</v>
      </c>
      <c r="D478" s="1">
        <v>0</v>
      </c>
      <c r="E478" s="1">
        <v>1</v>
      </c>
      <c r="F478" s="32">
        <v>20</v>
      </c>
      <c r="G478" s="64" t="str" cm="1">
        <f t="array" ref="G478">_xlfn.IFS(AND(F478&gt;=5,F478&lt;12),"Morning",AND(F478&gt;=12,F478&lt;17),"AfterNoon",AND(F478&gt;=17,F478&lt;20),"Evening",TRUE,"Night")</f>
        <v>Night</v>
      </c>
      <c r="H478" s="1" t="b">
        <v>0</v>
      </c>
      <c r="I478" s="1">
        <v>5</v>
      </c>
      <c r="J478" s="64" t="str" cm="1">
        <f t="array" ref="J478">_xlfn.IFS(I478=0,"Saturday",I478=1,"Sunday",I478=2,"Monday",I478=3,"Tuesday",I478=4,"Wednesday",I478=5,"Thusday",I478=6,"Friday")</f>
        <v>Thusday</v>
      </c>
      <c r="K478" s="1">
        <v>1</v>
      </c>
      <c r="L478" s="1">
        <v>0.1</v>
      </c>
      <c r="M478" t="str">
        <f t="shared" si="8"/>
        <v>Stromy</v>
      </c>
    </row>
    <row r="479" spans="1:13" x14ac:dyDescent="0.35">
      <c r="A479" s="1">
        <v>477</v>
      </c>
      <c r="B479" s="3">
        <v>40564</v>
      </c>
      <c r="C479" s="1">
        <v>1</v>
      </c>
      <c r="D479" s="1">
        <v>0</v>
      </c>
      <c r="E479" s="1">
        <v>1</v>
      </c>
      <c r="F479" s="32">
        <v>21</v>
      </c>
      <c r="G479" s="64" t="str" cm="1">
        <f t="array" ref="G479">_xlfn.IFS(AND(F479&gt;=5,F479&lt;12),"Morning",AND(F479&gt;=12,F479&lt;17),"AfterNoon",AND(F479&gt;=17,F479&lt;20),"Evening",TRUE,"Night")</f>
        <v>Night</v>
      </c>
      <c r="H479" s="1" t="b">
        <v>0</v>
      </c>
      <c r="I479" s="1">
        <v>5</v>
      </c>
      <c r="J479" s="64" t="str" cm="1">
        <f t="array" ref="J479">_xlfn.IFS(I479=0,"Saturday",I479=1,"Sunday",I479=2,"Monday",I479=3,"Tuesday",I479=4,"Wednesday",I479=5,"Thusday",I479=6,"Friday")</f>
        <v>Thusday</v>
      </c>
      <c r="K479" s="1">
        <v>1</v>
      </c>
      <c r="L479" s="1">
        <v>0.08</v>
      </c>
      <c r="M479" t="str">
        <f t="shared" si="8"/>
        <v>Stromy</v>
      </c>
    </row>
    <row r="480" spans="1:13" x14ac:dyDescent="0.35">
      <c r="A480" s="1">
        <v>478</v>
      </c>
      <c r="B480" s="3">
        <v>40564</v>
      </c>
      <c r="C480" s="1">
        <v>1</v>
      </c>
      <c r="D480" s="1">
        <v>0</v>
      </c>
      <c r="E480" s="1">
        <v>1</v>
      </c>
      <c r="F480" s="32">
        <v>22</v>
      </c>
      <c r="G480" s="64" t="str" cm="1">
        <f t="array" ref="G480">_xlfn.IFS(AND(F480&gt;=5,F480&lt;12),"Morning",AND(F480&gt;=12,F480&lt;17),"AfterNoon",AND(F480&gt;=17,F480&lt;20),"Evening",TRUE,"Night")</f>
        <v>Night</v>
      </c>
      <c r="H480" s="1" t="b">
        <v>0</v>
      </c>
      <c r="I480" s="1">
        <v>5</v>
      </c>
      <c r="J480" s="64" t="str" cm="1">
        <f t="array" ref="J480">_xlfn.IFS(I480=0,"Saturday",I480=1,"Sunday",I480=2,"Monday",I480=3,"Tuesday",I480=4,"Wednesday",I480=5,"Thusday",I480=6,"Friday")</f>
        <v>Thusday</v>
      </c>
      <c r="K480" s="1">
        <v>1</v>
      </c>
      <c r="L480" s="1">
        <v>0.06</v>
      </c>
      <c r="M480" t="str">
        <f t="shared" si="8"/>
        <v>Stromy</v>
      </c>
    </row>
    <row r="481" spans="1:13" x14ac:dyDescent="0.35">
      <c r="A481" s="1">
        <v>479</v>
      </c>
      <c r="B481" s="3">
        <v>40564</v>
      </c>
      <c r="C481" s="1">
        <v>1</v>
      </c>
      <c r="D481" s="1">
        <v>0</v>
      </c>
      <c r="E481" s="1">
        <v>1</v>
      </c>
      <c r="F481" s="32">
        <v>23</v>
      </c>
      <c r="G481" s="64" t="str" cm="1">
        <f t="array" ref="G481">_xlfn.IFS(AND(F481&gt;=5,F481&lt;12),"Morning",AND(F481&gt;=12,F481&lt;17),"AfterNoon",AND(F481&gt;=17,F481&lt;20),"Evening",TRUE,"Night")</f>
        <v>Night</v>
      </c>
      <c r="H481" s="1" t="b">
        <v>0</v>
      </c>
      <c r="I481" s="1">
        <v>5</v>
      </c>
      <c r="J481" s="64" t="str" cm="1">
        <f t="array" ref="J481">_xlfn.IFS(I481=0,"Saturday",I481=1,"Sunday",I481=2,"Monday",I481=3,"Tuesday",I481=4,"Wednesday",I481=5,"Thusday",I481=6,"Friday")</f>
        <v>Thusday</v>
      </c>
      <c r="K481" s="1">
        <v>1</v>
      </c>
      <c r="L481" s="1">
        <v>0.06</v>
      </c>
      <c r="M481" t="str">
        <f t="shared" si="8"/>
        <v>Stromy</v>
      </c>
    </row>
    <row r="482" spans="1:13" x14ac:dyDescent="0.35">
      <c r="A482" s="1">
        <v>480</v>
      </c>
      <c r="B482" s="3">
        <v>40565</v>
      </c>
      <c r="C482" s="1">
        <v>1</v>
      </c>
      <c r="D482" s="1">
        <v>0</v>
      </c>
      <c r="E482" s="1">
        <v>1</v>
      </c>
      <c r="F482" s="32">
        <v>0</v>
      </c>
      <c r="G482" s="64" t="str" cm="1">
        <f t="array" ref="G482">_xlfn.IFS(AND(F482&gt;=5,F482&lt;12),"Morning",AND(F482&gt;=12,F482&lt;17),"AfterNoon",AND(F482&gt;=17,F482&lt;20),"Evening",TRUE,"Night")</f>
        <v>Night</v>
      </c>
      <c r="H482" s="1" t="b">
        <v>0</v>
      </c>
      <c r="I482" s="1">
        <v>6</v>
      </c>
      <c r="J482" s="64" t="str" cm="1">
        <f t="array" ref="J482">_xlfn.IFS(I482=0,"Saturday",I482=1,"Sunday",I482=2,"Monday",I482=3,"Tuesday",I482=4,"Wednesday",I482=5,"Thusday",I482=6,"Friday")</f>
        <v>Friday</v>
      </c>
      <c r="K482" s="1">
        <v>1</v>
      </c>
      <c r="L482" s="1">
        <v>0.04</v>
      </c>
      <c r="M482" t="str">
        <f t="shared" si="8"/>
        <v>Stromy</v>
      </c>
    </row>
    <row r="483" spans="1:13" x14ac:dyDescent="0.35">
      <c r="A483" s="1">
        <v>481</v>
      </c>
      <c r="B483" s="3">
        <v>40565</v>
      </c>
      <c r="C483" s="1">
        <v>1</v>
      </c>
      <c r="D483" s="1">
        <v>0</v>
      </c>
      <c r="E483" s="1">
        <v>1</v>
      </c>
      <c r="F483" s="32">
        <v>1</v>
      </c>
      <c r="G483" s="64" t="str" cm="1">
        <f t="array" ref="G483">_xlfn.IFS(AND(F483&gt;=5,F483&lt;12),"Morning",AND(F483&gt;=12,F483&lt;17),"AfterNoon",AND(F483&gt;=17,F483&lt;20),"Evening",TRUE,"Night")</f>
        <v>Night</v>
      </c>
      <c r="H483" s="1" t="b">
        <v>0</v>
      </c>
      <c r="I483" s="1">
        <v>6</v>
      </c>
      <c r="J483" s="64" t="str" cm="1">
        <f t="array" ref="J483">_xlfn.IFS(I483=0,"Saturday",I483=1,"Sunday",I483=2,"Monday",I483=3,"Tuesday",I483=4,"Wednesday",I483=5,"Thusday",I483=6,"Friday")</f>
        <v>Friday</v>
      </c>
      <c r="K483" s="1">
        <v>2</v>
      </c>
      <c r="L483" s="1">
        <v>0.04</v>
      </c>
      <c r="M483" t="str">
        <f t="shared" si="8"/>
        <v>Stromy</v>
      </c>
    </row>
    <row r="484" spans="1:13" x14ac:dyDescent="0.35">
      <c r="A484" s="1">
        <v>482</v>
      </c>
      <c r="B484" s="3">
        <v>40565</v>
      </c>
      <c r="C484" s="1">
        <v>1</v>
      </c>
      <c r="D484" s="1">
        <v>0</v>
      </c>
      <c r="E484" s="1">
        <v>1</v>
      </c>
      <c r="F484" s="32">
        <v>2</v>
      </c>
      <c r="G484" s="64" t="str" cm="1">
        <f t="array" ref="G484">_xlfn.IFS(AND(F484&gt;=5,F484&lt;12),"Morning",AND(F484&gt;=12,F484&lt;17),"AfterNoon",AND(F484&gt;=17,F484&lt;20),"Evening",TRUE,"Night")</f>
        <v>Night</v>
      </c>
      <c r="H484" s="1" t="b">
        <v>0</v>
      </c>
      <c r="I484" s="1">
        <v>6</v>
      </c>
      <c r="J484" s="64" t="str" cm="1">
        <f t="array" ref="J484">_xlfn.IFS(I484=0,"Saturday",I484=1,"Sunday",I484=2,"Monday",I484=3,"Tuesday",I484=4,"Wednesday",I484=5,"Thusday",I484=6,"Friday")</f>
        <v>Friday</v>
      </c>
      <c r="K484" s="1">
        <v>2</v>
      </c>
      <c r="L484" s="1">
        <v>0.04</v>
      </c>
      <c r="M484" t="str">
        <f t="shared" si="8"/>
        <v>Stromy</v>
      </c>
    </row>
    <row r="485" spans="1:13" x14ac:dyDescent="0.35">
      <c r="A485" s="1">
        <v>483</v>
      </c>
      <c r="B485" s="3">
        <v>40565</v>
      </c>
      <c r="C485" s="1">
        <v>1</v>
      </c>
      <c r="D485" s="1">
        <v>0</v>
      </c>
      <c r="E485" s="1">
        <v>1</v>
      </c>
      <c r="F485" s="32">
        <v>3</v>
      </c>
      <c r="G485" s="64" t="str" cm="1">
        <f t="array" ref="G485">_xlfn.IFS(AND(F485&gt;=5,F485&lt;12),"Morning",AND(F485&gt;=12,F485&lt;17),"AfterNoon",AND(F485&gt;=17,F485&lt;20),"Evening",TRUE,"Night")</f>
        <v>Night</v>
      </c>
      <c r="H485" s="1" t="b">
        <v>0</v>
      </c>
      <c r="I485" s="1">
        <v>6</v>
      </c>
      <c r="J485" s="64" t="str" cm="1">
        <f t="array" ref="J485">_xlfn.IFS(I485=0,"Saturday",I485=1,"Sunday",I485=2,"Monday",I485=3,"Tuesday",I485=4,"Wednesday",I485=5,"Thusday",I485=6,"Friday")</f>
        <v>Friday</v>
      </c>
      <c r="K485" s="1">
        <v>2</v>
      </c>
      <c r="L485" s="1">
        <v>0.04</v>
      </c>
      <c r="M485" t="str">
        <f t="shared" si="8"/>
        <v>Stromy</v>
      </c>
    </row>
    <row r="486" spans="1:13" x14ac:dyDescent="0.35">
      <c r="A486" s="1">
        <v>484</v>
      </c>
      <c r="B486" s="3">
        <v>40565</v>
      </c>
      <c r="C486" s="1">
        <v>1</v>
      </c>
      <c r="D486" s="1">
        <v>0</v>
      </c>
      <c r="E486" s="1">
        <v>1</v>
      </c>
      <c r="F486" s="32">
        <v>4</v>
      </c>
      <c r="G486" s="64" t="str" cm="1">
        <f t="array" ref="G486">_xlfn.IFS(AND(F486&gt;=5,F486&lt;12),"Morning",AND(F486&gt;=12,F486&lt;17),"AfterNoon",AND(F486&gt;=17,F486&lt;20),"Evening",TRUE,"Night")</f>
        <v>Night</v>
      </c>
      <c r="H486" s="1" t="b">
        <v>0</v>
      </c>
      <c r="I486" s="1">
        <v>6</v>
      </c>
      <c r="J486" s="64" t="str" cm="1">
        <f t="array" ref="J486">_xlfn.IFS(I486=0,"Saturday",I486=1,"Sunday",I486=2,"Monday",I486=3,"Tuesday",I486=4,"Wednesday",I486=5,"Thusday",I486=6,"Friday")</f>
        <v>Friday</v>
      </c>
      <c r="K486" s="1">
        <v>2</v>
      </c>
      <c r="L486" s="1">
        <v>0.02</v>
      </c>
      <c r="M486" t="str">
        <f t="shared" si="8"/>
        <v>Stromy</v>
      </c>
    </row>
    <row r="487" spans="1:13" x14ac:dyDescent="0.35">
      <c r="A487" s="1">
        <v>485</v>
      </c>
      <c r="B487" s="3">
        <v>40565</v>
      </c>
      <c r="C487" s="1">
        <v>1</v>
      </c>
      <c r="D487" s="1">
        <v>0</v>
      </c>
      <c r="E487" s="1">
        <v>1</v>
      </c>
      <c r="F487" s="32">
        <v>6</v>
      </c>
      <c r="G487" s="64" t="str" cm="1">
        <f t="array" ref="G487">_xlfn.IFS(AND(F487&gt;=5,F487&lt;12),"Morning",AND(F487&gt;=12,F487&lt;17),"AfterNoon",AND(F487&gt;=17,F487&lt;20),"Evening",TRUE,"Night")</f>
        <v>Morning</v>
      </c>
      <c r="H487" s="1" t="b">
        <v>0</v>
      </c>
      <c r="I487" s="1">
        <v>6</v>
      </c>
      <c r="J487" s="64" t="str" cm="1">
        <f t="array" ref="J487">_xlfn.IFS(I487=0,"Saturday",I487=1,"Sunday",I487=2,"Monday",I487=3,"Tuesday",I487=4,"Wednesday",I487=5,"Thusday",I487=6,"Friday")</f>
        <v>Friday</v>
      </c>
      <c r="K487" s="1">
        <v>2</v>
      </c>
      <c r="L487" s="1">
        <v>0.02</v>
      </c>
      <c r="M487" t="str">
        <f t="shared" si="8"/>
        <v>Stromy</v>
      </c>
    </row>
    <row r="488" spans="1:13" x14ac:dyDescent="0.35">
      <c r="A488" s="1">
        <v>486</v>
      </c>
      <c r="B488" s="3">
        <v>40565</v>
      </c>
      <c r="C488" s="1">
        <v>1</v>
      </c>
      <c r="D488" s="1">
        <v>0</v>
      </c>
      <c r="E488" s="1">
        <v>1</v>
      </c>
      <c r="F488" s="32">
        <v>7</v>
      </c>
      <c r="G488" s="64" t="str" cm="1">
        <f t="array" ref="G488">_xlfn.IFS(AND(F488&gt;=5,F488&lt;12),"Morning",AND(F488&gt;=12,F488&lt;17),"AfterNoon",AND(F488&gt;=17,F488&lt;20),"Evening",TRUE,"Night")</f>
        <v>Morning</v>
      </c>
      <c r="H488" s="1" t="b">
        <v>0</v>
      </c>
      <c r="I488" s="1">
        <v>6</v>
      </c>
      <c r="J488" s="64" t="str" cm="1">
        <f t="array" ref="J488">_xlfn.IFS(I488=0,"Saturday",I488=1,"Sunday",I488=2,"Monday",I488=3,"Tuesday",I488=4,"Wednesday",I488=5,"Thusday",I488=6,"Friday")</f>
        <v>Friday</v>
      </c>
      <c r="K488" s="1">
        <v>1</v>
      </c>
      <c r="L488" s="1">
        <v>0.02</v>
      </c>
      <c r="M488" t="str">
        <f t="shared" si="8"/>
        <v>Stromy</v>
      </c>
    </row>
    <row r="489" spans="1:13" x14ac:dyDescent="0.35">
      <c r="A489" s="1">
        <v>487</v>
      </c>
      <c r="B489" s="3">
        <v>40565</v>
      </c>
      <c r="C489" s="1">
        <v>1</v>
      </c>
      <c r="D489" s="1">
        <v>0</v>
      </c>
      <c r="E489" s="1">
        <v>1</v>
      </c>
      <c r="F489" s="32">
        <v>8</v>
      </c>
      <c r="G489" s="64" t="str" cm="1">
        <f t="array" ref="G489">_xlfn.IFS(AND(F489&gt;=5,F489&lt;12),"Morning",AND(F489&gt;=12,F489&lt;17),"AfterNoon",AND(F489&gt;=17,F489&lt;20),"Evening",TRUE,"Night")</f>
        <v>Morning</v>
      </c>
      <c r="H489" s="1" t="b">
        <v>0</v>
      </c>
      <c r="I489" s="1">
        <v>6</v>
      </c>
      <c r="J489" s="64" t="str" cm="1">
        <f t="array" ref="J489">_xlfn.IFS(I489=0,"Saturday",I489=1,"Sunday",I489=2,"Monday",I489=3,"Tuesday",I489=4,"Wednesday",I489=5,"Thusday",I489=6,"Friday")</f>
        <v>Friday</v>
      </c>
      <c r="K489" s="1">
        <v>1</v>
      </c>
      <c r="L489" s="1">
        <v>0.02</v>
      </c>
      <c r="M489" t="str">
        <f t="shared" si="8"/>
        <v>Stromy</v>
      </c>
    </row>
    <row r="490" spans="1:13" x14ac:dyDescent="0.35">
      <c r="A490" s="1">
        <v>488</v>
      </c>
      <c r="B490" s="3">
        <v>40565</v>
      </c>
      <c r="C490" s="1">
        <v>1</v>
      </c>
      <c r="D490" s="1">
        <v>0</v>
      </c>
      <c r="E490" s="1">
        <v>1</v>
      </c>
      <c r="F490" s="32">
        <v>9</v>
      </c>
      <c r="G490" s="64" t="str" cm="1">
        <f t="array" ref="G490">_xlfn.IFS(AND(F490&gt;=5,F490&lt;12),"Morning",AND(F490&gt;=12,F490&lt;17),"AfterNoon",AND(F490&gt;=17,F490&lt;20),"Evening",TRUE,"Night")</f>
        <v>Morning</v>
      </c>
      <c r="H490" s="1" t="b">
        <v>0</v>
      </c>
      <c r="I490" s="1">
        <v>6</v>
      </c>
      <c r="J490" s="64" t="str" cm="1">
        <f t="array" ref="J490">_xlfn.IFS(I490=0,"Saturday",I490=1,"Sunday",I490=2,"Monday",I490=3,"Tuesday",I490=4,"Wednesday",I490=5,"Thusday",I490=6,"Friday")</f>
        <v>Friday</v>
      </c>
      <c r="K490" s="1">
        <v>1</v>
      </c>
      <c r="L490" s="1">
        <v>0.04</v>
      </c>
      <c r="M490" t="str">
        <f t="shared" si="8"/>
        <v>Stromy</v>
      </c>
    </row>
    <row r="491" spans="1:13" x14ac:dyDescent="0.35">
      <c r="A491" s="1">
        <v>489</v>
      </c>
      <c r="B491" s="3">
        <v>40565</v>
      </c>
      <c r="C491" s="1">
        <v>1</v>
      </c>
      <c r="D491" s="1">
        <v>0</v>
      </c>
      <c r="E491" s="1">
        <v>1</v>
      </c>
      <c r="F491" s="32">
        <v>10</v>
      </c>
      <c r="G491" s="64" t="str" cm="1">
        <f t="array" ref="G491">_xlfn.IFS(AND(F491&gt;=5,F491&lt;12),"Morning",AND(F491&gt;=12,F491&lt;17),"AfterNoon",AND(F491&gt;=17,F491&lt;20),"Evening",TRUE,"Night")</f>
        <v>Morning</v>
      </c>
      <c r="H491" s="1" t="b">
        <v>0</v>
      </c>
      <c r="I491" s="1">
        <v>6</v>
      </c>
      <c r="J491" s="64" t="str" cm="1">
        <f t="array" ref="J491">_xlfn.IFS(I491=0,"Saturday",I491=1,"Sunday",I491=2,"Monday",I491=3,"Tuesday",I491=4,"Wednesday",I491=5,"Thusday",I491=6,"Friday")</f>
        <v>Friday</v>
      </c>
      <c r="K491" s="1">
        <v>2</v>
      </c>
      <c r="L491" s="1">
        <v>0.04</v>
      </c>
      <c r="M491" t="str">
        <f t="shared" si="8"/>
        <v>Stromy</v>
      </c>
    </row>
    <row r="492" spans="1:13" x14ac:dyDescent="0.35">
      <c r="A492" s="1">
        <v>490</v>
      </c>
      <c r="B492" s="3">
        <v>40565</v>
      </c>
      <c r="C492" s="1">
        <v>1</v>
      </c>
      <c r="D492" s="1">
        <v>0</v>
      </c>
      <c r="E492" s="1">
        <v>1</v>
      </c>
      <c r="F492" s="32">
        <v>11</v>
      </c>
      <c r="G492" s="64" t="str" cm="1">
        <f t="array" ref="G492">_xlfn.IFS(AND(F492&gt;=5,F492&lt;12),"Morning",AND(F492&gt;=12,F492&lt;17),"AfterNoon",AND(F492&gt;=17,F492&lt;20),"Evening",TRUE,"Night")</f>
        <v>Morning</v>
      </c>
      <c r="H492" s="1" t="b">
        <v>0</v>
      </c>
      <c r="I492" s="1">
        <v>6</v>
      </c>
      <c r="J492" s="64" t="str" cm="1">
        <f t="array" ref="J492">_xlfn.IFS(I492=0,"Saturday",I492=1,"Sunday",I492=2,"Monday",I492=3,"Tuesday",I492=4,"Wednesday",I492=5,"Thusday",I492=6,"Friday")</f>
        <v>Friday</v>
      </c>
      <c r="K492" s="1">
        <v>2</v>
      </c>
      <c r="L492" s="1">
        <v>0.06</v>
      </c>
      <c r="M492" t="str">
        <f t="shared" si="8"/>
        <v>Stromy</v>
      </c>
    </row>
    <row r="493" spans="1:13" x14ac:dyDescent="0.35">
      <c r="A493" s="1">
        <v>491</v>
      </c>
      <c r="B493" s="3">
        <v>40565</v>
      </c>
      <c r="C493" s="1">
        <v>1</v>
      </c>
      <c r="D493" s="1">
        <v>0</v>
      </c>
      <c r="E493" s="1">
        <v>1</v>
      </c>
      <c r="F493" s="32">
        <v>12</v>
      </c>
      <c r="G493" s="64" t="str" cm="1">
        <f t="array" ref="G493">_xlfn.IFS(AND(F493&gt;=5,F493&lt;12),"Morning",AND(F493&gt;=12,F493&lt;17),"AfterNoon",AND(F493&gt;=17,F493&lt;20),"Evening",TRUE,"Night")</f>
        <v>AfterNoon</v>
      </c>
      <c r="H493" s="1" t="b">
        <v>0</v>
      </c>
      <c r="I493" s="1">
        <v>6</v>
      </c>
      <c r="J493" s="64" t="str" cm="1">
        <f t="array" ref="J493">_xlfn.IFS(I493=0,"Saturday",I493=1,"Sunday",I493=2,"Monday",I493=3,"Tuesday",I493=4,"Wednesday",I493=5,"Thusday",I493=6,"Friday")</f>
        <v>Friday</v>
      </c>
      <c r="K493" s="1">
        <v>2</v>
      </c>
      <c r="L493" s="1">
        <v>0.06</v>
      </c>
      <c r="M493" t="str">
        <f t="shared" si="8"/>
        <v>Stromy</v>
      </c>
    </row>
    <row r="494" spans="1:13" x14ac:dyDescent="0.35">
      <c r="A494" s="1">
        <v>492</v>
      </c>
      <c r="B494" s="3">
        <v>40565</v>
      </c>
      <c r="C494" s="1">
        <v>1</v>
      </c>
      <c r="D494" s="1">
        <v>0</v>
      </c>
      <c r="E494" s="1">
        <v>1</v>
      </c>
      <c r="F494" s="32">
        <v>13</v>
      </c>
      <c r="G494" s="64" t="str" cm="1">
        <f t="array" ref="G494">_xlfn.IFS(AND(F494&gt;=5,F494&lt;12),"Morning",AND(F494&gt;=12,F494&lt;17),"AfterNoon",AND(F494&gt;=17,F494&lt;20),"Evening",TRUE,"Night")</f>
        <v>AfterNoon</v>
      </c>
      <c r="H494" s="1" t="b">
        <v>0</v>
      </c>
      <c r="I494" s="1">
        <v>6</v>
      </c>
      <c r="J494" s="64" t="str" cm="1">
        <f t="array" ref="J494">_xlfn.IFS(I494=0,"Saturday",I494=1,"Sunday",I494=2,"Monday",I494=3,"Tuesday",I494=4,"Wednesday",I494=5,"Thusday",I494=6,"Friday")</f>
        <v>Friday</v>
      </c>
      <c r="K494" s="1">
        <v>1</v>
      </c>
      <c r="L494" s="1">
        <v>0.08</v>
      </c>
      <c r="M494" t="str">
        <f t="shared" si="8"/>
        <v>Stromy</v>
      </c>
    </row>
    <row r="495" spans="1:13" x14ac:dyDescent="0.35">
      <c r="A495" s="1">
        <v>493</v>
      </c>
      <c r="B495" s="3">
        <v>40565</v>
      </c>
      <c r="C495" s="1">
        <v>1</v>
      </c>
      <c r="D495" s="1">
        <v>0</v>
      </c>
      <c r="E495" s="1">
        <v>1</v>
      </c>
      <c r="F495" s="32">
        <v>14</v>
      </c>
      <c r="G495" s="64" t="str" cm="1">
        <f t="array" ref="G495">_xlfn.IFS(AND(F495&gt;=5,F495&lt;12),"Morning",AND(F495&gt;=12,F495&lt;17),"AfterNoon",AND(F495&gt;=17,F495&lt;20),"Evening",TRUE,"Night")</f>
        <v>AfterNoon</v>
      </c>
      <c r="H495" s="1" t="b">
        <v>0</v>
      </c>
      <c r="I495" s="1">
        <v>6</v>
      </c>
      <c r="J495" s="64" t="str" cm="1">
        <f t="array" ref="J495">_xlfn.IFS(I495=0,"Saturday",I495=1,"Sunday",I495=2,"Monday",I495=3,"Tuesday",I495=4,"Wednesday",I495=5,"Thusday",I495=6,"Friday")</f>
        <v>Friday</v>
      </c>
      <c r="K495" s="1">
        <v>1</v>
      </c>
      <c r="L495" s="1">
        <v>0.1</v>
      </c>
      <c r="M495" t="str">
        <f t="shared" si="8"/>
        <v>Stromy</v>
      </c>
    </row>
    <row r="496" spans="1:13" x14ac:dyDescent="0.35">
      <c r="A496" s="1">
        <v>494</v>
      </c>
      <c r="B496" s="3">
        <v>40565</v>
      </c>
      <c r="C496" s="1">
        <v>1</v>
      </c>
      <c r="D496" s="1">
        <v>0</v>
      </c>
      <c r="E496" s="1">
        <v>1</v>
      </c>
      <c r="F496" s="32">
        <v>15</v>
      </c>
      <c r="G496" s="64" t="str" cm="1">
        <f t="array" ref="G496">_xlfn.IFS(AND(F496&gt;=5,F496&lt;12),"Morning",AND(F496&gt;=12,F496&lt;17),"AfterNoon",AND(F496&gt;=17,F496&lt;20),"Evening",TRUE,"Night")</f>
        <v>AfterNoon</v>
      </c>
      <c r="H496" s="1" t="b">
        <v>0</v>
      </c>
      <c r="I496" s="1">
        <v>6</v>
      </c>
      <c r="J496" s="64" t="str" cm="1">
        <f t="array" ref="J496">_xlfn.IFS(I496=0,"Saturday",I496=1,"Sunday",I496=2,"Monday",I496=3,"Tuesday",I496=4,"Wednesday",I496=5,"Thusday",I496=6,"Friday")</f>
        <v>Friday</v>
      </c>
      <c r="K496" s="1">
        <v>1</v>
      </c>
      <c r="L496" s="1">
        <v>0.12</v>
      </c>
      <c r="M496" t="str">
        <f t="shared" si="8"/>
        <v>Rainy</v>
      </c>
    </row>
    <row r="497" spans="1:13" x14ac:dyDescent="0.35">
      <c r="A497" s="1">
        <v>495</v>
      </c>
      <c r="B497" s="3">
        <v>40565</v>
      </c>
      <c r="C497" s="1">
        <v>1</v>
      </c>
      <c r="D497" s="1">
        <v>0</v>
      </c>
      <c r="E497" s="1">
        <v>1</v>
      </c>
      <c r="F497" s="32">
        <v>16</v>
      </c>
      <c r="G497" s="64" t="str" cm="1">
        <f t="array" ref="G497">_xlfn.IFS(AND(F497&gt;=5,F497&lt;12),"Morning",AND(F497&gt;=12,F497&lt;17),"AfterNoon",AND(F497&gt;=17,F497&lt;20),"Evening",TRUE,"Night")</f>
        <v>AfterNoon</v>
      </c>
      <c r="H497" s="1" t="b">
        <v>0</v>
      </c>
      <c r="I497" s="1">
        <v>6</v>
      </c>
      <c r="J497" s="64" t="str" cm="1">
        <f t="array" ref="J497">_xlfn.IFS(I497=0,"Saturday",I497=1,"Sunday",I497=2,"Monday",I497=3,"Tuesday",I497=4,"Wednesday",I497=5,"Thusday",I497=6,"Friday")</f>
        <v>Friday</v>
      </c>
      <c r="K497" s="1">
        <v>1</v>
      </c>
      <c r="L497" s="1">
        <v>0.12</v>
      </c>
      <c r="M497" t="str">
        <f t="shared" si="8"/>
        <v>Rainy</v>
      </c>
    </row>
    <row r="498" spans="1:13" x14ac:dyDescent="0.35">
      <c r="A498" s="1">
        <v>496</v>
      </c>
      <c r="B498" s="3">
        <v>40565</v>
      </c>
      <c r="C498" s="1">
        <v>1</v>
      </c>
      <c r="D498" s="1">
        <v>0</v>
      </c>
      <c r="E498" s="1">
        <v>1</v>
      </c>
      <c r="F498" s="32">
        <v>17</v>
      </c>
      <c r="G498" s="64" t="str" cm="1">
        <f t="array" ref="G498">_xlfn.IFS(AND(F498&gt;=5,F498&lt;12),"Morning",AND(F498&gt;=12,F498&lt;17),"AfterNoon",AND(F498&gt;=17,F498&lt;20),"Evening",TRUE,"Night")</f>
        <v>Evening</v>
      </c>
      <c r="H498" s="1" t="b">
        <v>0</v>
      </c>
      <c r="I498" s="1">
        <v>6</v>
      </c>
      <c r="J498" s="64" t="str" cm="1">
        <f t="array" ref="J498">_xlfn.IFS(I498=0,"Saturday",I498=1,"Sunday",I498=2,"Monday",I498=3,"Tuesday",I498=4,"Wednesday",I498=5,"Thusday",I498=6,"Friday")</f>
        <v>Friday</v>
      </c>
      <c r="K498" s="1">
        <v>1</v>
      </c>
      <c r="L498" s="1">
        <v>0.12</v>
      </c>
      <c r="M498" t="str">
        <f t="shared" si="8"/>
        <v>Rainy</v>
      </c>
    </row>
    <row r="499" spans="1:13" x14ac:dyDescent="0.35">
      <c r="A499" s="1">
        <v>497</v>
      </c>
      <c r="B499" s="3">
        <v>40565</v>
      </c>
      <c r="C499" s="1">
        <v>1</v>
      </c>
      <c r="D499" s="1">
        <v>0</v>
      </c>
      <c r="E499" s="1">
        <v>1</v>
      </c>
      <c r="F499" s="32">
        <v>18</v>
      </c>
      <c r="G499" s="64" t="str" cm="1">
        <f t="array" ref="G499">_xlfn.IFS(AND(F499&gt;=5,F499&lt;12),"Morning",AND(F499&gt;=12,F499&lt;17),"AfterNoon",AND(F499&gt;=17,F499&lt;20),"Evening",TRUE,"Night")</f>
        <v>Evening</v>
      </c>
      <c r="H499" s="1" t="b">
        <v>0</v>
      </c>
      <c r="I499" s="1">
        <v>6</v>
      </c>
      <c r="J499" s="64" t="str" cm="1">
        <f t="array" ref="J499">_xlfn.IFS(I499=0,"Saturday",I499=1,"Sunday",I499=2,"Monday",I499=3,"Tuesday",I499=4,"Wednesday",I499=5,"Thusday",I499=6,"Friday")</f>
        <v>Friday</v>
      </c>
      <c r="K499" s="1">
        <v>1</v>
      </c>
      <c r="L499" s="1">
        <v>0.08</v>
      </c>
      <c r="M499" t="str">
        <f t="shared" si="8"/>
        <v>Stromy</v>
      </c>
    </row>
    <row r="500" spans="1:13" x14ac:dyDescent="0.35">
      <c r="A500" s="1">
        <v>498</v>
      </c>
      <c r="B500" s="3">
        <v>40565</v>
      </c>
      <c r="C500" s="1">
        <v>1</v>
      </c>
      <c r="D500" s="1">
        <v>0</v>
      </c>
      <c r="E500" s="1">
        <v>1</v>
      </c>
      <c r="F500" s="32">
        <v>19</v>
      </c>
      <c r="G500" s="64" t="str" cm="1">
        <f t="array" ref="G500">_xlfn.IFS(AND(F500&gt;=5,F500&lt;12),"Morning",AND(F500&gt;=12,F500&lt;17),"AfterNoon",AND(F500&gt;=17,F500&lt;20),"Evening",TRUE,"Night")</f>
        <v>Evening</v>
      </c>
      <c r="H500" s="1" t="b">
        <v>0</v>
      </c>
      <c r="I500" s="1">
        <v>6</v>
      </c>
      <c r="J500" s="64" t="str" cm="1">
        <f t="array" ref="J500">_xlfn.IFS(I500=0,"Saturday",I500=1,"Sunday",I500=2,"Monday",I500=3,"Tuesday",I500=4,"Wednesday",I500=5,"Thusday",I500=6,"Friday")</f>
        <v>Friday</v>
      </c>
      <c r="K500" s="1">
        <v>1</v>
      </c>
      <c r="L500" s="1">
        <v>0.08</v>
      </c>
      <c r="M500" t="str">
        <f t="shared" si="8"/>
        <v>Stromy</v>
      </c>
    </row>
    <row r="501" spans="1:13" x14ac:dyDescent="0.35">
      <c r="A501" s="1">
        <v>499</v>
      </c>
      <c r="B501" s="3">
        <v>40565</v>
      </c>
      <c r="C501" s="1">
        <v>1</v>
      </c>
      <c r="D501" s="1">
        <v>0</v>
      </c>
      <c r="E501" s="1">
        <v>1</v>
      </c>
      <c r="F501" s="32">
        <v>20</v>
      </c>
      <c r="G501" s="64" t="str" cm="1">
        <f t="array" ref="G501">_xlfn.IFS(AND(F501&gt;=5,F501&lt;12),"Morning",AND(F501&gt;=12,F501&lt;17),"AfterNoon",AND(F501&gt;=17,F501&lt;20),"Evening",TRUE,"Night")</f>
        <v>Night</v>
      </c>
      <c r="H501" s="1" t="b">
        <v>0</v>
      </c>
      <c r="I501" s="1">
        <v>6</v>
      </c>
      <c r="J501" s="64" t="str" cm="1">
        <f t="array" ref="J501">_xlfn.IFS(I501=0,"Saturday",I501=1,"Sunday",I501=2,"Monday",I501=3,"Tuesday",I501=4,"Wednesday",I501=5,"Thusday",I501=6,"Friday")</f>
        <v>Friday</v>
      </c>
      <c r="K501" s="1">
        <v>1</v>
      </c>
      <c r="L501" s="1">
        <v>0.06</v>
      </c>
      <c r="M501" t="str">
        <f t="shared" si="8"/>
        <v>Stromy</v>
      </c>
    </row>
    <row r="502" spans="1:13" x14ac:dyDescent="0.35">
      <c r="A502" s="1">
        <v>500</v>
      </c>
      <c r="B502" s="3">
        <v>40565</v>
      </c>
      <c r="C502" s="1">
        <v>1</v>
      </c>
      <c r="D502" s="1">
        <v>0</v>
      </c>
      <c r="E502" s="1">
        <v>1</v>
      </c>
      <c r="F502" s="32">
        <v>21</v>
      </c>
      <c r="G502" s="64" t="str" cm="1">
        <f t="array" ref="G502">_xlfn.IFS(AND(F502&gt;=5,F502&lt;12),"Morning",AND(F502&gt;=12,F502&lt;17),"AfterNoon",AND(F502&gt;=17,F502&lt;20),"Evening",TRUE,"Night")</f>
        <v>Night</v>
      </c>
      <c r="H502" s="1" t="b">
        <v>0</v>
      </c>
      <c r="I502" s="1">
        <v>6</v>
      </c>
      <c r="J502" s="64" t="str" cm="1">
        <f t="array" ref="J502">_xlfn.IFS(I502=0,"Saturday",I502=1,"Sunday",I502=2,"Monday",I502=3,"Tuesday",I502=4,"Wednesday",I502=5,"Thusday",I502=6,"Friday")</f>
        <v>Friday</v>
      </c>
      <c r="K502" s="1">
        <v>1</v>
      </c>
      <c r="L502" s="1">
        <v>0.06</v>
      </c>
      <c r="M502" t="str">
        <f t="shared" si="8"/>
        <v>Stromy</v>
      </c>
    </row>
    <row r="503" spans="1:13" x14ac:dyDescent="0.35">
      <c r="A503" s="1">
        <v>501</v>
      </c>
      <c r="B503" s="3">
        <v>40565</v>
      </c>
      <c r="C503" s="1">
        <v>1</v>
      </c>
      <c r="D503" s="1">
        <v>0</v>
      </c>
      <c r="E503" s="1">
        <v>1</v>
      </c>
      <c r="F503" s="32">
        <v>22</v>
      </c>
      <c r="G503" s="64" t="str" cm="1">
        <f t="array" ref="G503">_xlfn.IFS(AND(F503&gt;=5,F503&lt;12),"Morning",AND(F503&gt;=12,F503&lt;17),"AfterNoon",AND(F503&gt;=17,F503&lt;20),"Evening",TRUE,"Night")</f>
        <v>Night</v>
      </c>
      <c r="H503" s="1" t="b">
        <v>0</v>
      </c>
      <c r="I503" s="1">
        <v>6</v>
      </c>
      <c r="J503" s="64" t="str" cm="1">
        <f t="array" ref="J503">_xlfn.IFS(I503=0,"Saturday",I503=1,"Sunday",I503=2,"Monday",I503=3,"Tuesday",I503=4,"Wednesday",I503=5,"Thusday",I503=6,"Friday")</f>
        <v>Friday</v>
      </c>
      <c r="K503" s="1">
        <v>1</v>
      </c>
      <c r="L503" s="1">
        <v>0.06</v>
      </c>
      <c r="M503" t="str">
        <f t="shared" si="8"/>
        <v>Stromy</v>
      </c>
    </row>
    <row r="504" spans="1:13" x14ac:dyDescent="0.35">
      <c r="A504" s="1">
        <v>502</v>
      </c>
      <c r="B504" s="3">
        <v>40565</v>
      </c>
      <c r="C504" s="1">
        <v>1</v>
      </c>
      <c r="D504" s="1">
        <v>0</v>
      </c>
      <c r="E504" s="1">
        <v>1</v>
      </c>
      <c r="F504" s="32">
        <v>23</v>
      </c>
      <c r="G504" s="64" t="str" cm="1">
        <f t="array" ref="G504">_xlfn.IFS(AND(F504&gt;=5,F504&lt;12),"Morning",AND(F504&gt;=12,F504&lt;17),"AfterNoon",AND(F504&gt;=17,F504&lt;20),"Evening",TRUE,"Night")</f>
        <v>Night</v>
      </c>
      <c r="H504" s="1" t="b">
        <v>0</v>
      </c>
      <c r="I504" s="1">
        <v>6</v>
      </c>
      <c r="J504" s="64" t="str" cm="1">
        <f t="array" ref="J504">_xlfn.IFS(I504=0,"Saturday",I504=1,"Sunday",I504=2,"Monday",I504=3,"Tuesday",I504=4,"Wednesday",I504=5,"Thusday",I504=6,"Friday")</f>
        <v>Friday</v>
      </c>
      <c r="K504" s="1">
        <v>1</v>
      </c>
      <c r="L504" s="1">
        <v>0.04</v>
      </c>
      <c r="M504" t="str">
        <f t="shared" si="8"/>
        <v>Stromy</v>
      </c>
    </row>
    <row r="505" spans="1:13" x14ac:dyDescent="0.35">
      <c r="A505" s="1">
        <v>503</v>
      </c>
      <c r="B505" s="3">
        <v>40566</v>
      </c>
      <c r="C505" s="1">
        <v>1</v>
      </c>
      <c r="D505" s="1">
        <v>0</v>
      </c>
      <c r="E505" s="1">
        <v>1</v>
      </c>
      <c r="F505" s="32">
        <v>0</v>
      </c>
      <c r="G505" s="64" t="str" cm="1">
        <f t="array" ref="G505">_xlfn.IFS(AND(F505&gt;=5,F505&lt;12),"Morning",AND(F505&gt;=12,F505&lt;17),"AfterNoon",AND(F505&gt;=17,F505&lt;20),"Evening",TRUE,"Night")</f>
        <v>Night</v>
      </c>
      <c r="H505" s="1" t="b">
        <v>0</v>
      </c>
      <c r="I505" s="1">
        <v>0</v>
      </c>
      <c r="J505" s="64" t="str" cm="1">
        <f t="array" ref="J505">_xlfn.IFS(I505=0,"Saturday",I505=1,"Sunday",I505=2,"Monday",I505=3,"Tuesday",I505=4,"Wednesday",I505=5,"Thusday",I505=6,"Friday")</f>
        <v>Saturday</v>
      </c>
      <c r="K505" s="1">
        <v>1</v>
      </c>
      <c r="L505" s="1">
        <v>0.04</v>
      </c>
      <c r="M505" t="str">
        <f t="shared" si="8"/>
        <v>Stromy</v>
      </c>
    </row>
    <row r="506" spans="1:13" x14ac:dyDescent="0.35">
      <c r="A506" s="1">
        <v>504</v>
      </c>
      <c r="B506" s="3">
        <v>40566</v>
      </c>
      <c r="C506" s="1">
        <v>1</v>
      </c>
      <c r="D506" s="1">
        <v>0</v>
      </c>
      <c r="E506" s="1">
        <v>1</v>
      </c>
      <c r="F506" s="32">
        <v>1</v>
      </c>
      <c r="G506" s="64" t="str" cm="1">
        <f t="array" ref="G506">_xlfn.IFS(AND(F506&gt;=5,F506&lt;12),"Morning",AND(F506&gt;=12,F506&lt;17),"AfterNoon",AND(F506&gt;=17,F506&lt;20),"Evening",TRUE,"Night")</f>
        <v>Night</v>
      </c>
      <c r="H506" s="1" t="b">
        <v>0</v>
      </c>
      <c r="I506" s="1">
        <v>0</v>
      </c>
      <c r="J506" s="64" t="str" cm="1">
        <f t="array" ref="J506">_xlfn.IFS(I506=0,"Saturday",I506=1,"Sunday",I506=2,"Monday",I506=3,"Tuesday",I506=4,"Wednesday",I506=5,"Thusday",I506=6,"Friday")</f>
        <v>Saturday</v>
      </c>
      <c r="K506" s="1">
        <v>1</v>
      </c>
      <c r="L506" s="1">
        <v>0.04</v>
      </c>
      <c r="M506" t="str">
        <f t="shared" si="8"/>
        <v>Stromy</v>
      </c>
    </row>
    <row r="507" spans="1:13" x14ac:dyDescent="0.35">
      <c r="A507" s="1">
        <v>505</v>
      </c>
      <c r="B507" s="3">
        <v>40566</v>
      </c>
      <c r="C507" s="1">
        <v>1</v>
      </c>
      <c r="D507" s="1">
        <v>0</v>
      </c>
      <c r="E507" s="1">
        <v>1</v>
      </c>
      <c r="F507" s="32">
        <v>2</v>
      </c>
      <c r="G507" s="64" t="str" cm="1">
        <f t="array" ref="G507">_xlfn.IFS(AND(F507&gt;=5,F507&lt;12),"Morning",AND(F507&gt;=12,F507&lt;17),"AfterNoon",AND(F507&gt;=17,F507&lt;20),"Evening",TRUE,"Night")</f>
        <v>Night</v>
      </c>
      <c r="H507" s="1" t="b">
        <v>0</v>
      </c>
      <c r="I507" s="1">
        <v>0</v>
      </c>
      <c r="J507" s="64" t="str" cm="1">
        <f t="array" ref="J507">_xlfn.IFS(I507=0,"Saturday",I507=1,"Sunday",I507=2,"Monday",I507=3,"Tuesday",I507=4,"Wednesday",I507=5,"Thusday",I507=6,"Friday")</f>
        <v>Saturday</v>
      </c>
      <c r="K507" s="1">
        <v>1</v>
      </c>
      <c r="L507" s="1">
        <v>0.02</v>
      </c>
      <c r="M507" t="str">
        <f t="shared" si="8"/>
        <v>Stromy</v>
      </c>
    </row>
    <row r="508" spans="1:13" x14ac:dyDescent="0.35">
      <c r="A508" s="1">
        <v>506</v>
      </c>
      <c r="B508" s="3">
        <v>40566</v>
      </c>
      <c r="C508" s="1">
        <v>1</v>
      </c>
      <c r="D508" s="1">
        <v>0</v>
      </c>
      <c r="E508" s="1">
        <v>1</v>
      </c>
      <c r="F508" s="32">
        <v>3</v>
      </c>
      <c r="G508" s="64" t="str" cm="1">
        <f t="array" ref="G508">_xlfn.IFS(AND(F508&gt;=5,F508&lt;12),"Morning",AND(F508&gt;=12,F508&lt;17),"AfterNoon",AND(F508&gt;=17,F508&lt;20),"Evening",TRUE,"Night")</f>
        <v>Night</v>
      </c>
      <c r="H508" s="1" t="b">
        <v>0</v>
      </c>
      <c r="I508" s="1">
        <v>0</v>
      </c>
      <c r="J508" s="64" t="str" cm="1">
        <f t="array" ref="J508">_xlfn.IFS(I508=0,"Saturday",I508=1,"Sunday",I508=2,"Monday",I508=3,"Tuesday",I508=4,"Wednesday",I508=5,"Thusday",I508=6,"Friday")</f>
        <v>Saturday</v>
      </c>
      <c r="K508" s="1">
        <v>1</v>
      </c>
      <c r="L508" s="1">
        <v>0.02</v>
      </c>
      <c r="M508" t="str">
        <f t="shared" si="8"/>
        <v>Stromy</v>
      </c>
    </row>
    <row r="509" spans="1:13" x14ac:dyDescent="0.35">
      <c r="A509" s="1">
        <v>507</v>
      </c>
      <c r="B509" s="3">
        <v>40566</v>
      </c>
      <c r="C509" s="1">
        <v>1</v>
      </c>
      <c r="D509" s="1">
        <v>0</v>
      </c>
      <c r="E509" s="1">
        <v>1</v>
      </c>
      <c r="F509" s="32">
        <v>5</v>
      </c>
      <c r="G509" s="64" t="str" cm="1">
        <f t="array" ref="G509">_xlfn.IFS(AND(F509&gt;=5,F509&lt;12),"Morning",AND(F509&gt;=12,F509&lt;17),"AfterNoon",AND(F509&gt;=17,F509&lt;20),"Evening",TRUE,"Night")</f>
        <v>Morning</v>
      </c>
      <c r="H509" s="1" t="b">
        <v>0</v>
      </c>
      <c r="I509" s="1">
        <v>0</v>
      </c>
      <c r="J509" s="64" t="str" cm="1">
        <f t="array" ref="J509">_xlfn.IFS(I509=0,"Saturday",I509=1,"Sunday",I509=2,"Monday",I509=3,"Tuesday",I509=4,"Wednesday",I509=5,"Thusday",I509=6,"Friday")</f>
        <v>Saturday</v>
      </c>
      <c r="K509" s="1">
        <v>2</v>
      </c>
      <c r="L509" s="1">
        <v>0.04</v>
      </c>
      <c r="M509" t="str">
        <f t="shared" si="8"/>
        <v>Stromy</v>
      </c>
    </row>
    <row r="510" spans="1:13" x14ac:dyDescent="0.35">
      <c r="A510" s="1">
        <v>508</v>
      </c>
      <c r="B510" s="3">
        <v>40566</v>
      </c>
      <c r="C510" s="1">
        <v>1</v>
      </c>
      <c r="D510" s="1">
        <v>0</v>
      </c>
      <c r="E510" s="1">
        <v>1</v>
      </c>
      <c r="F510" s="32">
        <v>6</v>
      </c>
      <c r="G510" s="64" t="str" cm="1">
        <f t="array" ref="G510">_xlfn.IFS(AND(F510&gt;=5,F510&lt;12),"Morning",AND(F510&gt;=12,F510&lt;17),"AfterNoon",AND(F510&gt;=17,F510&lt;20),"Evening",TRUE,"Night")</f>
        <v>Morning</v>
      </c>
      <c r="H510" s="1" t="b">
        <v>0</v>
      </c>
      <c r="I510" s="1">
        <v>0</v>
      </c>
      <c r="J510" s="64" t="str" cm="1">
        <f t="array" ref="J510">_xlfn.IFS(I510=0,"Saturday",I510=1,"Sunday",I510=2,"Monday",I510=3,"Tuesday",I510=4,"Wednesday",I510=5,"Thusday",I510=6,"Friday")</f>
        <v>Saturday</v>
      </c>
      <c r="K510" s="1">
        <v>2</v>
      </c>
      <c r="L510" s="1">
        <v>0.04</v>
      </c>
      <c r="M510" t="str">
        <f t="shared" si="8"/>
        <v>Stromy</v>
      </c>
    </row>
    <row r="511" spans="1:13" x14ac:dyDescent="0.35">
      <c r="A511" s="1">
        <v>509</v>
      </c>
      <c r="B511" s="3">
        <v>40566</v>
      </c>
      <c r="C511" s="1">
        <v>1</v>
      </c>
      <c r="D511" s="1">
        <v>0</v>
      </c>
      <c r="E511" s="1">
        <v>1</v>
      </c>
      <c r="F511" s="32">
        <v>7</v>
      </c>
      <c r="G511" s="64" t="str" cm="1">
        <f t="array" ref="G511">_xlfn.IFS(AND(F511&gt;=5,F511&lt;12),"Morning",AND(F511&gt;=12,F511&lt;17),"AfterNoon",AND(F511&gt;=17,F511&lt;20),"Evening",TRUE,"Night")</f>
        <v>Morning</v>
      </c>
      <c r="H511" s="1" t="b">
        <v>0</v>
      </c>
      <c r="I511" s="1">
        <v>0</v>
      </c>
      <c r="J511" s="64" t="str" cm="1">
        <f t="array" ref="J511">_xlfn.IFS(I511=0,"Saturday",I511=1,"Sunday",I511=2,"Monday",I511=3,"Tuesday",I511=4,"Wednesday",I511=5,"Thusday",I511=6,"Friday")</f>
        <v>Saturday</v>
      </c>
      <c r="K511" s="1">
        <v>1</v>
      </c>
      <c r="L511" s="1">
        <v>0.08</v>
      </c>
      <c r="M511" t="str">
        <f t="shared" si="8"/>
        <v>Stromy</v>
      </c>
    </row>
    <row r="512" spans="1:13" x14ac:dyDescent="0.35">
      <c r="A512" s="1">
        <v>510</v>
      </c>
      <c r="B512" s="3">
        <v>40566</v>
      </c>
      <c r="C512" s="1">
        <v>1</v>
      </c>
      <c r="D512" s="1">
        <v>0</v>
      </c>
      <c r="E512" s="1">
        <v>1</v>
      </c>
      <c r="F512" s="32">
        <v>8</v>
      </c>
      <c r="G512" s="64" t="str" cm="1">
        <f t="array" ref="G512">_xlfn.IFS(AND(F512&gt;=5,F512&lt;12),"Morning",AND(F512&gt;=12,F512&lt;17),"AfterNoon",AND(F512&gt;=17,F512&lt;20),"Evening",TRUE,"Night")</f>
        <v>Morning</v>
      </c>
      <c r="H512" s="1" t="b">
        <v>0</v>
      </c>
      <c r="I512" s="1">
        <v>0</v>
      </c>
      <c r="J512" s="64" t="str" cm="1">
        <f t="array" ref="J512">_xlfn.IFS(I512=0,"Saturday",I512=1,"Sunday",I512=2,"Monday",I512=3,"Tuesday",I512=4,"Wednesday",I512=5,"Thusday",I512=6,"Friday")</f>
        <v>Saturday</v>
      </c>
      <c r="K512" s="1">
        <v>1</v>
      </c>
      <c r="L512" s="1">
        <v>0.06</v>
      </c>
      <c r="M512" t="str">
        <f t="shared" si="8"/>
        <v>Stromy</v>
      </c>
    </row>
    <row r="513" spans="1:13" x14ac:dyDescent="0.35">
      <c r="A513" s="1">
        <v>511</v>
      </c>
      <c r="B513" s="3">
        <v>40566</v>
      </c>
      <c r="C513" s="1">
        <v>1</v>
      </c>
      <c r="D513" s="1">
        <v>0</v>
      </c>
      <c r="E513" s="1">
        <v>1</v>
      </c>
      <c r="F513" s="32">
        <v>9</v>
      </c>
      <c r="G513" s="64" t="str" cm="1">
        <f t="array" ref="G513">_xlfn.IFS(AND(F513&gt;=5,F513&lt;12),"Morning",AND(F513&gt;=12,F513&lt;17),"AfterNoon",AND(F513&gt;=17,F513&lt;20),"Evening",TRUE,"Night")</f>
        <v>Morning</v>
      </c>
      <c r="H513" s="1" t="b">
        <v>0</v>
      </c>
      <c r="I513" s="1">
        <v>0</v>
      </c>
      <c r="J513" s="64" t="str" cm="1">
        <f t="array" ref="J513">_xlfn.IFS(I513=0,"Saturday",I513=1,"Sunday",I513=2,"Monday",I513=3,"Tuesday",I513=4,"Wednesday",I513=5,"Thusday",I513=6,"Friday")</f>
        <v>Saturday</v>
      </c>
      <c r="K513" s="1">
        <v>1</v>
      </c>
      <c r="L513" s="1">
        <v>0.1</v>
      </c>
      <c r="M513" t="str">
        <f t="shared" si="8"/>
        <v>Stromy</v>
      </c>
    </row>
    <row r="514" spans="1:13" x14ac:dyDescent="0.35">
      <c r="A514" s="1">
        <v>512</v>
      </c>
      <c r="B514" s="3">
        <v>40566</v>
      </c>
      <c r="C514" s="1">
        <v>1</v>
      </c>
      <c r="D514" s="1">
        <v>0</v>
      </c>
      <c r="E514" s="1">
        <v>1</v>
      </c>
      <c r="F514" s="32">
        <v>10</v>
      </c>
      <c r="G514" s="64" t="str" cm="1">
        <f t="array" ref="G514">_xlfn.IFS(AND(F514&gt;=5,F514&lt;12),"Morning",AND(F514&gt;=12,F514&lt;17),"AfterNoon",AND(F514&gt;=17,F514&lt;20),"Evening",TRUE,"Night")</f>
        <v>Morning</v>
      </c>
      <c r="H514" s="1" t="b">
        <v>0</v>
      </c>
      <c r="I514" s="1">
        <v>0</v>
      </c>
      <c r="J514" s="64" t="str" cm="1">
        <f t="array" ref="J514">_xlfn.IFS(I514=0,"Saturday",I514=1,"Sunday",I514=2,"Monday",I514=3,"Tuesday",I514=4,"Wednesday",I514=5,"Thusday",I514=6,"Friday")</f>
        <v>Saturday</v>
      </c>
      <c r="K514" s="1">
        <v>1</v>
      </c>
      <c r="L514" s="1">
        <v>0.14000000000000001</v>
      </c>
      <c r="M514" t="str">
        <f t="shared" si="8"/>
        <v>Rainy</v>
      </c>
    </row>
    <row r="515" spans="1:13" x14ac:dyDescent="0.35">
      <c r="A515" s="1">
        <v>513</v>
      </c>
      <c r="B515" s="3">
        <v>40566</v>
      </c>
      <c r="C515" s="1">
        <v>1</v>
      </c>
      <c r="D515" s="1">
        <v>0</v>
      </c>
      <c r="E515" s="1">
        <v>1</v>
      </c>
      <c r="F515" s="32">
        <v>11</v>
      </c>
      <c r="G515" s="64" t="str" cm="1">
        <f t="array" ref="G515">_xlfn.IFS(AND(F515&gt;=5,F515&lt;12),"Morning",AND(F515&gt;=12,F515&lt;17),"AfterNoon",AND(F515&gt;=17,F515&lt;20),"Evening",TRUE,"Night")</f>
        <v>Morning</v>
      </c>
      <c r="H515" s="1" t="b">
        <v>0</v>
      </c>
      <c r="I515" s="1">
        <v>0</v>
      </c>
      <c r="J515" s="64" t="str" cm="1">
        <f t="array" ref="J515">_xlfn.IFS(I515=0,"Saturday",I515=1,"Sunday",I515=2,"Monday",I515=3,"Tuesday",I515=4,"Wednesday",I515=5,"Thusday",I515=6,"Friday")</f>
        <v>Saturday</v>
      </c>
      <c r="K515" s="1">
        <v>1</v>
      </c>
      <c r="L515" s="1">
        <v>0.14000000000000001</v>
      </c>
      <c r="M515" t="str">
        <f t="shared" si="8"/>
        <v>Rainy</v>
      </c>
    </row>
    <row r="516" spans="1:13" x14ac:dyDescent="0.35">
      <c r="A516" s="1">
        <v>514</v>
      </c>
      <c r="B516" s="3">
        <v>40566</v>
      </c>
      <c r="C516" s="1">
        <v>1</v>
      </c>
      <c r="D516" s="1">
        <v>0</v>
      </c>
      <c r="E516" s="1">
        <v>1</v>
      </c>
      <c r="F516" s="32">
        <v>12</v>
      </c>
      <c r="G516" s="64" t="str" cm="1">
        <f t="array" ref="G516">_xlfn.IFS(AND(F516&gt;=5,F516&lt;12),"Morning",AND(F516&gt;=12,F516&lt;17),"AfterNoon",AND(F516&gt;=17,F516&lt;20),"Evening",TRUE,"Night")</f>
        <v>AfterNoon</v>
      </c>
      <c r="H516" s="1" t="b">
        <v>0</v>
      </c>
      <c r="I516" s="1">
        <v>0</v>
      </c>
      <c r="J516" s="64" t="str" cm="1">
        <f t="array" ref="J516">_xlfn.IFS(I516=0,"Saturday",I516=1,"Sunday",I516=2,"Monday",I516=3,"Tuesday",I516=4,"Wednesday",I516=5,"Thusday",I516=6,"Friday")</f>
        <v>Saturday</v>
      </c>
      <c r="K516" s="1">
        <v>1</v>
      </c>
      <c r="L516" s="1">
        <v>0.16</v>
      </c>
      <c r="M516" t="str">
        <f t="shared" ref="M516:M579" si="9">IF(L516&lt;=0.1,"Stromy",IF(L516&lt;=0.2,"Rainy",IF(L516&lt;=0.3,"Cloudy","Sunny")))</f>
        <v>Rainy</v>
      </c>
    </row>
    <row r="517" spans="1:13" x14ac:dyDescent="0.35">
      <c r="A517" s="1">
        <v>515</v>
      </c>
      <c r="B517" s="3">
        <v>40566</v>
      </c>
      <c r="C517" s="1">
        <v>1</v>
      </c>
      <c r="D517" s="1">
        <v>0</v>
      </c>
      <c r="E517" s="1">
        <v>1</v>
      </c>
      <c r="F517" s="32">
        <v>13</v>
      </c>
      <c r="G517" s="64" t="str" cm="1">
        <f t="array" ref="G517">_xlfn.IFS(AND(F517&gt;=5,F517&lt;12),"Morning",AND(F517&gt;=12,F517&lt;17),"AfterNoon",AND(F517&gt;=17,F517&lt;20),"Evening",TRUE,"Night")</f>
        <v>AfterNoon</v>
      </c>
      <c r="H517" s="1" t="b">
        <v>0</v>
      </c>
      <c r="I517" s="1">
        <v>0</v>
      </c>
      <c r="J517" s="64" t="str" cm="1">
        <f t="array" ref="J517">_xlfn.IFS(I517=0,"Saturday",I517=1,"Sunday",I517=2,"Monday",I517=3,"Tuesday",I517=4,"Wednesday",I517=5,"Thusday",I517=6,"Friday")</f>
        <v>Saturday</v>
      </c>
      <c r="K517" s="1">
        <v>1</v>
      </c>
      <c r="L517" s="1">
        <v>0.14000000000000001</v>
      </c>
      <c r="M517" t="str">
        <f t="shared" si="9"/>
        <v>Rainy</v>
      </c>
    </row>
    <row r="518" spans="1:13" x14ac:dyDescent="0.35">
      <c r="A518" s="1">
        <v>516</v>
      </c>
      <c r="B518" s="3">
        <v>40566</v>
      </c>
      <c r="C518" s="1">
        <v>1</v>
      </c>
      <c r="D518" s="1">
        <v>0</v>
      </c>
      <c r="E518" s="1">
        <v>1</v>
      </c>
      <c r="F518" s="32">
        <v>14</v>
      </c>
      <c r="G518" s="64" t="str" cm="1">
        <f t="array" ref="G518">_xlfn.IFS(AND(F518&gt;=5,F518&lt;12),"Morning",AND(F518&gt;=12,F518&lt;17),"AfterNoon",AND(F518&gt;=17,F518&lt;20),"Evening",TRUE,"Night")</f>
        <v>AfterNoon</v>
      </c>
      <c r="H518" s="1" t="b">
        <v>0</v>
      </c>
      <c r="I518" s="1">
        <v>0</v>
      </c>
      <c r="J518" s="64" t="str" cm="1">
        <f t="array" ref="J518">_xlfn.IFS(I518=0,"Saturday",I518=1,"Sunday",I518=2,"Monday",I518=3,"Tuesday",I518=4,"Wednesday",I518=5,"Thusday",I518=6,"Friday")</f>
        <v>Saturday</v>
      </c>
      <c r="K518" s="1">
        <v>1</v>
      </c>
      <c r="L518" s="1">
        <v>0.16</v>
      </c>
      <c r="M518" t="str">
        <f t="shared" si="9"/>
        <v>Rainy</v>
      </c>
    </row>
    <row r="519" spans="1:13" x14ac:dyDescent="0.35">
      <c r="A519" s="1">
        <v>517</v>
      </c>
      <c r="B519" s="3">
        <v>40566</v>
      </c>
      <c r="C519" s="1">
        <v>1</v>
      </c>
      <c r="D519" s="1">
        <v>0</v>
      </c>
      <c r="E519" s="1">
        <v>1</v>
      </c>
      <c r="F519" s="32">
        <v>15</v>
      </c>
      <c r="G519" s="64" t="str" cm="1">
        <f t="array" ref="G519">_xlfn.IFS(AND(F519&gt;=5,F519&lt;12),"Morning",AND(F519&gt;=12,F519&lt;17),"AfterNoon",AND(F519&gt;=17,F519&lt;20),"Evening",TRUE,"Night")</f>
        <v>AfterNoon</v>
      </c>
      <c r="H519" s="1" t="b">
        <v>0</v>
      </c>
      <c r="I519" s="1">
        <v>0</v>
      </c>
      <c r="J519" s="64" t="str" cm="1">
        <f t="array" ref="J519">_xlfn.IFS(I519=0,"Saturday",I519=1,"Sunday",I519=2,"Monday",I519=3,"Tuesday",I519=4,"Wednesday",I519=5,"Thusday",I519=6,"Friday")</f>
        <v>Saturday</v>
      </c>
      <c r="K519" s="1">
        <v>1</v>
      </c>
      <c r="L519" s="1">
        <v>0.16</v>
      </c>
      <c r="M519" t="str">
        <f t="shared" si="9"/>
        <v>Rainy</v>
      </c>
    </row>
    <row r="520" spans="1:13" x14ac:dyDescent="0.35">
      <c r="A520" s="1">
        <v>518</v>
      </c>
      <c r="B520" s="3">
        <v>40566</v>
      </c>
      <c r="C520" s="1">
        <v>1</v>
      </c>
      <c r="D520" s="1">
        <v>0</v>
      </c>
      <c r="E520" s="1">
        <v>1</v>
      </c>
      <c r="F520" s="32">
        <v>16</v>
      </c>
      <c r="G520" s="64" t="str" cm="1">
        <f t="array" ref="G520">_xlfn.IFS(AND(F520&gt;=5,F520&lt;12),"Morning",AND(F520&gt;=12,F520&lt;17),"AfterNoon",AND(F520&gt;=17,F520&lt;20),"Evening",TRUE,"Night")</f>
        <v>AfterNoon</v>
      </c>
      <c r="H520" s="1" t="b">
        <v>0</v>
      </c>
      <c r="I520" s="1">
        <v>0</v>
      </c>
      <c r="J520" s="64" t="str" cm="1">
        <f t="array" ref="J520">_xlfn.IFS(I520=0,"Saturday",I520=1,"Sunday",I520=2,"Monday",I520=3,"Tuesday",I520=4,"Wednesday",I520=5,"Thusday",I520=6,"Friday")</f>
        <v>Saturday</v>
      </c>
      <c r="K520" s="1">
        <v>1</v>
      </c>
      <c r="L520" s="1">
        <v>0.16</v>
      </c>
      <c r="M520" t="str">
        <f t="shared" si="9"/>
        <v>Rainy</v>
      </c>
    </row>
    <row r="521" spans="1:13" x14ac:dyDescent="0.35">
      <c r="A521" s="1">
        <v>519</v>
      </c>
      <c r="B521" s="3">
        <v>40566</v>
      </c>
      <c r="C521" s="1">
        <v>1</v>
      </c>
      <c r="D521" s="1">
        <v>0</v>
      </c>
      <c r="E521" s="1">
        <v>1</v>
      </c>
      <c r="F521" s="32">
        <v>17</v>
      </c>
      <c r="G521" s="64" t="str" cm="1">
        <f t="array" ref="G521">_xlfn.IFS(AND(F521&gt;=5,F521&lt;12),"Morning",AND(F521&gt;=12,F521&lt;17),"AfterNoon",AND(F521&gt;=17,F521&lt;20),"Evening",TRUE,"Night")</f>
        <v>Evening</v>
      </c>
      <c r="H521" s="1" t="b">
        <v>0</v>
      </c>
      <c r="I521" s="1">
        <v>0</v>
      </c>
      <c r="J521" s="64" t="str" cm="1">
        <f t="array" ref="J521">_xlfn.IFS(I521=0,"Saturday",I521=1,"Sunday",I521=2,"Monday",I521=3,"Tuesday",I521=4,"Wednesday",I521=5,"Thusday",I521=6,"Friday")</f>
        <v>Saturday</v>
      </c>
      <c r="K521" s="1">
        <v>1</v>
      </c>
      <c r="L521" s="1">
        <v>0.14000000000000001</v>
      </c>
      <c r="M521" t="str">
        <f t="shared" si="9"/>
        <v>Rainy</v>
      </c>
    </row>
    <row r="522" spans="1:13" x14ac:dyDescent="0.35">
      <c r="A522" s="1">
        <v>520</v>
      </c>
      <c r="B522" s="3">
        <v>40566</v>
      </c>
      <c r="C522" s="1">
        <v>1</v>
      </c>
      <c r="D522" s="1">
        <v>0</v>
      </c>
      <c r="E522" s="1">
        <v>1</v>
      </c>
      <c r="F522" s="32">
        <v>18</v>
      </c>
      <c r="G522" s="64" t="str" cm="1">
        <f t="array" ref="G522">_xlfn.IFS(AND(F522&gt;=5,F522&lt;12),"Morning",AND(F522&gt;=12,F522&lt;17),"AfterNoon",AND(F522&gt;=17,F522&lt;20),"Evening",TRUE,"Night")</f>
        <v>Evening</v>
      </c>
      <c r="H522" s="1" t="b">
        <v>0</v>
      </c>
      <c r="I522" s="1">
        <v>0</v>
      </c>
      <c r="J522" s="64" t="str" cm="1">
        <f t="array" ref="J522">_xlfn.IFS(I522=0,"Saturday",I522=1,"Sunday",I522=2,"Monday",I522=3,"Tuesday",I522=4,"Wednesday",I522=5,"Thusday",I522=6,"Friday")</f>
        <v>Saturday</v>
      </c>
      <c r="K522" s="1">
        <v>1</v>
      </c>
      <c r="L522" s="1">
        <v>0.12</v>
      </c>
      <c r="M522" t="str">
        <f t="shared" si="9"/>
        <v>Rainy</v>
      </c>
    </row>
    <row r="523" spans="1:13" x14ac:dyDescent="0.35">
      <c r="A523" s="1">
        <v>521</v>
      </c>
      <c r="B523" s="3">
        <v>40566</v>
      </c>
      <c r="C523" s="1">
        <v>1</v>
      </c>
      <c r="D523" s="1">
        <v>0</v>
      </c>
      <c r="E523" s="1">
        <v>1</v>
      </c>
      <c r="F523" s="32">
        <v>19</v>
      </c>
      <c r="G523" s="64" t="str" cm="1">
        <f t="array" ref="G523">_xlfn.IFS(AND(F523&gt;=5,F523&lt;12),"Morning",AND(F523&gt;=12,F523&lt;17),"AfterNoon",AND(F523&gt;=17,F523&lt;20),"Evening",TRUE,"Night")</f>
        <v>Evening</v>
      </c>
      <c r="H523" s="1" t="b">
        <v>0</v>
      </c>
      <c r="I523" s="1">
        <v>0</v>
      </c>
      <c r="J523" s="64" t="str" cm="1">
        <f t="array" ref="J523">_xlfn.IFS(I523=0,"Saturday",I523=1,"Sunday",I523=2,"Monday",I523=3,"Tuesday",I523=4,"Wednesday",I523=5,"Thusday",I523=6,"Friday")</f>
        <v>Saturday</v>
      </c>
      <c r="K523" s="1">
        <v>1</v>
      </c>
      <c r="L523" s="1">
        <v>0.12</v>
      </c>
      <c r="M523" t="str">
        <f t="shared" si="9"/>
        <v>Rainy</v>
      </c>
    </row>
    <row r="524" spans="1:13" x14ac:dyDescent="0.35">
      <c r="A524" s="1">
        <v>522</v>
      </c>
      <c r="B524" s="3">
        <v>40566</v>
      </c>
      <c r="C524" s="1">
        <v>1</v>
      </c>
      <c r="D524" s="1">
        <v>0</v>
      </c>
      <c r="E524" s="1">
        <v>1</v>
      </c>
      <c r="F524" s="32">
        <v>20</v>
      </c>
      <c r="G524" s="64" t="str" cm="1">
        <f t="array" ref="G524">_xlfn.IFS(AND(F524&gt;=5,F524&lt;12),"Morning",AND(F524&gt;=12,F524&lt;17),"AfterNoon",AND(F524&gt;=17,F524&lt;20),"Evening",TRUE,"Night")</f>
        <v>Night</v>
      </c>
      <c r="H524" s="1" t="b">
        <v>0</v>
      </c>
      <c r="I524" s="1">
        <v>0</v>
      </c>
      <c r="J524" s="64" t="str" cm="1">
        <f t="array" ref="J524">_xlfn.IFS(I524=0,"Saturday",I524=1,"Sunday",I524=2,"Monday",I524=3,"Tuesday",I524=4,"Wednesday",I524=5,"Thusday",I524=6,"Friday")</f>
        <v>Saturday</v>
      </c>
      <c r="K524" s="1">
        <v>1</v>
      </c>
      <c r="L524" s="1">
        <v>0.1</v>
      </c>
      <c r="M524" t="str">
        <f t="shared" si="9"/>
        <v>Stromy</v>
      </c>
    </row>
    <row r="525" spans="1:13" x14ac:dyDescent="0.35">
      <c r="A525" s="1">
        <v>523</v>
      </c>
      <c r="B525" s="3">
        <v>40566</v>
      </c>
      <c r="C525" s="1">
        <v>1</v>
      </c>
      <c r="D525" s="1">
        <v>0</v>
      </c>
      <c r="E525" s="1">
        <v>1</v>
      </c>
      <c r="F525" s="32">
        <v>21</v>
      </c>
      <c r="G525" s="64" t="str" cm="1">
        <f t="array" ref="G525">_xlfn.IFS(AND(F525&gt;=5,F525&lt;12),"Morning",AND(F525&gt;=12,F525&lt;17),"AfterNoon",AND(F525&gt;=17,F525&lt;20),"Evening",TRUE,"Night")</f>
        <v>Night</v>
      </c>
      <c r="H525" s="1" t="b">
        <v>0</v>
      </c>
      <c r="I525" s="1">
        <v>0</v>
      </c>
      <c r="J525" s="64" t="str" cm="1">
        <f t="array" ref="J525">_xlfn.IFS(I525=0,"Saturday",I525=1,"Sunday",I525=2,"Monday",I525=3,"Tuesday",I525=4,"Wednesday",I525=5,"Thusday",I525=6,"Friday")</f>
        <v>Saturday</v>
      </c>
      <c r="K525" s="1">
        <v>1</v>
      </c>
      <c r="L525" s="1">
        <v>0.1</v>
      </c>
      <c r="M525" t="str">
        <f t="shared" si="9"/>
        <v>Stromy</v>
      </c>
    </row>
    <row r="526" spans="1:13" x14ac:dyDescent="0.35">
      <c r="A526" s="1">
        <v>524</v>
      </c>
      <c r="B526" s="3">
        <v>40566</v>
      </c>
      <c r="C526" s="1">
        <v>1</v>
      </c>
      <c r="D526" s="1">
        <v>0</v>
      </c>
      <c r="E526" s="1">
        <v>1</v>
      </c>
      <c r="F526" s="32">
        <v>22</v>
      </c>
      <c r="G526" s="64" t="str" cm="1">
        <f t="array" ref="G526">_xlfn.IFS(AND(F526&gt;=5,F526&lt;12),"Morning",AND(F526&gt;=12,F526&lt;17),"AfterNoon",AND(F526&gt;=17,F526&lt;20),"Evening",TRUE,"Night")</f>
        <v>Night</v>
      </c>
      <c r="H526" s="1" t="b">
        <v>0</v>
      </c>
      <c r="I526" s="1">
        <v>0</v>
      </c>
      <c r="J526" s="64" t="str" cm="1">
        <f t="array" ref="J526">_xlfn.IFS(I526=0,"Saturday",I526=1,"Sunday",I526=2,"Monday",I526=3,"Tuesday",I526=4,"Wednesday",I526=5,"Thusday",I526=6,"Friday")</f>
        <v>Saturday</v>
      </c>
      <c r="K526" s="1">
        <v>1</v>
      </c>
      <c r="L526" s="1">
        <v>0.08</v>
      </c>
      <c r="M526" t="str">
        <f t="shared" si="9"/>
        <v>Stromy</v>
      </c>
    </row>
    <row r="527" spans="1:13" x14ac:dyDescent="0.35">
      <c r="A527" s="1">
        <v>525</v>
      </c>
      <c r="B527" s="3">
        <v>40566</v>
      </c>
      <c r="C527" s="1">
        <v>1</v>
      </c>
      <c r="D527" s="1">
        <v>0</v>
      </c>
      <c r="E527" s="1">
        <v>1</v>
      </c>
      <c r="F527" s="32">
        <v>23</v>
      </c>
      <c r="G527" s="64" t="str" cm="1">
        <f t="array" ref="G527">_xlfn.IFS(AND(F527&gt;=5,F527&lt;12),"Morning",AND(F527&gt;=12,F527&lt;17),"AfterNoon",AND(F527&gt;=17,F527&lt;20),"Evening",TRUE,"Night")</f>
        <v>Night</v>
      </c>
      <c r="H527" s="1" t="b">
        <v>0</v>
      </c>
      <c r="I527" s="1">
        <v>0</v>
      </c>
      <c r="J527" s="64" t="str" cm="1">
        <f t="array" ref="J527">_xlfn.IFS(I527=0,"Saturday",I527=1,"Sunday",I527=2,"Monday",I527=3,"Tuesday",I527=4,"Wednesday",I527=5,"Thusday",I527=6,"Friday")</f>
        <v>Saturday</v>
      </c>
      <c r="K527" s="1">
        <v>1</v>
      </c>
      <c r="L527" s="1">
        <v>0.06</v>
      </c>
      <c r="M527" t="str">
        <f t="shared" si="9"/>
        <v>Stromy</v>
      </c>
    </row>
    <row r="528" spans="1:13" x14ac:dyDescent="0.35">
      <c r="A528" s="1">
        <v>526</v>
      </c>
      <c r="B528" s="3">
        <v>40567</v>
      </c>
      <c r="C528" s="1">
        <v>1</v>
      </c>
      <c r="D528" s="1">
        <v>0</v>
      </c>
      <c r="E528" s="1">
        <v>1</v>
      </c>
      <c r="F528" s="32">
        <v>0</v>
      </c>
      <c r="G528" s="64" t="str" cm="1">
        <f t="array" ref="G528">_xlfn.IFS(AND(F528&gt;=5,F528&lt;12),"Morning",AND(F528&gt;=12,F528&lt;17),"AfterNoon",AND(F528&gt;=17,F528&lt;20),"Evening",TRUE,"Night")</f>
        <v>Night</v>
      </c>
      <c r="H528" s="1" t="b">
        <v>0</v>
      </c>
      <c r="I528" s="1">
        <v>1</v>
      </c>
      <c r="J528" s="64" t="str" cm="1">
        <f t="array" ref="J528">_xlfn.IFS(I528=0,"Saturday",I528=1,"Sunday",I528=2,"Monday",I528=3,"Tuesday",I528=4,"Wednesday",I528=5,"Thusday",I528=6,"Friday")</f>
        <v>Sunday</v>
      </c>
      <c r="K528" s="1">
        <v>1</v>
      </c>
      <c r="L528" s="1">
        <v>0.06</v>
      </c>
      <c r="M528" t="str">
        <f t="shared" si="9"/>
        <v>Stromy</v>
      </c>
    </row>
    <row r="529" spans="1:13" x14ac:dyDescent="0.35">
      <c r="A529" s="1">
        <v>527</v>
      </c>
      <c r="B529" s="3">
        <v>40567</v>
      </c>
      <c r="C529" s="1">
        <v>1</v>
      </c>
      <c r="D529" s="1">
        <v>0</v>
      </c>
      <c r="E529" s="1">
        <v>1</v>
      </c>
      <c r="F529" s="32">
        <v>1</v>
      </c>
      <c r="G529" s="64" t="str" cm="1">
        <f t="array" ref="G529">_xlfn.IFS(AND(F529&gt;=5,F529&lt;12),"Morning",AND(F529&gt;=12,F529&lt;17),"AfterNoon",AND(F529&gt;=17,F529&lt;20),"Evening",TRUE,"Night")</f>
        <v>Night</v>
      </c>
      <c r="H529" s="1" t="b">
        <v>0</v>
      </c>
      <c r="I529" s="1">
        <v>1</v>
      </c>
      <c r="J529" s="64" t="str" cm="1">
        <f t="array" ref="J529">_xlfn.IFS(I529=0,"Saturday",I529=1,"Sunday",I529=2,"Monday",I529=3,"Tuesday",I529=4,"Wednesday",I529=5,"Thusday",I529=6,"Friday")</f>
        <v>Sunday</v>
      </c>
      <c r="K529" s="1">
        <v>1</v>
      </c>
      <c r="L529" s="1">
        <v>0.04</v>
      </c>
      <c r="M529" t="str">
        <f t="shared" si="9"/>
        <v>Stromy</v>
      </c>
    </row>
    <row r="530" spans="1:13" x14ac:dyDescent="0.35">
      <c r="A530" s="1">
        <v>528</v>
      </c>
      <c r="B530" s="3">
        <v>40567</v>
      </c>
      <c r="C530" s="1">
        <v>1</v>
      </c>
      <c r="D530" s="1">
        <v>0</v>
      </c>
      <c r="E530" s="1">
        <v>1</v>
      </c>
      <c r="F530" s="32">
        <v>3</v>
      </c>
      <c r="G530" s="64" t="str" cm="1">
        <f t="array" ref="G530">_xlfn.IFS(AND(F530&gt;=5,F530&lt;12),"Morning",AND(F530&gt;=12,F530&lt;17),"AfterNoon",AND(F530&gt;=17,F530&lt;20),"Evening",TRUE,"Night")</f>
        <v>Night</v>
      </c>
      <c r="H530" s="1" t="b">
        <v>0</v>
      </c>
      <c r="I530" s="1">
        <v>1</v>
      </c>
      <c r="J530" s="64" t="str" cm="1">
        <f t="array" ref="J530">_xlfn.IFS(I530=0,"Saturday",I530=1,"Sunday",I530=2,"Monday",I530=3,"Tuesday",I530=4,"Wednesday",I530=5,"Thusday",I530=6,"Friday")</f>
        <v>Sunday</v>
      </c>
      <c r="K530" s="1">
        <v>1</v>
      </c>
      <c r="L530" s="1">
        <v>0.04</v>
      </c>
      <c r="M530" t="str">
        <f t="shared" si="9"/>
        <v>Stromy</v>
      </c>
    </row>
    <row r="531" spans="1:13" x14ac:dyDescent="0.35">
      <c r="A531" s="1">
        <v>529</v>
      </c>
      <c r="B531" s="3">
        <v>40567</v>
      </c>
      <c r="C531" s="1">
        <v>1</v>
      </c>
      <c r="D531" s="1">
        <v>0</v>
      </c>
      <c r="E531" s="1">
        <v>1</v>
      </c>
      <c r="F531" s="32">
        <v>4</v>
      </c>
      <c r="G531" s="64" t="str" cm="1">
        <f t="array" ref="G531">_xlfn.IFS(AND(F531&gt;=5,F531&lt;12),"Morning",AND(F531&gt;=12,F531&lt;17),"AfterNoon",AND(F531&gt;=17,F531&lt;20),"Evening",TRUE,"Night")</f>
        <v>Night</v>
      </c>
      <c r="H531" s="1" t="b">
        <v>0</v>
      </c>
      <c r="I531" s="1">
        <v>1</v>
      </c>
      <c r="J531" s="64" t="str" cm="1">
        <f t="array" ref="J531">_xlfn.IFS(I531=0,"Saturday",I531=1,"Sunday",I531=2,"Monday",I531=3,"Tuesday",I531=4,"Wednesday",I531=5,"Thusday",I531=6,"Friday")</f>
        <v>Sunday</v>
      </c>
      <c r="K531" s="1">
        <v>1</v>
      </c>
      <c r="L531" s="1">
        <v>0.02</v>
      </c>
      <c r="M531" t="str">
        <f t="shared" si="9"/>
        <v>Stromy</v>
      </c>
    </row>
    <row r="532" spans="1:13" x14ac:dyDescent="0.35">
      <c r="A532" s="1">
        <v>530</v>
      </c>
      <c r="B532" s="3">
        <v>40567</v>
      </c>
      <c r="C532" s="1">
        <v>1</v>
      </c>
      <c r="D532" s="1">
        <v>0</v>
      </c>
      <c r="E532" s="1">
        <v>1</v>
      </c>
      <c r="F532" s="32">
        <v>5</v>
      </c>
      <c r="G532" s="64" t="str" cm="1">
        <f t="array" ref="G532">_xlfn.IFS(AND(F532&gt;=5,F532&lt;12),"Morning",AND(F532&gt;=12,F532&lt;17),"AfterNoon",AND(F532&gt;=17,F532&lt;20),"Evening",TRUE,"Night")</f>
        <v>Morning</v>
      </c>
      <c r="H532" s="1" t="b">
        <v>0</v>
      </c>
      <c r="I532" s="1">
        <v>1</v>
      </c>
      <c r="J532" s="64" t="str" cm="1">
        <f t="array" ref="J532">_xlfn.IFS(I532=0,"Saturday",I532=1,"Sunday",I532=2,"Monday",I532=3,"Tuesday",I532=4,"Wednesday",I532=5,"Thusday",I532=6,"Friday")</f>
        <v>Sunday</v>
      </c>
      <c r="K532" s="1">
        <v>1</v>
      </c>
      <c r="L532" s="1">
        <v>0.02</v>
      </c>
      <c r="M532" t="str">
        <f t="shared" si="9"/>
        <v>Stromy</v>
      </c>
    </row>
    <row r="533" spans="1:13" x14ac:dyDescent="0.35">
      <c r="A533" s="1">
        <v>531</v>
      </c>
      <c r="B533" s="3">
        <v>40567</v>
      </c>
      <c r="C533" s="1">
        <v>1</v>
      </c>
      <c r="D533" s="1">
        <v>0</v>
      </c>
      <c r="E533" s="1">
        <v>1</v>
      </c>
      <c r="F533" s="32">
        <v>6</v>
      </c>
      <c r="G533" s="64" t="str" cm="1">
        <f t="array" ref="G533">_xlfn.IFS(AND(F533&gt;=5,F533&lt;12),"Morning",AND(F533&gt;=12,F533&lt;17),"AfterNoon",AND(F533&gt;=17,F533&lt;20),"Evening",TRUE,"Night")</f>
        <v>Morning</v>
      </c>
      <c r="H533" s="1" t="b">
        <v>0</v>
      </c>
      <c r="I533" s="1">
        <v>1</v>
      </c>
      <c r="J533" s="64" t="str" cm="1">
        <f t="array" ref="J533">_xlfn.IFS(I533=0,"Saturday",I533=1,"Sunday",I533=2,"Monday",I533=3,"Tuesday",I533=4,"Wednesday",I533=5,"Thusday",I533=6,"Friday")</f>
        <v>Sunday</v>
      </c>
      <c r="K533" s="1">
        <v>1</v>
      </c>
      <c r="L533" s="1">
        <v>0.02</v>
      </c>
      <c r="M533" t="str">
        <f t="shared" si="9"/>
        <v>Stromy</v>
      </c>
    </row>
    <row r="534" spans="1:13" x14ac:dyDescent="0.35">
      <c r="A534" s="1">
        <v>532</v>
      </c>
      <c r="B534" s="3">
        <v>40567</v>
      </c>
      <c r="C534" s="1">
        <v>1</v>
      </c>
      <c r="D534" s="1">
        <v>0</v>
      </c>
      <c r="E534" s="1">
        <v>1</v>
      </c>
      <c r="F534" s="32">
        <v>7</v>
      </c>
      <c r="G534" s="64" t="str" cm="1">
        <f t="array" ref="G534">_xlfn.IFS(AND(F534&gt;=5,F534&lt;12),"Morning",AND(F534&gt;=12,F534&lt;17),"AfterNoon",AND(F534&gt;=17,F534&lt;20),"Evening",TRUE,"Night")</f>
        <v>Morning</v>
      </c>
      <c r="H534" s="1" t="b">
        <v>0</v>
      </c>
      <c r="I534" s="1">
        <v>1</v>
      </c>
      <c r="J534" s="64" t="str" cm="1">
        <f t="array" ref="J534">_xlfn.IFS(I534=0,"Saturday",I534=1,"Sunday",I534=2,"Monday",I534=3,"Tuesday",I534=4,"Wednesday",I534=5,"Thusday",I534=6,"Friday")</f>
        <v>Sunday</v>
      </c>
      <c r="K534" s="1">
        <v>1</v>
      </c>
      <c r="L534" s="1">
        <v>0.02</v>
      </c>
      <c r="M534" t="str">
        <f t="shared" si="9"/>
        <v>Stromy</v>
      </c>
    </row>
    <row r="535" spans="1:13" x14ac:dyDescent="0.35">
      <c r="A535" s="1">
        <v>533</v>
      </c>
      <c r="B535" s="3">
        <v>40567</v>
      </c>
      <c r="C535" s="1">
        <v>1</v>
      </c>
      <c r="D535" s="1">
        <v>0</v>
      </c>
      <c r="E535" s="1">
        <v>1</v>
      </c>
      <c r="F535" s="32">
        <v>8</v>
      </c>
      <c r="G535" s="64" t="str" cm="1">
        <f t="array" ref="G535">_xlfn.IFS(AND(F535&gt;=5,F535&lt;12),"Morning",AND(F535&gt;=12,F535&lt;17),"AfterNoon",AND(F535&gt;=17,F535&lt;20),"Evening",TRUE,"Night")</f>
        <v>Morning</v>
      </c>
      <c r="H535" s="1" t="b">
        <v>0</v>
      </c>
      <c r="I535" s="1">
        <v>1</v>
      </c>
      <c r="J535" s="64" t="str" cm="1">
        <f t="array" ref="J535">_xlfn.IFS(I535=0,"Saturday",I535=1,"Sunday",I535=2,"Monday",I535=3,"Tuesday",I535=4,"Wednesday",I535=5,"Thusday",I535=6,"Friday")</f>
        <v>Sunday</v>
      </c>
      <c r="K535" s="1">
        <v>1</v>
      </c>
      <c r="L535" s="1">
        <v>0.04</v>
      </c>
      <c r="M535" t="str">
        <f t="shared" si="9"/>
        <v>Stromy</v>
      </c>
    </row>
    <row r="536" spans="1:13" x14ac:dyDescent="0.35">
      <c r="A536" s="1">
        <v>534</v>
      </c>
      <c r="B536" s="3">
        <v>40567</v>
      </c>
      <c r="C536" s="1">
        <v>1</v>
      </c>
      <c r="D536" s="1">
        <v>0</v>
      </c>
      <c r="E536" s="1">
        <v>1</v>
      </c>
      <c r="F536" s="32">
        <v>9</v>
      </c>
      <c r="G536" s="64" t="str" cm="1">
        <f t="array" ref="G536">_xlfn.IFS(AND(F536&gt;=5,F536&lt;12),"Morning",AND(F536&gt;=12,F536&lt;17),"AfterNoon",AND(F536&gt;=17,F536&lt;20),"Evening",TRUE,"Night")</f>
        <v>Morning</v>
      </c>
      <c r="H536" s="1" t="b">
        <v>0</v>
      </c>
      <c r="I536" s="1">
        <v>1</v>
      </c>
      <c r="J536" s="64" t="str" cm="1">
        <f t="array" ref="J536">_xlfn.IFS(I536=0,"Saturday",I536=1,"Sunday",I536=2,"Monday",I536=3,"Tuesday",I536=4,"Wednesday",I536=5,"Thusday",I536=6,"Friday")</f>
        <v>Sunday</v>
      </c>
      <c r="K536" s="1">
        <v>1</v>
      </c>
      <c r="L536" s="1">
        <v>0.06</v>
      </c>
      <c r="M536" t="str">
        <f t="shared" si="9"/>
        <v>Stromy</v>
      </c>
    </row>
    <row r="537" spans="1:13" x14ac:dyDescent="0.35">
      <c r="A537" s="1">
        <v>535</v>
      </c>
      <c r="B537" s="3">
        <v>40567</v>
      </c>
      <c r="C537" s="1">
        <v>1</v>
      </c>
      <c r="D537" s="1">
        <v>0</v>
      </c>
      <c r="E537" s="1">
        <v>1</v>
      </c>
      <c r="F537" s="32">
        <v>10</v>
      </c>
      <c r="G537" s="64" t="str" cm="1">
        <f t="array" ref="G537">_xlfn.IFS(AND(F537&gt;=5,F537&lt;12),"Morning",AND(F537&gt;=12,F537&lt;17),"AfterNoon",AND(F537&gt;=17,F537&lt;20),"Evening",TRUE,"Night")</f>
        <v>Morning</v>
      </c>
      <c r="H537" s="1" t="b">
        <v>0</v>
      </c>
      <c r="I537" s="1">
        <v>1</v>
      </c>
      <c r="J537" s="64" t="str" cm="1">
        <f t="array" ref="J537">_xlfn.IFS(I537=0,"Saturday",I537=1,"Sunday",I537=2,"Monday",I537=3,"Tuesday",I537=4,"Wednesday",I537=5,"Thusday",I537=6,"Friday")</f>
        <v>Sunday</v>
      </c>
      <c r="K537" s="1">
        <v>1</v>
      </c>
      <c r="L537" s="1">
        <v>0.1</v>
      </c>
      <c r="M537" t="str">
        <f t="shared" si="9"/>
        <v>Stromy</v>
      </c>
    </row>
    <row r="538" spans="1:13" x14ac:dyDescent="0.35">
      <c r="A538" s="1">
        <v>536</v>
      </c>
      <c r="B538" s="3">
        <v>40567</v>
      </c>
      <c r="C538" s="1">
        <v>1</v>
      </c>
      <c r="D538" s="1">
        <v>0</v>
      </c>
      <c r="E538" s="1">
        <v>1</v>
      </c>
      <c r="F538" s="32">
        <v>11</v>
      </c>
      <c r="G538" s="64" t="str" cm="1">
        <f t="array" ref="G538">_xlfn.IFS(AND(F538&gt;=5,F538&lt;12),"Morning",AND(F538&gt;=12,F538&lt;17),"AfterNoon",AND(F538&gt;=17,F538&lt;20),"Evening",TRUE,"Night")</f>
        <v>Morning</v>
      </c>
      <c r="H538" s="1" t="b">
        <v>0</v>
      </c>
      <c r="I538" s="1">
        <v>1</v>
      </c>
      <c r="J538" s="64" t="str" cm="1">
        <f t="array" ref="J538">_xlfn.IFS(I538=0,"Saturday",I538=1,"Sunday",I538=2,"Monday",I538=3,"Tuesday",I538=4,"Wednesday",I538=5,"Thusday",I538=6,"Friday")</f>
        <v>Sunday</v>
      </c>
      <c r="K538" s="1">
        <v>1</v>
      </c>
      <c r="L538" s="1">
        <v>0.1</v>
      </c>
      <c r="M538" t="str">
        <f t="shared" si="9"/>
        <v>Stromy</v>
      </c>
    </row>
    <row r="539" spans="1:13" x14ac:dyDescent="0.35">
      <c r="A539" s="1">
        <v>537</v>
      </c>
      <c r="B539" s="3">
        <v>40567</v>
      </c>
      <c r="C539" s="1">
        <v>1</v>
      </c>
      <c r="D539" s="1">
        <v>0</v>
      </c>
      <c r="E539" s="1">
        <v>1</v>
      </c>
      <c r="F539" s="32">
        <v>12</v>
      </c>
      <c r="G539" s="64" t="str" cm="1">
        <f t="array" ref="G539">_xlfn.IFS(AND(F539&gt;=5,F539&lt;12),"Morning",AND(F539&gt;=12,F539&lt;17),"AfterNoon",AND(F539&gt;=17,F539&lt;20),"Evening",TRUE,"Night")</f>
        <v>AfterNoon</v>
      </c>
      <c r="H539" s="1" t="b">
        <v>0</v>
      </c>
      <c r="I539" s="1">
        <v>1</v>
      </c>
      <c r="J539" s="64" t="str" cm="1">
        <f t="array" ref="J539">_xlfn.IFS(I539=0,"Saturday",I539=1,"Sunday",I539=2,"Monday",I539=3,"Tuesday",I539=4,"Wednesday",I539=5,"Thusday",I539=6,"Friday")</f>
        <v>Sunday</v>
      </c>
      <c r="K539" s="1">
        <v>2</v>
      </c>
      <c r="L539" s="1">
        <v>0.12</v>
      </c>
      <c r="M539" t="str">
        <f t="shared" si="9"/>
        <v>Rainy</v>
      </c>
    </row>
    <row r="540" spans="1:13" x14ac:dyDescent="0.35">
      <c r="A540" s="1">
        <v>538</v>
      </c>
      <c r="B540" s="3">
        <v>40567</v>
      </c>
      <c r="C540" s="1">
        <v>1</v>
      </c>
      <c r="D540" s="1">
        <v>0</v>
      </c>
      <c r="E540" s="1">
        <v>1</v>
      </c>
      <c r="F540" s="32">
        <v>13</v>
      </c>
      <c r="G540" s="64" t="str" cm="1">
        <f t="array" ref="G540">_xlfn.IFS(AND(F540&gt;=5,F540&lt;12),"Morning",AND(F540&gt;=12,F540&lt;17),"AfterNoon",AND(F540&gt;=17,F540&lt;20),"Evening",TRUE,"Night")</f>
        <v>AfterNoon</v>
      </c>
      <c r="H540" s="1" t="b">
        <v>0</v>
      </c>
      <c r="I540" s="1">
        <v>1</v>
      </c>
      <c r="J540" s="64" t="str" cm="1">
        <f t="array" ref="J540">_xlfn.IFS(I540=0,"Saturday",I540=1,"Sunday",I540=2,"Monday",I540=3,"Tuesday",I540=4,"Wednesday",I540=5,"Thusday",I540=6,"Friday")</f>
        <v>Sunday</v>
      </c>
      <c r="K540" s="1">
        <v>2</v>
      </c>
      <c r="L540" s="1">
        <v>0.14000000000000001</v>
      </c>
      <c r="M540" t="str">
        <f t="shared" si="9"/>
        <v>Rainy</v>
      </c>
    </row>
    <row r="541" spans="1:13" x14ac:dyDescent="0.35">
      <c r="A541" s="1">
        <v>539</v>
      </c>
      <c r="B541" s="3">
        <v>40567</v>
      </c>
      <c r="C541" s="1">
        <v>1</v>
      </c>
      <c r="D541" s="1">
        <v>0</v>
      </c>
      <c r="E541" s="1">
        <v>1</v>
      </c>
      <c r="F541" s="32">
        <v>14</v>
      </c>
      <c r="G541" s="64" t="str" cm="1">
        <f t="array" ref="G541">_xlfn.IFS(AND(F541&gt;=5,F541&lt;12),"Morning",AND(F541&gt;=12,F541&lt;17),"AfterNoon",AND(F541&gt;=17,F541&lt;20),"Evening",TRUE,"Night")</f>
        <v>AfterNoon</v>
      </c>
      <c r="H541" s="1" t="b">
        <v>0</v>
      </c>
      <c r="I541" s="1">
        <v>1</v>
      </c>
      <c r="J541" s="64" t="str" cm="1">
        <f t="array" ref="J541">_xlfn.IFS(I541=0,"Saturday",I541=1,"Sunday",I541=2,"Monday",I541=3,"Tuesday",I541=4,"Wednesday",I541=5,"Thusday",I541=6,"Friday")</f>
        <v>Sunday</v>
      </c>
      <c r="K541" s="1">
        <v>2</v>
      </c>
      <c r="L541" s="1">
        <v>0.14000000000000001</v>
      </c>
      <c r="M541" t="str">
        <f t="shared" si="9"/>
        <v>Rainy</v>
      </c>
    </row>
    <row r="542" spans="1:13" x14ac:dyDescent="0.35">
      <c r="A542" s="1">
        <v>540</v>
      </c>
      <c r="B542" s="3">
        <v>40567</v>
      </c>
      <c r="C542" s="1">
        <v>1</v>
      </c>
      <c r="D542" s="1">
        <v>0</v>
      </c>
      <c r="E542" s="1">
        <v>1</v>
      </c>
      <c r="F542" s="32">
        <v>15</v>
      </c>
      <c r="G542" s="64" t="str" cm="1">
        <f t="array" ref="G542">_xlfn.IFS(AND(F542&gt;=5,F542&lt;12),"Morning",AND(F542&gt;=12,F542&lt;17),"AfterNoon",AND(F542&gt;=17,F542&lt;20),"Evening",TRUE,"Night")</f>
        <v>AfterNoon</v>
      </c>
      <c r="H542" s="1" t="b">
        <v>0</v>
      </c>
      <c r="I542" s="1">
        <v>1</v>
      </c>
      <c r="J542" s="64" t="str" cm="1">
        <f t="array" ref="J542">_xlfn.IFS(I542=0,"Saturday",I542=1,"Sunday",I542=2,"Monday",I542=3,"Tuesday",I542=4,"Wednesday",I542=5,"Thusday",I542=6,"Friday")</f>
        <v>Sunday</v>
      </c>
      <c r="K542" s="1">
        <v>1</v>
      </c>
      <c r="L542" s="1">
        <v>0.16</v>
      </c>
      <c r="M542" t="str">
        <f t="shared" si="9"/>
        <v>Rainy</v>
      </c>
    </row>
    <row r="543" spans="1:13" x14ac:dyDescent="0.35">
      <c r="A543" s="1">
        <v>541</v>
      </c>
      <c r="B543" s="3">
        <v>40567</v>
      </c>
      <c r="C543" s="1">
        <v>1</v>
      </c>
      <c r="D543" s="1">
        <v>0</v>
      </c>
      <c r="E543" s="1">
        <v>1</v>
      </c>
      <c r="F543" s="32">
        <v>16</v>
      </c>
      <c r="G543" s="64" t="str" cm="1">
        <f t="array" ref="G543">_xlfn.IFS(AND(F543&gt;=5,F543&lt;12),"Morning",AND(F543&gt;=12,F543&lt;17),"AfterNoon",AND(F543&gt;=17,F543&lt;20),"Evening",TRUE,"Night")</f>
        <v>AfterNoon</v>
      </c>
      <c r="H543" s="1" t="b">
        <v>0</v>
      </c>
      <c r="I543" s="1">
        <v>1</v>
      </c>
      <c r="J543" s="64" t="str" cm="1">
        <f t="array" ref="J543">_xlfn.IFS(I543=0,"Saturday",I543=1,"Sunday",I543=2,"Monday",I543=3,"Tuesday",I543=4,"Wednesday",I543=5,"Thusday",I543=6,"Friday")</f>
        <v>Sunday</v>
      </c>
      <c r="K543" s="1">
        <v>1</v>
      </c>
      <c r="L543" s="1">
        <v>0.16</v>
      </c>
      <c r="M543" t="str">
        <f t="shared" si="9"/>
        <v>Rainy</v>
      </c>
    </row>
    <row r="544" spans="1:13" x14ac:dyDescent="0.35">
      <c r="A544" s="1">
        <v>542</v>
      </c>
      <c r="B544" s="3">
        <v>40567</v>
      </c>
      <c r="C544" s="1">
        <v>1</v>
      </c>
      <c r="D544" s="1">
        <v>0</v>
      </c>
      <c r="E544" s="1">
        <v>1</v>
      </c>
      <c r="F544" s="32">
        <v>17</v>
      </c>
      <c r="G544" s="64" t="str" cm="1">
        <f t="array" ref="G544">_xlfn.IFS(AND(F544&gt;=5,F544&lt;12),"Morning",AND(F544&gt;=12,F544&lt;17),"AfterNoon",AND(F544&gt;=17,F544&lt;20),"Evening",TRUE,"Night")</f>
        <v>Evening</v>
      </c>
      <c r="H544" s="1" t="b">
        <v>0</v>
      </c>
      <c r="I544" s="1">
        <v>1</v>
      </c>
      <c r="J544" s="64" t="str" cm="1">
        <f t="array" ref="J544">_xlfn.IFS(I544=0,"Saturday",I544=1,"Sunday",I544=2,"Monday",I544=3,"Tuesday",I544=4,"Wednesday",I544=5,"Thusday",I544=6,"Friday")</f>
        <v>Sunday</v>
      </c>
      <c r="K544" s="1">
        <v>1</v>
      </c>
      <c r="L544" s="1">
        <v>0.14000000000000001</v>
      </c>
      <c r="M544" t="str">
        <f t="shared" si="9"/>
        <v>Rainy</v>
      </c>
    </row>
    <row r="545" spans="1:13" x14ac:dyDescent="0.35">
      <c r="A545" s="1">
        <v>543</v>
      </c>
      <c r="B545" s="3">
        <v>40567</v>
      </c>
      <c r="C545" s="1">
        <v>1</v>
      </c>
      <c r="D545" s="1">
        <v>0</v>
      </c>
      <c r="E545" s="1">
        <v>1</v>
      </c>
      <c r="F545" s="32">
        <v>18</v>
      </c>
      <c r="G545" s="64" t="str" cm="1">
        <f t="array" ref="G545">_xlfn.IFS(AND(F545&gt;=5,F545&lt;12),"Morning",AND(F545&gt;=12,F545&lt;17),"AfterNoon",AND(F545&gt;=17,F545&lt;20),"Evening",TRUE,"Night")</f>
        <v>Evening</v>
      </c>
      <c r="H545" s="1" t="b">
        <v>0</v>
      </c>
      <c r="I545" s="1">
        <v>1</v>
      </c>
      <c r="J545" s="64" t="str" cm="1">
        <f t="array" ref="J545">_xlfn.IFS(I545=0,"Saturday",I545=1,"Sunday",I545=2,"Monday",I545=3,"Tuesday",I545=4,"Wednesday",I545=5,"Thusday",I545=6,"Friday")</f>
        <v>Sunday</v>
      </c>
      <c r="K545" s="1">
        <v>1</v>
      </c>
      <c r="L545" s="1">
        <v>0.14000000000000001</v>
      </c>
      <c r="M545" t="str">
        <f t="shared" si="9"/>
        <v>Rainy</v>
      </c>
    </row>
    <row r="546" spans="1:13" x14ac:dyDescent="0.35">
      <c r="A546" s="1">
        <v>544</v>
      </c>
      <c r="B546" s="3">
        <v>40567</v>
      </c>
      <c r="C546" s="1">
        <v>1</v>
      </c>
      <c r="D546" s="1">
        <v>0</v>
      </c>
      <c r="E546" s="1">
        <v>1</v>
      </c>
      <c r="F546" s="32">
        <v>19</v>
      </c>
      <c r="G546" s="64" t="str" cm="1">
        <f t="array" ref="G546">_xlfn.IFS(AND(F546&gt;=5,F546&lt;12),"Morning",AND(F546&gt;=12,F546&lt;17),"AfterNoon",AND(F546&gt;=17,F546&lt;20),"Evening",TRUE,"Night")</f>
        <v>Evening</v>
      </c>
      <c r="H546" s="1" t="b">
        <v>0</v>
      </c>
      <c r="I546" s="1">
        <v>1</v>
      </c>
      <c r="J546" s="64" t="str" cm="1">
        <f t="array" ref="J546">_xlfn.IFS(I546=0,"Saturday",I546=1,"Sunday",I546=2,"Monday",I546=3,"Tuesday",I546=4,"Wednesday",I546=5,"Thusday",I546=6,"Friday")</f>
        <v>Sunday</v>
      </c>
      <c r="K546" s="1">
        <v>1</v>
      </c>
      <c r="L546" s="1">
        <v>0.14000000000000001</v>
      </c>
      <c r="M546" t="str">
        <f t="shared" si="9"/>
        <v>Rainy</v>
      </c>
    </row>
    <row r="547" spans="1:13" x14ac:dyDescent="0.35">
      <c r="A547" s="1">
        <v>545</v>
      </c>
      <c r="B547" s="3">
        <v>40567</v>
      </c>
      <c r="C547" s="1">
        <v>1</v>
      </c>
      <c r="D547" s="1">
        <v>0</v>
      </c>
      <c r="E547" s="1">
        <v>1</v>
      </c>
      <c r="F547" s="32">
        <v>20</v>
      </c>
      <c r="G547" s="64" t="str" cm="1">
        <f t="array" ref="G547">_xlfn.IFS(AND(F547&gt;=5,F547&lt;12),"Morning",AND(F547&gt;=12,F547&lt;17),"AfterNoon",AND(F547&gt;=17,F547&lt;20),"Evening",TRUE,"Night")</f>
        <v>Night</v>
      </c>
      <c r="H547" s="1" t="b">
        <v>0</v>
      </c>
      <c r="I547" s="1">
        <v>1</v>
      </c>
      <c r="J547" s="64" t="str" cm="1">
        <f t="array" ref="J547">_xlfn.IFS(I547=0,"Saturday",I547=1,"Sunday",I547=2,"Monday",I547=3,"Tuesday",I547=4,"Wednesday",I547=5,"Thusday",I547=6,"Friday")</f>
        <v>Sunday</v>
      </c>
      <c r="K547" s="1">
        <v>1</v>
      </c>
      <c r="L547" s="1">
        <v>0.14000000000000001</v>
      </c>
      <c r="M547" t="str">
        <f t="shared" si="9"/>
        <v>Rainy</v>
      </c>
    </row>
    <row r="548" spans="1:13" x14ac:dyDescent="0.35">
      <c r="A548" s="1">
        <v>546</v>
      </c>
      <c r="B548" s="3">
        <v>40567</v>
      </c>
      <c r="C548" s="1">
        <v>1</v>
      </c>
      <c r="D548" s="1">
        <v>0</v>
      </c>
      <c r="E548" s="1">
        <v>1</v>
      </c>
      <c r="F548" s="32">
        <v>21</v>
      </c>
      <c r="G548" s="64" t="str" cm="1">
        <f t="array" ref="G548">_xlfn.IFS(AND(F548&gt;=5,F548&lt;12),"Morning",AND(F548&gt;=12,F548&lt;17),"AfterNoon",AND(F548&gt;=17,F548&lt;20),"Evening",TRUE,"Night")</f>
        <v>Night</v>
      </c>
      <c r="H548" s="1" t="b">
        <v>0</v>
      </c>
      <c r="I548" s="1">
        <v>1</v>
      </c>
      <c r="J548" s="64" t="str" cm="1">
        <f t="array" ref="J548">_xlfn.IFS(I548=0,"Saturday",I548=1,"Sunday",I548=2,"Monday",I548=3,"Tuesday",I548=4,"Wednesday",I548=5,"Thusday",I548=6,"Friday")</f>
        <v>Sunday</v>
      </c>
      <c r="K548" s="1">
        <v>1</v>
      </c>
      <c r="L548" s="1">
        <v>0.14000000000000001</v>
      </c>
      <c r="M548" t="str">
        <f t="shared" si="9"/>
        <v>Rainy</v>
      </c>
    </row>
    <row r="549" spans="1:13" x14ac:dyDescent="0.35">
      <c r="A549" s="1">
        <v>547</v>
      </c>
      <c r="B549" s="3">
        <v>40567</v>
      </c>
      <c r="C549" s="1">
        <v>1</v>
      </c>
      <c r="D549" s="1">
        <v>0</v>
      </c>
      <c r="E549" s="1">
        <v>1</v>
      </c>
      <c r="F549" s="32">
        <v>22</v>
      </c>
      <c r="G549" s="64" t="str" cm="1">
        <f t="array" ref="G549">_xlfn.IFS(AND(F549&gt;=5,F549&lt;12),"Morning",AND(F549&gt;=12,F549&lt;17),"AfterNoon",AND(F549&gt;=17,F549&lt;20),"Evening",TRUE,"Night")</f>
        <v>Night</v>
      </c>
      <c r="H549" s="1" t="b">
        <v>0</v>
      </c>
      <c r="I549" s="1">
        <v>1</v>
      </c>
      <c r="J549" s="64" t="str" cm="1">
        <f t="array" ref="J549">_xlfn.IFS(I549=0,"Saturday",I549=1,"Sunday",I549=2,"Monday",I549=3,"Tuesday",I549=4,"Wednesday",I549=5,"Thusday",I549=6,"Friday")</f>
        <v>Sunday</v>
      </c>
      <c r="K549" s="1">
        <v>2</v>
      </c>
      <c r="L549" s="1">
        <v>0.14000000000000001</v>
      </c>
      <c r="M549" t="str">
        <f t="shared" si="9"/>
        <v>Rainy</v>
      </c>
    </row>
    <row r="550" spans="1:13" x14ac:dyDescent="0.35">
      <c r="A550" s="1">
        <v>548</v>
      </c>
      <c r="B550" s="3">
        <v>40567</v>
      </c>
      <c r="C550" s="1">
        <v>1</v>
      </c>
      <c r="D550" s="1">
        <v>0</v>
      </c>
      <c r="E550" s="1">
        <v>1</v>
      </c>
      <c r="F550" s="32">
        <v>23</v>
      </c>
      <c r="G550" s="64" t="str" cm="1">
        <f t="array" ref="G550">_xlfn.IFS(AND(F550&gt;=5,F550&lt;12),"Morning",AND(F550&gt;=12,F550&lt;17),"AfterNoon",AND(F550&gt;=17,F550&lt;20),"Evening",TRUE,"Night")</f>
        <v>Night</v>
      </c>
      <c r="H550" s="1" t="b">
        <v>0</v>
      </c>
      <c r="I550" s="1">
        <v>1</v>
      </c>
      <c r="J550" s="64" t="str" cm="1">
        <f t="array" ref="J550">_xlfn.IFS(I550=0,"Saturday",I550=1,"Sunday",I550=2,"Monday",I550=3,"Tuesday",I550=4,"Wednesday",I550=5,"Thusday",I550=6,"Friday")</f>
        <v>Sunday</v>
      </c>
      <c r="K550" s="1">
        <v>2</v>
      </c>
      <c r="L550" s="1">
        <v>0.16</v>
      </c>
      <c r="M550" t="str">
        <f t="shared" si="9"/>
        <v>Rainy</v>
      </c>
    </row>
    <row r="551" spans="1:13" x14ac:dyDescent="0.35">
      <c r="A551" s="1">
        <v>549</v>
      </c>
      <c r="B551" s="3">
        <v>40568</v>
      </c>
      <c r="C551" s="1">
        <v>1</v>
      </c>
      <c r="D551" s="1">
        <v>0</v>
      </c>
      <c r="E551" s="1">
        <v>1</v>
      </c>
      <c r="F551" s="32">
        <v>0</v>
      </c>
      <c r="G551" s="64" t="str" cm="1">
        <f t="array" ref="G551">_xlfn.IFS(AND(F551&gt;=5,F551&lt;12),"Morning",AND(F551&gt;=12,F551&lt;17),"AfterNoon",AND(F551&gt;=17,F551&lt;20),"Evening",TRUE,"Night")</f>
        <v>Night</v>
      </c>
      <c r="H551" s="1" t="b">
        <v>0</v>
      </c>
      <c r="I551" s="1">
        <v>2</v>
      </c>
      <c r="J551" s="64" t="str" cm="1">
        <f t="array" ref="J551">_xlfn.IFS(I551=0,"Saturday",I551=1,"Sunday",I551=2,"Monday",I551=3,"Tuesday",I551=4,"Wednesday",I551=5,"Thusday",I551=6,"Friday")</f>
        <v>Monday</v>
      </c>
      <c r="K551" s="1">
        <v>2</v>
      </c>
      <c r="L551" s="1">
        <v>0.16</v>
      </c>
      <c r="M551" t="str">
        <f t="shared" si="9"/>
        <v>Rainy</v>
      </c>
    </row>
    <row r="552" spans="1:13" x14ac:dyDescent="0.35">
      <c r="A552" s="1">
        <v>550</v>
      </c>
      <c r="B552" s="3">
        <v>40568</v>
      </c>
      <c r="C552" s="1">
        <v>1</v>
      </c>
      <c r="D552" s="1">
        <v>0</v>
      </c>
      <c r="E552" s="1">
        <v>1</v>
      </c>
      <c r="F552" s="32">
        <v>1</v>
      </c>
      <c r="G552" s="64" t="str" cm="1">
        <f t="array" ref="G552">_xlfn.IFS(AND(F552&gt;=5,F552&lt;12),"Morning",AND(F552&gt;=12,F552&lt;17),"AfterNoon",AND(F552&gt;=17,F552&lt;20),"Evening",TRUE,"Night")</f>
        <v>Night</v>
      </c>
      <c r="H552" s="1" t="b">
        <v>0</v>
      </c>
      <c r="I552" s="1">
        <v>2</v>
      </c>
      <c r="J552" s="64" t="str" cm="1">
        <f t="array" ref="J552">_xlfn.IFS(I552=0,"Saturday",I552=1,"Sunday",I552=2,"Monday",I552=3,"Tuesday",I552=4,"Wednesday",I552=5,"Thusday",I552=6,"Friday")</f>
        <v>Monday</v>
      </c>
      <c r="K552" s="1">
        <v>2</v>
      </c>
      <c r="L552" s="1">
        <v>0.16</v>
      </c>
      <c r="M552" t="str">
        <f t="shared" si="9"/>
        <v>Rainy</v>
      </c>
    </row>
    <row r="553" spans="1:13" x14ac:dyDescent="0.35">
      <c r="A553" s="1">
        <v>551</v>
      </c>
      <c r="B553" s="3">
        <v>40568</v>
      </c>
      <c r="C553" s="1">
        <v>1</v>
      </c>
      <c r="D553" s="1">
        <v>0</v>
      </c>
      <c r="E553" s="1">
        <v>1</v>
      </c>
      <c r="F553" s="32">
        <v>2</v>
      </c>
      <c r="G553" s="64" t="str" cm="1">
        <f t="array" ref="G553">_xlfn.IFS(AND(F553&gt;=5,F553&lt;12),"Morning",AND(F553&gt;=12,F553&lt;17),"AfterNoon",AND(F553&gt;=17,F553&lt;20),"Evening",TRUE,"Night")</f>
        <v>Night</v>
      </c>
      <c r="H553" s="1" t="b">
        <v>0</v>
      </c>
      <c r="I553" s="1">
        <v>2</v>
      </c>
      <c r="J553" s="64" t="str" cm="1">
        <f t="array" ref="J553">_xlfn.IFS(I553=0,"Saturday",I553=1,"Sunday",I553=2,"Monday",I553=3,"Tuesday",I553=4,"Wednesday",I553=5,"Thusday",I553=6,"Friday")</f>
        <v>Monday</v>
      </c>
      <c r="K553" s="1">
        <v>1</v>
      </c>
      <c r="L553" s="1">
        <v>0.16</v>
      </c>
      <c r="M553" t="str">
        <f t="shared" si="9"/>
        <v>Rainy</v>
      </c>
    </row>
    <row r="554" spans="1:13" x14ac:dyDescent="0.35">
      <c r="A554" s="1">
        <v>552</v>
      </c>
      <c r="B554" s="3">
        <v>40568</v>
      </c>
      <c r="C554" s="1">
        <v>1</v>
      </c>
      <c r="D554" s="1">
        <v>0</v>
      </c>
      <c r="E554" s="1">
        <v>1</v>
      </c>
      <c r="F554" s="32">
        <v>4</v>
      </c>
      <c r="G554" s="64" t="str" cm="1">
        <f t="array" ref="G554">_xlfn.IFS(AND(F554&gt;=5,F554&lt;12),"Morning",AND(F554&gt;=12,F554&lt;17),"AfterNoon",AND(F554&gt;=17,F554&lt;20),"Evening",TRUE,"Night")</f>
        <v>Night</v>
      </c>
      <c r="H554" s="1" t="b">
        <v>0</v>
      </c>
      <c r="I554" s="1">
        <v>2</v>
      </c>
      <c r="J554" s="64" t="str" cm="1">
        <f t="array" ref="J554">_xlfn.IFS(I554=0,"Saturday",I554=1,"Sunday",I554=2,"Monday",I554=3,"Tuesday",I554=4,"Wednesday",I554=5,"Thusday",I554=6,"Friday")</f>
        <v>Monday</v>
      </c>
      <c r="K554" s="1">
        <v>1</v>
      </c>
      <c r="L554" s="1">
        <v>0.14000000000000001</v>
      </c>
      <c r="M554" t="str">
        <f t="shared" si="9"/>
        <v>Rainy</v>
      </c>
    </row>
    <row r="555" spans="1:13" x14ac:dyDescent="0.35">
      <c r="A555" s="1">
        <v>553</v>
      </c>
      <c r="B555" s="3">
        <v>40568</v>
      </c>
      <c r="C555" s="1">
        <v>1</v>
      </c>
      <c r="D555" s="1">
        <v>0</v>
      </c>
      <c r="E555" s="1">
        <v>1</v>
      </c>
      <c r="F555" s="32">
        <v>5</v>
      </c>
      <c r="G555" s="64" t="str" cm="1">
        <f t="array" ref="G555">_xlfn.IFS(AND(F555&gt;=5,F555&lt;12),"Morning",AND(F555&gt;=12,F555&lt;17),"AfterNoon",AND(F555&gt;=17,F555&lt;20),"Evening",TRUE,"Night")</f>
        <v>Morning</v>
      </c>
      <c r="H555" s="1" t="b">
        <v>0</v>
      </c>
      <c r="I555" s="1">
        <v>2</v>
      </c>
      <c r="J555" s="64" t="str" cm="1">
        <f t="array" ref="J555">_xlfn.IFS(I555=0,"Saturday",I555=1,"Sunday",I555=2,"Monday",I555=3,"Tuesday",I555=4,"Wednesday",I555=5,"Thusday",I555=6,"Friday")</f>
        <v>Monday</v>
      </c>
      <c r="K555" s="1">
        <v>1</v>
      </c>
      <c r="L555" s="1">
        <v>0.14000000000000001</v>
      </c>
      <c r="M555" t="str">
        <f t="shared" si="9"/>
        <v>Rainy</v>
      </c>
    </row>
    <row r="556" spans="1:13" x14ac:dyDescent="0.35">
      <c r="A556" s="1">
        <v>554</v>
      </c>
      <c r="B556" s="3">
        <v>40568</v>
      </c>
      <c r="C556" s="1">
        <v>1</v>
      </c>
      <c r="D556" s="1">
        <v>0</v>
      </c>
      <c r="E556" s="1">
        <v>1</v>
      </c>
      <c r="F556" s="32">
        <v>6</v>
      </c>
      <c r="G556" s="64" t="str" cm="1">
        <f t="array" ref="G556">_xlfn.IFS(AND(F556&gt;=5,F556&lt;12),"Morning",AND(F556&gt;=12,F556&lt;17),"AfterNoon",AND(F556&gt;=17,F556&lt;20),"Evening",TRUE,"Night")</f>
        <v>Morning</v>
      </c>
      <c r="H556" s="1" t="b">
        <v>0</v>
      </c>
      <c r="I556" s="1">
        <v>2</v>
      </c>
      <c r="J556" s="64" t="str" cm="1">
        <f t="array" ref="J556">_xlfn.IFS(I556=0,"Saturday",I556=1,"Sunday",I556=2,"Monday",I556=3,"Tuesday",I556=4,"Wednesday",I556=5,"Thusday",I556=6,"Friday")</f>
        <v>Monday</v>
      </c>
      <c r="K556" s="1">
        <v>1</v>
      </c>
      <c r="L556" s="1">
        <v>0.16</v>
      </c>
      <c r="M556" t="str">
        <f t="shared" si="9"/>
        <v>Rainy</v>
      </c>
    </row>
    <row r="557" spans="1:13" x14ac:dyDescent="0.35">
      <c r="A557" s="1">
        <v>555</v>
      </c>
      <c r="B557" s="3">
        <v>40568</v>
      </c>
      <c r="C557" s="1">
        <v>1</v>
      </c>
      <c r="D557" s="1">
        <v>0</v>
      </c>
      <c r="E557" s="1">
        <v>1</v>
      </c>
      <c r="F557" s="32">
        <v>7</v>
      </c>
      <c r="G557" s="64" t="str" cm="1">
        <f t="array" ref="G557">_xlfn.IFS(AND(F557&gt;=5,F557&lt;12),"Morning",AND(F557&gt;=12,F557&lt;17),"AfterNoon",AND(F557&gt;=17,F557&lt;20),"Evening",TRUE,"Night")</f>
        <v>Morning</v>
      </c>
      <c r="H557" s="1" t="b">
        <v>0</v>
      </c>
      <c r="I557" s="1">
        <v>2</v>
      </c>
      <c r="J557" s="64" t="str" cm="1">
        <f t="array" ref="J557">_xlfn.IFS(I557=0,"Saturday",I557=1,"Sunday",I557=2,"Monday",I557=3,"Tuesday",I557=4,"Wednesday",I557=5,"Thusday",I557=6,"Friday")</f>
        <v>Monday</v>
      </c>
      <c r="K557" s="1">
        <v>1</v>
      </c>
      <c r="L557" s="1">
        <v>0.16</v>
      </c>
      <c r="M557" t="str">
        <f t="shared" si="9"/>
        <v>Rainy</v>
      </c>
    </row>
    <row r="558" spans="1:13" x14ac:dyDescent="0.35">
      <c r="A558" s="1">
        <v>556</v>
      </c>
      <c r="B558" s="3">
        <v>40568</v>
      </c>
      <c r="C558" s="1">
        <v>1</v>
      </c>
      <c r="D558" s="1">
        <v>0</v>
      </c>
      <c r="E558" s="1">
        <v>1</v>
      </c>
      <c r="F558" s="32">
        <v>8</v>
      </c>
      <c r="G558" s="64" t="str" cm="1">
        <f t="array" ref="G558">_xlfn.IFS(AND(F558&gt;=5,F558&lt;12),"Morning",AND(F558&gt;=12,F558&lt;17),"AfterNoon",AND(F558&gt;=17,F558&lt;20),"Evening",TRUE,"Night")</f>
        <v>Morning</v>
      </c>
      <c r="H558" s="1" t="b">
        <v>0</v>
      </c>
      <c r="I558" s="1">
        <v>2</v>
      </c>
      <c r="J558" s="64" t="str" cm="1">
        <f t="array" ref="J558">_xlfn.IFS(I558=0,"Saturday",I558=1,"Sunday",I558=2,"Monday",I558=3,"Tuesday",I558=4,"Wednesday",I558=5,"Thusday",I558=6,"Friday")</f>
        <v>Monday</v>
      </c>
      <c r="K558" s="1">
        <v>2</v>
      </c>
      <c r="L558" s="1">
        <v>0.16</v>
      </c>
      <c r="M558" t="str">
        <f t="shared" si="9"/>
        <v>Rainy</v>
      </c>
    </row>
    <row r="559" spans="1:13" x14ac:dyDescent="0.35">
      <c r="A559" s="1">
        <v>557</v>
      </c>
      <c r="B559" s="3">
        <v>40568</v>
      </c>
      <c r="C559" s="1">
        <v>1</v>
      </c>
      <c r="D559" s="1">
        <v>0</v>
      </c>
      <c r="E559" s="1">
        <v>1</v>
      </c>
      <c r="F559" s="32">
        <v>9</v>
      </c>
      <c r="G559" s="64" t="str" cm="1">
        <f t="array" ref="G559">_xlfn.IFS(AND(F559&gt;=5,F559&lt;12),"Morning",AND(F559&gt;=12,F559&lt;17),"AfterNoon",AND(F559&gt;=17,F559&lt;20),"Evening",TRUE,"Night")</f>
        <v>Morning</v>
      </c>
      <c r="H559" s="1" t="b">
        <v>0</v>
      </c>
      <c r="I559" s="1">
        <v>2</v>
      </c>
      <c r="J559" s="64" t="str" cm="1">
        <f t="array" ref="J559">_xlfn.IFS(I559=0,"Saturday",I559=1,"Sunday",I559=2,"Monday",I559=3,"Tuesday",I559=4,"Wednesday",I559=5,"Thusday",I559=6,"Friday")</f>
        <v>Monday</v>
      </c>
      <c r="K559" s="1">
        <v>2</v>
      </c>
      <c r="L559" s="1">
        <v>0.2</v>
      </c>
      <c r="M559" t="str">
        <f t="shared" si="9"/>
        <v>Rainy</v>
      </c>
    </row>
    <row r="560" spans="1:13" x14ac:dyDescent="0.35">
      <c r="A560" s="1">
        <v>558</v>
      </c>
      <c r="B560" s="3">
        <v>40568</v>
      </c>
      <c r="C560" s="1">
        <v>1</v>
      </c>
      <c r="D560" s="1">
        <v>0</v>
      </c>
      <c r="E560" s="1">
        <v>1</v>
      </c>
      <c r="F560" s="32">
        <v>10</v>
      </c>
      <c r="G560" s="64" t="str" cm="1">
        <f t="array" ref="G560">_xlfn.IFS(AND(F560&gt;=5,F560&lt;12),"Morning",AND(F560&gt;=12,F560&lt;17),"AfterNoon",AND(F560&gt;=17,F560&lt;20),"Evening",TRUE,"Night")</f>
        <v>Morning</v>
      </c>
      <c r="H560" s="1" t="b">
        <v>0</v>
      </c>
      <c r="I560" s="1">
        <v>2</v>
      </c>
      <c r="J560" s="64" t="str" cm="1">
        <f t="array" ref="J560">_xlfn.IFS(I560=0,"Saturday",I560=1,"Sunday",I560=2,"Monday",I560=3,"Tuesday",I560=4,"Wednesday",I560=5,"Thusday",I560=6,"Friday")</f>
        <v>Monday</v>
      </c>
      <c r="K560" s="1">
        <v>2</v>
      </c>
      <c r="L560" s="1">
        <v>0.22</v>
      </c>
      <c r="M560" t="str">
        <f t="shared" si="9"/>
        <v>Cloudy</v>
      </c>
    </row>
    <row r="561" spans="1:13" x14ac:dyDescent="0.35">
      <c r="A561" s="1">
        <v>559</v>
      </c>
      <c r="B561" s="3">
        <v>40568</v>
      </c>
      <c r="C561" s="1">
        <v>1</v>
      </c>
      <c r="D561" s="1">
        <v>0</v>
      </c>
      <c r="E561" s="1">
        <v>1</v>
      </c>
      <c r="F561" s="32">
        <v>11</v>
      </c>
      <c r="G561" s="64" t="str" cm="1">
        <f t="array" ref="G561">_xlfn.IFS(AND(F561&gt;=5,F561&lt;12),"Morning",AND(F561&gt;=12,F561&lt;17),"AfterNoon",AND(F561&gt;=17,F561&lt;20),"Evening",TRUE,"Night")</f>
        <v>Morning</v>
      </c>
      <c r="H561" s="1" t="b">
        <v>0</v>
      </c>
      <c r="I561" s="1">
        <v>2</v>
      </c>
      <c r="J561" s="64" t="str" cm="1">
        <f t="array" ref="J561">_xlfn.IFS(I561=0,"Saturday",I561=1,"Sunday",I561=2,"Monday",I561=3,"Tuesday",I561=4,"Wednesday",I561=5,"Thusday",I561=6,"Friday")</f>
        <v>Monday</v>
      </c>
      <c r="K561" s="1">
        <v>2</v>
      </c>
      <c r="L561" s="1">
        <v>0.24</v>
      </c>
      <c r="M561" t="str">
        <f t="shared" si="9"/>
        <v>Cloudy</v>
      </c>
    </row>
    <row r="562" spans="1:13" x14ac:dyDescent="0.35">
      <c r="A562" s="1">
        <v>560</v>
      </c>
      <c r="B562" s="3">
        <v>40568</v>
      </c>
      <c r="C562" s="1">
        <v>1</v>
      </c>
      <c r="D562" s="1">
        <v>0</v>
      </c>
      <c r="E562" s="1">
        <v>1</v>
      </c>
      <c r="F562" s="32">
        <v>12</v>
      </c>
      <c r="G562" s="64" t="str" cm="1">
        <f t="array" ref="G562">_xlfn.IFS(AND(F562&gt;=5,F562&lt;12),"Morning",AND(F562&gt;=12,F562&lt;17),"AfterNoon",AND(F562&gt;=17,F562&lt;20),"Evening",TRUE,"Night")</f>
        <v>AfterNoon</v>
      </c>
      <c r="H562" s="1" t="b">
        <v>0</v>
      </c>
      <c r="I562" s="1">
        <v>2</v>
      </c>
      <c r="J562" s="64" t="str" cm="1">
        <f t="array" ref="J562">_xlfn.IFS(I562=0,"Saturday",I562=1,"Sunday",I562=2,"Monday",I562=3,"Tuesday",I562=4,"Wednesday",I562=5,"Thusday",I562=6,"Friday")</f>
        <v>Monday</v>
      </c>
      <c r="K562" s="1">
        <v>2</v>
      </c>
      <c r="L562" s="1">
        <v>0.26</v>
      </c>
      <c r="M562" t="str">
        <f t="shared" si="9"/>
        <v>Cloudy</v>
      </c>
    </row>
    <row r="563" spans="1:13" x14ac:dyDescent="0.35">
      <c r="A563" s="1">
        <v>561</v>
      </c>
      <c r="B563" s="3">
        <v>40568</v>
      </c>
      <c r="C563" s="1">
        <v>1</v>
      </c>
      <c r="D563" s="1">
        <v>0</v>
      </c>
      <c r="E563" s="1">
        <v>1</v>
      </c>
      <c r="F563" s="32">
        <v>13</v>
      </c>
      <c r="G563" s="64" t="str" cm="1">
        <f t="array" ref="G563">_xlfn.IFS(AND(F563&gt;=5,F563&lt;12),"Morning",AND(F563&gt;=12,F563&lt;17),"AfterNoon",AND(F563&gt;=17,F563&lt;20),"Evening",TRUE,"Night")</f>
        <v>AfterNoon</v>
      </c>
      <c r="H563" s="1" t="b">
        <v>0</v>
      </c>
      <c r="I563" s="1">
        <v>2</v>
      </c>
      <c r="J563" s="64" t="str" cm="1">
        <f t="array" ref="J563">_xlfn.IFS(I563=0,"Saturday",I563=1,"Sunday",I563=2,"Monday",I563=3,"Tuesday",I563=4,"Wednesday",I563=5,"Thusday",I563=6,"Friday")</f>
        <v>Monday</v>
      </c>
      <c r="K563" s="1">
        <v>2</v>
      </c>
      <c r="L563" s="1">
        <v>0.26</v>
      </c>
      <c r="M563" t="str">
        <f t="shared" si="9"/>
        <v>Cloudy</v>
      </c>
    </row>
    <row r="564" spans="1:13" x14ac:dyDescent="0.35">
      <c r="A564" s="1">
        <v>562</v>
      </c>
      <c r="B564" s="3">
        <v>40568</v>
      </c>
      <c r="C564" s="1">
        <v>1</v>
      </c>
      <c r="D564" s="1">
        <v>0</v>
      </c>
      <c r="E564" s="1">
        <v>1</v>
      </c>
      <c r="F564" s="32">
        <v>14</v>
      </c>
      <c r="G564" s="64" t="str" cm="1">
        <f t="array" ref="G564">_xlfn.IFS(AND(F564&gt;=5,F564&lt;12),"Morning",AND(F564&gt;=12,F564&lt;17),"AfterNoon",AND(F564&gt;=17,F564&lt;20),"Evening",TRUE,"Night")</f>
        <v>AfterNoon</v>
      </c>
      <c r="H564" s="1" t="b">
        <v>0</v>
      </c>
      <c r="I564" s="1">
        <v>2</v>
      </c>
      <c r="J564" s="64" t="str" cm="1">
        <f t="array" ref="J564">_xlfn.IFS(I564=0,"Saturday",I564=1,"Sunday",I564=2,"Monday",I564=3,"Tuesday",I564=4,"Wednesday",I564=5,"Thusday",I564=6,"Friday")</f>
        <v>Monday</v>
      </c>
      <c r="K564" s="1">
        <v>2</v>
      </c>
      <c r="L564" s="1">
        <v>0.3</v>
      </c>
      <c r="M564" t="str">
        <f t="shared" si="9"/>
        <v>Cloudy</v>
      </c>
    </row>
    <row r="565" spans="1:13" x14ac:dyDescent="0.35">
      <c r="A565" s="1">
        <v>563</v>
      </c>
      <c r="B565" s="3">
        <v>40568</v>
      </c>
      <c r="C565" s="1">
        <v>1</v>
      </c>
      <c r="D565" s="1">
        <v>0</v>
      </c>
      <c r="E565" s="1">
        <v>1</v>
      </c>
      <c r="F565" s="32">
        <v>15</v>
      </c>
      <c r="G565" s="64" t="str" cm="1">
        <f t="array" ref="G565">_xlfn.IFS(AND(F565&gt;=5,F565&lt;12),"Morning",AND(F565&gt;=12,F565&lt;17),"AfterNoon",AND(F565&gt;=17,F565&lt;20),"Evening",TRUE,"Night")</f>
        <v>AfterNoon</v>
      </c>
      <c r="H565" s="1" t="b">
        <v>0</v>
      </c>
      <c r="I565" s="1">
        <v>2</v>
      </c>
      <c r="J565" s="64" t="str" cm="1">
        <f t="array" ref="J565">_xlfn.IFS(I565=0,"Saturday",I565=1,"Sunday",I565=2,"Monday",I565=3,"Tuesday",I565=4,"Wednesday",I565=5,"Thusday",I565=6,"Friday")</f>
        <v>Monday</v>
      </c>
      <c r="K565" s="1">
        <v>2</v>
      </c>
      <c r="L565" s="1">
        <v>0.32</v>
      </c>
      <c r="M565" t="str">
        <f t="shared" si="9"/>
        <v>Sunny</v>
      </c>
    </row>
    <row r="566" spans="1:13" x14ac:dyDescent="0.35">
      <c r="A566" s="1">
        <v>564</v>
      </c>
      <c r="B566" s="3">
        <v>40568</v>
      </c>
      <c r="C566" s="1">
        <v>1</v>
      </c>
      <c r="D566" s="1">
        <v>0</v>
      </c>
      <c r="E566" s="1">
        <v>1</v>
      </c>
      <c r="F566" s="32">
        <v>16</v>
      </c>
      <c r="G566" s="64" t="str" cm="1">
        <f t="array" ref="G566">_xlfn.IFS(AND(F566&gt;=5,F566&lt;12),"Morning",AND(F566&gt;=12,F566&lt;17),"AfterNoon",AND(F566&gt;=17,F566&lt;20),"Evening",TRUE,"Night")</f>
        <v>AfterNoon</v>
      </c>
      <c r="H566" s="1" t="b">
        <v>0</v>
      </c>
      <c r="I566" s="1">
        <v>2</v>
      </c>
      <c r="J566" s="64" t="str" cm="1">
        <f t="array" ref="J566">_xlfn.IFS(I566=0,"Saturday",I566=1,"Sunday",I566=2,"Monday",I566=3,"Tuesday",I566=4,"Wednesday",I566=5,"Thusday",I566=6,"Friday")</f>
        <v>Monday</v>
      </c>
      <c r="K566" s="1">
        <v>2</v>
      </c>
      <c r="L566" s="1">
        <v>0.32</v>
      </c>
      <c r="M566" t="str">
        <f t="shared" si="9"/>
        <v>Sunny</v>
      </c>
    </row>
    <row r="567" spans="1:13" x14ac:dyDescent="0.35">
      <c r="A567" s="1">
        <v>565</v>
      </c>
      <c r="B567" s="3">
        <v>40568</v>
      </c>
      <c r="C567" s="1">
        <v>1</v>
      </c>
      <c r="D567" s="1">
        <v>0</v>
      </c>
      <c r="E567" s="1">
        <v>1</v>
      </c>
      <c r="F567" s="32">
        <v>17</v>
      </c>
      <c r="G567" s="64" t="str" cm="1">
        <f t="array" ref="G567">_xlfn.IFS(AND(F567&gt;=5,F567&lt;12),"Morning",AND(F567&gt;=12,F567&lt;17),"AfterNoon",AND(F567&gt;=17,F567&lt;20),"Evening",TRUE,"Night")</f>
        <v>Evening</v>
      </c>
      <c r="H567" s="1" t="b">
        <v>0</v>
      </c>
      <c r="I567" s="1">
        <v>2</v>
      </c>
      <c r="J567" s="64" t="str" cm="1">
        <f t="array" ref="J567">_xlfn.IFS(I567=0,"Saturday",I567=1,"Sunday",I567=2,"Monday",I567=3,"Tuesday",I567=4,"Wednesday",I567=5,"Thusday",I567=6,"Friday")</f>
        <v>Monday</v>
      </c>
      <c r="K567" s="1">
        <v>1</v>
      </c>
      <c r="L567" s="1">
        <v>0.3</v>
      </c>
      <c r="M567" t="str">
        <f t="shared" si="9"/>
        <v>Cloudy</v>
      </c>
    </row>
    <row r="568" spans="1:13" x14ac:dyDescent="0.35">
      <c r="A568" s="1">
        <v>566</v>
      </c>
      <c r="B568" s="3">
        <v>40568</v>
      </c>
      <c r="C568" s="1">
        <v>1</v>
      </c>
      <c r="D568" s="1">
        <v>0</v>
      </c>
      <c r="E568" s="1">
        <v>1</v>
      </c>
      <c r="F568" s="32">
        <v>18</v>
      </c>
      <c r="G568" s="64" t="str" cm="1">
        <f t="array" ref="G568">_xlfn.IFS(AND(F568&gt;=5,F568&lt;12),"Morning",AND(F568&gt;=12,F568&lt;17),"AfterNoon",AND(F568&gt;=17,F568&lt;20),"Evening",TRUE,"Night")</f>
        <v>Evening</v>
      </c>
      <c r="H568" s="1" t="b">
        <v>0</v>
      </c>
      <c r="I568" s="1">
        <v>2</v>
      </c>
      <c r="J568" s="64" t="str" cm="1">
        <f t="array" ref="J568">_xlfn.IFS(I568=0,"Saturday",I568=1,"Sunday",I568=2,"Monday",I568=3,"Tuesday",I568=4,"Wednesday",I568=5,"Thusday",I568=6,"Friday")</f>
        <v>Monday</v>
      </c>
      <c r="K568" s="1">
        <v>2</v>
      </c>
      <c r="L568" s="1">
        <v>0.3</v>
      </c>
      <c r="M568" t="str">
        <f t="shared" si="9"/>
        <v>Cloudy</v>
      </c>
    </row>
    <row r="569" spans="1:13" x14ac:dyDescent="0.35">
      <c r="A569" s="1">
        <v>567</v>
      </c>
      <c r="B569" s="3">
        <v>40568</v>
      </c>
      <c r="C569" s="1">
        <v>1</v>
      </c>
      <c r="D569" s="1">
        <v>0</v>
      </c>
      <c r="E569" s="1">
        <v>1</v>
      </c>
      <c r="F569" s="32">
        <v>19</v>
      </c>
      <c r="G569" s="64" t="str" cm="1">
        <f t="array" ref="G569">_xlfn.IFS(AND(F569&gt;=5,F569&lt;12),"Morning",AND(F569&gt;=12,F569&lt;17),"AfterNoon",AND(F569&gt;=17,F569&lt;20),"Evening",TRUE,"Night")</f>
        <v>Evening</v>
      </c>
      <c r="H569" s="1" t="b">
        <v>0</v>
      </c>
      <c r="I569" s="1">
        <v>2</v>
      </c>
      <c r="J569" s="64" t="str" cm="1">
        <f t="array" ref="J569">_xlfn.IFS(I569=0,"Saturday",I569=1,"Sunday",I569=2,"Monday",I569=3,"Tuesday",I569=4,"Wednesday",I569=5,"Thusday",I569=6,"Friday")</f>
        <v>Monday</v>
      </c>
      <c r="K569" s="1">
        <v>2</v>
      </c>
      <c r="L569" s="1">
        <v>0.26</v>
      </c>
      <c r="M569" t="str">
        <f t="shared" si="9"/>
        <v>Cloudy</v>
      </c>
    </row>
    <row r="570" spans="1:13" x14ac:dyDescent="0.35">
      <c r="A570" s="1">
        <v>568</v>
      </c>
      <c r="B570" s="3">
        <v>40568</v>
      </c>
      <c r="C570" s="1">
        <v>1</v>
      </c>
      <c r="D570" s="1">
        <v>0</v>
      </c>
      <c r="E570" s="1">
        <v>1</v>
      </c>
      <c r="F570" s="32">
        <v>20</v>
      </c>
      <c r="G570" s="64" t="str" cm="1">
        <f t="array" ref="G570">_xlfn.IFS(AND(F570&gt;=5,F570&lt;12),"Morning",AND(F570&gt;=12,F570&lt;17),"AfterNoon",AND(F570&gt;=17,F570&lt;20),"Evening",TRUE,"Night")</f>
        <v>Night</v>
      </c>
      <c r="H570" s="1" t="b">
        <v>0</v>
      </c>
      <c r="I570" s="1">
        <v>2</v>
      </c>
      <c r="J570" s="64" t="str" cm="1">
        <f t="array" ref="J570">_xlfn.IFS(I570=0,"Saturday",I570=1,"Sunday",I570=2,"Monday",I570=3,"Tuesday",I570=4,"Wednesday",I570=5,"Thusday",I570=6,"Friday")</f>
        <v>Monday</v>
      </c>
      <c r="K570" s="1">
        <v>1</v>
      </c>
      <c r="L570" s="1">
        <v>0.24</v>
      </c>
      <c r="M570" t="str">
        <f t="shared" si="9"/>
        <v>Cloudy</v>
      </c>
    </row>
    <row r="571" spans="1:13" x14ac:dyDescent="0.35">
      <c r="A571" s="1">
        <v>569</v>
      </c>
      <c r="B571" s="3">
        <v>40568</v>
      </c>
      <c r="C571" s="1">
        <v>1</v>
      </c>
      <c r="D571" s="1">
        <v>0</v>
      </c>
      <c r="E571" s="1">
        <v>1</v>
      </c>
      <c r="F571" s="32">
        <v>21</v>
      </c>
      <c r="G571" s="64" t="str" cm="1">
        <f t="array" ref="G571">_xlfn.IFS(AND(F571&gt;=5,F571&lt;12),"Morning",AND(F571&gt;=12,F571&lt;17),"AfterNoon",AND(F571&gt;=17,F571&lt;20),"Evening",TRUE,"Night")</f>
        <v>Night</v>
      </c>
      <c r="H571" s="1" t="b">
        <v>0</v>
      </c>
      <c r="I571" s="1">
        <v>2</v>
      </c>
      <c r="J571" s="64" t="str" cm="1">
        <f t="array" ref="J571">_xlfn.IFS(I571=0,"Saturday",I571=1,"Sunday",I571=2,"Monday",I571=3,"Tuesday",I571=4,"Wednesday",I571=5,"Thusday",I571=6,"Friday")</f>
        <v>Monday</v>
      </c>
      <c r="K571" s="1">
        <v>1</v>
      </c>
      <c r="L571" s="1">
        <v>0.24</v>
      </c>
      <c r="M571" t="str">
        <f t="shared" si="9"/>
        <v>Cloudy</v>
      </c>
    </row>
    <row r="572" spans="1:13" x14ac:dyDescent="0.35">
      <c r="A572" s="1">
        <v>570</v>
      </c>
      <c r="B572" s="3">
        <v>40568</v>
      </c>
      <c r="C572" s="1">
        <v>1</v>
      </c>
      <c r="D572" s="1">
        <v>0</v>
      </c>
      <c r="E572" s="1">
        <v>1</v>
      </c>
      <c r="F572" s="32">
        <v>22</v>
      </c>
      <c r="G572" s="64" t="str" cm="1">
        <f t="array" ref="G572">_xlfn.IFS(AND(F572&gt;=5,F572&lt;12),"Morning",AND(F572&gt;=12,F572&lt;17),"AfterNoon",AND(F572&gt;=17,F572&lt;20),"Evening",TRUE,"Night")</f>
        <v>Night</v>
      </c>
      <c r="H572" s="1" t="b">
        <v>0</v>
      </c>
      <c r="I572" s="1">
        <v>2</v>
      </c>
      <c r="J572" s="64" t="str" cm="1">
        <f t="array" ref="J572">_xlfn.IFS(I572=0,"Saturday",I572=1,"Sunday",I572=2,"Monday",I572=3,"Tuesday",I572=4,"Wednesday",I572=5,"Thusday",I572=6,"Friday")</f>
        <v>Monday</v>
      </c>
      <c r="K572" s="1">
        <v>1</v>
      </c>
      <c r="L572" s="1">
        <v>0.22</v>
      </c>
      <c r="M572" t="str">
        <f t="shared" si="9"/>
        <v>Cloudy</v>
      </c>
    </row>
    <row r="573" spans="1:13" x14ac:dyDescent="0.35">
      <c r="A573" s="1">
        <v>571</v>
      </c>
      <c r="B573" s="3">
        <v>40568</v>
      </c>
      <c r="C573" s="1">
        <v>1</v>
      </c>
      <c r="D573" s="1">
        <v>0</v>
      </c>
      <c r="E573" s="1">
        <v>1</v>
      </c>
      <c r="F573" s="32">
        <v>23</v>
      </c>
      <c r="G573" s="64" t="str" cm="1">
        <f t="array" ref="G573">_xlfn.IFS(AND(F573&gt;=5,F573&lt;12),"Morning",AND(F573&gt;=12,F573&lt;17),"AfterNoon",AND(F573&gt;=17,F573&lt;20),"Evening",TRUE,"Night")</f>
        <v>Night</v>
      </c>
      <c r="H573" s="1" t="b">
        <v>0</v>
      </c>
      <c r="I573" s="1">
        <v>2</v>
      </c>
      <c r="J573" s="64" t="str" cm="1">
        <f t="array" ref="J573">_xlfn.IFS(I573=0,"Saturday",I573=1,"Sunday",I573=2,"Monday",I573=3,"Tuesday",I573=4,"Wednesday",I573=5,"Thusday",I573=6,"Friday")</f>
        <v>Monday</v>
      </c>
      <c r="K573" s="1">
        <v>2</v>
      </c>
      <c r="L573" s="1">
        <v>0.22</v>
      </c>
      <c r="M573" t="str">
        <f t="shared" si="9"/>
        <v>Cloudy</v>
      </c>
    </row>
    <row r="574" spans="1:13" x14ac:dyDescent="0.35">
      <c r="A574" s="1">
        <v>572</v>
      </c>
      <c r="B574" s="3">
        <v>40569</v>
      </c>
      <c r="C574" s="1">
        <v>1</v>
      </c>
      <c r="D574" s="1">
        <v>0</v>
      </c>
      <c r="E574" s="1">
        <v>1</v>
      </c>
      <c r="F574" s="32">
        <v>0</v>
      </c>
      <c r="G574" s="64" t="str" cm="1">
        <f t="array" ref="G574">_xlfn.IFS(AND(F574&gt;=5,F574&lt;12),"Morning",AND(F574&gt;=12,F574&lt;17),"AfterNoon",AND(F574&gt;=17,F574&lt;20),"Evening",TRUE,"Night")</f>
        <v>Night</v>
      </c>
      <c r="H574" s="1" t="b">
        <v>0</v>
      </c>
      <c r="I574" s="1">
        <v>3</v>
      </c>
      <c r="J574" s="64" t="str" cm="1">
        <f t="array" ref="J574">_xlfn.IFS(I574=0,"Saturday",I574=1,"Sunday",I574=2,"Monday",I574=3,"Tuesday",I574=4,"Wednesday",I574=5,"Thusday",I574=6,"Friday")</f>
        <v>Tuesday</v>
      </c>
      <c r="K574" s="1">
        <v>2</v>
      </c>
      <c r="L574" s="1">
        <v>0.22</v>
      </c>
      <c r="M574" t="str">
        <f t="shared" si="9"/>
        <v>Cloudy</v>
      </c>
    </row>
    <row r="575" spans="1:13" x14ac:dyDescent="0.35">
      <c r="A575" s="1">
        <v>573</v>
      </c>
      <c r="B575" s="3">
        <v>40569</v>
      </c>
      <c r="C575" s="1">
        <v>1</v>
      </c>
      <c r="D575" s="1">
        <v>0</v>
      </c>
      <c r="E575" s="1">
        <v>1</v>
      </c>
      <c r="F575" s="32">
        <v>1</v>
      </c>
      <c r="G575" s="64" t="str" cm="1">
        <f t="array" ref="G575">_xlfn.IFS(AND(F575&gt;=5,F575&lt;12),"Morning",AND(F575&gt;=12,F575&lt;17),"AfterNoon",AND(F575&gt;=17,F575&lt;20),"Evening",TRUE,"Night")</f>
        <v>Night</v>
      </c>
      <c r="H575" s="1" t="b">
        <v>0</v>
      </c>
      <c r="I575" s="1">
        <v>3</v>
      </c>
      <c r="J575" s="64" t="str" cm="1">
        <f t="array" ref="J575">_xlfn.IFS(I575=0,"Saturday",I575=1,"Sunday",I575=2,"Monday",I575=3,"Tuesday",I575=4,"Wednesday",I575=5,"Thusday",I575=6,"Friday")</f>
        <v>Tuesday</v>
      </c>
      <c r="K575" s="1">
        <v>2</v>
      </c>
      <c r="L575" s="1">
        <v>0.24</v>
      </c>
      <c r="M575" t="str">
        <f t="shared" si="9"/>
        <v>Cloudy</v>
      </c>
    </row>
    <row r="576" spans="1:13" x14ac:dyDescent="0.35">
      <c r="A576" s="1">
        <v>574</v>
      </c>
      <c r="B576" s="3">
        <v>40569</v>
      </c>
      <c r="C576" s="1">
        <v>1</v>
      </c>
      <c r="D576" s="1">
        <v>0</v>
      </c>
      <c r="E576" s="1">
        <v>1</v>
      </c>
      <c r="F576" s="32">
        <v>2</v>
      </c>
      <c r="G576" s="64" t="str" cm="1">
        <f t="array" ref="G576">_xlfn.IFS(AND(F576&gt;=5,F576&lt;12),"Morning",AND(F576&gt;=12,F576&lt;17),"AfterNoon",AND(F576&gt;=17,F576&lt;20),"Evening",TRUE,"Night")</f>
        <v>Night</v>
      </c>
      <c r="H576" s="1" t="b">
        <v>0</v>
      </c>
      <c r="I576" s="1">
        <v>3</v>
      </c>
      <c r="J576" s="64" t="str" cm="1">
        <f t="array" ref="J576">_xlfn.IFS(I576=0,"Saturday",I576=1,"Sunday",I576=2,"Monday",I576=3,"Tuesday",I576=4,"Wednesday",I576=5,"Thusday",I576=6,"Friday")</f>
        <v>Tuesday</v>
      </c>
      <c r="K576" s="1">
        <v>3</v>
      </c>
      <c r="L576" s="1">
        <v>0.22</v>
      </c>
      <c r="M576" t="str">
        <f t="shared" si="9"/>
        <v>Cloudy</v>
      </c>
    </row>
    <row r="577" spans="1:13" x14ac:dyDescent="0.35">
      <c r="A577" s="1">
        <v>575</v>
      </c>
      <c r="B577" s="3">
        <v>40569</v>
      </c>
      <c r="C577" s="1">
        <v>1</v>
      </c>
      <c r="D577" s="1">
        <v>0</v>
      </c>
      <c r="E577" s="1">
        <v>1</v>
      </c>
      <c r="F577" s="32">
        <v>5</v>
      </c>
      <c r="G577" s="64" t="str" cm="1">
        <f t="array" ref="G577">_xlfn.IFS(AND(F577&gt;=5,F577&lt;12),"Morning",AND(F577&gt;=12,F577&lt;17),"AfterNoon",AND(F577&gt;=17,F577&lt;20),"Evening",TRUE,"Night")</f>
        <v>Morning</v>
      </c>
      <c r="H577" s="1" t="b">
        <v>0</v>
      </c>
      <c r="I577" s="1">
        <v>3</v>
      </c>
      <c r="J577" s="64" t="str" cm="1">
        <f t="array" ref="J577">_xlfn.IFS(I577=0,"Saturday",I577=1,"Sunday",I577=2,"Monday",I577=3,"Tuesday",I577=4,"Wednesday",I577=5,"Thusday",I577=6,"Friday")</f>
        <v>Tuesday</v>
      </c>
      <c r="K577" s="1">
        <v>3</v>
      </c>
      <c r="L577" s="1">
        <v>0.2</v>
      </c>
      <c r="M577" t="str">
        <f t="shared" si="9"/>
        <v>Rainy</v>
      </c>
    </row>
    <row r="578" spans="1:13" x14ac:dyDescent="0.35">
      <c r="A578" s="1">
        <v>576</v>
      </c>
      <c r="B578" s="3">
        <v>40569</v>
      </c>
      <c r="C578" s="1">
        <v>1</v>
      </c>
      <c r="D578" s="1">
        <v>0</v>
      </c>
      <c r="E578" s="1">
        <v>1</v>
      </c>
      <c r="F578" s="32">
        <v>6</v>
      </c>
      <c r="G578" s="64" t="str" cm="1">
        <f t="array" ref="G578">_xlfn.IFS(AND(F578&gt;=5,F578&lt;12),"Morning",AND(F578&gt;=12,F578&lt;17),"AfterNoon",AND(F578&gt;=17,F578&lt;20),"Evening",TRUE,"Night")</f>
        <v>Morning</v>
      </c>
      <c r="H578" s="1" t="b">
        <v>0</v>
      </c>
      <c r="I578" s="1">
        <v>3</v>
      </c>
      <c r="J578" s="64" t="str" cm="1">
        <f t="array" ref="J578">_xlfn.IFS(I578=0,"Saturday",I578=1,"Sunday",I578=2,"Monday",I578=3,"Tuesday",I578=4,"Wednesday",I578=5,"Thusday",I578=6,"Friday")</f>
        <v>Tuesday</v>
      </c>
      <c r="K578" s="1">
        <v>3</v>
      </c>
      <c r="L578" s="1">
        <v>0.2</v>
      </c>
      <c r="M578" t="str">
        <f t="shared" si="9"/>
        <v>Rainy</v>
      </c>
    </row>
    <row r="579" spans="1:13" x14ac:dyDescent="0.35">
      <c r="A579" s="1">
        <v>577</v>
      </c>
      <c r="B579" s="3">
        <v>40569</v>
      </c>
      <c r="C579" s="1">
        <v>1</v>
      </c>
      <c r="D579" s="1">
        <v>0</v>
      </c>
      <c r="E579" s="1">
        <v>1</v>
      </c>
      <c r="F579" s="32">
        <v>7</v>
      </c>
      <c r="G579" s="64" t="str" cm="1">
        <f t="array" ref="G579">_xlfn.IFS(AND(F579&gt;=5,F579&lt;12),"Morning",AND(F579&gt;=12,F579&lt;17),"AfterNoon",AND(F579&gt;=17,F579&lt;20),"Evening",TRUE,"Night")</f>
        <v>Morning</v>
      </c>
      <c r="H579" s="1" t="b">
        <v>0</v>
      </c>
      <c r="I579" s="1">
        <v>3</v>
      </c>
      <c r="J579" s="64" t="str" cm="1">
        <f t="array" ref="J579">_xlfn.IFS(I579=0,"Saturday",I579=1,"Sunday",I579=2,"Monday",I579=3,"Tuesday",I579=4,"Wednesday",I579=5,"Thusday",I579=6,"Friday")</f>
        <v>Tuesday</v>
      </c>
      <c r="K579" s="1">
        <v>3</v>
      </c>
      <c r="L579" s="1">
        <v>0.22</v>
      </c>
      <c r="M579" t="str">
        <f t="shared" si="9"/>
        <v>Cloudy</v>
      </c>
    </row>
    <row r="580" spans="1:13" x14ac:dyDescent="0.35">
      <c r="A580" s="1">
        <v>578</v>
      </c>
      <c r="B580" s="3">
        <v>40569</v>
      </c>
      <c r="C580" s="1">
        <v>1</v>
      </c>
      <c r="D580" s="1">
        <v>0</v>
      </c>
      <c r="E580" s="1">
        <v>1</v>
      </c>
      <c r="F580" s="32">
        <v>8</v>
      </c>
      <c r="G580" s="64" t="str" cm="1">
        <f t="array" ref="G580">_xlfn.IFS(AND(F580&gt;=5,F580&lt;12),"Morning",AND(F580&gt;=12,F580&lt;17),"AfterNoon",AND(F580&gt;=17,F580&lt;20),"Evening",TRUE,"Night")</f>
        <v>Morning</v>
      </c>
      <c r="H580" s="1" t="b">
        <v>0</v>
      </c>
      <c r="I580" s="1">
        <v>3</v>
      </c>
      <c r="J580" s="64" t="str" cm="1">
        <f t="array" ref="J580">_xlfn.IFS(I580=0,"Saturday",I580=1,"Sunday",I580=2,"Monday",I580=3,"Tuesday",I580=4,"Wednesday",I580=5,"Thusday",I580=6,"Friday")</f>
        <v>Tuesday</v>
      </c>
      <c r="K580" s="1">
        <v>3</v>
      </c>
      <c r="L580" s="1">
        <v>0.22</v>
      </c>
      <c r="M580" t="str">
        <f t="shared" ref="M580:M612" si="10">IF(L580&lt;=0.1,"Stromy",IF(L580&lt;=0.2,"Rainy",IF(L580&lt;=0.3,"Cloudy","Sunny")))</f>
        <v>Cloudy</v>
      </c>
    </row>
    <row r="581" spans="1:13" x14ac:dyDescent="0.35">
      <c r="A581" s="1">
        <v>579</v>
      </c>
      <c r="B581" s="3">
        <v>40569</v>
      </c>
      <c r="C581" s="1">
        <v>1</v>
      </c>
      <c r="D581" s="1">
        <v>0</v>
      </c>
      <c r="E581" s="1">
        <v>1</v>
      </c>
      <c r="F581" s="32">
        <v>9</v>
      </c>
      <c r="G581" s="64" t="str" cm="1">
        <f t="array" ref="G581">_xlfn.IFS(AND(F581&gt;=5,F581&lt;12),"Morning",AND(F581&gt;=12,F581&lt;17),"AfterNoon",AND(F581&gt;=17,F581&lt;20),"Evening",TRUE,"Night")</f>
        <v>Morning</v>
      </c>
      <c r="H581" s="1" t="b">
        <v>0</v>
      </c>
      <c r="I581" s="1">
        <v>3</v>
      </c>
      <c r="J581" s="64" t="str" cm="1">
        <f t="array" ref="J581">_xlfn.IFS(I581=0,"Saturday",I581=1,"Sunday",I581=2,"Monday",I581=3,"Tuesday",I581=4,"Wednesday",I581=5,"Thusday",I581=6,"Friday")</f>
        <v>Tuesday</v>
      </c>
      <c r="K581" s="1">
        <v>3</v>
      </c>
      <c r="L581" s="1">
        <v>0.22</v>
      </c>
      <c r="M581" t="str">
        <f t="shared" si="10"/>
        <v>Cloudy</v>
      </c>
    </row>
    <row r="582" spans="1:13" x14ac:dyDescent="0.35">
      <c r="A582" s="1">
        <v>580</v>
      </c>
      <c r="B582" s="3">
        <v>40569</v>
      </c>
      <c r="C582" s="1">
        <v>1</v>
      </c>
      <c r="D582" s="1">
        <v>0</v>
      </c>
      <c r="E582" s="1">
        <v>1</v>
      </c>
      <c r="F582" s="32">
        <v>10</v>
      </c>
      <c r="G582" s="64" t="str" cm="1">
        <f t="array" ref="G582">_xlfn.IFS(AND(F582&gt;=5,F582&lt;12),"Morning",AND(F582&gt;=12,F582&lt;17),"AfterNoon",AND(F582&gt;=17,F582&lt;20),"Evening",TRUE,"Night")</f>
        <v>Morning</v>
      </c>
      <c r="H582" s="1" t="b">
        <v>0</v>
      </c>
      <c r="I582" s="1">
        <v>3</v>
      </c>
      <c r="J582" s="64" t="str" cm="1">
        <f t="array" ref="J582">_xlfn.IFS(I582=0,"Saturday",I582=1,"Sunday",I582=2,"Monday",I582=3,"Tuesday",I582=4,"Wednesday",I582=5,"Thusday",I582=6,"Friday")</f>
        <v>Tuesday</v>
      </c>
      <c r="K582" s="1">
        <v>3</v>
      </c>
      <c r="L582" s="1">
        <v>0.22</v>
      </c>
      <c r="M582" t="str">
        <f t="shared" si="10"/>
        <v>Cloudy</v>
      </c>
    </row>
    <row r="583" spans="1:13" x14ac:dyDescent="0.35">
      <c r="A583" s="1">
        <v>581</v>
      </c>
      <c r="B583" s="3">
        <v>40569</v>
      </c>
      <c r="C583" s="1">
        <v>1</v>
      </c>
      <c r="D583" s="1">
        <v>0</v>
      </c>
      <c r="E583" s="1">
        <v>1</v>
      </c>
      <c r="F583" s="32">
        <v>11</v>
      </c>
      <c r="G583" s="64" t="str" cm="1">
        <f t="array" ref="G583">_xlfn.IFS(AND(F583&gt;=5,F583&lt;12),"Morning",AND(F583&gt;=12,F583&lt;17),"AfterNoon",AND(F583&gt;=17,F583&lt;20),"Evening",TRUE,"Night")</f>
        <v>Morning</v>
      </c>
      <c r="H583" s="1" t="b">
        <v>0</v>
      </c>
      <c r="I583" s="1">
        <v>3</v>
      </c>
      <c r="J583" s="64" t="str" cm="1">
        <f t="array" ref="J583">_xlfn.IFS(I583=0,"Saturday",I583=1,"Sunday",I583=2,"Monday",I583=3,"Tuesday",I583=4,"Wednesday",I583=5,"Thusday",I583=6,"Friday")</f>
        <v>Tuesday</v>
      </c>
      <c r="K583" s="1">
        <v>3</v>
      </c>
      <c r="L583" s="1">
        <v>0.22</v>
      </c>
      <c r="M583" t="str">
        <f t="shared" si="10"/>
        <v>Cloudy</v>
      </c>
    </row>
    <row r="584" spans="1:13" x14ac:dyDescent="0.35">
      <c r="A584" s="1">
        <v>582</v>
      </c>
      <c r="B584" s="3">
        <v>40569</v>
      </c>
      <c r="C584" s="1">
        <v>1</v>
      </c>
      <c r="D584" s="1">
        <v>0</v>
      </c>
      <c r="E584" s="1">
        <v>1</v>
      </c>
      <c r="F584" s="32">
        <v>12</v>
      </c>
      <c r="G584" s="64" t="str" cm="1">
        <f t="array" ref="G584">_xlfn.IFS(AND(F584&gt;=5,F584&lt;12),"Morning",AND(F584&gt;=12,F584&lt;17),"AfterNoon",AND(F584&gt;=17,F584&lt;20),"Evening",TRUE,"Night")</f>
        <v>AfterNoon</v>
      </c>
      <c r="H584" s="1" t="b">
        <v>0</v>
      </c>
      <c r="I584" s="1">
        <v>3</v>
      </c>
      <c r="J584" s="64" t="str" cm="1">
        <f t="array" ref="J584">_xlfn.IFS(I584=0,"Saturday",I584=1,"Sunday",I584=2,"Monday",I584=3,"Tuesday",I584=4,"Wednesday",I584=5,"Thusday",I584=6,"Friday")</f>
        <v>Tuesday</v>
      </c>
      <c r="K584" s="1">
        <v>3</v>
      </c>
      <c r="L584" s="1">
        <v>0.22</v>
      </c>
      <c r="M584" t="str">
        <f t="shared" si="10"/>
        <v>Cloudy</v>
      </c>
    </row>
    <row r="585" spans="1:13" x14ac:dyDescent="0.35">
      <c r="A585" s="1">
        <v>583</v>
      </c>
      <c r="B585" s="3">
        <v>40569</v>
      </c>
      <c r="C585" s="1">
        <v>1</v>
      </c>
      <c r="D585" s="1">
        <v>0</v>
      </c>
      <c r="E585" s="1">
        <v>1</v>
      </c>
      <c r="F585" s="32">
        <v>13</v>
      </c>
      <c r="G585" s="64" t="str" cm="1">
        <f t="array" ref="G585">_xlfn.IFS(AND(F585&gt;=5,F585&lt;12),"Morning",AND(F585&gt;=12,F585&lt;17),"AfterNoon",AND(F585&gt;=17,F585&lt;20),"Evening",TRUE,"Night")</f>
        <v>AfterNoon</v>
      </c>
      <c r="H585" s="1" t="b">
        <v>0</v>
      </c>
      <c r="I585" s="1">
        <v>3</v>
      </c>
      <c r="J585" s="64" t="str" cm="1">
        <f t="array" ref="J585">_xlfn.IFS(I585=0,"Saturday",I585=1,"Sunday",I585=2,"Monday",I585=3,"Tuesday",I585=4,"Wednesday",I585=5,"Thusday",I585=6,"Friday")</f>
        <v>Tuesday</v>
      </c>
      <c r="K585" s="1">
        <v>3</v>
      </c>
      <c r="L585" s="1">
        <v>0.22</v>
      </c>
      <c r="M585" t="str">
        <f t="shared" si="10"/>
        <v>Cloudy</v>
      </c>
    </row>
    <row r="586" spans="1:13" x14ac:dyDescent="0.35">
      <c r="A586" s="1">
        <v>584</v>
      </c>
      <c r="B586" s="3">
        <v>40569</v>
      </c>
      <c r="C586" s="1">
        <v>1</v>
      </c>
      <c r="D586" s="1">
        <v>0</v>
      </c>
      <c r="E586" s="1">
        <v>1</v>
      </c>
      <c r="F586" s="32">
        <v>14</v>
      </c>
      <c r="G586" s="64" t="str" cm="1">
        <f t="array" ref="G586">_xlfn.IFS(AND(F586&gt;=5,F586&lt;12),"Morning",AND(F586&gt;=12,F586&lt;17),"AfterNoon",AND(F586&gt;=17,F586&lt;20),"Evening",TRUE,"Night")</f>
        <v>AfterNoon</v>
      </c>
      <c r="H586" s="1" t="b">
        <v>0</v>
      </c>
      <c r="I586" s="1">
        <v>3</v>
      </c>
      <c r="J586" s="64" t="str" cm="1">
        <f t="array" ref="J586">_xlfn.IFS(I586=0,"Saturday",I586=1,"Sunday",I586=2,"Monday",I586=3,"Tuesday",I586=4,"Wednesday",I586=5,"Thusday",I586=6,"Friday")</f>
        <v>Tuesday</v>
      </c>
      <c r="K586" s="1">
        <v>3</v>
      </c>
      <c r="L586" s="1">
        <v>0.22</v>
      </c>
      <c r="M586" t="str">
        <f t="shared" si="10"/>
        <v>Cloudy</v>
      </c>
    </row>
    <row r="587" spans="1:13" x14ac:dyDescent="0.35">
      <c r="A587" s="1">
        <v>585</v>
      </c>
      <c r="B587" s="3">
        <v>40569</v>
      </c>
      <c r="C587" s="1">
        <v>1</v>
      </c>
      <c r="D587" s="1">
        <v>0</v>
      </c>
      <c r="E587" s="1">
        <v>1</v>
      </c>
      <c r="F587" s="32">
        <v>15</v>
      </c>
      <c r="G587" s="64" t="str" cm="1">
        <f t="array" ref="G587">_xlfn.IFS(AND(F587&gt;=5,F587&lt;12),"Morning",AND(F587&gt;=12,F587&lt;17),"AfterNoon",AND(F587&gt;=17,F587&lt;20),"Evening",TRUE,"Night")</f>
        <v>AfterNoon</v>
      </c>
      <c r="H587" s="1" t="b">
        <v>0</v>
      </c>
      <c r="I587" s="1">
        <v>3</v>
      </c>
      <c r="J587" s="64" t="str" cm="1">
        <f t="array" ref="J587">_xlfn.IFS(I587=0,"Saturday",I587=1,"Sunday",I587=2,"Monday",I587=3,"Tuesday",I587=4,"Wednesday",I587=5,"Thusday",I587=6,"Friday")</f>
        <v>Tuesday</v>
      </c>
      <c r="K587" s="1">
        <v>3</v>
      </c>
      <c r="L587" s="1">
        <v>0.22</v>
      </c>
      <c r="M587" t="str">
        <f t="shared" si="10"/>
        <v>Cloudy</v>
      </c>
    </row>
    <row r="588" spans="1:13" x14ac:dyDescent="0.35">
      <c r="A588" s="1">
        <v>586</v>
      </c>
      <c r="B588" s="3">
        <v>40569</v>
      </c>
      <c r="C588" s="1">
        <v>1</v>
      </c>
      <c r="D588" s="1">
        <v>0</v>
      </c>
      <c r="E588" s="1">
        <v>1</v>
      </c>
      <c r="F588" s="32">
        <v>16</v>
      </c>
      <c r="G588" s="64" t="str" cm="1">
        <f t="array" ref="G588">_xlfn.IFS(AND(F588&gt;=5,F588&lt;12),"Morning",AND(F588&gt;=12,F588&lt;17),"AfterNoon",AND(F588&gt;=17,F588&lt;20),"Evening",TRUE,"Night")</f>
        <v>AfterNoon</v>
      </c>
      <c r="H588" s="1" t="b">
        <v>0</v>
      </c>
      <c r="I588" s="1">
        <v>3</v>
      </c>
      <c r="J588" s="64" t="str" cm="1">
        <f t="array" ref="J588">_xlfn.IFS(I588=0,"Saturday",I588=1,"Sunday",I588=2,"Monday",I588=3,"Tuesday",I588=4,"Wednesday",I588=5,"Thusday",I588=6,"Friday")</f>
        <v>Tuesday</v>
      </c>
      <c r="K588" s="1">
        <v>4</v>
      </c>
      <c r="L588" s="1">
        <v>0.22</v>
      </c>
      <c r="M588" t="str">
        <f t="shared" si="10"/>
        <v>Cloudy</v>
      </c>
    </row>
    <row r="589" spans="1:13" x14ac:dyDescent="0.35">
      <c r="A589" s="1">
        <v>587</v>
      </c>
      <c r="B589" s="3">
        <v>40569</v>
      </c>
      <c r="C589" s="1">
        <v>1</v>
      </c>
      <c r="D589" s="1">
        <v>0</v>
      </c>
      <c r="E589" s="1">
        <v>1</v>
      </c>
      <c r="F589" s="32">
        <v>17</v>
      </c>
      <c r="G589" s="64" t="str" cm="1">
        <f t="array" ref="G589">_xlfn.IFS(AND(F589&gt;=5,F589&lt;12),"Morning",AND(F589&gt;=12,F589&lt;17),"AfterNoon",AND(F589&gt;=17,F589&lt;20),"Evening",TRUE,"Night")</f>
        <v>Evening</v>
      </c>
      <c r="H589" s="1" t="b">
        <v>0</v>
      </c>
      <c r="I589" s="1">
        <v>3</v>
      </c>
      <c r="J589" s="64" t="str" cm="1">
        <f t="array" ref="J589">_xlfn.IFS(I589=0,"Saturday",I589=1,"Sunday",I589=2,"Monday",I589=3,"Tuesday",I589=4,"Wednesday",I589=5,"Thusday",I589=6,"Friday")</f>
        <v>Tuesday</v>
      </c>
      <c r="K589" s="1">
        <v>3</v>
      </c>
      <c r="L589" s="1">
        <v>0.2</v>
      </c>
      <c r="M589" t="str">
        <f t="shared" si="10"/>
        <v>Rainy</v>
      </c>
    </row>
    <row r="590" spans="1:13" x14ac:dyDescent="0.35">
      <c r="A590" s="1">
        <v>588</v>
      </c>
      <c r="B590" s="3">
        <v>40570</v>
      </c>
      <c r="C590" s="1">
        <v>1</v>
      </c>
      <c r="D590" s="1">
        <v>0</v>
      </c>
      <c r="E590" s="1">
        <v>1</v>
      </c>
      <c r="F590" s="32">
        <v>16</v>
      </c>
      <c r="G590" s="64" t="str" cm="1">
        <f t="array" ref="G590">_xlfn.IFS(AND(F590&gt;=5,F590&lt;12),"Morning",AND(F590&gt;=12,F590&lt;17),"AfterNoon",AND(F590&gt;=17,F590&lt;20),"Evening",TRUE,"Night")</f>
        <v>AfterNoon</v>
      </c>
      <c r="H590" s="1" t="b">
        <v>0</v>
      </c>
      <c r="I590" s="1">
        <v>4</v>
      </c>
      <c r="J590" s="64" t="str" cm="1">
        <f t="array" ref="J590">_xlfn.IFS(I590=0,"Saturday",I590=1,"Sunday",I590=2,"Monday",I590=3,"Tuesday",I590=4,"Wednesday",I590=5,"Thusday",I590=6,"Friday")</f>
        <v>Wednesday</v>
      </c>
      <c r="K590" s="1">
        <v>1</v>
      </c>
      <c r="L590" s="1">
        <v>0.22</v>
      </c>
      <c r="M590" t="str">
        <f t="shared" si="10"/>
        <v>Cloudy</v>
      </c>
    </row>
    <row r="591" spans="1:13" x14ac:dyDescent="0.35">
      <c r="A591" s="1">
        <v>589</v>
      </c>
      <c r="B591" s="3">
        <v>40570</v>
      </c>
      <c r="C591" s="1">
        <v>1</v>
      </c>
      <c r="D591" s="1">
        <v>0</v>
      </c>
      <c r="E591" s="1">
        <v>1</v>
      </c>
      <c r="F591" s="32">
        <v>17</v>
      </c>
      <c r="G591" s="64" t="str" cm="1">
        <f t="array" ref="G591">_xlfn.IFS(AND(F591&gt;=5,F591&lt;12),"Morning",AND(F591&gt;=12,F591&lt;17),"AfterNoon",AND(F591&gt;=17,F591&lt;20),"Evening",TRUE,"Night")</f>
        <v>Evening</v>
      </c>
      <c r="H591" s="1" t="b">
        <v>0</v>
      </c>
      <c r="I591" s="1">
        <v>4</v>
      </c>
      <c r="J591" s="64" t="str" cm="1">
        <f t="array" ref="J591">_xlfn.IFS(I591=0,"Saturday",I591=1,"Sunday",I591=2,"Monday",I591=3,"Tuesday",I591=4,"Wednesday",I591=5,"Thusday",I591=6,"Friday")</f>
        <v>Wednesday</v>
      </c>
      <c r="K591" s="1">
        <v>1</v>
      </c>
      <c r="L591" s="1">
        <v>0.22</v>
      </c>
      <c r="M591" t="str">
        <f t="shared" si="10"/>
        <v>Cloudy</v>
      </c>
    </row>
    <row r="592" spans="1:13" x14ac:dyDescent="0.35">
      <c r="A592" s="1">
        <v>590</v>
      </c>
      <c r="B592" s="3">
        <v>40570</v>
      </c>
      <c r="C592" s="1">
        <v>1</v>
      </c>
      <c r="D592" s="1">
        <v>0</v>
      </c>
      <c r="E592" s="1">
        <v>1</v>
      </c>
      <c r="F592" s="32">
        <v>18</v>
      </c>
      <c r="G592" s="64" t="str" cm="1">
        <f t="array" ref="G592">_xlfn.IFS(AND(F592&gt;=5,F592&lt;12),"Morning",AND(F592&gt;=12,F592&lt;17),"AfterNoon",AND(F592&gt;=17,F592&lt;20),"Evening",TRUE,"Night")</f>
        <v>Evening</v>
      </c>
      <c r="H592" s="1" t="b">
        <v>0</v>
      </c>
      <c r="I592" s="1">
        <v>4</v>
      </c>
      <c r="J592" s="64" t="str" cm="1">
        <f t="array" ref="J592">_xlfn.IFS(I592=0,"Saturday",I592=1,"Sunday",I592=2,"Monday",I592=3,"Tuesday",I592=4,"Wednesday",I592=5,"Thusday",I592=6,"Friday")</f>
        <v>Wednesday</v>
      </c>
      <c r="K592" s="1">
        <v>1</v>
      </c>
      <c r="L592" s="1">
        <v>0.2</v>
      </c>
      <c r="M592" t="str">
        <f t="shared" si="10"/>
        <v>Rainy</v>
      </c>
    </row>
    <row r="593" spans="1:13" x14ac:dyDescent="0.35">
      <c r="A593" s="1">
        <v>591</v>
      </c>
      <c r="B593" s="3">
        <v>40570</v>
      </c>
      <c r="C593" s="1">
        <v>1</v>
      </c>
      <c r="D593" s="1">
        <v>0</v>
      </c>
      <c r="E593" s="1">
        <v>1</v>
      </c>
      <c r="F593" s="32">
        <v>19</v>
      </c>
      <c r="G593" s="64" t="str" cm="1">
        <f t="array" ref="G593">_xlfn.IFS(AND(F593&gt;=5,F593&lt;12),"Morning",AND(F593&gt;=12,F593&lt;17),"AfterNoon",AND(F593&gt;=17,F593&lt;20),"Evening",TRUE,"Night")</f>
        <v>Evening</v>
      </c>
      <c r="H593" s="1" t="b">
        <v>0</v>
      </c>
      <c r="I593" s="1">
        <v>4</v>
      </c>
      <c r="J593" s="64" t="str" cm="1">
        <f t="array" ref="J593">_xlfn.IFS(I593=0,"Saturday",I593=1,"Sunday",I593=2,"Monday",I593=3,"Tuesday",I593=4,"Wednesday",I593=5,"Thusday",I593=6,"Friday")</f>
        <v>Wednesday</v>
      </c>
      <c r="K593" s="1">
        <v>1</v>
      </c>
      <c r="L593" s="1">
        <v>0.2</v>
      </c>
      <c r="M593" t="str">
        <f t="shared" si="10"/>
        <v>Rainy</v>
      </c>
    </row>
    <row r="594" spans="1:13" x14ac:dyDescent="0.35">
      <c r="A594" s="1">
        <v>592</v>
      </c>
      <c r="B594" s="3">
        <v>40570</v>
      </c>
      <c r="C594" s="1">
        <v>1</v>
      </c>
      <c r="D594" s="1">
        <v>0</v>
      </c>
      <c r="E594" s="1">
        <v>1</v>
      </c>
      <c r="F594" s="32">
        <v>20</v>
      </c>
      <c r="G594" s="64" t="str" cm="1">
        <f t="array" ref="G594">_xlfn.IFS(AND(F594&gt;=5,F594&lt;12),"Morning",AND(F594&gt;=12,F594&lt;17),"AfterNoon",AND(F594&gt;=17,F594&lt;20),"Evening",TRUE,"Night")</f>
        <v>Night</v>
      </c>
      <c r="H594" s="1" t="b">
        <v>0</v>
      </c>
      <c r="I594" s="1">
        <v>4</v>
      </c>
      <c r="J594" s="64" t="str" cm="1">
        <f t="array" ref="J594">_xlfn.IFS(I594=0,"Saturday",I594=1,"Sunday",I594=2,"Monday",I594=3,"Tuesday",I594=4,"Wednesday",I594=5,"Thusday",I594=6,"Friday")</f>
        <v>Wednesday</v>
      </c>
      <c r="K594" s="1">
        <v>1</v>
      </c>
      <c r="L594" s="1">
        <v>0.18</v>
      </c>
      <c r="M594" t="str">
        <f t="shared" si="10"/>
        <v>Rainy</v>
      </c>
    </row>
    <row r="595" spans="1:13" x14ac:dyDescent="0.35">
      <c r="A595" s="1">
        <v>593</v>
      </c>
      <c r="B595" s="3">
        <v>40570</v>
      </c>
      <c r="C595" s="1">
        <v>1</v>
      </c>
      <c r="D595" s="1">
        <v>0</v>
      </c>
      <c r="E595" s="1">
        <v>1</v>
      </c>
      <c r="F595" s="32">
        <v>21</v>
      </c>
      <c r="G595" s="64" t="str" cm="1">
        <f t="array" ref="G595">_xlfn.IFS(AND(F595&gt;=5,F595&lt;12),"Morning",AND(F595&gt;=12,F595&lt;17),"AfterNoon",AND(F595&gt;=17,F595&lt;20),"Evening",TRUE,"Night")</f>
        <v>Night</v>
      </c>
      <c r="H595" s="1" t="b">
        <v>0</v>
      </c>
      <c r="I595" s="1">
        <v>4</v>
      </c>
      <c r="J595" s="64" t="str" cm="1">
        <f t="array" ref="J595">_xlfn.IFS(I595=0,"Saturday",I595=1,"Sunday",I595=2,"Monday",I595=3,"Tuesday",I595=4,"Wednesday",I595=5,"Thusday",I595=6,"Friday")</f>
        <v>Wednesday</v>
      </c>
      <c r="K595" s="1">
        <v>1</v>
      </c>
      <c r="L595" s="1">
        <v>0.18</v>
      </c>
      <c r="M595" t="str">
        <f t="shared" si="10"/>
        <v>Rainy</v>
      </c>
    </row>
    <row r="596" spans="1:13" x14ac:dyDescent="0.35">
      <c r="A596" s="1">
        <v>594</v>
      </c>
      <c r="B596" s="3">
        <v>40570</v>
      </c>
      <c r="C596" s="1">
        <v>1</v>
      </c>
      <c r="D596" s="1">
        <v>0</v>
      </c>
      <c r="E596" s="1">
        <v>1</v>
      </c>
      <c r="F596" s="32">
        <v>22</v>
      </c>
      <c r="G596" s="64" t="str" cm="1">
        <f t="array" ref="G596">_xlfn.IFS(AND(F596&gt;=5,F596&lt;12),"Morning",AND(F596&gt;=12,F596&lt;17),"AfterNoon",AND(F596&gt;=17,F596&lt;20),"Evening",TRUE,"Night")</f>
        <v>Night</v>
      </c>
      <c r="H596" s="1" t="b">
        <v>0</v>
      </c>
      <c r="I596" s="1">
        <v>4</v>
      </c>
      <c r="J596" s="64" t="str" cm="1">
        <f t="array" ref="J596">_xlfn.IFS(I596=0,"Saturday",I596=1,"Sunday",I596=2,"Monday",I596=3,"Tuesday",I596=4,"Wednesday",I596=5,"Thusday",I596=6,"Friday")</f>
        <v>Wednesday</v>
      </c>
      <c r="K596" s="1">
        <v>1</v>
      </c>
      <c r="L596" s="1">
        <v>0.18</v>
      </c>
      <c r="M596" t="str">
        <f t="shared" si="10"/>
        <v>Rainy</v>
      </c>
    </row>
    <row r="597" spans="1:13" x14ac:dyDescent="0.35">
      <c r="A597" s="1">
        <v>595</v>
      </c>
      <c r="B597" s="3">
        <v>40570</v>
      </c>
      <c r="C597" s="1">
        <v>1</v>
      </c>
      <c r="D597" s="1">
        <v>0</v>
      </c>
      <c r="E597" s="1">
        <v>1</v>
      </c>
      <c r="F597" s="32">
        <v>23</v>
      </c>
      <c r="G597" s="64" t="str" cm="1">
        <f t="array" ref="G597">_xlfn.IFS(AND(F597&gt;=5,F597&lt;12),"Morning",AND(F597&gt;=12,F597&lt;17),"AfterNoon",AND(F597&gt;=17,F597&lt;20),"Evening",TRUE,"Night")</f>
        <v>Night</v>
      </c>
      <c r="H597" s="1" t="b">
        <v>0</v>
      </c>
      <c r="I597" s="1">
        <v>4</v>
      </c>
      <c r="J597" s="64" t="str" cm="1">
        <f t="array" ref="J597">_xlfn.IFS(I597=0,"Saturday",I597=1,"Sunday",I597=2,"Monday",I597=3,"Tuesday",I597=4,"Wednesday",I597=5,"Thusday",I597=6,"Friday")</f>
        <v>Wednesday</v>
      </c>
      <c r="K597" s="1">
        <v>1</v>
      </c>
      <c r="L597" s="1">
        <v>0.18</v>
      </c>
      <c r="M597" t="str">
        <f t="shared" si="10"/>
        <v>Rainy</v>
      </c>
    </row>
    <row r="598" spans="1:13" x14ac:dyDescent="0.35">
      <c r="A598" s="1">
        <v>596</v>
      </c>
      <c r="B598" s="3">
        <v>40571</v>
      </c>
      <c r="C598" s="1">
        <v>1</v>
      </c>
      <c r="D598" s="1">
        <v>0</v>
      </c>
      <c r="E598" s="1">
        <v>1</v>
      </c>
      <c r="F598" s="32">
        <v>0</v>
      </c>
      <c r="G598" s="64" t="str" cm="1">
        <f t="array" ref="G598">_xlfn.IFS(AND(F598&gt;=5,F598&lt;12),"Morning",AND(F598&gt;=12,F598&lt;17),"AfterNoon",AND(F598&gt;=17,F598&lt;20),"Evening",TRUE,"Night")</f>
        <v>Night</v>
      </c>
      <c r="H598" s="1" t="b">
        <v>0</v>
      </c>
      <c r="I598" s="1">
        <v>5</v>
      </c>
      <c r="J598" s="64" t="str" cm="1">
        <f t="array" ref="J598">_xlfn.IFS(I598=0,"Saturday",I598=1,"Sunday",I598=2,"Monday",I598=3,"Tuesday",I598=4,"Wednesday",I598=5,"Thusday",I598=6,"Friday")</f>
        <v>Thusday</v>
      </c>
      <c r="K598" s="1">
        <v>2</v>
      </c>
      <c r="L598" s="1">
        <v>0.2</v>
      </c>
      <c r="M598" t="str">
        <f t="shared" si="10"/>
        <v>Rainy</v>
      </c>
    </row>
    <row r="599" spans="1:13" x14ac:dyDescent="0.35">
      <c r="A599" s="1">
        <v>597</v>
      </c>
      <c r="B599" s="3">
        <v>40571</v>
      </c>
      <c r="C599" s="1">
        <v>1</v>
      </c>
      <c r="D599" s="1">
        <v>0</v>
      </c>
      <c r="E599" s="1">
        <v>1</v>
      </c>
      <c r="F599" s="32">
        <v>1</v>
      </c>
      <c r="G599" s="64" t="str" cm="1">
        <f t="array" ref="G599">_xlfn.IFS(AND(F599&gt;=5,F599&lt;12),"Morning",AND(F599&gt;=12,F599&lt;17),"AfterNoon",AND(F599&gt;=17,F599&lt;20),"Evening",TRUE,"Night")</f>
        <v>Night</v>
      </c>
      <c r="H599" s="1" t="b">
        <v>0</v>
      </c>
      <c r="I599" s="1">
        <v>5</v>
      </c>
      <c r="J599" s="64" t="str" cm="1">
        <f t="array" ref="J599">_xlfn.IFS(I599=0,"Saturday",I599=1,"Sunday",I599=2,"Monday",I599=3,"Tuesday",I599=4,"Wednesday",I599=5,"Thusday",I599=6,"Friday")</f>
        <v>Thusday</v>
      </c>
      <c r="K599" s="1">
        <v>2</v>
      </c>
      <c r="L599" s="1">
        <v>0.2</v>
      </c>
      <c r="M599" t="str">
        <f t="shared" si="10"/>
        <v>Rainy</v>
      </c>
    </row>
    <row r="600" spans="1:13" x14ac:dyDescent="0.35">
      <c r="A600" s="1">
        <v>598</v>
      </c>
      <c r="B600" s="3">
        <v>40571</v>
      </c>
      <c r="C600" s="1">
        <v>1</v>
      </c>
      <c r="D600" s="1">
        <v>0</v>
      </c>
      <c r="E600" s="1">
        <v>1</v>
      </c>
      <c r="F600" s="32">
        <v>2</v>
      </c>
      <c r="G600" s="64" t="str" cm="1">
        <f t="array" ref="G600">_xlfn.IFS(AND(F600&gt;=5,F600&lt;12),"Morning",AND(F600&gt;=12,F600&lt;17),"AfterNoon",AND(F600&gt;=17,F600&lt;20),"Evening",TRUE,"Night")</f>
        <v>Night</v>
      </c>
      <c r="H600" s="1" t="b">
        <v>0</v>
      </c>
      <c r="I600" s="1">
        <v>5</v>
      </c>
      <c r="J600" s="64" t="str" cm="1">
        <f t="array" ref="J600">_xlfn.IFS(I600=0,"Saturday",I600=1,"Sunday",I600=2,"Monday",I600=3,"Tuesday",I600=4,"Wednesday",I600=5,"Thusday",I600=6,"Friday")</f>
        <v>Thusday</v>
      </c>
      <c r="K600" s="1">
        <v>2</v>
      </c>
      <c r="L600" s="1">
        <v>0.2</v>
      </c>
      <c r="M600" t="str">
        <f t="shared" si="10"/>
        <v>Rainy</v>
      </c>
    </row>
    <row r="601" spans="1:13" x14ac:dyDescent="0.35">
      <c r="A601" s="1">
        <v>599</v>
      </c>
      <c r="B601" s="3">
        <v>40571</v>
      </c>
      <c r="C601" s="1">
        <v>1</v>
      </c>
      <c r="D601" s="1">
        <v>0</v>
      </c>
      <c r="E601" s="1">
        <v>1</v>
      </c>
      <c r="F601" s="32">
        <v>3</v>
      </c>
      <c r="G601" s="64" t="str" cm="1">
        <f t="array" ref="G601">_xlfn.IFS(AND(F601&gt;=5,F601&lt;12),"Morning",AND(F601&gt;=12,F601&lt;17),"AfterNoon",AND(F601&gt;=17,F601&lt;20),"Evening",TRUE,"Night")</f>
        <v>Night</v>
      </c>
      <c r="H601" s="1" t="b">
        <v>0</v>
      </c>
      <c r="I601" s="1">
        <v>5</v>
      </c>
      <c r="J601" s="64" t="str" cm="1">
        <f t="array" ref="J601">_xlfn.IFS(I601=0,"Saturday",I601=1,"Sunday",I601=2,"Monday",I601=3,"Tuesday",I601=4,"Wednesday",I601=5,"Thusday",I601=6,"Friday")</f>
        <v>Thusday</v>
      </c>
      <c r="K601" s="1">
        <v>2</v>
      </c>
      <c r="L601" s="1">
        <v>0.2</v>
      </c>
      <c r="M601" t="str">
        <f t="shared" si="10"/>
        <v>Rainy</v>
      </c>
    </row>
    <row r="602" spans="1:13" x14ac:dyDescent="0.35">
      <c r="A602" s="1">
        <v>600</v>
      </c>
      <c r="B602" s="3">
        <v>40571</v>
      </c>
      <c r="C602" s="1">
        <v>1</v>
      </c>
      <c r="D602" s="1">
        <v>0</v>
      </c>
      <c r="E602" s="1">
        <v>1</v>
      </c>
      <c r="F602" s="32">
        <v>5</v>
      </c>
      <c r="G602" s="64" t="str" cm="1">
        <f t="array" ref="G602">_xlfn.IFS(AND(F602&gt;=5,F602&lt;12),"Morning",AND(F602&gt;=12,F602&lt;17),"AfterNoon",AND(F602&gt;=17,F602&lt;20),"Evening",TRUE,"Night")</f>
        <v>Morning</v>
      </c>
      <c r="H602" s="1" t="b">
        <v>0</v>
      </c>
      <c r="I602" s="1">
        <v>5</v>
      </c>
      <c r="J602" s="64" t="str" cm="1">
        <f t="array" ref="J602">_xlfn.IFS(I602=0,"Saturday",I602=1,"Sunday",I602=2,"Monday",I602=3,"Tuesday",I602=4,"Wednesday",I602=5,"Thusday",I602=6,"Friday")</f>
        <v>Thusday</v>
      </c>
      <c r="K602" s="1">
        <v>2</v>
      </c>
      <c r="L602" s="1">
        <v>0.18</v>
      </c>
      <c r="M602" t="str">
        <f t="shared" si="10"/>
        <v>Rainy</v>
      </c>
    </row>
    <row r="603" spans="1:13" x14ac:dyDescent="0.35">
      <c r="A603" s="1">
        <v>601</v>
      </c>
      <c r="B603" s="3">
        <v>40571</v>
      </c>
      <c r="C603" s="1">
        <v>1</v>
      </c>
      <c r="D603" s="1">
        <v>0</v>
      </c>
      <c r="E603" s="1">
        <v>1</v>
      </c>
      <c r="F603" s="32">
        <v>6</v>
      </c>
      <c r="G603" s="64" t="str" cm="1">
        <f t="array" ref="G603">_xlfn.IFS(AND(F603&gt;=5,F603&lt;12),"Morning",AND(F603&gt;=12,F603&lt;17),"AfterNoon",AND(F603&gt;=17,F603&lt;20),"Evening",TRUE,"Night")</f>
        <v>Morning</v>
      </c>
      <c r="H603" s="1" t="b">
        <v>0</v>
      </c>
      <c r="I603" s="1">
        <v>5</v>
      </c>
      <c r="J603" s="64" t="str" cm="1">
        <f t="array" ref="J603">_xlfn.IFS(I603=0,"Saturday",I603=1,"Sunday",I603=2,"Monday",I603=3,"Tuesday",I603=4,"Wednesday",I603=5,"Thusday",I603=6,"Friday")</f>
        <v>Thusday</v>
      </c>
      <c r="K603" s="1">
        <v>2</v>
      </c>
      <c r="L603" s="1">
        <v>0.18</v>
      </c>
      <c r="M603" t="str">
        <f t="shared" si="10"/>
        <v>Rainy</v>
      </c>
    </row>
    <row r="604" spans="1:13" x14ac:dyDescent="0.35">
      <c r="A604" s="1">
        <v>602</v>
      </c>
      <c r="B604" s="3">
        <v>40571</v>
      </c>
      <c r="C604" s="1">
        <v>1</v>
      </c>
      <c r="D604" s="1">
        <v>0</v>
      </c>
      <c r="E604" s="1">
        <v>1</v>
      </c>
      <c r="F604" s="32">
        <v>7</v>
      </c>
      <c r="G604" s="64" t="str" cm="1">
        <f t="array" ref="G604">_xlfn.IFS(AND(F604&gt;=5,F604&lt;12),"Morning",AND(F604&gt;=12,F604&lt;17),"AfterNoon",AND(F604&gt;=17,F604&lt;20),"Evening",TRUE,"Night")</f>
        <v>Morning</v>
      </c>
      <c r="H604" s="1" t="b">
        <v>0</v>
      </c>
      <c r="I604" s="1">
        <v>5</v>
      </c>
      <c r="J604" s="64" t="str" cm="1">
        <f t="array" ref="J604">_xlfn.IFS(I604=0,"Saturday",I604=1,"Sunday",I604=2,"Monday",I604=3,"Tuesday",I604=4,"Wednesday",I604=5,"Thusday",I604=6,"Friday")</f>
        <v>Thusday</v>
      </c>
      <c r="K604" s="1">
        <v>2</v>
      </c>
      <c r="L604" s="1">
        <v>0.16</v>
      </c>
      <c r="M604" t="str">
        <f t="shared" si="10"/>
        <v>Rainy</v>
      </c>
    </row>
    <row r="605" spans="1:13" x14ac:dyDescent="0.35">
      <c r="A605" s="1">
        <v>603</v>
      </c>
      <c r="B605" s="3">
        <v>40571</v>
      </c>
      <c r="C605" s="1">
        <v>1</v>
      </c>
      <c r="D605" s="1">
        <v>0</v>
      </c>
      <c r="E605" s="1">
        <v>1</v>
      </c>
      <c r="F605" s="32">
        <v>8</v>
      </c>
      <c r="G605" s="64" t="str" cm="1">
        <f t="array" ref="G605">_xlfn.IFS(AND(F605&gt;=5,F605&lt;12),"Morning",AND(F605&gt;=12,F605&lt;17),"AfterNoon",AND(F605&gt;=17,F605&lt;20),"Evening",TRUE,"Night")</f>
        <v>Morning</v>
      </c>
      <c r="H605" s="1" t="b">
        <v>0</v>
      </c>
      <c r="I605" s="1">
        <v>5</v>
      </c>
      <c r="J605" s="64" t="str" cm="1">
        <f t="array" ref="J605">_xlfn.IFS(I605=0,"Saturday",I605=1,"Sunday",I605=2,"Monday",I605=3,"Tuesday",I605=4,"Wednesday",I605=5,"Thusday",I605=6,"Friday")</f>
        <v>Thusday</v>
      </c>
      <c r="K605" s="1">
        <v>2</v>
      </c>
      <c r="L605" s="1">
        <v>0.16</v>
      </c>
      <c r="M605" t="str">
        <f t="shared" si="10"/>
        <v>Rainy</v>
      </c>
    </row>
    <row r="606" spans="1:13" x14ac:dyDescent="0.35">
      <c r="A606" s="1">
        <v>604</v>
      </c>
      <c r="B606" s="3">
        <v>40571</v>
      </c>
      <c r="C606" s="1">
        <v>1</v>
      </c>
      <c r="D606" s="1">
        <v>0</v>
      </c>
      <c r="E606" s="1">
        <v>1</v>
      </c>
      <c r="F606" s="32">
        <v>9</v>
      </c>
      <c r="G606" s="64" t="str" cm="1">
        <f t="array" ref="G606">_xlfn.IFS(AND(F606&gt;=5,F606&lt;12),"Morning",AND(F606&gt;=12,F606&lt;17),"AfterNoon",AND(F606&gt;=17,F606&lt;20),"Evening",TRUE,"Night")</f>
        <v>Morning</v>
      </c>
      <c r="H606" s="1" t="b">
        <v>0</v>
      </c>
      <c r="I606" s="1">
        <v>5</v>
      </c>
      <c r="J606" s="64" t="str" cm="1">
        <f t="array" ref="J606">_xlfn.IFS(I606=0,"Saturday",I606=1,"Sunday",I606=2,"Monday",I606=3,"Tuesday",I606=4,"Wednesday",I606=5,"Thusday",I606=6,"Friday")</f>
        <v>Thusday</v>
      </c>
      <c r="K606" s="1">
        <v>3</v>
      </c>
      <c r="L606" s="1">
        <v>0.18</v>
      </c>
      <c r="M606" t="str">
        <f t="shared" si="10"/>
        <v>Rainy</v>
      </c>
    </row>
    <row r="607" spans="1:13" x14ac:dyDescent="0.35">
      <c r="A607" s="1">
        <v>605</v>
      </c>
      <c r="B607" s="3">
        <v>40571</v>
      </c>
      <c r="C607" s="1">
        <v>1</v>
      </c>
      <c r="D607" s="1">
        <v>0</v>
      </c>
      <c r="E607" s="1">
        <v>1</v>
      </c>
      <c r="F607" s="32">
        <v>10</v>
      </c>
      <c r="G607" s="64" t="str" cm="1">
        <f t="array" ref="G607">_xlfn.IFS(AND(F607&gt;=5,F607&lt;12),"Morning",AND(F607&gt;=12,F607&lt;17),"AfterNoon",AND(F607&gt;=17,F607&lt;20),"Evening",TRUE,"Night")</f>
        <v>Morning</v>
      </c>
      <c r="H607" s="1" t="b">
        <v>0</v>
      </c>
      <c r="I607" s="1">
        <v>5</v>
      </c>
      <c r="J607" s="64" t="str" cm="1">
        <f t="array" ref="J607">_xlfn.IFS(I607=0,"Saturday",I607=1,"Sunday",I607=2,"Monday",I607=3,"Tuesday",I607=4,"Wednesday",I607=5,"Thusday",I607=6,"Friday")</f>
        <v>Thusday</v>
      </c>
      <c r="K607" s="1">
        <v>3</v>
      </c>
      <c r="L607" s="1">
        <v>0.18</v>
      </c>
      <c r="M607" t="str">
        <f t="shared" si="10"/>
        <v>Rainy</v>
      </c>
    </row>
    <row r="608" spans="1:13" x14ac:dyDescent="0.35">
      <c r="A608" s="1">
        <v>606</v>
      </c>
      <c r="B608" s="3">
        <v>40571</v>
      </c>
      <c r="C608" s="1">
        <v>1</v>
      </c>
      <c r="D608" s="1">
        <v>0</v>
      </c>
      <c r="E608" s="1">
        <v>1</v>
      </c>
      <c r="F608" s="32">
        <v>11</v>
      </c>
      <c r="G608" s="64" t="str" cm="1">
        <f t="array" ref="G608">_xlfn.IFS(AND(F608&gt;=5,F608&lt;12),"Morning",AND(F608&gt;=12,F608&lt;17),"AfterNoon",AND(F608&gt;=17,F608&lt;20),"Evening",TRUE,"Night")</f>
        <v>Morning</v>
      </c>
      <c r="H608" s="1" t="b">
        <v>0</v>
      </c>
      <c r="I608" s="1">
        <v>5</v>
      </c>
      <c r="J608" s="64" t="str" cm="1">
        <f t="array" ref="J608">_xlfn.IFS(I608=0,"Saturday",I608=1,"Sunday",I608=2,"Monday",I608=3,"Tuesday",I608=4,"Wednesday",I608=5,"Thusday",I608=6,"Friday")</f>
        <v>Thusday</v>
      </c>
      <c r="K608" s="1">
        <v>3</v>
      </c>
      <c r="L608" s="1">
        <v>0.18</v>
      </c>
      <c r="M608" t="str">
        <f t="shared" si="10"/>
        <v>Rainy</v>
      </c>
    </row>
    <row r="609" spans="1:13" x14ac:dyDescent="0.35">
      <c r="A609" s="1">
        <v>607</v>
      </c>
      <c r="B609" s="3">
        <v>40571</v>
      </c>
      <c r="C609" s="1">
        <v>1</v>
      </c>
      <c r="D609" s="1">
        <v>0</v>
      </c>
      <c r="E609" s="1">
        <v>1</v>
      </c>
      <c r="F609" s="32">
        <v>12</v>
      </c>
      <c r="G609" s="64" t="str" cm="1">
        <f t="array" ref="G609">_xlfn.IFS(AND(F609&gt;=5,F609&lt;12),"Morning",AND(F609&gt;=12,F609&lt;17),"AfterNoon",AND(F609&gt;=17,F609&lt;20),"Evening",TRUE,"Night")</f>
        <v>AfterNoon</v>
      </c>
      <c r="H609" s="1" t="b">
        <v>0</v>
      </c>
      <c r="I609" s="1">
        <v>5</v>
      </c>
      <c r="J609" s="64" t="str" cm="1">
        <f t="array" ref="J609">_xlfn.IFS(I609=0,"Saturday",I609=1,"Sunday",I609=2,"Monday",I609=3,"Tuesday",I609=4,"Wednesday",I609=5,"Thusday",I609=6,"Friday")</f>
        <v>Thusday</v>
      </c>
      <c r="K609" s="1">
        <v>3</v>
      </c>
      <c r="L609" s="1">
        <v>0.18</v>
      </c>
      <c r="M609" t="str">
        <f t="shared" si="10"/>
        <v>Rainy</v>
      </c>
    </row>
    <row r="610" spans="1:13" x14ac:dyDescent="0.35">
      <c r="A610" s="1">
        <v>608</v>
      </c>
      <c r="B610" s="3">
        <v>40571</v>
      </c>
      <c r="C610" s="1">
        <v>1</v>
      </c>
      <c r="D610" s="1">
        <v>0</v>
      </c>
      <c r="E610" s="1">
        <v>1</v>
      </c>
      <c r="F610" s="32">
        <v>13</v>
      </c>
      <c r="G610" s="64" t="str" cm="1">
        <f t="array" ref="G610">_xlfn.IFS(AND(F610&gt;=5,F610&lt;12),"Morning",AND(F610&gt;=12,F610&lt;17),"AfterNoon",AND(F610&gt;=17,F610&lt;20),"Evening",TRUE,"Night")</f>
        <v>AfterNoon</v>
      </c>
      <c r="H610" s="1" t="b">
        <v>0</v>
      </c>
      <c r="I610" s="1">
        <v>5</v>
      </c>
      <c r="J610" s="64" t="str" cm="1">
        <f t="array" ref="J610">_xlfn.IFS(I610=0,"Saturday",I610=1,"Sunday",I610=2,"Monday",I610=3,"Tuesday",I610=4,"Wednesday",I610=5,"Thusday",I610=6,"Friday")</f>
        <v>Thusday</v>
      </c>
      <c r="K610" s="1">
        <v>3</v>
      </c>
      <c r="L610" s="1">
        <v>0.18</v>
      </c>
      <c r="M610" t="str">
        <f t="shared" si="10"/>
        <v>Rainy</v>
      </c>
    </row>
    <row r="611" spans="1:13" x14ac:dyDescent="0.35">
      <c r="A611" s="1">
        <v>609</v>
      </c>
      <c r="B611" s="3">
        <v>40571</v>
      </c>
      <c r="C611" s="1">
        <v>1</v>
      </c>
      <c r="D611" s="1">
        <v>0</v>
      </c>
      <c r="E611" s="1">
        <v>1</v>
      </c>
      <c r="F611" s="32">
        <v>14</v>
      </c>
      <c r="G611" s="64" t="str" cm="1">
        <f t="array" ref="G611">_xlfn.IFS(AND(F611&gt;=5,F611&lt;12),"Morning",AND(F611&gt;=12,F611&lt;17),"AfterNoon",AND(F611&gt;=17,F611&lt;20),"Evening",TRUE,"Night")</f>
        <v>AfterNoon</v>
      </c>
      <c r="H611" s="1" t="b">
        <v>0</v>
      </c>
      <c r="I611" s="1">
        <v>5</v>
      </c>
      <c r="J611" s="64" t="str" cm="1">
        <f t="array" ref="J611">_xlfn.IFS(I611=0,"Saturday",I611=1,"Sunday",I611=2,"Monday",I611=3,"Tuesday",I611=4,"Wednesday",I611=5,"Thusday",I611=6,"Friday")</f>
        <v>Thusday</v>
      </c>
      <c r="K611" s="1">
        <v>3</v>
      </c>
      <c r="L611" s="1">
        <v>0.22</v>
      </c>
      <c r="M611" t="str">
        <f t="shared" si="10"/>
        <v>Cloudy</v>
      </c>
    </row>
    <row r="612" spans="1:13" x14ac:dyDescent="0.35">
      <c r="A612" s="1">
        <v>610</v>
      </c>
      <c r="B612" s="3">
        <v>40571</v>
      </c>
      <c r="C612" s="1">
        <v>1</v>
      </c>
      <c r="D612" s="1">
        <v>0</v>
      </c>
      <c r="E612" s="1">
        <v>1</v>
      </c>
      <c r="F612" s="32">
        <v>15</v>
      </c>
      <c r="G612" s="64" t="str" cm="1">
        <f t="array" ref="G612">_xlfn.IFS(AND(F612&gt;=5,F612&lt;12),"Morning",AND(F612&gt;=12,F612&lt;17),"AfterNoon",AND(F612&gt;=17,F612&lt;20),"Evening",TRUE,"Night")</f>
        <v>AfterNoon</v>
      </c>
      <c r="H612" s="1" t="b">
        <v>0</v>
      </c>
      <c r="I612" s="1">
        <v>5</v>
      </c>
      <c r="J612" s="64" t="str" cm="1">
        <f t="array" ref="J612">_xlfn.IFS(I612=0,"Saturday",I612=1,"Sunday",I612=2,"Monday",I612=3,"Tuesday",I612=4,"Wednesday",I612=5,"Thusday",I612=6,"Friday")</f>
        <v>Thusday</v>
      </c>
      <c r="K612" s="1">
        <v>2</v>
      </c>
      <c r="L612" s="1">
        <v>0.2</v>
      </c>
      <c r="M612" t="str">
        <f t="shared" si="10"/>
        <v>Rainy</v>
      </c>
    </row>
    <row r="613" spans="1:13" x14ac:dyDescent="0.35">
      <c r="F613" s="10" t="s">
        <v>31</v>
      </c>
      <c r="G613" s="1"/>
      <c r="I613" s="10" t="s">
        <v>32</v>
      </c>
      <c r="J613" s="1"/>
      <c r="L613" s="10" t="s">
        <v>33</v>
      </c>
    </row>
    <row r="614" spans="1:13" x14ac:dyDescent="0.35">
      <c r="F614" s="9">
        <f>SUM(F2:F612)</f>
        <v>7195</v>
      </c>
      <c r="G614" s="1"/>
      <c r="I614" s="9">
        <f>SUM(I2:I612)</f>
        <v>1816</v>
      </c>
      <c r="J614" s="1"/>
      <c r="L614" s="9">
        <f>SUM(L2:L612)</f>
        <v>120.10000000000005</v>
      </c>
    </row>
    <row r="615" spans="1:13" x14ac:dyDescent="0.35">
      <c r="F615" s="11" t="s">
        <v>34</v>
      </c>
      <c r="G615" s="1"/>
      <c r="I615" s="11" t="s">
        <v>34</v>
      </c>
      <c r="J615" s="1"/>
      <c r="L615" s="12" t="s">
        <v>34</v>
      </c>
    </row>
    <row r="616" spans="1:13" x14ac:dyDescent="0.35">
      <c r="F616" s="9">
        <f>AVERAGE(F2:F612)</f>
        <v>11.795081967213115</v>
      </c>
      <c r="G616" s="9"/>
      <c r="I616" s="9">
        <f>AVERAGE(I2:I612)</f>
        <v>2.9770491803278687</v>
      </c>
      <c r="J616" s="9"/>
      <c r="L616" s="5">
        <f>AVERAGE(L2:L612)</f>
        <v>0.19688524590163942</v>
      </c>
    </row>
  </sheetData>
  <dataConsolid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BF3DC-3334-4FA9-8345-88E92AC29FC7}">
  <sheetPr>
    <tabColor rgb="FF357FC9"/>
  </sheetPr>
  <dimension ref="A1:H617"/>
  <sheetViews>
    <sheetView workbookViewId="0">
      <selection activeCell="E13" sqref="E13"/>
    </sheetView>
  </sheetViews>
  <sheetFormatPr defaultRowHeight="14.5" x14ac:dyDescent="0.35"/>
  <cols>
    <col min="1" max="1" width="11" bestFit="1" customWidth="1"/>
    <col min="2" max="2" width="11.36328125" bestFit="1" customWidth="1"/>
    <col min="3" max="3" width="20.7265625" bestFit="1" customWidth="1"/>
    <col min="4" max="4" width="9.36328125" bestFit="1" customWidth="1"/>
    <col min="5" max="5" width="14.81640625" bestFit="1" customWidth="1"/>
    <col min="6" max="6" width="10.81640625" bestFit="1" customWidth="1"/>
    <col min="7" max="7" width="14.1796875" bestFit="1" customWidth="1"/>
  </cols>
  <sheetData>
    <row r="1" spans="1:8" x14ac:dyDescent="0.35">
      <c r="A1" s="4" t="s">
        <v>10</v>
      </c>
      <c r="B1" s="4" t="s">
        <v>0</v>
      </c>
      <c r="C1" s="4" t="s">
        <v>50</v>
      </c>
      <c r="D1" s="4" t="s">
        <v>11</v>
      </c>
      <c r="E1" s="4" t="s">
        <v>12</v>
      </c>
      <c r="F1" s="4" t="s">
        <v>13</v>
      </c>
      <c r="G1" s="4" t="s">
        <v>14</v>
      </c>
      <c r="H1" s="4" t="s">
        <v>15</v>
      </c>
    </row>
    <row r="2" spans="1:8" x14ac:dyDescent="0.35">
      <c r="A2" s="6" t="str">
        <f t="shared" ref="A2:F2" si="0">PROPER(A1)</f>
        <v>Atemp</v>
      </c>
      <c r="B2" s="6" t="str">
        <f>PROPER(B1)</f>
        <v>Instant</v>
      </c>
      <c r="C2" s="6" t="str">
        <f>PROPER(C1)</f>
        <v>N Atemp</v>
      </c>
      <c r="D2" s="6" t="str">
        <f t="shared" si="0"/>
        <v>Hum</v>
      </c>
      <c r="E2" s="6" t="str">
        <f t="shared" si="0"/>
        <v>Windspeed</v>
      </c>
      <c r="F2" s="6" t="str">
        <f t="shared" si="0"/>
        <v>Casual</v>
      </c>
      <c r="G2" s="6" t="str">
        <f>PROPER(G1)</f>
        <v>Registered</v>
      </c>
      <c r="H2" s="6" t="str">
        <f>PROPER(H1)</f>
        <v>Cnt</v>
      </c>
    </row>
    <row r="3" spans="1:8" x14ac:dyDescent="0.35">
      <c r="A3" s="7">
        <v>0.28789999999999999</v>
      </c>
      <c r="B3" s="7">
        <v>1</v>
      </c>
      <c r="C3" s="5">
        <f t="shared" ref="C3:C66" si="1">IF(ISBLANK(A3),AVERAGE(A2:A4),A3)</f>
        <v>0.28789999999999999</v>
      </c>
      <c r="D3" s="7">
        <v>0.81</v>
      </c>
      <c r="E3" s="7">
        <v>0</v>
      </c>
      <c r="F3" s="7">
        <v>3</v>
      </c>
      <c r="G3" s="7">
        <v>13</v>
      </c>
      <c r="H3" s="7">
        <v>16</v>
      </c>
    </row>
    <row r="4" spans="1:8" x14ac:dyDescent="0.35">
      <c r="A4" s="7">
        <v>0.2727</v>
      </c>
      <c r="B4" s="7">
        <v>2</v>
      </c>
      <c r="C4" s="5">
        <f t="shared" si="1"/>
        <v>0.2727</v>
      </c>
      <c r="D4" s="7">
        <v>0.8</v>
      </c>
      <c r="E4" s="7">
        <v>0</v>
      </c>
      <c r="F4" s="7">
        <v>8</v>
      </c>
      <c r="G4" s="7">
        <v>32</v>
      </c>
      <c r="H4" s="7">
        <v>40</v>
      </c>
    </row>
    <row r="5" spans="1:8" x14ac:dyDescent="0.35">
      <c r="A5" s="7">
        <v>0.2727</v>
      </c>
      <c r="B5" s="7">
        <v>3</v>
      </c>
      <c r="C5" s="5">
        <f t="shared" si="1"/>
        <v>0.2727</v>
      </c>
      <c r="D5" s="7">
        <v>0.8</v>
      </c>
      <c r="E5" s="7">
        <v>0</v>
      </c>
      <c r="F5" s="7">
        <v>5</v>
      </c>
      <c r="G5" s="7">
        <v>27</v>
      </c>
      <c r="H5" s="7">
        <v>32</v>
      </c>
    </row>
    <row r="6" spans="1:8" x14ac:dyDescent="0.35">
      <c r="A6" s="7">
        <v>0.28789999999999999</v>
      </c>
      <c r="B6" s="7">
        <v>4</v>
      </c>
      <c r="C6" s="5">
        <f t="shared" si="1"/>
        <v>0.28789999999999999</v>
      </c>
      <c r="D6" s="7">
        <v>0.75</v>
      </c>
      <c r="E6" s="7">
        <v>0</v>
      </c>
      <c r="F6" s="7">
        <v>3</v>
      </c>
      <c r="G6" s="7">
        <v>10</v>
      </c>
      <c r="H6" s="7">
        <v>13</v>
      </c>
    </row>
    <row r="7" spans="1:8" x14ac:dyDescent="0.35">
      <c r="A7" s="7">
        <v>0.28789999999999999</v>
      </c>
      <c r="B7" s="7">
        <v>5</v>
      </c>
      <c r="C7" s="5">
        <f t="shared" si="1"/>
        <v>0.28789999999999999</v>
      </c>
      <c r="D7" s="7">
        <v>0.75</v>
      </c>
      <c r="E7" s="7">
        <v>0</v>
      </c>
      <c r="F7" s="7">
        <v>0</v>
      </c>
      <c r="G7" s="7">
        <v>1</v>
      </c>
      <c r="H7" s="7">
        <v>1</v>
      </c>
    </row>
    <row r="8" spans="1:8" x14ac:dyDescent="0.35">
      <c r="A8" s="7">
        <v>0.2576</v>
      </c>
      <c r="B8" s="7">
        <v>6</v>
      </c>
      <c r="C8" s="5">
        <f t="shared" si="1"/>
        <v>0.2576</v>
      </c>
      <c r="D8" s="7">
        <v>0.75</v>
      </c>
      <c r="E8" s="7">
        <v>8.9599999999999999E-2</v>
      </c>
      <c r="F8" s="7">
        <v>0</v>
      </c>
      <c r="G8" s="7">
        <v>1</v>
      </c>
      <c r="H8" s="7">
        <v>1</v>
      </c>
    </row>
    <row r="9" spans="1:8" x14ac:dyDescent="0.35">
      <c r="A9" s="7">
        <v>0.2727</v>
      </c>
      <c r="B9" s="7">
        <v>7</v>
      </c>
      <c r="C9" s="5">
        <f t="shared" si="1"/>
        <v>0.2727</v>
      </c>
      <c r="D9" s="7">
        <v>0.8</v>
      </c>
      <c r="E9" s="7">
        <v>0</v>
      </c>
      <c r="F9" s="7">
        <v>2</v>
      </c>
      <c r="G9" s="7">
        <v>0</v>
      </c>
      <c r="H9" s="7">
        <v>2</v>
      </c>
    </row>
    <row r="10" spans="1:8" x14ac:dyDescent="0.35">
      <c r="A10" s="7">
        <v>0.2576</v>
      </c>
      <c r="B10" s="7">
        <v>8</v>
      </c>
      <c r="C10" s="5">
        <f t="shared" si="1"/>
        <v>0.2576</v>
      </c>
      <c r="D10" s="7">
        <v>0.86</v>
      </c>
      <c r="E10" s="7">
        <v>0</v>
      </c>
      <c r="F10" s="7">
        <v>1</v>
      </c>
      <c r="G10" s="7">
        <v>2</v>
      </c>
      <c r="H10" s="7">
        <v>3</v>
      </c>
    </row>
    <row r="11" spans="1:8" x14ac:dyDescent="0.35">
      <c r="A11" s="8"/>
      <c r="B11" s="7">
        <v>9</v>
      </c>
      <c r="C11" s="5">
        <f t="shared" si="1"/>
        <v>0.30304999999999999</v>
      </c>
      <c r="D11" s="7">
        <v>0.75</v>
      </c>
      <c r="E11" s="7">
        <v>0</v>
      </c>
      <c r="F11" s="7">
        <v>1</v>
      </c>
      <c r="G11" s="7">
        <v>7</v>
      </c>
      <c r="H11" s="7">
        <v>8</v>
      </c>
    </row>
    <row r="12" spans="1:8" x14ac:dyDescent="0.35">
      <c r="A12" s="7">
        <v>0.34849999999999998</v>
      </c>
      <c r="B12" s="7">
        <v>10</v>
      </c>
      <c r="C12" s="5">
        <f t="shared" si="1"/>
        <v>0.34849999999999998</v>
      </c>
      <c r="D12" s="7">
        <v>0.76</v>
      </c>
      <c r="E12" s="7">
        <v>0</v>
      </c>
      <c r="F12" s="7">
        <v>8</v>
      </c>
      <c r="G12" s="7">
        <v>6</v>
      </c>
      <c r="H12" s="7">
        <v>14</v>
      </c>
    </row>
    <row r="13" spans="1:8" x14ac:dyDescent="0.35">
      <c r="A13" s="7">
        <v>0.39389999999999997</v>
      </c>
      <c r="B13" s="7">
        <v>11</v>
      </c>
      <c r="C13" s="5">
        <f t="shared" si="1"/>
        <v>0.39389999999999997</v>
      </c>
      <c r="D13" s="7">
        <v>0.76</v>
      </c>
      <c r="E13" s="7">
        <v>0.25369999999999998</v>
      </c>
      <c r="F13" s="7">
        <v>12</v>
      </c>
      <c r="G13" s="7">
        <v>24</v>
      </c>
      <c r="H13" s="7">
        <v>36</v>
      </c>
    </row>
    <row r="14" spans="1:8" x14ac:dyDescent="0.35">
      <c r="A14" s="7">
        <v>0.33329999999999999</v>
      </c>
      <c r="B14" s="7">
        <v>12</v>
      </c>
      <c r="C14" s="5">
        <f t="shared" si="1"/>
        <v>0.33329999999999999</v>
      </c>
      <c r="D14" s="7">
        <v>0.81</v>
      </c>
      <c r="E14" s="7">
        <v>0.28360000000000002</v>
      </c>
      <c r="F14" s="7">
        <v>26</v>
      </c>
      <c r="G14" s="7">
        <v>30</v>
      </c>
      <c r="H14" s="7">
        <v>56</v>
      </c>
    </row>
    <row r="15" spans="1:8" x14ac:dyDescent="0.35">
      <c r="A15" s="7">
        <v>0.42420000000000002</v>
      </c>
      <c r="B15" s="7">
        <v>13</v>
      </c>
      <c r="C15" s="5">
        <f t="shared" si="1"/>
        <v>0.42420000000000002</v>
      </c>
      <c r="D15" s="7">
        <v>0.77</v>
      </c>
      <c r="E15" s="7">
        <v>0.28360000000000002</v>
      </c>
      <c r="F15" s="7">
        <v>29</v>
      </c>
      <c r="G15" s="7">
        <v>55</v>
      </c>
      <c r="H15" s="7">
        <v>84</v>
      </c>
    </row>
    <row r="16" spans="1:8" x14ac:dyDescent="0.35">
      <c r="A16" s="7">
        <v>0.45450000000000002</v>
      </c>
      <c r="B16" s="7">
        <v>14</v>
      </c>
      <c r="C16" s="5">
        <f t="shared" si="1"/>
        <v>0.45450000000000002</v>
      </c>
      <c r="D16" s="7">
        <v>0.72</v>
      </c>
      <c r="E16" s="7">
        <v>0.29849999999999999</v>
      </c>
      <c r="F16" s="7">
        <v>47</v>
      </c>
      <c r="G16" s="7">
        <v>47</v>
      </c>
      <c r="H16" s="7">
        <v>94</v>
      </c>
    </row>
    <row r="17" spans="1:8" x14ac:dyDescent="0.35">
      <c r="A17" s="7">
        <v>0.45450000000000002</v>
      </c>
      <c r="B17" s="7">
        <v>15</v>
      </c>
      <c r="C17" s="5">
        <f t="shared" si="1"/>
        <v>0.45450000000000002</v>
      </c>
      <c r="D17" s="7">
        <v>0.72</v>
      </c>
      <c r="E17" s="7">
        <v>0.28360000000000002</v>
      </c>
      <c r="F17" s="7">
        <v>35</v>
      </c>
      <c r="G17" s="7">
        <v>71</v>
      </c>
      <c r="H17" s="7">
        <v>106</v>
      </c>
    </row>
    <row r="18" spans="1:8" x14ac:dyDescent="0.35">
      <c r="A18" s="7">
        <v>0.43940000000000001</v>
      </c>
      <c r="B18" s="7">
        <v>16</v>
      </c>
      <c r="C18" s="5">
        <f t="shared" si="1"/>
        <v>0.43940000000000001</v>
      </c>
      <c r="D18" s="7">
        <v>0.77</v>
      </c>
      <c r="E18" s="7">
        <v>0.29849999999999999</v>
      </c>
      <c r="F18" s="7">
        <v>40</v>
      </c>
      <c r="G18" s="7">
        <v>70</v>
      </c>
      <c r="H18" s="7">
        <v>110</v>
      </c>
    </row>
    <row r="19" spans="1:8" x14ac:dyDescent="0.35">
      <c r="A19" s="7">
        <v>0.42420000000000002</v>
      </c>
      <c r="B19" s="7">
        <v>17</v>
      </c>
      <c r="C19" s="5">
        <f t="shared" si="1"/>
        <v>0.42420000000000002</v>
      </c>
      <c r="D19" s="7">
        <v>0.82</v>
      </c>
      <c r="E19" s="7">
        <v>0.29849999999999999</v>
      </c>
      <c r="F19" s="7">
        <v>41</v>
      </c>
      <c r="G19" s="7">
        <v>52</v>
      </c>
      <c r="H19" s="7">
        <v>93</v>
      </c>
    </row>
    <row r="20" spans="1:8" x14ac:dyDescent="0.35">
      <c r="A20" s="8"/>
      <c r="B20" s="7">
        <v>18</v>
      </c>
      <c r="C20" s="5">
        <f t="shared" si="1"/>
        <v>0.42420000000000002</v>
      </c>
      <c r="D20" s="7">
        <v>0.82</v>
      </c>
      <c r="E20" s="7">
        <v>0.28360000000000002</v>
      </c>
      <c r="F20" s="7">
        <v>15</v>
      </c>
      <c r="G20" s="7">
        <v>52</v>
      </c>
      <c r="H20" s="7">
        <v>67</v>
      </c>
    </row>
    <row r="21" spans="1:8" x14ac:dyDescent="0.35">
      <c r="A21" s="7">
        <v>0.42420000000000002</v>
      </c>
      <c r="B21" s="7">
        <v>19</v>
      </c>
      <c r="C21" s="5">
        <f t="shared" si="1"/>
        <v>0.42420000000000002</v>
      </c>
      <c r="D21" s="7">
        <v>0.88</v>
      </c>
      <c r="E21" s="7">
        <v>0.25369999999999998</v>
      </c>
      <c r="F21" s="7">
        <v>9</v>
      </c>
      <c r="G21" s="7">
        <v>26</v>
      </c>
      <c r="H21" s="7">
        <v>35</v>
      </c>
    </row>
    <row r="22" spans="1:8" x14ac:dyDescent="0.35">
      <c r="A22" s="7">
        <v>0.42420000000000002</v>
      </c>
      <c r="B22" s="7">
        <v>20</v>
      </c>
      <c r="C22" s="5">
        <f t="shared" si="1"/>
        <v>0.42420000000000002</v>
      </c>
      <c r="D22" s="7">
        <v>0.88</v>
      </c>
      <c r="E22" s="7">
        <v>0.25369999999999998</v>
      </c>
      <c r="F22" s="7">
        <v>6</v>
      </c>
      <c r="G22" s="7">
        <v>31</v>
      </c>
      <c r="H22" s="7">
        <v>37</v>
      </c>
    </row>
    <row r="23" spans="1:8" x14ac:dyDescent="0.35">
      <c r="A23" s="7">
        <v>0.40910000000000002</v>
      </c>
      <c r="B23" s="7">
        <v>21</v>
      </c>
      <c r="C23" s="5">
        <f t="shared" si="1"/>
        <v>0.40910000000000002</v>
      </c>
      <c r="D23" s="7">
        <v>0.87</v>
      </c>
      <c r="E23" s="7">
        <v>0.25369999999999998</v>
      </c>
      <c r="F23" s="7">
        <v>11</v>
      </c>
      <c r="G23" s="7">
        <v>25</v>
      </c>
      <c r="H23" s="7">
        <v>36</v>
      </c>
    </row>
    <row r="24" spans="1:8" x14ac:dyDescent="0.35">
      <c r="A24" s="7">
        <v>0.40910000000000002</v>
      </c>
      <c r="B24" s="7">
        <v>22</v>
      </c>
      <c r="C24" s="5">
        <f t="shared" si="1"/>
        <v>0.40910000000000002</v>
      </c>
      <c r="D24" s="7">
        <v>0.87</v>
      </c>
      <c r="E24" s="7">
        <v>0.19400000000000001</v>
      </c>
      <c r="F24" s="7">
        <v>3</v>
      </c>
      <c r="G24" s="7">
        <v>31</v>
      </c>
      <c r="H24" s="7">
        <v>34</v>
      </c>
    </row>
    <row r="25" spans="1:8" x14ac:dyDescent="0.35">
      <c r="A25" s="7">
        <v>0.40910000000000002</v>
      </c>
      <c r="B25" s="7">
        <v>23</v>
      </c>
      <c r="C25" s="5">
        <f t="shared" si="1"/>
        <v>0.40910000000000002</v>
      </c>
      <c r="D25" s="7">
        <v>0.94</v>
      </c>
      <c r="E25" s="7">
        <v>0.22389999999999999</v>
      </c>
      <c r="F25" s="7">
        <v>11</v>
      </c>
      <c r="G25" s="7">
        <v>17</v>
      </c>
      <c r="H25" s="7">
        <v>28</v>
      </c>
    </row>
    <row r="26" spans="1:8" x14ac:dyDescent="0.35">
      <c r="A26" s="8"/>
      <c r="B26" s="7">
        <v>24</v>
      </c>
      <c r="C26" s="5">
        <f t="shared" si="1"/>
        <v>0.43180000000000002</v>
      </c>
      <c r="D26" s="7">
        <v>0.88</v>
      </c>
      <c r="E26" s="7">
        <v>0.29849999999999999</v>
      </c>
      <c r="F26" s="7">
        <v>15</v>
      </c>
      <c r="G26" s="7">
        <v>24</v>
      </c>
      <c r="H26" s="7">
        <v>39</v>
      </c>
    </row>
    <row r="27" spans="1:8" x14ac:dyDescent="0.35">
      <c r="A27" s="7">
        <v>0.45450000000000002</v>
      </c>
      <c r="B27" s="7">
        <v>25</v>
      </c>
      <c r="C27" s="5">
        <f t="shared" si="1"/>
        <v>0.45450000000000002</v>
      </c>
      <c r="D27" s="7">
        <v>0.88</v>
      </c>
      <c r="E27" s="7">
        <v>0.29849999999999999</v>
      </c>
      <c r="F27" s="7">
        <v>4</v>
      </c>
      <c r="G27" s="7">
        <v>13</v>
      </c>
      <c r="H27" s="7">
        <v>17</v>
      </c>
    </row>
    <row r="28" spans="1:8" x14ac:dyDescent="0.35">
      <c r="A28" s="7">
        <v>0.43940000000000001</v>
      </c>
      <c r="B28" s="7">
        <v>26</v>
      </c>
      <c r="C28" s="5">
        <f t="shared" si="1"/>
        <v>0.43940000000000001</v>
      </c>
      <c r="D28" s="7">
        <v>0.94</v>
      </c>
      <c r="E28" s="7">
        <v>0.25369999999999998</v>
      </c>
      <c r="F28" s="7">
        <v>1</v>
      </c>
      <c r="G28" s="7">
        <v>16</v>
      </c>
      <c r="H28" s="7">
        <v>17</v>
      </c>
    </row>
    <row r="29" spans="1:8" x14ac:dyDescent="0.35">
      <c r="A29" s="7">
        <v>0.42420000000000002</v>
      </c>
      <c r="B29" s="7">
        <v>27</v>
      </c>
      <c r="C29" s="5">
        <f t="shared" si="1"/>
        <v>0.42420000000000002</v>
      </c>
      <c r="D29" s="7">
        <v>1</v>
      </c>
      <c r="E29" s="7">
        <v>0.28360000000000002</v>
      </c>
      <c r="F29" s="7">
        <v>1</v>
      </c>
      <c r="G29" s="7">
        <v>8</v>
      </c>
      <c r="H29" s="7">
        <v>9</v>
      </c>
    </row>
    <row r="30" spans="1:8" x14ac:dyDescent="0.35">
      <c r="A30" s="7">
        <v>0.45450000000000002</v>
      </c>
      <c r="B30" s="7">
        <v>28</v>
      </c>
      <c r="C30" s="5">
        <f t="shared" si="1"/>
        <v>0.45450000000000002</v>
      </c>
      <c r="D30" s="7">
        <v>0.94</v>
      </c>
      <c r="E30" s="7">
        <v>0.19400000000000001</v>
      </c>
      <c r="F30" s="7">
        <v>2</v>
      </c>
      <c r="G30" s="7">
        <v>4</v>
      </c>
      <c r="H30" s="7">
        <v>6</v>
      </c>
    </row>
    <row r="31" spans="1:8" x14ac:dyDescent="0.35">
      <c r="A31" s="8"/>
      <c r="B31" s="7">
        <v>29</v>
      </c>
      <c r="C31" s="5">
        <f t="shared" si="1"/>
        <v>0.43935000000000002</v>
      </c>
      <c r="D31" s="7">
        <v>0.94</v>
      </c>
      <c r="E31" s="7">
        <v>0.19400000000000001</v>
      </c>
      <c r="F31" s="7">
        <v>2</v>
      </c>
      <c r="G31" s="7">
        <v>1</v>
      </c>
      <c r="H31" s="7">
        <v>3</v>
      </c>
    </row>
    <row r="32" spans="1:8" x14ac:dyDescent="0.35">
      <c r="A32" s="7">
        <v>0.42420000000000002</v>
      </c>
      <c r="B32" s="7">
        <v>30</v>
      </c>
      <c r="C32" s="5">
        <f t="shared" si="1"/>
        <v>0.42420000000000002</v>
      </c>
      <c r="D32" s="7">
        <v>0.77</v>
      </c>
      <c r="E32" s="7">
        <v>0.29849999999999999</v>
      </c>
      <c r="F32" s="7">
        <v>0</v>
      </c>
      <c r="G32" s="7">
        <v>2</v>
      </c>
      <c r="H32" s="7">
        <v>2</v>
      </c>
    </row>
    <row r="33" spans="1:8" x14ac:dyDescent="0.35">
      <c r="A33" s="7">
        <v>0.40910000000000002</v>
      </c>
      <c r="B33" s="7">
        <v>31</v>
      </c>
      <c r="C33" s="5">
        <f t="shared" si="1"/>
        <v>0.40910000000000002</v>
      </c>
      <c r="D33" s="7">
        <v>0.76</v>
      </c>
      <c r="E33" s="7">
        <v>0.19400000000000001</v>
      </c>
      <c r="F33" s="7">
        <v>0</v>
      </c>
      <c r="G33" s="7">
        <v>1</v>
      </c>
      <c r="H33" s="7">
        <v>1</v>
      </c>
    </row>
    <row r="34" spans="1:8" x14ac:dyDescent="0.35">
      <c r="A34" s="7">
        <v>0.40910000000000002</v>
      </c>
      <c r="B34" s="7">
        <v>32</v>
      </c>
      <c r="C34" s="5">
        <f t="shared" si="1"/>
        <v>0.40910000000000002</v>
      </c>
      <c r="D34" s="7">
        <v>0.71</v>
      </c>
      <c r="E34" s="7">
        <v>0.22389999999999999</v>
      </c>
      <c r="F34" s="7">
        <v>0</v>
      </c>
      <c r="G34" s="7">
        <v>8</v>
      </c>
      <c r="H34" s="7">
        <v>8</v>
      </c>
    </row>
    <row r="35" spans="1:8" x14ac:dyDescent="0.35">
      <c r="A35" s="8"/>
      <c r="B35" s="7">
        <v>33</v>
      </c>
      <c r="C35" s="5">
        <f t="shared" si="1"/>
        <v>0.37880000000000003</v>
      </c>
      <c r="D35" s="7">
        <v>0.76</v>
      </c>
      <c r="E35" s="7">
        <v>0.22389999999999999</v>
      </c>
      <c r="F35" s="7">
        <v>1</v>
      </c>
      <c r="G35" s="7">
        <v>19</v>
      </c>
      <c r="H35" s="7">
        <v>20</v>
      </c>
    </row>
    <row r="36" spans="1:8" x14ac:dyDescent="0.35">
      <c r="A36" s="7">
        <v>0.34849999999999998</v>
      </c>
      <c r="B36" s="7">
        <v>34</v>
      </c>
      <c r="C36" s="5">
        <f t="shared" si="1"/>
        <v>0.34849999999999998</v>
      </c>
      <c r="D36" s="7">
        <v>0.81</v>
      </c>
      <c r="E36" s="7">
        <v>0.22389999999999999</v>
      </c>
      <c r="F36" s="7">
        <v>7</v>
      </c>
      <c r="G36" s="7">
        <v>46</v>
      </c>
      <c r="H36" s="7">
        <v>53</v>
      </c>
    </row>
    <row r="37" spans="1:8" x14ac:dyDescent="0.35">
      <c r="A37" s="7">
        <v>0.33329999999999999</v>
      </c>
      <c r="B37" s="7">
        <v>35</v>
      </c>
      <c r="C37" s="5">
        <f t="shared" si="1"/>
        <v>0.33329999999999999</v>
      </c>
      <c r="D37" s="7">
        <v>0.71</v>
      </c>
      <c r="E37" s="7">
        <v>0.25369999999999998</v>
      </c>
      <c r="F37" s="7">
        <v>16</v>
      </c>
      <c r="G37" s="7">
        <v>54</v>
      </c>
      <c r="H37" s="7">
        <v>70</v>
      </c>
    </row>
    <row r="38" spans="1:8" x14ac:dyDescent="0.35">
      <c r="A38" s="7">
        <v>0.33329999999999999</v>
      </c>
      <c r="B38" s="7">
        <v>36</v>
      </c>
      <c r="C38" s="5">
        <f t="shared" si="1"/>
        <v>0.33329999999999999</v>
      </c>
      <c r="D38" s="7">
        <v>0.66</v>
      </c>
      <c r="E38" s="7">
        <v>0.29849999999999999</v>
      </c>
      <c r="F38" s="7">
        <v>20</v>
      </c>
      <c r="G38" s="7">
        <v>73</v>
      </c>
      <c r="H38" s="7">
        <v>93</v>
      </c>
    </row>
    <row r="39" spans="1:8" x14ac:dyDescent="0.35">
      <c r="A39" s="7">
        <v>0.34849999999999998</v>
      </c>
      <c r="B39" s="7">
        <v>37</v>
      </c>
      <c r="C39" s="5">
        <f t="shared" si="1"/>
        <v>0.34849999999999998</v>
      </c>
      <c r="D39" s="7">
        <v>0.66</v>
      </c>
      <c r="E39" s="7">
        <v>0.1343</v>
      </c>
      <c r="F39" s="7">
        <v>11</v>
      </c>
      <c r="G39" s="7">
        <v>64</v>
      </c>
      <c r="H39" s="7">
        <v>75</v>
      </c>
    </row>
    <row r="40" spans="1:8" x14ac:dyDescent="0.35">
      <c r="A40" s="8"/>
      <c r="B40" s="7">
        <v>38</v>
      </c>
      <c r="C40" s="5">
        <f t="shared" si="1"/>
        <v>0.34089999999999998</v>
      </c>
      <c r="D40" s="7">
        <v>0.76</v>
      </c>
      <c r="E40" s="7">
        <v>0.19400000000000001</v>
      </c>
      <c r="F40" s="7">
        <v>4</v>
      </c>
      <c r="G40" s="7">
        <v>55</v>
      </c>
      <c r="H40" s="7">
        <v>59</v>
      </c>
    </row>
    <row r="41" spans="1:8" x14ac:dyDescent="0.35">
      <c r="A41" s="7">
        <v>0.33329999999999999</v>
      </c>
      <c r="B41" s="7">
        <v>39</v>
      </c>
      <c r="C41" s="5">
        <f t="shared" si="1"/>
        <v>0.33329999999999999</v>
      </c>
      <c r="D41" s="7">
        <v>0.81</v>
      </c>
      <c r="E41" s="7">
        <v>0.16420000000000001</v>
      </c>
      <c r="F41" s="7">
        <v>19</v>
      </c>
      <c r="G41" s="7">
        <v>55</v>
      </c>
      <c r="H41" s="7">
        <v>74</v>
      </c>
    </row>
    <row r="42" spans="1:8" x14ac:dyDescent="0.35">
      <c r="A42" s="7">
        <v>0.33329999999999999</v>
      </c>
      <c r="B42" s="7">
        <v>40</v>
      </c>
      <c r="C42" s="5">
        <f t="shared" si="1"/>
        <v>0.33329999999999999</v>
      </c>
      <c r="D42" s="7">
        <v>0.71</v>
      </c>
      <c r="E42" s="7">
        <v>0.16420000000000001</v>
      </c>
      <c r="F42" s="7">
        <v>9</v>
      </c>
      <c r="G42" s="7">
        <v>67</v>
      </c>
      <c r="H42" s="7">
        <v>76</v>
      </c>
    </row>
    <row r="43" spans="1:8" x14ac:dyDescent="0.35">
      <c r="A43" s="7">
        <v>0.33329999999999999</v>
      </c>
      <c r="B43" s="7">
        <v>41</v>
      </c>
      <c r="C43" s="5">
        <f t="shared" si="1"/>
        <v>0.33329999999999999</v>
      </c>
      <c r="D43" s="7">
        <v>0.56999999999999995</v>
      </c>
      <c r="E43" s="7">
        <v>0.19400000000000001</v>
      </c>
      <c r="F43" s="7">
        <v>7</v>
      </c>
      <c r="G43" s="7">
        <v>58</v>
      </c>
      <c r="H43" s="7">
        <v>65</v>
      </c>
    </row>
    <row r="44" spans="1:8" x14ac:dyDescent="0.35">
      <c r="A44" s="7">
        <v>0.33329999999999999</v>
      </c>
      <c r="B44" s="7">
        <v>42</v>
      </c>
      <c r="C44" s="5">
        <f t="shared" si="1"/>
        <v>0.33329999999999999</v>
      </c>
      <c r="D44" s="7">
        <v>0.46</v>
      </c>
      <c r="E44" s="7">
        <v>0.32840000000000003</v>
      </c>
      <c r="F44" s="7">
        <v>10</v>
      </c>
      <c r="G44" s="7">
        <v>43</v>
      </c>
      <c r="H44" s="7">
        <v>53</v>
      </c>
    </row>
    <row r="45" spans="1:8" x14ac:dyDescent="0.35">
      <c r="A45" s="7">
        <v>0.28789999999999999</v>
      </c>
      <c r="B45" s="7">
        <v>43</v>
      </c>
      <c r="C45" s="5">
        <f t="shared" si="1"/>
        <v>0.28789999999999999</v>
      </c>
      <c r="D45" s="7">
        <v>0.42</v>
      </c>
      <c r="E45" s="7">
        <v>0.44779999999999998</v>
      </c>
      <c r="F45" s="7">
        <v>1</v>
      </c>
      <c r="G45" s="7">
        <v>29</v>
      </c>
      <c r="H45" s="7">
        <v>30</v>
      </c>
    </row>
    <row r="46" spans="1:8" x14ac:dyDescent="0.35">
      <c r="A46" s="8"/>
      <c r="B46" s="7">
        <v>44</v>
      </c>
      <c r="C46" s="5">
        <f t="shared" si="1"/>
        <v>0.2576</v>
      </c>
      <c r="D46" s="7">
        <v>0.39</v>
      </c>
      <c r="E46" s="7">
        <v>0.35820000000000002</v>
      </c>
      <c r="F46" s="7">
        <v>5</v>
      </c>
      <c r="G46" s="7">
        <v>17</v>
      </c>
      <c r="H46" s="7">
        <v>22</v>
      </c>
    </row>
    <row r="47" spans="1:8" x14ac:dyDescent="0.35">
      <c r="A47" s="7">
        <v>0.2273</v>
      </c>
      <c r="B47" s="7">
        <v>45</v>
      </c>
      <c r="C47" s="5">
        <f t="shared" si="1"/>
        <v>0.2273</v>
      </c>
      <c r="D47" s="7">
        <v>0.44</v>
      </c>
      <c r="E47" s="7">
        <v>0.32840000000000003</v>
      </c>
      <c r="F47" s="7">
        <v>11</v>
      </c>
      <c r="G47" s="7">
        <v>20</v>
      </c>
      <c r="H47" s="7">
        <v>31</v>
      </c>
    </row>
    <row r="48" spans="1:8" x14ac:dyDescent="0.35">
      <c r="A48" s="7">
        <v>0.21210000000000001</v>
      </c>
      <c r="B48" s="7">
        <v>46</v>
      </c>
      <c r="C48" s="5">
        <f t="shared" si="1"/>
        <v>0.21210000000000001</v>
      </c>
      <c r="D48" s="7">
        <v>0.44</v>
      </c>
      <c r="E48" s="7">
        <v>0.29849999999999999</v>
      </c>
      <c r="F48" s="7">
        <v>0</v>
      </c>
      <c r="G48" s="7">
        <v>9</v>
      </c>
      <c r="H48" s="7">
        <v>9</v>
      </c>
    </row>
    <row r="49" spans="1:8" x14ac:dyDescent="0.35">
      <c r="A49" s="7">
        <v>0.2273</v>
      </c>
      <c r="B49" s="7">
        <v>47</v>
      </c>
      <c r="C49" s="5">
        <f t="shared" si="1"/>
        <v>0.2273</v>
      </c>
      <c r="D49" s="7">
        <v>0.47</v>
      </c>
      <c r="E49" s="7">
        <v>0.16420000000000001</v>
      </c>
      <c r="F49" s="7">
        <v>0</v>
      </c>
      <c r="G49" s="7">
        <v>8</v>
      </c>
      <c r="H49" s="7">
        <v>8</v>
      </c>
    </row>
    <row r="50" spans="1:8" x14ac:dyDescent="0.35">
      <c r="A50" s="7">
        <v>0.19700000000000001</v>
      </c>
      <c r="B50" s="7">
        <v>48</v>
      </c>
      <c r="C50" s="5">
        <f t="shared" si="1"/>
        <v>0.19700000000000001</v>
      </c>
      <c r="D50" s="7">
        <v>0.44</v>
      </c>
      <c r="E50" s="7">
        <v>0.35820000000000002</v>
      </c>
      <c r="F50" s="7">
        <v>0</v>
      </c>
      <c r="G50" s="7">
        <v>5</v>
      </c>
      <c r="H50" s="7">
        <v>5</v>
      </c>
    </row>
    <row r="51" spans="1:8" x14ac:dyDescent="0.35">
      <c r="A51" s="8"/>
      <c r="B51" s="7">
        <v>49</v>
      </c>
      <c r="C51" s="5">
        <f t="shared" si="1"/>
        <v>0.16670000000000001</v>
      </c>
      <c r="D51" s="7">
        <v>0.44</v>
      </c>
      <c r="E51" s="7">
        <v>0.41789999999999999</v>
      </c>
      <c r="F51" s="7">
        <v>0</v>
      </c>
      <c r="G51" s="7">
        <v>2</v>
      </c>
      <c r="H51" s="7">
        <v>2</v>
      </c>
    </row>
    <row r="52" spans="1:8" x14ac:dyDescent="0.35">
      <c r="A52" s="7">
        <v>0.13639999999999999</v>
      </c>
      <c r="B52" s="7">
        <v>50</v>
      </c>
      <c r="C52" s="5">
        <f t="shared" si="1"/>
        <v>0.13639999999999999</v>
      </c>
      <c r="D52" s="7">
        <v>0.47</v>
      </c>
      <c r="E52" s="7">
        <v>0.3881</v>
      </c>
      <c r="F52" s="7">
        <v>0</v>
      </c>
      <c r="G52" s="7">
        <v>1</v>
      </c>
      <c r="H52" s="7">
        <v>1</v>
      </c>
    </row>
    <row r="53" spans="1:8" x14ac:dyDescent="0.35">
      <c r="A53" s="7">
        <v>0.13639999999999999</v>
      </c>
      <c r="B53" s="7">
        <v>51</v>
      </c>
      <c r="C53" s="5">
        <f t="shared" si="1"/>
        <v>0.13639999999999999</v>
      </c>
      <c r="D53" s="7">
        <v>0.47</v>
      </c>
      <c r="E53" s="7">
        <v>0.28360000000000002</v>
      </c>
      <c r="F53" s="7">
        <v>0</v>
      </c>
      <c r="G53" s="7">
        <v>3</v>
      </c>
      <c r="H53" s="7">
        <v>3</v>
      </c>
    </row>
    <row r="54" spans="1:8" x14ac:dyDescent="0.35">
      <c r="A54" s="7">
        <v>0.1061</v>
      </c>
      <c r="B54" s="7">
        <v>52</v>
      </c>
      <c r="C54" s="5">
        <f t="shared" si="1"/>
        <v>0.1061</v>
      </c>
      <c r="D54" s="7">
        <v>0.5</v>
      </c>
      <c r="E54" s="7">
        <v>0.3881</v>
      </c>
      <c r="F54" s="7">
        <v>0</v>
      </c>
      <c r="G54" s="7">
        <v>30</v>
      </c>
      <c r="H54" s="7">
        <v>30</v>
      </c>
    </row>
    <row r="55" spans="1:8" x14ac:dyDescent="0.35">
      <c r="A55" s="7">
        <v>0.13639999999999999</v>
      </c>
      <c r="B55" s="7">
        <v>53</v>
      </c>
      <c r="C55" s="5">
        <f t="shared" si="1"/>
        <v>0.13639999999999999</v>
      </c>
      <c r="D55" s="7">
        <v>0.5</v>
      </c>
      <c r="E55" s="7">
        <v>0.19400000000000001</v>
      </c>
      <c r="F55" s="7">
        <v>1</v>
      </c>
      <c r="G55" s="7">
        <v>63</v>
      </c>
      <c r="H55" s="7">
        <v>64</v>
      </c>
    </row>
    <row r="56" spans="1:8" x14ac:dyDescent="0.35">
      <c r="A56" s="7">
        <v>0.1212</v>
      </c>
      <c r="B56" s="7">
        <v>54</v>
      </c>
      <c r="C56" s="5">
        <f t="shared" si="1"/>
        <v>0.1212</v>
      </c>
      <c r="D56" s="7">
        <v>0.5</v>
      </c>
      <c r="E56" s="7">
        <v>0.28360000000000002</v>
      </c>
      <c r="F56" s="7">
        <v>1</v>
      </c>
      <c r="G56" s="7">
        <v>153</v>
      </c>
      <c r="H56" s="7">
        <v>154</v>
      </c>
    </row>
    <row r="57" spans="1:8" x14ac:dyDescent="0.35">
      <c r="A57" s="7">
        <v>0.13639999999999999</v>
      </c>
      <c r="B57" s="7">
        <v>55</v>
      </c>
      <c r="C57" s="5">
        <f t="shared" si="1"/>
        <v>0.13639999999999999</v>
      </c>
      <c r="D57" s="7">
        <v>0.43</v>
      </c>
      <c r="E57" s="7">
        <v>0.3881</v>
      </c>
      <c r="F57" s="7">
        <v>7</v>
      </c>
      <c r="G57" s="7">
        <v>81</v>
      </c>
      <c r="H57" s="7">
        <v>88</v>
      </c>
    </row>
    <row r="58" spans="1:8" x14ac:dyDescent="0.35">
      <c r="A58" s="7">
        <v>0.16669999999999999</v>
      </c>
      <c r="B58" s="7">
        <v>56</v>
      </c>
      <c r="C58" s="5">
        <f t="shared" si="1"/>
        <v>0.16669999999999999</v>
      </c>
      <c r="D58" s="7">
        <v>0.43</v>
      </c>
      <c r="E58" s="7">
        <v>0.25369999999999998</v>
      </c>
      <c r="F58" s="7">
        <v>11</v>
      </c>
      <c r="G58" s="7">
        <v>33</v>
      </c>
      <c r="H58" s="7">
        <v>44</v>
      </c>
    </row>
    <row r="59" spans="1:8" x14ac:dyDescent="0.35">
      <c r="A59" s="7">
        <v>0.18179999999999999</v>
      </c>
      <c r="B59" s="7">
        <v>57</v>
      </c>
      <c r="C59" s="5">
        <f t="shared" si="1"/>
        <v>0.18179999999999999</v>
      </c>
      <c r="D59" s="7">
        <v>0.4</v>
      </c>
      <c r="E59" s="7">
        <v>0.32840000000000003</v>
      </c>
      <c r="F59" s="7">
        <v>10</v>
      </c>
      <c r="G59" s="7">
        <v>41</v>
      </c>
      <c r="H59" s="7">
        <v>51</v>
      </c>
    </row>
    <row r="60" spans="1:8" x14ac:dyDescent="0.35">
      <c r="A60" s="7">
        <v>0.21210000000000001</v>
      </c>
      <c r="B60" s="7">
        <v>58</v>
      </c>
      <c r="C60" s="5">
        <f t="shared" si="1"/>
        <v>0.21210000000000001</v>
      </c>
      <c r="D60" s="7">
        <v>0.35</v>
      </c>
      <c r="E60" s="7">
        <v>0.29849999999999999</v>
      </c>
      <c r="F60" s="7">
        <v>13</v>
      </c>
      <c r="G60" s="7">
        <v>48</v>
      </c>
      <c r="H60" s="7">
        <v>61</v>
      </c>
    </row>
    <row r="61" spans="1:8" x14ac:dyDescent="0.35">
      <c r="A61" s="8"/>
      <c r="B61" s="7">
        <v>59</v>
      </c>
      <c r="C61" s="5">
        <f t="shared" si="1"/>
        <v>0.22725000000000001</v>
      </c>
      <c r="D61" s="7">
        <v>0.35</v>
      </c>
      <c r="E61" s="7">
        <v>0.28360000000000002</v>
      </c>
      <c r="F61" s="7">
        <v>8</v>
      </c>
      <c r="G61" s="7">
        <v>53</v>
      </c>
      <c r="H61" s="7">
        <v>61</v>
      </c>
    </row>
    <row r="62" spans="1:8" x14ac:dyDescent="0.35">
      <c r="A62" s="7">
        <v>0.2424</v>
      </c>
      <c r="B62" s="7">
        <v>60</v>
      </c>
      <c r="C62" s="5">
        <f t="shared" si="1"/>
        <v>0.2424</v>
      </c>
      <c r="D62" s="7">
        <v>0.3</v>
      </c>
      <c r="E62" s="7">
        <v>0.28360000000000002</v>
      </c>
      <c r="F62" s="7">
        <v>11</v>
      </c>
      <c r="G62" s="7">
        <v>66</v>
      </c>
      <c r="H62" s="7">
        <v>77</v>
      </c>
    </row>
    <row r="63" spans="1:8" x14ac:dyDescent="0.35">
      <c r="A63" s="7">
        <v>0.2424</v>
      </c>
      <c r="B63" s="7">
        <v>61</v>
      </c>
      <c r="C63" s="5">
        <f t="shared" si="1"/>
        <v>0.2424</v>
      </c>
      <c r="D63" s="7">
        <v>0.3</v>
      </c>
      <c r="E63" s="7">
        <v>0.25369999999999998</v>
      </c>
      <c r="F63" s="7">
        <v>14</v>
      </c>
      <c r="G63" s="7">
        <v>58</v>
      </c>
      <c r="H63" s="7">
        <v>72</v>
      </c>
    </row>
    <row r="64" spans="1:8" x14ac:dyDescent="0.35">
      <c r="A64" s="7">
        <v>0.2424</v>
      </c>
      <c r="B64" s="7">
        <v>62</v>
      </c>
      <c r="C64" s="5">
        <f t="shared" si="1"/>
        <v>0.2424</v>
      </c>
      <c r="D64" s="7">
        <v>0.3</v>
      </c>
      <c r="E64" s="7">
        <v>0.25369999999999998</v>
      </c>
      <c r="F64" s="7">
        <v>9</v>
      </c>
      <c r="G64" s="7">
        <v>67</v>
      </c>
      <c r="H64" s="7">
        <v>76</v>
      </c>
    </row>
    <row r="65" spans="1:8" x14ac:dyDescent="0.35">
      <c r="A65" s="7">
        <v>0.2273</v>
      </c>
      <c r="B65" s="7">
        <v>63</v>
      </c>
      <c r="C65" s="5">
        <f t="shared" si="1"/>
        <v>0.2273</v>
      </c>
      <c r="D65" s="7">
        <v>0.3</v>
      </c>
      <c r="E65" s="7">
        <v>0.22389999999999999</v>
      </c>
      <c r="F65" s="7">
        <v>11</v>
      </c>
      <c r="G65" s="7">
        <v>146</v>
      </c>
      <c r="H65" s="7">
        <v>157</v>
      </c>
    </row>
    <row r="66" spans="1:8" x14ac:dyDescent="0.35">
      <c r="A66" s="7">
        <v>0.2576</v>
      </c>
      <c r="B66" s="7">
        <v>64</v>
      </c>
      <c r="C66" s="5">
        <f t="shared" si="1"/>
        <v>0.2576</v>
      </c>
      <c r="D66" s="7">
        <v>0.32</v>
      </c>
      <c r="E66" s="7">
        <v>0.1045</v>
      </c>
      <c r="F66" s="7">
        <v>9</v>
      </c>
      <c r="G66" s="7">
        <v>148</v>
      </c>
      <c r="H66" s="7">
        <v>157</v>
      </c>
    </row>
    <row r="67" spans="1:8" x14ac:dyDescent="0.35">
      <c r="A67" s="7">
        <v>0.2576</v>
      </c>
      <c r="B67" s="7">
        <v>65</v>
      </c>
      <c r="C67" s="5">
        <f t="shared" ref="C67:C130" si="2">IF(ISBLANK(A67),AVERAGE(A66:A68),A67)</f>
        <v>0.2576</v>
      </c>
      <c r="D67" s="7">
        <v>0.47</v>
      </c>
      <c r="E67" s="7">
        <v>0</v>
      </c>
      <c r="F67" s="7">
        <v>8</v>
      </c>
      <c r="G67" s="7">
        <v>102</v>
      </c>
      <c r="H67" s="7">
        <v>110</v>
      </c>
    </row>
    <row r="68" spans="1:8" x14ac:dyDescent="0.35">
      <c r="A68" s="8"/>
      <c r="B68" s="7">
        <v>66</v>
      </c>
      <c r="C68" s="5">
        <f t="shared" si="2"/>
        <v>0.2273</v>
      </c>
      <c r="D68" s="7">
        <v>0.47</v>
      </c>
      <c r="E68" s="7">
        <v>0.1045</v>
      </c>
      <c r="F68" s="7">
        <v>3</v>
      </c>
      <c r="G68" s="7">
        <v>49</v>
      </c>
      <c r="H68" s="7">
        <v>52</v>
      </c>
    </row>
    <row r="69" spans="1:8" x14ac:dyDescent="0.35">
      <c r="A69" s="7">
        <v>0.19700000000000001</v>
      </c>
      <c r="B69" s="7">
        <v>67</v>
      </c>
      <c r="C69" s="5">
        <f t="shared" si="2"/>
        <v>0.19700000000000001</v>
      </c>
      <c r="D69" s="7">
        <v>0.64</v>
      </c>
      <c r="E69" s="7">
        <v>0.1343</v>
      </c>
      <c r="F69" s="7">
        <v>3</v>
      </c>
      <c r="G69" s="7">
        <v>49</v>
      </c>
      <c r="H69" s="7">
        <v>52</v>
      </c>
    </row>
    <row r="70" spans="1:8" x14ac:dyDescent="0.35">
      <c r="A70" s="7">
        <v>0.1515</v>
      </c>
      <c r="B70" s="7">
        <v>68</v>
      </c>
      <c r="C70" s="5">
        <f t="shared" si="2"/>
        <v>0.1515</v>
      </c>
      <c r="D70" s="7">
        <v>0.69</v>
      </c>
      <c r="E70" s="7">
        <v>0.1343</v>
      </c>
      <c r="F70" s="7">
        <v>0</v>
      </c>
      <c r="G70" s="7">
        <v>20</v>
      </c>
      <c r="H70" s="7">
        <v>20</v>
      </c>
    </row>
    <row r="71" spans="1:8" x14ac:dyDescent="0.35">
      <c r="A71" s="7">
        <v>0.21210000000000001</v>
      </c>
      <c r="B71" s="7">
        <v>69</v>
      </c>
      <c r="C71" s="5">
        <f t="shared" si="2"/>
        <v>0.21210000000000001</v>
      </c>
      <c r="D71" s="7">
        <v>0.55000000000000004</v>
      </c>
      <c r="E71" s="7">
        <v>0.1045</v>
      </c>
      <c r="F71" s="7">
        <v>1</v>
      </c>
      <c r="G71" s="7">
        <v>11</v>
      </c>
      <c r="H71" s="7">
        <v>12</v>
      </c>
    </row>
    <row r="72" spans="1:8" x14ac:dyDescent="0.35">
      <c r="A72" s="8"/>
      <c r="B72" s="7">
        <v>70</v>
      </c>
      <c r="C72" s="5">
        <f t="shared" si="2"/>
        <v>0.19695000000000001</v>
      </c>
      <c r="D72" s="7">
        <v>0.55000000000000004</v>
      </c>
      <c r="E72" s="7">
        <v>0.1045</v>
      </c>
      <c r="F72" s="7">
        <v>0</v>
      </c>
      <c r="G72" s="7">
        <v>5</v>
      </c>
      <c r="H72" s="7">
        <v>5</v>
      </c>
    </row>
    <row r="73" spans="1:8" x14ac:dyDescent="0.35">
      <c r="A73" s="7">
        <v>0.18179999999999999</v>
      </c>
      <c r="B73" s="7">
        <v>71</v>
      </c>
      <c r="C73" s="5">
        <f t="shared" si="2"/>
        <v>0.18179999999999999</v>
      </c>
      <c r="D73" s="7">
        <v>0.59</v>
      </c>
      <c r="E73" s="7">
        <v>0.1045</v>
      </c>
      <c r="F73" s="7">
        <v>0</v>
      </c>
      <c r="G73" s="7">
        <v>2</v>
      </c>
      <c r="H73" s="7">
        <v>2</v>
      </c>
    </row>
    <row r="74" spans="1:8" x14ac:dyDescent="0.35">
      <c r="A74" s="7">
        <v>0.1515</v>
      </c>
      <c r="B74" s="7">
        <v>72</v>
      </c>
      <c r="C74" s="5">
        <f t="shared" si="2"/>
        <v>0.1515</v>
      </c>
      <c r="D74" s="7">
        <v>0.63</v>
      </c>
      <c r="E74" s="7">
        <v>0.1343</v>
      </c>
      <c r="F74" s="7">
        <v>0</v>
      </c>
      <c r="G74" s="7">
        <v>1</v>
      </c>
      <c r="H74" s="7">
        <v>1</v>
      </c>
    </row>
    <row r="75" spans="1:8" x14ac:dyDescent="0.35">
      <c r="A75" s="7">
        <v>0.18179999999999999</v>
      </c>
      <c r="B75" s="7">
        <v>73</v>
      </c>
      <c r="C75" s="5">
        <f t="shared" si="2"/>
        <v>0.18179999999999999</v>
      </c>
      <c r="D75" s="7">
        <v>0.63</v>
      </c>
      <c r="E75" s="7">
        <v>8.9599999999999999E-2</v>
      </c>
      <c r="F75" s="7">
        <v>0</v>
      </c>
      <c r="G75" s="7">
        <v>2</v>
      </c>
      <c r="H75" s="7">
        <v>2</v>
      </c>
    </row>
    <row r="76" spans="1:8" x14ac:dyDescent="0.35">
      <c r="A76" s="7">
        <v>0.1515</v>
      </c>
      <c r="B76" s="7">
        <v>74</v>
      </c>
      <c r="C76" s="5">
        <f t="shared" si="2"/>
        <v>0.1515</v>
      </c>
      <c r="D76" s="7">
        <v>0.68</v>
      </c>
      <c r="E76" s="7">
        <v>0.1045</v>
      </c>
      <c r="F76" s="7">
        <v>0</v>
      </c>
      <c r="G76" s="7">
        <v>4</v>
      </c>
      <c r="H76" s="7">
        <v>4</v>
      </c>
    </row>
    <row r="77" spans="1:8" x14ac:dyDescent="0.35">
      <c r="A77" s="7">
        <v>0.1515</v>
      </c>
      <c r="B77" s="7">
        <v>75</v>
      </c>
      <c r="C77" s="5">
        <f t="shared" si="2"/>
        <v>0.1515</v>
      </c>
      <c r="D77" s="7">
        <v>0.74</v>
      </c>
      <c r="E77" s="7">
        <v>0.1045</v>
      </c>
      <c r="F77" s="7">
        <v>0</v>
      </c>
      <c r="G77" s="7">
        <v>36</v>
      </c>
      <c r="H77" s="7">
        <v>36</v>
      </c>
    </row>
    <row r="78" spans="1:8" x14ac:dyDescent="0.35">
      <c r="A78" s="7">
        <v>0.1515</v>
      </c>
      <c r="B78" s="7">
        <v>76</v>
      </c>
      <c r="C78" s="5">
        <f t="shared" si="2"/>
        <v>0.1515</v>
      </c>
      <c r="D78" s="7">
        <v>0.74</v>
      </c>
      <c r="E78" s="7">
        <v>0.1343</v>
      </c>
      <c r="F78" s="7">
        <v>2</v>
      </c>
      <c r="G78" s="7">
        <v>92</v>
      </c>
      <c r="H78" s="7">
        <v>94</v>
      </c>
    </row>
    <row r="79" spans="1:8" x14ac:dyDescent="0.35">
      <c r="A79" s="7">
        <v>0.1515</v>
      </c>
      <c r="B79" s="7">
        <v>77</v>
      </c>
      <c r="C79" s="5">
        <f t="shared" si="2"/>
        <v>0.1515</v>
      </c>
      <c r="D79" s="7">
        <v>0.69</v>
      </c>
      <c r="E79" s="7">
        <v>0.16420000000000001</v>
      </c>
      <c r="F79" s="7">
        <v>2</v>
      </c>
      <c r="G79" s="7">
        <v>177</v>
      </c>
      <c r="H79" s="7">
        <v>179</v>
      </c>
    </row>
    <row r="80" spans="1:8" x14ac:dyDescent="0.35">
      <c r="A80" s="7">
        <v>0.1515</v>
      </c>
      <c r="B80" s="7">
        <v>78</v>
      </c>
      <c r="C80" s="5">
        <f t="shared" si="2"/>
        <v>0.1515</v>
      </c>
      <c r="D80" s="7">
        <v>0.64</v>
      </c>
      <c r="E80" s="7">
        <v>0.22389999999999999</v>
      </c>
      <c r="F80" s="7">
        <v>2</v>
      </c>
      <c r="G80" s="7">
        <v>98</v>
      </c>
      <c r="H80" s="7">
        <v>100</v>
      </c>
    </row>
    <row r="81" spans="1:8" x14ac:dyDescent="0.35">
      <c r="A81" s="7">
        <v>0.13639999999999999</v>
      </c>
      <c r="B81" s="7">
        <v>79</v>
      </c>
      <c r="C81" s="5">
        <f t="shared" si="2"/>
        <v>0.13639999999999999</v>
      </c>
      <c r="D81" s="7">
        <v>0.69</v>
      </c>
      <c r="E81" s="7">
        <v>0.32840000000000003</v>
      </c>
      <c r="F81" s="7">
        <v>5</v>
      </c>
      <c r="G81" s="7">
        <v>37</v>
      </c>
      <c r="H81" s="7">
        <v>42</v>
      </c>
    </row>
    <row r="82" spans="1:8" x14ac:dyDescent="0.35">
      <c r="A82" s="7">
        <v>0.21210000000000001</v>
      </c>
      <c r="B82" s="7">
        <v>80</v>
      </c>
      <c r="C82" s="5">
        <f t="shared" si="2"/>
        <v>0.21210000000000001</v>
      </c>
      <c r="D82" s="7">
        <v>0.51</v>
      </c>
      <c r="E82" s="7">
        <v>0.29849999999999999</v>
      </c>
      <c r="F82" s="7">
        <v>7</v>
      </c>
      <c r="G82" s="7">
        <v>50</v>
      </c>
      <c r="H82" s="7">
        <v>57</v>
      </c>
    </row>
    <row r="83" spans="1:8" x14ac:dyDescent="0.35">
      <c r="A83" s="7">
        <v>0.2273</v>
      </c>
      <c r="B83" s="7">
        <v>81</v>
      </c>
      <c r="C83" s="5">
        <f t="shared" si="2"/>
        <v>0.2273</v>
      </c>
      <c r="D83" s="7">
        <v>0.51</v>
      </c>
      <c r="E83" s="7">
        <v>0.16420000000000001</v>
      </c>
      <c r="F83" s="7">
        <v>12</v>
      </c>
      <c r="G83" s="7">
        <v>66</v>
      </c>
      <c r="H83" s="7">
        <v>78</v>
      </c>
    </row>
    <row r="84" spans="1:8" x14ac:dyDescent="0.35">
      <c r="A84" s="7">
        <v>0.2273</v>
      </c>
      <c r="B84" s="7">
        <v>82</v>
      </c>
      <c r="C84" s="5">
        <f t="shared" si="2"/>
        <v>0.2273</v>
      </c>
      <c r="D84" s="7">
        <v>0.56000000000000005</v>
      </c>
      <c r="E84" s="7">
        <v>0.19400000000000001</v>
      </c>
      <c r="F84" s="7">
        <v>18</v>
      </c>
      <c r="G84" s="7">
        <v>79</v>
      </c>
      <c r="H84" s="7">
        <v>97</v>
      </c>
    </row>
    <row r="85" spans="1:8" x14ac:dyDescent="0.35">
      <c r="A85" s="7">
        <v>0.2576</v>
      </c>
      <c r="B85" s="7">
        <v>83</v>
      </c>
      <c r="C85" s="5">
        <f t="shared" si="2"/>
        <v>0.2576</v>
      </c>
      <c r="D85" s="7">
        <v>0.52</v>
      </c>
      <c r="E85" s="7">
        <v>0.22389999999999999</v>
      </c>
      <c r="F85" s="7">
        <v>9</v>
      </c>
      <c r="G85" s="7">
        <v>54</v>
      </c>
      <c r="H85" s="7">
        <v>63</v>
      </c>
    </row>
    <row r="86" spans="1:8" x14ac:dyDescent="0.35">
      <c r="A86" s="7">
        <v>0.2727</v>
      </c>
      <c r="B86" s="7">
        <v>84</v>
      </c>
      <c r="C86" s="5">
        <f t="shared" si="2"/>
        <v>0.2727</v>
      </c>
      <c r="D86" s="7">
        <v>0.52</v>
      </c>
      <c r="E86" s="7">
        <v>0.25369999999999998</v>
      </c>
      <c r="F86" s="7">
        <v>17</v>
      </c>
      <c r="G86" s="7">
        <v>48</v>
      </c>
      <c r="H86" s="7">
        <v>65</v>
      </c>
    </row>
    <row r="87" spans="1:8" x14ac:dyDescent="0.35">
      <c r="A87" s="7">
        <v>0.28789999999999999</v>
      </c>
      <c r="B87" s="7">
        <v>85</v>
      </c>
      <c r="C87" s="5">
        <f t="shared" si="2"/>
        <v>0.28789999999999999</v>
      </c>
      <c r="D87" s="7">
        <v>0.49</v>
      </c>
      <c r="E87" s="7">
        <v>0.25369999999999998</v>
      </c>
      <c r="F87" s="7">
        <v>15</v>
      </c>
      <c r="G87" s="7">
        <v>68</v>
      </c>
      <c r="H87" s="7">
        <v>83</v>
      </c>
    </row>
    <row r="88" spans="1:8" x14ac:dyDescent="0.35">
      <c r="A88" s="7">
        <v>0.2727</v>
      </c>
      <c r="B88" s="7">
        <v>86</v>
      </c>
      <c r="C88" s="5">
        <f t="shared" si="2"/>
        <v>0.2727</v>
      </c>
      <c r="D88" s="7">
        <v>0.48</v>
      </c>
      <c r="E88" s="7">
        <v>0.22389999999999999</v>
      </c>
      <c r="F88" s="7">
        <v>10</v>
      </c>
      <c r="G88" s="7">
        <v>202</v>
      </c>
      <c r="H88" s="7">
        <v>212</v>
      </c>
    </row>
    <row r="89" spans="1:8" x14ac:dyDescent="0.35">
      <c r="A89" s="7">
        <v>0.2576</v>
      </c>
      <c r="B89" s="7">
        <v>87</v>
      </c>
      <c r="C89" s="5">
        <f t="shared" si="2"/>
        <v>0.2576</v>
      </c>
      <c r="D89" s="7">
        <v>0.48</v>
      </c>
      <c r="E89" s="7">
        <v>0.19400000000000001</v>
      </c>
      <c r="F89" s="7">
        <v>3</v>
      </c>
      <c r="G89" s="7">
        <v>179</v>
      </c>
      <c r="H89" s="7">
        <v>182</v>
      </c>
    </row>
    <row r="90" spans="1:8" x14ac:dyDescent="0.35">
      <c r="A90" s="7">
        <v>0.2576</v>
      </c>
      <c r="B90" s="7">
        <v>88</v>
      </c>
      <c r="C90" s="5">
        <f t="shared" si="2"/>
        <v>0.2576</v>
      </c>
      <c r="D90" s="7">
        <v>0.48</v>
      </c>
      <c r="E90" s="7">
        <v>0.1045</v>
      </c>
      <c r="F90" s="7">
        <v>2</v>
      </c>
      <c r="G90" s="7">
        <v>110</v>
      </c>
      <c r="H90" s="7">
        <v>112</v>
      </c>
    </row>
    <row r="91" spans="1:8" x14ac:dyDescent="0.35">
      <c r="A91" s="7">
        <v>0.2576</v>
      </c>
      <c r="B91" s="7">
        <v>89</v>
      </c>
      <c r="C91" s="5">
        <f t="shared" si="2"/>
        <v>0.2576</v>
      </c>
      <c r="D91" s="7">
        <v>0.48</v>
      </c>
      <c r="E91" s="7">
        <v>0.1045</v>
      </c>
      <c r="F91" s="7">
        <v>1</v>
      </c>
      <c r="G91" s="7">
        <v>53</v>
      </c>
      <c r="H91" s="7">
        <v>54</v>
      </c>
    </row>
    <row r="92" spans="1:8" x14ac:dyDescent="0.35">
      <c r="A92" s="7">
        <v>0.2727</v>
      </c>
      <c r="B92" s="7">
        <v>90</v>
      </c>
      <c r="C92" s="5">
        <f t="shared" si="2"/>
        <v>0.2727</v>
      </c>
      <c r="D92" s="7">
        <v>0.64</v>
      </c>
      <c r="E92" s="7">
        <v>0</v>
      </c>
      <c r="F92" s="7">
        <v>0</v>
      </c>
      <c r="G92" s="7">
        <v>48</v>
      </c>
      <c r="H92" s="7">
        <v>48</v>
      </c>
    </row>
    <row r="93" spans="1:8" x14ac:dyDescent="0.35">
      <c r="A93" s="7">
        <v>0.2576</v>
      </c>
      <c r="B93" s="7">
        <v>91</v>
      </c>
      <c r="C93" s="5">
        <f t="shared" si="2"/>
        <v>0.2576</v>
      </c>
      <c r="D93" s="7">
        <v>0.64</v>
      </c>
      <c r="E93" s="7">
        <v>8.9599999999999999E-2</v>
      </c>
      <c r="F93" s="7">
        <v>1</v>
      </c>
      <c r="G93" s="7">
        <v>34</v>
      </c>
      <c r="H93" s="7">
        <v>35</v>
      </c>
    </row>
    <row r="94" spans="1:8" x14ac:dyDescent="0.35">
      <c r="A94" s="7">
        <v>0.2273</v>
      </c>
      <c r="B94" s="7">
        <v>92</v>
      </c>
      <c r="C94" s="5">
        <f t="shared" si="2"/>
        <v>0.2273</v>
      </c>
      <c r="D94" s="7">
        <v>0.69</v>
      </c>
      <c r="E94" s="7">
        <v>8.9599999999999999E-2</v>
      </c>
      <c r="F94" s="7">
        <v>2</v>
      </c>
      <c r="G94" s="7">
        <v>9</v>
      </c>
      <c r="H94" s="7">
        <v>11</v>
      </c>
    </row>
    <row r="95" spans="1:8" x14ac:dyDescent="0.35">
      <c r="A95" s="7">
        <v>0.2576</v>
      </c>
      <c r="B95" s="7">
        <v>93</v>
      </c>
      <c r="C95" s="5">
        <f t="shared" si="2"/>
        <v>0.2576</v>
      </c>
      <c r="D95" s="7">
        <v>0.64</v>
      </c>
      <c r="E95" s="7">
        <v>0</v>
      </c>
      <c r="F95" s="7">
        <v>0</v>
      </c>
      <c r="G95" s="7">
        <v>6</v>
      </c>
      <c r="H95" s="7">
        <v>6</v>
      </c>
    </row>
    <row r="96" spans="1:8" x14ac:dyDescent="0.35">
      <c r="A96" s="7">
        <v>0.19700000000000001</v>
      </c>
      <c r="B96" s="7">
        <v>94</v>
      </c>
      <c r="C96" s="5">
        <f t="shared" si="2"/>
        <v>0.19700000000000001</v>
      </c>
      <c r="D96" s="7">
        <v>0.74</v>
      </c>
      <c r="E96" s="7">
        <v>8.9599999999999999E-2</v>
      </c>
      <c r="F96" s="7">
        <v>0</v>
      </c>
      <c r="G96" s="7">
        <v>6</v>
      </c>
      <c r="H96" s="7">
        <v>6</v>
      </c>
    </row>
    <row r="97" spans="1:8" x14ac:dyDescent="0.35">
      <c r="A97" s="7">
        <v>0.19700000000000001</v>
      </c>
      <c r="B97" s="7">
        <v>95</v>
      </c>
      <c r="C97" s="5">
        <f t="shared" si="2"/>
        <v>0.19700000000000001</v>
      </c>
      <c r="D97" s="7">
        <v>0.74</v>
      </c>
      <c r="E97" s="7">
        <v>8.9599999999999999E-2</v>
      </c>
      <c r="F97" s="7">
        <v>0</v>
      </c>
      <c r="G97" s="7">
        <v>2</v>
      </c>
      <c r="H97" s="7">
        <v>2</v>
      </c>
    </row>
    <row r="98" spans="1:8" x14ac:dyDescent="0.35">
      <c r="A98" s="7">
        <v>0.2273</v>
      </c>
      <c r="B98" s="7">
        <v>96</v>
      </c>
      <c r="C98" s="5">
        <f t="shared" si="2"/>
        <v>0.2273</v>
      </c>
      <c r="D98" s="7">
        <v>0.48</v>
      </c>
      <c r="E98" s="7">
        <v>0.22389999999999999</v>
      </c>
      <c r="F98" s="7">
        <v>0</v>
      </c>
      <c r="G98" s="7">
        <v>2</v>
      </c>
      <c r="H98" s="7">
        <v>2</v>
      </c>
    </row>
    <row r="99" spans="1:8" x14ac:dyDescent="0.35">
      <c r="A99" s="7">
        <v>0.2273</v>
      </c>
      <c r="B99" s="7">
        <v>97</v>
      </c>
      <c r="C99" s="5">
        <f t="shared" si="2"/>
        <v>0.2273</v>
      </c>
      <c r="D99" s="7">
        <v>0.47</v>
      </c>
      <c r="E99" s="7">
        <v>0.16420000000000001</v>
      </c>
      <c r="F99" s="7">
        <v>0</v>
      </c>
      <c r="G99" s="7">
        <v>3</v>
      </c>
      <c r="H99" s="7">
        <v>3</v>
      </c>
    </row>
    <row r="100" spans="1:8" x14ac:dyDescent="0.35">
      <c r="A100" s="7">
        <v>0.19700000000000001</v>
      </c>
      <c r="B100" s="7">
        <v>98</v>
      </c>
      <c r="C100" s="5">
        <f t="shared" si="2"/>
        <v>0.19700000000000001</v>
      </c>
      <c r="D100" s="7">
        <v>0.47</v>
      </c>
      <c r="E100" s="7">
        <v>0.22389999999999999</v>
      </c>
      <c r="F100" s="7">
        <v>0</v>
      </c>
      <c r="G100" s="7">
        <v>33</v>
      </c>
      <c r="H100" s="7">
        <v>33</v>
      </c>
    </row>
    <row r="101" spans="1:8" x14ac:dyDescent="0.35">
      <c r="A101" s="7">
        <v>0.18179999999999999</v>
      </c>
      <c r="B101" s="7">
        <v>99</v>
      </c>
      <c r="C101" s="5">
        <f t="shared" si="2"/>
        <v>0.18179999999999999</v>
      </c>
      <c r="D101" s="7">
        <v>0.43</v>
      </c>
      <c r="E101" s="7">
        <v>0.19400000000000001</v>
      </c>
      <c r="F101" s="7">
        <v>1</v>
      </c>
      <c r="G101" s="7">
        <v>87</v>
      </c>
      <c r="H101" s="7">
        <v>88</v>
      </c>
    </row>
    <row r="102" spans="1:8" x14ac:dyDescent="0.35">
      <c r="A102" s="7">
        <v>0.18179999999999999</v>
      </c>
      <c r="B102" s="7">
        <v>100</v>
      </c>
      <c r="C102" s="5">
        <f t="shared" si="2"/>
        <v>0.18179999999999999</v>
      </c>
      <c r="D102" s="7">
        <v>0.4</v>
      </c>
      <c r="E102" s="7">
        <v>0.29849999999999999</v>
      </c>
      <c r="F102" s="7">
        <v>3</v>
      </c>
      <c r="G102" s="7">
        <v>192</v>
      </c>
      <c r="H102" s="7">
        <v>195</v>
      </c>
    </row>
    <row r="103" spans="1:8" x14ac:dyDescent="0.35">
      <c r="A103" s="7">
        <v>0.19700000000000001</v>
      </c>
      <c r="B103" s="7">
        <v>101</v>
      </c>
      <c r="C103" s="5">
        <f t="shared" si="2"/>
        <v>0.19700000000000001</v>
      </c>
      <c r="D103" s="7">
        <v>0.37</v>
      </c>
      <c r="E103" s="7">
        <v>0.32840000000000003</v>
      </c>
      <c r="F103" s="7">
        <v>6</v>
      </c>
      <c r="G103" s="7">
        <v>109</v>
      </c>
      <c r="H103" s="7">
        <v>115</v>
      </c>
    </row>
    <row r="104" spans="1:8" x14ac:dyDescent="0.35">
      <c r="A104" s="7">
        <v>0.19700000000000001</v>
      </c>
      <c r="B104" s="7">
        <v>102</v>
      </c>
      <c r="C104" s="5">
        <f t="shared" si="2"/>
        <v>0.19700000000000001</v>
      </c>
      <c r="D104" s="7">
        <v>0.37</v>
      </c>
      <c r="E104" s="7">
        <v>0.32840000000000003</v>
      </c>
      <c r="F104" s="7">
        <v>4</v>
      </c>
      <c r="G104" s="7">
        <v>53</v>
      </c>
      <c r="H104" s="7">
        <v>57</v>
      </c>
    </row>
    <row r="105" spans="1:8" x14ac:dyDescent="0.35">
      <c r="A105" s="7">
        <v>0.2273</v>
      </c>
      <c r="B105" s="7">
        <v>103</v>
      </c>
      <c r="C105" s="5">
        <f t="shared" si="2"/>
        <v>0.2273</v>
      </c>
      <c r="D105" s="7">
        <v>0.33</v>
      </c>
      <c r="E105" s="7">
        <v>0.32840000000000003</v>
      </c>
      <c r="F105" s="7">
        <v>12</v>
      </c>
      <c r="G105" s="7">
        <v>34</v>
      </c>
      <c r="H105" s="7">
        <v>46</v>
      </c>
    </row>
    <row r="106" spans="1:8" x14ac:dyDescent="0.35">
      <c r="A106" s="7">
        <v>0.2273</v>
      </c>
      <c r="B106" s="7">
        <v>104</v>
      </c>
      <c r="C106" s="5">
        <f t="shared" si="2"/>
        <v>0.2273</v>
      </c>
      <c r="D106" s="7">
        <v>0.33</v>
      </c>
      <c r="E106" s="7">
        <v>0.32840000000000003</v>
      </c>
      <c r="F106" s="7">
        <v>5</v>
      </c>
      <c r="G106" s="7">
        <v>74</v>
      </c>
      <c r="H106" s="7">
        <v>79</v>
      </c>
    </row>
    <row r="107" spans="1:8" x14ac:dyDescent="0.35">
      <c r="A107" s="7">
        <v>0.2576</v>
      </c>
      <c r="B107" s="7">
        <v>105</v>
      </c>
      <c r="C107" s="5">
        <f t="shared" si="2"/>
        <v>0.2576</v>
      </c>
      <c r="D107" s="7">
        <v>0.3</v>
      </c>
      <c r="E107" s="7">
        <v>0.29849999999999999</v>
      </c>
      <c r="F107" s="7">
        <v>6</v>
      </c>
      <c r="G107" s="7">
        <v>65</v>
      </c>
      <c r="H107" s="7">
        <v>71</v>
      </c>
    </row>
    <row r="108" spans="1:8" x14ac:dyDescent="0.35">
      <c r="A108" s="7">
        <v>0.28789999999999999</v>
      </c>
      <c r="B108" s="7">
        <v>106</v>
      </c>
      <c r="C108" s="5">
        <f t="shared" si="2"/>
        <v>0.28789999999999999</v>
      </c>
      <c r="D108" s="7">
        <v>0.28000000000000003</v>
      </c>
      <c r="E108" s="7">
        <v>0.19400000000000001</v>
      </c>
      <c r="F108" s="7">
        <v>10</v>
      </c>
      <c r="G108" s="7">
        <v>52</v>
      </c>
      <c r="H108" s="7">
        <v>62</v>
      </c>
    </row>
    <row r="109" spans="1:8" x14ac:dyDescent="0.35">
      <c r="A109" s="7">
        <v>0.28789999999999999</v>
      </c>
      <c r="B109" s="7">
        <v>107</v>
      </c>
      <c r="C109" s="5">
        <f t="shared" si="2"/>
        <v>0.28789999999999999</v>
      </c>
      <c r="D109" s="7">
        <v>0.28000000000000003</v>
      </c>
      <c r="E109" s="7">
        <v>0.19400000000000001</v>
      </c>
      <c r="F109" s="7">
        <v>7</v>
      </c>
      <c r="G109" s="7">
        <v>55</v>
      </c>
      <c r="H109" s="7">
        <v>62</v>
      </c>
    </row>
    <row r="110" spans="1:8" x14ac:dyDescent="0.35">
      <c r="A110" s="7">
        <v>0.31819999999999998</v>
      </c>
      <c r="B110" s="7">
        <v>108</v>
      </c>
      <c r="C110" s="5">
        <f t="shared" si="2"/>
        <v>0.31819999999999998</v>
      </c>
      <c r="D110" s="7">
        <v>0.28000000000000003</v>
      </c>
      <c r="E110" s="7">
        <v>8.9599999999999999E-2</v>
      </c>
      <c r="F110" s="7">
        <v>4</v>
      </c>
      <c r="G110" s="7">
        <v>85</v>
      </c>
      <c r="H110" s="7">
        <v>89</v>
      </c>
    </row>
    <row r="111" spans="1:8" x14ac:dyDescent="0.35">
      <c r="A111" s="7">
        <v>0.2273</v>
      </c>
      <c r="B111" s="7">
        <v>109</v>
      </c>
      <c r="C111" s="5">
        <f t="shared" si="2"/>
        <v>0.2273</v>
      </c>
      <c r="D111" s="7">
        <v>0.38</v>
      </c>
      <c r="E111" s="7">
        <v>0.19400000000000001</v>
      </c>
      <c r="F111" s="7">
        <v>4</v>
      </c>
      <c r="G111" s="7">
        <v>186</v>
      </c>
      <c r="H111" s="7">
        <v>190</v>
      </c>
    </row>
    <row r="112" spans="1:8" x14ac:dyDescent="0.35">
      <c r="A112" s="7">
        <v>0.2424</v>
      </c>
      <c r="B112" s="7">
        <v>110</v>
      </c>
      <c r="C112" s="5">
        <f t="shared" si="2"/>
        <v>0.2424</v>
      </c>
      <c r="D112" s="7">
        <v>0.38</v>
      </c>
      <c r="E112" s="7">
        <v>0.1343</v>
      </c>
      <c r="F112" s="7">
        <v>3</v>
      </c>
      <c r="G112" s="7">
        <v>166</v>
      </c>
      <c r="H112" s="7">
        <v>169</v>
      </c>
    </row>
    <row r="113" spans="1:8" x14ac:dyDescent="0.35">
      <c r="A113" s="7">
        <v>0.2576</v>
      </c>
      <c r="B113" s="7">
        <v>111</v>
      </c>
      <c r="C113" s="5">
        <f t="shared" si="2"/>
        <v>0.2576</v>
      </c>
      <c r="D113" s="7">
        <v>0.38</v>
      </c>
      <c r="E113" s="7">
        <v>0.1045</v>
      </c>
      <c r="F113" s="7">
        <v>5</v>
      </c>
      <c r="G113" s="7">
        <v>127</v>
      </c>
      <c r="H113" s="7">
        <v>132</v>
      </c>
    </row>
    <row r="114" spans="1:8" x14ac:dyDescent="0.35">
      <c r="A114" s="7">
        <v>0.2273</v>
      </c>
      <c r="B114" s="7">
        <v>112</v>
      </c>
      <c r="C114" s="5">
        <f t="shared" si="2"/>
        <v>0.2273</v>
      </c>
      <c r="D114" s="7">
        <v>0.47</v>
      </c>
      <c r="E114" s="7">
        <v>0.16420000000000001</v>
      </c>
      <c r="F114" s="7">
        <v>7</v>
      </c>
      <c r="G114" s="7">
        <v>82</v>
      </c>
      <c r="H114" s="7">
        <v>89</v>
      </c>
    </row>
    <row r="115" spans="1:8" x14ac:dyDescent="0.35">
      <c r="A115" s="7">
        <v>0.19700000000000001</v>
      </c>
      <c r="B115" s="7">
        <v>113</v>
      </c>
      <c r="C115" s="5">
        <f t="shared" si="2"/>
        <v>0.19700000000000001</v>
      </c>
      <c r="D115" s="7">
        <v>0.51</v>
      </c>
      <c r="E115" s="7">
        <v>0.19400000000000001</v>
      </c>
      <c r="F115" s="7">
        <v>3</v>
      </c>
      <c r="G115" s="7">
        <v>40</v>
      </c>
      <c r="H115" s="7">
        <v>43</v>
      </c>
    </row>
    <row r="116" spans="1:8" x14ac:dyDescent="0.35">
      <c r="A116" s="7">
        <v>0.19700000000000001</v>
      </c>
      <c r="B116" s="7">
        <v>114</v>
      </c>
      <c r="C116" s="5">
        <f t="shared" si="2"/>
        <v>0.19700000000000001</v>
      </c>
      <c r="D116" s="7">
        <v>0.55000000000000004</v>
      </c>
      <c r="E116" s="7">
        <v>0.1343</v>
      </c>
      <c r="F116" s="7">
        <v>1</v>
      </c>
      <c r="G116" s="7">
        <v>41</v>
      </c>
      <c r="H116" s="7">
        <v>42</v>
      </c>
    </row>
    <row r="117" spans="1:8" x14ac:dyDescent="0.35">
      <c r="A117" s="7">
        <v>0.2576</v>
      </c>
      <c r="B117" s="7">
        <v>115</v>
      </c>
      <c r="C117" s="5">
        <f t="shared" si="2"/>
        <v>0.2576</v>
      </c>
      <c r="D117" s="7">
        <v>0.47</v>
      </c>
      <c r="E117" s="7">
        <v>0</v>
      </c>
      <c r="F117" s="7">
        <v>1</v>
      </c>
      <c r="G117" s="7">
        <v>18</v>
      </c>
      <c r="H117" s="7">
        <v>19</v>
      </c>
    </row>
    <row r="118" spans="1:8" x14ac:dyDescent="0.35">
      <c r="A118" s="7">
        <v>0.2424</v>
      </c>
      <c r="B118" s="7">
        <v>116</v>
      </c>
      <c r="C118" s="5">
        <f t="shared" si="2"/>
        <v>0.2424</v>
      </c>
      <c r="D118" s="7">
        <v>0.55000000000000004</v>
      </c>
      <c r="E118" s="7">
        <v>0</v>
      </c>
      <c r="F118" s="7">
        <v>0</v>
      </c>
      <c r="G118" s="7">
        <v>11</v>
      </c>
      <c r="H118" s="7">
        <v>11</v>
      </c>
    </row>
    <row r="119" spans="1:8" x14ac:dyDescent="0.35">
      <c r="A119" s="7">
        <v>0.2273</v>
      </c>
      <c r="B119" s="7">
        <v>117</v>
      </c>
      <c r="C119" s="5">
        <f t="shared" si="2"/>
        <v>0.2273</v>
      </c>
      <c r="D119" s="7">
        <v>0.64</v>
      </c>
      <c r="E119" s="7">
        <v>0</v>
      </c>
      <c r="F119" s="7">
        <v>0</v>
      </c>
      <c r="G119" s="7">
        <v>4</v>
      </c>
      <c r="H119" s="7">
        <v>4</v>
      </c>
    </row>
    <row r="120" spans="1:8" x14ac:dyDescent="0.35">
      <c r="A120" s="7">
        <v>0.2273</v>
      </c>
      <c r="B120" s="7">
        <v>118</v>
      </c>
      <c r="C120" s="5">
        <f t="shared" si="2"/>
        <v>0.2273</v>
      </c>
      <c r="D120" s="7">
        <v>0.64</v>
      </c>
      <c r="E120" s="7">
        <v>0</v>
      </c>
      <c r="F120" s="7">
        <v>0</v>
      </c>
      <c r="G120" s="7">
        <v>2</v>
      </c>
      <c r="H120" s="7">
        <v>2</v>
      </c>
    </row>
    <row r="121" spans="1:8" x14ac:dyDescent="0.35">
      <c r="A121" s="7">
        <v>0.19700000000000001</v>
      </c>
      <c r="B121" s="7">
        <v>119</v>
      </c>
      <c r="C121" s="5">
        <f t="shared" si="2"/>
        <v>0.19700000000000001</v>
      </c>
      <c r="D121" s="7">
        <v>0.64</v>
      </c>
      <c r="E121" s="7">
        <v>8.9599999999999999E-2</v>
      </c>
      <c r="F121" s="7">
        <v>0</v>
      </c>
      <c r="G121" s="7">
        <v>1</v>
      </c>
      <c r="H121" s="7">
        <v>1</v>
      </c>
    </row>
    <row r="122" spans="1:8" x14ac:dyDescent="0.35">
      <c r="A122" s="7">
        <v>0.18179999999999999</v>
      </c>
      <c r="B122" s="7">
        <v>120</v>
      </c>
      <c r="C122" s="5">
        <f t="shared" si="2"/>
        <v>0.18179999999999999</v>
      </c>
      <c r="D122" s="7">
        <v>0.69</v>
      </c>
      <c r="E122" s="7">
        <v>8.9599999999999999E-2</v>
      </c>
      <c r="F122" s="7">
        <v>0</v>
      </c>
      <c r="G122" s="7">
        <v>4</v>
      </c>
      <c r="H122" s="7">
        <v>4</v>
      </c>
    </row>
    <row r="123" spans="1:8" x14ac:dyDescent="0.35">
      <c r="A123" s="7">
        <v>0.16669999999999999</v>
      </c>
      <c r="B123" s="7">
        <v>121</v>
      </c>
      <c r="C123" s="5">
        <f t="shared" si="2"/>
        <v>0.16669999999999999</v>
      </c>
      <c r="D123" s="7">
        <v>0.63</v>
      </c>
      <c r="E123" s="7">
        <v>0.1045</v>
      </c>
      <c r="F123" s="7">
        <v>0</v>
      </c>
      <c r="G123" s="7">
        <v>36</v>
      </c>
      <c r="H123" s="7">
        <v>36</v>
      </c>
    </row>
    <row r="124" spans="1:8" x14ac:dyDescent="0.35">
      <c r="A124" s="7">
        <v>0.2273</v>
      </c>
      <c r="B124" s="7">
        <v>122</v>
      </c>
      <c r="C124" s="5">
        <f t="shared" si="2"/>
        <v>0.2273</v>
      </c>
      <c r="D124" s="7">
        <v>0.59</v>
      </c>
      <c r="E124" s="7">
        <v>0</v>
      </c>
      <c r="F124" s="7">
        <v>0</v>
      </c>
      <c r="G124" s="7">
        <v>95</v>
      </c>
      <c r="H124" s="7">
        <v>95</v>
      </c>
    </row>
    <row r="125" spans="1:8" x14ac:dyDescent="0.35">
      <c r="A125" s="7">
        <v>0.2273</v>
      </c>
      <c r="B125" s="7">
        <v>123</v>
      </c>
      <c r="C125" s="5">
        <f t="shared" si="2"/>
        <v>0.2273</v>
      </c>
      <c r="D125" s="7">
        <v>0.59</v>
      </c>
      <c r="E125" s="7">
        <v>0</v>
      </c>
      <c r="F125" s="7">
        <v>3</v>
      </c>
      <c r="G125" s="7">
        <v>216</v>
      </c>
      <c r="H125" s="7">
        <v>219</v>
      </c>
    </row>
    <row r="126" spans="1:8" x14ac:dyDescent="0.35">
      <c r="A126" s="7">
        <v>0.2424</v>
      </c>
      <c r="B126" s="7">
        <v>124</v>
      </c>
      <c r="C126" s="5">
        <f t="shared" si="2"/>
        <v>0.2424</v>
      </c>
      <c r="D126" s="7">
        <v>0.51</v>
      </c>
      <c r="E126" s="7">
        <v>0</v>
      </c>
      <c r="F126" s="7">
        <v>6</v>
      </c>
      <c r="G126" s="7">
        <v>116</v>
      </c>
      <c r="H126" s="7">
        <v>122</v>
      </c>
    </row>
    <row r="127" spans="1:8" x14ac:dyDescent="0.35">
      <c r="A127" s="7">
        <v>0.2576</v>
      </c>
      <c r="B127" s="7">
        <v>125</v>
      </c>
      <c r="C127" s="5">
        <f t="shared" si="2"/>
        <v>0.2576</v>
      </c>
      <c r="D127" s="7">
        <v>0.47</v>
      </c>
      <c r="E127" s="7">
        <v>0</v>
      </c>
      <c r="F127" s="7">
        <v>3</v>
      </c>
      <c r="G127" s="7">
        <v>42</v>
      </c>
      <c r="H127" s="7">
        <v>45</v>
      </c>
    </row>
    <row r="128" spans="1:8" x14ac:dyDescent="0.35">
      <c r="A128" s="7">
        <v>0.2576</v>
      </c>
      <c r="B128" s="7">
        <v>126</v>
      </c>
      <c r="C128" s="5">
        <f t="shared" si="2"/>
        <v>0.2576</v>
      </c>
      <c r="D128" s="7">
        <v>0.44</v>
      </c>
      <c r="E128" s="7">
        <v>8.9599999999999999E-2</v>
      </c>
      <c r="F128" s="7">
        <v>2</v>
      </c>
      <c r="G128" s="7">
        <v>57</v>
      </c>
      <c r="H128" s="7">
        <v>59</v>
      </c>
    </row>
    <row r="129" spans="1:8" x14ac:dyDescent="0.35">
      <c r="A129" s="7">
        <v>0.28789999999999999</v>
      </c>
      <c r="B129" s="7">
        <v>127</v>
      </c>
      <c r="C129" s="5">
        <f t="shared" si="2"/>
        <v>0.28789999999999999</v>
      </c>
      <c r="D129" s="7">
        <v>0.35</v>
      </c>
      <c r="E129" s="7">
        <v>0</v>
      </c>
      <c r="F129" s="7">
        <v>6</v>
      </c>
      <c r="G129" s="7">
        <v>78</v>
      </c>
      <c r="H129" s="7">
        <v>84</v>
      </c>
    </row>
    <row r="130" spans="1:8" x14ac:dyDescent="0.35">
      <c r="A130" s="7">
        <v>0.2727</v>
      </c>
      <c r="B130" s="7">
        <v>128</v>
      </c>
      <c r="C130" s="5">
        <f t="shared" si="2"/>
        <v>0.2727</v>
      </c>
      <c r="D130" s="7">
        <v>0.35</v>
      </c>
      <c r="E130" s="7">
        <v>0.1045</v>
      </c>
      <c r="F130" s="7">
        <v>12</v>
      </c>
      <c r="G130" s="7">
        <v>55</v>
      </c>
      <c r="H130" s="7">
        <v>67</v>
      </c>
    </row>
    <row r="131" spans="1:8" x14ac:dyDescent="0.35">
      <c r="A131" s="7">
        <v>0.2727</v>
      </c>
      <c r="B131" s="7">
        <v>129</v>
      </c>
      <c r="C131" s="5">
        <f t="shared" ref="C131:C194" si="3">IF(ISBLANK(A131),AVERAGE(A130:A132),A131)</f>
        <v>0.2727</v>
      </c>
      <c r="D131" s="7">
        <v>0.36</v>
      </c>
      <c r="E131" s="7">
        <v>0.16420000000000001</v>
      </c>
      <c r="F131" s="7">
        <v>11</v>
      </c>
      <c r="G131" s="7">
        <v>59</v>
      </c>
      <c r="H131" s="7">
        <v>70</v>
      </c>
    </row>
    <row r="132" spans="1:8" x14ac:dyDescent="0.35">
      <c r="A132" s="7">
        <v>0.2727</v>
      </c>
      <c r="B132" s="7">
        <v>130</v>
      </c>
      <c r="C132" s="5">
        <f t="shared" si="3"/>
        <v>0.2727</v>
      </c>
      <c r="D132" s="7">
        <v>0.36</v>
      </c>
      <c r="E132" s="7">
        <v>0</v>
      </c>
      <c r="F132" s="7">
        <v>8</v>
      </c>
      <c r="G132" s="7">
        <v>54</v>
      </c>
      <c r="H132" s="7">
        <v>62</v>
      </c>
    </row>
    <row r="133" spans="1:8" x14ac:dyDescent="0.35">
      <c r="A133" s="7">
        <v>0.2576</v>
      </c>
      <c r="B133" s="7">
        <v>131</v>
      </c>
      <c r="C133" s="5">
        <f t="shared" si="3"/>
        <v>0.2576</v>
      </c>
      <c r="D133" s="7">
        <v>0.38</v>
      </c>
      <c r="E133" s="7">
        <v>0.16420000000000001</v>
      </c>
      <c r="F133" s="7">
        <v>12</v>
      </c>
      <c r="G133" s="7">
        <v>74</v>
      </c>
      <c r="H133" s="7">
        <v>86</v>
      </c>
    </row>
    <row r="134" spans="1:8" x14ac:dyDescent="0.35">
      <c r="A134" s="7">
        <v>0.2273</v>
      </c>
      <c r="B134" s="7">
        <v>132</v>
      </c>
      <c r="C134" s="5">
        <f t="shared" si="3"/>
        <v>0.2273</v>
      </c>
      <c r="D134" s="7">
        <v>0.51</v>
      </c>
      <c r="E134" s="7">
        <v>0.16420000000000001</v>
      </c>
      <c r="F134" s="7">
        <v>9</v>
      </c>
      <c r="G134" s="7">
        <v>163</v>
      </c>
      <c r="H134" s="7">
        <v>172</v>
      </c>
    </row>
    <row r="135" spans="1:8" x14ac:dyDescent="0.35">
      <c r="A135" s="7">
        <v>0.2273</v>
      </c>
      <c r="B135" s="7">
        <v>133</v>
      </c>
      <c r="C135" s="5">
        <f t="shared" si="3"/>
        <v>0.2273</v>
      </c>
      <c r="D135" s="7">
        <v>0.51</v>
      </c>
      <c r="E135" s="7">
        <v>0.1343</v>
      </c>
      <c r="F135" s="7">
        <v>5</v>
      </c>
      <c r="G135" s="7">
        <v>158</v>
      </c>
      <c r="H135" s="7">
        <v>163</v>
      </c>
    </row>
    <row r="136" spans="1:8" x14ac:dyDescent="0.35">
      <c r="A136" s="7">
        <v>0.2576</v>
      </c>
      <c r="B136" s="7">
        <v>134</v>
      </c>
      <c r="C136" s="5">
        <f t="shared" si="3"/>
        <v>0.2576</v>
      </c>
      <c r="D136" s="7">
        <v>0.55000000000000004</v>
      </c>
      <c r="E136" s="7">
        <v>8.9599999999999999E-2</v>
      </c>
      <c r="F136" s="7">
        <v>3</v>
      </c>
      <c r="G136" s="7">
        <v>109</v>
      </c>
      <c r="H136" s="7">
        <v>112</v>
      </c>
    </row>
    <row r="137" spans="1:8" x14ac:dyDescent="0.35">
      <c r="A137" s="7">
        <v>0.21210000000000001</v>
      </c>
      <c r="B137" s="7">
        <v>135</v>
      </c>
      <c r="C137" s="5">
        <f t="shared" si="3"/>
        <v>0.21210000000000001</v>
      </c>
      <c r="D137" s="7">
        <v>0.51</v>
      </c>
      <c r="E137" s="7">
        <v>0.16420000000000001</v>
      </c>
      <c r="F137" s="7">
        <v>3</v>
      </c>
      <c r="G137" s="7">
        <v>66</v>
      </c>
      <c r="H137" s="7">
        <v>69</v>
      </c>
    </row>
    <row r="138" spans="1:8" x14ac:dyDescent="0.35">
      <c r="A138" s="7">
        <v>0.21210000000000001</v>
      </c>
      <c r="B138" s="7">
        <v>136</v>
      </c>
      <c r="C138" s="5">
        <f t="shared" si="3"/>
        <v>0.21210000000000001</v>
      </c>
      <c r="D138" s="7">
        <v>0.55000000000000004</v>
      </c>
      <c r="E138" s="7">
        <v>0.22389999999999999</v>
      </c>
      <c r="F138" s="7">
        <v>0</v>
      </c>
      <c r="G138" s="7">
        <v>48</v>
      </c>
      <c r="H138" s="7">
        <v>48</v>
      </c>
    </row>
    <row r="139" spans="1:8" x14ac:dyDescent="0.35">
      <c r="A139" s="7">
        <v>0.21210000000000001</v>
      </c>
      <c r="B139" s="7">
        <v>137</v>
      </c>
      <c r="C139" s="5">
        <f t="shared" si="3"/>
        <v>0.21210000000000001</v>
      </c>
      <c r="D139" s="7">
        <v>0.51</v>
      </c>
      <c r="E139" s="7">
        <v>0.28360000000000002</v>
      </c>
      <c r="F139" s="7">
        <v>1</v>
      </c>
      <c r="G139" s="7">
        <v>51</v>
      </c>
      <c r="H139" s="7">
        <v>52</v>
      </c>
    </row>
    <row r="140" spans="1:8" x14ac:dyDescent="0.35">
      <c r="A140" s="7">
        <v>0.19700000000000001</v>
      </c>
      <c r="B140" s="7">
        <v>138</v>
      </c>
      <c r="C140" s="5">
        <f t="shared" si="3"/>
        <v>0.19700000000000001</v>
      </c>
      <c r="D140" s="7">
        <v>0.59</v>
      </c>
      <c r="E140" s="7">
        <v>0.19400000000000001</v>
      </c>
      <c r="F140" s="7">
        <v>4</v>
      </c>
      <c r="G140" s="7">
        <v>19</v>
      </c>
      <c r="H140" s="7">
        <v>23</v>
      </c>
    </row>
    <row r="141" spans="1:8" x14ac:dyDescent="0.35">
      <c r="A141" s="7">
        <v>0.19700000000000001</v>
      </c>
      <c r="B141" s="7">
        <v>139</v>
      </c>
      <c r="C141" s="5">
        <f t="shared" si="3"/>
        <v>0.19700000000000001</v>
      </c>
      <c r="D141" s="7">
        <v>0.64</v>
      </c>
      <c r="E141" s="7">
        <v>0.19400000000000001</v>
      </c>
      <c r="F141" s="7">
        <v>4</v>
      </c>
      <c r="G141" s="7">
        <v>13</v>
      </c>
      <c r="H141" s="7">
        <v>17</v>
      </c>
    </row>
    <row r="142" spans="1:8" x14ac:dyDescent="0.35">
      <c r="A142" s="7">
        <v>0.19700000000000001</v>
      </c>
      <c r="B142" s="7">
        <v>140</v>
      </c>
      <c r="C142" s="5">
        <f t="shared" si="3"/>
        <v>0.19700000000000001</v>
      </c>
      <c r="D142" s="7">
        <v>0.69</v>
      </c>
      <c r="E142" s="7">
        <v>0.22389999999999999</v>
      </c>
      <c r="F142" s="7">
        <v>2</v>
      </c>
      <c r="G142" s="7">
        <v>5</v>
      </c>
      <c r="H142" s="7">
        <v>7</v>
      </c>
    </row>
    <row r="143" spans="1:8" x14ac:dyDescent="0.35">
      <c r="A143" s="7">
        <v>0.19700000000000001</v>
      </c>
      <c r="B143" s="7">
        <v>141</v>
      </c>
      <c r="C143" s="5">
        <f t="shared" si="3"/>
        <v>0.19700000000000001</v>
      </c>
      <c r="D143" s="7">
        <v>0.69</v>
      </c>
      <c r="E143" s="7">
        <v>0.22389999999999999</v>
      </c>
      <c r="F143" s="7">
        <v>0</v>
      </c>
      <c r="G143" s="7">
        <v>1</v>
      </c>
      <c r="H143" s="7">
        <v>1</v>
      </c>
    </row>
    <row r="144" spans="1:8" x14ac:dyDescent="0.35">
      <c r="A144" s="7">
        <v>0.21210000000000001</v>
      </c>
      <c r="B144" s="7">
        <v>142</v>
      </c>
      <c r="C144" s="5">
        <f t="shared" si="3"/>
        <v>0.21210000000000001</v>
      </c>
      <c r="D144" s="7">
        <v>0.69</v>
      </c>
      <c r="E144" s="7">
        <v>0.1343</v>
      </c>
      <c r="F144" s="7">
        <v>0</v>
      </c>
      <c r="G144" s="7">
        <v>1</v>
      </c>
      <c r="H144" s="7">
        <v>1</v>
      </c>
    </row>
    <row r="145" spans="1:8" x14ac:dyDescent="0.35">
      <c r="A145" s="7">
        <v>0.2727</v>
      </c>
      <c r="B145" s="7">
        <v>143</v>
      </c>
      <c r="C145" s="5">
        <f t="shared" si="3"/>
        <v>0.2727</v>
      </c>
      <c r="D145" s="7">
        <v>0.55000000000000004</v>
      </c>
      <c r="E145" s="7">
        <v>0</v>
      </c>
      <c r="F145" s="7">
        <v>0</v>
      </c>
      <c r="G145" s="7">
        <v>5</v>
      </c>
      <c r="H145" s="7">
        <v>5</v>
      </c>
    </row>
    <row r="146" spans="1:8" x14ac:dyDescent="0.35">
      <c r="A146" s="7">
        <v>0.2576</v>
      </c>
      <c r="B146" s="7">
        <v>144</v>
      </c>
      <c r="C146" s="5">
        <f t="shared" si="3"/>
        <v>0.2576</v>
      </c>
      <c r="D146" s="7">
        <v>0.69</v>
      </c>
      <c r="E146" s="7">
        <v>0</v>
      </c>
      <c r="F146" s="7">
        <v>8</v>
      </c>
      <c r="G146" s="7">
        <v>26</v>
      </c>
      <c r="H146" s="7">
        <v>34</v>
      </c>
    </row>
    <row r="147" spans="1:8" x14ac:dyDescent="0.35">
      <c r="A147" s="7">
        <v>0.21210000000000001</v>
      </c>
      <c r="B147" s="7">
        <v>145</v>
      </c>
      <c r="C147" s="5">
        <f t="shared" si="3"/>
        <v>0.21210000000000001</v>
      </c>
      <c r="D147" s="7">
        <v>0.69</v>
      </c>
      <c r="E147" s="7">
        <v>0.1343</v>
      </c>
      <c r="F147" s="7">
        <v>8</v>
      </c>
      <c r="G147" s="7">
        <v>76</v>
      </c>
      <c r="H147" s="7">
        <v>84</v>
      </c>
    </row>
    <row r="148" spans="1:8" x14ac:dyDescent="0.35">
      <c r="A148" s="7">
        <v>0.19700000000000001</v>
      </c>
      <c r="B148" s="7">
        <v>146</v>
      </c>
      <c r="C148" s="5">
        <f t="shared" si="3"/>
        <v>0.19700000000000001</v>
      </c>
      <c r="D148" s="7">
        <v>0.51</v>
      </c>
      <c r="E148" s="7">
        <v>0.25369999999999998</v>
      </c>
      <c r="F148" s="7">
        <v>20</v>
      </c>
      <c r="G148" s="7">
        <v>190</v>
      </c>
      <c r="H148" s="7">
        <v>210</v>
      </c>
    </row>
    <row r="149" spans="1:8" x14ac:dyDescent="0.35">
      <c r="A149" s="7">
        <v>0.18179999999999999</v>
      </c>
      <c r="B149" s="7">
        <v>147</v>
      </c>
      <c r="C149" s="5">
        <f t="shared" si="3"/>
        <v>0.18179999999999999</v>
      </c>
      <c r="D149" s="7">
        <v>0.47</v>
      </c>
      <c r="E149" s="7">
        <v>0.29849999999999999</v>
      </c>
      <c r="F149" s="7">
        <v>9</v>
      </c>
      <c r="G149" s="7">
        <v>125</v>
      </c>
      <c r="H149" s="7">
        <v>134</v>
      </c>
    </row>
    <row r="150" spans="1:8" x14ac:dyDescent="0.35">
      <c r="A150" s="7">
        <v>0.19700000000000001</v>
      </c>
      <c r="B150" s="7">
        <v>148</v>
      </c>
      <c r="C150" s="5">
        <f t="shared" si="3"/>
        <v>0.19700000000000001</v>
      </c>
      <c r="D150" s="7">
        <v>0.37</v>
      </c>
      <c r="E150" s="7">
        <v>0.32840000000000003</v>
      </c>
      <c r="F150" s="7">
        <v>16</v>
      </c>
      <c r="G150" s="7">
        <v>47</v>
      </c>
      <c r="H150" s="7">
        <v>63</v>
      </c>
    </row>
    <row r="151" spans="1:8" x14ac:dyDescent="0.35">
      <c r="A151" s="7">
        <v>0.19700000000000001</v>
      </c>
      <c r="B151" s="7">
        <v>149</v>
      </c>
      <c r="C151" s="5">
        <f t="shared" si="3"/>
        <v>0.19700000000000001</v>
      </c>
      <c r="D151" s="7">
        <v>0.4</v>
      </c>
      <c r="E151" s="7">
        <v>0.22389999999999999</v>
      </c>
      <c r="F151" s="7">
        <v>19</v>
      </c>
      <c r="G151" s="7">
        <v>48</v>
      </c>
      <c r="H151" s="7">
        <v>67</v>
      </c>
    </row>
    <row r="152" spans="1:8" x14ac:dyDescent="0.35">
      <c r="A152" s="7">
        <v>0.19700000000000001</v>
      </c>
      <c r="B152" s="7">
        <v>150</v>
      </c>
      <c r="C152" s="5">
        <f t="shared" si="3"/>
        <v>0.19700000000000001</v>
      </c>
      <c r="D152" s="7">
        <v>0.37</v>
      </c>
      <c r="E152" s="7">
        <v>0.25369999999999998</v>
      </c>
      <c r="F152" s="7">
        <v>9</v>
      </c>
      <c r="G152" s="7">
        <v>50</v>
      </c>
      <c r="H152" s="7">
        <v>59</v>
      </c>
    </row>
    <row r="153" spans="1:8" x14ac:dyDescent="0.35">
      <c r="A153" s="7">
        <v>0.18179999999999999</v>
      </c>
      <c r="B153" s="7">
        <v>151</v>
      </c>
      <c r="C153" s="5">
        <f t="shared" si="3"/>
        <v>0.18179999999999999</v>
      </c>
      <c r="D153" s="7">
        <v>0.37</v>
      </c>
      <c r="E153" s="7">
        <v>0.28360000000000002</v>
      </c>
      <c r="F153" s="7">
        <v>9</v>
      </c>
      <c r="G153" s="7">
        <v>64</v>
      </c>
      <c r="H153" s="7">
        <v>73</v>
      </c>
    </row>
    <row r="154" spans="1:8" x14ac:dyDescent="0.35">
      <c r="A154" s="7">
        <v>0.19700000000000001</v>
      </c>
      <c r="B154" s="7">
        <v>152</v>
      </c>
      <c r="C154" s="5">
        <f t="shared" si="3"/>
        <v>0.19700000000000001</v>
      </c>
      <c r="D154" s="7">
        <v>0.4</v>
      </c>
      <c r="E154" s="7">
        <v>0.25369999999999998</v>
      </c>
      <c r="F154" s="7">
        <v>7</v>
      </c>
      <c r="G154" s="7">
        <v>43</v>
      </c>
      <c r="H154" s="7">
        <v>50</v>
      </c>
    </row>
    <row r="155" spans="1:8" x14ac:dyDescent="0.35">
      <c r="A155" s="7">
        <v>0.21210000000000001</v>
      </c>
      <c r="B155" s="7">
        <v>153</v>
      </c>
      <c r="C155" s="5">
        <f t="shared" si="3"/>
        <v>0.21210000000000001</v>
      </c>
      <c r="D155" s="7">
        <v>0.37</v>
      </c>
      <c r="E155" s="7">
        <v>0.16420000000000001</v>
      </c>
      <c r="F155" s="7">
        <v>9</v>
      </c>
      <c r="G155" s="7">
        <v>63</v>
      </c>
      <c r="H155" s="7">
        <v>72</v>
      </c>
    </row>
    <row r="156" spans="1:8" x14ac:dyDescent="0.35">
      <c r="A156" s="7">
        <v>0.21210000000000001</v>
      </c>
      <c r="B156" s="7">
        <v>154</v>
      </c>
      <c r="C156" s="5">
        <f t="shared" si="3"/>
        <v>0.21210000000000001</v>
      </c>
      <c r="D156" s="7">
        <v>0.37</v>
      </c>
      <c r="E156" s="7">
        <v>0.16420000000000001</v>
      </c>
      <c r="F156" s="7">
        <v>5</v>
      </c>
      <c r="G156" s="7">
        <v>82</v>
      </c>
      <c r="H156" s="7">
        <v>87</v>
      </c>
    </row>
    <row r="157" spans="1:8" x14ac:dyDescent="0.35">
      <c r="A157" s="7">
        <v>0.2576</v>
      </c>
      <c r="B157" s="7">
        <v>155</v>
      </c>
      <c r="C157" s="5">
        <f t="shared" si="3"/>
        <v>0.2576</v>
      </c>
      <c r="D157" s="7">
        <v>0.37</v>
      </c>
      <c r="E157" s="7">
        <v>0</v>
      </c>
      <c r="F157" s="7">
        <v>9</v>
      </c>
      <c r="G157" s="7">
        <v>178</v>
      </c>
      <c r="H157" s="7">
        <v>187</v>
      </c>
    </row>
    <row r="158" spans="1:8" x14ac:dyDescent="0.35">
      <c r="A158" s="7">
        <v>0.2273</v>
      </c>
      <c r="B158" s="7">
        <v>156</v>
      </c>
      <c r="C158" s="5">
        <f t="shared" si="3"/>
        <v>0.2273</v>
      </c>
      <c r="D158" s="7">
        <v>0.4</v>
      </c>
      <c r="E158" s="7">
        <v>8.9599999999999999E-2</v>
      </c>
      <c r="F158" s="7">
        <v>7</v>
      </c>
      <c r="G158" s="7">
        <v>116</v>
      </c>
      <c r="H158" s="7">
        <v>123</v>
      </c>
    </row>
    <row r="159" spans="1:8" x14ac:dyDescent="0.35">
      <c r="A159" s="7">
        <v>0.19700000000000001</v>
      </c>
      <c r="B159" s="7">
        <v>157</v>
      </c>
      <c r="C159" s="5">
        <f t="shared" si="3"/>
        <v>0.19700000000000001</v>
      </c>
      <c r="D159" s="7">
        <v>0.55000000000000004</v>
      </c>
      <c r="E159" s="7">
        <v>8.9599999999999999E-2</v>
      </c>
      <c r="F159" s="7">
        <v>3</v>
      </c>
      <c r="G159" s="7">
        <v>92</v>
      </c>
      <c r="H159" s="7">
        <v>95</v>
      </c>
    </row>
    <row r="160" spans="1:8" x14ac:dyDescent="0.35">
      <c r="A160" s="7">
        <v>0.21210000000000001</v>
      </c>
      <c r="B160" s="7">
        <v>158</v>
      </c>
      <c r="C160" s="5">
        <f t="shared" si="3"/>
        <v>0.21210000000000001</v>
      </c>
      <c r="D160" s="7">
        <v>0.47</v>
      </c>
      <c r="E160" s="7">
        <v>0.1045</v>
      </c>
      <c r="F160" s="7">
        <v>1</v>
      </c>
      <c r="G160" s="7">
        <v>50</v>
      </c>
      <c r="H160" s="7">
        <v>51</v>
      </c>
    </row>
    <row r="161" spans="1:8" x14ac:dyDescent="0.35">
      <c r="A161" s="7">
        <v>0.19700000000000001</v>
      </c>
      <c r="B161" s="7">
        <v>159</v>
      </c>
      <c r="C161" s="5">
        <f t="shared" si="3"/>
        <v>0.19700000000000001</v>
      </c>
      <c r="D161" s="7">
        <v>0.47</v>
      </c>
      <c r="E161" s="7">
        <v>0.1343</v>
      </c>
      <c r="F161" s="7">
        <v>0</v>
      </c>
      <c r="G161" s="7">
        <v>39</v>
      </c>
      <c r="H161" s="7">
        <v>39</v>
      </c>
    </row>
    <row r="162" spans="1:8" x14ac:dyDescent="0.35">
      <c r="A162" s="7">
        <v>0.19700000000000001</v>
      </c>
      <c r="B162" s="7">
        <v>160</v>
      </c>
      <c r="C162" s="5">
        <f t="shared" si="3"/>
        <v>0.19700000000000001</v>
      </c>
      <c r="D162" s="7">
        <v>0.43</v>
      </c>
      <c r="E162" s="7">
        <v>0.16420000000000001</v>
      </c>
      <c r="F162" s="7">
        <v>2</v>
      </c>
      <c r="G162" s="7">
        <v>34</v>
      </c>
      <c r="H162" s="7">
        <v>36</v>
      </c>
    </row>
    <row r="163" spans="1:8" x14ac:dyDescent="0.35">
      <c r="A163" s="7">
        <v>0.19700000000000001</v>
      </c>
      <c r="B163" s="7">
        <v>161</v>
      </c>
      <c r="C163" s="5">
        <f t="shared" si="3"/>
        <v>0.19700000000000001</v>
      </c>
      <c r="D163" s="7">
        <v>0.51</v>
      </c>
      <c r="E163" s="7">
        <v>0.16420000000000001</v>
      </c>
      <c r="F163" s="7">
        <v>1</v>
      </c>
      <c r="G163" s="7">
        <v>14</v>
      </c>
      <c r="H163" s="7">
        <v>15</v>
      </c>
    </row>
    <row r="164" spans="1:8" x14ac:dyDescent="0.35">
      <c r="A164" s="7">
        <v>0.19700000000000001</v>
      </c>
      <c r="B164" s="7">
        <v>162</v>
      </c>
      <c r="C164" s="5">
        <f t="shared" si="3"/>
        <v>0.19700000000000001</v>
      </c>
      <c r="D164" s="7">
        <v>0.51</v>
      </c>
      <c r="E164" s="7">
        <v>0.16420000000000001</v>
      </c>
      <c r="F164" s="7">
        <v>1</v>
      </c>
      <c r="G164" s="7">
        <v>24</v>
      </c>
      <c r="H164" s="7">
        <v>25</v>
      </c>
    </row>
    <row r="165" spans="1:8" x14ac:dyDescent="0.35">
      <c r="A165" s="7">
        <v>0.21210000000000001</v>
      </c>
      <c r="B165" s="7">
        <v>163</v>
      </c>
      <c r="C165" s="5">
        <f t="shared" si="3"/>
        <v>0.21210000000000001</v>
      </c>
      <c r="D165" s="7">
        <v>0.55000000000000004</v>
      </c>
      <c r="E165" s="7">
        <v>8.9599999999999999E-2</v>
      </c>
      <c r="F165" s="7">
        <v>1</v>
      </c>
      <c r="G165" s="7">
        <v>15</v>
      </c>
      <c r="H165" s="7">
        <v>16</v>
      </c>
    </row>
    <row r="166" spans="1:8" x14ac:dyDescent="0.35">
      <c r="A166" s="7">
        <v>0.2424</v>
      </c>
      <c r="B166" s="7">
        <v>164</v>
      </c>
      <c r="C166" s="5">
        <f t="shared" si="3"/>
        <v>0.2424</v>
      </c>
      <c r="D166" s="7">
        <v>0.55000000000000004</v>
      </c>
      <c r="E166" s="7">
        <v>0</v>
      </c>
      <c r="F166" s="7">
        <v>3</v>
      </c>
      <c r="G166" s="7">
        <v>13</v>
      </c>
      <c r="H166" s="7">
        <v>16</v>
      </c>
    </row>
    <row r="167" spans="1:8" x14ac:dyDescent="0.35">
      <c r="A167" s="7">
        <v>0.19700000000000001</v>
      </c>
      <c r="B167" s="7">
        <v>165</v>
      </c>
      <c r="C167" s="5">
        <f t="shared" si="3"/>
        <v>0.19700000000000001</v>
      </c>
      <c r="D167" s="7">
        <v>0.55000000000000004</v>
      </c>
      <c r="E167" s="7">
        <v>0.16420000000000001</v>
      </c>
      <c r="F167" s="7">
        <v>0</v>
      </c>
      <c r="G167" s="7">
        <v>7</v>
      </c>
      <c r="H167" s="7">
        <v>7</v>
      </c>
    </row>
    <row r="168" spans="1:8" x14ac:dyDescent="0.35">
      <c r="A168" s="7">
        <v>0.19700000000000001</v>
      </c>
      <c r="B168" s="7">
        <v>166</v>
      </c>
      <c r="C168" s="5">
        <f t="shared" si="3"/>
        <v>0.19700000000000001</v>
      </c>
      <c r="D168" s="7">
        <v>0.55000000000000004</v>
      </c>
      <c r="E168" s="7">
        <v>0.16420000000000001</v>
      </c>
      <c r="F168" s="7">
        <v>0</v>
      </c>
      <c r="G168" s="7">
        <v>1</v>
      </c>
      <c r="H168" s="7">
        <v>1</v>
      </c>
    </row>
    <row r="169" spans="1:8" x14ac:dyDescent="0.35">
      <c r="A169" s="7">
        <v>0.16669999999999999</v>
      </c>
      <c r="B169" s="7">
        <v>167</v>
      </c>
      <c r="C169" s="5">
        <f t="shared" si="3"/>
        <v>0.16669999999999999</v>
      </c>
      <c r="D169" s="7">
        <v>0.74</v>
      </c>
      <c r="E169" s="7">
        <v>0.16420000000000001</v>
      </c>
      <c r="F169" s="7">
        <v>0</v>
      </c>
      <c r="G169" s="7">
        <v>5</v>
      </c>
      <c r="H169" s="7">
        <v>5</v>
      </c>
    </row>
    <row r="170" spans="1:8" x14ac:dyDescent="0.35">
      <c r="A170" s="7">
        <v>0.16669999999999999</v>
      </c>
      <c r="B170" s="7">
        <v>168</v>
      </c>
      <c r="C170" s="5">
        <f t="shared" si="3"/>
        <v>0.16669999999999999</v>
      </c>
      <c r="D170" s="7">
        <v>0.74</v>
      </c>
      <c r="E170" s="7">
        <v>0.16420000000000001</v>
      </c>
      <c r="F170" s="7">
        <v>0</v>
      </c>
      <c r="G170" s="7">
        <v>2</v>
      </c>
      <c r="H170" s="7">
        <v>2</v>
      </c>
    </row>
    <row r="171" spans="1:8" x14ac:dyDescent="0.35">
      <c r="A171" s="7">
        <v>0.18179999999999999</v>
      </c>
      <c r="B171" s="7">
        <v>169</v>
      </c>
      <c r="C171" s="5">
        <f t="shared" si="3"/>
        <v>0.18179999999999999</v>
      </c>
      <c r="D171" s="7">
        <v>0.74</v>
      </c>
      <c r="E171" s="7">
        <v>0.1045</v>
      </c>
      <c r="F171" s="7">
        <v>1</v>
      </c>
      <c r="G171" s="7">
        <v>8</v>
      </c>
      <c r="H171" s="7">
        <v>9</v>
      </c>
    </row>
    <row r="172" spans="1:8" x14ac:dyDescent="0.35">
      <c r="A172" s="7">
        <v>0.18179999999999999</v>
      </c>
      <c r="B172" s="7">
        <v>170</v>
      </c>
      <c r="C172" s="5">
        <f t="shared" si="3"/>
        <v>0.18179999999999999</v>
      </c>
      <c r="D172" s="7">
        <v>0.93</v>
      </c>
      <c r="E172" s="7">
        <v>0.1045</v>
      </c>
      <c r="F172" s="7">
        <v>0</v>
      </c>
      <c r="G172" s="7">
        <v>15</v>
      </c>
      <c r="H172" s="7">
        <v>15</v>
      </c>
    </row>
    <row r="173" spans="1:8" x14ac:dyDescent="0.35">
      <c r="A173" s="7">
        <v>0.18179999999999999</v>
      </c>
      <c r="B173" s="7">
        <v>171</v>
      </c>
      <c r="C173" s="5">
        <f t="shared" si="3"/>
        <v>0.18179999999999999</v>
      </c>
      <c r="D173" s="7">
        <v>0.93</v>
      </c>
      <c r="E173" s="7">
        <v>0.1045</v>
      </c>
      <c r="F173" s="7">
        <v>0</v>
      </c>
      <c r="G173" s="7">
        <v>20</v>
      </c>
      <c r="H173" s="7">
        <v>20</v>
      </c>
    </row>
    <row r="174" spans="1:8" x14ac:dyDescent="0.35">
      <c r="A174" s="7">
        <v>0.19700000000000001</v>
      </c>
      <c r="B174" s="7">
        <v>172</v>
      </c>
      <c r="C174" s="5">
        <f t="shared" si="3"/>
        <v>0.19700000000000001</v>
      </c>
      <c r="D174" s="7">
        <v>0.8</v>
      </c>
      <c r="E174" s="7">
        <v>0.16420000000000001</v>
      </c>
      <c r="F174" s="7">
        <v>5</v>
      </c>
      <c r="G174" s="7">
        <v>56</v>
      </c>
      <c r="H174" s="7">
        <v>61</v>
      </c>
    </row>
    <row r="175" spans="1:8" x14ac:dyDescent="0.35">
      <c r="A175" s="7">
        <v>0.18179999999999999</v>
      </c>
      <c r="B175" s="7">
        <v>173</v>
      </c>
      <c r="C175" s="5">
        <f t="shared" si="3"/>
        <v>0.18179999999999999</v>
      </c>
      <c r="D175" s="7">
        <v>0.69</v>
      </c>
      <c r="E175" s="7">
        <v>0.3881</v>
      </c>
      <c r="F175" s="7">
        <v>2</v>
      </c>
      <c r="G175" s="7">
        <v>60</v>
      </c>
      <c r="H175" s="7">
        <v>62</v>
      </c>
    </row>
    <row r="176" spans="1:8" x14ac:dyDescent="0.35">
      <c r="A176" s="7">
        <v>0.18179999999999999</v>
      </c>
      <c r="B176" s="7">
        <v>174</v>
      </c>
      <c r="C176" s="5">
        <f t="shared" si="3"/>
        <v>0.18179999999999999</v>
      </c>
      <c r="D176" s="7">
        <v>0.59</v>
      </c>
      <c r="E176" s="7">
        <v>0.35820000000000002</v>
      </c>
      <c r="F176" s="7">
        <v>8</v>
      </c>
      <c r="G176" s="7">
        <v>90</v>
      </c>
      <c r="H176" s="7">
        <v>98</v>
      </c>
    </row>
    <row r="177" spans="1:8" x14ac:dyDescent="0.35">
      <c r="A177" s="7">
        <v>0.18179999999999999</v>
      </c>
      <c r="B177" s="7">
        <v>175</v>
      </c>
      <c r="C177" s="5">
        <f t="shared" si="3"/>
        <v>0.18179999999999999</v>
      </c>
      <c r="D177" s="7">
        <v>0.44</v>
      </c>
      <c r="E177" s="7">
        <v>0.32840000000000003</v>
      </c>
      <c r="F177" s="7">
        <v>7</v>
      </c>
      <c r="G177" s="7">
        <v>95</v>
      </c>
      <c r="H177" s="7">
        <v>102</v>
      </c>
    </row>
    <row r="178" spans="1:8" x14ac:dyDescent="0.35">
      <c r="A178" s="7">
        <v>0.16669999999999999</v>
      </c>
      <c r="B178" s="7">
        <v>176</v>
      </c>
      <c r="C178" s="5">
        <f t="shared" si="3"/>
        <v>0.16669999999999999</v>
      </c>
      <c r="D178" s="7">
        <v>0.32</v>
      </c>
      <c r="E178" s="7">
        <v>0.49249999999999999</v>
      </c>
      <c r="F178" s="7">
        <v>12</v>
      </c>
      <c r="G178" s="7">
        <v>83</v>
      </c>
      <c r="H178" s="7">
        <v>95</v>
      </c>
    </row>
    <row r="179" spans="1:8" x14ac:dyDescent="0.35">
      <c r="A179" s="7">
        <v>0.16669999999999999</v>
      </c>
      <c r="B179" s="7">
        <v>177</v>
      </c>
      <c r="C179" s="5">
        <f t="shared" si="3"/>
        <v>0.16669999999999999</v>
      </c>
      <c r="D179" s="7">
        <v>0.32</v>
      </c>
      <c r="E179" s="7">
        <v>0.44779999999999998</v>
      </c>
      <c r="F179" s="7">
        <v>5</v>
      </c>
      <c r="G179" s="7">
        <v>69</v>
      </c>
      <c r="H179" s="7">
        <v>74</v>
      </c>
    </row>
    <row r="180" spans="1:8" x14ac:dyDescent="0.35">
      <c r="A180" s="7">
        <v>0.13639999999999999</v>
      </c>
      <c r="B180" s="7">
        <v>178</v>
      </c>
      <c r="C180" s="5">
        <f t="shared" si="3"/>
        <v>0.13639999999999999</v>
      </c>
      <c r="D180" s="7">
        <v>0.28999999999999998</v>
      </c>
      <c r="E180" s="7">
        <v>0.44779999999999998</v>
      </c>
      <c r="F180" s="7">
        <v>8</v>
      </c>
      <c r="G180" s="7">
        <v>68</v>
      </c>
      <c r="H180" s="7">
        <v>76</v>
      </c>
    </row>
    <row r="181" spans="1:8" x14ac:dyDescent="0.35">
      <c r="A181" s="7">
        <v>0.1212</v>
      </c>
      <c r="B181" s="7">
        <v>179</v>
      </c>
      <c r="C181" s="5">
        <f t="shared" si="3"/>
        <v>0.1212</v>
      </c>
      <c r="D181" s="7">
        <v>0.37</v>
      </c>
      <c r="E181" s="7">
        <v>0.55220000000000002</v>
      </c>
      <c r="F181" s="7">
        <v>5</v>
      </c>
      <c r="G181" s="7">
        <v>64</v>
      </c>
      <c r="H181" s="7">
        <v>69</v>
      </c>
    </row>
    <row r="182" spans="1:8" x14ac:dyDescent="0.35">
      <c r="A182" s="7">
        <v>0.1212</v>
      </c>
      <c r="B182" s="7">
        <v>180</v>
      </c>
      <c r="C182" s="5">
        <f t="shared" si="3"/>
        <v>0.1212</v>
      </c>
      <c r="D182" s="7">
        <v>0.39</v>
      </c>
      <c r="E182" s="7">
        <v>0.29849999999999999</v>
      </c>
      <c r="F182" s="7">
        <v>3</v>
      </c>
      <c r="G182" s="7">
        <v>52</v>
      </c>
      <c r="H182" s="7">
        <v>55</v>
      </c>
    </row>
    <row r="183" spans="1:8" x14ac:dyDescent="0.35">
      <c r="A183" s="7">
        <v>0.1212</v>
      </c>
      <c r="B183" s="7">
        <v>181</v>
      </c>
      <c r="C183" s="5">
        <f t="shared" si="3"/>
        <v>0.1212</v>
      </c>
      <c r="D183" s="7">
        <v>0.36</v>
      </c>
      <c r="E183" s="7">
        <v>0.25369999999999998</v>
      </c>
      <c r="F183" s="7">
        <v>4</v>
      </c>
      <c r="G183" s="7">
        <v>26</v>
      </c>
      <c r="H183" s="7">
        <v>30</v>
      </c>
    </row>
    <row r="184" spans="1:8" x14ac:dyDescent="0.35">
      <c r="A184" s="7">
        <v>0.1212</v>
      </c>
      <c r="B184" s="7">
        <v>182</v>
      </c>
      <c r="C184" s="5">
        <f t="shared" si="3"/>
        <v>0.1212</v>
      </c>
      <c r="D184" s="7">
        <v>0.36</v>
      </c>
      <c r="E184" s="7">
        <v>0.25369999999999998</v>
      </c>
      <c r="F184" s="7">
        <v>0</v>
      </c>
      <c r="G184" s="7">
        <v>28</v>
      </c>
      <c r="H184" s="7">
        <v>28</v>
      </c>
    </row>
    <row r="185" spans="1:8" x14ac:dyDescent="0.35">
      <c r="A185" s="7">
        <v>0.1061</v>
      </c>
      <c r="B185" s="7">
        <v>183</v>
      </c>
      <c r="C185" s="5">
        <f t="shared" si="3"/>
        <v>0.1061</v>
      </c>
      <c r="D185" s="7">
        <v>0.39</v>
      </c>
      <c r="E185" s="7">
        <v>0.35820000000000002</v>
      </c>
      <c r="F185" s="7">
        <v>2</v>
      </c>
      <c r="G185" s="7">
        <v>35</v>
      </c>
      <c r="H185" s="7">
        <v>37</v>
      </c>
    </row>
    <row r="186" spans="1:8" x14ac:dyDescent="0.35">
      <c r="A186" s="7">
        <v>0.1061</v>
      </c>
      <c r="B186" s="7">
        <v>184</v>
      </c>
      <c r="C186" s="5">
        <f t="shared" si="3"/>
        <v>0.1061</v>
      </c>
      <c r="D186" s="7">
        <v>0.36</v>
      </c>
      <c r="E186" s="7">
        <v>0.3881</v>
      </c>
      <c r="F186" s="7">
        <v>1</v>
      </c>
      <c r="G186" s="7">
        <v>33</v>
      </c>
      <c r="H186" s="7">
        <v>34</v>
      </c>
    </row>
    <row r="187" spans="1:8" x14ac:dyDescent="0.35">
      <c r="A187" s="7">
        <v>6.0600000000000001E-2</v>
      </c>
      <c r="B187" s="7">
        <v>185</v>
      </c>
      <c r="C187" s="5">
        <f t="shared" si="3"/>
        <v>6.0600000000000001E-2</v>
      </c>
      <c r="D187" s="7">
        <v>0.39</v>
      </c>
      <c r="E187" s="7">
        <v>0.44779999999999998</v>
      </c>
      <c r="F187" s="7">
        <v>0</v>
      </c>
      <c r="G187" s="7">
        <v>22</v>
      </c>
      <c r="H187" s="7">
        <v>22</v>
      </c>
    </row>
    <row r="188" spans="1:8" x14ac:dyDescent="0.35">
      <c r="A188" s="7">
        <v>7.5800000000000006E-2</v>
      </c>
      <c r="B188" s="7">
        <v>186</v>
      </c>
      <c r="C188" s="5">
        <f t="shared" si="3"/>
        <v>7.5800000000000006E-2</v>
      </c>
      <c r="D188" s="7">
        <v>0.42</v>
      </c>
      <c r="E188" s="7">
        <v>0.3881</v>
      </c>
      <c r="F188" s="7">
        <v>1</v>
      </c>
      <c r="G188" s="7">
        <v>24</v>
      </c>
      <c r="H188" s="7">
        <v>25</v>
      </c>
    </row>
    <row r="189" spans="1:8" x14ac:dyDescent="0.35">
      <c r="A189" s="7">
        <v>6.0600000000000001E-2</v>
      </c>
      <c r="B189" s="7">
        <v>187</v>
      </c>
      <c r="C189" s="5">
        <f t="shared" si="3"/>
        <v>6.0600000000000001E-2</v>
      </c>
      <c r="D189" s="7">
        <v>0.42</v>
      </c>
      <c r="E189" s="7">
        <v>0.4627</v>
      </c>
      <c r="F189" s="7">
        <v>0</v>
      </c>
      <c r="G189" s="7">
        <v>12</v>
      </c>
      <c r="H189" s="7">
        <v>12</v>
      </c>
    </row>
    <row r="190" spans="1:8" x14ac:dyDescent="0.35">
      <c r="A190" s="7">
        <v>6.0600000000000001E-2</v>
      </c>
      <c r="B190" s="7">
        <v>188</v>
      </c>
      <c r="C190" s="5">
        <f t="shared" si="3"/>
        <v>6.0600000000000001E-2</v>
      </c>
      <c r="D190" s="7">
        <v>0.46</v>
      </c>
      <c r="E190" s="7">
        <v>0.4627</v>
      </c>
      <c r="F190" s="7">
        <v>0</v>
      </c>
      <c r="G190" s="7">
        <v>11</v>
      </c>
      <c r="H190" s="7">
        <v>11</v>
      </c>
    </row>
    <row r="191" spans="1:8" x14ac:dyDescent="0.35">
      <c r="A191" s="7">
        <v>7.5800000000000006E-2</v>
      </c>
      <c r="B191" s="7">
        <v>189</v>
      </c>
      <c r="C191" s="5">
        <f t="shared" si="3"/>
        <v>7.5800000000000006E-2</v>
      </c>
      <c r="D191" s="7">
        <v>0.46</v>
      </c>
      <c r="E191" s="7">
        <v>0.41789999999999999</v>
      </c>
      <c r="F191" s="7">
        <v>0</v>
      </c>
      <c r="G191" s="7">
        <v>4</v>
      </c>
      <c r="H191" s="7">
        <v>4</v>
      </c>
    </row>
    <row r="192" spans="1:8" x14ac:dyDescent="0.35">
      <c r="A192" s="7">
        <v>9.0899999999999995E-2</v>
      </c>
      <c r="B192" s="7">
        <v>190</v>
      </c>
      <c r="C192" s="5">
        <f t="shared" si="3"/>
        <v>9.0899999999999995E-2</v>
      </c>
      <c r="D192" s="7">
        <v>0.53</v>
      </c>
      <c r="E192" s="7">
        <v>0.19400000000000001</v>
      </c>
      <c r="F192" s="7">
        <v>0</v>
      </c>
      <c r="G192" s="7">
        <v>1</v>
      </c>
      <c r="H192" s="7">
        <v>1</v>
      </c>
    </row>
    <row r="193" spans="1:8" x14ac:dyDescent="0.35">
      <c r="A193" s="7">
        <v>9.0899999999999995E-2</v>
      </c>
      <c r="B193" s="7">
        <v>191</v>
      </c>
      <c r="C193" s="5">
        <f t="shared" si="3"/>
        <v>9.0899999999999995E-2</v>
      </c>
      <c r="D193" s="7">
        <v>0.53</v>
      </c>
      <c r="E193" s="7">
        <v>0.19400000000000001</v>
      </c>
      <c r="F193" s="7">
        <v>0</v>
      </c>
      <c r="G193" s="7">
        <v>1</v>
      </c>
      <c r="H193" s="7">
        <v>1</v>
      </c>
    </row>
    <row r="194" spans="1:8" x14ac:dyDescent="0.35">
      <c r="A194" s="7">
        <v>9.0899999999999995E-2</v>
      </c>
      <c r="B194" s="7">
        <v>192</v>
      </c>
      <c r="C194" s="5">
        <f t="shared" si="3"/>
        <v>9.0899999999999995E-2</v>
      </c>
      <c r="D194" s="7">
        <v>0.49</v>
      </c>
      <c r="E194" s="7">
        <v>0.28360000000000002</v>
      </c>
      <c r="F194" s="7">
        <v>0</v>
      </c>
      <c r="G194" s="7">
        <v>1</v>
      </c>
      <c r="H194" s="7">
        <v>1</v>
      </c>
    </row>
    <row r="195" spans="1:8" x14ac:dyDescent="0.35">
      <c r="A195" s="7">
        <v>9.0899999999999995E-2</v>
      </c>
      <c r="B195" s="7">
        <v>193</v>
      </c>
      <c r="C195" s="5">
        <f t="shared" ref="C195:C258" si="4">IF(ISBLANK(A195),AVERAGE(A194:A196),A195)</f>
        <v>9.0899999999999995E-2</v>
      </c>
      <c r="D195" s="7">
        <v>0.53</v>
      </c>
      <c r="E195" s="7">
        <v>0.19400000000000001</v>
      </c>
      <c r="F195" s="7">
        <v>1</v>
      </c>
      <c r="G195" s="7">
        <v>5</v>
      </c>
      <c r="H195" s="7">
        <v>6</v>
      </c>
    </row>
    <row r="196" spans="1:8" x14ac:dyDescent="0.35">
      <c r="A196" s="7">
        <v>9.0899999999999995E-2</v>
      </c>
      <c r="B196" s="7">
        <v>194</v>
      </c>
      <c r="C196" s="5">
        <f t="shared" si="4"/>
        <v>9.0899999999999995E-2</v>
      </c>
      <c r="D196" s="7">
        <v>0.49</v>
      </c>
      <c r="E196" s="7">
        <v>0.28360000000000002</v>
      </c>
      <c r="F196" s="7">
        <v>0</v>
      </c>
      <c r="G196" s="7">
        <v>10</v>
      </c>
      <c r="H196" s="7">
        <v>10</v>
      </c>
    </row>
    <row r="197" spans="1:8" x14ac:dyDescent="0.35">
      <c r="A197" s="7">
        <v>7.5800000000000006E-2</v>
      </c>
      <c r="B197" s="7">
        <v>195</v>
      </c>
      <c r="C197" s="5">
        <f t="shared" si="4"/>
        <v>7.5800000000000006E-2</v>
      </c>
      <c r="D197" s="7">
        <v>0.46</v>
      </c>
      <c r="E197" s="7">
        <v>0.52239999999999998</v>
      </c>
      <c r="F197" s="7">
        <v>0</v>
      </c>
      <c r="G197" s="7">
        <v>19</v>
      </c>
      <c r="H197" s="7">
        <v>19</v>
      </c>
    </row>
    <row r="198" spans="1:8" x14ac:dyDescent="0.35">
      <c r="A198" s="7">
        <v>0.1061</v>
      </c>
      <c r="B198" s="7">
        <v>196</v>
      </c>
      <c r="C198" s="5">
        <f t="shared" si="4"/>
        <v>0.1061</v>
      </c>
      <c r="D198" s="7">
        <v>0.43</v>
      </c>
      <c r="E198" s="7">
        <v>0.3881</v>
      </c>
      <c r="F198" s="7">
        <v>0</v>
      </c>
      <c r="G198" s="7">
        <v>49</v>
      </c>
      <c r="H198" s="7">
        <v>49</v>
      </c>
    </row>
    <row r="199" spans="1:8" x14ac:dyDescent="0.35">
      <c r="A199" s="7">
        <v>0.1212</v>
      </c>
      <c r="B199" s="7">
        <v>197</v>
      </c>
      <c r="C199" s="5">
        <f t="shared" si="4"/>
        <v>0.1212</v>
      </c>
      <c r="D199" s="7">
        <v>0.4</v>
      </c>
      <c r="E199" s="7">
        <v>0.52239999999999998</v>
      </c>
      <c r="F199" s="7">
        <v>2</v>
      </c>
      <c r="G199" s="7">
        <v>47</v>
      </c>
      <c r="H199" s="7">
        <v>49</v>
      </c>
    </row>
    <row r="200" spans="1:8" x14ac:dyDescent="0.35">
      <c r="A200" s="7">
        <v>0.13639999999999999</v>
      </c>
      <c r="B200" s="7">
        <v>198</v>
      </c>
      <c r="C200" s="5">
        <f t="shared" si="4"/>
        <v>0.13639999999999999</v>
      </c>
      <c r="D200" s="7">
        <v>0.37</v>
      </c>
      <c r="E200" s="7">
        <v>0.44779999999999998</v>
      </c>
      <c r="F200" s="7">
        <v>4</v>
      </c>
      <c r="G200" s="7">
        <v>79</v>
      </c>
      <c r="H200" s="7">
        <v>83</v>
      </c>
    </row>
    <row r="201" spans="1:8" x14ac:dyDescent="0.35">
      <c r="A201" s="7">
        <v>0.16669999999999999</v>
      </c>
      <c r="B201" s="7">
        <v>199</v>
      </c>
      <c r="C201" s="5">
        <f t="shared" si="4"/>
        <v>0.16669999999999999</v>
      </c>
      <c r="D201" s="7">
        <v>0.34</v>
      </c>
      <c r="E201" s="7">
        <v>0.44779999999999998</v>
      </c>
      <c r="F201" s="7">
        <v>6</v>
      </c>
      <c r="G201" s="7">
        <v>69</v>
      </c>
      <c r="H201" s="7">
        <v>75</v>
      </c>
    </row>
    <row r="202" spans="1:8" x14ac:dyDescent="0.35">
      <c r="A202" s="7">
        <v>0.18179999999999999</v>
      </c>
      <c r="B202" s="7">
        <v>200</v>
      </c>
      <c r="C202" s="5">
        <f t="shared" si="4"/>
        <v>0.18179999999999999</v>
      </c>
      <c r="D202" s="7">
        <v>0.32</v>
      </c>
      <c r="E202" s="7">
        <v>0.4627</v>
      </c>
      <c r="F202" s="7">
        <v>8</v>
      </c>
      <c r="G202" s="7">
        <v>64</v>
      </c>
      <c r="H202" s="7">
        <v>72</v>
      </c>
    </row>
    <row r="203" spans="1:8" x14ac:dyDescent="0.35">
      <c r="A203" s="7">
        <v>0.19700000000000001</v>
      </c>
      <c r="B203" s="7">
        <v>201</v>
      </c>
      <c r="C203" s="5">
        <f t="shared" si="4"/>
        <v>0.19700000000000001</v>
      </c>
      <c r="D203" s="7">
        <v>0.35</v>
      </c>
      <c r="E203" s="7">
        <v>0.35820000000000002</v>
      </c>
      <c r="F203" s="7">
        <v>5</v>
      </c>
      <c r="G203" s="7">
        <v>77</v>
      </c>
      <c r="H203" s="7">
        <v>82</v>
      </c>
    </row>
    <row r="204" spans="1:8" x14ac:dyDescent="0.35">
      <c r="A204" s="7">
        <v>0.16669999999999999</v>
      </c>
      <c r="B204" s="7">
        <v>202</v>
      </c>
      <c r="C204" s="5">
        <f t="shared" si="4"/>
        <v>0.16669999999999999</v>
      </c>
      <c r="D204" s="7">
        <v>0.34</v>
      </c>
      <c r="E204" s="7">
        <v>0.44779999999999998</v>
      </c>
      <c r="F204" s="7">
        <v>13</v>
      </c>
      <c r="G204" s="7">
        <v>79</v>
      </c>
      <c r="H204" s="7">
        <v>92</v>
      </c>
    </row>
    <row r="205" spans="1:8" x14ac:dyDescent="0.35">
      <c r="A205" s="7">
        <v>0.1515</v>
      </c>
      <c r="B205" s="7">
        <v>203</v>
      </c>
      <c r="C205" s="5">
        <f t="shared" si="4"/>
        <v>0.1515</v>
      </c>
      <c r="D205" s="7">
        <v>0.37</v>
      </c>
      <c r="E205" s="7">
        <v>0.3881</v>
      </c>
      <c r="F205" s="7">
        <v>3</v>
      </c>
      <c r="G205" s="7">
        <v>59</v>
      </c>
      <c r="H205" s="7">
        <v>62</v>
      </c>
    </row>
    <row r="206" spans="1:8" x14ac:dyDescent="0.35">
      <c r="A206" s="7">
        <v>0.13639999999999999</v>
      </c>
      <c r="B206" s="7">
        <v>204</v>
      </c>
      <c r="C206" s="5">
        <f t="shared" si="4"/>
        <v>0.13639999999999999</v>
      </c>
      <c r="D206" s="7">
        <v>0.4</v>
      </c>
      <c r="E206" s="7">
        <v>0.32840000000000003</v>
      </c>
      <c r="F206" s="7">
        <v>4</v>
      </c>
      <c r="G206" s="7">
        <v>44</v>
      </c>
      <c r="H206" s="7">
        <v>48</v>
      </c>
    </row>
    <row r="207" spans="1:8" x14ac:dyDescent="0.35">
      <c r="A207" s="7">
        <v>0.13639999999999999</v>
      </c>
      <c r="B207" s="7">
        <v>205</v>
      </c>
      <c r="C207" s="5">
        <f t="shared" si="4"/>
        <v>0.13639999999999999</v>
      </c>
      <c r="D207" s="7">
        <v>0.43</v>
      </c>
      <c r="E207" s="7">
        <v>0.32840000000000003</v>
      </c>
      <c r="F207" s="7">
        <v>1</v>
      </c>
      <c r="G207" s="7">
        <v>40</v>
      </c>
      <c r="H207" s="7">
        <v>41</v>
      </c>
    </row>
    <row r="208" spans="1:8" x14ac:dyDescent="0.35">
      <c r="A208" s="7">
        <v>0.1212</v>
      </c>
      <c r="B208" s="7">
        <v>206</v>
      </c>
      <c r="C208" s="5">
        <f t="shared" si="4"/>
        <v>0.1212</v>
      </c>
      <c r="D208" s="7">
        <v>0.46</v>
      </c>
      <c r="E208" s="7">
        <v>0.25369999999999998</v>
      </c>
      <c r="F208" s="7">
        <v>0</v>
      </c>
      <c r="G208" s="7">
        <v>38</v>
      </c>
      <c r="H208" s="7">
        <v>38</v>
      </c>
    </row>
    <row r="209" spans="1:8" x14ac:dyDescent="0.35">
      <c r="A209" s="7">
        <v>0.1061</v>
      </c>
      <c r="B209" s="7">
        <v>207</v>
      </c>
      <c r="C209" s="5">
        <f t="shared" si="4"/>
        <v>0.1061</v>
      </c>
      <c r="D209" s="7">
        <v>0.46</v>
      </c>
      <c r="E209" s="7">
        <v>0.41789999999999999</v>
      </c>
      <c r="F209" s="7">
        <v>1</v>
      </c>
      <c r="G209" s="7">
        <v>19</v>
      </c>
      <c r="H209" s="7">
        <v>20</v>
      </c>
    </row>
    <row r="210" spans="1:8" x14ac:dyDescent="0.35">
      <c r="A210" s="7">
        <v>0.1212</v>
      </c>
      <c r="B210" s="7">
        <v>208</v>
      </c>
      <c r="C210" s="5">
        <f t="shared" si="4"/>
        <v>0.1212</v>
      </c>
      <c r="D210" s="7">
        <v>0.46</v>
      </c>
      <c r="E210" s="7">
        <v>0.29849999999999999</v>
      </c>
      <c r="F210" s="7">
        <v>5</v>
      </c>
      <c r="G210" s="7">
        <v>10</v>
      </c>
      <c r="H210" s="7">
        <v>15</v>
      </c>
    </row>
    <row r="211" spans="1:8" x14ac:dyDescent="0.35">
      <c r="A211" s="7">
        <v>0.13639999999999999</v>
      </c>
      <c r="B211" s="7">
        <v>209</v>
      </c>
      <c r="C211" s="5">
        <f t="shared" si="4"/>
        <v>0.13639999999999999</v>
      </c>
      <c r="D211" s="7">
        <v>0.5</v>
      </c>
      <c r="E211" s="7">
        <v>0.19400000000000001</v>
      </c>
      <c r="F211" s="7">
        <v>0</v>
      </c>
      <c r="G211" s="7">
        <v>6</v>
      </c>
      <c r="H211" s="7">
        <v>6</v>
      </c>
    </row>
    <row r="212" spans="1:8" x14ac:dyDescent="0.35">
      <c r="A212" s="7">
        <v>0.1212</v>
      </c>
      <c r="B212" s="7">
        <v>210</v>
      </c>
      <c r="C212" s="5">
        <f t="shared" si="4"/>
        <v>0.1212</v>
      </c>
      <c r="D212" s="7">
        <v>0.5</v>
      </c>
      <c r="E212" s="7">
        <v>0.28360000000000002</v>
      </c>
      <c r="F212" s="7">
        <v>2</v>
      </c>
      <c r="G212" s="7">
        <v>3</v>
      </c>
      <c r="H212" s="7">
        <v>5</v>
      </c>
    </row>
    <row r="213" spans="1:8" x14ac:dyDescent="0.35">
      <c r="A213" s="7">
        <v>0.1212</v>
      </c>
      <c r="B213" s="7">
        <v>211</v>
      </c>
      <c r="C213" s="5">
        <f t="shared" si="4"/>
        <v>0.1212</v>
      </c>
      <c r="D213" s="7">
        <v>0.5</v>
      </c>
      <c r="E213" s="7">
        <v>0.28360000000000002</v>
      </c>
      <c r="F213" s="7">
        <v>1</v>
      </c>
      <c r="G213" s="7">
        <v>0</v>
      </c>
      <c r="H213" s="7">
        <v>1</v>
      </c>
    </row>
    <row r="214" spans="1:8" x14ac:dyDescent="0.35">
      <c r="A214" s="7">
        <v>0.1212</v>
      </c>
      <c r="B214" s="7">
        <v>212</v>
      </c>
      <c r="C214" s="5">
        <f t="shared" si="4"/>
        <v>0.1212</v>
      </c>
      <c r="D214" s="7">
        <v>0.5</v>
      </c>
      <c r="E214" s="7">
        <v>0.22389999999999999</v>
      </c>
      <c r="F214" s="7">
        <v>0</v>
      </c>
      <c r="G214" s="7">
        <v>3</v>
      </c>
      <c r="H214" s="7">
        <v>3</v>
      </c>
    </row>
    <row r="215" spans="1:8" x14ac:dyDescent="0.35">
      <c r="A215" s="7">
        <v>0.1212</v>
      </c>
      <c r="B215" s="7">
        <v>213</v>
      </c>
      <c r="C215" s="5">
        <f t="shared" si="4"/>
        <v>0.1212</v>
      </c>
      <c r="D215" s="7">
        <v>0.5</v>
      </c>
      <c r="E215" s="7">
        <v>0.22389999999999999</v>
      </c>
      <c r="F215" s="7">
        <v>0</v>
      </c>
      <c r="G215" s="7">
        <v>1</v>
      </c>
      <c r="H215" s="7">
        <v>1</v>
      </c>
    </row>
    <row r="216" spans="1:8" x14ac:dyDescent="0.35">
      <c r="A216" s="7">
        <v>0.1212</v>
      </c>
      <c r="B216" s="7">
        <v>214</v>
      </c>
      <c r="C216" s="5">
        <f t="shared" si="4"/>
        <v>0.1212</v>
      </c>
      <c r="D216" s="7">
        <v>0.54</v>
      </c>
      <c r="E216" s="7">
        <v>0.1343</v>
      </c>
      <c r="F216" s="7">
        <v>1</v>
      </c>
      <c r="G216" s="7">
        <v>2</v>
      </c>
      <c r="H216" s="7">
        <v>3</v>
      </c>
    </row>
    <row r="217" spans="1:8" x14ac:dyDescent="0.35">
      <c r="A217" s="7">
        <v>0.1061</v>
      </c>
      <c r="B217" s="7">
        <v>215</v>
      </c>
      <c r="C217" s="5">
        <f t="shared" si="4"/>
        <v>0.1061</v>
      </c>
      <c r="D217" s="7">
        <v>0.54</v>
      </c>
      <c r="E217" s="7">
        <v>0.25369999999999998</v>
      </c>
      <c r="F217" s="7">
        <v>0</v>
      </c>
      <c r="G217" s="7">
        <v>3</v>
      </c>
      <c r="H217" s="7">
        <v>3</v>
      </c>
    </row>
    <row r="218" spans="1:8" x14ac:dyDescent="0.35">
      <c r="A218" s="7">
        <v>0.1212</v>
      </c>
      <c r="B218" s="7">
        <v>216</v>
      </c>
      <c r="C218" s="5">
        <f t="shared" si="4"/>
        <v>0.1212</v>
      </c>
      <c r="D218" s="7">
        <v>0.5</v>
      </c>
      <c r="E218" s="7">
        <v>0.28360000000000002</v>
      </c>
      <c r="F218" s="7">
        <v>0</v>
      </c>
      <c r="G218" s="7">
        <v>31</v>
      </c>
      <c r="H218" s="7">
        <v>31</v>
      </c>
    </row>
    <row r="219" spans="1:8" x14ac:dyDescent="0.35">
      <c r="A219" s="7">
        <v>0.1212</v>
      </c>
      <c r="B219" s="7">
        <v>217</v>
      </c>
      <c r="C219" s="5">
        <f t="shared" si="4"/>
        <v>0.1212</v>
      </c>
      <c r="D219" s="7">
        <v>0.5</v>
      </c>
      <c r="E219" s="7">
        <v>0.22389999999999999</v>
      </c>
      <c r="F219" s="7">
        <v>2</v>
      </c>
      <c r="G219" s="7">
        <v>75</v>
      </c>
      <c r="H219" s="7">
        <v>77</v>
      </c>
    </row>
    <row r="220" spans="1:8" x14ac:dyDescent="0.35">
      <c r="A220" s="7">
        <v>0.1212</v>
      </c>
      <c r="B220" s="7">
        <v>218</v>
      </c>
      <c r="C220" s="5">
        <f t="shared" si="4"/>
        <v>0.1212</v>
      </c>
      <c r="D220" s="7">
        <v>0.5</v>
      </c>
      <c r="E220" s="7">
        <v>0.28360000000000002</v>
      </c>
      <c r="F220" s="7">
        <v>4</v>
      </c>
      <c r="G220" s="7">
        <v>184</v>
      </c>
      <c r="H220" s="7">
        <v>188</v>
      </c>
    </row>
    <row r="221" spans="1:8" x14ac:dyDescent="0.35">
      <c r="A221" s="7">
        <v>0.1212</v>
      </c>
      <c r="B221" s="7">
        <v>219</v>
      </c>
      <c r="C221" s="5">
        <f t="shared" si="4"/>
        <v>0.1212</v>
      </c>
      <c r="D221" s="7">
        <v>0.5</v>
      </c>
      <c r="E221" s="7">
        <v>0.25369999999999998</v>
      </c>
      <c r="F221" s="7">
        <v>2</v>
      </c>
      <c r="G221" s="7">
        <v>92</v>
      </c>
      <c r="H221" s="7">
        <v>94</v>
      </c>
    </row>
    <row r="222" spans="1:8" x14ac:dyDescent="0.35">
      <c r="A222" s="7">
        <v>0.1212</v>
      </c>
      <c r="B222" s="7">
        <v>220</v>
      </c>
      <c r="C222" s="5">
        <f t="shared" si="4"/>
        <v>0.1212</v>
      </c>
      <c r="D222" s="7">
        <v>0.5</v>
      </c>
      <c r="E222" s="7">
        <v>0.29849999999999999</v>
      </c>
      <c r="F222" s="7">
        <v>0</v>
      </c>
      <c r="G222" s="7">
        <v>31</v>
      </c>
      <c r="H222" s="7">
        <v>31</v>
      </c>
    </row>
    <row r="223" spans="1:8" x14ac:dyDescent="0.35">
      <c r="A223" s="7">
        <v>0.13639999999999999</v>
      </c>
      <c r="B223" s="7">
        <v>221</v>
      </c>
      <c r="C223" s="5">
        <f t="shared" si="4"/>
        <v>0.13639999999999999</v>
      </c>
      <c r="D223" s="7">
        <v>0.47</v>
      </c>
      <c r="E223" s="7">
        <v>0.28360000000000002</v>
      </c>
      <c r="F223" s="7">
        <v>2</v>
      </c>
      <c r="G223" s="7">
        <v>28</v>
      </c>
      <c r="H223" s="7">
        <v>30</v>
      </c>
    </row>
    <row r="224" spans="1:8" x14ac:dyDescent="0.35">
      <c r="A224" s="7">
        <v>0.18179999999999999</v>
      </c>
      <c r="B224" s="7">
        <v>222</v>
      </c>
      <c r="C224" s="5">
        <f t="shared" si="4"/>
        <v>0.18179999999999999</v>
      </c>
      <c r="D224" s="7">
        <v>0.4</v>
      </c>
      <c r="E224" s="7">
        <v>0.28360000000000002</v>
      </c>
      <c r="F224" s="7">
        <v>5</v>
      </c>
      <c r="G224" s="7">
        <v>47</v>
      </c>
      <c r="H224" s="7">
        <v>52</v>
      </c>
    </row>
    <row r="225" spans="1:8" x14ac:dyDescent="0.35">
      <c r="A225" s="7">
        <v>0.18179999999999999</v>
      </c>
      <c r="B225" s="7">
        <v>223</v>
      </c>
      <c r="C225" s="5">
        <f t="shared" si="4"/>
        <v>0.18179999999999999</v>
      </c>
      <c r="D225" s="7">
        <v>0.4</v>
      </c>
      <c r="E225" s="7">
        <v>0.28360000000000002</v>
      </c>
      <c r="F225" s="7">
        <v>4</v>
      </c>
      <c r="G225" s="7">
        <v>50</v>
      </c>
      <c r="H225" s="7">
        <v>54</v>
      </c>
    </row>
    <row r="226" spans="1:8" x14ac:dyDescent="0.35">
      <c r="A226" s="7">
        <v>0.19700000000000001</v>
      </c>
      <c r="B226" s="7">
        <v>224</v>
      </c>
      <c r="C226" s="5">
        <f t="shared" si="4"/>
        <v>0.19700000000000001</v>
      </c>
      <c r="D226" s="7">
        <v>0.4</v>
      </c>
      <c r="E226" s="7">
        <v>0.22389999999999999</v>
      </c>
      <c r="F226" s="7">
        <v>0</v>
      </c>
      <c r="G226" s="7">
        <v>47</v>
      </c>
      <c r="H226" s="7">
        <v>47</v>
      </c>
    </row>
    <row r="227" spans="1:8" x14ac:dyDescent="0.35">
      <c r="A227" s="7">
        <v>0.19700000000000001</v>
      </c>
      <c r="B227" s="7">
        <v>225</v>
      </c>
      <c r="C227" s="5">
        <f t="shared" si="4"/>
        <v>0.19700000000000001</v>
      </c>
      <c r="D227" s="7">
        <v>0.4</v>
      </c>
      <c r="E227" s="7">
        <v>0.22389999999999999</v>
      </c>
      <c r="F227" s="7">
        <v>2</v>
      </c>
      <c r="G227" s="7">
        <v>43</v>
      </c>
      <c r="H227" s="7">
        <v>45</v>
      </c>
    </row>
    <row r="228" spans="1:8" x14ac:dyDescent="0.35">
      <c r="A228" s="7">
        <v>0.21210000000000001</v>
      </c>
      <c r="B228" s="7">
        <v>226</v>
      </c>
      <c r="C228" s="5">
        <f t="shared" si="4"/>
        <v>0.21210000000000001</v>
      </c>
      <c r="D228" s="7">
        <v>0.4</v>
      </c>
      <c r="E228" s="7">
        <v>0.1343</v>
      </c>
      <c r="F228" s="7">
        <v>4</v>
      </c>
      <c r="G228" s="7">
        <v>70</v>
      </c>
      <c r="H228" s="7">
        <v>74</v>
      </c>
    </row>
    <row r="229" spans="1:8" x14ac:dyDescent="0.35">
      <c r="A229" s="7">
        <v>0.2273</v>
      </c>
      <c r="B229" s="7">
        <v>227</v>
      </c>
      <c r="C229" s="5">
        <f t="shared" si="4"/>
        <v>0.2273</v>
      </c>
      <c r="D229" s="7">
        <v>0.4</v>
      </c>
      <c r="E229" s="7">
        <v>0.1045</v>
      </c>
      <c r="F229" s="7">
        <v>4</v>
      </c>
      <c r="G229" s="7">
        <v>174</v>
      </c>
      <c r="H229" s="7">
        <v>178</v>
      </c>
    </row>
    <row r="230" spans="1:8" x14ac:dyDescent="0.35">
      <c r="A230" s="7">
        <v>0.19700000000000001</v>
      </c>
      <c r="B230" s="7">
        <v>228</v>
      </c>
      <c r="C230" s="5">
        <f t="shared" si="4"/>
        <v>0.19700000000000001</v>
      </c>
      <c r="D230" s="7">
        <v>0.4</v>
      </c>
      <c r="E230" s="7">
        <v>0.22389999999999999</v>
      </c>
      <c r="F230" s="7">
        <v>1</v>
      </c>
      <c r="G230" s="7">
        <v>154</v>
      </c>
      <c r="H230" s="7">
        <v>155</v>
      </c>
    </row>
    <row r="231" spans="1:8" x14ac:dyDescent="0.35">
      <c r="A231" s="7">
        <v>0.16669999999999999</v>
      </c>
      <c r="B231" s="7">
        <v>229</v>
      </c>
      <c r="C231" s="5">
        <f t="shared" si="4"/>
        <v>0.16669999999999999</v>
      </c>
      <c r="D231" s="7">
        <v>0.47</v>
      </c>
      <c r="E231" s="7">
        <v>0.16420000000000001</v>
      </c>
      <c r="F231" s="7">
        <v>3</v>
      </c>
      <c r="G231" s="7">
        <v>92</v>
      </c>
      <c r="H231" s="7">
        <v>95</v>
      </c>
    </row>
    <row r="232" spans="1:8" x14ac:dyDescent="0.35">
      <c r="A232" s="7">
        <v>0.16669999999999999</v>
      </c>
      <c r="B232" s="7">
        <v>230</v>
      </c>
      <c r="C232" s="5">
        <f t="shared" si="4"/>
        <v>0.16669999999999999</v>
      </c>
      <c r="D232" s="7">
        <v>0.5</v>
      </c>
      <c r="E232" s="7">
        <v>0.16420000000000001</v>
      </c>
      <c r="F232" s="7">
        <v>1</v>
      </c>
      <c r="G232" s="7">
        <v>73</v>
      </c>
      <c r="H232" s="7">
        <v>74</v>
      </c>
    </row>
    <row r="233" spans="1:8" x14ac:dyDescent="0.35">
      <c r="A233" s="7">
        <v>0.13639999999999999</v>
      </c>
      <c r="B233" s="7">
        <v>231</v>
      </c>
      <c r="C233" s="5">
        <f t="shared" si="4"/>
        <v>0.13639999999999999</v>
      </c>
      <c r="D233" s="7">
        <v>0.59</v>
      </c>
      <c r="E233" s="7">
        <v>0.19400000000000001</v>
      </c>
      <c r="F233" s="7">
        <v>1</v>
      </c>
      <c r="G233" s="7">
        <v>37</v>
      </c>
      <c r="H233" s="7">
        <v>38</v>
      </c>
    </row>
    <row r="234" spans="1:8" x14ac:dyDescent="0.35">
      <c r="A234" s="7">
        <v>0.1515</v>
      </c>
      <c r="B234" s="7">
        <v>232</v>
      </c>
      <c r="C234" s="5">
        <f t="shared" si="4"/>
        <v>0.1515</v>
      </c>
      <c r="D234" s="7">
        <v>0.59</v>
      </c>
      <c r="E234" s="7">
        <v>0.16420000000000001</v>
      </c>
      <c r="F234" s="7">
        <v>2</v>
      </c>
      <c r="G234" s="7">
        <v>22</v>
      </c>
      <c r="H234" s="7">
        <v>24</v>
      </c>
    </row>
    <row r="235" spans="1:8" x14ac:dyDescent="0.35">
      <c r="A235" s="7">
        <v>0.1515</v>
      </c>
      <c r="B235" s="7">
        <v>233</v>
      </c>
      <c r="C235" s="5">
        <f t="shared" si="4"/>
        <v>0.1515</v>
      </c>
      <c r="D235" s="7">
        <v>0.59</v>
      </c>
      <c r="E235" s="7">
        <v>0.16420000000000001</v>
      </c>
      <c r="F235" s="7">
        <v>0</v>
      </c>
      <c r="G235" s="7">
        <v>18</v>
      </c>
      <c r="H235" s="7">
        <v>18</v>
      </c>
    </row>
    <row r="236" spans="1:8" x14ac:dyDescent="0.35">
      <c r="A236" s="7">
        <v>0.16669999999999999</v>
      </c>
      <c r="B236" s="7">
        <v>234</v>
      </c>
      <c r="C236" s="5">
        <f t="shared" si="4"/>
        <v>0.16669999999999999</v>
      </c>
      <c r="D236" s="7">
        <v>0.59</v>
      </c>
      <c r="E236" s="7">
        <v>0.1045</v>
      </c>
      <c r="F236" s="7">
        <v>2</v>
      </c>
      <c r="G236" s="7">
        <v>10</v>
      </c>
      <c r="H236" s="7">
        <v>12</v>
      </c>
    </row>
    <row r="237" spans="1:8" x14ac:dyDescent="0.35">
      <c r="A237" s="7">
        <v>0.1515</v>
      </c>
      <c r="B237" s="7">
        <v>235</v>
      </c>
      <c r="C237" s="5">
        <f t="shared" si="4"/>
        <v>0.1515</v>
      </c>
      <c r="D237" s="7">
        <v>0.59</v>
      </c>
      <c r="E237" s="7">
        <v>0.16420000000000001</v>
      </c>
      <c r="F237" s="7">
        <v>0</v>
      </c>
      <c r="G237" s="7">
        <v>3</v>
      </c>
      <c r="H237" s="7">
        <v>3</v>
      </c>
    </row>
    <row r="238" spans="1:8" x14ac:dyDescent="0.35">
      <c r="A238" s="7">
        <v>0.1515</v>
      </c>
      <c r="B238" s="7">
        <v>236</v>
      </c>
      <c r="C238" s="5">
        <f t="shared" si="4"/>
        <v>0.1515</v>
      </c>
      <c r="D238" s="7">
        <v>0.55000000000000004</v>
      </c>
      <c r="E238" s="7">
        <v>0.19400000000000001</v>
      </c>
      <c r="F238" s="7">
        <v>0</v>
      </c>
      <c r="G238" s="7">
        <v>3</v>
      </c>
      <c r="H238" s="7">
        <v>3</v>
      </c>
    </row>
    <row r="239" spans="1:8" x14ac:dyDescent="0.35">
      <c r="A239" s="7">
        <v>0.18179999999999999</v>
      </c>
      <c r="B239" s="7">
        <v>237</v>
      </c>
      <c r="C239" s="5">
        <f t="shared" si="4"/>
        <v>0.18179999999999999</v>
      </c>
      <c r="D239" s="7">
        <v>0.55000000000000004</v>
      </c>
      <c r="E239" s="7">
        <v>0.1343</v>
      </c>
      <c r="F239" s="7">
        <v>0</v>
      </c>
      <c r="G239" s="7">
        <v>6</v>
      </c>
      <c r="H239" s="7">
        <v>6</v>
      </c>
    </row>
    <row r="240" spans="1:8" x14ac:dyDescent="0.35">
      <c r="A240" s="7">
        <v>0.18179999999999999</v>
      </c>
      <c r="B240" s="7">
        <v>238</v>
      </c>
      <c r="C240" s="5">
        <f t="shared" si="4"/>
        <v>0.18179999999999999</v>
      </c>
      <c r="D240" s="7">
        <v>0.55000000000000004</v>
      </c>
      <c r="E240" s="7">
        <v>0.1343</v>
      </c>
      <c r="F240" s="7">
        <v>0</v>
      </c>
      <c r="G240" s="7">
        <v>27</v>
      </c>
      <c r="H240" s="7">
        <v>27</v>
      </c>
    </row>
    <row r="241" spans="1:8" x14ac:dyDescent="0.35">
      <c r="A241" s="7">
        <v>0.2273</v>
      </c>
      <c r="B241" s="7">
        <v>239</v>
      </c>
      <c r="C241" s="5">
        <f t="shared" si="4"/>
        <v>0.2273</v>
      </c>
      <c r="D241" s="7">
        <v>0.55000000000000004</v>
      </c>
      <c r="E241" s="7">
        <v>0</v>
      </c>
      <c r="F241" s="7">
        <v>2</v>
      </c>
      <c r="G241" s="7">
        <v>97</v>
      </c>
      <c r="H241" s="7">
        <v>99</v>
      </c>
    </row>
    <row r="242" spans="1:8" x14ac:dyDescent="0.35">
      <c r="A242" s="7">
        <v>0.21210000000000001</v>
      </c>
      <c r="B242" s="7">
        <v>240</v>
      </c>
      <c r="C242" s="5">
        <f t="shared" si="4"/>
        <v>0.21210000000000001</v>
      </c>
      <c r="D242" s="7">
        <v>0.51</v>
      </c>
      <c r="E242" s="7">
        <v>8.9599999999999999E-2</v>
      </c>
      <c r="F242" s="7">
        <v>3</v>
      </c>
      <c r="G242" s="7">
        <v>214</v>
      </c>
      <c r="H242" s="7">
        <v>217</v>
      </c>
    </row>
    <row r="243" spans="1:8" x14ac:dyDescent="0.35">
      <c r="A243" s="7">
        <v>0.19700000000000001</v>
      </c>
      <c r="B243" s="7">
        <v>241</v>
      </c>
      <c r="C243" s="5">
        <f t="shared" si="4"/>
        <v>0.19700000000000001</v>
      </c>
      <c r="D243" s="7">
        <v>0.51</v>
      </c>
      <c r="E243" s="7">
        <v>0.16420000000000001</v>
      </c>
      <c r="F243" s="7">
        <v>3</v>
      </c>
      <c r="G243" s="7">
        <v>127</v>
      </c>
      <c r="H243" s="7">
        <v>130</v>
      </c>
    </row>
    <row r="244" spans="1:8" x14ac:dyDescent="0.35">
      <c r="A244" s="7">
        <v>0.21210000000000001</v>
      </c>
      <c r="B244" s="7">
        <v>242</v>
      </c>
      <c r="C244" s="5">
        <f t="shared" si="4"/>
        <v>0.21210000000000001</v>
      </c>
      <c r="D244" s="7">
        <v>0.51</v>
      </c>
      <c r="E244" s="7">
        <v>0.16420000000000001</v>
      </c>
      <c r="F244" s="7">
        <v>3</v>
      </c>
      <c r="G244" s="7">
        <v>51</v>
      </c>
      <c r="H244" s="7">
        <v>54</v>
      </c>
    </row>
    <row r="245" spans="1:8" x14ac:dyDescent="0.35">
      <c r="A245" s="7">
        <v>0.21210000000000001</v>
      </c>
      <c r="B245" s="7">
        <v>243</v>
      </c>
      <c r="C245" s="5">
        <f t="shared" si="4"/>
        <v>0.21210000000000001</v>
      </c>
      <c r="D245" s="7">
        <v>0.47</v>
      </c>
      <c r="E245" s="7">
        <v>0.1343</v>
      </c>
      <c r="F245" s="7">
        <v>4</v>
      </c>
      <c r="G245" s="7">
        <v>31</v>
      </c>
      <c r="H245" s="7">
        <v>35</v>
      </c>
    </row>
    <row r="246" spans="1:8" x14ac:dyDescent="0.35">
      <c r="A246" s="7">
        <v>0.2273</v>
      </c>
      <c r="B246" s="7">
        <v>244</v>
      </c>
      <c r="C246" s="5">
        <f t="shared" si="4"/>
        <v>0.2273</v>
      </c>
      <c r="D246" s="7">
        <v>0.51</v>
      </c>
      <c r="E246" s="7">
        <v>0.1045</v>
      </c>
      <c r="F246" s="7">
        <v>2</v>
      </c>
      <c r="G246" s="7">
        <v>55</v>
      </c>
      <c r="H246" s="7">
        <v>57</v>
      </c>
    </row>
    <row r="247" spans="1:8" x14ac:dyDescent="0.35">
      <c r="A247" s="7">
        <v>0.2273</v>
      </c>
      <c r="B247" s="7">
        <v>245</v>
      </c>
      <c r="C247" s="5">
        <f t="shared" si="4"/>
        <v>0.2273</v>
      </c>
      <c r="D247" s="7">
        <v>0.59</v>
      </c>
      <c r="E247" s="7">
        <v>8.9599999999999999E-2</v>
      </c>
      <c r="F247" s="7">
        <v>6</v>
      </c>
      <c r="G247" s="7">
        <v>46</v>
      </c>
      <c r="H247" s="7">
        <v>52</v>
      </c>
    </row>
    <row r="248" spans="1:8" x14ac:dyDescent="0.35">
      <c r="A248" s="7">
        <v>0.2273</v>
      </c>
      <c r="B248" s="7">
        <v>246</v>
      </c>
      <c r="C248" s="5">
        <f t="shared" si="4"/>
        <v>0.2273</v>
      </c>
      <c r="D248" s="7">
        <v>0.59</v>
      </c>
      <c r="E248" s="7">
        <v>8.9599999999999999E-2</v>
      </c>
      <c r="F248" s="7">
        <v>3</v>
      </c>
      <c r="G248" s="7">
        <v>60</v>
      </c>
      <c r="H248" s="7">
        <v>63</v>
      </c>
    </row>
    <row r="249" spans="1:8" x14ac:dyDescent="0.35">
      <c r="A249" s="7">
        <v>0.19700000000000001</v>
      </c>
      <c r="B249" s="7">
        <v>247</v>
      </c>
      <c r="C249" s="5">
        <f t="shared" si="4"/>
        <v>0.19700000000000001</v>
      </c>
      <c r="D249" s="7">
        <v>0.8</v>
      </c>
      <c r="E249" s="7">
        <v>8.9599999999999999E-2</v>
      </c>
      <c r="F249" s="7">
        <v>2</v>
      </c>
      <c r="G249" s="7">
        <v>45</v>
      </c>
      <c r="H249" s="7">
        <v>47</v>
      </c>
    </row>
    <row r="250" spans="1:8" x14ac:dyDescent="0.35">
      <c r="A250" s="7">
        <v>0.1515</v>
      </c>
      <c r="B250" s="7">
        <v>248</v>
      </c>
      <c r="C250" s="5">
        <f t="shared" si="4"/>
        <v>0.1515</v>
      </c>
      <c r="D250" s="7">
        <v>0.86</v>
      </c>
      <c r="E250" s="7">
        <v>0.22389999999999999</v>
      </c>
      <c r="F250" s="7">
        <v>4</v>
      </c>
      <c r="G250" s="7">
        <v>72</v>
      </c>
      <c r="H250" s="7">
        <v>76</v>
      </c>
    </row>
    <row r="251" spans="1:8" x14ac:dyDescent="0.35">
      <c r="A251" s="7">
        <v>0.1515</v>
      </c>
      <c r="B251" s="7">
        <v>249</v>
      </c>
      <c r="C251" s="5">
        <f t="shared" si="4"/>
        <v>0.1515</v>
      </c>
      <c r="D251" s="7">
        <v>0.86</v>
      </c>
      <c r="E251" s="7">
        <v>0.22389999999999999</v>
      </c>
      <c r="F251" s="7">
        <v>6</v>
      </c>
      <c r="G251" s="7">
        <v>130</v>
      </c>
      <c r="H251" s="7">
        <v>136</v>
      </c>
    </row>
    <row r="252" spans="1:8" x14ac:dyDescent="0.35">
      <c r="A252" s="7">
        <v>0.18179999999999999</v>
      </c>
      <c r="B252" s="7">
        <v>250</v>
      </c>
      <c r="C252" s="5">
        <f t="shared" si="4"/>
        <v>0.18179999999999999</v>
      </c>
      <c r="D252" s="7">
        <v>0.93</v>
      </c>
      <c r="E252" s="7">
        <v>0.1045</v>
      </c>
      <c r="F252" s="7">
        <v>1</v>
      </c>
      <c r="G252" s="7">
        <v>94</v>
      </c>
      <c r="H252" s="7">
        <v>95</v>
      </c>
    </row>
    <row r="253" spans="1:8" x14ac:dyDescent="0.35">
      <c r="A253" s="7">
        <v>0.2273</v>
      </c>
      <c r="B253" s="7">
        <v>251</v>
      </c>
      <c r="C253" s="5">
        <f t="shared" si="4"/>
        <v>0.2273</v>
      </c>
      <c r="D253" s="7">
        <v>0.93</v>
      </c>
      <c r="E253" s="7">
        <v>0</v>
      </c>
      <c r="F253" s="7">
        <v>0</v>
      </c>
      <c r="G253" s="7">
        <v>51</v>
      </c>
      <c r="H253" s="7">
        <v>51</v>
      </c>
    </row>
    <row r="254" spans="1:8" x14ac:dyDescent="0.35">
      <c r="A254" s="7">
        <v>0.1515</v>
      </c>
      <c r="B254" s="7">
        <v>252</v>
      </c>
      <c r="C254" s="5">
        <f t="shared" si="4"/>
        <v>0.1515</v>
      </c>
      <c r="D254" s="7">
        <v>0.93</v>
      </c>
      <c r="E254" s="7">
        <v>0.19400000000000001</v>
      </c>
      <c r="F254" s="7">
        <v>0</v>
      </c>
      <c r="G254" s="7">
        <v>32</v>
      </c>
      <c r="H254" s="7">
        <v>32</v>
      </c>
    </row>
    <row r="255" spans="1:8" x14ac:dyDescent="0.35">
      <c r="A255" s="7">
        <v>0.19700000000000001</v>
      </c>
      <c r="B255" s="7">
        <v>253</v>
      </c>
      <c r="C255" s="5">
        <f t="shared" si="4"/>
        <v>0.19700000000000001</v>
      </c>
      <c r="D255" s="7">
        <v>0.86</v>
      </c>
      <c r="E255" s="7">
        <v>8.9599999999999999E-2</v>
      </c>
      <c r="F255" s="7">
        <v>0</v>
      </c>
      <c r="G255" s="7">
        <v>20</v>
      </c>
      <c r="H255" s="7">
        <v>20</v>
      </c>
    </row>
    <row r="256" spans="1:8" x14ac:dyDescent="0.35">
      <c r="A256" s="7">
        <v>0.18179999999999999</v>
      </c>
      <c r="B256" s="7">
        <v>254</v>
      </c>
      <c r="C256" s="5">
        <f t="shared" si="4"/>
        <v>0.18179999999999999</v>
      </c>
      <c r="D256" s="7">
        <v>0.93</v>
      </c>
      <c r="E256" s="7">
        <v>0.1045</v>
      </c>
      <c r="F256" s="7">
        <v>1</v>
      </c>
      <c r="G256" s="7">
        <v>28</v>
      </c>
      <c r="H256" s="7">
        <v>29</v>
      </c>
    </row>
    <row r="257" spans="1:8" x14ac:dyDescent="0.35">
      <c r="A257" s="7">
        <v>0.19700000000000001</v>
      </c>
      <c r="B257" s="7">
        <v>255</v>
      </c>
      <c r="C257" s="5">
        <f t="shared" si="4"/>
        <v>0.19700000000000001</v>
      </c>
      <c r="D257" s="7">
        <v>0.93</v>
      </c>
      <c r="E257" s="7">
        <v>8.9599999999999999E-2</v>
      </c>
      <c r="F257" s="7">
        <v>1</v>
      </c>
      <c r="G257" s="7">
        <v>18</v>
      </c>
      <c r="H257" s="7">
        <v>19</v>
      </c>
    </row>
    <row r="258" spans="1:8" x14ac:dyDescent="0.35">
      <c r="A258" s="7">
        <v>0.19700000000000001</v>
      </c>
      <c r="B258" s="7">
        <v>256</v>
      </c>
      <c r="C258" s="5">
        <f t="shared" si="4"/>
        <v>0.19700000000000001</v>
      </c>
      <c r="D258" s="7">
        <v>0.86</v>
      </c>
      <c r="E258" s="7">
        <v>8.9599999999999999E-2</v>
      </c>
      <c r="F258" s="7">
        <v>0</v>
      </c>
      <c r="G258" s="7">
        <v>7</v>
      </c>
      <c r="H258" s="7">
        <v>7</v>
      </c>
    </row>
    <row r="259" spans="1:8" x14ac:dyDescent="0.35">
      <c r="A259" s="7">
        <v>0.18179999999999999</v>
      </c>
      <c r="B259" s="7">
        <v>257</v>
      </c>
      <c r="C259" s="5">
        <f t="shared" ref="C259:C322" si="5">IF(ISBLANK(A259),AVERAGE(A258:A260),A259)</f>
        <v>0.18179999999999999</v>
      </c>
      <c r="D259" s="7">
        <v>0.86</v>
      </c>
      <c r="E259" s="7">
        <v>0.1045</v>
      </c>
      <c r="F259" s="7">
        <v>0</v>
      </c>
      <c r="G259" s="7">
        <v>6</v>
      </c>
      <c r="H259" s="7">
        <v>6</v>
      </c>
    </row>
    <row r="260" spans="1:8" x14ac:dyDescent="0.35">
      <c r="A260" s="7">
        <v>0.1515</v>
      </c>
      <c r="B260" s="7">
        <v>258</v>
      </c>
      <c r="C260" s="5">
        <f t="shared" si="5"/>
        <v>0.1515</v>
      </c>
      <c r="D260" s="7">
        <v>0.86</v>
      </c>
      <c r="E260" s="7">
        <v>0.1343</v>
      </c>
      <c r="F260" s="7">
        <v>0</v>
      </c>
      <c r="G260" s="7">
        <v>1</v>
      </c>
      <c r="H260" s="7">
        <v>1</v>
      </c>
    </row>
    <row r="261" spans="1:8" x14ac:dyDescent="0.35">
      <c r="A261" s="7">
        <v>0.1515</v>
      </c>
      <c r="B261" s="7">
        <v>259</v>
      </c>
      <c r="C261" s="5">
        <f t="shared" si="5"/>
        <v>0.1515</v>
      </c>
      <c r="D261" s="7">
        <v>0.86</v>
      </c>
      <c r="E261" s="7">
        <v>0.16420000000000001</v>
      </c>
      <c r="F261" s="7">
        <v>0</v>
      </c>
      <c r="G261" s="7">
        <v>5</v>
      </c>
      <c r="H261" s="7">
        <v>5</v>
      </c>
    </row>
    <row r="262" spans="1:8" x14ac:dyDescent="0.35">
      <c r="A262" s="7">
        <v>0.1515</v>
      </c>
      <c r="B262" s="7">
        <v>260</v>
      </c>
      <c r="C262" s="5">
        <f t="shared" si="5"/>
        <v>0.1515</v>
      </c>
      <c r="D262" s="7">
        <v>0.93</v>
      </c>
      <c r="E262" s="7">
        <v>0.1343</v>
      </c>
      <c r="F262" s="7">
        <v>0</v>
      </c>
      <c r="G262" s="7">
        <v>16</v>
      </c>
      <c r="H262" s="7">
        <v>16</v>
      </c>
    </row>
    <row r="263" spans="1:8" x14ac:dyDescent="0.35">
      <c r="A263" s="7">
        <v>0.1515</v>
      </c>
      <c r="B263" s="7">
        <v>261</v>
      </c>
      <c r="C263" s="5">
        <f t="shared" si="5"/>
        <v>0.1515</v>
      </c>
      <c r="D263" s="7">
        <v>0.69</v>
      </c>
      <c r="E263" s="7">
        <v>0.1343</v>
      </c>
      <c r="F263" s="7">
        <v>0</v>
      </c>
      <c r="G263" s="7">
        <v>54</v>
      </c>
      <c r="H263" s="7">
        <v>54</v>
      </c>
    </row>
    <row r="264" spans="1:8" x14ac:dyDescent="0.35">
      <c r="A264" s="7">
        <v>0.16669999999999999</v>
      </c>
      <c r="B264" s="7">
        <v>262</v>
      </c>
      <c r="C264" s="5">
        <f t="shared" si="5"/>
        <v>0.16669999999999999</v>
      </c>
      <c r="D264" s="7">
        <v>0.59</v>
      </c>
      <c r="E264" s="7">
        <v>0.16420000000000001</v>
      </c>
      <c r="F264" s="7">
        <v>3</v>
      </c>
      <c r="G264" s="7">
        <v>125</v>
      </c>
      <c r="H264" s="7">
        <v>128</v>
      </c>
    </row>
    <row r="265" spans="1:8" x14ac:dyDescent="0.35">
      <c r="A265" s="7">
        <v>0.13639999999999999</v>
      </c>
      <c r="B265" s="7">
        <v>263</v>
      </c>
      <c r="C265" s="5">
        <f t="shared" si="5"/>
        <v>0.13639999999999999</v>
      </c>
      <c r="D265" s="7">
        <v>0.59</v>
      </c>
      <c r="E265" s="7">
        <v>0.32840000000000003</v>
      </c>
      <c r="F265" s="7">
        <v>3</v>
      </c>
      <c r="G265" s="7">
        <v>78</v>
      </c>
      <c r="H265" s="7">
        <v>81</v>
      </c>
    </row>
    <row r="266" spans="1:8" x14ac:dyDescent="0.35">
      <c r="A266" s="7">
        <v>0.18179999999999999</v>
      </c>
      <c r="B266" s="7">
        <v>264</v>
      </c>
      <c r="C266" s="5">
        <f t="shared" si="5"/>
        <v>0.18179999999999999</v>
      </c>
      <c r="D266" s="7">
        <v>0.55000000000000004</v>
      </c>
      <c r="E266" s="7">
        <v>0.22389999999999999</v>
      </c>
      <c r="F266" s="7">
        <v>0</v>
      </c>
      <c r="G266" s="7">
        <v>39</v>
      </c>
      <c r="H266" s="7">
        <v>39</v>
      </c>
    </row>
    <row r="267" spans="1:8" x14ac:dyDescent="0.35">
      <c r="A267" s="7">
        <v>0.18179999999999999</v>
      </c>
      <c r="B267" s="7">
        <v>265</v>
      </c>
      <c r="C267" s="5">
        <f t="shared" si="5"/>
        <v>0.18179999999999999</v>
      </c>
      <c r="D267" s="7">
        <v>0.51</v>
      </c>
      <c r="E267" s="7">
        <v>0.3881</v>
      </c>
      <c r="F267" s="7">
        <v>3</v>
      </c>
      <c r="G267" s="7">
        <v>32</v>
      </c>
      <c r="H267" s="7">
        <v>35</v>
      </c>
    </row>
    <row r="268" spans="1:8" x14ac:dyDescent="0.35">
      <c r="A268" s="7">
        <v>0.1515</v>
      </c>
      <c r="B268" s="7">
        <v>266</v>
      </c>
      <c r="C268" s="5">
        <f t="shared" si="5"/>
        <v>0.1515</v>
      </c>
      <c r="D268" s="7">
        <v>0.47</v>
      </c>
      <c r="E268" s="7">
        <v>0.58209999999999995</v>
      </c>
      <c r="F268" s="7">
        <v>3</v>
      </c>
      <c r="G268" s="7">
        <v>52</v>
      </c>
      <c r="H268" s="7">
        <v>55</v>
      </c>
    </row>
    <row r="269" spans="1:8" x14ac:dyDescent="0.35">
      <c r="A269" s="7">
        <v>0.19700000000000001</v>
      </c>
      <c r="B269" s="7">
        <v>267</v>
      </c>
      <c r="C269" s="5">
        <f t="shared" si="5"/>
        <v>0.19700000000000001</v>
      </c>
      <c r="D269" s="7">
        <v>0.44</v>
      </c>
      <c r="E269" s="7">
        <v>0.35820000000000002</v>
      </c>
      <c r="F269" s="7">
        <v>0</v>
      </c>
      <c r="G269" s="7">
        <v>49</v>
      </c>
      <c r="H269" s="7">
        <v>49</v>
      </c>
    </row>
    <row r="270" spans="1:8" x14ac:dyDescent="0.35">
      <c r="A270" s="7">
        <v>0.18179999999999999</v>
      </c>
      <c r="B270" s="7">
        <v>268</v>
      </c>
      <c r="C270" s="5">
        <f t="shared" si="5"/>
        <v>0.18179999999999999</v>
      </c>
      <c r="D270" s="7">
        <v>0.47</v>
      </c>
      <c r="E270" s="7">
        <v>0.32840000000000003</v>
      </c>
      <c r="F270" s="7">
        <v>0</v>
      </c>
      <c r="G270" s="7">
        <v>44</v>
      </c>
      <c r="H270" s="7">
        <v>44</v>
      </c>
    </row>
    <row r="271" spans="1:8" x14ac:dyDescent="0.35">
      <c r="A271" s="7">
        <v>0.16669999999999999</v>
      </c>
      <c r="B271" s="7">
        <v>269</v>
      </c>
      <c r="C271" s="5">
        <f t="shared" si="5"/>
        <v>0.16669999999999999</v>
      </c>
      <c r="D271" s="7">
        <v>0.47</v>
      </c>
      <c r="E271" s="7">
        <v>0.41789999999999999</v>
      </c>
      <c r="F271" s="7">
        <v>1</v>
      </c>
      <c r="G271" s="7">
        <v>48</v>
      </c>
      <c r="H271" s="7">
        <v>49</v>
      </c>
    </row>
    <row r="272" spans="1:8" x14ac:dyDescent="0.35">
      <c r="A272" s="7">
        <v>0.19700000000000001</v>
      </c>
      <c r="B272" s="7">
        <v>270</v>
      </c>
      <c r="C272" s="5">
        <f t="shared" si="5"/>
        <v>0.19700000000000001</v>
      </c>
      <c r="D272" s="7">
        <v>0.44</v>
      </c>
      <c r="E272" s="7">
        <v>0.32840000000000003</v>
      </c>
      <c r="F272" s="7">
        <v>5</v>
      </c>
      <c r="G272" s="7">
        <v>63</v>
      </c>
      <c r="H272" s="7">
        <v>68</v>
      </c>
    </row>
    <row r="273" spans="1:8" x14ac:dyDescent="0.35">
      <c r="A273" s="7">
        <v>0.18179999999999999</v>
      </c>
      <c r="B273" s="7">
        <v>271</v>
      </c>
      <c r="C273" s="5">
        <f t="shared" si="5"/>
        <v>0.18179999999999999</v>
      </c>
      <c r="D273" s="7">
        <v>0.47</v>
      </c>
      <c r="E273" s="7">
        <v>0.35820000000000002</v>
      </c>
      <c r="F273" s="7">
        <v>0</v>
      </c>
      <c r="G273" s="7">
        <v>139</v>
      </c>
      <c r="H273" s="7">
        <v>139</v>
      </c>
    </row>
    <row r="274" spans="1:8" x14ac:dyDescent="0.35">
      <c r="A274" s="7">
        <v>0.1515</v>
      </c>
      <c r="B274" s="7">
        <v>272</v>
      </c>
      <c r="C274" s="5">
        <f t="shared" si="5"/>
        <v>0.1515</v>
      </c>
      <c r="D274" s="7">
        <v>0.47</v>
      </c>
      <c r="E274" s="7">
        <v>0.52239999999999998</v>
      </c>
      <c r="F274" s="7">
        <v>2</v>
      </c>
      <c r="G274" s="7">
        <v>135</v>
      </c>
      <c r="H274" s="7">
        <v>137</v>
      </c>
    </row>
    <row r="275" spans="1:8" x14ac:dyDescent="0.35">
      <c r="A275" s="7">
        <v>0.1515</v>
      </c>
      <c r="B275" s="7">
        <v>273</v>
      </c>
      <c r="C275" s="5">
        <f t="shared" si="5"/>
        <v>0.1515</v>
      </c>
      <c r="D275" s="7">
        <v>0.47</v>
      </c>
      <c r="E275" s="7">
        <v>0.41789999999999999</v>
      </c>
      <c r="F275" s="7">
        <v>1</v>
      </c>
      <c r="G275" s="7">
        <v>82</v>
      </c>
      <c r="H275" s="7">
        <v>83</v>
      </c>
    </row>
    <row r="276" spans="1:8" x14ac:dyDescent="0.35">
      <c r="A276" s="7">
        <v>0.13639999999999999</v>
      </c>
      <c r="B276" s="7">
        <v>274</v>
      </c>
      <c r="C276" s="5">
        <f t="shared" si="5"/>
        <v>0.13639999999999999</v>
      </c>
      <c r="D276" s="7">
        <v>0.5</v>
      </c>
      <c r="E276" s="7">
        <v>0.32840000000000003</v>
      </c>
      <c r="F276" s="7">
        <v>2</v>
      </c>
      <c r="G276" s="7">
        <v>54</v>
      </c>
      <c r="H276" s="7">
        <v>56</v>
      </c>
    </row>
    <row r="277" spans="1:8" x14ac:dyDescent="0.35">
      <c r="A277" s="7">
        <v>0.13639999999999999</v>
      </c>
      <c r="B277" s="7">
        <v>275</v>
      </c>
      <c r="C277" s="5">
        <f t="shared" si="5"/>
        <v>0.13639999999999999</v>
      </c>
      <c r="D277" s="7">
        <v>0.55000000000000004</v>
      </c>
      <c r="E277" s="7">
        <v>0.32840000000000003</v>
      </c>
      <c r="F277" s="7">
        <v>0</v>
      </c>
      <c r="G277" s="7">
        <v>57</v>
      </c>
      <c r="H277" s="7">
        <v>57</v>
      </c>
    </row>
    <row r="278" spans="1:8" x14ac:dyDescent="0.35">
      <c r="A278" s="7">
        <v>0.1212</v>
      </c>
      <c r="B278" s="7">
        <v>276</v>
      </c>
      <c r="C278" s="5">
        <f t="shared" si="5"/>
        <v>0.1212</v>
      </c>
      <c r="D278" s="7">
        <v>0.55000000000000004</v>
      </c>
      <c r="E278" s="7">
        <v>0.44779999999999998</v>
      </c>
      <c r="F278" s="7">
        <v>1</v>
      </c>
      <c r="G278" s="7">
        <v>32</v>
      </c>
      <c r="H278" s="7">
        <v>33</v>
      </c>
    </row>
    <row r="279" spans="1:8" x14ac:dyDescent="0.35">
      <c r="A279" s="7">
        <v>0.1061</v>
      </c>
      <c r="B279" s="7">
        <v>277</v>
      </c>
      <c r="C279" s="5">
        <f t="shared" si="5"/>
        <v>0.1061</v>
      </c>
      <c r="D279" s="7">
        <v>0.59</v>
      </c>
      <c r="E279" s="7">
        <v>0.41789999999999999</v>
      </c>
      <c r="F279" s="7">
        <v>1</v>
      </c>
      <c r="G279" s="7">
        <v>19</v>
      </c>
      <c r="H279" s="7">
        <v>20</v>
      </c>
    </row>
    <row r="280" spans="1:8" x14ac:dyDescent="0.35">
      <c r="A280" s="7">
        <v>0.1212</v>
      </c>
      <c r="B280" s="7">
        <v>278</v>
      </c>
      <c r="C280" s="5">
        <f t="shared" si="5"/>
        <v>0.1212</v>
      </c>
      <c r="D280" s="7">
        <v>0.59</v>
      </c>
      <c r="E280" s="7">
        <v>0.28360000000000002</v>
      </c>
      <c r="F280" s="7">
        <v>1</v>
      </c>
      <c r="G280" s="7">
        <v>6</v>
      </c>
      <c r="H280" s="7">
        <v>7</v>
      </c>
    </row>
    <row r="281" spans="1:8" x14ac:dyDescent="0.35">
      <c r="A281" s="7">
        <v>0.1212</v>
      </c>
      <c r="B281" s="7">
        <v>279</v>
      </c>
      <c r="C281" s="5">
        <f t="shared" si="5"/>
        <v>0.1212</v>
      </c>
      <c r="D281" s="7">
        <v>0.5</v>
      </c>
      <c r="E281" s="7">
        <v>0.28360000000000002</v>
      </c>
      <c r="F281" s="7">
        <v>0</v>
      </c>
      <c r="G281" s="7">
        <v>2</v>
      </c>
      <c r="H281" s="7">
        <v>2</v>
      </c>
    </row>
    <row r="282" spans="1:8" x14ac:dyDescent="0.35">
      <c r="A282" s="7">
        <v>0.1212</v>
      </c>
      <c r="B282" s="7">
        <v>280</v>
      </c>
      <c r="C282" s="5">
        <f t="shared" si="5"/>
        <v>0.1212</v>
      </c>
      <c r="D282" s="7">
        <v>0.5</v>
      </c>
      <c r="E282" s="7">
        <v>0.35820000000000002</v>
      </c>
      <c r="F282" s="7">
        <v>0</v>
      </c>
      <c r="G282" s="7">
        <v>2</v>
      </c>
      <c r="H282" s="7">
        <v>2</v>
      </c>
    </row>
    <row r="283" spans="1:8" x14ac:dyDescent="0.35">
      <c r="A283" s="7">
        <v>0.1212</v>
      </c>
      <c r="B283" s="7">
        <v>281</v>
      </c>
      <c r="C283" s="5">
        <f t="shared" si="5"/>
        <v>0.1212</v>
      </c>
      <c r="D283" s="7">
        <v>0.5</v>
      </c>
      <c r="E283" s="7">
        <v>0.32840000000000003</v>
      </c>
      <c r="F283" s="7">
        <v>0</v>
      </c>
      <c r="G283" s="7">
        <v>3</v>
      </c>
      <c r="H283" s="7">
        <v>3</v>
      </c>
    </row>
    <row r="284" spans="1:8" x14ac:dyDescent="0.35">
      <c r="A284" s="7">
        <v>0.1212</v>
      </c>
      <c r="B284" s="7">
        <v>282</v>
      </c>
      <c r="C284" s="5">
        <f t="shared" si="5"/>
        <v>0.1212</v>
      </c>
      <c r="D284" s="7">
        <v>0.5</v>
      </c>
      <c r="E284" s="7">
        <v>0.25369999999999998</v>
      </c>
      <c r="F284" s="7">
        <v>0</v>
      </c>
      <c r="G284" s="7">
        <v>4</v>
      </c>
      <c r="H284" s="7">
        <v>4</v>
      </c>
    </row>
    <row r="285" spans="1:8" x14ac:dyDescent="0.35">
      <c r="A285" s="7">
        <v>0.1212</v>
      </c>
      <c r="B285" s="7">
        <v>283</v>
      </c>
      <c r="C285" s="5">
        <f t="shared" si="5"/>
        <v>0.1212</v>
      </c>
      <c r="D285" s="7">
        <v>0.5</v>
      </c>
      <c r="E285" s="7">
        <v>0.29849999999999999</v>
      </c>
      <c r="F285" s="7">
        <v>0</v>
      </c>
      <c r="G285" s="7">
        <v>3</v>
      </c>
      <c r="H285" s="7">
        <v>3</v>
      </c>
    </row>
    <row r="286" spans="1:8" x14ac:dyDescent="0.35">
      <c r="A286" s="7">
        <v>0.1515</v>
      </c>
      <c r="B286" s="7">
        <v>284</v>
      </c>
      <c r="C286" s="5">
        <f t="shared" si="5"/>
        <v>0.1515</v>
      </c>
      <c r="D286" s="7">
        <v>0.54</v>
      </c>
      <c r="E286" s="7">
        <v>0.1343</v>
      </c>
      <c r="F286" s="7">
        <v>0</v>
      </c>
      <c r="G286" s="7">
        <v>28</v>
      </c>
      <c r="H286" s="7">
        <v>28</v>
      </c>
    </row>
    <row r="287" spans="1:8" x14ac:dyDescent="0.35">
      <c r="A287" s="7">
        <v>0.1515</v>
      </c>
      <c r="B287" s="7">
        <v>285</v>
      </c>
      <c r="C287" s="5">
        <f t="shared" si="5"/>
        <v>0.1515</v>
      </c>
      <c r="D287" s="7">
        <v>0.54</v>
      </c>
      <c r="E287" s="7">
        <v>0.1343</v>
      </c>
      <c r="F287" s="7">
        <v>0</v>
      </c>
      <c r="G287" s="7">
        <v>72</v>
      </c>
      <c r="H287" s="7">
        <v>72</v>
      </c>
    </row>
    <row r="288" spans="1:8" x14ac:dyDescent="0.35">
      <c r="A288" s="7">
        <v>0.13639999999999999</v>
      </c>
      <c r="B288" s="7">
        <v>286</v>
      </c>
      <c r="C288" s="5">
        <f t="shared" si="5"/>
        <v>0.13639999999999999</v>
      </c>
      <c r="D288" s="7">
        <v>0.5</v>
      </c>
      <c r="E288" s="7">
        <v>0.19400000000000001</v>
      </c>
      <c r="F288" s="7">
        <v>5</v>
      </c>
      <c r="G288" s="7">
        <v>197</v>
      </c>
      <c r="H288" s="7">
        <v>202</v>
      </c>
    </row>
    <row r="289" spans="1:8" x14ac:dyDescent="0.35">
      <c r="A289" s="7">
        <v>0.1212</v>
      </c>
      <c r="B289" s="7">
        <v>287</v>
      </c>
      <c r="C289" s="5">
        <f t="shared" si="5"/>
        <v>0.1212</v>
      </c>
      <c r="D289" s="7">
        <v>0.5</v>
      </c>
      <c r="E289" s="7">
        <v>0.32840000000000003</v>
      </c>
      <c r="F289" s="7">
        <v>2</v>
      </c>
      <c r="G289" s="7">
        <v>137</v>
      </c>
      <c r="H289" s="7">
        <v>139</v>
      </c>
    </row>
    <row r="290" spans="1:8" x14ac:dyDescent="0.35">
      <c r="A290" s="7">
        <v>0.13639999999999999</v>
      </c>
      <c r="B290" s="7">
        <v>288</v>
      </c>
      <c r="C290" s="5">
        <f t="shared" si="5"/>
        <v>0.13639999999999999</v>
      </c>
      <c r="D290" s="7">
        <v>0.5</v>
      </c>
      <c r="E290" s="7">
        <v>0.35820000000000002</v>
      </c>
      <c r="F290" s="7">
        <v>2</v>
      </c>
      <c r="G290" s="7">
        <v>36</v>
      </c>
      <c r="H290" s="7">
        <v>38</v>
      </c>
    </row>
    <row r="291" spans="1:8" x14ac:dyDescent="0.35">
      <c r="A291" s="7">
        <v>0.16669999999999999</v>
      </c>
      <c r="B291" s="7">
        <v>289</v>
      </c>
      <c r="C291" s="5">
        <f t="shared" si="5"/>
        <v>0.16669999999999999</v>
      </c>
      <c r="D291" s="7">
        <v>0.44</v>
      </c>
      <c r="E291" s="7">
        <v>0.44779999999999998</v>
      </c>
      <c r="F291" s="7">
        <v>4</v>
      </c>
      <c r="G291" s="7">
        <v>33</v>
      </c>
      <c r="H291" s="7">
        <v>37</v>
      </c>
    </row>
    <row r="292" spans="1:8" x14ac:dyDescent="0.35">
      <c r="A292" s="7">
        <v>0.16669999999999999</v>
      </c>
      <c r="B292" s="7">
        <v>290</v>
      </c>
      <c r="C292" s="5">
        <f t="shared" si="5"/>
        <v>0.16669999999999999</v>
      </c>
      <c r="D292" s="7">
        <v>0.44</v>
      </c>
      <c r="E292" s="7">
        <v>0.41789999999999999</v>
      </c>
      <c r="F292" s="7">
        <v>3</v>
      </c>
      <c r="G292" s="7">
        <v>49</v>
      </c>
      <c r="H292" s="7">
        <v>52</v>
      </c>
    </row>
    <row r="293" spans="1:8" x14ac:dyDescent="0.35">
      <c r="A293" s="7">
        <v>0.19700000000000001</v>
      </c>
      <c r="B293" s="7">
        <v>291</v>
      </c>
      <c r="C293" s="5">
        <f t="shared" si="5"/>
        <v>0.19700000000000001</v>
      </c>
      <c r="D293" s="7">
        <v>0.41</v>
      </c>
      <c r="E293" s="7">
        <v>0.44779999999999998</v>
      </c>
      <c r="F293" s="7">
        <v>2</v>
      </c>
      <c r="G293" s="7">
        <v>81</v>
      </c>
      <c r="H293" s="7">
        <v>83</v>
      </c>
    </row>
    <row r="294" spans="1:8" x14ac:dyDescent="0.35">
      <c r="A294" s="7">
        <v>0.19700000000000001</v>
      </c>
      <c r="B294" s="7">
        <v>292</v>
      </c>
      <c r="C294" s="5">
        <f t="shared" si="5"/>
        <v>0.19700000000000001</v>
      </c>
      <c r="D294" s="7">
        <v>0.41</v>
      </c>
      <c r="E294" s="7">
        <v>0.3881</v>
      </c>
      <c r="F294" s="7">
        <v>3</v>
      </c>
      <c r="G294" s="7">
        <v>39</v>
      </c>
      <c r="H294" s="7">
        <v>42</v>
      </c>
    </row>
    <row r="295" spans="1:8" x14ac:dyDescent="0.35">
      <c r="A295" s="7">
        <v>0.21210000000000001</v>
      </c>
      <c r="B295" s="7">
        <v>293</v>
      </c>
      <c r="C295" s="5">
        <f t="shared" si="5"/>
        <v>0.21210000000000001</v>
      </c>
      <c r="D295" s="7">
        <v>0.38</v>
      </c>
      <c r="E295" s="7">
        <v>0.29849999999999999</v>
      </c>
      <c r="F295" s="7">
        <v>5</v>
      </c>
      <c r="G295" s="7">
        <v>55</v>
      </c>
      <c r="H295" s="7">
        <v>60</v>
      </c>
    </row>
    <row r="296" spans="1:8" x14ac:dyDescent="0.35">
      <c r="A296" s="7">
        <v>0.21210000000000001</v>
      </c>
      <c r="B296" s="7">
        <v>294</v>
      </c>
      <c r="C296" s="5">
        <f t="shared" si="5"/>
        <v>0.21210000000000001</v>
      </c>
      <c r="D296" s="7">
        <v>0.38</v>
      </c>
      <c r="E296" s="7">
        <v>0.35820000000000002</v>
      </c>
      <c r="F296" s="7">
        <v>2</v>
      </c>
      <c r="G296" s="7">
        <v>76</v>
      </c>
      <c r="H296" s="7">
        <v>78</v>
      </c>
    </row>
    <row r="297" spans="1:8" x14ac:dyDescent="0.35">
      <c r="A297" s="7">
        <v>0.18179999999999999</v>
      </c>
      <c r="B297" s="7">
        <v>295</v>
      </c>
      <c r="C297" s="5">
        <f t="shared" si="5"/>
        <v>0.18179999999999999</v>
      </c>
      <c r="D297" s="7">
        <v>0.4</v>
      </c>
      <c r="E297" s="7">
        <v>0.28360000000000002</v>
      </c>
      <c r="F297" s="7">
        <v>4</v>
      </c>
      <c r="G297" s="7">
        <v>158</v>
      </c>
      <c r="H297" s="7">
        <v>162</v>
      </c>
    </row>
    <row r="298" spans="1:8" x14ac:dyDescent="0.35">
      <c r="A298" s="7">
        <v>0.18179999999999999</v>
      </c>
      <c r="B298" s="7">
        <v>296</v>
      </c>
      <c r="C298" s="5">
        <f t="shared" si="5"/>
        <v>0.18179999999999999</v>
      </c>
      <c r="D298" s="7">
        <v>0.4</v>
      </c>
      <c r="E298" s="7">
        <v>0.32840000000000003</v>
      </c>
      <c r="F298" s="7">
        <v>3</v>
      </c>
      <c r="G298" s="7">
        <v>141</v>
      </c>
      <c r="H298" s="7">
        <v>144</v>
      </c>
    </row>
    <row r="299" spans="1:8" x14ac:dyDescent="0.35">
      <c r="A299" s="7">
        <v>0.1515</v>
      </c>
      <c r="B299" s="7">
        <v>297</v>
      </c>
      <c r="C299" s="5">
        <f t="shared" si="5"/>
        <v>0.1515</v>
      </c>
      <c r="D299" s="7">
        <v>0.47</v>
      </c>
      <c r="E299" s="7">
        <v>0.25369999999999998</v>
      </c>
      <c r="F299" s="7">
        <v>1</v>
      </c>
      <c r="G299" s="7">
        <v>98</v>
      </c>
      <c r="H299" s="7">
        <v>99</v>
      </c>
    </row>
    <row r="300" spans="1:8" x14ac:dyDescent="0.35">
      <c r="A300" s="7">
        <v>0.1515</v>
      </c>
      <c r="B300" s="7">
        <v>298</v>
      </c>
      <c r="C300" s="5">
        <f t="shared" si="5"/>
        <v>0.1515</v>
      </c>
      <c r="D300" s="7">
        <v>0.47</v>
      </c>
      <c r="E300" s="7">
        <v>0.22389999999999999</v>
      </c>
      <c r="F300" s="7">
        <v>0</v>
      </c>
      <c r="G300" s="7">
        <v>64</v>
      </c>
      <c r="H300" s="7">
        <v>64</v>
      </c>
    </row>
    <row r="301" spans="1:8" x14ac:dyDescent="0.35">
      <c r="A301" s="7">
        <v>0.1212</v>
      </c>
      <c r="B301" s="7">
        <v>299</v>
      </c>
      <c r="C301" s="5">
        <f t="shared" si="5"/>
        <v>0.1212</v>
      </c>
      <c r="D301" s="7">
        <v>0.46</v>
      </c>
      <c r="E301" s="7">
        <v>0.29849999999999999</v>
      </c>
      <c r="F301" s="7">
        <v>0</v>
      </c>
      <c r="G301" s="7">
        <v>40</v>
      </c>
      <c r="H301" s="7">
        <v>40</v>
      </c>
    </row>
    <row r="302" spans="1:8" x14ac:dyDescent="0.35">
      <c r="A302" s="7">
        <v>0.1212</v>
      </c>
      <c r="B302" s="7">
        <v>300</v>
      </c>
      <c r="C302" s="5">
        <f t="shared" si="5"/>
        <v>0.1212</v>
      </c>
      <c r="D302" s="7">
        <v>0.46</v>
      </c>
      <c r="E302" s="7">
        <v>0.32840000000000003</v>
      </c>
      <c r="F302" s="7">
        <v>0</v>
      </c>
      <c r="G302" s="7">
        <v>30</v>
      </c>
      <c r="H302" s="7">
        <v>30</v>
      </c>
    </row>
    <row r="303" spans="1:8" x14ac:dyDescent="0.35">
      <c r="A303" s="7">
        <v>0.13639999999999999</v>
      </c>
      <c r="B303" s="7">
        <v>301</v>
      </c>
      <c r="C303" s="5">
        <f t="shared" si="5"/>
        <v>0.13639999999999999</v>
      </c>
      <c r="D303" s="7">
        <v>0.5</v>
      </c>
      <c r="E303" s="7">
        <v>0.19400000000000001</v>
      </c>
      <c r="F303" s="7">
        <v>1</v>
      </c>
      <c r="G303" s="7">
        <v>14</v>
      </c>
      <c r="H303" s="7">
        <v>15</v>
      </c>
    </row>
    <row r="304" spans="1:8" x14ac:dyDescent="0.35">
      <c r="A304" s="7">
        <v>0.13639999999999999</v>
      </c>
      <c r="B304" s="7">
        <v>302</v>
      </c>
      <c r="C304" s="5">
        <f t="shared" si="5"/>
        <v>0.13639999999999999</v>
      </c>
      <c r="D304" s="7">
        <v>0.5</v>
      </c>
      <c r="E304" s="7">
        <v>0.19400000000000001</v>
      </c>
      <c r="F304" s="7">
        <v>0</v>
      </c>
      <c r="G304" s="7">
        <v>14</v>
      </c>
      <c r="H304" s="7">
        <v>14</v>
      </c>
    </row>
    <row r="305" spans="1:8" x14ac:dyDescent="0.35">
      <c r="A305" s="7">
        <v>0.1212</v>
      </c>
      <c r="B305" s="7">
        <v>303</v>
      </c>
      <c r="C305" s="5">
        <f t="shared" si="5"/>
        <v>0.1212</v>
      </c>
      <c r="D305" s="7">
        <v>0.54</v>
      </c>
      <c r="E305" s="7">
        <v>0.16420000000000001</v>
      </c>
      <c r="F305" s="7">
        <v>0</v>
      </c>
      <c r="G305" s="7">
        <v>5</v>
      </c>
      <c r="H305" s="7">
        <v>5</v>
      </c>
    </row>
    <row r="306" spans="1:8" x14ac:dyDescent="0.35">
      <c r="A306" s="7">
        <v>0.1212</v>
      </c>
      <c r="B306" s="7">
        <v>304</v>
      </c>
      <c r="C306" s="5">
        <f t="shared" si="5"/>
        <v>0.1212</v>
      </c>
      <c r="D306" s="7">
        <v>0.54</v>
      </c>
      <c r="E306" s="7">
        <v>0.1343</v>
      </c>
      <c r="F306" s="7">
        <v>0</v>
      </c>
      <c r="G306" s="7">
        <v>1</v>
      </c>
      <c r="H306" s="7">
        <v>1</v>
      </c>
    </row>
    <row r="307" spans="1:8" x14ac:dyDescent="0.35">
      <c r="A307" s="7">
        <v>0.13639999999999999</v>
      </c>
      <c r="B307" s="7">
        <v>305</v>
      </c>
      <c r="C307" s="5">
        <f t="shared" si="5"/>
        <v>0.13639999999999999</v>
      </c>
      <c r="D307" s="7">
        <v>0.54</v>
      </c>
      <c r="E307" s="7">
        <v>0.1045</v>
      </c>
      <c r="F307" s="7">
        <v>0</v>
      </c>
      <c r="G307" s="7">
        <v>1</v>
      </c>
      <c r="H307" s="7">
        <v>1</v>
      </c>
    </row>
    <row r="308" spans="1:8" x14ac:dyDescent="0.35">
      <c r="A308" s="7">
        <v>0.13639999999999999</v>
      </c>
      <c r="B308" s="7">
        <v>306</v>
      </c>
      <c r="C308" s="5">
        <f t="shared" si="5"/>
        <v>0.13639999999999999</v>
      </c>
      <c r="D308" s="7">
        <v>0.54</v>
      </c>
      <c r="E308" s="7">
        <v>8.9599999999999999E-2</v>
      </c>
      <c r="F308" s="7">
        <v>0</v>
      </c>
      <c r="G308" s="7">
        <v>8</v>
      </c>
      <c r="H308" s="7">
        <v>8</v>
      </c>
    </row>
    <row r="309" spans="1:8" x14ac:dyDescent="0.35">
      <c r="A309" s="7">
        <v>0.18179999999999999</v>
      </c>
      <c r="B309" s="7">
        <v>307</v>
      </c>
      <c r="C309" s="5">
        <f t="shared" si="5"/>
        <v>0.18179999999999999</v>
      </c>
      <c r="D309" s="7">
        <v>0.54</v>
      </c>
      <c r="E309" s="7">
        <v>0</v>
      </c>
      <c r="F309" s="7">
        <v>0</v>
      </c>
      <c r="G309" s="7">
        <v>17</v>
      </c>
      <c r="H309" s="7">
        <v>17</v>
      </c>
    </row>
    <row r="310" spans="1:8" x14ac:dyDescent="0.35">
      <c r="A310" s="7">
        <v>0.1212</v>
      </c>
      <c r="B310" s="7">
        <v>308</v>
      </c>
      <c r="C310" s="5">
        <f t="shared" si="5"/>
        <v>0.1212</v>
      </c>
      <c r="D310" s="7">
        <v>0.74</v>
      </c>
      <c r="E310" s="7">
        <v>0.16420000000000001</v>
      </c>
      <c r="F310" s="7">
        <v>0</v>
      </c>
      <c r="G310" s="7">
        <v>70</v>
      </c>
      <c r="H310" s="7">
        <v>70</v>
      </c>
    </row>
    <row r="311" spans="1:8" x14ac:dyDescent="0.35">
      <c r="A311" s="7">
        <v>0.16669999999999999</v>
      </c>
      <c r="B311" s="7">
        <v>309</v>
      </c>
      <c r="C311" s="5">
        <f t="shared" si="5"/>
        <v>0.16669999999999999</v>
      </c>
      <c r="D311" s="7">
        <v>0.68</v>
      </c>
      <c r="E311" s="7">
        <v>0</v>
      </c>
      <c r="F311" s="7">
        <v>2</v>
      </c>
      <c r="G311" s="7">
        <v>156</v>
      </c>
      <c r="H311" s="7">
        <v>158</v>
      </c>
    </row>
    <row r="312" spans="1:8" x14ac:dyDescent="0.35">
      <c r="A312" s="7">
        <v>0.1515</v>
      </c>
      <c r="B312" s="7">
        <v>310</v>
      </c>
      <c r="C312" s="5">
        <f t="shared" si="5"/>
        <v>0.1515</v>
      </c>
      <c r="D312" s="7">
        <v>0.69</v>
      </c>
      <c r="E312" s="7">
        <v>0.1343</v>
      </c>
      <c r="F312" s="7">
        <v>0</v>
      </c>
      <c r="G312" s="7">
        <v>117</v>
      </c>
      <c r="H312" s="7">
        <v>117</v>
      </c>
    </row>
    <row r="313" spans="1:8" x14ac:dyDescent="0.35">
      <c r="A313" s="7">
        <v>0.18179999999999999</v>
      </c>
      <c r="B313" s="7">
        <v>311</v>
      </c>
      <c r="C313" s="5">
        <f t="shared" si="5"/>
        <v>0.18179999999999999</v>
      </c>
      <c r="D313" s="7">
        <v>0.55000000000000004</v>
      </c>
      <c r="E313" s="7">
        <v>0.19400000000000001</v>
      </c>
      <c r="F313" s="7">
        <v>4</v>
      </c>
      <c r="G313" s="7">
        <v>40</v>
      </c>
      <c r="H313" s="7">
        <v>44</v>
      </c>
    </row>
    <row r="314" spans="1:8" x14ac:dyDescent="0.35">
      <c r="A314" s="7">
        <v>0.16669999999999999</v>
      </c>
      <c r="B314" s="7">
        <v>312</v>
      </c>
      <c r="C314" s="5">
        <f t="shared" si="5"/>
        <v>0.16669999999999999</v>
      </c>
      <c r="D314" s="7">
        <v>0.51</v>
      </c>
      <c r="E314" s="7">
        <v>0.28360000000000002</v>
      </c>
      <c r="F314" s="7">
        <v>6</v>
      </c>
      <c r="G314" s="7">
        <v>47</v>
      </c>
      <c r="H314" s="7">
        <v>53</v>
      </c>
    </row>
    <row r="315" spans="1:8" x14ac:dyDescent="0.35">
      <c r="A315" s="7">
        <v>0.19700000000000001</v>
      </c>
      <c r="B315" s="7">
        <v>313</v>
      </c>
      <c r="C315" s="5">
        <f t="shared" si="5"/>
        <v>0.19700000000000001</v>
      </c>
      <c r="D315" s="7">
        <v>0.44</v>
      </c>
      <c r="E315" s="7">
        <v>0.25369999999999998</v>
      </c>
      <c r="F315" s="7">
        <v>2</v>
      </c>
      <c r="G315" s="7">
        <v>59</v>
      </c>
      <c r="H315" s="7">
        <v>61</v>
      </c>
    </row>
    <row r="316" spans="1:8" x14ac:dyDescent="0.35">
      <c r="A316" s="7">
        <v>0.19700000000000001</v>
      </c>
      <c r="B316" s="7">
        <v>314</v>
      </c>
      <c r="C316" s="5">
        <f t="shared" si="5"/>
        <v>0.19700000000000001</v>
      </c>
      <c r="D316" s="7">
        <v>0.37</v>
      </c>
      <c r="E316" s="7">
        <v>0.3881</v>
      </c>
      <c r="F316" s="7">
        <v>4</v>
      </c>
      <c r="G316" s="7">
        <v>73</v>
      </c>
      <c r="H316" s="7">
        <v>77</v>
      </c>
    </row>
    <row r="317" spans="1:8" x14ac:dyDescent="0.35">
      <c r="A317" s="7">
        <v>0.21210000000000001</v>
      </c>
      <c r="B317" s="7">
        <v>315</v>
      </c>
      <c r="C317" s="5">
        <f t="shared" si="5"/>
        <v>0.21210000000000001</v>
      </c>
      <c r="D317" s="7">
        <v>0.41</v>
      </c>
      <c r="E317" s="7">
        <v>0.28360000000000002</v>
      </c>
      <c r="F317" s="7">
        <v>5</v>
      </c>
      <c r="G317" s="7">
        <v>59</v>
      </c>
      <c r="H317" s="7">
        <v>64</v>
      </c>
    </row>
    <row r="318" spans="1:8" x14ac:dyDescent="0.35">
      <c r="A318" s="7">
        <v>0.2424</v>
      </c>
      <c r="B318" s="7">
        <v>316</v>
      </c>
      <c r="C318" s="5">
        <f t="shared" si="5"/>
        <v>0.2424</v>
      </c>
      <c r="D318" s="7">
        <v>0.38</v>
      </c>
      <c r="E318" s="7">
        <v>0.16420000000000001</v>
      </c>
      <c r="F318" s="7">
        <v>9</v>
      </c>
      <c r="G318" s="7">
        <v>59</v>
      </c>
      <c r="H318" s="7">
        <v>68</v>
      </c>
    </row>
    <row r="319" spans="1:8" x14ac:dyDescent="0.35">
      <c r="A319" s="7">
        <v>0.2424</v>
      </c>
      <c r="B319" s="7">
        <v>317</v>
      </c>
      <c r="C319" s="5">
        <f t="shared" si="5"/>
        <v>0.2424</v>
      </c>
      <c r="D319" s="7">
        <v>0.41</v>
      </c>
      <c r="E319" s="7">
        <v>0.1045</v>
      </c>
      <c r="F319" s="7">
        <v>3</v>
      </c>
      <c r="G319" s="7">
        <v>87</v>
      </c>
      <c r="H319" s="7">
        <v>90</v>
      </c>
    </row>
    <row r="320" spans="1:8" x14ac:dyDescent="0.35">
      <c r="A320" s="7">
        <v>0.2273</v>
      </c>
      <c r="B320" s="7">
        <v>318</v>
      </c>
      <c r="C320" s="5">
        <f t="shared" si="5"/>
        <v>0.2273</v>
      </c>
      <c r="D320" s="7">
        <v>0.41</v>
      </c>
      <c r="E320" s="7">
        <v>0.16420000000000001</v>
      </c>
      <c r="F320" s="7">
        <v>4</v>
      </c>
      <c r="G320" s="7">
        <v>155</v>
      </c>
      <c r="H320" s="7">
        <v>159</v>
      </c>
    </row>
    <row r="321" spans="1:8" x14ac:dyDescent="0.35">
      <c r="A321" s="7">
        <v>0.2576</v>
      </c>
      <c r="B321" s="7">
        <v>319</v>
      </c>
      <c r="C321" s="5">
        <f t="shared" si="5"/>
        <v>0.2576</v>
      </c>
      <c r="D321" s="7">
        <v>0.47</v>
      </c>
      <c r="E321" s="7">
        <v>0</v>
      </c>
      <c r="F321" s="7">
        <v>5</v>
      </c>
      <c r="G321" s="7">
        <v>134</v>
      </c>
      <c r="H321" s="7">
        <v>139</v>
      </c>
    </row>
    <row r="322" spans="1:8" x14ac:dyDescent="0.35">
      <c r="A322" s="7">
        <v>0.19700000000000001</v>
      </c>
      <c r="B322" s="7">
        <v>320</v>
      </c>
      <c r="C322" s="5">
        <f t="shared" si="5"/>
        <v>0.19700000000000001</v>
      </c>
      <c r="D322" s="7">
        <v>0.59</v>
      </c>
      <c r="E322" s="7">
        <v>8.9599999999999999E-2</v>
      </c>
      <c r="F322" s="7">
        <v>3</v>
      </c>
      <c r="G322" s="7">
        <v>89</v>
      </c>
      <c r="H322" s="7">
        <v>92</v>
      </c>
    </row>
    <row r="323" spans="1:8" x14ac:dyDescent="0.35">
      <c r="A323" s="7">
        <v>0.2424</v>
      </c>
      <c r="B323" s="7">
        <v>321</v>
      </c>
      <c r="C323" s="5">
        <f t="shared" ref="C323:C386" si="6">IF(ISBLANK(A323),AVERAGE(A322:A324),A323)</f>
        <v>0.2424</v>
      </c>
      <c r="D323" s="7">
        <v>0.59</v>
      </c>
      <c r="E323" s="7">
        <v>0</v>
      </c>
      <c r="F323" s="7">
        <v>0</v>
      </c>
      <c r="G323" s="7">
        <v>68</v>
      </c>
      <c r="H323" s="7">
        <v>68</v>
      </c>
    </row>
    <row r="324" spans="1:8" x14ac:dyDescent="0.35">
      <c r="A324" s="7">
        <v>0.2273</v>
      </c>
      <c r="B324" s="7">
        <v>322</v>
      </c>
      <c r="C324" s="5">
        <f t="shared" si="6"/>
        <v>0.2273</v>
      </c>
      <c r="D324" s="7">
        <v>0.69</v>
      </c>
      <c r="E324" s="7">
        <v>0</v>
      </c>
      <c r="F324" s="7">
        <v>4</v>
      </c>
      <c r="G324" s="7">
        <v>48</v>
      </c>
      <c r="H324" s="7">
        <v>52</v>
      </c>
    </row>
    <row r="325" spans="1:8" x14ac:dyDescent="0.35">
      <c r="A325" s="7">
        <v>0.2273</v>
      </c>
      <c r="B325" s="7">
        <v>323</v>
      </c>
      <c r="C325" s="5">
        <f t="shared" si="6"/>
        <v>0.2273</v>
      </c>
      <c r="D325" s="7">
        <v>0.69</v>
      </c>
      <c r="E325" s="7">
        <v>0</v>
      </c>
      <c r="F325" s="7">
        <v>2</v>
      </c>
      <c r="G325" s="7">
        <v>34</v>
      </c>
      <c r="H325" s="7">
        <v>36</v>
      </c>
    </row>
    <row r="326" spans="1:8" x14ac:dyDescent="0.35">
      <c r="A326" s="7">
        <v>0.2424</v>
      </c>
      <c r="B326" s="7">
        <v>324</v>
      </c>
      <c r="C326" s="5">
        <f t="shared" si="6"/>
        <v>0.2424</v>
      </c>
      <c r="D326" s="7">
        <v>0.55000000000000004</v>
      </c>
      <c r="E326" s="7">
        <v>0</v>
      </c>
      <c r="F326" s="7">
        <v>1</v>
      </c>
      <c r="G326" s="7">
        <v>26</v>
      </c>
      <c r="H326" s="7">
        <v>27</v>
      </c>
    </row>
    <row r="327" spans="1:8" x14ac:dyDescent="0.35">
      <c r="A327" s="7">
        <v>0.2424</v>
      </c>
      <c r="B327" s="7">
        <v>325</v>
      </c>
      <c r="C327" s="5">
        <f t="shared" si="6"/>
        <v>0.2424</v>
      </c>
      <c r="D327" s="7">
        <v>0.55000000000000004</v>
      </c>
      <c r="E327" s="7">
        <v>0</v>
      </c>
      <c r="F327" s="7">
        <v>3</v>
      </c>
      <c r="G327" s="7">
        <v>25</v>
      </c>
      <c r="H327" s="7">
        <v>28</v>
      </c>
    </row>
    <row r="328" spans="1:8" x14ac:dyDescent="0.35">
      <c r="A328" s="7">
        <v>0.19700000000000001</v>
      </c>
      <c r="B328" s="7">
        <v>326</v>
      </c>
      <c r="C328" s="5">
        <f t="shared" si="6"/>
        <v>0.19700000000000001</v>
      </c>
      <c r="D328" s="7">
        <v>0.59</v>
      </c>
      <c r="E328" s="7">
        <v>8.9599999999999999E-2</v>
      </c>
      <c r="F328" s="7">
        <v>2</v>
      </c>
      <c r="G328" s="7">
        <v>18</v>
      </c>
      <c r="H328" s="7">
        <v>20</v>
      </c>
    </row>
    <row r="329" spans="1:8" x14ac:dyDescent="0.35">
      <c r="A329" s="7">
        <v>0.19700000000000001</v>
      </c>
      <c r="B329" s="7">
        <v>327</v>
      </c>
      <c r="C329" s="5">
        <f t="shared" si="6"/>
        <v>0.19700000000000001</v>
      </c>
      <c r="D329" s="7">
        <v>0.59</v>
      </c>
      <c r="E329" s="7">
        <v>8.9599999999999999E-2</v>
      </c>
      <c r="F329" s="7">
        <v>0</v>
      </c>
      <c r="G329" s="7">
        <v>12</v>
      </c>
      <c r="H329" s="7">
        <v>12</v>
      </c>
    </row>
    <row r="330" spans="1:8" x14ac:dyDescent="0.35">
      <c r="A330" s="7">
        <v>0.2273</v>
      </c>
      <c r="B330" s="7">
        <v>328</v>
      </c>
      <c r="C330" s="5">
        <f t="shared" si="6"/>
        <v>0.2273</v>
      </c>
      <c r="D330" s="7">
        <v>0.59</v>
      </c>
      <c r="E330" s="7">
        <v>0</v>
      </c>
      <c r="F330" s="7">
        <v>1</v>
      </c>
      <c r="G330" s="7">
        <v>7</v>
      </c>
      <c r="H330" s="7">
        <v>8</v>
      </c>
    </row>
    <row r="331" spans="1:8" x14ac:dyDescent="0.35">
      <c r="A331" s="7">
        <v>0.2273</v>
      </c>
      <c r="B331" s="7">
        <v>329</v>
      </c>
      <c r="C331" s="5">
        <f t="shared" si="6"/>
        <v>0.2273</v>
      </c>
      <c r="D331" s="7">
        <v>0.59</v>
      </c>
      <c r="E331" s="7">
        <v>0</v>
      </c>
      <c r="F331" s="7">
        <v>0</v>
      </c>
      <c r="G331" s="7">
        <v>5</v>
      </c>
      <c r="H331" s="7">
        <v>5</v>
      </c>
    </row>
    <row r="332" spans="1:8" x14ac:dyDescent="0.35">
      <c r="A332" s="7">
        <v>0.2273</v>
      </c>
      <c r="B332" s="7">
        <v>330</v>
      </c>
      <c r="C332" s="5">
        <f t="shared" si="6"/>
        <v>0.2273</v>
      </c>
      <c r="D332" s="7">
        <v>0.59</v>
      </c>
      <c r="E332" s="7">
        <v>0</v>
      </c>
      <c r="F332" s="7">
        <v>0</v>
      </c>
      <c r="G332" s="7">
        <v>1</v>
      </c>
      <c r="H332" s="7">
        <v>1</v>
      </c>
    </row>
    <row r="333" spans="1:8" x14ac:dyDescent="0.35">
      <c r="A333" s="7">
        <v>0.16669999999999999</v>
      </c>
      <c r="B333" s="7">
        <v>331</v>
      </c>
      <c r="C333" s="5">
        <f t="shared" si="6"/>
        <v>0.16669999999999999</v>
      </c>
      <c r="D333" s="7">
        <v>0.63</v>
      </c>
      <c r="E333" s="7">
        <v>0.1045</v>
      </c>
      <c r="F333" s="7">
        <v>1</v>
      </c>
      <c r="G333" s="7">
        <v>2</v>
      </c>
      <c r="H333" s="7">
        <v>3</v>
      </c>
    </row>
    <row r="334" spans="1:8" x14ac:dyDescent="0.35">
      <c r="A334" s="7">
        <v>0.21210000000000001</v>
      </c>
      <c r="B334" s="7">
        <v>332</v>
      </c>
      <c r="C334" s="5">
        <f t="shared" si="6"/>
        <v>0.21210000000000001</v>
      </c>
      <c r="D334" s="7">
        <v>0.63</v>
      </c>
      <c r="E334" s="7">
        <v>0</v>
      </c>
      <c r="F334" s="7">
        <v>1</v>
      </c>
      <c r="G334" s="7">
        <v>9</v>
      </c>
      <c r="H334" s="7">
        <v>10</v>
      </c>
    </row>
    <row r="335" spans="1:8" x14ac:dyDescent="0.35">
      <c r="A335" s="7">
        <v>0.1515</v>
      </c>
      <c r="B335" s="7">
        <v>333</v>
      </c>
      <c r="C335" s="5">
        <f t="shared" si="6"/>
        <v>0.1515</v>
      </c>
      <c r="D335" s="7">
        <v>0.63</v>
      </c>
      <c r="E335" s="7">
        <v>0.1343</v>
      </c>
      <c r="F335" s="7">
        <v>1</v>
      </c>
      <c r="G335" s="7">
        <v>22</v>
      </c>
      <c r="H335" s="7">
        <v>23</v>
      </c>
    </row>
    <row r="336" spans="1:8" x14ac:dyDescent="0.35">
      <c r="A336" s="7">
        <v>0.18179999999999999</v>
      </c>
      <c r="B336" s="7">
        <v>334</v>
      </c>
      <c r="C336" s="5">
        <f t="shared" si="6"/>
        <v>0.18179999999999999</v>
      </c>
      <c r="D336" s="7">
        <v>0.64</v>
      </c>
      <c r="E336" s="7">
        <v>0.1343</v>
      </c>
      <c r="F336" s="7">
        <v>2</v>
      </c>
      <c r="G336" s="7">
        <v>31</v>
      </c>
      <c r="H336" s="7">
        <v>33</v>
      </c>
    </row>
    <row r="337" spans="1:8" x14ac:dyDescent="0.35">
      <c r="A337" s="7">
        <v>0.19700000000000001</v>
      </c>
      <c r="B337" s="7">
        <v>335</v>
      </c>
      <c r="C337" s="5">
        <f t="shared" si="6"/>
        <v>0.19700000000000001</v>
      </c>
      <c r="D337" s="7">
        <v>0.59</v>
      </c>
      <c r="E337" s="7">
        <v>0.16420000000000001</v>
      </c>
      <c r="F337" s="7">
        <v>2</v>
      </c>
      <c r="G337" s="7">
        <v>57</v>
      </c>
      <c r="H337" s="7">
        <v>59</v>
      </c>
    </row>
    <row r="338" spans="1:8" x14ac:dyDescent="0.35">
      <c r="A338" s="7">
        <v>0.19700000000000001</v>
      </c>
      <c r="B338" s="7">
        <v>336</v>
      </c>
      <c r="C338" s="5">
        <f t="shared" si="6"/>
        <v>0.19700000000000001</v>
      </c>
      <c r="D338" s="7">
        <v>0.55000000000000004</v>
      </c>
      <c r="E338" s="7">
        <v>0.22389999999999999</v>
      </c>
      <c r="F338" s="7">
        <v>18</v>
      </c>
      <c r="G338" s="7">
        <v>54</v>
      </c>
      <c r="H338" s="7">
        <v>72</v>
      </c>
    </row>
    <row r="339" spans="1:8" x14ac:dyDescent="0.35">
      <c r="A339" s="7">
        <v>0.2273</v>
      </c>
      <c r="B339" s="7">
        <v>337</v>
      </c>
      <c r="C339" s="5">
        <f t="shared" si="6"/>
        <v>0.2273</v>
      </c>
      <c r="D339" s="7">
        <v>0.48</v>
      </c>
      <c r="E339" s="7">
        <v>0.22389999999999999</v>
      </c>
      <c r="F339" s="7">
        <v>15</v>
      </c>
      <c r="G339" s="7">
        <v>74</v>
      </c>
      <c r="H339" s="7">
        <v>89</v>
      </c>
    </row>
    <row r="340" spans="1:8" x14ac:dyDescent="0.35">
      <c r="A340" s="7">
        <v>0.2576</v>
      </c>
      <c r="B340" s="7">
        <v>338</v>
      </c>
      <c r="C340" s="5">
        <f t="shared" si="6"/>
        <v>0.2576</v>
      </c>
      <c r="D340" s="7">
        <v>0.38</v>
      </c>
      <c r="E340" s="7">
        <v>0.29849999999999999</v>
      </c>
      <c r="F340" s="7">
        <v>21</v>
      </c>
      <c r="G340" s="7">
        <v>80</v>
      </c>
      <c r="H340" s="7">
        <v>101</v>
      </c>
    </row>
    <row r="341" spans="1:8" x14ac:dyDescent="0.35">
      <c r="A341" s="7">
        <v>0.28789999999999999</v>
      </c>
      <c r="B341" s="7">
        <v>339</v>
      </c>
      <c r="C341" s="5">
        <f t="shared" si="6"/>
        <v>0.28789999999999999</v>
      </c>
      <c r="D341" s="7">
        <v>0.39</v>
      </c>
      <c r="E341" s="7">
        <v>0.28360000000000002</v>
      </c>
      <c r="F341" s="7">
        <v>26</v>
      </c>
      <c r="G341" s="7">
        <v>92</v>
      </c>
      <c r="H341" s="7">
        <v>118</v>
      </c>
    </row>
    <row r="342" spans="1:8" x14ac:dyDescent="0.35">
      <c r="A342" s="7">
        <v>0.31819999999999998</v>
      </c>
      <c r="B342" s="7">
        <v>340</v>
      </c>
      <c r="C342" s="5">
        <f t="shared" si="6"/>
        <v>0.31819999999999998</v>
      </c>
      <c r="D342" s="7">
        <v>0.36</v>
      </c>
      <c r="E342" s="7">
        <v>0.19400000000000001</v>
      </c>
      <c r="F342" s="7">
        <v>21</v>
      </c>
      <c r="G342" s="7">
        <v>108</v>
      </c>
      <c r="H342" s="7">
        <v>129</v>
      </c>
    </row>
    <row r="343" spans="1:8" x14ac:dyDescent="0.35">
      <c r="A343" s="7">
        <v>0.33329999999999999</v>
      </c>
      <c r="B343" s="7">
        <v>341</v>
      </c>
      <c r="C343" s="5">
        <f t="shared" si="6"/>
        <v>0.33329999999999999</v>
      </c>
      <c r="D343" s="7">
        <v>0.34</v>
      </c>
      <c r="E343" s="7">
        <v>0.19400000000000001</v>
      </c>
      <c r="F343" s="7">
        <v>33</v>
      </c>
      <c r="G343" s="7">
        <v>95</v>
      </c>
      <c r="H343" s="7">
        <v>128</v>
      </c>
    </row>
    <row r="344" spans="1:8" x14ac:dyDescent="0.35">
      <c r="A344" s="7">
        <v>0.30299999999999999</v>
      </c>
      <c r="B344" s="7">
        <v>342</v>
      </c>
      <c r="C344" s="5">
        <f t="shared" si="6"/>
        <v>0.30299999999999999</v>
      </c>
      <c r="D344" s="7">
        <v>0.36</v>
      </c>
      <c r="E344" s="7">
        <v>0.28360000000000002</v>
      </c>
      <c r="F344" s="7">
        <v>29</v>
      </c>
      <c r="G344" s="7">
        <v>54</v>
      </c>
      <c r="H344" s="7">
        <v>83</v>
      </c>
    </row>
    <row r="345" spans="1:8" x14ac:dyDescent="0.35">
      <c r="A345" s="7">
        <v>0.28789999999999999</v>
      </c>
      <c r="B345" s="7">
        <v>343</v>
      </c>
      <c r="C345" s="5">
        <f t="shared" si="6"/>
        <v>0.28789999999999999</v>
      </c>
      <c r="D345" s="7">
        <v>0.45</v>
      </c>
      <c r="E345" s="7">
        <v>0.25369999999999998</v>
      </c>
      <c r="F345" s="7">
        <v>15</v>
      </c>
      <c r="G345" s="7">
        <v>69</v>
      </c>
      <c r="H345" s="7">
        <v>84</v>
      </c>
    </row>
    <row r="346" spans="1:8" x14ac:dyDescent="0.35">
      <c r="A346" s="7">
        <v>0.30299999999999999</v>
      </c>
      <c r="B346" s="7">
        <v>344</v>
      </c>
      <c r="C346" s="5">
        <f t="shared" si="6"/>
        <v>0.30299999999999999</v>
      </c>
      <c r="D346" s="7">
        <v>0.39</v>
      </c>
      <c r="E346" s="7">
        <v>0.25369999999999998</v>
      </c>
      <c r="F346" s="7">
        <v>14</v>
      </c>
      <c r="G346" s="7">
        <v>60</v>
      </c>
      <c r="H346" s="7">
        <v>74</v>
      </c>
    </row>
    <row r="347" spans="1:8" x14ac:dyDescent="0.35">
      <c r="A347" s="7">
        <v>0.30299999999999999</v>
      </c>
      <c r="B347" s="7">
        <v>345</v>
      </c>
      <c r="C347" s="5">
        <f t="shared" si="6"/>
        <v>0.30299999999999999</v>
      </c>
      <c r="D347" s="7">
        <v>0.39</v>
      </c>
      <c r="E347" s="7">
        <v>0.25369999999999998</v>
      </c>
      <c r="F347" s="7">
        <v>6</v>
      </c>
      <c r="G347" s="7">
        <v>35</v>
      </c>
      <c r="H347" s="7">
        <v>41</v>
      </c>
    </row>
    <row r="348" spans="1:8" x14ac:dyDescent="0.35">
      <c r="A348" s="7">
        <v>0.30299999999999999</v>
      </c>
      <c r="B348" s="7">
        <v>346</v>
      </c>
      <c r="C348" s="5">
        <f t="shared" si="6"/>
        <v>0.30299999999999999</v>
      </c>
      <c r="D348" s="7">
        <v>0.39</v>
      </c>
      <c r="E348" s="7">
        <v>0.22389999999999999</v>
      </c>
      <c r="F348" s="7">
        <v>6</v>
      </c>
      <c r="G348" s="7">
        <v>51</v>
      </c>
      <c r="H348" s="7">
        <v>57</v>
      </c>
    </row>
    <row r="349" spans="1:8" x14ac:dyDescent="0.35">
      <c r="A349" s="7">
        <v>0.31819999999999998</v>
      </c>
      <c r="B349" s="7">
        <v>347</v>
      </c>
      <c r="C349" s="5">
        <f t="shared" si="6"/>
        <v>0.31819999999999998</v>
      </c>
      <c r="D349" s="7">
        <v>0.42</v>
      </c>
      <c r="E349" s="7">
        <v>0.1045</v>
      </c>
      <c r="F349" s="7">
        <v>0</v>
      </c>
      <c r="G349" s="7">
        <v>26</v>
      </c>
      <c r="H349" s="7">
        <v>26</v>
      </c>
    </row>
    <row r="350" spans="1:8" x14ac:dyDescent="0.35">
      <c r="A350" s="7">
        <v>0.28789999999999999</v>
      </c>
      <c r="B350" s="7">
        <v>348</v>
      </c>
      <c r="C350" s="5">
        <f t="shared" si="6"/>
        <v>0.28789999999999999</v>
      </c>
      <c r="D350" s="7">
        <v>0.45</v>
      </c>
      <c r="E350" s="7">
        <v>0.28360000000000002</v>
      </c>
      <c r="F350" s="7">
        <v>5</v>
      </c>
      <c r="G350" s="7">
        <v>39</v>
      </c>
      <c r="H350" s="7">
        <v>44</v>
      </c>
    </row>
    <row r="351" spans="1:8" x14ac:dyDescent="0.35">
      <c r="A351" s="7">
        <v>0.30299999999999999</v>
      </c>
      <c r="B351" s="7">
        <v>349</v>
      </c>
      <c r="C351" s="5">
        <f t="shared" si="6"/>
        <v>0.30299999999999999</v>
      </c>
      <c r="D351" s="7">
        <v>0.56000000000000005</v>
      </c>
      <c r="E351" s="7">
        <v>0</v>
      </c>
      <c r="F351" s="7">
        <v>6</v>
      </c>
      <c r="G351" s="7">
        <v>33</v>
      </c>
      <c r="H351" s="7">
        <v>39</v>
      </c>
    </row>
    <row r="352" spans="1:8" x14ac:dyDescent="0.35">
      <c r="A352" s="7">
        <v>0.2727</v>
      </c>
      <c r="B352" s="7">
        <v>350</v>
      </c>
      <c r="C352" s="5">
        <f t="shared" si="6"/>
        <v>0.2727</v>
      </c>
      <c r="D352" s="7">
        <v>0.56000000000000005</v>
      </c>
      <c r="E352" s="7">
        <v>0.1343</v>
      </c>
      <c r="F352" s="7">
        <v>4</v>
      </c>
      <c r="G352" s="7">
        <v>19</v>
      </c>
      <c r="H352" s="7">
        <v>23</v>
      </c>
    </row>
    <row r="353" spans="1:8" x14ac:dyDescent="0.35">
      <c r="A353" s="7">
        <v>0.28789999999999999</v>
      </c>
      <c r="B353" s="7">
        <v>351</v>
      </c>
      <c r="C353" s="5">
        <f t="shared" si="6"/>
        <v>0.28789999999999999</v>
      </c>
      <c r="D353" s="7">
        <v>0.56000000000000005</v>
      </c>
      <c r="E353" s="7">
        <v>8.9599999999999999E-2</v>
      </c>
      <c r="F353" s="7">
        <v>3</v>
      </c>
      <c r="G353" s="7">
        <v>13</v>
      </c>
      <c r="H353" s="7">
        <v>16</v>
      </c>
    </row>
    <row r="354" spans="1:8" x14ac:dyDescent="0.35">
      <c r="A354" s="7">
        <v>0.2727</v>
      </c>
      <c r="B354" s="7">
        <v>352</v>
      </c>
      <c r="C354" s="5">
        <f t="shared" si="6"/>
        <v>0.2727</v>
      </c>
      <c r="D354" s="7">
        <v>0.69</v>
      </c>
      <c r="E354" s="7">
        <v>0</v>
      </c>
      <c r="F354" s="7">
        <v>9</v>
      </c>
      <c r="G354" s="7">
        <v>6</v>
      </c>
      <c r="H354" s="7">
        <v>15</v>
      </c>
    </row>
    <row r="355" spans="1:8" x14ac:dyDescent="0.35">
      <c r="A355" s="7">
        <v>0.2576</v>
      </c>
      <c r="B355" s="7">
        <v>353</v>
      </c>
      <c r="C355" s="5">
        <f t="shared" si="6"/>
        <v>0.2576</v>
      </c>
      <c r="D355" s="7">
        <v>0.56000000000000005</v>
      </c>
      <c r="E355" s="7">
        <v>0.16420000000000001</v>
      </c>
      <c r="F355" s="7">
        <v>0</v>
      </c>
      <c r="G355" s="7">
        <v>1</v>
      </c>
      <c r="H355" s="7">
        <v>1</v>
      </c>
    </row>
    <row r="356" spans="1:8" x14ac:dyDescent="0.35">
      <c r="A356" s="7">
        <v>0.2576</v>
      </c>
      <c r="B356" s="7">
        <v>354</v>
      </c>
      <c r="C356" s="5">
        <f t="shared" si="6"/>
        <v>0.2576</v>
      </c>
      <c r="D356" s="7">
        <v>0.56000000000000005</v>
      </c>
      <c r="E356" s="7">
        <v>0.16420000000000001</v>
      </c>
      <c r="F356" s="7">
        <v>1</v>
      </c>
      <c r="G356" s="7">
        <v>1</v>
      </c>
      <c r="H356" s="7">
        <v>2</v>
      </c>
    </row>
    <row r="357" spans="1:8" x14ac:dyDescent="0.35">
      <c r="A357" s="7">
        <v>0.2576</v>
      </c>
      <c r="B357" s="7">
        <v>355</v>
      </c>
      <c r="C357" s="5">
        <f t="shared" si="6"/>
        <v>0.2576</v>
      </c>
      <c r="D357" s="7">
        <v>0.56000000000000005</v>
      </c>
      <c r="E357" s="7">
        <v>0.16420000000000001</v>
      </c>
      <c r="F357" s="7">
        <v>0</v>
      </c>
      <c r="G357" s="7">
        <v>1</v>
      </c>
      <c r="H357" s="7">
        <v>1</v>
      </c>
    </row>
    <row r="358" spans="1:8" x14ac:dyDescent="0.35">
      <c r="A358" s="7">
        <v>0.21210000000000001</v>
      </c>
      <c r="B358" s="7">
        <v>356</v>
      </c>
      <c r="C358" s="5">
        <f t="shared" si="6"/>
        <v>0.21210000000000001</v>
      </c>
      <c r="D358" s="7">
        <v>0.56000000000000005</v>
      </c>
      <c r="E358" s="7">
        <v>0.29849999999999999</v>
      </c>
      <c r="F358" s="7">
        <v>0</v>
      </c>
      <c r="G358" s="7">
        <v>3</v>
      </c>
      <c r="H358" s="7">
        <v>3</v>
      </c>
    </row>
    <row r="359" spans="1:8" x14ac:dyDescent="0.35">
      <c r="A359" s="7">
        <v>0.21210000000000001</v>
      </c>
      <c r="B359" s="7">
        <v>357</v>
      </c>
      <c r="C359" s="5">
        <f t="shared" si="6"/>
        <v>0.21210000000000001</v>
      </c>
      <c r="D359" s="7">
        <v>0.55000000000000004</v>
      </c>
      <c r="E359" s="7">
        <v>0.28360000000000002</v>
      </c>
      <c r="F359" s="7">
        <v>0</v>
      </c>
      <c r="G359" s="7">
        <v>18</v>
      </c>
      <c r="H359" s="7">
        <v>18</v>
      </c>
    </row>
    <row r="360" spans="1:8" x14ac:dyDescent="0.35">
      <c r="A360" s="7">
        <v>0.21210000000000001</v>
      </c>
      <c r="B360" s="7">
        <v>358</v>
      </c>
      <c r="C360" s="5">
        <f t="shared" si="6"/>
        <v>0.21210000000000001</v>
      </c>
      <c r="D360" s="7">
        <v>0.51</v>
      </c>
      <c r="E360" s="7">
        <v>0.25369999999999998</v>
      </c>
      <c r="F360" s="7">
        <v>3</v>
      </c>
      <c r="G360" s="7">
        <v>29</v>
      </c>
      <c r="H360" s="7">
        <v>32</v>
      </c>
    </row>
    <row r="361" spans="1:8" x14ac:dyDescent="0.35">
      <c r="A361" s="7">
        <v>0.21210000000000001</v>
      </c>
      <c r="B361" s="7">
        <v>359</v>
      </c>
      <c r="C361" s="5">
        <f t="shared" si="6"/>
        <v>0.21210000000000001</v>
      </c>
      <c r="D361" s="7">
        <v>0.51</v>
      </c>
      <c r="E361" s="7">
        <v>0.28360000000000002</v>
      </c>
      <c r="F361" s="7">
        <v>8</v>
      </c>
      <c r="G361" s="7">
        <v>71</v>
      </c>
      <c r="H361" s="7">
        <v>79</v>
      </c>
    </row>
    <row r="362" spans="1:8" x14ac:dyDescent="0.35">
      <c r="A362" s="7">
        <v>0.2273</v>
      </c>
      <c r="B362" s="7">
        <v>360</v>
      </c>
      <c r="C362" s="5">
        <f t="shared" si="6"/>
        <v>0.2273</v>
      </c>
      <c r="D362" s="7">
        <v>0.44</v>
      </c>
      <c r="E362" s="7">
        <v>0.25369999999999998</v>
      </c>
      <c r="F362" s="7">
        <v>23</v>
      </c>
      <c r="G362" s="7">
        <v>70</v>
      </c>
      <c r="H362" s="7">
        <v>93</v>
      </c>
    </row>
    <row r="363" spans="1:8" x14ac:dyDescent="0.35">
      <c r="A363" s="7">
        <v>0.21210000000000001</v>
      </c>
      <c r="B363" s="7">
        <v>361</v>
      </c>
      <c r="C363" s="5">
        <f t="shared" si="6"/>
        <v>0.21210000000000001</v>
      </c>
      <c r="D363" s="7">
        <v>0.41</v>
      </c>
      <c r="E363" s="7">
        <v>0.28360000000000002</v>
      </c>
      <c r="F363" s="7">
        <v>29</v>
      </c>
      <c r="G363" s="7">
        <v>75</v>
      </c>
      <c r="H363" s="7">
        <v>104</v>
      </c>
    </row>
    <row r="364" spans="1:8" x14ac:dyDescent="0.35">
      <c r="A364" s="7">
        <v>0.2273</v>
      </c>
      <c r="B364" s="7">
        <v>362</v>
      </c>
      <c r="C364" s="5">
        <f t="shared" si="6"/>
        <v>0.2273</v>
      </c>
      <c r="D364" s="7">
        <v>0.35</v>
      </c>
      <c r="E364" s="7">
        <v>0.29849999999999999</v>
      </c>
      <c r="F364" s="7">
        <v>23</v>
      </c>
      <c r="G364" s="7">
        <v>95</v>
      </c>
      <c r="H364" s="7">
        <v>118</v>
      </c>
    </row>
    <row r="365" spans="1:8" x14ac:dyDescent="0.35">
      <c r="A365" s="7">
        <v>0.2727</v>
      </c>
      <c r="B365" s="7">
        <v>363</v>
      </c>
      <c r="C365" s="5">
        <f t="shared" si="6"/>
        <v>0.2727</v>
      </c>
      <c r="D365" s="7">
        <v>0.36</v>
      </c>
      <c r="E365" s="7">
        <v>0.25369999999999998</v>
      </c>
      <c r="F365" s="7">
        <v>22</v>
      </c>
      <c r="G365" s="7">
        <v>69</v>
      </c>
      <c r="H365" s="7">
        <v>91</v>
      </c>
    </row>
    <row r="366" spans="1:8" x14ac:dyDescent="0.35">
      <c r="A366" s="7">
        <v>0.2424</v>
      </c>
      <c r="B366" s="7">
        <v>364</v>
      </c>
      <c r="C366" s="5">
        <f t="shared" si="6"/>
        <v>0.2424</v>
      </c>
      <c r="D366" s="7">
        <v>0.38</v>
      </c>
      <c r="E366" s="7">
        <v>0.25369999999999998</v>
      </c>
      <c r="F366" s="7">
        <v>35</v>
      </c>
      <c r="G366" s="7">
        <v>78</v>
      </c>
      <c r="H366" s="7">
        <v>113</v>
      </c>
    </row>
    <row r="367" spans="1:8" x14ac:dyDescent="0.35">
      <c r="A367" s="7">
        <v>0.2273</v>
      </c>
      <c r="B367" s="7">
        <v>365</v>
      </c>
      <c r="C367" s="5">
        <f t="shared" si="6"/>
        <v>0.2273</v>
      </c>
      <c r="D367" s="7">
        <v>0.38</v>
      </c>
      <c r="E367" s="7">
        <v>0.22389999999999999</v>
      </c>
      <c r="F367" s="7">
        <v>22</v>
      </c>
      <c r="G367" s="7">
        <v>77</v>
      </c>
      <c r="H367" s="7">
        <v>99</v>
      </c>
    </row>
    <row r="368" spans="1:8" x14ac:dyDescent="0.35">
      <c r="A368" s="7">
        <v>0.21210000000000001</v>
      </c>
      <c r="B368" s="7">
        <v>366</v>
      </c>
      <c r="C368" s="5">
        <f t="shared" si="6"/>
        <v>0.21210000000000001</v>
      </c>
      <c r="D368" s="7">
        <v>0.37</v>
      </c>
      <c r="E368" s="7">
        <v>0.25369999999999998</v>
      </c>
      <c r="F368" s="7">
        <v>23</v>
      </c>
      <c r="G368" s="7">
        <v>82</v>
      </c>
      <c r="H368" s="7">
        <v>105</v>
      </c>
    </row>
    <row r="369" spans="1:8" x14ac:dyDescent="0.35">
      <c r="A369" s="7">
        <v>0.21210000000000001</v>
      </c>
      <c r="B369" s="7">
        <v>367</v>
      </c>
      <c r="C369" s="5">
        <f t="shared" si="6"/>
        <v>0.21210000000000001</v>
      </c>
      <c r="D369" s="7">
        <v>0.4</v>
      </c>
      <c r="E369" s="7">
        <v>0.16420000000000001</v>
      </c>
      <c r="F369" s="7">
        <v>11</v>
      </c>
      <c r="G369" s="7">
        <v>56</v>
      </c>
      <c r="H369" s="7">
        <v>67</v>
      </c>
    </row>
    <row r="370" spans="1:8" x14ac:dyDescent="0.35">
      <c r="A370" s="7">
        <v>0.19700000000000001</v>
      </c>
      <c r="B370" s="7">
        <v>368</v>
      </c>
      <c r="C370" s="5">
        <f t="shared" si="6"/>
        <v>0.19700000000000001</v>
      </c>
      <c r="D370" s="7">
        <v>0.47</v>
      </c>
      <c r="E370" s="7">
        <v>0.1343</v>
      </c>
      <c r="F370" s="7">
        <v>14</v>
      </c>
      <c r="G370" s="7">
        <v>47</v>
      </c>
      <c r="H370" s="7">
        <v>61</v>
      </c>
    </row>
    <row r="371" spans="1:8" x14ac:dyDescent="0.35">
      <c r="A371" s="7">
        <v>0.19700000000000001</v>
      </c>
      <c r="B371" s="7">
        <v>369</v>
      </c>
      <c r="C371" s="5">
        <f t="shared" si="6"/>
        <v>0.19700000000000001</v>
      </c>
      <c r="D371" s="7">
        <v>0.47</v>
      </c>
      <c r="E371" s="7">
        <v>0.16420000000000001</v>
      </c>
      <c r="F371" s="7">
        <v>7</v>
      </c>
      <c r="G371" s="7">
        <v>50</v>
      </c>
      <c r="H371" s="7">
        <v>57</v>
      </c>
    </row>
    <row r="372" spans="1:8" x14ac:dyDescent="0.35">
      <c r="A372" s="7">
        <v>0.19700000000000001</v>
      </c>
      <c r="B372" s="7">
        <v>370</v>
      </c>
      <c r="C372" s="5">
        <f t="shared" si="6"/>
        <v>0.19700000000000001</v>
      </c>
      <c r="D372" s="7">
        <v>0.51</v>
      </c>
      <c r="E372" s="7">
        <v>0.16420000000000001</v>
      </c>
      <c r="F372" s="7">
        <v>6</v>
      </c>
      <c r="G372" s="7">
        <v>22</v>
      </c>
      <c r="H372" s="7">
        <v>28</v>
      </c>
    </row>
    <row r="373" spans="1:8" x14ac:dyDescent="0.35">
      <c r="A373" s="7">
        <v>0.21210000000000001</v>
      </c>
      <c r="B373" s="7">
        <v>371</v>
      </c>
      <c r="C373" s="5">
        <f t="shared" si="6"/>
        <v>0.21210000000000001</v>
      </c>
      <c r="D373" s="7">
        <v>0.49</v>
      </c>
      <c r="E373" s="7">
        <v>0.1343</v>
      </c>
      <c r="F373" s="7">
        <v>2</v>
      </c>
      <c r="G373" s="7">
        <v>19</v>
      </c>
      <c r="H373" s="7">
        <v>21</v>
      </c>
    </row>
    <row r="374" spans="1:8" x14ac:dyDescent="0.35">
      <c r="A374" s="7">
        <v>0.2273</v>
      </c>
      <c r="B374" s="7">
        <v>372</v>
      </c>
      <c r="C374" s="5">
        <f t="shared" si="6"/>
        <v>0.2273</v>
      </c>
      <c r="D374" s="7">
        <v>0.4</v>
      </c>
      <c r="E374" s="7">
        <v>0.1045</v>
      </c>
      <c r="F374" s="7">
        <v>0</v>
      </c>
      <c r="G374" s="7">
        <v>18</v>
      </c>
      <c r="H374" s="7">
        <v>18</v>
      </c>
    </row>
    <row r="375" spans="1:8" x14ac:dyDescent="0.35">
      <c r="A375" s="7">
        <v>0.19700000000000001</v>
      </c>
      <c r="B375" s="7">
        <v>373</v>
      </c>
      <c r="C375" s="5">
        <f t="shared" si="6"/>
        <v>0.19700000000000001</v>
      </c>
      <c r="D375" s="7">
        <v>0.47</v>
      </c>
      <c r="E375" s="7">
        <v>0.22389999999999999</v>
      </c>
      <c r="F375" s="7">
        <v>1</v>
      </c>
      <c r="G375" s="7">
        <v>16</v>
      </c>
      <c r="H375" s="7">
        <v>17</v>
      </c>
    </row>
    <row r="376" spans="1:8" x14ac:dyDescent="0.35">
      <c r="A376" s="7">
        <v>0.19700000000000001</v>
      </c>
      <c r="B376" s="7">
        <v>374</v>
      </c>
      <c r="C376" s="5">
        <f t="shared" si="6"/>
        <v>0.19700000000000001</v>
      </c>
      <c r="D376" s="7">
        <v>0.44</v>
      </c>
      <c r="E376" s="7">
        <v>0.19400000000000001</v>
      </c>
      <c r="F376" s="7">
        <v>1</v>
      </c>
      <c r="G376" s="7">
        <v>15</v>
      </c>
      <c r="H376" s="7">
        <v>16</v>
      </c>
    </row>
    <row r="377" spans="1:8" x14ac:dyDescent="0.35">
      <c r="A377" s="7">
        <v>0.16669999999999999</v>
      </c>
      <c r="B377" s="7">
        <v>375</v>
      </c>
      <c r="C377" s="5">
        <f t="shared" si="6"/>
        <v>0.16669999999999999</v>
      </c>
      <c r="D377" s="7">
        <v>0.43</v>
      </c>
      <c r="E377" s="7">
        <v>0.25369999999999998</v>
      </c>
      <c r="F377" s="7">
        <v>0</v>
      </c>
      <c r="G377" s="7">
        <v>8</v>
      </c>
      <c r="H377" s="7">
        <v>8</v>
      </c>
    </row>
    <row r="378" spans="1:8" x14ac:dyDescent="0.35">
      <c r="A378" s="7">
        <v>0.18179999999999999</v>
      </c>
      <c r="B378" s="7">
        <v>376</v>
      </c>
      <c r="C378" s="5">
        <f t="shared" si="6"/>
        <v>0.18179999999999999</v>
      </c>
      <c r="D378" s="7">
        <v>0.43</v>
      </c>
      <c r="E378" s="7">
        <v>0.19400000000000001</v>
      </c>
      <c r="F378" s="7">
        <v>0</v>
      </c>
      <c r="G378" s="7">
        <v>2</v>
      </c>
      <c r="H378" s="7">
        <v>2</v>
      </c>
    </row>
    <row r="379" spans="1:8" x14ac:dyDescent="0.35">
      <c r="A379" s="7">
        <v>0.19700000000000001</v>
      </c>
      <c r="B379" s="7">
        <v>377</v>
      </c>
      <c r="C379" s="5">
        <f t="shared" si="6"/>
        <v>0.19700000000000001</v>
      </c>
      <c r="D379" s="7">
        <v>0.43</v>
      </c>
      <c r="E379" s="7">
        <v>0.1343</v>
      </c>
      <c r="F379" s="7">
        <v>1</v>
      </c>
      <c r="G379" s="7">
        <v>2</v>
      </c>
      <c r="H379" s="7">
        <v>3</v>
      </c>
    </row>
    <row r="380" spans="1:8" x14ac:dyDescent="0.35">
      <c r="A380" s="7">
        <v>0.19700000000000001</v>
      </c>
      <c r="B380" s="7">
        <v>378</v>
      </c>
      <c r="C380" s="5">
        <f t="shared" si="6"/>
        <v>0.19700000000000001</v>
      </c>
      <c r="D380" s="7">
        <v>0.43</v>
      </c>
      <c r="E380" s="7">
        <v>0.16420000000000001</v>
      </c>
      <c r="F380" s="7">
        <v>0</v>
      </c>
      <c r="G380" s="7">
        <v>1</v>
      </c>
      <c r="H380" s="7">
        <v>1</v>
      </c>
    </row>
    <row r="381" spans="1:8" x14ac:dyDescent="0.35">
      <c r="A381" s="7">
        <v>0.18179999999999999</v>
      </c>
      <c r="B381" s="7">
        <v>379</v>
      </c>
      <c r="C381" s="5">
        <f t="shared" si="6"/>
        <v>0.18179999999999999</v>
      </c>
      <c r="D381" s="7">
        <v>0.43</v>
      </c>
      <c r="E381" s="7">
        <v>0.19400000000000001</v>
      </c>
      <c r="F381" s="7">
        <v>0</v>
      </c>
      <c r="G381" s="7">
        <v>5</v>
      </c>
      <c r="H381" s="7">
        <v>5</v>
      </c>
    </row>
    <row r="382" spans="1:8" x14ac:dyDescent="0.35">
      <c r="A382" s="7">
        <v>0.18179999999999999</v>
      </c>
      <c r="B382" s="7">
        <v>380</v>
      </c>
      <c r="C382" s="5">
        <f t="shared" si="6"/>
        <v>0.18179999999999999</v>
      </c>
      <c r="D382" s="7">
        <v>0.5</v>
      </c>
      <c r="E382" s="7">
        <v>0.1343</v>
      </c>
      <c r="F382" s="7">
        <v>4</v>
      </c>
      <c r="G382" s="7">
        <v>9</v>
      </c>
      <c r="H382" s="7">
        <v>13</v>
      </c>
    </row>
    <row r="383" spans="1:8" x14ac:dyDescent="0.35">
      <c r="A383" s="7">
        <v>0.1515</v>
      </c>
      <c r="B383" s="7">
        <v>381</v>
      </c>
      <c r="C383" s="5">
        <f t="shared" si="6"/>
        <v>0.1515</v>
      </c>
      <c r="D383" s="7">
        <v>0.47</v>
      </c>
      <c r="E383" s="7">
        <v>0.22389999999999999</v>
      </c>
      <c r="F383" s="7">
        <v>3</v>
      </c>
      <c r="G383" s="7">
        <v>30</v>
      </c>
      <c r="H383" s="7">
        <v>33</v>
      </c>
    </row>
    <row r="384" spans="1:8" x14ac:dyDescent="0.35">
      <c r="A384" s="7">
        <v>0.1515</v>
      </c>
      <c r="B384" s="7">
        <v>382</v>
      </c>
      <c r="C384" s="5">
        <f t="shared" si="6"/>
        <v>0.1515</v>
      </c>
      <c r="D384" s="7">
        <v>0.47</v>
      </c>
      <c r="E384" s="7">
        <v>0.22389999999999999</v>
      </c>
      <c r="F384" s="7">
        <v>8</v>
      </c>
      <c r="G384" s="7">
        <v>39</v>
      </c>
      <c r="H384" s="7">
        <v>47</v>
      </c>
    </row>
    <row r="385" spans="1:8" x14ac:dyDescent="0.35">
      <c r="A385" s="7">
        <v>0.1515</v>
      </c>
      <c r="B385" s="7">
        <v>383</v>
      </c>
      <c r="C385" s="5">
        <f t="shared" si="6"/>
        <v>0.1515</v>
      </c>
      <c r="D385" s="7">
        <v>0.5</v>
      </c>
      <c r="E385" s="7">
        <v>0.25369999999999998</v>
      </c>
      <c r="F385" s="7">
        <v>7</v>
      </c>
      <c r="G385" s="7">
        <v>50</v>
      </c>
      <c r="H385" s="7">
        <v>57</v>
      </c>
    </row>
    <row r="386" spans="1:8" x14ac:dyDescent="0.35">
      <c r="A386" s="7">
        <v>0.1515</v>
      </c>
      <c r="B386" s="7">
        <v>384</v>
      </c>
      <c r="C386" s="5">
        <f t="shared" si="6"/>
        <v>0.1515</v>
      </c>
      <c r="D386" s="7">
        <v>0.55000000000000004</v>
      </c>
      <c r="E386" s="7">
        <v>0.19400000000000001</v>
      </c>
      <c r="F386" s="7">
        <v>9</v>
      </c>
      <c r="G386" s="7">
        <v>55</v>
      </c>
      <c r="H386" s="7">
        <v>64</v>
      </c>
    </row>
    <row r="387" spans="1:8" x14ac:dyDescent="0.35">
      <c r="A387" s="7">
        <v>0.19700000000000001</v>
      </c>
      <c r="B387" s="7">
        <v>385</v>
      </c>
      <c r="C387" s="5">
        <f t="shared" ref="C387:C450" si="7">IF(ISBLANK(A387),AVERAGE(A386:A388),A387)</f>
        <v>0.19700000000000001</v>
      </c>
      <c r="D387" s="7">
        <v>0.47</v>
      </c>
      <c r="E387" s="7">
        <v>0.1343</v>
      </c>
      <c r="F387" s="7">
        <v>10</v>
      </c>
      <c r="G387" s="7">
        <v>70</v>
      </c>
      <c r="H387" s="7">
        <v>80</v>
      </c>
    </row>
    <row r="388" spans="1:8" x14ac:dyDescent="0.35">
      <c r="A388" s="7">
        <v>0.19700000000000001</v>
      </c>
      <c r="B388" s="7">
        <v>386</v>
      </c>
      <c r="C388" s="5">
        <f t="shared" si="7"/>
        <v>0.19700000000000001</v>
      </c>
      <c r="D388" s="7">
        <v>0.47</v>
      </c>
      <c r="E388" s="7">
        <v>0.1343</v>
      </c>
      <c r="F388" s="7">
        <v>13</v>
      </c>
      <c r="G388" s="7">
        <v>80</v>
      </c>
      <c r="H388" s="7">
        <v>93</v>
      </c>
    </row>
    <row r="389" spans="1:8" x14ac:dyDescent="0.35">
      <c r="A389" s="7">
        <v>0.21210000000000001</v>
      </c>
      <c r="B389" s="7">
        <v>387</v>
      </c>
      <c r="C389" s="5">
        <f t="shared" si="7"/>
        <v>0.21210000000000001</v>
      </c>
      <c r="D389" s="7">
        <v>0.43</v>
      </c>
      <c r="E389" s="7">
        <v>0.1045</v>
      </c>
      <c r="F389" s="7">
        <v>12</v>
      </c>
      <c r="G389" s="7">
        <v>74</v>
      </c>
      <c r="H389" s="7">
        <v>86</v>
      </c>
    </row>
    <row r="390" spans="1:8" x14ac:dyDescent="0.35">
      <c r="A390" s="7">
        <v>0.21210000000000001</v>
      </c>
      <c r="B390" s="7">
        <v>388</v>
      </c>
      <c r="C390" s="5">
        <f t="shared" si="7"/>
        <v>0.21210000000000001</v>
      </c>
      <c r="D390" s="7">
        <v>0.47</v>
      </c>
      <c r="E390" s="7">
        <v>0.16420000000000001</v>
      </c>
      <c r="F390" s="7">
        <v>21</v>
      </c>
      <c r="G390" s="7">
        <v>72</v>
      </c>
      <c r="H390" s="7">
        <v>93</v>
      </c>
    </row>
    <row r="391" spans="1:8" x14ac:dyDescent="0.35">
      <c r="A391" s="7">
        <v>0.21210000000000001</v>
      </c>
      <c r="B391" s="7">
        <v>389</v>
      </c>
      <c r="C391" s="5">
        <f t="shared" si="7"/>
        <v>0.21210000000000001</v>
      </c>
      <c r="D391" s="7">
        <v>0.47</v>
      </c>
      <c r="E391" s="7">
        <v>0.16420000000000001</v>
      </c>
      <c r="F391" s="7">
        <v>6</v>
      </c>
      <c r="G391" s="7">
        <v>76</v>
      </c>
      <c r="H391" s="7">
        <v>82</v>
      </c>
    </row>
    <row r="392" spans="1:8" x14ac:dyDescent="0.35">
      <c r="A392" s="7">
        <v>0.19700000000000001</v>
      </c>
      <c r="B392" s="7">
        <v>390</v>
      </c>
      <c r="C392" s="5">
        <f t="shared" si="7"/>
        <v>0.19700000000000001</v>
      </c>
      <c r="D392" s="7">
        <v>0.51</v>
      </c>
      <c r="E392" s="7">
        <v>0.19400000000000001</v>
      </c>
      <c r="F392" s="7">
        <v>4</v>
      </c>
      <c r="G392" s="7">
        <v>67</v>
      </c>
      <c r="H392" s="7">
        <v>71</v>
      </c>
    </row>
    <row r="393" spans="1:8" x14ac:dyDescent="0.35">
      <c r="A393" s="7">
        <v>0.16669999999999999</v>
      </c>
      <c r="B393" s="7">
        <v>391</v>
      </c>
      <c r="C393" s="5">
        <f t="shared" si="7"/>
        <v>0.16669999999999999</v>
      </c>
      <c r="D393" s="7">
        <v>0.55000000000000004</v>
      </c>
      <c r="E393" s="7">
        <v>0.25369999999999998</v>
      </c>
      <c r="F393" s="7">
        <v>7</v>
      </c>
      <c r="G393" s="7">
        <v>85</v>
      </c>
      <c r="H393" s="7">
        <v>92</v>
      </c>
    </row>
    <row r="394" spans="1:8" x14ac:dyDescent="0.35">
      <c r="A394" s="7">
        <v>0.18179999999999999</v>
      </c>
      <c r="B394" s="7">
        <v>392</v>
      </c>
      <c r="C394" s="5">
        <f t="shared" si="7"/>
        <v>0.18179999999999999</v>
      </c>
      <c r="D394" s="7">
        <v>0.59</v>
      </c>
      <c r="E394" s="7">
        <v>0.19400000000000001</v>
      </c>
      <c r="F394" s="7">
        <v>2</v>
      </c>
      <c r="G394" s="7">
        <v>58</v>
      </c>
      <c r="H394" s="7">
        <v>60</v>
      </c>
    </row>
    <row r="395" spans="1:8" x14ac:dyDescent="0.35">
      <c r="A395" s="7">
        <v>0.1515</v>
      </c>
      <c r="B395" s="7">
        <v>393</v>
      </c>
      <c r="C395" s="5">
        <f t="shared" si="7"/>
        <v>0.1515</v>
      </c>
      <c r="D395" s="7">
        <v>0.8</v>
      </c>
      <c r="E395" s="7">
        <v>0.19400000000000001</v>
      </c>
      <c r="F395" s="7">
        <v>4</v>
      </c>
      <c r="G395" s="7">
        <v>29</v>
      </c>
      <c r="H395" s="7">
        <v>33</v>
      </c>
    </row>
    <row r="396" spans="1:8" x14ac:dyDescent="0.35">
      <c r="A396" s="7">
        <v>0.1515</v>
      </c>
      <c r="B396" s="7">
        <v>394</v>
      </c>
      <c r="C396" s="5">
        <f t="shared" si="7"/>
        <v>0.1515</v>
      </c>
      <c r="D396" s="7">
        <v>0.8</v>
      </c>
      <c r="E396" s="7">
        <v>0.19400000000000001</v>
      </c>
      <c r="F396" s="7">
        <v>3</v>
      </c>
      <c r="G396" s="7">
        <v>24</v>
      </c>
      <c r="H396" s="7">
        <v>27</v>
      </c>
    </row>
    <row r="397" spans="1:8" x14ac:dyDescent="0.35">
      <c r="A397" s="7">
        <v>0.1212</v>
      </c>
      <c r="B397" s="7">
        <v>395</v>
      </c>
      <c r="C397" s="5">
        <f t="shared" si="7"/>
        <v>0.1212</v>
      </c>
      <c r="D397" s="7">
        <v>0.93</v>
      </c>
      <c r="E397" s="7">
        <v>0.25369999999999998</v>
      </c>
      <c r="F397" s="7">
        <v>0</v>
      </c>
      <c r="G397" s="7">
        <v>13</v>
      </c>
      <c r="H397" s="7">
        <v>13</v>
      </c>
    </row>
    <row r="398" spans="1:8" x14ac:dyDescent="0.35">
      <c r="A398" s="7">
        <v>0.13639999999999999</v>
      </c>
      <c r="B398" s="7">
        <v>396</v>
      </c>
      <c r="C398" s="5">
        <f t="shared" si="7"/>
        <v>0.13639999999999999</v>
      </c>
      <c r="D398" s="7">
        <v>0.86</v>
      </c>
      <c r="E398" s="7">
        <v>0.28360000000000002</v>
      </c>
      <c r="F398" s="7">
        <v>1</v>
      </c>
      <c r="G398" s="7">
        <v>3</v>
      </c>
      <c r="H398" s="7">
        <v>4</v>
      </c>
    </row>
    <row r="399" spans="1:8" x14ac:dyDescent="0.35">
      <c r="A399" s="7">
        <v>0.18179999999999999</v>
      </c>
      <c r="B399" s="7">
        <v>397</v>
      </c>
      <c r="C399" s="5">
        <f t="shared" si="7"/>
        <v>0.18179999999999999</v>
      </c>
      <c r="D399" s="7">
        <v>0.86</v>
      </c>
      <c r="E399" s="7">
        <v>0.32840000000000003</v>
      </c>
      <c r="F399" s="7">
        <v>0</v>
      </c>
      <c r="G399" s="7">
        <v>3</v>
      </c>
      <c r="H399" s="7">
        <v>3</v>
      </c>
    </row>
    <row r="400" spans="1:8" x14ac:dyDescent="0.35">
      <c r="A400" s="7">
        <v>0.19700000000000001</v>
      </c>
      <c r="B400" s="7">
        <v>398</v>
      </c>
      <c r="C400" s="5">
        <f t="shared" si="7"/>
        <v>0.19700000000000001</v>
      </c>
      <c r="D400" s="7">
        <v>0.86</v>
      </c>
      <c r="E400" s="7">
        <v>0.22389999999999999</v>
      </c>
      <c r="F400" s="7">
        <v>0</v>
      </c>
      <c r="G400" s="7">
        <v>22</v>
      </c>
      <c r="H400" s="7">
        <v>22</v>
      </c>
    </row>
    <row r="401" spans="1:8" x14ac:dyDescent="0.35">
      <c r="A401" s="7">
        <v>0.2273</v>
      </c>
      <c r="B401" s="7">
        <v>399</v>
      </c>
      <c r="C401" s="5">
        <f t="shared" si="7"/>
        <v>0.2273</v>
      </c>
      <c r="D401" s="7">
        <v>0.8</v>
      </c>
      <c r="E401" s="7">
        <v>0.16420000000000001</v>
      </c>
      <c r="F401" s="7">
        <v>2</v>
      </c>
      <c r="G401" s="7">
        <v>26</v>
      </c>
      <c r="H401" s="7">
        <v>28</v>
      </c>
    </row>
    <row r="402" spans="1:8" x14ac:dyDescent="0.35">
      <c r="A402" s="7">
        <v>0.2273</v>
      </c>
      <c r="B402" s="7">
        <v>400</v>
      </c>
      <c r="C402" s="5">
        <f t="shared" si="7"/>
        <v>0.2273</v>
      </c>
      <c r="D402" s="7">
        <v>0.87</v>
      </c>
      <c r="E402" s="7">
        <v>0.16420000000000001</v>
      </c>
      <c r="F402" s="7">
        <v>3</v>
      </c>
      <c r="G402" s="7">
        <v>32</v>
      </c>
      <c r="H402" s="7">
        <v>35</v>
      </c>
    </row>
    <row r="403" spans="1:8" x14ac:dyDescent="0.35">
      <c r="A403" s="7">
        <v>0.2273</v>
      </c>
      <c r="B403" s="7">
        <v>401</v>
      </c>
      <c r="C403" s="5">
        <f t="shared" si="7"/>
        <v>0.2273</v>
      </c>
      <c r="D403" s="7">
        <v>0.87</v>
      </c>
      <c r="E403" s="7">
        <v>0.19400000000000001</v>
      </c>
      <c r="F403" s="7">
        <v>0</v>
      </c>
      <c r="G403" s="7">
        <v>61</v>
      </c>
      <c r="H403" s="7">
        <v>61</v>
      </c>
    </row>
    <row r="404" spans="1:8" x14ac:dyDescent="0.35">
      <c r="A404" s="7">
        <v>0.2273</v>
      </c>
      <c r="B404" s="7">
        <v>402</v>
      </c>
      <c r="C404" s="5">
        <f t="shared" si="7"/>
        <v>0.2273</v>
      </c>
      <c r="D404" s="7">
        <v>0.82</v>
      </c>
      <c r="E404" s="7">
        <v>0.19400000000000001</v>
      </c>
      <c r="F404" s="7">
        <v>1</v>
      </c>
      <c r="G404" s="7">
        <v>124</v>
      </c>
      <c r="H404" s="7">
        <v>125</v>
      </c>
    </row>
    <row r="405" spans="1:8" x14ac:dyDescent="0.35">
      <c r="A405" s="7">
        <v>0.2273</v>
      </c>
      <c r="B405" s="7">
        <v>403</v>
      </c>
      <c r="C405" s="5">
        <f t="shared" si="7"/>
        <v>0.2273</v>
      </c>
      <c r="D405" s="7">
        <v>0.8</v>
      </c>
      <c r="E405" s="7">
        <v>0.16420000000000001</v>
      </c>
      <c r="F405" s="7">
        <v>1</v>
      </c>
      <c r="G405" s="7">
        <v>132</v>
      </c>
      <c r="H405" s="7">
        <v>133</v>
      </c>
    </row>
    <row r="406" spans="1:8" x14ac:dyDescent="0.35">
      <c r="A406" s="7">
        <v>0.2273</v>
      </c>
      <c r="B406" s="7">
        <v>404</v>
      </c>
      <c r="C406" s="5">
        <f t="shared" si="7"/>
        <v>0.2273</v>
      </c>
      <c r="D406" s="7">
        <v>0.8</v>
      </c>
      <c r="E406" s="7">
        <v>0.1343</v>
      </c>
      <c r="F406" s="7">
        <v>1</v>
      </c>
      <c r="G406" s="7">
        <v>98</v>
      </c>
      <c r="H406" s="7">
        <v>99</v>
      </c>
    </row>
    <row r="407" spans="1:8" x14ac:dyDescent="0.35">
      <c r="A407" s="7">
        <v>0.2727</v>
      </c>
      <c r="B407" s="7">
        <v>405</v>
      </c>
      <c r="C407" s="5">
        <f t="shared" si="7"/>
        <v>0.2727</v>
      </c>
      <c r="D407" s="7">
        <v>0.87</v>
      </c>
      <c r="E407" s="7">
        <v>0</v>
      </c>
      <c r="F407" s="7">
        <v>0</v>
      </c>
      <c r="G407" s="7">
        <v>83</v>
      </c>
      <c r="H407" s="7">
        <v>83</v>
      </c>
    </row>
    <row r="408" spans="1:8" x14ac:dyDescent="0.35">
      <c r="A408" s="7">
        <v>0.2424</v>
      </c>
      <c r="B408" s="7">
        <v>406</v>
      </c>
      <c r="C408" s="5">
        <f t="shared" si="7"/>
        <v>0.2424</v>
      </c>
      <c r="D408" s="7">
        <v>0.93</v>
      </c>
      <c r="E408" s="7">
        <v>0.1045</v>
      </c>
      <c r="F408" s="7">
        <v>0</v>
      </c>
      <c r="G408" s="7">
        <v>41</v>
      </c>
      <c r="H408" s="7">
        <v>41</v>
      </c>
    </row>
    <row r="409" spans="1:8" x14ac:dyDescent="0.35">
      <c r="A409" s="7">
        <v>0.2576</v>
      </c>
      <c r="B409" s="7">
        <v>407</v>
      </c>
      <c r="C409" s="5">
        <f t="shared" si="7"/>
        <v>0.2576</v>
      </c>
      <c r="D409" s="7">
        <v>0.93</v>
      </c>
      <c r="E409" s="7">
        <v>8.9599999999999999E-2</v>
      </c>
      <c r="F409" s="7">
        <v>0</v>
      </c>
      <c r="G409" s="7">
        <v>33</v>
      </c>
      <c r="H409" s="7">
        <v>33</v>
      </c>
    </row>
    <row r="410" spans="1:8" x14ac:dyDescent="0.35">
      <c r="A410" s="7">
        <v>0.2727</v>
      </c>
      <c r="B410" s="7">
        <v>408</v>
      </c>
      <c r="C410" s="5">
        <f t="shared" si="7"/>
        <v>0.2727</v>
      </c>
      <c r="D410" s="7">
        <v>0.93</v>
      </c>
      <c r="E410" s="7">
        <v>0</v>
      </c>
      <c r="F410" s="7">
        <v>1</v>
      </c>
      <c r="G410" s="7">
        <v>19</v>
      </c>
      <c r="H410" s="7">
        <v>20</v>
      </c>
    </row>
    <row r="411" spans="1:8" x14ac:dyDescent="0.35">
      <c r="A411" s="7">
        <v>0.2727</v>
      </c>
      <c r="B411" s="7">
        <v>409</v>
      </c>
      <c r="C411" s="5">
        <f t="shared" si="7"/>
        <v>0.2727</v>
      </c>
      <c r="D411" s="7">
        <v>0.93</v>
      </c>
      <c r="E411" s="7">
        <v>0</v>
      </c>
      <c r="F411" s="7">
        <v>0</v>
      </c>
      <c r="G411" s="7">
        <v>3</v>
      </c>
      <c r="H411" s="7">
        <v>3</v>
      </c>
    </row>
    <row r="412" spans="1:8" x14ac:dyDescent="0.35">
      <c r="A412" s="7">
        <v>0.2273</v>
      </c>
      <c r="B412" s="7">
        <v>410</v>
      </c>
      <c r="C412" s="5">
        <f t="shared" si="7"/>
        <v>0.2273</v>
      </c>
      <c r="D412" s="7">
        <v>0.93</v>
      </c>
      <c r="E412" s="7">
        <v>0.1343</v>
      </c>
      <c r="F412" s="7">
        <v>1</v>
      </c>
      <c r="G412" s="7">
        <v>6</v>
      </c>
      <c r="H412" s="7">
        <v>7</v>
      </c>
    </row>
    <row r="413" spans="1:8" x14ac:dyDescent="0.35">
      <c r="A413" s="7">
        <v>0.2273</v>
      </c>
      <c r="B413" s="7">
        <v>411</v>
      </c>
      <c r="C413" s="5">
        <f t="shared" si="7"/>
        <v>0.2273</v>
      </c>
      <c r="D413" s="7">
        <v>0.93</v>
      </c>
      <c r="E413" s="7">
        <v>0.1343</v>
      </c>
      <c r="F413" s="7">
        <v>0</v>
      </c>
      <c r="G413" s="7">
        <v>3</v>
      </c>
      <c r="H413" s="7">
        <v>3</v>
      </c>
    </row>
    <row r="414" spans="1:8" x14ac:dyDescent="0.35">
      <c r="A414" s="7">
        <v>0.2273</v>
      </c>
      <c r="B414" s="7">
        <v>412</v>
      </c>
      <c r="C414" s="5">
        <f t="shared" si="7"/>
        <v>0.2273</v>
      </c>
      <c r="D414" s="7">
        <v>0.93</v>
      </c>
      <c r="E414" s="7">
        <v>0.1343</v>
      </c>
      <c r="F414" s="7">
        <v>1</v>
      </c>
      <c r="G414" s="7">
        <v>1</v>
      </c>
      <c r="H414" s="7">
        <v>2</v>
      </c>
    </row>
    <row r="415" spans="1:8" x14ac:dyDescent="0.35">
      <c r="A415" s="7">
        <v>0.2576</v>
      </c>
      <c r="B415" s="7">
        <v>413</v>
      </c>
      <c r="C415" s="5">
        <f t="shared" si="7"/>
        <v>0.2576</v>
      </c>
      <c r="D415" s="7">
        <v>0.93</v>
      </c>
      <c r="E415" s="7">
        <v>8.9599999999999999E-2</v>
      </c>
      <c r="F415" s="7">
        <v>0</v>
      </c>
      <c r="G415" s="7">
        <v>7</v>
      </c>
      <c r="H415" s="7">
        <v>7</v>
      </c>
    </row>
    <row r="416" spans="1:8" x14ac:dyDescent="0.35">
      <c r="A416" s="7">
        <v>0.2576</v>
      </c>
      <c r="B416" s="7">
        <v>414</v>
      </c>
      <c r="C416" s="5">
        <f t="shared" si="7"/>
        <v>0.2576</v>
      </c>
      <c r="D416" s="7">
        <v>0.93</v>
      </c>
      <c r="E416" s="7">
        <v>8.9599999999999999E-2</v>
      </c>
      <c r="F416" s="7">
        <v>0</v>
      </c>
      <c r="G416" s="7">
        <v>32</v>
      </c>
      <c r="H416" s="7">
        <v>32</v>
      </c>
    </row>
    <row r="417" spans="1:8" x14ac:dyDescent="0.35">
      <c r="A417" s="7">
        <v>0.2576</v>
      </c>
      <c r="B417" s="7">
        <v>415</v>
      </c>
      <c r="C417" s="5">
        <f t="shared" si="7"/>
        <v>0.2576</v>
      </c>
      <c r="D417" s="7">
        <v>0.92</v>
      </c>
      <c r="E417" s="7">
        <v>0.1045</v>
      </c>
      <c r="F417" s="7">
        <v>1</v>
      </c>
      <c r="G417" s="7">
        <v>89</v>
      </c>
      <c r="H417" s="7">
        <v>90</v>
      </c>
    </row>
    <row r="418" spans="1:8" x14ac:dyDescent="0.35">
      <c r="A418" s="7">
        <v>0.2576</v>
      </c>
      <c r="B418" s="7">
        <v>416</v>
      </c>
      <c r="C418" s="5">
        <f t="shared" si="7"/>
        <v>0.2576</v>
      </c>
      <c r="D418" s="7">
        <v>0.93</v>
      </c>
      <c r="E418" s="7">
        <v>0.1045</v>
      </c>
      <c r="F418" s="7">
        <v>1</v>
      </c>
      <c r="G418" s="7">
        <v>196</v>
      </c>
      <c r="H418" s="7">
        <v>197</v>
      </c>
    </row>
    <row r="419" spans="1:8" x14ac:dyDescent="0.35">
      <c r="A419" s="7">
        <v>0.2576</v>
      </c>
      <c r="B419" s="7">
        <v>417</v>
      </c>
      <c r="C419" s="5">
        <f t="shared" si="7"/>
        <v>0.2576</v>
      </c>
      <c r="D419" s="7">
        <v>0.93</v>
      </c>
      <c r="E419" s="7">
        <v>0.1045</v>
      </c>
      <c r="F419" s="7">
        <v>2</v>
      </c>
      <c r="G419" s="7">
        <v>107</v>
      </c>
      <c r="H419" s="7">
        <v>109</v>
      </c>
    </row>
    <row r="420" spans="1:8" x14ac:dyDescent="0.35">
      <c r="A420" s="7">
        <v>0.2727</v>
      </c>
      <c r="B420" s="7">
        <v>418</v>
      </c>
      <c r="C420" s="5">
        <f t="shared" si="7"/>
        <v>0.2727</v>
      </c>
      <c r="D420" s="7">
        <v>0.93</v>
      </c>
      <c r="E420" s="7">
        <v>0.1343</v>
      </c>
      <c r="F420" s="7">
        <v>1</v>
      </c>
      <c r="G420" s="7">
        <v>46</v>
      </c>
      <c r="H420" s="7">
        <v>47</v>
      </c>
    </row>
    <row r="421" spans="1:8" x14ac:dyDescent="0.35">
      <c r="A421" s="7">
        <v>0.30299999999999999</v>
      </c>
      <c r="B421" s="7">
        <v>419</v>
      </c>
      <c r="C421" s="5">
        <f t="shared" si="7"/>
        <v>0.30299999999999999</v>
      </c>
      <c r="D421" s="7">
        <v>0.87</v>
      </c>
      <c r="E421" s="7">
        <v>8.9599999999999999E-2</v>
      </c>
      <c r="F421" s="7">
        <v>5</v>
      </c>
      <c r="G421" s="7">
        <v>47</v>
      </c>
      <c r="H421" s="7">
        <v>52</v>
      </c>
    </row>
    <row r="422" spans="1:8" x14ac:dyDescent="0.35">
      <c r="A422" s="7">
        <v>0.31819999999999998</v>
      </c>
      <c r="B422" s="7">
        <v>420</v>
      </c>
      <c r="C422" s="5">
        <f t="shared" si="7"/>
        <v>0.31819999999999998</v>
      </c>
      <c r="D422" s="7">
        <v>0.81</v>
      </c>
      <c r="E422" s="7">
        <v>8.9599999999999999E-2</v>
      </c>
      <c r="F422" s="7">
        <v>5</v>
      </c>
      <c r="G422" s="7">
        <v>65</v>
      </c>
      <c r="H422" s="7">
        <v>70</v>
      </c>
    </row>
    <row r="423" spans="1:8" x14ac:dyDescent="0.35">
      <c r="A423" s="7">
        <v>0.40910000000000002</v>
      </c>
      <c r="B423" s="7">
        <v>421</v>
      </c>
      <c r="C423" s="5">
        <f t="shared" si="7"/>
        <v>0.40910000000000002</v>
      </c>
      <c r="D423" s="7">
        <v>0.62</v>
      </c>
      <c r="E423" s="7">
        <v>0.28360000000000002</v>
      </c>
      <c r="F423" s="7">
        <v>11</v>
      </c>
      <c r="G423" s="7">
        <v>67</v>
      </c>
      <c r="H423" s="7">
        <v>78</v>
      </c>
    </row>
    <row r="424" spans="1:8" x14ac:dyDescent="0.35">
      <c r="A424" s="7">
        <v>0.40910000000000002</v>
      </c>
      <c r="B424" s="7">
        <v>422</v>
      </c>
      <c r="C424" s="5">
        <f t="shared" si="7"/>
        <v>0.40910000000000002</v>
      </c>
      <c r="D424" s="7">
        <v>0.57999999999999996</v>
      </c>
      <c r="E424" s="7">
        <v>0.25369999999999998</v>
      </c>
      <c r="F424" s="7">
        <v>7</v>
      </c>
      <c r="G424" s="7">
        <v>68</v>
      </c>
      <c r="H424" s="7">
        <v>75</v>
      </c>
    </row>
    <row r="425" spans="1:8" x14ac:dyDescent="0.35">
      <c r="A425" s="7">
        <v>0.40910000000000002</v>
      </c>
      <c r="B425" s="7">
        <v>423</v>
      </c>
      <c r="C425" s="5">
        <f t="shared" si="7"/>
        <v>0.40910000000000002</v>
      </c>
      <c r="D425" s="7">
        <v>0.54</v>
      </c>
      <c r="E425" s="7">
        <v>0.28360000000000002</v>
      </c>
      <c r="F425" s="7">
        <v>4</v>
      </c>
      <c r="G425" s="7">
        <v>78</v>
      </c>
      <c r="H425" s="7">
        <v>82</v>
      </c>
    </row>
    <row r="426" spans="1:8" x14ac:dyDescent="0.35">
      <c r="A426" s="7">
        <v>0.39389999999999997</v>
      </c>
      <c r="B426" s="7">
        <v>424</v>
      </c>
      <c r="C426" s="5">
        <f t="shared" si="7"/>
        <v>0.39389999999999997</v>
      </c>
      <c r="D426" s="7">
        <v>0.57999999999999996</v>
      </c>
      <c r="E426" s="7">
        <v>0.3881</v>
      </c>
      <c r="F426" s="7">
        <v>10</v>
      </c>
      <c r="G426" s="7">
        <v>94</v>
      </c>
      <c r="H426" s="7">
        <v>104</v>
      </c>
    </row>
    <row r="427" spans="1:8" x14ac:dyDescent="0.35">
      <c r="A427" s="7">
        <v>0.33329999999999999</v>
      </c>
      <c r="B427" s="7">
        <v>425</v>
      </c>
      <c r="C427" s="5">
        <f t="shared" si="7"/>
        <v>0.33329999999999999</v>
      </c>
      <c r="D427" s="7">
        <v>0.56999999999999995</v>
      </c>
      <c r="E427" s="7">
        <v>0.32840000000000003</v>
      </c>
      <c r="F427" s="7">
        <v>7</v>
      </c>
      <c r="G427" s="7">
        <v>190</v>
      </c>
      <c r="H427" s="7">
        <v>197</v>
      </c>
    </row>
    <row r="428" spans="1:8" x14ac:dyDescent="0.35">
      <c r="A428" s="7">
        <v>0.31819999999999998</v>
      </c>
      <c r="B428" s="7">
        <v>426</v>
      </c>
      <c r="C428" s="5">
        <f t="shared" si="7"/>
        <v>0.31819999999999998</v>
      </c>
      <c r="D428" s="7">
        <v>0.61</v>
      </c>
      <c r="E428" s="7">
        <v>0.28360000000000002</v>
      </c>
      <c r="F428" s="7">
        <v>5</v>
      </c>
      <c r="G428" s="7">
        <v>156</v>
      </c>
      <c r="H428" s="7">
        <v>161</v>
      </c>
    </row>
    <row r="429" spans="1:8" x14ac:dyDescent="0.35">
      <c r="A429" s="7">
        <v>0.28789999999999999</v>
      </c>
      <c r="B429" s="7">
        <v>427</v>
      </c>
      <c r="C429" s="5">
        <f t="shared" si="7"/>
        <v>0.28789999999999999</v>
      </c>
      <c r="D429" s="7">
        <v>0.56999999999999995</v>
      </c>
      <c r="E429" s="7">
        <v>0.41789999999999999</v>
      </c>
      <c r="F429" s="7">
        <v>4</v>
      </c>
      <c r="G429" s="7">
        <v>108</v>
      </c>
      <c r="H429" s="7">
        <v>112</v>
      </c>
    </row>
    <row r="430" spans="1:8" x14ac:dyDescent="0.35">
      <c r="A430" s="7">
        <v>0.30299999999999999</v>
      </c>
      <c r="B430" s="7">
        <v>428</v>
      </c>
      <c r="C430" s="5">
        <f t="shared" si="7"/>
        <v>0.30299999999999999</v>
      </c>
      <c r="D430" s="7">
        <v>0.49</v>
      </c>
      <c r="E430" s="7">
        <v>0.29849999999999999</v>
      </c>
      <c r="F430" s="7">
        <v>2</v>
      </c>
      <c r="G430" s="7">
        <v>74</v>
      </c>
      <c r="H430" s="7">
        <v>76</v>
      </c>
    </row>
    <row r="431" spans="1:8" x14ac:dyDescent="0.35">
      <c r="A431" s="7">
        <v>0.28789999999999999</v>
      </c>
      <c r="B431" s="7">
        <v>429</v>
      </c>
      <c r="C431" s="5">
        <f t="shared" si="7"/>
        <v>0.28789999999999999</v>
      </c>
      <c r="D431" s="7">
        <v>0.49</v>
      </c>
      <c r="E431" s="7">
        <v>0.41789999999999999</v>
      </c>
      <c r="F431" s="7">
        <v>4</v>
      </c>
      <c r="G431" s="7">
        <v>55</v>
      </c>
      <c r="H431" s="7">
        <v>59</v>
      </c>
    </row>
    <row r="432" spans="1:8" x14ac:dyDescent="0.35">
      <c r="A432" s="7">
        <v>0.30299999999999999</v>
      </c>
      <c r="B432" s="7">
        <v>430</v>
      </c>
      <c r="C432" s="5">
        <f t="shared" si="7"/>
        <v>0.30299999999999999</v>
      </c>
      <c r="D432" s="7">
        <v>0.52</v>
      </c>
      <c r="E432" s="7">
        <v>0.16420000000000001</v>
      </c>
      <c r="F432" s="7">
        <v>6</v>
      </c>
      <c r="G432" s="7">
        <v>53</v>
      </c>
      <c r="H432" s="7">
        <v>59</v>
      </c>
    </row>
    <row r="433" spans="1:8" x14ac:dyDescent="0.35">
      <c r="A433" s="7">
        <v>0.2727</v>
      </c>
      <c r="B433" s="7">
        <v>431</v>
      </c>
      <c r="C433" s="5">
        <f t="shared" si="7"/>
        <v>0.2727</v>
      </c>
      <c r="D433" s="7">
        <v>0.52</v>
      </c>
      <c r="E433" s="7">
        <v>0.4627</v>
      </c>
      <c r="F433" s="7">
        <v>1</v>
      </c>
      <c r="G433" s="7">
        <v>27</v>
      </c>
      <c r="H433" s="7">
        <v>28</v>
      </c>
    </row>
    <row r="434" spans="1:8" x14ac:dyDescent="0.35">
      <c r="A434" s="7">
        <v>0.2273</v>
      </c>
      <c r="B434" s="7">
        <v>432</v>
      </c>
      <c r="C434" s="5">
        <f t="shared" si="7"/>
        <v>0.2273</v>
      </c>
      <c r="D434" s="7">
        <v>0.56000000000000005</v>
      </c>
      <c r="E434" s="7">
        <v>0.3881</v>
      </c>
      <c r="F434" s="7">
        <v>5</v>
      </c>
      <c r="G434" s="7">
        <v>8</v>
      </c>
      <c r="H434" s="7">
        <v>13</v>
      </c>
    </row>
    <row r="435" spans="1:8" x14ac:dyDescent="0.35">
      <c r="A435" s="7">
        <v>0.2727</v>
      </c>
      <c r="B435" s="7">
        <v>433</v>
      </c>
      <c r="C435" s="5">
        <f t="shared" si="7"/>
        <v>0.2727</v>
      </c>
      <c r="D435" s="7">
        <v>0.56000000000000005</v>
      </c>
      <c r="E435" s="7">
        <v>0</v>
      </c>
      <c r="F435" s="7">
        <v>2</v>
      </c>
      <c r="G435" s="7">
        <v>3</v>
      </c>
      <c r="H435" s="7">
        <v>5</v>
      </c>
    </row>
    <row r="436" spans="1:8" x14ac:dyDescent="0.35">
      <c r="A436" s="7">
        <v>0.2727</v>
      </c>
      <c r="B436" s="7">
        <v>434</v>
      </c>
      <c r="C436" s="5">
        <f t="shared" si="7"/>
        <v>0.2727</v>
      </c>
      <c r="D436" s="7">
        <v>0.56000000000000005</v>
      </c>
      <c r="E436" s="7">
        <v>0</v>
      </c>
      <c r="F436" s="7">
        <v>0</v>
      </c>
      <c r="G436" s="7">
        <v>2</v>
      </c>
      <c r="H436" s="7">
        <v>2</v>
      </c>
    </row>
    <row r="437" spans="1:8" x14ac:dyDescent="0.35">
      <c r="A437" s="7">
        <v>0.2576</v>
      </c>
      <c r="B437" s="7">
        <v>435</v>
      </c>
      <c r="C437" s="5">
        <f t="shared" si="7"/>
        <v>0.2576</v>
      </c>
      <c r="D437" s="7">
        <v>0.56000000000000005</v>
      </c>
      <c r="E437" s="7">
        <v>0.16420000000000001</v>
      </c>
      <c r="F437" s="7">
        <v>0</v>
      </c>
      <c r="G437" s="7">
        <v>1</v>
      </c>
      <c r="H437" s="7">
        <v>1</v>
      </c>
    </row>
    <row r="438" spans="1:8" x14ac:dyDescent="0.35">
      <c r="A438" s="7">
        <v>0.2576</v>
      </c>
      <c r="B438" s="7">
        <v>436</v>
      </c>
      <c r="C438" s="5">
        <f t="shared" si="7"/>
        <v>0.2576</v>
      </c>
      <c r="D438" s="7">
        <v>0.56000000000000005</v>
      </c>
      <c r="E438" s="7">
        <v>0.16420000000000001</v>
      </c>
      <c r="F438" s="7">
        <v>0</v>
      </c>
      <c r="G438" s="7">
        <v>1</v>
      </c>
      <c r="H438" s="7">
        <v>1</v>
      </c>
    </row>
    <row r="439" spans="1:8" x14ac:dyDescent="0.35">
      <c r="A439" s="7">
        <v>0.2273</v>
      </c>
      <c r="B439" s="7">
        <v>437</v>
      </c>
      <c r="C439" s="5">
        <f t="shared" si="7"/>
        <v>0.2273</v>
      </c>
      <c r="D439" s="7">
        <v>0.6</v>
      </c>
      <c r="E439" s="7">
        <v>0.22389999999999999</v>
      </c>
      <c r="F439" s="7">
        <v>0</v>
      </c>
      <c r="G439" s="7">
        <v>6</v>
      </c>
      <c r="H439" s="7">
        <v>6</v>
      </c>
    </row>
    <row r="440" spans="1:8" x14ac:dyDescent="0.35">
      <c r="A440" s="7">
        <v>0.21210000000000001</v>
      </c>
      <c r="B440" s="7">
        <v>438</v>
      </c>
      <c r="C440" s="5">
        <f t="shared" si="7"/>
        <v>0.21210000000000001</v>
      </c>
      <c r="D440" s="7">
        <v>0.6</v>
      </c>
      <c r="E440" s="7">
        <v>0.22389999999999999</v>
      </c>
      <c r="F440" s="7">
        <v>0</v>
      </c>
      <c r="G440" s="7">
        <v>35</v>
      </c>
      <c r="H440" s="7">
        <v>35</v>
      </c>
    </row>
    <row r="441" spans="1:8" x14ac:dyDescent="0.35">
      <c r="A441" s="7">
        <v>0.21210000000000001</v>
      </c>
      <c r="B441" s="7">
        <v>439</v>
      </c>
      <c r="C441" s="5">
        <f t="shared" si="7"/>
        <v>0.21210000000000001</v>
      </c>
      <c r="D441" s="7">
        <v>0.55000000000000004</v>
      </c>
      <c r="E441" s="7">
        <v>0.22389999999999999</v>
      </c>
      <c r="F441" s="7">
        <v>1</v>
      </c>
      <c r="G441" s="7">
        <v>100</v>
      </c>
      <c r="H441" s="7">
        <v>101</v>
      </c>
    </row>
    <row r="442" spans="1:8" x14ac:dyDescent="0.35">
      <c r="A442" s="7">
        <v>0.21210000000000001</v>
      </c>
      <c r="B442" s="7">
        <v>440</v>
      </c>
      <c r="C442" s="5">
        <f t="shared" si="7"/>
        <v>0.21210000000000001</v>
      </c>
      <c r="D442" s="7">
        <v>0.55000000000000004</v>
      </c>
      <c r="E442" s="7">
        <v>0.28360000000000002</v>
      </c>
      <c r="F442" s="7">
        <v>2</v>
      </c>
      <c r="G442" s="7">
        <v>247</v>
      </c>
      <c r="H442" s="7">
        <v>249</v>
      </c>
    </row>
    <row r="443" spans="1:8" x14ac:dyDescent="0.35">
      <c r="A443" s="7">
        <v>0.2273</v>
      </c>
      <c r="B443" s="7">
        <v>441</v>
      </c>
      <c r="C443" s="5">
        <f t="shared" si="7"/>
        <v>0.2273</v>
      </c>
      <c r="D443" s="7">
        <v>0.52</v>
      </c>
      <c r="E443" s="7">
        <v>0.22389999999999999</v>
      </c>
      <c r="F443" s="7">
        <v>3</v>
      </c>
      <c r="G443" s="7">
        <v>140</v>
      </c>
      <c r="H443" s="7">
        <v>143</v>
      </c>
    </row>
    <row r="444" spans="1:8" x14ac:dyDescent="0.35">
      <c r="A444" s="7">
        <v>0.2273</v>
      </c>
      <c r="B444" s="7">
        <v>442</v>
      </c>
      <c r="C444" s="5">
        <f t="shared" si="7"/>
        <v>0.2273</v>
      </c>
      <c r="D444" s="7">
        <v>0.48</v>
      </c>
      <c r="E444" s="7">
        <v>0.29849999999999999</v>
      </c>
      <c r="F444" s="7">
        <v>1</v>
      </c>
      <c r="G444" s="7">
        <v>56</v>
      </c>
      <c r="H444" s="7">
        <v>57</v>
      </c>
    </row>
    <row r="445" spans="1:8" x14ac:dyDescent="0.35">
      <c r="A445" s="7">
        <v>0.2727</v>
      </c>
      <c r="B445" s="7">
        <v>443</v>
      </c>
      <c r="C445" s="5">
        <f t="shared" si="7"/>
        <v>0.2727</v>
      </c>
      <c r="D445" s="7">
        <v>0.45</v>
      </c>
      <c r="E445" s="7">
        <v>0.16420000000000001</v>
      </c>
      <c r="F445" s="7">
        <v>5</v>
      </c>
      <c r="G445" s="7">
        <v>63</v>
      </c>
      <c r="H445" s="7">
        <v>68</v>
      </c>
    </row>
    <row r="446" spans="1:8" x14ac:dyDescent="0.35">
      <c r="A446" s="7">
        <v>0.33329999999999999</v>
      </c>
      <c r="B446" s="7">
        <v>444</v>
      </c>
      <c r="C446" s="5">
        <f t="shared" si="7"/>
        <v>0.33329999999999999</v>
      </c>
      <c r="D446" s="7">
        <v>0.42</v>
      </c>
      <c r="E446" s="7">
        <v>0</v>
      </c>
      <c r="F446" s="7">
        <v>7</v>
      </c>
      <c r="G446" s="7">
        <v>77</v>
      </c>
      <c r="H446" s="7">
        <v>84</v>
      </c>
    </row>
    <row r="447" spans="1:8" x14ac:dyDescent="0.35">
      <c r="A447" s="7">
        <v>0.28789999999999999</v>
      </c>
      <c r="B447" s="7">
        <v>445</v>
      </c>
      <c r="C447" s="5">
        <f t="shared" si="7"/>
        <v>0.28789999999999999</v>
      </c>
      <c r="D447" s="7">
        <v>0.45</v>
      </c>
      <c r="E447" s="7">
        <v>0.1045</v>
      </c>
      <c r="F447" s="7">
        <v>12</v>
      </c>
      <c r="G447" s="7">
        <v>86</v>
      </c>
      <c r="H447" s="7">
        <v>98</v>
      </c>
    </row>
    <row r="448" spans="1:8" x14ac:dyDescent="0.35">
      <c r="A448" s="7">
        <v>0.30299999999999999</v>
      </c>
      <c r="B448" s="7">
        <v>446</v>
      </c>
      <c r="C448" s="5">
        <f t="shared" si="7"/>
        <v>0.30299999999999999</v>
      </c>
      <c r="D448" s="7">
        <v>0.45</v>
      </c>
      <c r="E448" s="7">
        <v>0.1343</v>
      </c>
      <c r="F448" s="7">
        <v>6</v>
      </c>
      <c r="G448" s="7">
        <v>75</v>
      </c>
      <c r="H448" s="7">
        <v>81</v>
      </c>
    </row>
    <row r="449" spans="1:8" x14ac:dyDescent="0.35">
      <c r="A449" s="7">
        <v>0.31819999999999998</v>
      </c>
      <c r="B449" s="7">
        <v>447</v>
      </c>
      <c r="C449" s="5">
        <f t="shared" si="7"/>
        <v>0.31819999999999998</v>
      </c>
      <c r="D449" s="7">
        <v>0.45</v>
      </c>
      <c r="E449" s="7">
        <v>0.19400000000000001</v>
      </c>
      <c r="F449" s="7">
        <v>8</v>
      </c>
      <c r="G449" s="7">
        <v>62</v>
      </c>
      <c r="H449" s="7">
        <v>70</v>
      </c>
    </row>
    <row r="450" spans="1:8" x14ac:dyDescent="0.35">
      <c r="A450" s="7">
        <v>0.30299999999999999</v>
      </c>
      <c r="B450" s="7">
        <v>448</v>
      </c>
      <c r="C450" s="5">
        <f t="shared" si="7"/>
        <v>0.30299999999999999</v>
      </c>
      <c r="D450" s="7">
        <v>0.49</v>
      </c>
      <c r="E450" s="7">
        <v>0.1343</v>
      </c>
      <c r="F450" s="7">
        <v>8</v>
      </c>
      <c r="G450" s="7">
        <v>83</v>
      </c>
      <c r="H450" s="7">
        <v>91</v>
      </c>
    </row>
    <row r="451" spans="1:8" x14ac:dyDescent="0.35">
      <c r="A451" s="7">
        <v>0.31819999999999998</v>
      </c>
      <c r="B451" s="7">
        <v>449</v>
      </c>
      <c r="C451" s="5">
        <f t="shared" ref="C451:C514" si="8">IF(ISBLANK(A451),AVERAGE(A450:A452),A451)</f>
        <v>0.31819999999999998</v>
      </c>
      <c r="D451" s="7">
        <v>0.49</v>
      </c>
      <c r="E451" s="7">
        <v>0.1045</v>
      </c>
      <c r="F451" s="7">
        <v>8</v>
      </c>
      <c r="G451" s="7">
        <v>207</v>
      </c>
      <c r="H451" s="7">
        <v>215</v>
      </c>
    </row>
    <row r="452" spans="1:8" x14ac:dyDescent="0.35">
      <c r="A452" s="7">
        <v>0.2576</v>
      </c>
      <c r="B452" s="7">
        <v>450</v>
      </c>
      <c r="C452" s="5">
        <f t="shared" si="8"/>
        <v>0.2576</v>
      </c>
      <c r="D452" s="7">
        <v>0.56000000000000005</v>
      </c>
      <c r="E452" s="7">
        <v>0.19400000000000001</v>
      </c>
      <c r="F452" s="7">
        <v>1</v>
      </c>
      <c r="G452" s="7">
        <v>184</v>
      </c>
      <c r="H452" s="7">
        <v>185</v>
      </c>
    </row>
    <row r="453" spans="1:8" x14ac:dyDescent="0.35">
      <c r="A453" s="7">
        <v>0.2273</v>
      </c>
      <c r="B453" s="7">
        <v>451</v>
      </c>
      <c r="C453" s="5">
        <f t="shared" si="8"/>
        <v>0.2273</v>
      </c>
      <c r="D453" s="7">
        <v>0.56000000000000005</v>
      </c>
      <c r="E453" s="7">
        <v>0.32840000000000003</v>
      </c>
      <c r="F453" s="7">
        <v>6</v>
      </c>
      <c r="G453" s="7">
        <v>146</v>
      </c>
      <c r="H453" s="7">
        <v>152</v>
      </c>
    </row>
    <row r="454" spans="1:8" x14ac:dyDescent="0.35">
      <c r="A454" s="7">
        <v>0.2424</v>
      </c>
      <c r="B454" s="7">
        <v>452</v>
      </c>
      <c r="C454" s="5">
        <f t="shared" si="8"/>
        <v>0.2424</v>
      </c>
      <c r="D454" s="7">
        <v>0.6</v>
      </c>
      <c r="E454" s="7">
        <v>0.28360000000000002</v>
      </c>
      <c r="F454" s="7">
        <v>2</v>
      </c>
      <c r="G454" s="7">
        <v>124</v>
      </c>
      <c r="H454" s="7">
        <v>126</v>
      </c>
    </row>
    <row r="455" spans="1:8" x14ac:dyDescent="0.35">
      <c r="A455" s="7">
        <v>0.2273</v>
      </c>
      <c r="B455" s="7">
        <v>453</v>
      </c>
      <c r="C455" s="5">
        <f t="shared" si="8"/>
        <v>0.2273</v>
      </c>
      <c r="D455" s="7">
        <v>0.6</v>
      </c>
      <c r="E455" s="7">
        <v>0.25369999999999998</v>
      </c>
      <c r="F455" s="7">
        <v>3</v>
      </c>
      <c r="G455" s="7">
        <v>54</v>
      </c>
      <c r="H455" s="7">
        <v>57</v>
      </c>
    </row>
    <row r="456" spans="1:8" x14ac:dyDescent="0.35">
      <c r="A456" s="7">
        <v>0.21210000000000001</v>
      </c>
      <c r="B456" s="7">
        <v>454</v>
      </c>
      <c r="C456" s="5">
        <f t="shared" si="8"/>
        <v>0.21210000000000001</v>
      </c>
      <c r="D456" s="7">
        <v>0.65</v>
      </c>
      <c r="E456" s="7">
        <v>0.28360000000000002</v>
      </c>
      <c r="F456" s="7">
        <v>0</v>
      </c>
      <c r="G456" s="7">
        <v>56</v>
      </c>
      <c r="H456" s="7">
        <v>56</v>
      </c>
    </row>
    <row r="457" spans="1:8" x14ac:dyDescent="0.35">
      <c r="A457" s="7">
        <v>0.21210000000000001</v>
      </c>
      <c r="B457" s="7">
        <v>455</v>
      </c>
      <c r="C457" s="5">
        <f t="shared" si="8"/>
        <v>0.21210000000000001</v>
      </c>
      <c r="D457" s="7">
        <v>0.65</v>
      </c>
      <c r="E457" s="7">
        <v>0.32840000000000003</v>
      </c>
      <c r="F457" s="7">
        <v>3</v>
      </c>
      <c r="G457" s="7">
        <v>28</v>
      </c>
      <c r="H457" s="7">
        <v>31</v>
      </c>
    </row>
    <row r="458" spans="1:8" x14ac:dyDescent="0.35">
      <c r="A458" s="7">
        <v>0.2273</v>
      </c>
      <c r="B458" s="7">
        <v>456</v>
      </c>
      <c r="C458" s="5">
        <f t="shared" si="8"/>
        <v>0.2273</v>
      </c>
      <c r="D458" s="7">
        <v>0.7</v>
      </c>
      <c r="E458" s="7">
        <v>0.25369999999999998</v>
      </c>
      <c r="F458" s="7">
        <v>1</v>
      </c>
      <c r="G458" s="7">
        <v>20</v>
      </c>
      <c r="H458" s="7">
        <v>21</v>
      </c>
    </row>
    <row r="459" spans="1:8" x14ac:dyDescent="0.35">
      <c r="A459" s="7">
        <v>0.2273</v>
      </c>
      <c r="B459" s="7">
        <v>457</v>
      </c>
      <c r="C459" s="5">
        <f t="shared" si="8"/>
        <v>0.2273</v>
      </c>
      <c r="D459" s="7">
        <v>0.7</v>
      </c>
      <c r="E459" s="7">
        <v>0.25369999999999998</v>
      </c>
      <c r="F459" s="7">
        <v>0</v>
      </c>
      <c r="G459" s="7">
        <v>6</v>
      </c>
      <c r="H459" s="7">
        <v>6</v>
      </c>
    </row>
    <row r="460" spans="1:8" x14ac:dyDescent="0.35">
      <c r="A460" s="7">
        <v>0.2424</v>
      </c>
      <c r="B460" s="7">
        <v>458</v>
      </c>
      <c r="C460" s="5">
        <f t="shared" si="8"/>
        <v>0.2424</v>
      </c>
      <c r="D460" s="7">
        <v>0.75</v>
      </c>
      <c r="E460" s="7">
        <v>0.16420000000000001</v>
      </c>
      <c r="F460" s="7">
        <v>0</v>
      </c>
      <c r="G460" s="7">
        <v>2</v>
      </c>
      <c r="H460" s="7">
        <v>2</v>
      </c>
    </row>
    <row r="461" spans="1:8" x14ac:dyDescent="0.35">
      <c r="A461" s="7">
        <v>0.21210000000000001</v>
      </c>
      <c r="B461" s="7">
        <v>459</v>
      </c>
      <c r="C461" s="5">
        <f t="shared" si="8"/>
        <v>0.21210000000000001</v>
      </c>
      <c r="D461" s="7">
        <v>0.8</v>
      </c>
      <c r="E461" s="7">
        <v>0.29849999999999999</v>
      </c>
      <c r="F461" s="7">
        <v>0</v>
      </c>
      <c r="G461" s="7">
        <v>1</v>
      </c>
      <c r="H461" s="7">
        <v>1</v>
      </c>
    </row>
    <row r="462" spans="1:8" x14ac:dyDescent="0.35">
      <c r="A462" s="7">
        <v>0.2576</v>
      </c>
      <c r="B462" s="7">
        <v>460</v>
      </c>
      <c r="C462" s="5">
        <f t="shared" si="8"/>
        <v>0.2576</v>
      </c>
      <c r="D462" s="7">
        <v>0.87</v>
      </c>
      <c r="E462" s="7">
        <v>8.9599999999999999E-2</v>
      </c>
      <c r="F462" s="7">
        <v>0</v>
      </c>
      <c r="G462" s="7">
        <v>1</v>
      </c>
      <c r="H462" s="7">
        <v>1</v>
      </c>
    </row>
    <row r="463" spans="1:8" x14ac:dyDescent="0.35">
      <c r="A463" s="7">
        <v>0.19700000000000001</v>
      </c>
      <c r="B463" s="7">
        <v>461</v>
      </c>
      <c r="C463" s="5">
        <f t="shared" si="8"/>
        <v>0.19700000000000001</v>
      </c>
      <c r="D463" s="7">
        <v>0.6</v>
      </c>
      <c r="E463" s="7">
        <v>0.41789999999999999</v>
      </c>
      <c r="F463" s="7">
        <v>1</v>
      </c>
      <c r="G463" s="7">
        <v>4</v>
      </c>
      <c r="H463" s="7">
        <v>5</v>
      </c>
    </row>
    <row r="464" spans="1:8" x14ac:dyDescent="0.35">
      <c r="A464" s="7">
        <v>0.21210000000000001</v>
      </c>
      <c r="B464" s="7">
        <v>462</v>
      </c>
      <c r="C464" s="5">
        <f t="shared" si="8"/>
        <v>0.21210000000000001</v>
      </c>
      <c r="D464" s="7">
        <v>0.55000000000000004</v>
      </c>
      <c r="E464" s="7">
        <v>0.25369999999999998</v>
      </c>
      <c r="F464" s="7">
        <v>0</v>
      </c>
      <c r="G464" s="7">
        <v>27</v>
      </c>
      <c r="H464" s="7">
        <v>27</v>
      </c>
    </row>
    <row r="465" spans="1:8" x14ac:dyDescent="0.35">
      <c r="A465" s="7">
        <v>0.18179999999999999</v>
      </c>
      <c r="B465" s="7">
        <v>463</v>
      </c>
      <c r="C465" s="5">
        <f t="shared" si="8"/>
        <v>0.18179999999999999</v>
      </c>
      <c r="D465" s="7">
        <v>0.51</v>
      </c>
      <c r="E465" s="7">
        <v>0.28360000000000002</v>
      </c>
      <c r="F465" s="7">
        <v>2</v>
      </c>
      <c r="G465" s="7">
        <v>66</v>
      </c>
      <c r="H465" s="7">
        <v>68</v>
      </c>
    </row>
    <row r="466" spans="1:8" x14ac:dyDescent="0.35">
      <c r="A466" s="7">
        <v>0.18179999999999999</v>
      </c>
      <c r="B466" s="7">
        <v>464</v>
      </c>
      <c r="C466" s="5">
        <f t="shared" si="8"/>
        <v>0.18179999999999999</v>
      </c>
      <c r="D466" s="7">
        <v>0.47</v>
      </c>
      <c r="E466" s="7">
        <v>0.32840000000000003</v>
      </c>
      <c r="F466" s="7">
        <v>7</v>
      </c>
      <c r="G466" s="7">
        <v>210</v>
      </c>
      <c r="H466" s="7">
        <v>217</v>
      </c>
    </row>
    <row r="467" spans="1:8" x14ac:dyDescent="0.35">
      <c r="A467" s="7">
        <v>0.18179999999999999</v>
      </c>
      <c r="B467" s="7">
        <v>465</v>
      </c>
      <c r="C467" s="5">
        <f t="shared" si="8"/>
        <v>0.18179999999999999</v>
      </c>
      <c r="D467" s="7">
        <v>0.51</v>
      </c>
      <c r="E467" s="7">
        <v>0.35820000000000002</v>
      </c>
      <c r="F467" s="7">
        <v>7</v>
      </c>
      <c r="G467" s="7">
        <v>159</v>
      </c>
      <c r="H467" s="7">
        <v>166</v>
      </c>
    </row>
    <row r="468" spans="1:8" x14ac:dyDescent="0.35">
      <c r="A468" s="7">
        <v>0.16669999999999999</v>
      </c>
      <c r="B468" s="7">
        <v>466</v>
      </c>
      <c r="C468" s="5">
        <f t="shared" si="8"/>
        <v>0.16669999999999999</v>
      </c>
      <c r="D468" s="7">
        <v>0.47</v>
      </c>
      <c r="E468" s="7">
        <v>0.4627</v>
      </c>
      <c r="F468" s="7">
        <v>6</v>
      </c>
      <c r="G468" s="7">
        <v>57</v>
      </c>
      <c r="H468" s="7">
        <v>63</v>
      </c>
    </row>
    <row r="469" spans="1:8" x14ac:dyDescent="0.35">
      <c r="A469" s="7">
        <v>0.18179999999999999</v>
      </c>
      <c r="B469" s="7">
        <v>467</v>
      </c>
      <c r="C469" s="5">
        <f t="shared" si="8"/>
        <v>0.18179999999999999</v>
      </c>
      <c r="D469" s="7">
        <v>0.41</v>
      </c>
      <c r="E469" s="7">
        <v>0.4627</v>
      </c>
      <c r="F469" s="7">
        <v>6</v>
      </c>
      <c r="G469" s="7">
        <v>53</v>
      </c>
      <c r="H469" s="7">
        <v>59</v>
      </c>
    </row>
    <row r="470" spans="1:8" x14ac:dyDescent="0.35">
      <c r="A470" s="7">
        <v>0.18179999999999999</v>
      </c>
      <c r="B470" s="7">
        <v>468</v>
      </c>
      <c r="C470" s="5">
        <f t="shared" si="8"/>
        <v>0.18179999999999999</v>
      </c>
      <c r="D470" s="7">
        <v>0.27</v>
      </c>
      <c r="E470" s="7">
        <v>0.58209999999999995</v>
      </c>
      <c r="F470" s="7">
        <v>11</v>
      </c>
      <c r="G470" s="7">
        <v>67</v>
      </c>
      <c r="H470" s="7">
        <v>78</v>
      </c>
    </row>
    <row r="471" spans="1:8" x14ac:dyDescent="0.35">
      <c r="A471" s="7">
        <v>0.1515</v>
      </c>
      <c r="B471" s="7">
        <v>469</v>
      </c>
      <c r="C471" s="5">
        <f t="shared" si="8"/>
        <v>0.1515</v>
      </c>
      <c r="D471" s="7">
        <v>0.21</v>
      </c>
      <c r="E471" s="7">
        <v>0.58209999999999995</v>
      </c>
      <c r="F471" s="7">
        <v>8</v>
      </c>
      <c r="G471" s="7">
        <v>65</v>
      </c>
      <c r="H471" s="7">
        <v>73</v>
      </c>
    </row>
    <row r="472" spans="1:8" x14ac:dyDescent="0.35">
      <c r="A472" s="7">
        <v>0.1515</v>
      </c>
      <c r="B472" s="7">
        <v>470</v>
      </c>
      <c r="C472" s="5">
        <f t="shared" si="8"/>
        <v>0.1515</v>
      </c>
      <c r="D472" s="7">
        <v>0.25</v>
      </c>
      <c r="E472" s="7">
        <v>0.52239999999999998</v>
      </c>
      <c r="F472" s="7">
        <v>6</v>
      </c>
      <c r="G472" s="7">
        <v>56</v>
      </c>
      <c r="H472" s="7">
        <v>62</v>
      </c>
    </row>
    <row r="473" spans="1:8" x14ac:dyDescent="0.35">
      <c r="A473" s="7">
        <v>0.1212</v>
      </c>
      <c r="B473" s="7">
        <v>471</v>
      </c>
      <c r="C473" s="5">
        <f t="shared" si="8"/>
        <v>0.1212</v>
      </c>
      <c r="D473" s="7">
        <v>0.26</v>
      </c>
      <c r="E473" s="7">
        <v>0.44779999999999998</v>
      </c>
      <c r="F473" s="7">
        <v>4</v>
      </c>
      <c r="G473" s="7">
        <v>61</v>
      </c>
      <c r="H473" s="7">
        <v>65</v>
      </c>
    </row>
    <row r="474" spans="1:8" x14ac:dyDescent="0.35">
      <c r="A474" s="7">
        <v>0.13639999999999999</v>
      </c>
      <c r="B474" s="7">
        <v>472</v>
      </c>
      <c r="C474" s="5">
        <f t="shared" si="8"/>
        <v>0.13639999999999999</v>
      </c>
      <c r="D474" s="7">
        <v>0.26</v>
      </c>
      <c r="E474" s="7">
        <v>0.35820000000000002</v>
      </c>
      <c r="F474" s="7">
        <v>0</v>
      </c>
      <c r="G474" s="7">
        <v>97</v>
      </c>
      <c r="H474" s="7">
        <v>97</v>
      </c>
    </row>
    <row r="475" spans="1:8" x14ac:dyDescent="0.35">
      <c r="A475" s="7">
        <v>0.1212</v>
      </c>
      <c r="B475" s="7">
        <v>473</v>
      </c>
      <c r="C475" s="5">
        <f t="shared" si="8"/>
        <v>0.1212</v>
      </c>
      <c r="D475" s="7">
        <v>0.28000000000000003</v>
      </c>
      <c r="E475" s="7">
        <v>0.35820000000000002</v>
      </c>
      <c r="F475" s="7">
        <v>10</v>
      </c>
      <c r="G475" s="7">
        <v>151</v>
      </c>
      <c r="H475" s="7">
        <v>161</v>
      </c>
    </row>
    <row r="476" spans="1:8" x14ac:dyDescent="0.35">
      <c r="A476" s="7">
        <v>0.1212</v>
      </c>
      <c r="B476" s="7">
        <v>474</v>
      </c>
      <c r="C476" s="5">
        <f t="shared" si="8"/>
        <v>0.1212</v>
      </c>
      <c r="D476" s="7">
        <v>0.3</v>
      </c>
      <c r="E476" s="7">
        <v>0.25369999999999998</v>
      </c>
      <c r="F476" s="7">
        <v>1</v>
      </c>
      <c r="G476" s="7">
        <v>119</v>
      </c>
      <c r="H476" s="7">
        <v>120</v>
      </c>
    </row>
    <row r="477" spans="1:8" x14ac:dyDescent="0.35">
      <c r="A477" s="7">
        <v>0.1061</v>
      </c>
      <c r="B477" s="7">
        <v>475</v>
      </c>
      <c r="C477" s="5">
        <f t="shared" si="8"/>
        <v>0.1061</v>
      </c>
      <c r="D477" s="7">
        <v>0.3</v>
      </c>
      <c r="E477" s="7">
        <v>0.32840000000000003</v>
      </c>
      <c r="F477" s="7">
        <v>3</v>
      </c>
      <c r="G477" s="7">
        <v>93</v>
      </c>
      <c r="H477" s="7">
        <v>96</v>
      </c>
    </row>
    <row r="478" spans="1:8" x14ac:dyDescent="0.35">
      <c r="A478" s="7">
        <v>7.5800000000000006E-2</v>
      </c>
      <c r="B478" s="7">
        <v>476</v>
      </c>
      <c r="C478" s="5">
        <f t="shared" si="8"/>
        <v>7.5800000000000006E-2</v>
      </c>
      <c r="D478" s="7">
        <v>0.33</v>
      </c>
      <c r="E478" s="7">
        <v>0.41789999999999999</v>
      </c>
      <c r="F478" s="7">
        <v>1</v>
      </c>
      <c r="G478" s="7">
        <v>52</v>
      </c>
      <c r="H478" s="7">
        <v>53</v>
      </c>
    </row>
    <row r="479" spans="1:8" x14ac:dyDescent="0.35">
      <c r="A479" s="7">
        <v>7.5800000000000006E-2</v>
      </c>
      <c r="B479" s="7">
        <v>477</v>
      </c>
      <c r="C479" s="5">
        <f t="shared" si="8"/>
        <v>7.5800000000000006E-2</v>
      </c>
      <c r="D479" s="7">
        <v>0.38</v>
      </c>
      <c r="E479" s="7">
        <v>0.28360000000000002</v>
      </c>
      <c r="F479" s="7">
        <v>0</v>
      </c>
      <c r="G479" s="7">
        <v>41</v>
      </c>
      <c r="H479" s="7">
        <v>41</v>
      </c>
    </row>
    <row r="480" spans="1:8" x14ac:dyDescent="0.35">
      <c r="A480" s="7">
        <v>3.0300000000000001E-2</v>
      </c>
      <c r="B480" s="7">
        <v>478</v>
      </c>
      <c r="C480" s="5">
        <f t="shared" si="8"/>
        <v>3.0300000000000001E-2</v>
      </c>
      <c r="D480" s="7">
        <v>0.41</v>
      </c>
      <c r="E480" s="7">
        <v>0.3881</v>
      </c>
      <c r="F480" s="7">
        <v>1</v>
      </c>
      <c r="G480" s="7">
        <v>33</v>
      </c>
      <c r="H480" s="7">
        <v>34</v>
      </c>
    </row>
    <row r="481" spans="1:8" x14ac:dyDescent="0.35">
      <c r="A481" s="7">
        <v>4.5499999999999999E-2</v>
      </c>
      <c r="B481" s="7">
        <v>479</v>
      </c>
      <c r="C481" s="5">
        <f t="shared" si="8"/>
        <v>4.5499999999999999E-2</v>
      </c>
      <c r="D481" s="7">
        <v>0.38</v>
      </c>
      <c r="E481" s="7">
        <v>0.32840000000000003</v>
      </c>
      <c r="F481" s="7">
        <v>0</v>
      </c>
      <c r="G481" s="7">
        <v>27</v>
      </c>
      <c r="H481" s="7">
        <v>27</v>
      </c>
    </row>
    <row r="482" spans="1:8" x14ac:dyDescent="0.35">
      <c r="A482" s="7">
        <v>3.0300000000000001E-2</v>
      </c>
      <c r="B482" s="7">
        <v>480</v>
      </c>
      <c r="C482" s="5">
        <f t="shared" si="8"/>
        <v>3.0300000000000001E-2</v>
      </c>
      <c r="D482" s="7">
        <v>0.45</v>
      </c>
      <c r="E482" s="7">
        <v>0.25369999999999998</v>
      </c>
      <c r="F482" s="7">
        <v>0</v>
      </c>
      <c r="G482" s="7">
        <v>13</v>
      </c>
      <c r="H482" s="7">
        <v>13</v>
      </c>
    </row>
    <row r="483" spans="1:8" x14ac:dyDescent="0.35">
      <c r="A483" s="7">
        <v>0</v>
      </c>
      <c r="B483" s="7">
        <v>481</v>
      </c>
      <c r="C483" s="5">
        <f t="shared" si="8"/>
        <v>0</v>
      </c>
      <c r="D483" s="7">
        <v>0.41</v>
      </c>
      <c r="E483" s="7">
        <v>0.3881</v>
      </c>
      <c r="F483" s="7">
        <v>3</v>
      </c>
      <c r="G483" s="7">
        <v>9</v>
      </c>
      <c r="H483" s="7">
        <v>12</v>
      </c>
    </row>
    <row r="484" spans="1:8" x14ac:dyDescent="0.35">
      <c r="A484" s="7">
        <v>3.0300000000000001E-2</v>
      </c>
      <c r="B484" s="7">
        <v>482</v>
      </c>
      <c r="C484" s="5">
        <f t="shared" si="8"/>
        <v>3.0300000000000001E-2</v>
      </c>
      <c r="D484" s="7">
        <v>0.41</v>
      </c>
      <c r="E484" s="7">
        <v>0.25369999999999998</v>
      </c>
      <c r="F484" s="7">
        <v>0</v>
      </c>
      <c r="G484" s="7">
        <v>11</v>
      </c>
      <c r="H484" s="7">
        <v>11</v>
      </c>
    </row>
    <row r="485" spans="1:8" x14ac:dyDescent="0.35">
      <c r="A485" s="7">
        <v>3.0300000000000001E-2</v>
      </c>
      <c r="B485" s="7">
        <v>483</v>
      </c>
      <c r="C485" s="5">
        <f t="shared" si="8"/>
        <v>3.0300000000000001E-2</v>
      </c>
      <c r="D485" s="7">
        <v>0.41</v>
      </c>
      <c r="E485" s="7">
        <v>0.28360000000000002</v>
      </c>
      <c r="F485" s="7">
        <v>1</v>
      </c>
      <c r="G485" s="7">
        <v>6</v>
      </c>
      <c r="H485" s="7">
        <v>7</v>
      </c>
    </row>
    <row r="486" spans="1:8" x14ac:dyDescent="0.35">
      <c r="A486" s="7">
        <v>1.52E-2</v>
      </c>
      <c r="B486" s="7">
        <v>484</v>
      </c>
      <c r="C486" s="5">
        <f t="shared" si="8"/>
        <v>1.52E-2</v>
      </c>
      <c r="D486" s="7">
        <v>0.48</v>
      </c>
      <c r="E486" s="7">
        <v>0.29849999999999999</v>
      </c>
      <c r="F486" s="7">
        <v>0</v>
      </c>
      <c r="G486" s="7">
        <v>3</v>
      </c>
      <c r="H486" s="7">
        <v>3</v>
      </c>
    </row>
    <row r="487" spans="1:8" x14ac:dyDescent="0.35">
      <c r="A487" s="7">
        <v>3.0300000000000001E-2</v>
      </c>
      <c r="B487" s="7">
        <v>485</v>
      </c>
      <c r="C487" s="5">
        <f t="shared" si="8"/>
        <v>3.0300000000000001E-2</v>
      </c>
      <c r="D487" s="7">
        <v>0.44</v>
      </c>
      <c r="E487" s="7">
        <v>0.22389999999999999</v>
      </c>
      <c r="F487" s="7">
        <v>0</v>
      </c>
      <c r="G487" s="7">
        <v>2</v>
      </c>
      <c r="H487" s="7">
        <v>2</v>
      </c>
    </row>
    <row r="488" spans="1:8" x14ac:dyDescent="0.35">
      <c r="A488" s="7">
        <v>1.52E-2</v>
      </c>
      <c r="B488" s="7">
        <v>486</v>
      </c>
      <c r="C488" s="5">
        <f t="shared" si="8"/>
        <v>1.52E-2</v>
      </c>
      <c r="D488" s="7">
        <v>0.44</v>
      </c>
      <c r="E488" s="7">
        <v>0.28360000000000002</v>
      </c>
      <c r="F488" s="7">
        <v>0</v>
      </c>
      <c r="G488" s="7">
        <v>8</v>
      </c>
      <c r="H488" s="7">
        <v>8</v>
      </c>
    </row>
    <row r="489" spans="1:8" x14ac:dyDescent="0.35">
      <c r="A489" s="7">
        <v>0</v>
      </c>
      <c r="B489" s="7">
        <v>487</v>
      </c>
      <c r="C489" s="5">
        <f t="shared" si="8"/>
        <v>0</v>
      </c>
      <c r="D489" s="7">
        <v>0.44</v>
      </c>
      <c r="E489" s="7">
        <v>0.32840000000000003</v>
      </c>
      <c r="F489" s="7">
        <v>1</v>
      </c>
      <c r="G489" s="7">
        <v>26</v>
      </c>
      <c r="H489" s="7">
        <v>27</v>
      </c>
    </row>
    <row r="490" spans="1:8" x14ac:dyDescent="0.35">
      <c r="A490" s="7">
        <v>3.0300000000000001E-2</v>
      </c>
      <c r="B490" s="7">
        <v>488</v>
      </c>
      <c r="C490" s="5">
        <f t="shared" si="8"/>
        <v>3.0300000000000001E-2</v>
      </c>
      <c r="D490" s="7">
        <v>0.41</v>
      </c>
      <c r="E490" s="7">
        <v>0.25369999999999998</v>
      </c>
      <c r="F490" s="7">
        <v>3</v>
      </c>
      <c r="G490" s="7">
        <v>37</v>
      </c>
      <c r="H490" s="7">
        <v>40</v>
      </c>
    </row>
    <row r="491" spans="1:8" x14ac:dyDescent="0.35">
      <c r="A491" s="7">
        <v>6.0600000000000001E-2</v>
      </c>
      <c r="B491" s="7">
        <v>489</v>
      </c>
      <c r="C491" s="5">
        <f t="shared" si="8"/>
        <v>6.0600000000000001E-2</v>
      </c>
      <c r="D491" s="7">
        <v>0.41</v>
      </c>
      <c r="E491" s="7">
        <v>0.16420000000000001</v>
      </c>
      <c r="F491" s="7">
        <v>3</v>
      </c>
      <c r="G491" s="7">
        <v>50</v>
      </c>
      <c r="H491" s="7">
        <v>53</v>
      </c>
    </row>
    <row r="492" spans="1:8" x14ac:dyDescent="0.35">
      <c r="A492" s="7">
        <v>7.5800000000000006E-2</v>
      </c>
      <c r="B492" s="7">
        <v>490</v>
      </c>
      <c r="C492" s="5">
        <f t="shared" si="8"/>
        <v>7.5800000000000006E-2</v>
      </c>
      <c r="D492" s="7">
        <v>0.38</v>
      </c>
      <c r="E492" s="7">
        <v>0.1343</v>
      </c>
      <c r="F492" s="7">
        <v>4</v>
      </c>
      <c r="G492" s="7">
        <v>59</v>
      </c>
      <c r="H492" s="7">
        <v>63</v>
      </c>
    </row>
    <row r="493" spans="1:8" x14ac:dyDescent="0.35">
      <c r="A493" s="7">
        <v>0.1061</v>
      </c>
      <c r="B493" s="7">
        <v>491</v>
      </c>
      <c r="C493" s="5">
        <f t="shared" si="8"/>
        <v>0.1061</v>
      </c>
      <c r="D493" s="7">
        <v>0.38</v>
      </c>
      <c r="E493" s="7">
        <v>0.1045</v>
      </c>
      <c r="F493" s="7">
        <v>10</v>
      </c>
      <c r="G493" s="7">
        <v>60</v>
      </c>
      <c r="H493" s="7">
        <v>70</v>
      </c>
    </row>
    <row r="494" spans="1:8" x14ac:dyDescent="0.35">
      <c r="A494" s="7">
        <v>0.16669999999999999</v>
      </c>
      <c r="B494" s="7">
        <v>492</v>
      </c>
      <c r="C494" s="5">
        <f t="shared" si="8"/>
        <v>0.16669999999999999</v>
      </c>
      <c r="D494" s="7">
        <v>0.35</v>
      </c>
      <c r="E494" s="7">
        <v>0</v>
      </c>
      <c r="F494" s="7">
        <v>12</v>
      </c>
      <c r="G494" s="7">
        <v>72</v>
      </c>
      <c r="H494" s="7">
        <v>84</v>
      </c>
    </row>
    <row r="495" spans="1:8" x14ac:dyDescent="0.35">
      <c r="A495" s="7">
        <v>0.13639999999999999</v>
      </c>
      <c r="B495" s="7">
        <v>493</v>
      </c>
      <c r="C495" s="5">
        <f t="shared" si="8"/>
        <v>0.13639999999999999</v>
      </c>
      <c r="D495" s="7">
        <v>0.33</v>
      </c>
      <c r="E495" s="7">
        <v>0.1045</v>
      </c>
      <c r="F495" s="7">
        <v>11</v>
      </c>
      <c r="G495" s="7">
        <v>64</v>
      </c>
      <c r="H495" s="7">
        <v>75</v>
      </c>
    </row>
    <row r="496" spans="1:8" x14ac:dyDescent="0.35">
      <c r="A496" s="7">
        <v>0.1515</v>
      </c>
      <c r="B496" s="7">
        <v>494</v>
      </c>
      <c r="C496" s="5">
        <f t="shared" si="8"/>
        <v>0.1515</v>
      </c>
      <c r="D496" s="7">
        <v>0.28000000000000003</v>
      </c>
      <c r="E496" s="7">
        <v>0</v>
      </c>
      <c r="F496" s="7">
        <v>10</v>
      </c>
      <c r="G496" s="7">
        <v>93</v>
      </c>
      <c r="H496" s="7">
        <v>103</v>
      </c>
    </row>
    <row r="497" spans="1:8" x14ac:dyDescent="0.35">
      <c r="A497" s="7">
        <v>0.13639999999999999</v>
      </c>
      <c r="B497" s="7">
        <v>495</v>
      </c>
      <c r="C497" s="5">
        <f t="shared" si="8"/>
        <v>0.13639999999999999</v>
      </c>
      <c r="D497" s="7">
        <v>0.28000000000000003</v>
      </c>
      <c r="E497" s="7">
        <v>0.19400000000000001</v>
      </c>
      <c r="F497" s="7">
        <v>11</v>
      </c>
      <c r="G497" s="7">
        <v>72</v>
      </c>
      <c r="H497" s="7">
        <v>83</v>
      </c>
    </row>
    <row r="498" spans="1:8" x14ac:dyDescent="0.35">
      <c r="A498" s="7">
        <v>0.19700000000000001</v>
      </c>
      <c r="B498" s="7">
        <v>496</v>
      </c>
      <c r="C498" s="5">
        <f t="shared" si="8"/>
        <v>0.19700000000000001</v>
      </c>
      <c r="D498" s="7">
        <v>0.28000000000000003</v>
      </c>
      <c r="E498" s="7">
        <v>0</v>
      </c>
      <c r="F498" s="7">
        <v>8</v>
      </c>
      <c r="G498" s="7">
        <v>59</v>
      </c>
      <c r="H498" s="7">
        <v>67</v>
      </c>
    </row>
    <row r="499" spans="1:8" x14ac:dyDescent="0.35">
      <c r="A499" s="7">
        <v>9.0899999999999995E-2</v>
      </c>
      <c r="B499" s="7">
        <v>497</v>
      </c>
      <c r="C499" s="5">
        <f t="shared" si="8"/>
        <v>9.0899999999999995E-2</v>
      </c>
      <c r="D499" s="7">
        <v>0.35</v>
      </c>
      <c r="E499" s="7">
        <v>0.19400000000000001</v>
      </c>
      <c r="F499" s="7">
        <v>0</v>
      </c>
      <c r="G499" s="7">
        <v>54</v>
      </c>
      <c r="H499" s="7">
        <v>54</v>
      </c>
    </row>
    <row r="500" spans="1:8" x14ac:dyDescent="0.35">
      <c r="A500" s="7">
        <v>0.1061</v>
      </c>
      <c r="B500" s="7">
        <v>498</v>
      </c>
      <c r="C500" s="5">
        <f t="shared" si="8"/>
        <v>0.1061</v>
      </c>
      <c r="D500" s="7">
        <v>0.35</v>
      </c>
      <c r="E500" s="7">
        <v>0.1343</v>
      </c>
      <c r="F500" s="7">
        <v>6</v>
      </c>
      <c r="G500" s="7">
        <v>53</v>
      </c>
      <c r="H500" s="7">
        <v>59</v>
      </c>
    </row>
    <row r="501" spans="1:8" x14ac:dyDescent="0.35">
      <c r="A501" s="7">
        <v>7.5800000000000006E-2</v>
      </c>
      <c r="B501" s="7">
        <v>499</v>
      </c>
      <c r="C501" s="5">
        <f t="shared" si="8"/>
        <v>7.5800000000000006E-2</v>
      </c>
      <c r="D501" s="7">
        <v>0.45</v>
      </c>
      <c r="E501" s="7">
        <v>0.16420000000000001</v>
      </c>
      <c r="F501" s="7">
        <v>1</v>
      </c>
      <c r="G501" s="7">
        <v>44</v>
      </c>
      <c r="H501" s="7">
        <v>45</v>
      </c>
    </row>
    <row r="502" spans="1:8" x14ac:dyDescent="0.35">
      <c r="A502" s="7">
        <v>0.1061</v>
      </c>
      <c r="B502" s="7">
        <v>500</v>
      </c>
      <c r="C502" s="5">
        <f t="shared" si="8"/>
        <v>0.1061</v>
      </c>
      <c r="D502" s="7">
        <v>0.41</v>
      </c>
      <c r="E502" s="7">
        <v>8.9599999999999999E-2</v>
      </c>
      <c r="F502" s="7">
        <v>0</v>
      </c>
      <c r="G502" s="7">
        <v>39</v>
      </c>
      <c r="H502" s="7">
        <v>39</v>
      </c>
    </row>
    <row r="503" spans="1:8" x14ac:dyDescent="0.35">
      <c r="A503" s="7">
        <v>0.1515</v>
      </c>
      <c r="B503" s="7">
        <v>501</v>
      </c>
      <c r="C503" s="5">
        <f t="shared" si="8"/>
        <v>0.1515</v>
      </c>
      <c r="D503" s="7">
        <v>0.49</v>
      </c>
      <c r="E503" s="7">
        <v>0</v>
      </c>
      <c r="F503" s="7">
        <v>7</v>
      </c>
      <c r="G503" s="7">
        <v>23</v>
      </c>
      <c r="H503" s="7">
        <v>30</v>
      </c>
    </row>
    <row r="504" spans="1:8" x14ac:dyDescent="0.35">
      <c r="A504" s="7">
        <v>7.5800000000000006E-2</v>
      </c>
      <c r="B504" s="7">
        <v>502</v>
      </c>
      <c r="C504" s="5">
        <f t="shared" si="8"/>
        <v>7.5800000000000006E-2</v>
      </c>
      <c r="D504" s="7">
        <v>0.56999999999999995</v>
      </c>
      <c r="E504" s="7">
        <v>0.1045</v>
      </c>
      <c r="F504" s="7">
        <v>2</v>
      </c>
      <c r="G504" s="7">
        <v>31</v>
      </c>
      <c r="H504" s="7">
        <v>33</v>
      </c>
    </row>
    <row r="505" spans="1:8" x14ac:dyDescent="0.35">
      <c r="A505" s="7">
        <v>7.5800000000000006E-2</v>
      </c>
      <c r="B505" s="7">
        <v>503</v>
      </c>
      <c r="C505" s="5">
        <f t="shared" si="8"/>
        <v>7.5800000000000006E-2</v>
      </c>
      <c r="D505" s="7">
        <v>0.56999999999999995</v>
      </c>
      <c r="E505" s="7">
        <v>0.1045</v>
      </c>
      <c r="F505" s="7">
        <v>2</v>
      </c>
      <c r="G505" s="7">
        <v>20</v>
      </c>
      <c r="H505" s="7">
        <v>22</v>
      </c>
    </row>
    <row r="506" spans="1:8" x14ac:dyDescent="0.35">
      <c r="A506" s="7">
        <v>7.5800000000000006E-2</v>
      </c>
      <c r="B506" s="7">
        <v>504</v>
      </c>
      <c r="C506" s="5">
        <f t="shared" si="8"/>
        <v>7.5800000000000006E-2</v>
      </c>
      <c r="D506" s="7">
        <v>0.56999999999999995</v>
      </c>
      <c r="E506" s="7">
        <v>0.1045</v>
      </c>
      <c r="F506" s="7">
        <v>1</v>
      </c>
      <c r="G506" s="7">
        <v>12</v>
      </c>
      <c r="H506" s="7">
        <v>13</v>
      </c>
    </row>
    <row r="507" spans="1:8" x14ac:dyDescent="0.35">
      <c r="A507" s="7">
        <v>6.0600000000000001E-2</v>
      </c>
      <c r="B507" s="7">
        <v>505</v>
      </c>
      <c r="C507" s="5">
        <f t="shared" si="8"/>
        <v>6.0600000000000001E-2</v>
      </c>
      <c r="D507" s="7">
        <v>0.62</v>
      </c>
      <c r="E507" s="7">
        <v>0.1343</v>
      </c>
      <c r="F507" s="7">
        <v>3</v>
      </c>
      <c r="G507" s="7">
        <v>15</v>
      </c>
      <c r="H507" s="7">
        <v>18</v>
      </c>
    </row>
    <row r="508" spans="1:8" x14ac:dyDescent="0.35">
      <c r="A508" s="7">
        <v>6.0600000000000001E-2</v>
      </c>
      <c r="B508" s="7">
        <v>506</v>
      </c>
      <c r="C508" s="5">
        <f t="shared" si="8"/>
        <v>6.0600000000000001E-2</v>
      </c>
      <c r="D508" s="7">
        <v>0.62</v>
      </c>
      <c r="E508" s="7">
        <v>0.1343</v>
      </c>
      <c r="F508" s="7">
        <v>1</v>
      </c>
      <c r="G508" s="7">
        <v>4</v>
      </c>
      <c r="H508" s="7">
        <v>5</v>
      </c>
    </row>
    <row r="509" spans="1:8" x14ac:dyDescent="0.35">
      <c r="A509" s="7">
        <v>7.5800000000000006E-2</v>
      </c>
      <c r="B509" s="7">
        <v>507</v>
      </c>
      <c r="C509" s="5">
        <f t="shared" si="8"/>
        <v>7.5800000000000006E-2</v>
      </c>
      <c r="D509" s="7">
        <v>0.56999999999999995</v>
      </c>
      <c r="E509" s="7">
        <v>0.1045</v>
      </c>
      <c r="F509" s="7">
        <v>0</v>
      </c>
      <c r="G509" s="7">
        <v>3</v>
      </c>
      <c r="H509" s="7">
        <v>3</v>
      </c>
    </row>
    <row r="510" spans="1:8" x14ac:dyDescent="0.35">
      <c r="A510" s="7">
        <v>7.5800000000000006E-2</v>
      </c>
      <c r="B510" s="7">
        <v>508</v>
      </c>
      <c r="C510" s="5">
        <f t="shared" si="8"/>
        <v>7.5800000000000006E-2</v>
      </c>
      <c r="D510" s="7">
        <v>0.56999999999999995</v>
      </c>
      <c r="E510" s="7">
        <v>0.1045</v>
      </c>
      <c r="F510" s="7">
        <v>0</v>
      </c>
      <c r="G510" s="7">
        <v>1</v>
      </c>
      <c r="H510" s="7">
        <v>1</v>
      </c>
    </row>
    <row r="511" spans="1:8" x14ac:dyDescent="0.35">
      <c r="A511" s="7">
        <v>0.1061</v>
      </c>
      <c r="B511" s="7">
        <v>509</v>
      </c>
      <c r="C511" s="5">
        <f t="shared" si="8"/>
        <v>0.1061</v>
      </c>
      <c r="D511" s="7">
        <v>0.57999999999999996</v>
      </c>
      <c r="E511" s="7">
        <v>0.16420000000000001</v>
      </c>
      <c r="F511" s="7">
        <v>1</v>
      </c>
      <c r="G511" s="7">
        <v>1</v>
      </c>
      <c r="H511" s="7">
        <v>2</v>
      </c>
    </row>
    <row r="512" spans="1:8" x14ac:dyDescent="0.35">
      <c r="A512" s="7">
        <v>7.5800000000000006E-2</v>
      </c>
      <c r="B512" s="7">
        <v>510</v>
      </c>
      <c r="C512" s="5">
        <f t="shared" si="8"/>
        <v>7.5800000000000006E-2</v>
      </c>
      <c r="D512" s="7">
        <v>0.62</v>
      </c>
      <c r="E512" s="7">
        <v>0.16420000000000001</v>
      </c>
      <c r="F512" s="7">
        <v>2</v>
      </c>
      <c r="G512" s="7">
        <v>17</v>
      </c>
      <c r="H512" s="7">
        <v>19</v>
      </c>
    </row>
    <row r="513" spans="1:8" x14ac:dyDescent="0.35">
      <c r="A513" s="7">
        <v>7.5800000000000006E-2</v>
      </c>
      <c r="B513" s="7">
        <v>511</v>
      </c>
      <c r="C513" s="5">
        <f t="shared" si="8"/>
        <v>7.5800000000000006E-2</v>
      </c>
      <c r="D513" s="7">
        <v>0.54</v>
      </c>
      <c r="E513" s="7">
        <v>0.35820000000000002</v>
      </c>
      <c r="F513" s="7">
        <v>3</v>
      </c>
      <c r="G513" s="7">
        <v>25</v>
      </c>
      <c r="H513" s="7">
        <v>28</v>
      </c>
    </row>
    <row r="514" spans="1:8" x14ac:dyDescent="0.35">
      <c r="A514" s="7">
        <v>0.1061</v>
      </c>
      <c r="B514" s="7">
        <v>512</v>
      </c>
      <c r="C514" s="5">
        <f t="shared" si="8"/>
        <v>0.1061</v>
      </c>
      <c r="D514" s="7">
        <v>0.46</v>
      </c>
      <c r="E514" s="7">
        <v>0.3881</v>
      </c>
      <c r="F514" s="7">
        <v>7</v>
      </c>
      <c r="G514" s="7">
        <v>51</v>
      </c>
      <c r="H514" s="7">
        <v>58</v>
      </c>
    </row>
    <row r="515" spans="1:8" x14ac:dyDescent="0.35">
      <c r="A515" s="7">
        <v>0.13639999999999999</v>
      </c>
      <c r="B515" s="7">
        <v>513</v>
      </c>
      <c r="C515" s="5">
        <f t="shared" ref="C515:C578" si="9">IF(ISBLANK(A515),AVERAGE(A514:A516),A515)</f>
        <v>0.13639999999999999</v>
      </c>
      <c r="D515" s="7">
        <v>0.43</v>
      </c>
      <c r="E515" s="7">
        <v>0.22389999999999999</v>
      </c>
      <c r="F515" s="7">
        <v>22</v>
      </c>
      <c r="G515" s="7">
        <v>77</v>
      </c>
      <c r="H515" s="7">
        <v>99</v>
      </c>
    </row>
    <row r="516" spans="1:8" x14ac:dyDescent="0.35">
      <c r="A516" s="7">
        <v>0.1212</v>
      </c>
      <c r="B516" s="7">
        <v>514</v>
      </c>
      <c r="C516" s="5">
        <f t="shared" si="9"/>
        <v>0.1212</v>
      </c>
      <c r="D516" s="7">
        <v>0.37</v>
      </c>
      <c r="E516" s="7">
        <v>0.4627</v>
      </c>
      <c r="F516" s="7">
        <v>24</v>
      </c>
      <c r="G516" s="7">
        <v>92</v>
      </c>
      <c r="H516" s="7">
        <v>116</v>
      </c>
    </row>
    <row r="517" spans="1:8" x14ac:dyDescent="0.35">
      <c r="A517" s="7">
        <v>0.1061</v>
      </c>
      <c r="B517" s="7">
        <v>515</v>
      </c>
      <c r="C517" s="5">
        <f t="shared" si="9"/>
        <v>0.1061</v>
      </c>
      <c r="D517" s="7">
        <v>0.33</v>
      </c>
      <c r="E517" s="7">
        <v>0.3881</v>
      </c>
      <c r="F517" s="7">
        <v>12</v>
      </c>
      <c r="G517" s="7">
        <v>75</v>
      </c>
      <c r="H517" s="7">
        <v>87</v>
      </c>
    </row>
    <row r="518" spans="1:8" x14ac:dyDescent="0.35">
      <c r="A518" s="7">
        <v>0.13639999999999999</v>
      </c>
      <c r="B518" s="7">
        <v>516</v>
      </c>
      <c r="C518" s="5">
        <f t="shared" si="9"/>
        <v>0.13639999999999999</v>
      </c>
      <c r="D518" s="7">
        <v>0.28000000000000003</v>
      </c>
      <c r="E518" s="7">
        <v>0.35820000000000002</v>
      </c>
      <c r="F518" s="7">
        <v>17</v>
      </c>
      <c r="G518" s="7">
        <v>93</v>
      </c>
      <c r="H518" s="7">
        <v>110</v>
      </c>
    </row>
    <row r="519" spans="1:8" x14ac:dyDescent="0.35">
      <c r="A519" s="7">
        <v>0.13639999999999999</v>
      </c>
      <c r="B519" s="7">
        <v>517</v>
      </c>
      <c r="C519" s="5">
        <f t="shared" si="9"/>
        <v>0.13639999999999999</v>
      </c>
      <c r="D519" s="7">
        <v>0.28000000000000003</v>
      </c>
      <c r="E519" s="7">
        <v>0.35820000000000002</v>
      </c>
      <c r="F519" s="7">
        <v>13</v>
      </c>
      <c r="G519" s="7">
        <v>64</v>
      </c>
      <c r="H519" s="7">
        <v>77</v>
      </c>
    </row>
    <row r="520" spans="1:8" x14ac:dyDescent="0.35">
      <c r="A520" s="7">
        <v>0.13639999999999999</v>
      </c>
      <c r="B520" s="7">
        <v>518</v>
      </c>
      <c r="C520" s="5">
        <f t="shared" si="9"/>
        <v>0.13639999999999999</v>
      </c>
      <c r="D520" s="7">
        <v>0.26</v>
      </c>
      <c r="E520" s="7">
        <v>0.32840000000000003</v>
      </c>
      <c r="F520" s="7">
        <v>9</v>
      </c>
      <c r="G520" s="7">
        <v>56</v>
      </c>
      <c r="H520" s="7">
        <v>65</v>
      </c>
    </row>
    <row r="521" spans="1:8" x14ac:dyDescent="0.35">
      <c r="A521" s="7">
        <v>0.1061</v>
      </c>
      <c r="B521" s="7">
        <v>519</v>
      </c>
      <c r="C521" s="5">
        <f t="shared" si="9"/>
        <v>0.1061</v>
      </c>
      <c r="D521" s="7">
        <v>0.26</v>
      </c>
      <c r="E521" s="7">
        <v>0.3881</v>
      </c>
      <c r="F521" s="7">
        <v>5</v>
      </c>
      <c r="G521" s="7">
        <v>50</v>
      </c>
      <c r="H521" s="7">
        <v>55</v>
      </c>
    </row>
    <row r="522" spans="1:8" x14ac:dyDescent="0.35">
      <c r="A522" s="7">
        <v>0.1212</v>
      </c>
      <c r="B522" s="7">
        <v>520</v>
      </c>
      <c r="C522" s="5">
        <f t="shared" si="9"/>
        <v>0.1212</v>
      </c>
      <c r="D522" s="7">
        <v>0.3</v>
      </c>
      <c r="E522" s="7">
        <v>0.25369999999999998</v>
      </c>
      <c r="F522" s="7">
        <v>5</v>
      </c>
      <c r="G522" s="7">
        <v>44</v>
      </c>
      <c r="H522" s="7">
        <v>49</v>
      </c>
    </row>
    <row r="523" spans="1:8" x14ac:dyDescent="0.35">
      <c r="A523" s="7">
        <v>0.1212</v>
      </c>
      <c r="B523" s="7">
        <v>521</v>
      </c>
      <c r="C523" s="5">
        <f t="shared" si="9"/>
        <v>0.1212</v>
      </c>
      <c r="D523" s="7">
        <v>0.3</v>
      </c>
      <c r="E523" s="7">
        <v>0.28360000000000002</v>
      </c>
      <c r="F523" s="7">
        <v>5</v>
      </c>
      <c r="G523" s="7">
        <v>45</v>
      </c>
      <c r="H523" s="7">
        <v>50</v>
      </c>
    </row>
    <row r="524" spans="1:8" x14ac:dyDescent="0.35">
      <c r="A524" s="7">
        <v>0.1061</v>
      </c>
      <c r="B524" s="7">
        <v>522</v>
      </c>
      <c r="C524" s="5">
        <f t="shared" si="9"/>
        <v>0.1061</v>
      </c>
      <c r="D524" s="7">
        <v>0.36</v>
      </c>
      <c r="E524" s="7">
        <v>0.25369999999999998</v>
      </c>
      <c r="F524" s="7">
        <v>4</v>
      </c>
      <c r="G524" s="7">
        <v>31</v>
      </c>
      <c r="H524" s="7">
        <v>35</v>
      </c>
    </row>
    <row r="525" spans="1:8" x14ac:dyDescent="0.35">
      <c r="A525" s="7">
        <v>0.1061</v>
      </c>
      <c r="B525" s="7">
        <v>523</v>
      </c>
      <c r="C525" s="5">
        <f t="shared" si="9"/>
        <v>0.1061</v>
      </c>
      <c r="D525" s="7">
        <v>0.36</v>
      </c>
      <c r="E525" s="7">
        <v>0.19400000000000001</v>
      </c>
      <c r="F525" s="7">
        <v>5</v>
      </c>
      <c r="G525" s="7">
        <v>20</v>
      </c>
      <c r="H525" s="7">
        <v>25</v>
      </c>
    </row>
    <row r="526" spans="1:8" x14ac:dyDescent="0.35">
      <c r="A526" s="7">
        <v>9.0899999999999995E-2</v>
      </c>
      <c r="B526" s="7">
        <v>524</v>
      </c>
      <c r="C526" s="5">
        <f t="shared" si="9"/>
        <v>9.0899999999999995E-2</v>
      </c>
      <c r="D526" s="7">
        <v>0.38</v>
      </c>
      <c r="E526" s="7">
        <v>0.19400000000000001</v>
      </c>
      <c r="F526" s="7">
        <v>5</v>
      </c>
      <c r="G526" s="7">
        <v>23</v>
      </c>
      <c r="H526" s="7">
        <v>28</v>
      </c>
    </row>
    <row r="527" spans="1:8" x14ac:dyDescent="0.35">
      <c r="A527" s="7">
        <v>6.0600000000000001E-2</v>
      </c>
      <c r="B527" s="7">
        <v>525</v>
      </c>
      <c r="C527" s="5">
        <f t="shared" si="9"/>
        <v>6.0600000000000001E-2</v>
      </c>
      <c r="D527" s="7">
        <v>0.41</v>
      </c>
      <c r="E527" s="7">
        <v>0.22389999999999999</v>
      </c>
      <c r="F527" s="7">
        <v>4</v>
      </c>
      <c r="G527" s="7">
        <v>17</v>
      </c>
      <c r="H527" s="7">
        <v>21</v>
      </c>
    </row>
    <row r="528" spans="1:8" x14ac:dyDescent="0.35">
      <c r="A528" s="7">
        <v>6.0600000000000001E-2</v>
      </c>
      <c r="B528" s="7">
        <v>526</v>
      </c>
      <c r="C528" s="5">
        <f t="shared" si="9"/>
        <v>6.0600000000000001E-2</v>
      </c>
      <c r="D528" s="7">
        <v>0.41</v>
      </c>
      <c r="E528" s="7">
        <v>0.19400000000000001</v>
      </c>
      <c r="F528" s="7">
        <v>0</v>
      </c>
      <c r="G528" s="7">
        <v>7</v>
      </c>
      <c r="H528" s="7">
        <v>7</v>
      </c>
    </row>
    <row r="529" spans="1:8" x14ac:dyDescent="0.35">
      <c r="A529" s="7">
        <v>4.5499999999999999E-2</v>
      </c>
      <c r="B529" s="7">
        <v>527</v>
      </c>
      <c r="C529" s="5">
        <f t="shared" si="9"/>
        <v>4.5499999999999999E-2</v>
      </c>
      <c r="D529" s="7">
        <v>0.45</v>
      </c>
      <c r="E529" s="7">
        <v>0.19400000000000001</v>
      </c>
      <c r="F529" s="7">
        <v>0</v>
      </c>
      <c r="G529" s="7">
        <v>1</v>
      </c>
      <c r="H529" s="7">
        <v>1</v>
      </c>
    </row>
    <row r="530" spans="1:8" x14ac:dyDescent="0.35">
      <c r="A530" s="7">
        <v>3.0300000000000001E-2</v>
      </c>
      <c r="B530" s="7">
        <v>528</v>
      </c>
      <c r="C530" s="5">
        <f t="shared" si="9"/>
        <v>3.0300000000000001E-2</v>
      </c>
      <c r="D530" s="7">
        <v>0.45</v>
      </c>
      <c r="E530" s="7">
        <v>0.25369999999999998</v>
      </c>
      <c r="F530" s="7">
        <v>0</v>
      </c>
      <c r="G530" s="7">
        <v>1</v>
      </c>
      <c r="H530" s="7">
        <v>1</v>
      </c>
    </row>
    <row r="531" spans="1:8" x14ac:dyDescent="0.35">
      <c r="A531" s="7">
        <v>6.0600000000000001E-2</v>
      </c>
      <c r="B531" s="7">
        <v>529</v>
      </c>
      <c r="C531" s="5">
        <f t="shared" si="9"/>
        <v>6.0600000000000001E-2</v>
      </c>
      <c r="D531" s="7">
        <v>0.48</v>
      </c>
      <c r="E531" s="7">
        <v>0.1343</v>
      </c>
      <c r="F531" s="7">
        <v>0</v>
      </c>
      <c r="G531" s="7">
        <v>1</v>
      </c>
      <c r="H531" s="7">
        <v>1</v>
      </c>
    </row>
    <row r="532" spans="1:8" x14ac:dyDescent="0.35">
      <c r="A532" s="7">
        <v>6.0600000000000001E-2</v>
      </c>
      <c r="B532" s="7">
        <v>530</v>
      </c>
      <c r="C532" s="5">
        <f t="shared" si="9"/>
        <v>6.0600000000000001E-2</v>
      </c>
      <c r="D532" s="7">
        <v>0.48</v>
      </c>
      <c r="E532" s="7">
        <v>0.1343</v>
      </c>
      <c r="F532" s="7">
        <v>0</v>
      </c>
      <c r="G532" s="7">
        <v>5</v>
      </c>
      <c r="H532" s="7">
        <v>5</v>
      </c>
    </row>
    <row r="533" spans="1:8" x14ac:dyDescent="0.35">
      <c r="A533" s="7">
        <v>7.5800000000000006E-2</v>
      </c>
      <c r="B533" s="7">
        <v>531</v>
      </c>
      <c r="C533" s="5">
        <f t="shared" si="9"/>
        <v>7.5800000000000006E-2</v>
      </c>
      <c r="D533" s="7">
        <v>0.48</v>
      </c>
      <c r="E533" s="7">
        <v>8.9599999999999999E-2</v>
      </c>
      <c r="F533" s="7">
        <v>0</v>
      </c>
      <c r="G533" s="7">
        <v>15</v>
      </c>
      <c r="H533" s="7">
        <v>15</v>
      </c>
    </row>
    <row r="534" spans="1:8" x14ac:dyDescent="0.35">
      <c r="A534" s="7">
        <v>0.1212</v>
      </c>
      <c r="B534" s="7">
        <v>532</v>
      </c>
      <c r="C534" s="5">
        <f t="shared" si="9"/>
        <v>0.1212</v>
      </c>
      <c r="D534" s="7">
        <v>0.48</v>
      </c>
      <c r="E534" s="7">
        <v>0</v>
      </c>
      <c r="F534" s="7">
        <v>5</v>
      </c>
      <c r="G534" s="7">
        <v>79</v>
      </c>
      <c r="H534" s="7">
        <v>84</v>
      </c>
    </row>
    <row r="535" spans="1:8" x14ac:dyDescent="0.35">
      <c r="A535" s="7">
        <v>0.13639999999999999</v>
      </c>
      <c r="B535" s="7">
        <v>533</v>
      </c>
      <c r="C535" s="5">
        <f t="shared" si="9"/>
        <v>0.13639999999999999</v>
      </c>
      <c r="D535" s="7">
        <v>0.49</v>
      </c>
      <c r="E535" s="7">
        <v>0</v>
      </c>
      <c r="F535" s="7">
        <v>6</v>
      </c>
      <c r="G535" s="7">
        <v>171</v>
      </c>
      <c r="H535" s="7">
        <v>177</v>
      </c>
    </row>
    <row r="536" spans="1:8" x14ac:dyDescent="0.35">
      <c r="A536" s="7">
        <v>0.1515</v>
      </c>
      <c r="B536" s="7">
        <v>534</v>
      </c>
      <c r="C536" s="5">
        <f t="shared" si="9"/>
        <v>0.1515</v>
      </c>
      <c r="D536" s="7">
        <v>0.41</v>
      </c>
      <c r="E536" s="7">
        <v>0</v>
      </c>
      <c r="F536" s="7">
        <v>4</v>
      </c>
      <c r="G536" s="7">
        <v>98</v>
      </c>
      <c r="H536" s="7">
        <v>102</v>
      </c>
    </row>
    <row r="537" spans="1:8" x14ac:dyDescent="0.35">
      <c r="A537" s="7">
        <v>0.13639999999999999</v>
      </c>
      <c r="B537" s="7">
        <v>535</v>
      </c>
      <c r="C537" s="5">
        <f t="shared" si="9"/>
        <v>0.13639999999999999</v>
      </c>
      <c r="D537" s="7">
        <v>0.42</v>
      </c>
      <c r="E537" s="7">
        <v>0</v>
      </c>
      <c r="F537" s="7">
        <v>6</v>
      </c>
      <c r="G537" s="7">
        <v>34</v>
      </c>
      <c r="H537" s="7">
        <v>40</v>
      </c>
    </row>
    <row r="538" spans="1:8" x14ac:dyDescent="0.35">
      <c r="A538" s="7">
        <v>0.1212</v>
      </c>
      <c r="B538" s="7">
        <v>536</v>
      </c>
      <c r="C538" s="5">
        <f t="shared" si="9"/>
        <v>0.1212</v>
      </c>
      <c r="D538" s="7">
        <v>0.46</v>
      </c>
      <c r="E538" s="7">
        <v>0.1343</v>
      </c>
      <c r="F538" s="7">
        <v>3</v>
      </c>
      <c r="G538" s="7">
        <v>43</v>
      </c>
      <c r="H538" s="7">
        <v>46</v>
      </c>
    </row>
    <row r="539" spans="1:8" x14ac:dyDescent="0.35">
      <c r="A539" s="7">
        <v>0.13639999999999999</v>
      </c>
      <c r="B539" s="7">
        <v>537</v>
      </c>
      <c r="C539" s="5">
        <f t="shared" si="9"/>
        <v>0.13639999999999999</v>
      </c>
      <c r="D539" s="7">
        <v>0.42</v>
      </c>
      <c r="E539" s="7">
        <v>0.19400000000000001</v>
      </c>
      <c r="F539" s="7">
        <v>11</v>
      </c>
      <c r="G539" s="7">
        <v>52</v>
      </c>
      <c r="H539" s="7">
        <v>63</v>
      </c>
    </row>
    <row r="540" spans="1:8" x14ac:dyDescent="0.35">
      <c r="A540" s="7">
        <v>0.13639999999999999</v>
      </c>
      <c r="B540" s="7">
        <v>538</v>
      </c>
      <c r="C540" s="5">
        <f t="shared" si="9"/>
        <v>0.13639999999999999</v>
      </c>
      <c r="D540" s="7">
        <v>0.43</v>
      </c>
      <c r="E540" s="7">
        <v>0.22389999999999999</v>
      </c>
      <c r="F540" s="7">
        <v>6</v>
      </c>
      <c r="G540" s="7">
        <v>54</v>
      </c>
      <c r="H540" s="7">
        <v>60</v>
      </c>
    </row>
    <row r="541" spans="1:8" x14ac:dyDescent="0.35">
      <c r="A541" s="7">
        <v>0.13639999999999999</v>
      </c>
      <c r="B541" s="7">
        <v>539</v>
      </c>
      <c r="C541" s="5">
        <f t="shared" si="9"/>
        <v>0.13639999999999999</v>
      </c>
      <c r="D541" s="7">
        <v>0.46</v>
      </c>
      <c r="E541" s="7">
        <v>0.22389999999999999</v>
      </c>
      <c r="F541" s="7">
        <v>2</v>
      </c>
      <c r="G541" s="7">
        <v>43</v>
      </c>
      <c r="H541" s="7">
        <v>45</v>
      </c>
    </row>
    <row r="542" spans="1:8" x14ac:dyDescent="0.35">
      <c r="A542" s="7">
        <v>0.16669999999999999</v>
      </c>
      <c r="B542" s="7">
        <v>540</v>
      </c>
      <c r="C542" s="5">
        <f t="shared" si="9"/>
        <v>0.16669999999999999</v>
      </c>
      <c r="D542" s="7">
        <v>0.4</v>
      </c>
      <c r="E542" s="7">
        <v>0.16420000000000001</v>
      </c>
      <c r="F542" s="7">
        <v>7</v>
      </c>
      <c r="G542" s="7">
        <v>50</v>
      </c>
      <c r="H542" s="7">
        <v>57</v>
      </c>
    </row>
    <row r="543" spans="1:8" x14ac:dyDescent="0.35">
      <c r="A543" s="7">
        <v>0.1515</v>
      </c>
      <c r="B543" s="7">
        <v>541</v>
      </c>
      <c r="C543" s="5">
        <f t="shared" si="9"/>
        <v>0.1515</v>
      </c>
      <c r="D543" s="7">
        <v>0.47</v>
      </c>
      <c r="E543" s="7">
        <v>0.25369999999999998</v>
      </c>
      <c r="F543" s="7">
        <v>4</v>
      </c>
      <c r="G543" s="7">
        <v>66</v>
      </c>
      <c r="H543" s="7">
        <v>70</v>
      </c>
    </row>
    <row r="544" spans="1:8" x14ac:dyDescent="0.35">
      <c r="A544" s="7">
        <v>0.1212</v>
      </c>
      <c r="B544" s="7">
        <v>542</v>
      </c>
      <c r="C544" s="5">
        <f t="shared" si="9"/>
        <v>0.1212</v>
      </c>
      <c r="D544" s="7">
        <v>0.5</v>
      </c>
      <c r="E544" s="7">
        <v>0.25369999999999998</v>
      </c>
      <c r="F544" s="7">
        <v>6</v>
      </c>
      <c r="G544" s="7">
        <v>178</v>
      </c>
      <c r="H544" s="7">
        <v>184</v>
      </c>
    </row>
    <row r="545" spans="1:8" x14ac:dyDescent="0.35">
      <c r="A545" s="7">
        <v>0.13639999999999999</v>
      </c>
      <c r="B545" s="7">
        <v>543</v>
      </c>
      <c r="C545" s="5">
        <f t="shared" si="9"/>
        <v>0.13639999999999999</v>
      </c>
      <c r="D545" s="7">
        <v>0.59</v>
      </c>
      <c r="E545" s="7">
        <v>0.19400000000000001</v>
      </c>
      <c r="F545" s="7">
        <v>8</v>
      </c>
      <c r="G545" s="7">
        <v>145</v>
      </c>
      <c r="H545" s="7">
        <v>153</v>
      </c>
    </row>
    <row r="546" spans="1:8" x14ac:dyDescent="0.35">
      <c r="A546" s="7">
        <v>0.1515</v>
      </c>
      <c r="B546" s="7">
        <v>544</v>
      </c>
      <c r="C546" s="5">
        <f t="shared" si="9"/>
        <v>0.1515</v>
      </c>
      <c r="D546" s="7">
        <v>0.54</v>
      </c>
      <c r="E546" s="7">
        <v>0.16420000000000001</v>
      </c>
      <c r="F546" s="7">
        <v>5</v>
      </c>
      <c r="G546" s="7">
        <v>101</v>
      </c>
      <c r="H546" s="7">
        <v>106</v>
      </c>
    </row>
    <row r="547" spans="1:8" x14ac:dyDescent="0.35">
      <c r="A547" s="7">
        <v>0.13639999999999999</v>
      </c>
      <c r="B547" s="7">
        <v>545</v>
      </c>
      <c r="C547" s="5">
        <f t="shared" si="9"/>
        <v>0.13639999999999999</v>
      </c>
      <c r="D547" s="7">
        <v>0.59</v>
      </c>
      <c r="E547" s="7">
        <v>0.19400000000000001</v>
      </c>
      <c r="F547" s="7">
        <v>1</v>
      </c>
      <c r="G547" s="7">
        <v>80</v>
      </c>
      <c r="H547" s="7">
        <v>81</v>
      </c>
    </row>
    <row r="548" spans="1:8" x14ac:dyDescent="0.35">
      <c r="A548" s="7">
        <v>0.1515</v>
      </c>
      <c r="B548" s="7">
        <v>546</v>
      </c>
      <c r="C548" s="5">
        <f t="shared" si="9"/>
        <v>0.1515</v>
      </c>
      <c r="D548" s="7">
        <v>0.63</v>
      </c>
      <c r="E548" s="7">
        <v>0.16420000000000001</v>
      </c>
      <c r="F548" s="7">
        <v>6</v>
      </c>
      <c r="G548" s="7">
        <v>53</v>
      </c>
      <c r="H548" s="7">
        <v>59</v>
      </c>
    </row>
    <row r="549" spans="1:8" x14ac:dyDescent="0.35">
      <c r="A549" s="7">
        <v>0.13639999999999999</v>
      </c>
      <c r="B549" s="7">
        <v>547</v>
      </c>
      <c r="C549" s="5">
        <f t="shared" si="9"/>
        <v>0.13639999999999999</v>
      </c>
      <c r="D549" s="7">
        <v>0.63</v>
      </c>
      <c r="E549" s="7">
        <v>0.22389999999999999</v>
      </c>
      <c r="F549" s="7">
        <v>3</v>
      </c>
      <c r="G549" s="7">
        <v>32</v>
      </c>
      <c r="H549" s="7">
        <v>35</v>
      </c>
    </row>
    <row r="550" spans="1:8" x14ac:dyDescent="0.35">
      <c r="A550" s="7">
        <v>0.1515</v>
      </c>
      <c r="B550" s="7">
        <v>548</v>
      </c>
      <c r="C550" s="5">
        <f t="shared" si="9"/>
        <v>0.1515</v>
      </c>
      <c r="D550" s="7">
        <v>0.64</v>
      </c>
      <c r="E550" s="7">
        <v>0.25369999999999998</v>
      </c>
      <c r="F550" s="7">
        <v>3</v>
      </c>
      <c r="G550" s="7">
        <v>21</v>
      </c>
      <c r="H550" s="7">
        <v>24</v>
      </c>
    </row>
    <row r="551" spans="1:8" x14ac:dyDescent="0.35">
      <c r="A551" s="7">
        <v>0.13639999999999999</v>
      </c>
      <c r="B551" s="7">
        <v>549</v>
      </c>
      <c r="C551" s="5">
        <f t="shared" si="9"/>
        <v>0.13639999999999999</v>
      </c>
      <c r="D551" s="7">
        <v>0.69</v>
      </c>
      <c r="E551" s="7">
        <v>0.28360000000000002</v>
      </c>
      <c r="F551" s="7">
        <v>3</v>
      </c>
      <c r="G551" s="7">
        <v>6</v>
      </c>
      <c r="H551" s="7">
        <v>9</v>
      </c>
    </row>
    <row r="552" spans="1:8" x14ac:dyDescent="0.35">
      <c r="A552" s="7">
        <v>0.16669999999999999</v>
      </c>
      <c r="B552" s="7">
        <v>550</v>
      </c>
      <c r="C552" s="5">
        <f t="shared" si="9"/>
        <v>0.16669999999999999</v>
      </c>
      <c r="D552" s="7">
        <v>0.69</v>
      </c>
      <c r="E552" s="7">
        <v>0.16420000000000001</v>
      </c>
      <c r="F552" s="7">
        <v>0</v>
      </c>
      <c r="G552" s="7">
        <v>5</v>
      </c>
      <c r="H552" s="7">
        <v>5</v>
      </c>
    </row>
    <row r="553" spans="1:8" x14ac:dyDescent="0.35">
      <c r="A553" s="7">
        <v>0.1515</v>
      </c>
      <c r="B553" s="7">
        <v>551</v>
      </c>
      <c r="C553" s="5">
        <f t="shared" si="9"/>
        <v>0.1515</v>
      </c>
      <c r="D553" s="7">
        <v>0.69</v>
      </c>
      <c r="E553" s="7">
        <v>0.22389999999999999</v>
      </c>
      <c r="F553" s="7">
        <v>0</v>
      </c>
      <c r="G553" s="7">
        <v>2</v>
      </c>
      <c r="H553" s="7">
        <v>2</v>
      </c>
    </row>
    <row r="554" spans="1:8" x14ac:dyDescent="0.35">
      <c r="A554" s="7">
        <v>0.16669999999999999</v>
      </c>
      <c r="B554" s="7">
        <v>552</v>
      </c>
      <c r="C554" s="5">
        <f t="shared" si="9"/>
        <v>0.16669999999999999</v>
      </c>
      <c r="D554" s="7">
        <v>0.74</v>
      </c>
      <c r="E554" s="7">
        <v>0.1045</v>
      </c>
      <c r="F554" s="7">
        <v>0</v>
      </c>
      <c r="G554" s="7">
        <v>1</v>
      </c>
      <c r="H554" s="7">
        <v>1</v>
      </c>
    </row>
    <row r="555" spans="1:8" x14ac:dyDescent="0.35">
      <c r="A555" s="7">
        <v>0.13639999999999999</v>
      </c>
      <c r="B555" s="7">
        <v>553</v>
      </c>
      <c r="C555" s="5">
        <f t="shared" si="9"/>
        <v>0.13639999999999999</v>
      </c>
      <c r="D555" s="7">
        <v>0.74</v>
      </c>
      <c r="E555" s="7">
        <v>0.22389999999999999</v>
      </c>
      <c r="F555" s="7">
        <v>0</v>
      </c>
      <c r="G555" s="7">
        <v>9</v>
      </c>
      <c r="H555" s="7">
        <v>9</v>
      </c>
    </row>
    <row r="556" spans="1:8" x14ac:dyDescent="0.35">
      <c r="A556" s="7">
        <v>0.18179999999999999</v>
      </c>
      <c r="B556" s="7">
        <v>554</v>
      </c>
      <c r="C556" s="5">
        <f t="shared" si="9"/>
        <v>0.18179999999999999</v>
      </c>
      <c r="D556" s="7">
        <v>0.74</v>
      </c>
      <c r="E556" s="7">
        <v>0.1045</v>
      </c>
      <c r="F556" s="7">
        <v>1</v>
      </c>
      <c r="G556" s="7">
        <v>35</v>
      </c>
      <c r="H556" s="7">
        <v>36</v>
      </c>
    </row>
    <row r="557" spans="1:8" x14ac:dyDescent="0.35">
      <c r="A557" s="7">
        <v>0.1515</v>
      </c>
      <c r="B557" s="7">
        <v>555</v>
      </c>
      <c r="C557" s="5">
        <f t="shared" si="9"/>
        <v>0.1515</v>
      </c>
      <c r="D557" s="7">
        <v>0.74</v>
      </c>
      <c r="E557" s="7">
        <v>0.22389999999999999</v>
      </c>
      <c r="F557" s="7">
        <v>5</v>
      </c>
      <c r="G557" s="7">
        <v>103</v>
      </c>
      <c r="H557" s="7">
        <v>108</v>
      </c>
    </row>
    <row r="558" spans="1:8" x14ac:dyDescent="0.35">
      <c r="A558" s="7">
        <v>0.18179999999999999</v>
      </c>
      <c r="B558" s="7">
        <v>556</v>
      </c>
      <c r="C558" s="5">
        <f t="shared" si="9"/>
        <v>0.18179999999999999</v>
      </c>
      <c r="D558" s="7">
        <v>0.74</v>
      </c>
      <c r="E558" s="7">
        <v>0.1343</v>
      </c>
      <c r="F558" s="7">
        <v>5</v>
      </c>
      <c r="G558" s="7">
        <v>233</v>
      </c>
      <c r="H558" s="7">
        <v>238</v>
      </c>
    </row>
    <row r="559" spans="1:8" x14ac:dyDescent="0.35">
      <c r="A559" s="7">
        <v>0.2273</v>
      </c>
      <c r="B559" s="7">
        <v>557</v>
      </c>
      <c r="C559" s="5">
        <f t="shared" si="9"/>
        <v>0.2273</v>
      </c>
      <c r="D559" s="7">
        <v>0.64</v>
      </c>
      <c r="E559" s="7">
        <v>8.9599999999999999E-2</v>
      </c>
      <c r="F559" s="7">
        <v>10</v>
      </c>
      <c r="G559" s="7">
        <v>134</v>
      </c>
      <c r="H559" s="7">
        <v>144</v>
      </c>
    </row>
    <row r="560" spans="1:8" x14ac:dyDescent="0.35">
      <c r="A560" s="7">
        <v>0.2424</v>
      </c>
      <c r="B560" s="7">
        <v>558</v>
      </c>
      <c r="C560" s="5">
        <f t="shared" si="9"/>
        <v>0.2424</v>
      </c>
      <c r="D560" s="7">
        <v>0.6</v>
      </c>
      <c r="E560" s="7">
        <v>0.1045</v>
      </c>
      <c r="F560" s="7">
        <v>6</v>
      </c>
      <c r="G560" s="7">
        <v>49</v>
      </c>
      <c r="H560" s="7">
        <v>55</v>
      </c>
    </row>
    <row r="561" spans="1:8" x14ac:dyDescent="0.35">
      <c r="A561" s="7">
        <v>0.2424</v>
      </c>
      <c r="B561" s="7">
        <v>559</v>
      </c>
      <c r="C561" s="5">
        <f t="shared" si="9"/>
        <v>0.2424</v>
      </c>
      <c r="D561" s="7">
        <v>0.6</v>
      </c>
      <c r="E561" s="7">
        <v>0.1343</v>
      </c>
      <c r="F561" s="7">
        <v>6</v>
      </c>
      <c r="G561" s="7">
        <v>55</v>
      </c>
      <c r="H561" s="7">
        <v>61</v>
      </c>
    </row>
    <row r="562" spans="1:8" x14ac:dyDescent="0.35">
      <c r="A562" s="7">
        <v>0.28789999999999999</v>
      </c>
      <c r="B562" s="7">
        <v>560</v>
      </c>
      <c r="C562" s="5">
        <f t="shared" si="9"/>
        <v>0.28789999999999999</v>
      </c>
      <c r="D562" s="7">
        <v>0.56000000000000005</v>
      </c>
      <c r="E562" s="7">
        <v>8.9599999999999999E-2</v>
      </c>
      <c r="F562" s="7">
        <v>21</v>
      </c>
      <c r="G562" s="7">
        <v>85</v>
      </c>
      <c r="H562" s="7">
        <v>106</v>
      </c>
    </row>
    <row r="563" spans="1:8" x14ac:dyDescent="0.35">
      <c r="A563" s="7">
        <v>0.2727</v>
      </c>
      <c r="B563" s="7">
        <v>561</v>
      </c>
      <c r="C563" s="5">
        <f t="shared" si="9"/>
        <v>0.2727</v>
      </c>
      <c r="D563" s="7">
        <v>0.56000000000000005</v>
      </c>
      <c r="E563" s="7">
        <v>0.1343</v>
      </c>
      <c r="F563" s="7">
        <v>21</v>
      </c>
      <c r="G563" s="7">
        <v>72</v>
      </c>
      <c r="H563" s="7">
        <v>93</v>
      </c>
    </row>
    <row r="564" spans="1:8" x14ac:dyDescent="0.35">
      <c r="A564" s="7">
        <v>0.33329999999999999</v>
      </c>
      <c r="B564" s="7">
        <v>562</v>
      </c>
      <c r="C564" s="5">
        <f t="shared" si="9"/>
        <v>0.33329999999999999</v>
      </c>
      <c r="D564" s="7">
        <v>0.45</v>
      </c>
      <c r="E564" s="7">
        <v>0</v>
      </c>
      <c r="F564" s="7">
        <v>11</v>
      </c>
      <c r="G564" s="7">
        <v>57</v>
      </c>
      <c r="H564" s="7">
        <v>68</v>
      </c>
    </row>
    <row r="565" spans="1:8" x14ac:dyDescent="0.35">
      <c r="A565" s="7">
        <v>0.34849999999999998</v>
      </c>
      <c r="B565" s="7">
        <v>563</v>
      </c>
      <c r="C565" s="5">
        <f t="shared" si="9"/>
        <v>0.34849999999999998</v>
      </c>
      <c r="D565" s="7">
        <v>0.42</v>
      </c>
      <c r="E565" s="7">
        <v>0</v>
      </c>
      <c r="F565" s="7">
        <v>21</v>
      </c>
      <c r="G565" s="7">
        <v>63</v>
      </c>
      <c r="H565" s="7">
        <v>84</v>
      </c>
    </row>
    <row r="566" spans="1:8" x14ac:dyDescent="0.35">
      <c r="A566" s="7">
        <v>0.34849999999999998</v>
      </c>
      <c r="B566" s="7">
        <v>564</v>
      </c>
      <c r="C566" s="5">
        <f t="shared" si="9"/>
        <v>0.34849999999999998</v>
      </c>
      <c r="D566" s="7">
        <v>0.42</v>
      </c>
      <c r="E566" s="7">
        <v>0</v>
      </c>
      <c r="F566" s="7">
        <v>14</v>
      </c>
      <c r="G566" s="7">
        <v>102</v>
      </c>
      <c r="H566" s="7">
        <v>116</v>
      </c>
    </row>
    <row r="567" spans="1:8" x14ac:dyDescent="0.35">
      <c r="A567" s="7">
        <v>0.33329999999999999</v>
      </c>
      <c r="B567" s="7">
        <v>565</v>
      </c>
      <c r="C567" s="5">
        <f t="shared" si="9"/>
        <v>0.33329999999999999</v>
      </c>
      <c r="D567" s="7">
        <v>0.45</v>
      </c>
      <c r="E567" s="7">
        <v>0</v>
      </c>
      <c r="F567" s="7">
        <v>14</v>
      </c>
      <c r="G567" s="7">
        <v>208</v>
      </c>
      <c r="H567" s="7">
        <v>222</v>
      </c>
    </row>
    <row r="568" spans="1:8" x14ac:dyDescent="0.35">
      <c r="A568" s="7">
        <v>0.31819999999999998</v>
      </c>
      <c r="B568" s="7">
        <v>566</v>
      </c>
      <c r="C568" s="5">
        <f t="shared" si="9"/>
        <v>0.31819999999999998</v>
      </c>
      <c r="D568" s="7">
        <v>0.49</v>
      </c>
      <c r="E568" s="7">
        <v>8.9599999999999999E-2</v>
      </c>
      <c r="F568" s="7">
        <v>7</v>
      </c>
      <c r="G568" s="7">
        <v>218</v>
      </c>
      <c r="H568" s="7">
        <v>225</v>
      </c>
    </row>
    <row r="569" spans="1:8" x14ac:dyDescent="0.35">
      <c r="A569" s="7">
        <v>0.2576</v>
      </c>
      <c r="B569" s="7">
        <v>567</v>
      </c>
      <c r="C569" s="5">
        <f t="shared" si="9"/>
        <v>0.2576</v>
      </c>
      <c r="D569" s="7">
        <v>0.65</v>
      </c>
      <c r="E569" s="7">
        <v>0.16420000000000001</v>
      </c>
      <c r="F569" s="7">
        <v>13</v>
      </c>
      <c r="G569" s="7">
        <v>133</v>
      </c>
      <c r="H569" s="7">
        <v>146</v>
      </c>
    </row>
    <row r="570" spans="1:8" x14ac:dyDescent="0.35">
      <c r="A570" s="7">
        <v>0.2273</v>
      </c>
      <c r="B570" s="7">
        <v>568</v>
      </c>
      <c r="C570" s="5">
        <f t="shared" si="9"/>
        <v>0.2273</v>
      </c>
      <c r="D570" s="7">
        <v>0.65</v>
      </c>
      <c r="E570" s="7">
        <v>0.19400000000000001</v>
      </c>
      <c r="F570" s="7">
        <v>16</v>
      </c>
      <c r="G570" s="7">
        <v>103</v>
      </c>
      <c r="H570" s="7">
        <v>119</v>
      </c>
    </row>
    <row r="571" spans="1:8" x14ac:dyDescent="0.35">
      <c r="A571" s="7">
        <v>0.2273</v>
      </c>
      <c r="B571" s="7">
        <v>569</v>
      </c>
      <c r="C571" s="5">
        <f t="shared" si="9"/>
        <v>0.2273</v>
      </c>
      <c r="D571" s="7">
        <v>0.65</v>
      </c>
      <c r="E571" s="7">
        <v>0.19400000000000001</v>
      </c>
      <c r="F571" s="7">
        <v>5</v>
      </c>
      <c r="G571" s="7">
        <v>40</v>
      </c>
      <c r="H571" s="7">
        <v>45</v>
      </c>
    </row>
    <row r="572" spans="1:8" x14ac:dyDescent="0.35">
      <c r="A572" s="7">
        <v>0.2273</v>
      </c>
      <c r="B572" s="7">
        <v>570</v>
      </c>
      <c r="C572" s="5">
        <f t="shared" si="9"/>
        <v>0.2273</v>
      </c>
      <c r="D572" s="7">
        <v>0.64</v>
      </c>
      <c r="E572" s="7">
        <v>0.16420000000000001</v>
      </c>
      <c r="F572" s="7">
        <v>4</v>
      </c>
      <c r="G572" s="7">
        <v>49</v>
      </c>
      <c r="H572" s="7">
        <v>53</v>
      </c>
    </row>
    <row r="573" spans="1:8" x14ac:dyDescent="0.35">
      <c r="A573" s="7">
        <v>0.2273</v>
      </c>
      <c r="B573" s="7">
        <v>571</v>
      </c>
      <c r="C573" s="5">
        <f t="shared" si="9"/>
        <v>0.2273</v>
      </c>
      <c r="D573" s="7">
        <v>0.64</v>
      </c>
      <c r="E573" s="7">
        <v>0.16420000000000001</v>
      </c>
      <c r="F573" s="7">
        <v>3</v>
      </c>
      <c r="G573" s="7">
        <v>37</v>
      </c>
      <c r="H573" s="7">
        <v>40</v>
      </c>
    </row>
    <row r="574" spans="1:8" x14ac:dyDescent="0.35">
      <c r="A574" s="7">
        <v>0.2273</v>
      </c>
      <c r="B574" s="7">
        <v>572</v>
      </c>
      <c r="C574" s="5">
        <f t="shared" si="9"/>
        <v>0.2273</v>
      </c>
      <c r="D574" s="7">
        <v>0.69</v>
      </c>
      <c r="E574" s="7">
        <v>0.1343</v>
      </c>
      <c r="F574" s="7">
        <v>3</v>
      </c>
      <c r="G574" s="7">
        <v>14</v>
      </c>
      <c r="H574" s="7">
        <v>17</v>
      </c>
    </row>
    <row r="575" spans="1:8" x14ac:dyDescent="0.35">
      <c r="A575" s="7">
        <v>0.2424</v>
      </c>
      <c r="B575" s="7">
        <v>573</v>
      </c>
      <c r="C575" s="5">
        <f t="shared" si="9"/>
        <v>0.2424</v>
      </c>
      <c r="D575" s="7">
        <v>0.65</v>
      </c>
      <c r="E575" s="7">
        <v>0.1343</v>
      </c>
      <c r="F575" s="7">
        <v>0</v>
      </c>
      <c r="G575" s="7">
        <v>5</v>
      </c>
      <c r="H575" s="7">
        <v>5</v>
      </c>
    </row>
    <row r="576" spans="1:8" x14ac:dyDescent="0.35">
      <c r="A576" s="7">
        <v>0.2273</v>
      </c>
      <c r="B576" s="7">
        <v>574</v>
      </c>
      <c r="C576" s="5">
        <f t="shared" si="9"/>
        <v>0.2273</v>
      </c>
      <c r="D576" s="7">
        <v>0.69</v>
      </c>
      <c r="E576" s="7">
        <v>0.19400000000000001</v>
      </c>
      <c r="F576" s="7">
        <v>3</v>
      </c>
      <c r="G576" s="7">
        <v>7</v>
      </c>
      <c r="H576" s="7">
        <v>10</v>
      </c>
    </row>
    <row r="577" spans="1:8" x14ac:dyDescent="0.35">
      <c r="A577" s="7">
        <v>0.18179999999999999</v>
      </c>
      <c r="B577" s="7">
        <v>575</v>
      </c>
      <c r="C577" s="5">
        <f t="shared" si="9"/>
        <v>0.18179999999999999</v>
      </c>
      <c r="D577" s="7">
        <v>0.86</v>
      </c>
      <c r="E577" s="7">
        <v>0.28360000000000002</v>
      </c>
      <c r="F577" s="7">
        <v>0</v>
      </c>
      <c r="G577" s="7">
        <v>1</v>
      </c>
      <c r="H577" s="7">
        <v>1</v>
      </c>
    </row>
    <row r="578" spans="1:8" x14ac:dyDescent="0.35">
      <c r="A578" s="7">
        <v>0.18179999999999999</v>
      </c>
      <c r="B578" s="7">
        <v>576</v>
      </c>
      <c r="C578" s="5">
        <f t="shared" si="9"/>
        <v>0.18179999999999999</v>
      </c>
      <c r="D578" s="7">
        <v>0.86</v>
      </c>
      <c r="E578" s="7">
        <v>0.28360000000000002</v>
      </c>
      <c r="F578" s="7">
        <v>0</v>
      </c>
      <c r="G578" s="7">
        <v>8</v>
      </c>
      <c r="H578" s="7">
        <v>8</v>
      </c>
    </row>
    <row r="579" spans="1:8" x14ac:dyDescent="0.35">
      <c r="A579" s="7">
        <v>0.21210000000000001</v>
      </c>
      <c r="B579" s="7">
        <v>577</v>
      </c>
      <c r="C579" s="5">
        <f t="shared" ref="C579:C611" si="10">IF(ISBLANK(A579),AVERAGE(A578:A580),A579)</f>
        <v>0.21210000000000001</v>
      </c>
      <c r="D579" s="7">
        <v>0.87</v>
      </c>
      <c r="E579" s="7">
        <v>0.29849999999999999</v>
      </c>
      <c r="F579" s="7">
        <v>1</v>
      </c>
      <c r="G579" s="7">
        <v>29</v>
      </c>
      <c r="H579" s="7">
        <v>30</v>
      </c>
    </row>
    <row r="580" spans="1:8" x14ac:dyDescent="0.35">
      <c r="A580" s="7">
        <v>0.21210000000000001</v>
      </c>
      <c r="B580" s="7">
        <v>578</v>
      </c>
      <c r="C580" s="5">
        <f t="shared" si="10"/>
        <v>0.21210000000000001</v>
      </c>
      <c r="D580" s="7">
        <v>0.87</v>
      </c>
      <c r="E580" s="7">
        <v>0.29849999999999999</v>
      </c>
      <c r="F580" s="7">
        <v>3</v>
      </c>
      <c r="G580" s="7">
        <v>69</v>
      </c>
      <c r="H580" s="7">
        <v>72</v>
      </c>
    </row>
    <row r="581" spans="1:8" x14ac:dyDescent="0.35">
      <c r="A581" s="7">
        <v>0.21210000000000001</v>
      </c>
      <c r="B581" s="7">
        <v>579</v>
      </c>
      <c r="C581" s="5">
        <f t="shared" si="10"/>
        <v>0.21210000000000001</v>
      </c>
      <c r="D581" s="7">
        <v>0.87</v>
      </c>
      <c r="E581" s="7">
        <v>0.29849999999999999</v>
      </c>
      <c r="F581" s="7">
        <v>3</v>
      </c>
      <c r="G581" s="7">
        <v>55</v>
      </c>
      <c r="H581" s="7">
        <v>58</v>
      </c>
    </row>
    <row r="582" spans="1:8" x14ac:dyDescent="0.35">
      <c r="A582" s="7">
        <v>0.21210000000000001</v>
      </c>
      <c r="B582" s="7">
        <v>580</v>
      </c>
      <c r="C582" s="5">
        <f t="shared" si="10"/>
        <v>0.21210000000000001</v>
      </c>
      <c r="D582" s="7">
        <v>0.93</v>
      </c>
      <c r="E582" s="7">
        <v>0.28360000000000002</v>
      </c>
      <c r="F582" s="7">
        <v>2</v>
      </c>
      <c r="G582" s="7">
        <v>26</v>
      </c>
      <c r="H582" s="7">
        <v>28</v>
      </c>
    </row>
    <row r="583" spans="1:8" x14ac:dyDescent="0.35">
      <c r="A583" s="7">
        <v>0.19700000000000001</v>
      </c>
      <c r="B583" s="7">
        <v>581</v>
      </c>
      <c r="C583" s="5">
        <f t="shared" si="10"/>
        <v>0.19700000000000001</v>
      </c>
      <c r="D583" s="7">
        <v>0.93</v>
      </c>
      <c r="E583" s="7">
        <v>0.32840000000000003</v>
      </c>
      <c r="F583" s="7">
        <v>6</v>
      </c>
      <c r="G583" s="7">
        <v>35</v>
      </c>
      <c r="H583" s="7">
        <v>41</v>
      </c>
    </row>
    <row r="584" spans="1:8" x14ac:dyDescent="0.35">
      <c r="A584" s="7">
        <v>0.19700000000000001</v>
      </c>
      <c r="B584" s="7">
        <v>582</v>
      </c>
      <c r="C584" s="5">
        <f t="shared" si="10"/>
        <v>0.19700000000000001</v>
      </c>
      <c r="D584" s="7">
        <v>0.93</v>
      </c>
      <c r="E584" s="7">
        <v>0.32840000000000003</v>
      </c>
      <c r="F584" s="7">
        <v>7</v>
      </c>
      <c r="G584" s="7">
        <v>41</v>
      </c>
      <c r="H584" s="7">
        <v>48</v>
      </c>
    </row>
    <row r="585" spans="1:8" x14ac:dyDescent="0.35">
      <c r="A585" s="7">
        <v>0.19700000000000001</v>
      </c>
      <c r="B585" s="7">
        <v>583</v>
      </c>
      <c r="C585" s="5">
        <f t="shared" si="10"/>
        <v>0.19700000000000001</v>
      </c>
      <c r="D585" s="7">
        <v>0.93</v>
      </c>
      <c r="E585" s="7">
        <v>0.32840000000000003</v>
      </c>
      <c r="F585" s="7">
        <v>4</v>
      </c>
      <c r="G585" s="7">
        <v>43</v>
      </c>
      <c r="H585" s="7">
        <v>47</v>
      </c>
    </row>
    <row r="586" spans="1:8" x14ac:dyDescent="0.35">
      <c r="A586" s="7">
        <v>0.19700000000000001</v>
      </c>
      <c r="B586" s="7">
        <v>584</v>
      </c>
      <c r="C586" s="5">
        <f t="shared" si="10"/>
        <v>0.19700000000000001</v>
      </c>
      <c r="D586" s="7">
        <v>0.93</v>
      </c>
      <c r="E586" s="7">
        <v>0.35820000000000002</v>
      </c>
      <c r="F586" s="7">
        <v>0</v>
      </c>
      <c r="G586" s="7">
        <v>36</v>
      </c>
      <c r="H586" s="7">
        <v>36</v>
      </c>
    </row>
    <row r="587" spans="1:8" x14ac:dyDescent="0.35">
      <c r="A587" s="7">
        <v>0.18179999999999999</v>
      </c>
      <c r="B587" s="7">
        <v>585</v>
      </c>
      <c r="C587" s="5">
        <f t="shared" si="10"/>
        <v>0.18179999999999999</v>
      </c>
      <c r="D587" s="7">
        <v>0.93</v>
      </c>
      <c r="E587" s="7">
        <v>0.4627</v>
      </c>
      <c r="F587" s="7">
        <v>1</v>
      </c>
      <c r="G587" s="7">
        <v>42</v>
      </c>
      <c r="H587" s="7">
        <v>43</v>
      </c>
    </row>
    <row r="588" spans="1:8" x14ac:dyDescent="0.35">
      <c r="A588" s="7">
        <v>0.19700000000000001</v>
      </c>
      <c r="B588" s="7">
        <v>586</v>
      </c>
      <c r="C588" s="5">
        <f t="shared" si="10"/>
        <v>0.19700000000000001</v>
      </c>
      <c r="D588" s="7">
        <v>0.93</v>
      </c>
      <c r="E588" s="7">
        <v>0.32840000000000003</v>
      </c>
      <c r="F588" s="7">
        <v>1</v>
      </c>
      <c r="G588" s="7">
        <v>35</v>
      </c>
      <c r="H588" s="7">
        <v>36</v>
      </c>
    </row>
    <row r="589" spans="1:8" x14ac:dyDescent="0.35">
      <c r="A589" s="7">
        <v>0.18179999999999999</v>
      </c>
      <c r="B589" s="7">
        <v>587</v>
      </c>
      <c r="C589" s="5">
        <f t="shared" si="10"/>
        <v>0.18179999999999999</v>
      </c>
      <c r="D589" s="7">
        <v>0.93</v>
      </c>
      <c r="E589" s="7">
        <v>0.35820000000000002</v>
      </c>
      <c r="F589" s="7">
        <v>0</v>
      </c>
      <c r="G589" s="7">
        <v>26</v>
      </c>
      <c r="H589" s="7">
        <v>26</v>
      </c>
    </row>
    <row r="590" spans="1:8" x14ac:dyDescent="0.35">
      <c r="A590" s="7">
        <v>0.2273</v>
      </c>
      <c r="B590" s="7">
        <v>588</v>
      </c>
      <c r="C590" s="5">
        <f t="shared" si="10"/>
        <v>0.2273</v>
      </c>
      <c r="D590" s="7">
        <v>0.55000000000000004</v>
      </c>
      <c r="E590" s="7">
        <v>0.19400000000000001</v>
      </c>
      <c r="F590" s="7">
        <v>1</v>
      </c>
      <c r="G590" s="7">
        <v>23</v>
      </c>
      <c r="H590" s="7">
        <v>24</v>
      </c>
    </row>
    <row r="591" spans="1:8" x14ac:dyDescent="0.35">
      <c r="A591" s="7">
        <v>0.2424</v>
      </c>
      <c r="B591" s="7">
        <v>589</v>
      </c>
      <c r="C591" s="5">
        <f t="shared" si="10"/>
        <v>0.2424</v>
      </c>
      <c r="D591" s="7">
        <v>0.55000000000000004</v>
      </c>
      <c r="E591" s="7">
        <v>0.1045</v>
      </c>
      <c r="F591" s="7">
        <v>2</v>
      </c>
      <c r="G591" s="7">
        <v>82</v>
      </c>
      <c r="H591" s="7">
        <v>84</v>
      </c>
    </row>
    <row r="592" spans="1:8" x14ac:dyDescent="0.35">
      <c r="A592" s="7">
        <v>0.2273</v>
      </c>
      <c r="B592" s="7">
        <v>590</v>
      </c>
      <c r="C592" s="5">
        <f t="shared" si="10"/>
        <v>0.2273</v>
      </c>
      <c r="D592" s="7">
        <v>0.69</v>
      </c>
      <c r="E592" s="7">
        <v>8.9599999999999999E-2</v>
      </c>
      <c r="F592" s="7">
        <v>3</v>
      </c>
      <c r="G592" s="7">
        <v>101</v>
      </c>
      <c r="H592" s="7">
        <v>104</v>
      </c>
    </row>
    <row r="593" spans="1:8" x14ac:dyDescent="0.35">
      <c r="A593" s="7">
        <v>0.2273</v>
      </c>
      <c r="B593" s="7">
        <v>591</v>
      </c>
      <c r="C593" s="5">
        <f t="shared" si="10"/>
        <v>0.2273</v>
      </c>
      <c r="D593" s="7">
        <v>0.69</v>
      </c>
      <c r="E593" s="7">
        <v>8.9599999999999999E-2</v>
      </c>
      <c r="F593" s="7">
        <v>3</v>
      </c>
      <c r="G593" s="7">
        <v>76</v>
      </c>
      <c r="H593" s="7">
        <v>79</v>
      </c>
    </row>
    <row r="594" spans="1:8" x14ac:dyDescent="0.35">
      <c r="A594" s="7">
        <v>0.21210000000000001</v>
      </c>
      <c r="B594" s="7">
        <v>592</v>
      </c>
      <c r="C594" s="5">
        <f t="shared" si="10"/>
        <v>0.21210000000000001</v>
      </c>
      <c r="D594" s="7">
        <v>0.74</v>
      </c>
      <c r="E594" s="7">
        <v>8.9599999999999999E-2</v>
      </c>
      <c r="F594" s="7">
        <v>4</v>
      </c>
      <c r="G594" s="7">
        <v>55</v>
      </c>
      <c r="H594" s="7">
        <v>59</v>
      </c>
    </row>
    <row r="595" spans="1:8" x14ac:dyDescent="0.35">
      <c r="A595" s="7">
        <v>0.21210000000000001</v>
      </c>
      <c r="B595" s="7">
        <v>593</v>
      </c>
      <c r="C595" s="5">
        <f t="shared" si="10"/>
        <v>0.21210000000000001</v>
      </c>
      <c r="D595" s="7">
        <v>0.74</v>
      </c>
      <c r="E595" s="7">
        <v>8.9599999999999999E-2</v>
      </c>
      <c r="F595" s="7">
        <v>2</v>
      </c>
      <c r="G595" s="7">
        <v>36</v>
      </c>
      <c r="H595" s="7">
        <v>38</v>
      </c>
    </row>
    <row r="596" spans="1:8" x14ac:dyDescent="0.35">
      <c r="A596" s="7">
        <v>0.21210000000000001</v>
      </c>
      <c r="B596" s="7">
        <v>594</v>
      </c>
      <c r="C596" s="5">
        <f t="shared" si="10"/>
        <v>0.21210000000000001</v>
      </c>
      <c r="D596" s="7">
        <v>0.74</v>
      </c>
      <c r="E596" s="7">
        <v>8.9599999999999999E-2</v>
      </c>
      <c r="F596" s="7">
        <v>0</v>
      </c>
      <c r="G596" s="7">
        <v>27</v>
      </c>
      <c r="H596" s="7">
        <v>27</v>
      </c>
    </row>
    <row r="597" spans="1:8" x14ac:dyDescent="0.35">
      <c r="A597" s="7">
        <v>0.19700000000000001</v>
      </c>
      <c r="B597" s="7">
        <v>595</v>
      </c>
      <c r="C597" s="5">
        <f t="shared" si="10"/>
        <v>0.19700000000000001</v>
      </c>
      <c r="D597" s="7">
        <v>0.8</v>
      </c>
      <c r="E597" s="7">
        <v>0.16420000000000001</v>
      </c>
      <c r="F597" s="7">
        <v>0</v>
      </c>
      <c r="G597" s="7">
        <v>16</v>
      </c>
      <c r="H597" s="7">
        <v>16</v>
      </c>
    </row>
    <row r="598" spans="1:8" x14ac:dyDescent="0.35">
      <c r="A598" s="7">
        <v>0.21210000000000001</v>
      </c>
      <c r="B598" s="7">
        <v>596</v>
      </c>
      <c r="C598" s="5">
        <f t="shared" si="10"/>
        <v>0.21210000000000001</v>
      </c>
      <c r="D598" s="7">
        <v>0.75</v>
      </c>
      <c r="E598" s="7">
        <v>0.1343</v>
      </c>
      <c r="F598" s="7">
        <v>0</v>
      </c>
      <c r="G598" s="7">
        <v>9</v>
      </c>
      <c r="H598" s="7">
        <v>9</v>
      </c>
    </row>
    <row r="599" spans="1:8" x14ac:dyDescent="0.35">
      <c r="A599" s="7">
        <v>0.21210000000000001</v>
      </c>
      <c r="B599" s="7">
        <v>597</v>
      </c>
      <c r="C599" s="5">
        <f t="shared" si="10"/>
        <v>0.21210000000000001</v>
      </c>
      <c r="D599" s="7">
        <v>0.75</v>
      </c>
      <c r="E599" s="7">
        <v>0.1343</v>
      </c>
      <c r="F599" s="7">
        <v>1</v>
      </c>
      <c r="G599" s="7">
        <v>2</v>
      </c>
      <c r="H599" s="7">
        <v>3</v>
      </c>
    </row>
    <row r="600" spans="1:8" x14ac:dyDescent="0.35">
      <c r="A600" s="7">
        <v>0.21210000000000001</v>
      </c>
      <c r="B600" s="7">
        <v>598</v>
      </c>
      <c r="C600" s="5">
        <f t="shared" si="10"/>
        <v>0.21210000000000001</v>
      </c>
      <c r="D600" s="7">
        <v>0.75</v>
      </c>
      <c r="E600" s="7">
        <v>0.16420000000000001</v>
      </c>
      <c r="F600" s="7">
        <v>0</v>
      </c>
      <c r="G600" s="7">
        <v>2</v>
      </c>
      <c r="H600" s="7">
        <v>2</v>
      </c>
    </row>
    <row r="601" spans="1:8" x14ac:dyDescent="0.35">
      <c r="A601" s="7">
        <v>0.2273</v>
      </c>
      <c r="B601" s="7">
        <v>599</v>
      </c>
      <c r="C601" s="5">
        <f t="shared" si="10"/>
        <v>0.2273</v>
      </c>
      <c r="D601" s="7">
        <v>0.75</v>
      </c>
      <c r="E601" s="7">
        <v>0.1045</v>
      </c>
      <c r="F601" s="7">
        <v>1</v>
      </c>
      <c r="G601" s="7">
        <v>0</v>
      </c>
      <c r="H601" s="7">
        <v>1</v>
      </c>
    </row>
    <row r="602" spans="1:8" x14ac:dyDescent="0.35">
      <c r="A602" s="7">
        <v>0.21210000000000001</v>
      </c>
      <c r="B602" s="7">
        <v>600</v>
      </c>
      <c r="C602" s="5">
        <f t="shared" si="10"/>
        <v>0.21210000000000001</v>
      </c>
      <c r="D602" s="7">
        <v>0.8</v>
      </c>
      <c r="E602" s="7">
        <v>0.1045</v>
      </c>
      <c r="F602" s="7">
        <v>0</v>
      </c>
      <c r="G602" s="7">
        <v>4</v>
      </c>
      <c r="H602" s="7">
        <v>4</v>
      </c>
    </row>
    <row r="603" spans="1:8" x14ac:dyDescent="0.35">
      <c r="A603" s="7">
        <v>0.19700000000000001</v>
      </c>
      <c r="B603" s="7">
        <v>601</v>
      </c>
      <c r="C603" s="5">
        <f t="shared" si="10"/>
        <v>0.19700000000000001</v>
      </c>
      <c r="D603" s="7">
        <v>0.8</v>
      </c>
      <c r="E603" s="7">
        <v>0.1343</v>
      </c>
      <c r="F603" s="7">
        <v>0</v>
      </c>
      <c r="G603" s="7">
        <v>16</v>
      </c>
      <c r="H603" s="7">
        <v>16</v>
      </c>
    </row>
    <row r="604" spans="1:8" x14ac:dyDescent="0.35">
      <c r="A604" s="7">
        <v>0.19700000000000001</v>
      </c>
      <c r="B604" s="7">
        <v>602</v>
      </c>
      <c r="C604" s="5">
        <f t="shared" si="10"/>
        <v>0.19700000000000001</v>
      </c>
      <c r="D604" s="7">
        <v>0.86</v>
      </c>
      <c r="E604" s="7">
        <v>8.9599999999999999E-2</v>
      </c>
      <c r="F604" s="7">
        <v>2</v>
      </c>
      <c r="G604" s="7">
        <v>58</v>
      </c>
      <c r="H604" s="7">
        <v>60</v>
      </c>
    </row>
    <row r="605" spans="1:8" x14ac:dyDescent="0.35">
      <c r="A605" s="7">
        <v>0.19700000000000001</v>
      </c>
      <c r="B605" s="7">
        <v>603</v>
      </c>
      <c r="C605" s="5">
        <f t="shared" si="10"/>
        <v>0.19700000000000001</v>
      </c>
      <c r="D605" s="7">
        <v>0.86</v>
      </c>
      <c r="E605" s="7">
        <v>8.9599999999999999E-2</v>
      </c>
      <c r="F605" s="7">
        <v>2</v>
      </c>
      <c r="G605" s="7">
        <v>155</v>
      </c>
      <c r="H605" s="7">
        <v>157</v>
      </c>
    </row>
    <row r="606" spans="1:8" x14ac:dyDescent="0.35">
      <c r="A606" s="7">
        <v>0.21210000000000001</v>
      </c>
      <c r="B606" s="7">
        <v>604</v>
      </c>
      <c r="C606" s="5">
        <f t="shared" si="10"/>
        <v>0.21210000000000001</v>
      </c>
      <c r="D606" s="7">
        <v>0.86</v>
      </c>
      <c r="E606" s="7">
        <v>8.9599999999999999E-2</v>
      </c>
      <c r="F606" s="7">
        <v>6</v>
      </c>
      <c r="G606" s="7">
        <v>95</v>
      </c>
      <c r="H606" s="7">
        <v>101</v>
      </c>
    </row>
    <row r="607" spans="1:8" x14ac:dyDescent="0.35">
      <c r="A607" s="7">
        <v>0.21210000000000001</v>
      </c>
      <c r="B607" s="7">
        <v>605</v>
      </c>
      <c r="C607" s="5">
        <f t="shared" si="10"/>
        <v>0.21210000000000001</v>
      </c>
      <c r="D607" s="7">
        <v>0.86</v>
      </c>
      <c r="E607" s="7">
        <v>0.1045</v>
      </c>
      <c r="F607" s="7">
        <v>0</v>
      </c>
      <c r="G607" s="7">
        <v>49</v>
      </c>
      <c r="H607" s="7">
        <v>49</v>
      </c>
    </row>
    <row r="608" spans="1:8" x14ac:dyDescent="0.35">
      <c r="A608" s="7">
        <v>0.21210000000000001</v>
      </c>
      <c r="B608" s="7">
        <v>606</v>
      </c>
      <c r="C608" s="5">
        <f t="shared" si="10"/>
        <v>0.21210000000000001</v>
      </c>
      <c r="D608" s="7">
        <v>0.93</v>
      </c>
      <c r="E608" s="7">
        <v>0.1045</v>
      </c>
      <c r="F608" s="7">
        <v>0</v>
      </c>
      <c r="G608" s="7">
        <v>30</v>
      </c>
      <c r="H608" s="7">
        <v>30</v>
      </c>
    </row>
    <row r="609" spans="1:8" x14ac:dyDescent="0.35">
      <c r="A609" s="7">
        <v>0.21210000000000001</v>
      </c>
      <c r="B609" s="7">
        <v>607</v>
      </c>
      <c r="C609" s="5">
        <f t="shared" si="10"/>
        <v>0.21210000000000001</v>
      </c>
      <c r="D609" s="7">
        <v>0.93</v>
      </c>
      <c r="E609" s="7">
        <v>0.1045</v>
      </c>
      <c r="F609" s="7">
        <v>1</v>
      </c>
      <c r="G609" s="7">
        <v>28</v>
      </c>
      <c r="H609" s="7">
        <v>29</v>
      </c>
    </row>
    <row r="610" spans="1:8" x14ac:dyDescent="0.35">
      <c r="A610" s="7">
        <v>0.21210000000000001</v>
      </c>
      <c r="B610" s="7">
        <v>608</v>
      </c>
      <c r="C610" s="5">
        <f t="shared" si="10"/>
        <v>0.21210000000000001</v>
      </c>
      <c r="D610" s="7">
        <v>0.93</v>
      </c>
      <c r="E610" s="7">
        <v>0.1045</v>
      </c>
      <c r="F610" s="7">
        <v>0</v>
      </c>
      <c r="G610" s="7">
        <v>31</v>
      </c>
      <c r="H610" s="7">
        <v>31</v>
      </c>
    </row>
    <row r="611" spans="1:8" x14ac:dyDescent="0.35">
      <c r="A611" s="7">
        <v>0.2727</v>
      </c>
      <c r="B611" s="7">
        <v>609</v>
      </c>
      <c r="C611" s="5">
        <f t="shared" si="10"/>
        <v>0.2727</v>
      </c>
      <c r="D611" s="7">
        <v>0.8</v>
      </c>
      <c r="E611" s="7">
        <v>0</v>
      </c>
      <c r="F611" s="7">
        <v>2</v>
      </c>
      <c r="G611" s="7">
        <v>36</v>
      </c>
      <c r="H611" s="7">
        <v>38</v>
      </c>
    </row>
    <row r="612" spans="1:8" x14ac:dyDescent="0.35">
      <c r="A612" s="7">
        <v>0.2576</v>
      </c>
      <c r="B612" s="7">
        <v>610</v>
      </c>
      <c r="C612" s="5">
        <f>IF(ISBLANK(A612),AVERAGE(A611:A614),A612)</f>
        <v>0.2576</v>
      </c>
      <c r="D612" s="7">
        <v>0.86</v>
      </c>
      <c r="E612" s="7">
        <v>0</v>
      </c>
      <c r="F612" s="7">
        <v>1</v>
      </c>
      <c r="G612" s="7">
        <v>40</v>
      </c>
      <c r="H612" s="7">
        <v>41</v>
      </c>
    </row>
    <row r="613" spans="1:8" x14ac:dyDescent="0.35">
      <c r="A613" s="7"/>
      <c r="B613" s="7"/>
      <c r="C613" s="5"/>
      <c r="D613" s="7"/>
      <c r="E613" s="7"/>
      <c r="F613" s="7"/>
      <c r="G613" s="7"/>
      <c r="H613" s="7"/>
    </row>
    <row r="614" spans="1:8" x14ac:dyDescent="0.35">
      <c r="C614" s="13" t="s">
        <v>38</v>
      </c>
      <c r="D614" s="13" t="s">
        <v>39</v>
      </c>
      <c r="E614" s="13" t="s">
        <v>37</v>
      </c>
      <c r="F614" s="13" t="s">
        <v>40</v>
      </c>
      <c r="G614" s="13" t="s">
        <v>36</v>
      </c>
      <c r="H614" s="13" t="s">
        <v>35</v>
      </c>
    </row>
    <row r="615" spans="1:8" x14ac:dyDescent="0.35">
      <c r="C615" s="5">
        <f t="shared" ref="C615:H615" si="11">SUM(C3:C612)</f>
        <v>123.15490000000011</v>
      </c>
      <c r="D615" s="5">
        <f t="shared" si="11"/>
        <v>343.11000000000087</v>
      </c>
      <c r="E615" s="5">
        <f t="shared" si="11"/>
        <v>124.95910000000001</v>
      </c>
      <c r="F615">
        <f t="shared" si="11"/>
        <v>2746</v>
      </c>
      <c r="G615" s="5">
        <f t="shared" si="11"/>
        <v>31152</v>
      </c>
      <c r="H615" s="5">
        <f t="shared" si="11"/>
        <v>33898</v>
      </c>
    </row>
    <row r="616" spans="1:8" x14ac:dyDescent="0.35">
      <c r="C616" s="12" t="s">
        <v>41</v>
      </c>
      <c r="D616" s="12" t="s">
        <v>42</v>
      </c>
      <c r="E616" s="12" t="s">
        <v>43</v>
      </c>
      <c r="F616" s="12" t="s">
        <v>44</v>
      </c>
      <c r="G616" s="12" t="s">
        <v>45</v>
      </c>
      <c r="H616" s="12" t="s">
        <v>46</v>
      </c>
    </row>
    <row r="617" spans="1:8" x14ac:dyDescent="0.35">
      <c r="C617" s="5">
        <f t="shared" ref="C617:H617" si="12">AVERAGE(C3:C612)</f>
        <v>0.20189327868852477</v>
      </c>
      <c r="D617" s="5">
        <f t="shared" si="12"/>
        <v>0.56247540983606703</v>
      </c>
      <c r="E617" s="5">
        <f t="shared" si="12"/>
        <v>0.20485098360655737</v>
      </c>
      <c r="F617" s="5">
        <f t="shared" si="12"/>
        <v>4.5016393442622951</v>
      </c>
      <c r="G617" s="5">
        <f t="shared" si="12"/>
        <v>51.068852459016391</v>
      </c>
      <c r="H617" s="5">
        <f t="shared" si="12"/>
        <v>55.570491803278685</v>
      </c>
    </row>
  </sheetData>
  <autoFilter ref="A2:H2" xr:uid="{14DBF3DC-3334-4FA9-8345-88E92AC29FC7}"/>
  <dataConsolid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C45D-F77B-49AA-BAA2-95E459FF67D5}">
  <sheetPr>
    <tabColor theme="5" tint="0.59999389629810485"/>
  </sheetPr>
  <dimension ref="A1:S392"/>
  <sheetViews>
    <sheetView topLeftCell="D368" workbookViewId="0">
      <selection activeCell="M3" sqref="M3"/>
    </sheetView>
  </sheetViews>
  <sheetFormatPr defaultRowHeight="14.5" x14ac:dyDescent="0.35"/>
  <cols>
    <col min="1" max="3" width="10.7265625" bestFit="1" customWidth="1"/>
    <col min="8" max="8" width="11.08984375" bestFit="1" customWidth="1"/>
    <col min="9" max="9" width="12.36328125" bestFit="1" customWidth="1"/>
    <col min="11" max="11" width="13.81640625" bestFit="1" customWidth="1"/>
    <col min="12" max="12" width="9.6328125" bestFit="1" customWidth="1"/>
    <col min="13" max="13" width="12" bestFit="1" customWidth="1"/>
    <col min="14" max="14" width="10.453125" bestFit="1" customWidth="1"/>
    <col min="16" max="16" width="14" bestFit="1" customWidth="1"/>
    <col min="17" max="17" width="10.36328125" bestFit="1" customWidth="1"/>
    <col min="18" max="18" width="13.36328125" bestFit="1" customWidth="1"/>
  </cols>
  <sheetData>
    <row r="1" spans="1:19" x14ac:dyDescent="0.35">
      <c r="A1" s="15" t="s">
        <v>0</v>
      </c>
      <c r="B1" s="15" t="s">
        <v>1</v>
      </c>
      <c r="C1" s="15" t="s">
        <v>2</v>
      </c>
      <c r="D1" s="15" t="s">
        <v>3</v>
      </c>
      <c r="E1" s="15" t="s">
        <v>4</v>
      </c>
      <c r="F1" s="15" t="s">
        <v>5</v>
      </c>
      <c r="G1" s="15"/>
      <c r="H1" s="15" t="s">
        <v>6</v>
      </c>
      <c r="I1" s="15" t="s">
        <v>7</v>
      </c>
      <c r="J1" s="15"/>
      <c r="K1" s="15" t="s">
        <v>8</v>
      </c>
      <c r="L1" s="15" t="s">
        <v>9</v>
      </c>
      <c r="M1" s="15"/>
      <c r="N1" s="15" t="s">
        <v>63</v>
      </c>
      <c r="O1" s="15" t="s">
        <v>11</v>
      </c>
      <c r="P1" s="15" t="s">
        <v>12</v>
      </c>
      <c r="Q1" s="15" t="s">
        <v>13</v>
      </c>
      <c r="R1" s="15" t="s">
        <v>14</v>
      </c>
      <c r="S1" s="15" t="s">
        <v>15</v>
      </c>
    </row>
    <row r="2" spans="1:19" x14ac:dyDescent="0.35">
      <c r="A2" s="17" t="str">
        <f t="shared" ref="A2:S2" si="0">PROPER(A1)</f>
        <v>Instant</v>
      </c>
      <c r="B2" s="17" t="str">
        <f>PROPER(B1)</f>
        <v>Dteday</v>
      </c>
      <c r="C2" s="17" t="str">
        <f t="shared" si="0"/>
        <v>Season</v>
      </c>
      <c r="D2" s="17" t="str">
        <f t="shared" si="0"/>
        <v>Yr</v>
      </c>
      <c r="E2" s="17" t="str">
        <f t="shared" si="0"/>
        <v>Mnth</v>
      </c>
      <c r="F2" s="17" t="str">
        <f t="shared" si="0"/>
        <v>Hr</v>
      </c>
      <c r="G2" s="17" t="s">
        <v>58</v>
      </c>
      <c r="H2" s="17" t="str">
        <f>PROPER(H1)</f>
        <v>Holiday</v>
      </c>
      <c r="I2" s="17" t="str">
        <f t="shared" si="0"/>
        <v>Weekday</v>
      </c>
      <c r="J2" s="17" t="s">
        <v>59</v>
      </c>
      <c r="K2" s="17" t="str">
        <f t="shared" si="0"/>
        <v>Weathersit</v>
      </c>
      <c r="L2" s="17" t="str">
        <f t="shared" si="0"/>
        <v>Temp</v>
      </c>
      <c r="M2" s="17" t="s">
        <v>60</v>
      </c>
      <c r="N2" s="17" t="str">
        <f t="shared" si="0"/>
        <v>N Atemp</v>
      </c>
      <c r="O2" s="17" t="str">
        <f t="shared" si="0"/>
        <v>Hum</v>
      </c>
      <c r="P2" s="17" t="str">
        <f t="shared" si="0"/>
        <v>Windspeed</v>
      </c>
      <c r="Q2" s="17" t="str">
        <f t="shared" si="0"/>
        <v>Casual</v>
      </c>
      <c r="R2" s="17" t="str">
        <f t="shared" si="0"/>
        <v>Registered</v>
      </c>
      <c r="S2" s="17" t="str">
        <f t="shared" si="0"/>
        <v>Cnt</v>
      </c>
    </row>
    <row r="3" spans="1:19" x14ac:dyDescent="0.35">
      <c r="A3" s="15">
        <v>611</v>
      </c>
      <c r="B3" s="16">
        <v>40571</v>
      </c>
      <c r="C3" s="15">
        <v>1</v>
      </c>
      <c r="D3" s="15">
        <v>0</v>
      </c>
      <c r="E3" s="15">
        <v>1</v>
      </c>
      <c r="F3" s="15">
        <v>16</v>
      </c>
      <c r="G3" s="15" t="str" cm="1">
        <f t="array" ref="G3">_xlfn.IFS(AND(F3&gt;=5,F3&lt;12),"Morning",AND(F3&gt;=12,F3&lt;17),"AfterNoon",AND(F3&gt;=17,F3&lt;20),"Evening",TRUE,"Night")</f>
        <v>AfterNoon</v>
      </c>
      <c r="H3" s="15" t="b">
        <v>0</v>
      </c>
      <c r="I3" s="15">
        <v>5</v>
      </c>
      <c r="J3" s="15" t="str" cm="1">
        <f t="array" ref="J3">_xlfn.IFS(I3=0,"Saturday",I3=1,"Sunday",I3=2,"Monday",I3=3,"Tuesday",I3=4,"Wednesday",I3=5,"Thusday",I3=6,"Friday")</f>
        <v>Thusday</v>
      </c>
      <c r="K3" s="15">
        <v>1</v>
      </c>
      <c r="L3" s="15">
        <v>0.22</v>
      </c>
      <c r="M3" s="15" t="str">
        <f>IF(L3&lt;=0.1,"Stromy",IF(L3&lt;=0.2,"Rainy",IF(L3&lt;=0.3,"Cloudy","Sunny")))</f>
        <v>Cloudy</v>
      </c>
      <c r="N3" s="15">
        <v>0.2727</v>
      </c>
      <c r="O3" s="15">
        <v>0.8</v>
      </c>
      <c r="P3" s="15">
        <v>0</v>
      </c>
      <c r="Q3" s="15">
        <v>10</v>
      </c>
      <c r="R3" s="15">
        <v>70</v>
      </c>
      <c r="S3" s="15">
        <v>80</v>
      </c>
    </row>
    <row r="4" spans="1:19" x14ac:dyDescent="0.35">
      <c r="A4" s="15">
        <v>612</v>
      </c>
      <c r="B4" s="16">
        <v>40571</v>
      </c>
      <c r="C4" s="15">
        <v>1</v>
      </c>
      <c r="D4" s="15">
        <v>0</v>
      </c>
      <c r="E4" s="15">
        <v>1</v>
      </c>
      <c r="F4" s="15">
        <v>17</v>
      </c>
      <c r="G4" s="15" t="str" cm="1">
        <f t="array" ref="G4">_xlfn.IFS(AND(F4&gt;=5,F4&lt;12),"Morning",AND(F4&gt;=12,F4&lt;17),"AfterNoon",AND(F4&gt;=17,F4&lt;20),"Evening",TRUE,"Night")</f>
        <v>Evening</v>
      </c>
      <c r="H4" s="15" t="b">
        <v>0</v>
      </c>
      <c r="I4" s="15">
        <v>5</v>
      </c>
      <c r="J4" s="15" t="str" cm="1">
        <f t="array" ref="J4">_xlfn.IFS(I4=0,"Saturday",I4=1,"Sunday",I4=2,"Monday",I4=3,"Tuesday",I4=4,"Wednesday",I4=5,"Thusday",I4=6,"Friday")</f>
        <v>Thusday</v>
      </c>
      <c r="K4" s="15">
        <v>1</v>
      </c>
      <c r="L4" s="15">
        <v>0.24</v>
      </c>
      <c r="M4" s="15" t="str">
        <f t="shared" ref="M4:M67" si="1">IF(L4&lt;=0.1,"Stromy",IF(L4&lt;=0.2,"Rainy",IF(L4&lt;=0.3,"Cloudy","Sunny")))</f>
        <v>Cloudy</v>
      </c>
      <c r="N4" s="15">
        <v>0.2424</v>
      </c>
      <c r="O4" s="15">
        <v>0.75</v>
      </c>
      <c r="P4" s="15">
        <v>0.1343</v>
      </c>
      <c r="Q4" s="15">
        <v>2</v>
      </c>
      <c r="R4" s="15">
        <v>147</v>
      </c>
      <c r="S4" s="15">
        <v>149</v>
      </c>
    </row>
    <row r="5" spans="1:19" x14ac:dyDescent="0.35">
      <c r="A5" s="15">
        <v>613</v>
      </c>
      <c r="B5" s="16">
        <v>40571</v>
      </c>
      <c r="C5" s="15">
        <v>1</v>
      </c>
      <c r="D5" s="15">
        <v>0</v>
      </c>
      <c r="E5" s="15">
        <v>1</v>
      </c>
      <c r="F5" s="15">
        <v>18</v>
      </c>
      <c r="G5" s="15" t="str" cm="1">
        <f t="array" ref="G5">_xlfn.IFS(AND(F5&gt;=5,F5&lt;12),"Morning",AND(F5&gt;=12,F5&lt;17),"AfterNoon",AND(F5&gt;=17,F5&lt;20),"Evening",TRUE,"Night")</f>
        <v>Evening</v>
      </c>
      <c r="H5" s="15" t="b">
        <v>0</v>
      </c>
      <c r="I5" s="15">
        <v>5</v>
      </c>
      <c r="J5" s="15" t="str" cm="1">
        <f t="array" ref="J5">_xlfn.IFS(I5=0,"Saturday",I5=1,"Sunday",I5=2,"Monday",I5=3,"Tuesday",I5=4,"Wednesday",I5=5,"Thusday",I5=6,"Friday")</f>
        <v>Thusday</v>
      </c>
      <c r="K5" s="15">
        <v>1</v>
      </c>
      <c r="L5" s="15">
        <v>0.24</v>
      </c>
      <c r="M5" s="15" t="str">
        <f t="shared" si="1"/>
        <v>Cloudy</v>
      </c>
      <c r="N5" s="15">
        <v>0.2273</v>
      </c>
      <c r="O5" s="15">
        <v>0.75</v>
      </c>
      <c r="P5" s="15">
        <v>0.19400000000000001</v>
      </c>
      <c r="Q5" s="15">
        <v>2</v>
      </c>
      <c r="R5" s="15">
        <v>107</v>
      </c>
      <c r="S5" s="15">
        <v>109</v>
      </c>
    </row>
    <row r="6" spans="1:19" x14ac:dyDescent="0.35">
      <c r="A6" s="15">
        <v>614</v>
      </c>
      <c r="B6" s="16">
        <v>40571</v>
      </c>
      <c r="C6" s="15">
        <v>1</v>
      </c>
      <c r="D6" s="15">
        <v>0</v>
      </c>
      <c r="E6" s="15">
        <v>1</v>
      </c>
      <c r="F6" s="15">
        <v>19</v>
      </c>
      <c r="G6" s="15" t="str" cm="1">
        <f t="array" ref="G6">_xlfn.IFS(AND(F6&gt;=5,F6&lt;12),"Morning",AND(F6&gt;=12,F6&lt;17),"AfterNoon",AND(F6&gt;=17,F6&lt;20),"Evening",TRUE,"Night")</f>
        <v>Evening</v>
      </c>
      <c r="H6" s="15" t="b">
        <v>0</v>
      </c>
      <c r="I6" s="15">
        <v>5</v>
      </c>
      <c r="J6" s="15" t="str" cm="1">
        <f t="array" ref="J6">_xlfn.IFS(I6=0,"Saturday",I6=1,"Sunday",I6=2,"Monday",I6=3,"Tuesday",I6=4,"Wednesday",I6=5,"Thusday",I6=6,"Friday")</f>
        <v>Thusday</v>
      </c>
      <c r="K6" s="15">
        <v>2</v>
      </c>
      <c r="L6" s="15">
        <v>0.24</v>
      </c>
      <c r="M6" s="15" t="str">
        <f t="shared" si="1"/>
        <v>Cloudy</v>
      </c>
      <c r="N6" s="15">
        <v>0.2424</v>
      </c>
      <c r="O6" s="15">
        <v>0.75</v>
      </c>
      <c r="P6" s="15">
        <v>0.1343</v>
      </c>
      <c r="Q6" s="15">
        <v>5</v>
      </c>
      <c r="R6" s="15">
        <v>84</v>
      </c>
      <c r="S6" s="15">
        <v>89</v>
      </c>
    </row>
    <row r="7" spans="1:19" x14ac:dyDescent="0.35">
      <c r="A7" s="15">
        <v>615</v>
      </c>
      <c r="B7" s="16">
        <v>40571</v>
      </c>
      <c r="C7" s="15">
        <v>1</v>
      </c>
      <c r="D7" s="15">
        <v>0</v>
      </c>
      <c r="E7" s="15">
        <v>1</v>
      </c>
      <c r="F7" s="15">
        <v>20</v>
      </c>
      <c r="G7" s="15" t="str" cm="1">
        <f t="array" ref="G7">_xlfn.IFS(AND(F7&gt;=5,F7&lt;12),"Morning",AND(F7&gt;=12,F7&lt;17),"AfterNoon",AND(F7&gt;=17,F7&lt;20),"Evening",TRUE,"Night")</f>
        <v>Night</v>
      </c>
      <c r="H7" s="15" t="b">
        <v>0</v>
      </c>
      <c r="I7" s="15">
        <v>5</v>
      </c>
      <c r="J7" s="15" t="str" cm="1">
        <f t="array" ref="J7">_xlfn.IFS(I7=0,"Saturday",I7=1,"Sunday",I7=2,"Monday",I7=3,"Tuesday",I7=4,"Wednesday",I7=5,"Thusday",I7=6,"Friday")</f>
        <v>Thusday</v>
      </c>
      <c r="K7" s="15">
        <v>2</v>
      </c>
      <c r="L7" s="15">
        <v>0.24</v>
      </c>
      <c r="M7" s="15" t="str">
        <f t="shared" si="1"/>
        <v>Cloudy</v>
      </c>
      <c r="N7" s="15">
        <v>0.2273</v>
      </c>
      <c r="O7" s="15">
        <v>0.7</v>
      </c>
      <c r="P7" s="15">
        <v>0.19400000000000001</v>
      </c>
      <c r="Q7" s="15">
        <v>1</v>
      </c>
      <c r="R7" s="15">
        <v>61</v>
      </c>
      <c r="S7" s="15">
        <v>62</v>
      </c>
    </row>
    <row r="8" spans="1:19" x14ac:dyDescent="0.35">
      <c r="A8" s="15">
        <v>616</v>
      </c>
      <c r="B8" s="16">
        <v>40571</v>
      </c>
      <c r="C8" s="15">
        <v>1</v>
      </c>
      <c r="D8" s="15">
        <v>0</v>
      </c>
      <c r="E8" s="15">
        <v>1</v>
      </c>
      <c r="F8" s="15">
        <v>21</v>
      </c>
      <c r="G8" s="15" t="str" cm="1">
        <f t="array" ref="G8">_xlfn.IFS(AND(F8&gt;=5,F8&lt;12),"Morning",AND(F8&gt;=12,F8&lt;17),"AfterNoon",AND(F8&gt;=17,F8&lt;20),"Evening",TRUE,"Night")</f>
        <v>Night</v>
      </c>
      <c r="H8" s="15" t="b">
        <v>0</v>
      </c>
      <c r="I8" s="15">
        <v>5</v>
      </c>
      <c r="J8" s="15" t="str" cm="1">
        <f t="array" ref="J8">_xlfn.IFS(I8=0,"Saturday",I8=1,"Sunday",I8=2,"Monday",I8=3,"Tuesday",I8=4,"Wednesday",I8=5,"Thusday",I8=6,"Friday")</f>
        <v>Thusday</v>
      </c>
      <c r="K8" s="15">
        <v>2</v>
      </c>
      <c r="L8" s="15">
        <v>0.22</v>
      </c>
      <c r="M8" s="15" t="str">
        <f t="shared" si="1"/>
        <v>Cloudy</v>
      </c>
      <c r="N8" s="15">
        <v>0.2273</v>
      </c>
      <c r="O8" s="15">
        <v>0.75</v>
      </c>
      <c r="P8" s="15">
        <v>0.1343</v>
      </c>
      <c r="Q8" s="15">
        <v>1</v>
      </c>
      <c r="R8" s="15">
        <v>57</v>
      </c>
      <c r="S8" s="15">
        <v>58</v>
      </c>
    </row>
    <row r="9" spans="1:19" x14ac:dyDescent="0.35">
      <c r="A9" s="15">
        <v>617</v>
      </c>
      <c r="B9" s="16">
        <v>40571</v>
      </c>
      <c r="C9" s="15">
        <v>1</v>
      </c>
      <c r="D9" s="15">
        <v>0</v>
      </c>
      <c r="E9" s="15">
        <v>1</v>
      </c>
      <c r="F9" s="15">
        <v>22</v>
      </c>
      <c r="G9" s="15" t="str" cm="1">
        <f t="array" ref="G9">_xlfn.IFS(AND(F9&gt;=5,F9&lt;12),"Morning",AND(F9&gt;=12,F9&lt;17),"AfterNoon",AND(F9&gt;=17,F9&lt;20),"Evening",TRUE,"Night")</f>
        <v>Night</v>
      </c>
      <c r="H9" s="15" t="b">
        <v>0</v>
      </c>
      <c r="I9" s="15">
        <v>5</v>
      </c>
      <c r="J9" s="15" t="str" cm="1">
        <f t="array" ref="J9">_xlfn.IFS(I9=0,"Saturday",I9=1,"Sunday",I9=2,"Monday",I9=3,"Tuesday",I9=4,"Wednesday",I9=5,"Thusday",I9=6,"Friday")</f>
        <v>Thusday</v>
      </c>
      <c r="K9" s="15">
        <v>1</v>
      </c>
      <c r="L9" s="15">
        <v>0.24</v>
      </c>
      <c r="M9" s="15" t="str">
        <f t="shared" si="1"/>
        <v>Cloudy</v>
      </c>
      <c r="N9" s="15">
        <v>0.21210000000000001</v>
      </c>
      <c r="O9" s="15">
        <v>0.65</v>
      </c>
      <c r="P9" s="15">
        <v>0.35820000000000002</v>
      </c>
      <c r="Q9" s="15">
        <v>0</v>
      </c>
      <c r="R9" s="15">
        <v>26</v>
      </c>
      <c r="S9" s="15">
        <v>26</v>
      </c>
    </row>
    <row r="10" spans="1:19" x14ac:dyDescent="0.35">
      <c r="A10" s="15">
        <v>618</v>
      </c>
      <c r="B10" s="16">
        <v>40571</v>
      </c>
      <c r="C10" s="15">
        <v>1</v>
      </c>
      <c r="D10" s="15">
        <v>0</v>
      </c>
      <c r="E10" s="15">
        <v>1</v>
      </c>
      <c r="F10" s="15">
        <v>23</v>
      </c>
      <c r="G10" s="15" t="str" cm="1">
        <f t="array" ref="G10">_xlfn.IFS(AND(F10&gt;=5,F10&lt;12),"Morning",AND(F10&gt;=12,F10&lt;17),"AfterNoon",AND(F10&gt;=17,F10&lt;20),"Evening",TRUE,"Night")</f>
        <v>Night</v>
      </c>
      <c r="H10" s="15" t="b">
        <v>0</v>
      </c>
      <c r="I10" s="15">
        <v>5</v>
      </c>
      <c r="J10" s="15" t="str" cm="1">
        <f t="array" ref="J10">_xlfn.IFS(I10=0,"Saturday",I10=1,"Sunday",I10=2,"Monday",I10=3,"Tuesday",I10=4,"Wednesday",I10=5,"Thusday",I10=6,"Friday")</f>
        <v>Thusday</v>
      </c>
      <c r="K10" s="15">
        <v>1</v>
      </c>
      <c r="L10" s="15">
        <v>0.24</v>
      </c>
      <c r="M10" s="15" t="str">
        <f t="shared" si="1"/>
        <v>Cloudy</v>
      </c>
      <c r="N10" s="15">
        <v>0.2273</v>
      </c>
      <c r="O10" s="15">
        <v>0.6</v>
      </c>
      <c r="P10" s="15">
        <v>0.22389999999999999</v>
      </c>
      <c r="Q10" s="15">
        <v>1</v>
      </c>
      <c r="R10" s="15">
        <v>22</v>
      </c>
      <c r="S10" s="15">
        <v>23</v>
      </c>
    </row>
    <row r="11" spans="1:19" x14ac:dyDescent="0.35">
      <c r="A11" s="15">
        <v>619</v>
      </c>
      <c r="B11" s="16">
        <v>40572</v>
      </c>
      <c r="C11" s="15">
        <v>1</v>
      </c>
      <c r="D11" s="15">
        <v>0</v>
      </c>
      <c r="E11" s="15">
        <v>1</v>
      </c>
      <c r="F11" s="15">
        <v>0</v>
      </c>
      <c r="G11" s="15" t="str" cm="1">
        <f t="array" ref="G11">_xlfn.IFS(AND(F11&gt;=5,F11&lt;12),"Morning",AND(F11&gt;=12,F11&lt;17),"AfterNoon",AND(F11&gt;=17,F11&lt;20),"Evening",TRUE,"Night")</f>
        <v>Night</v>
      </c>
      <c r="H11" s="15" t="b">
        <v>0</v>
      </c>
      <c r="I11" s="15">
        <v>6</v>
      </c>
      <c r="J11" s="15" t="str" cm="1">
        <f t="array" ref="J11">_xlfn.IFS(I11=0,"Saturday",I11=1,"Sunday",I11=2,"Monday",I11=3,"Tuesday",I11=4,"Wednesday",I11=5,"Thusday",I11=6,"Friday")</f>
        <v>Friday</v>
      </c>
      <c r="K11" s="15">
        <v>1</v>
      </c>
      <c r="L11" s="15">
        <v>0.22</v>
      </c>
      <c r="M11" s="15" t="str">
        <f t="shared" si="1"/>
        <v>Cloudy</v>
      </c>
      <c r="N11" s="15">
        <v>0.19700000000000001</v>
      </c>
      <c r="O11" s="15">
        <v>0.64</v>
      </c>
      <c r="P11" s="15">
        <v>0.35820000000000002</v>
      </c>
      <c r="Q11" s="15">
        <v>2</v>
      </c>
      <c r="R11" s="15">
        <v>26</v>
      </c>
      <c r="S11" s="15">
        <v>28</v>
      </c>
    </row>
    <row r="12" spans="1:19" x14ac:dyDescent="0.35">
      <c r="A12" s="15">
        <v>620</v>
      </c>
      <c r="B12" s="16">
        <v>40572</v>
      </c>
      <c r="C12" s="15">
        <v>1</v>
      </c>
      <c r="D12" s="15">
        <v>0</v>
      </c>
      <c r="E12" s="15">
        <v>1</v>
      </c>
      <c r="F12" s="15">
        <v>1</v>
      </c>
      <c r="G12" s="15" t="str" cm="1">
        <f t="array" ref="G12">_xlfn.IFS(AND(F12&gt;=5,F12&lt;12),"Morning",AND(F12&gt;=12,F12&lt;17),"AfterNoon",AND(F12&gt;=17,F12&lt;20),"Evening",TRUE,"Night")</f>
        <v>Night</v>
      </c>
      <c r="H12" s="15" t="b">
        <v>0</v>
      </c>
      <c r="I12" s="15">
        <v>6</v>
      </c>
      <c r="J12" s="15" t="str" cm="1">
        <f t="array" ref="J12">_xlfn.IFS(I12=0,"Saturday",I12=1,"Sunday",I12=2,"Monday",I12=3,"Tuesday",I12=4,"Wednesday",I12=5,"Thusday",I12=6,"Friday")</f>
        <v>Friday</v>
      </c>
      <c r="K12" s="15">
        <v>1</v>
      </c>
      <c r="L12" s="15">
        <v>0.22</v>
      </c>
      <c r="M12" s="15" t="str">
        <f t="shared" si="1"/>
        <v>Cloudy</v>
      </c>
      <c r="N12" s="15">
        <v>0.2273</v>
      </c>
      <c r="O12" s="15">
        <v>0.64</v>
      </c>
      <c r="P12" s="15">
        <v>0.19400000000000001</v>
      </c>
      <c r="Q12" s="15">
        <v>0</v>
      </c>
      <c r="R12" s="15">
        <v>20</v>
      </c>
      <c r="S12" s="15">
        <v>20</v>
      </c>
    </row>
    <row r="13" spans="1:19" x14ac:dyDescent="0.35">
      <c r="A13" s="15">
        <v>621</v>
      </c>
      <c r="B13" s="16">
        <v>40572</v>
      </c>
      <c r="C13" s="15">
        <v>1</v>
      </c>
      <c r="D13" s="15">
        <v>0</v>
      </c>
      <c r="E13" s="15">
        <v>1</v>
      </c>
      <c r="F13" s="15">
        <v>2</v>
      </c>
      <c r="G13" s="15" t="str" cm="1">
        <f t="array" ref="G13">_xlfn.IFS(AND(F13&gt;=5,F13&lt;12),"Morning",AND(F13&gt;=12,F13&lt;17),"AfterNoon",AND(F13&gt;=17,F13&lt;20),"Evening",TRUE,"Night")</f>
        <v>Night</v>
      </c>
      <c r="H13" s="15" t="b">
        <v>0</v>
      </c>
      <c r="I13" s="15">
        <v>6</v>
      </c>
      <c r="J13" s="15" t="str" cm="1">
        <f t="array" ref="J13">_xlfn.IFS(I13=0,"Saturday",I13=1,"Sunday",I13=2,"Monday",I13=3,"Tuesday",I13=4,"Wednesday",I13=5,"Thusday",I13=6,"Friday")</f>
        <v>Friday</v>
      </c>
      <c r="K13" s="15">
        <v>1</v>
      </c>
      <c r="L13" s="15">
        <v>0.22</v>
      </c>
      <c r="M13" s="15" t="str">
        <f t="shared" si="1"/>
        <v>Cloudy</v>
      </c>
      <c r="N13" s="15">
        <v>0.2273</v>
      </c>
      <c r="O13" s="15">
        <v>0.64</v>
      </c>
      <c r="P13" s="15">
        <v>0.16420000000000001</v>
      </c>
      <c r="Q13" s="15">
        <v>0</v>
      </c>
      <c r="R13" s="15">
        <v>15</v>
      </c>
      <c r="S13" s="15">
        <v>15</v>
      </c>
    </row>
    <row r="14" spans="1:19" x14ac:dyDescent="0.35">
      <c r="A14" s="15">
        <v>622</v>
      </c>
      <c r="B14" s="16">
        <v>40572</v>
      </c>
      <c r="C14" s="15">
        <v>1</v>
      </c>
      <c r="D14" s="15">
        <v>0</v>
      </c>
      <c r="E14" s="15">
        <v>1</v>
      </c>
      <c r="F14" s="15">
        <v>3</v>
      </c>
      <c r="G14" s="15" t="str" cm="1">
        <f t="array" ref="G14">_xlfn.IFS(AND(F14&gt;=5,F14&lt;12),"Morning",AND(F14&gt;=12,F14&lt;17),"AfterNoon",AND(F14&gt;=17,F14&lt;20),"Evening",TRUE,"Night")</f>
        <v>Night</v>
      </c>
      <c r="H14" s="15" t="b">
        <v>0</v>
      </c>
      <c r="I14" s="15">
        <v>6</v>
      </c>
      <c r="J14" s="15" t="str" cm="1">
        <f t="array" ref="J14">_xlfn.IFS(I14=0,"Saturday",I14=1,"Sunday",I14=2,"Monday",I14=3,"Tuesday",I14=4,"Wednesday",I14=5,"Thusday",I14=6,"Friday")</f>
        <v>Friday</v>
      </c>
      <c r="K14" s="15">
        <v>1</v>
      </c>
      <c r="L14" s="15">
        <v>0.2</v>
      </c>
      <c r="M14" s="15" t="str">
        <f t="shared" si="1"/>
        <v>Rainy</v>
      </c>
      <c r="N14" s="15">
        <v>0.21210000000000001</v>
      </c>
      <c r="O14" s="15">
        <v>0.64</v>
      </c>
      <c r="P14" s="15">
        <v>0.1343</v>
      </c>
      <c r="Q14" s="15">
        <v>3</v>
      </c>
      <c r="R14" s="15">
        <v>5</v>
      </c>
      <c r="S14" s="15">
        <v>8</v>
      </c>
    </row>
    <row r="15" spans="1:19" x14ac:dyDescent="0.35">
      <c r="A15" s="15">
        <v>623</v>
      </c>
      <c r="B15" s="16">
        <v>40572</v>
      </c>
      <c r="C15" s="15">
        <v>1</v>
      </c>
      <c r="D15" s="15">
        <v>0</v>
      </c>
      <c r="E15" s="15">
        <v>1</v>
      </c>
      <c r="F15" s="15">
        <v>4</v>
      </c>
      <c r="G15" s="15" t="str" cm="1">
        <f t="array" ref="G15">_xlfn.IFS(AND(F15&gt;=5,F15&lt;12),"Morning",AND(F15&gt;=12,F15&lt;17),"AfterNoon",AND(F15&gt;=17,F15&lt;20),"Evening",TRUE,"Night")</f>
        <v>Night</v>
      </c>
      <c r="H15" s="15" t="b">
        <v>0</v>
      </c>
      <c r="I15" s="15">
        <v>6</v>
      </c>
      <c r="J15" s="15" t="str" cm="1">
        <f t="array" ref="J15">_xlfn.IFS(I15=0,"Saturday",I15=1,"Sunday",I15=2,"Monday",I15=3,"Tuesday",I15=4,"Wednesday",I15=5,"Thusday",I15=6,"Friday")</f>
        <v>Friday</v>
      </c>
      <c r="K15" s="15">
        <v>1</v>
      </c>
      <c r="L15" s="15">
        <v>0.16</v>
      </c>
      <c r="M15" s="15" t="str">
        <f t="shared" si="1"/>
        <v>Rainy</v>
      </c>
      <c r="N15" s="15">
        <v>0.18179999999999999</v>
      </c>
      <c r="O15" s="15">
        <v>0.69</v>
      </c>
      <c r="P15" s="15">
        <v>0.1045</v>
      </c>
      <c r="Q15" s="15">
        <v>1</v>
      </c>
      <c r="R15" s="15">
        <v>2</v>
      </c>
      <c r="S15" s="15">
        <v>3</v>
      </c>
    </row>
    <row r="16" spans="1:19" x14ac:dyDescent="0.35">
      <c r="A16" s="15">
        <v>624</v>
      </c>
      <c r="B16" s="16">
        <v>40572</v>
      </c>
      <c r="C16" s="15">
        <v>1</v>
      </c>
      <c r="D16" s="15">
        <v>0</v>
      </c>
      <c r="E16" s="15">
        <v>1</v>
      </c>
      <c r="F16" s="15">
        <v>6</v>
      </c>
      <c r="G16" s="15" t="str" cm="1">
        <f t="array" ref="G16">_xlfn.IFS(AND(F16&gt;=5,F16&lt;12),"Morning",AND(F16&gt;=12,F16&lt;17),"AfterNoon",AND(F16&gt;=17,F16&lt;20),"Evening",TRUE,"Night")</f>
        <v>Morning</v>
      </c>
      <c r="H16" s="15" t="b">
        <v>0</v>
      </c>
      <c r="I16" s="15">
        <v>6</v>
      </c>
      <c r="J16" s="15" t="str" cm="1">
        <f t="array" ref="J16">_xlfn.IFS(I16=0,"Saturday",I16=1,"Sunday",I16=2,"Monday",I16=3,"Tuesday",I16=4,"Wednesday",I16=5,"Thusday",I16=6,"Friday")</f>
        <v>Friday</v>
      </c>
      <c r="K16" s="15">
        <v>1</v>
      </c>
      <c r="L16" s="15">
        <v>0.16</v>
      </c>
      <c r="M16" s="15" t="str">
        <f t="shared" si="1"/>
        <v>Rainy</v>
      </c>
      <c r="N16" s="15">
        <v>0.18179999999999999</v>
      </c>
      <c r="O16" s="15">
        <v>0.64</v>
      </c>
      <c r="P16" s="15">
        <v>0.1343</v>
      </c>
      <c r="Q16" s="15">
        <v>0</v>
      </c>
      <c r="R16" s="15">
        <v>2</v>
      </c>
      <c r="S16" s="15">
        <v>2</v>
      </c>
    </row>
    <row r="17" spans="1:19" x14ac:dyDescent="0.35">
      <c r="A17" s="15">
        <v>625</v>
      </c>
      <c r="B17" s="16">
        <v>40572</v>
      </c>
      <c r="C17" s="15">
        <v>1</v>
      </c>
      <c r="D17" s="15">
        <v>0</v>
      </c>
      <c r="E17" s="15">
        <v>1</v>
      </c>
      <c r="F17" s="15">
        <v>7</v>
      </c>
      <c r="G17" s="15" t="str" cm="1">
        <f t="array" ref="G17">_xlfn.IFS(AND(F17&gt;=5,F17&lt;12),"Morning",AND(F17&gt;=12,F17&lt;17),"AfterNoon",AND(F17&gt;=17,F17&lt;20),"Evening",TRUE,"Night")</f>
        <v>Morning</v>
      </c>
      <c r="H17" s="15" t="b">
        <v>0</v>
      </c>
      <c r="I17" s="15">
        <v>6</v>
      </c>
      <c r="J17" s="15" t="str" cm="1">
        <f t="array" ref="J17">_xlfn.IFS(I17=0,"Saturday",I17=1,"Sunday",I17=2,"Monday",I17=3,"Tuesday",I17=4,"Wednesday",I17=5,"Thusday",I17=6,"Friday")</f>
        <v>Friday</v>
      </c>
      <c r="K17" s="15">
        <v>1</v>
      </c>
      <c r="L17" s="15">
        <v>0.16</v>
      </c>
      <c r="M17" s="15" t="str">
        <f t="shared" si="1"/>
        <v>Rainy</v>
      </c>
      <c r="N17" s="15">
        <v>0.18179999999999999</v>
      </c>
      <c r="O17" s="15">
        <v>0.59</v>
      </c>
      <c r="P17" s="15">
        <v>0.1045</v>
      </c>
      <c r="Q17" s="15">
        <v>1</v>
      </c>
      <c r="R17" s="15">
        <v>4</v>
      </c>
      <c r="S17" s="15">
        <v>5</v>
      </c>
    </row>
    <row r="18" spans="1:19" x14ac:dyDescent="0.35">
      <c r="A18" s="15">
        <v>626</v>
      </c>
      <c r="B18" s="16">
        <v>40572</v>
      </c>
      <c r="C18" s="15">
        <v>1</v>
      </c>
      <c r="D18" s="15">
        <v>0</v>
      </c>
      <c r="E18" s="15">
        <v>1</v>
      </c>
      <c r="F18" s="15">
        <v>8</v>
      </c>
      <c r="G18" s="15" t="str" cm="1">
        <f t="array" ref="G18">_xlfn.IFS(AND(F18&gt;=5,F18&lt;12),"Morning",AND(F18&gt;=12,F18&lt;17),"AfterNoon",AND(F18&gt;=17,F18&lt;20),"Evening",TRUE,"Night")</f>
        <v>Morning</v>
      </c>
      <c r="H18" s="15" t="b">
        <v>0</v>
      </c>
      <c r="I18" s="15">
        <v>6</v>
      </c>
      <c r="J18" s="15" t="str" cm="1">
        <f t="array" ref="J18">_xlfn.IFS(I18=0,"Saturday",I18=1,"Sunday",I18=2,"Monday",I18=3,"Tuesday",I18=4,"Wednesday",I18=5,"Thusday",I18=6,"Friday")</f>
        <v>Friday</v>
      </c>
      <c r="K18" s="15">
        <v>1</v>
      </c>
      <c r="L18" s="15">
        <v>0.18</v>
      </c>
      <c r="M18" s="15" t="str">
        <f t="shared" si="1"/>
        <v>Rainy</v>
      </c>
      <c r="N18" s="15">
        <v>0.19700000000000001</v>
      </c>
      <c r="O18" s="15">
        <v>0.55000000000000004</v>
      </c>
      <c r="P18" s="15">
        <v>0.16420000000000001</v>
      </c>
      <c r="Q18" s="15">
        <v>3</v>
      </c>
      <c r="R18" s="15">
        <v>31</v>
      </c>
      <c r="S18" s="15">
        <v>34</v>
      </c>
    </row>
    <row r="19" spans="1:19" x14ac:dyDescent="0.35">
      <c r="A19" s="15">
        <v>627</v>
      </c>
      <c r="B19" s="16">
        <v>40572</v>
      </c>
      <c r="C19" s="15">
        <v>1</v>
      </c>
      <c r="D19" s="15">
        <v>0</v>
      </c>
      <c r="E19" s="15">
        <v>1</v>
      </c>
      <c r="F19" s="15">
        <v>9</v>
      </c>
      <c r="G19" s="15" t="str" cm="1">
        <f t="array" ref="G19">_xlfn.IFS(AND(F19&gt;=5,F19&lt;12),"Morning",AND(F19&gt;=12,F19&lt;17),"AfterNoon",AND(F19&gt;=17,F19&lt;20),"Evening",TRUE,"Night")</f>
        <v>Morning</v>
      </c>
      <c r="H19" s="15" t="b">
        <v>0</v>
      </c>
      <c r="I19" s="15">
        <v>6</v>
      </c>
      <c r="J19" s="15" t="str" cm="1">
        <f t="array" ref="J19">_xlfn.IFS(I19=0,"Saturday",I19=1,"Sunday",I19=2,"Monday",I19=3,"Tuesday",I19=4,"Wednesday",I19=5,"Thusday",I19=6,"Friday")</f>
        <v>Friday</v>
      </c>
      <c r="K19" s="15">
        <v>1</v>
      </c>
      <c r="L19" s="15">
        <v>0.18</v>
      </c>
      <c r="M19" s="15" t="str">
        <f t="shared" si="1"/>
        <v>Rainy</v>
      </c>
      <c r="N19" s="15">
        <v>0.21210000000000001</v>
      </c>
      <c r="O19" s="15">
        <v>0.59</v>
      </c>
      <c r="P19" s="15">
        <v>8.9599999999999999E-2</v>
      </c>
      <c r="Q19" s="15">
        <v>0</v>
      </c>
      <c r="R19" s="15">
        <v>34</v>
      </c>
      <c r="S19" s="15">
        <v>34</v>
      </c>
    </row>
    <row r="20" spans="1:19" x14ac:dyDescent="0.35">
      <c r="A20" s="15">
        <v>628</v>
      </c>
      <c r="B20" s="16">
        <v>40572</v>
      </c>
      <c r="C20" s="15">
        <v>1</v>
      </c>
      <c r="D20" s="15">
        <v>0</v>
      </c>
      <c r="E20" s="15">
        <v>1</v>
      </c>
      <c r="F20" s="15">
        <v>10</v>
      </c>
      <c r="G20" s="15" t="str" cm="1">
        <f t="array" ref="G20">_xlfn.IFS(AND(F20&gt;=5,F20&lt;12),"Morning",AND(F20&gt;=12,F20&lt;17),"AfterNoon",AND(F20&gt;=17,F20&lt;20),"Evening",TRUE,"Night")</f>
        <v>Morning</v>
      </c>
      <c r="H20" s="15" t="b">
        <v>0</v>
      </c>
      <c r="I20" s="15">
        <v>6</v>
      </c>
      <c r="J20" s="15" t="str" cm="1">
        <f t="array" ref="J20">_xlfn.IFS(I20=0,"Saturday",I20=1,"Sunday",I20=2,"Monday",I20=3,"Tuesday",I20=4,"Wednesday",I20=5,"Thusday",I20=6,"Friday")</f>
        <v>Friday</v>
      </c>
      <c r="K20" s="15">
        <v>2</v>
      </c>
      <c r="L20" s="15">
        <v>0.18</v>
      </c>
      <c r="M20" s="15" t="str">
        <f t="shared" si="1"/>
        <v>Rainy</v>
      </c>
      <c r="N20" s="15">
        <v>0.21210000000000001</v>
      </c>
      <c r="O20" s="15">
        <v>0.64</v>
      </c>
      <c r="P20" s="15">
        <v>0.1045</v>
      </c>
      <c r="Q20" s="15">
        <v>4</v>
      </c>
      <c r="R20" s="15">
        <v>51</v>
      </c>
      <c r="S20" s="15">
        <v>55</v>
      </c>
    </row>
    <row r="21" spans="1:19" x14ac:dyDescent="0.35">
      <c r="A21" s="15">
        <v>629</v>
      </c>
      <c r="B21" s="16">
        <v>40572</v>
      </c>
      <c r="C21" s="15">
        <v>1</v>
      </c>
      <c r="D21" s="15">
        <v>0</v>
      </c>
      <c r="E21" s="15">
        <v>1</v>
      </c>
      <c r="F21" s="15">
        <v>11</v>
      </c>
      <c r="G21" s="15" t="str" cm="1">
        <f t="array" ref="G21">_xlfn.IFS(AND(F21&gt;=5,F21&lt;12),"Morning",AND(F21&gt;=12,F21&lt;17),"AfterNoon",AND(F21&gt;=17,F21&lt;20),"Evening",TRUE,"Night")</f>
        <v>Morning</v>
      </c>
      <c r="H21" s="15" t="b">
        <v>0</v>
      </c>
      <c r="I21" s="15">
        <v>6</v>
      </c>
      <c r="J21" s="15" t="str" cm="1">
        <f t="array" ref="J21">_xlfn.IFS(I21=0,"Saturday",I21=1,"Sunday",I21=2,"Monday",I21=3,"Tuesday",I21=4,"Wednesday",I21=5,"Thusday",I21=6,"Friday")</f>
        <v>Friday</v>
      </c>
      <c r="K21" s="15">
        <v>2</v>
      </c>
      <c r="L21" s="15">
        <v>0.18</v>
      </c>
      <c r="M21" s="15" t="str">
        <f t="shared" si="1"/>
        <v>Rainy</v>
      </c>
      <c r="N21" s="15">
        <v>0.19700000000000001</v>
      </c>
      <c r="O21" s="15">
        <v>0.64</v>
      </c>
      <c r="P21" s="15">
        <v>0.1343</v>
      </c>
      <c r="Q21" s="15">
        <v>4</v>
      </c>
      <c r="R21" s="15">
        <v>60</v>
      </c>
      <c r="S21" s="15">
        <v>64</v>
      </c>
    </row>
    <row r="22" spans="1:19" x14ac:dyDescent="0.35">
      <c r="A22" s="15">
        <v>630</v>
      </c>
      <c r="B22" s="16">
        <v>40572</v>
      </c>
      <c r="C22" s="15">
        <v>1</v>
      </c>
      <c r="D22" s="15">
        <v>0</v>
      </c>
      <c r="E22" s="15">
        <v>1</v>
      </c>
      <c r="F22" s="15">
        <v>12</v>
      </c>
      <c r="G22" s="15" t="str" cm="1">
        <f t="array" ref="G22">_xlfn.IFS(AND(F22&gt;=5,F22&lt;12),"Morning",AND(F22&gt;=12,F22&lt;17),"AfterNoon",AND(F22&gt;=17,F22&lt;20),"Evening",TRUE,"Night")</f>
        <v>AfterNoon</v>
      </c>
      <c r="H22" s="15" t="b">
        <v>0</v>
      </c>
      <c r="I22" s="15">
        <v>6</v>
      </c>
      <c r="J22" s="15" t="str" cm="1">
        <f t="array" ref="J22">_xlfn.IFS(I22=0,"Saturday",I22=1,"Sunday",I22=2,"Monday",I22=3,"Tuesday",I22=4,"Wednesday",I22=5,"Thusday",I22=6,"Friday")</f>
        <v>Friday</v>
      </c>
      <c r="K22" s="15">
        <v>2</v>
      </c>
      <c r="L22" s="15">
        <v>0.2</v>
      </c>
      <c r="M22" s="15" t="str">
        <f t="shared" si="1"/>
        <v>Rainy</v>
      </c>
      <c r="N22" s="15">
        <v>0.19700000000000001</v>
      </c>
      <c r="O22" s="15">
        <v>0.59</v>
      </c>
      <c r="P22" s="15">
        <v>0.19400000000000001</v>
      </c>
      <c r="Q22" s="15">
        <v>12</v>
      </c>
      <c r="R22" s="15">
        <v>66</v>
      </c>
      <c r="S22" s="15">
        <v>78</v>
      </c>
    </row>
    <row r="23" spans="1:19" x14ac:dyDescent="0.35">
      <c r="A23" s="15">
        <v>631</v>
      </c>
      <c r="B23" s="16">
        <v>40572</v>
      </c>
      <c r="C23" s="15">
        <v>1</v>
      </c>
      <c r="D23" s="15">
        <v>0</v>
      </c>
      <c r="E23" s="15">
        <v>1</v>
      </c>
      <c r="F23" s="15">
        <v>13</v>
      </c>
      <c r="G23" s="15" t="str" cm="1">
        <f t="array" ref="G23">_xlfn.IFS(AND(F23&gt;=5,F23&lt;12),"Morning",AND(F23&gt;=12,F23&lt;17),"AfterNoon",AND(F23&gt;=17,F23&lt;20),"Evening",TRUE,"Night")</f>
        <v>AfterNoon</v>
      </c>
      <c r="H23" s="15" t="b">
        <v>0</v>
      </c>
      <c r="I23" s="15">
        <v>6</v>
      </c>
      <c r="J23" s="15" t="str" cm="1">
        <f t="array" ref="J23">_xlfn.IFS(I23=0,"Saturday",I23=1,"Sunday",I23=2,"Monday",I23=3,"Tuesday",I23=4,"Wednesday",I23=5,"Thusday",I23=6,"Friday")</f>
        <v>Friday</v>
      </c>
      <c r="K23" s="15">
        <v>2</v>
      </c>
      <c r="L23" s="15">
        <v>0.22</v>
      </c>
      <c r="M23" s="15" t="str">
        <f t="shared" si="1"/>
        <v>Cloudy</v>
      </c>
      <c r="N23" s="15">
        <v>0.2273</v>
      </c>
      <c r="O23" s="15">
        <v>0.55000000000000004</v>
      </c>
      <c r="P23" s="15">
        <v>0.16420000000000001</v>
      </c>
      <c r="Q23" s="15">
        <v>9</v>
      </c>
      <c r="R23" s="15">
        <v>56</v>
      </c>
      <c r="S23" s="15">
        <v>65</v>
      </c>
    </row>
    <row r="24" spans="1:19" x14ac:dyDescent="0.35">
      <c r="A24" s="15">
        <v>632</v>
      </c>
      <c r="B24" s="16">
        <v>40572</v>
      </c>
      <c r="C24" s="15">
        <v>1</v>
      </c>
      <c r="D24" s="15">
        <v>0</v>
      </c>
      <c r="E24" s="15">
        <v>1</v>
      </c>
      <c r="F24" s="15">
        <v>14</v>
      </c>
      <c r="G24" s="15" t="str" cm="1">
        <f t="array" ref="G24">_xlfn.IFS(AND(F24&gt;=5,F24&lt;12),"Morning",AND(F24&gt;=12,F24&lt;17),"AfterNoon",AND(F24&gt;=17,F24&lt;20),"Evening",TRUE,"Night")</f>
        <v>AfterNoon</v>
      </c>
      <c r="H24" s="15" t="b">
        <v>0</v>
      </c>
      <c r="I24" s="15">
        <v>6</v>
      </c>
      <c r="J24" s="15" t="str" cm="1">
        <f t="array" ref="J24">_xlfn.IFS(I24=0,"Saturday",I24=1,"Sunday",I24=2,"Monday",I24=3,"Tuesday",I24=4,"Wednesday",I24=5,"Thusday",I24=6,"Friday")</f>
        <v>Friday</v>
      </c>
      <c r="K24" s="15">
        <v>2</v>
      </c>
      <c r="L24" s="15">
        <v>0.22</v>
      </c>
      <c r="M24" s="15" t="str">
        <f t="shared" si="1"/>
        <v>Cloudy</v>
      </c>
      <c r="N24" s="15">
        <v>0.2273</v>
      </c>
      <c r="O24" s="15">
        <v>0.6</v>
      </c>
      <c r="P24" s="15">
        <v>0.1343</v>
      </c>
      <c r="Q24" s="15">
        <v>10</v>
      </c>
      <c r="R24" s="15">
        <v>89</v>
      </c>
      <c r="S24" s="15">
        <v>99</v>
      </c>
    </row>
    <row r="25" spans="1:19" x14ac:dyDescent="0.35">
      <c r="A25" s="15">
        <v>633</v>
      </c>
      <c r="B25" s="16">
        <v>40572</v>
      </c>
      <c r="C25" s="15">
        <v>1</v>
      </c>
      <c r="D25" s="15">
        <v>0</v>
      </c>
      <c r="E25" s="15">
        <v>1</v>
      </c>
      <c r="F25" s="15">
        <v>15</v>
      </c>
      <c r="G25" s="15" t="str" cm="1">
        <f t="array" ref="G25">_xlfn.IFS(AND(F25&gt;=5,F25&lt;12),"Morning",AND(F25&gt;=12,F25&lt;17),"AfterNoon",AND(F25&gt;=17,F25&lt;20),"Evening",TRUE,"Night")</f>
        <v>AfterNoon</v>
      </c>
      <c r="H25" s="15" t="b">
        <v>0</v>
      </c>
      <c r="I25" s="15">
        <v>6</v>
      </c>
      <c r="J25" s="15" t="str" cm="1">
        <f t="array" ref="J25">_xlfn.IFS(I25=0,"Saturday",I25=1,"Sunday",I25=2,"Monday",I25=3,"Tuesday",I25=4,"Wednesday",I25=5,"Thusday",I25=6,"Friday")</f>
        <v>Friday</v>
      </c>
      <c r="K25" s="15">
        <v>1</v>
      </c>
      <c r="L25" s="15">
        <v>0.22</v>
      </c>
      <c r="M25" s="15" t="str">
        <f t="shared" si="1"/>
        <v>Cloudy</v>
      </c>
      <c r="N25" s="15">
        <v>0.21210000000000001</v>
      </c>
      <c r="O25" s="15">
        <v>0.69</v>
      </c>
      <c r="P25" s="15">
        <v>0.25369999999999998</v>
      </c>
      <c r="Q25" s="15">
        <v>22</v>
      </c>
      <c r="R25" s="15">
        <v>98</v>
      </c>
      <c r="S25" s="15">
        <v>120</v>
      </c>
    </row>
    <row r="26" spans="1:19" x14ac:dyDescent="0.35">
      <c r="A26" s="15">
        <v>634</v>
      </c>
      <c r="B26" s="16">
        <v>40572</v>
      </c>
      <c r="C26" s="15">
        <v>1</v>
      </c>
      <c r="D26" s="15">
        <v>0</v>
      </c>
      <c r="E26" s="15">
        <v>1</v>
      </c>
      <c r="F26" s="15">
        <v>16</v>
      </c>
      <c r="G26" s="15" t="str" cm="1">
        <f t="array" ref="G26">_xlfn.IFS(AND(F26&gt;=5,F26&lt;12),"Morning",AND(F26&gt;=12,F26&lt;17),"AfterNoon",AND(F26&gt;=17,F26&lt;20),"Evening",TRUE,"Night")</f>
        <v>AfterNoon</v>
      </c>
      <c r="H26" s="15" t="b">
        <v>0</v>
      </c>
      <c r="I26" s="15">
        <v>6</v>
      </c>
      <c r="J26" s="15" t="str" cm="1">
        <f t="array" ref="J26">_xlfn.IFS(I26=0,"Saturday",I26=1,"Sunday",I26=2,"Monday",I26=3,"Tuesday",I26=4,"Wednesday",I26=5,"Thusday",I26=6,"Friday")</f>
        <v>Friday</v>
      </c>
      <c r="K26" s="15">
        <v>1</v>
      </c>
      <c r="L26" s="15">
        <v>0.24</v>
      </c>
      <c r="M26" s="15" t="str">
        <f t="shared" si="1"/>
        <v>Cloudy</v>
      </c>
      <c r="N26" s="15">
        <v>0.2424</v>
      </c>
      <c r="O26" s="15">
        <v>0.6</v>
      </c>
      <c r="P26" s="15">
        <v>0.16420000000000001</v>
      </c>
      <c r="Q26" s="15">
        <v>19</v>
      </c>
      <c r="R26" s="15">
        <v>88</v>
      </c>
      <c r="S26" s="15">
        <v>107</v>
      </c>
    </row>
    <row r="27" spans="1:19" x14ac:dyDescent="0.35">
      <c r="A27" s="15">
        <v>635</v>
      </c>
      <c r="B27" s="16">
        <v>40572</v>
      </c>
      <c r="C27" s="15">
        <v>1</v>
      </c>
      <c r="D27" s="15">
        <v>0</v>
      </c>
      <c r="E27" s="15">
        <v>1</v>
      </c>
      <c r="F27" s="15">
        <v>17</v>
      </c>
      <c r="G27" s="15" t="str" cm="1">
        <f t="array" ref="G27">_xlfn.IFS(AND(F27&gt;=5,F27&lt;12),"Morning",AND(F27&gt;=12,F27&lt;17),"AfterNoon",AND(F27&gt;=17,F27&lt;20),"Evening",TRUE,"Night")</f>
        <v>Evening</v>
      </c>
      <c r="H27" s="15" t="b">
        <v>0</v>
      </c>
      <c r="I27" s="15">
        <v>6</v>
      </c>
      <c r="J27" s="15" t="str" cm="1">
        <f t="array" ref="J27">_xlfn.IFS(I27=0,"Saturday",I27=1,"Sunday",I27=2,"Monday",I27=3,"Tuesday",I27=4,"Wednesday",I27=5,"Thusday",I27=6,"Friday")</f>
        <v>Friday</v>
      </c>
      <c r="K27" s="15">
        <v>1</v>
      </c>
      <c r="L27" s="15">
        <v>0.24</v>
      </c>
      <c r="M27" s="15" t="str">
        <f t="shared" si="1"/>
        <v>Cloudy</v>
      </c>
      <c r="N27" s="15">
        <v>0.28789999999999999</v>
      </c>
      <c r="O27" s="15">
        <v>0.6</v>
      </c>
      <c r="P27" s="15">
        <v>0</v>
      </c>
      <c r="Q27" s="15">
        <v>9</v>
      </c>
      <c r="R27" s="15">
        <v>82</v>
      </c>
      <c r="S27" s="15">
        <v>91</v>
      </c>
    </row>
    <row r="28" spans="1:19" x14ac:dyDescent="0.35">
      <c r="A28" s="15">
        <v>636</v>
      </c>
      <c r="B28" s="16">
        <v>40572</v>
      </c>
      <c r="C28" s="15">
        <v>1</v>
      </c>
      <c r="D28" s="15">
        <v>0</v>
      </c>
      <c r="E28" s="15">
        <v>1</v>
      </c>
      <c r="F28" s="15">
        <v>18</v>
      </c>
      <c r="G28" s="15" t="str" cm="1">
        <f t="array" ref="G28">_xlfn.IFS(AND(F28&gt;=5,F28&lt;12),"Morning",AND(F28&gt;=12,F28&lt;17),"AfterNoon",AND(F28&gt;=17,F28&lt;20),"Evening",TRUE,"Night")</f>
        <v>Evening</v>
      </c>
      <c r="H28" s="15" t="b">
        <v>0</v>
      </c>
      <c r="I28" s="15">
        <v>6</v>
      </c>
      <c r="J28" s="15" t="str" cm="1">
        <f t="array" ref="J28">_xlfn.IFS(I28=0,"Saturday",I28=1,"Sunday",I28=2,"Monday",I28=3,"Tuesday",I28=4,"Wednesday",I28=5,"Thusday",I28=6,"Friday")</f>
        <v>Friday</v>
      </c>
      <c r="K28" s="15">
        <v>1</v>
      </c>
      <c r="L28" s="15">
        <v>0.22</v>
      </c>
      <c r="M28" s="15" t="str">
        <f t="shared" si="1"/>
        <v>Cloudy</v>
      </c>
      <c r="N28" s="15">
        <v>0.2273</v>
      </c>
      <c r="O28" s="15">
        <v>0.69</v>
      </c>
      <c r="P28" s="15">
        <v>0.1343</v>
      </c>
      <c r="Q28" s="15">
        <v>9</v>
      </c>
      <c r="R28" s="15">
        <v>59</v>
      </c>
      <c r="S28" s="15">
        <v>68</v>
      </c>
    </row>
    <row r="29" spans="1:19" x14ac:dyDescent="0.35">
      <c r="A29" s="15">
        <v>637</v>
      </c>
      <c r="B29" s="16">
        <v>40572</v>
      </c>
      <c r="C29" s="15">
        <v>1</v>
      </c>
      <c r="D29" s="15">
        <v>0</v>
      </c>
      <c r="E29" s="15">
        <v>1</v>
      </c>
      <c r="F29" s="15">
        <v>19</v>
      </c>
      <c r="G29" s="15" t="str" cm="1">
        <f t="array" ref="G29">_xlfn.IFS(AND(F29&gt;=5,F29&lt;12),"Morning",AND(F29&gt;=12,F29&lt;17),"AfterNoon",AND(F29&gt;=17,F29&lt;20),"Evening",TRUE,"Night")</f>
        <v>Evening</v>
      </c>
      <c r="H29" s="15" t="b">
        <v>0</v>
      </c>
      <c r="I29" s="15">
        <v>6</v>
      </c>
      <c r="J29" s="15" t="str" cm="1">
        <f t="array" ref="J29">_xlfn.IFS(I29=0,"Saturday",I29=1,"Sunday",I29=2,"Monday",I29=3,"Tuesday",I29=4,"Wednesday",I29=5,"Thusday",I29=6,"Friday")</f>
        <v>Friday</v>
      </c>
      <c r="K29" s="15">
        <v>2</v>
      </c>
      <c r="L29" s="15">
        <v>0.22</v>
      </c>
      <c r="M29" s="15" t="str">
        <f t="shared" si="1"/>
        <v>Cloudy</v>
      </c>
      <c r="N29" s="15">
        <v>0.21210000000000001</v>
      </c>
      <c r="O29" s="15">
        <v>0.69</v>
      </c>
      <c r="P29" s="15">
        <v>0.25369999999999998</v>
      </c>
      <c r="Q29" s="15">
        <v>6</v>
      </c>
      <c r="R29" s="15">
        <v>52</v>
      </c>
      <c r="S29" s="15">
        <v>58</v>
      </c>
    </row>
    <row r="30" spans="1:19" x14ac:dyDescent="0.35">
      <c r="A30" s="15">
        <v>638</v>
      </c>
      <c r="B30" s="16">
        <v>40572</v>
      </c>
      <c r="C30" s="15">
        <v>1</v>
      </c>
      <c r="D30" s="15">
        <v>0</v>
      </c>
      <c r="E30" s="15">
        <v>1</v>
      </c>
      <c r="F30" s="15">
        <v>20</v>
      </c>
      <c r="G30" s="15" t="str" cm="1">
        <f t="array" ref="G30">_xlfn.IFS(AND(F30&gt;=5,F30&lt;12),"Morning",AND(F30&gt;=12,F30&lt;17),"AfterNoon",AND(F30&gt;=17,F30&lt;20),"Evening",TRUE,"Night")</f>
        <v>Night</v>
      </c>
      <c r="H30" s="15" t="b">
        <v>0</v>
      </c>
      <c r="I30" s="15">
        <v>6</v>
      </c>
      <c r="J30" s="15" t="str" cm="1">
        <f t="array" ref="J30">_xlfn.IFS(I30=0,"Saturday",I30=1,"Sunday",I30=2,"Monday",I30=3,"Tuesday",I30=4,"Wednesday",I30=5,"Thusday",I30=6,"Friday")</f>
        <v>Friday</v>
      </c>
      <c r="K30" s="15">
        <v>1</v>
      </c>
      <c r="L30" s="15">
        <v>0.18</v>
      </c>
      <c r="M30" s="15" t="str">
        <f t="shared" si="1"/>
        <v>Rainy</v>
      </c>
      <c r="N30" s="15">
        <v>0.21210000000000001</v>
      </c>
      <c r="O30" s="15">
        <v>0.74</v>
      </c>
      <c r="P30" s="15">
        <v>8.9599999999999999E-2</v>
      </c>
      <c r="Q30" s="15">
        <v>1</v>
      </c>
      <c r="R30" s="15">
        <v>42</v>
      </c>
      <c r="S30" s="15">
        <v>43</v>
      </c>
    </row>
    <row r="31" spans="1:19" x14ac:dyDescent="0.35">
      <c r="A31" s="15">
        <v>639</v>
      </c>
      <c r="B31" s="16">
        <v>40572</v>
      </c>
      <c r="C31" s="15">
        <v>1</v>
      </c>
      <c r="D31" s="15">
        <v>0</v>
      </c>
      <c r="E31" s="15">
        <v>1</v>
      </c>
      <c r="F31" s="15">
        <v>21</v>
      </c>
      <c r="G31" s="15" t="str" cm="1">
        <f t="array" ref="G31">_xlfn.IFS(AND(F31&gt;=5,F31&lt;12),"Morning",AND(F31&gt;=12,F31&lt;17),"AfterNoon",AND(F31&gt;=17,F31&lt;20),"Evening",TRUE,"Night")</f>
        <v>Night</v>
      </c>
      <c r="H31" s="15" t="b">
        <v>0</v>
      </c>
      <c r="I31" s="15">
        <v>6</v>
      </c>
      <c r="J31" s="15" t="str" cm="1">
        <f t="array" ref="J31">_xlfn.IFS(I31=0,"Saturday",I31=1,"Sunday",I31=2,"Monday",I31=3,"Tuesday",I31=4,"Wednesday",I31=5,"Thusday",I31=6,"Friday")</f>
        <v>Friday</v>
      </c>
      <c r="K31" s="15">
        <v>1</v>
      </c>
      <c r="L31" s="15">
        <v>0.18</v>
      </c>
      <c r="M31" s="15" t="str">
        <f t="shared" si="1"/>
        <v>Rainy</v>
      </c>
      <c r="N31" s="15">
        <v>0.21210000000000001</v>
      </c>
      <c r="O31" s="15">
        <v>0.74</v>
      </c>
      <c r="P31" s="15">
        <v>8.9599999999999999E-2</v>
      </c>
      <c r="Q31" s="15">
        <v>1</v>
      </c>
      <c r="R31" s="15">
        <v>35</v>
      </c>
      <c r="S31" s="15">
        <v>36</v>
      </c>
    </row>
    <row r="32" spans="1:19" x14ac:dyDescent="0.35">
      <c r="A32" s="15">
        <v>640</v>
      </c>
      <c r="B32" s="16">
        <v>40572</v>
      </c>
      <c r="C32" s="15">
        <v>1</v>
      </c>
      <c r="D32" s="15">
        <v>0</v>
      </c>
      <c r="E32" s="15">
        <v>1</v>
      </c>
      <c r="F32" s="15">
        <v>22</v>
      </c>
      <c r="G32" s="15" t="str" cm="1">
        <f t="array" ref="G32">_xlfn.IFS(AND(F32&gt;=5,F32&lt;12),"Morning",AND(F32&gt;=12,F32&lt;17),"AfterNoon",AND(F32&gt;=17,F32&lt;20),"Evening",TRUE,"Night")</f>
        <v>Night</v>
      </c>
      <c r="H32" s="15" t="b">
        <v>0</v>
      </c>
      <c r="I32" s="15">
        <v>6</v>
      </c>
      <c r="J32" s="15" t="str" cm="1">
        <f t="array" ref="J32">_xlfn.IFS(I32=0,"Saturday",I32=1,"Sunday",I32=2,"Monday",I32=3,"Tuesday",I32=4,"Wednesday",I32=5,"Thusday",I32=6,"Friday")</f>
        <v>Friday</v>
      </c>
      <c r="K32" s="15">
        <v>1</v>
      </c>
      <c r="L32" s="15">
        <v>0.16</v>
      </c>
      <c r="M32" s="15" t="str">
        <f t="shared" si="1"/>
        <v>Rainy</v>
      </c>
      <c r="N32" s="15">
        <v>0.19700000000000001</v>
      </c>
      <c r="O32" s="15">
        <v>0.8</v>
      </c>
      <c r="P32" s="15">
        <v>8.9599999999999999E-2</v>
      </c>
      <c r="Q32" s="15">
        <v>4</v>
      </c>
      <c r="R32" s="15">
        <v>28</v>
      </c>
      <c r="S32" s="15">
        <v>32</v>
      </c>
    </row>
    <row r="33" spans="1:19" x14ac:dyDescent="0.35">
      <c r="A33" s="15">
        <v>641</v>
      </c>
      <c r="B33" s="16">
        <v>40572</v>
      </c>
      <c r="C33" s="15">
        <v>1</v>
      </c>
      <c r="D33" s="15">
        <v>0</v>
      </c>
      <c r="E33" s="15">
        <v>1</v>
      </c>
      <c r="F33" s="15">
        <v>23</v>
      </c>
      <c r="G33" s="15" t="str" cm="1">
        <f t="array" ref="G33">_xlfn.IFS(AND(F33&gt;=5,F33&lt;12),"Morning",AND(F33&gt;=12,F33&lt;17),"AfterNoon",AND(F33&gt;=17,F33&lt;20),"Evening",TRUE,"Night")</f>
        <v>Night</v>
      </c>
      <c r="H33" s="15" t="b">
        <v>0</v>
      </c>
      <c r="I33" s="15">
        <v>6</v>
      </c>
      <c r="J33" s="15" t="str" cm="1">
        <f t="array" ref="J33">_xlfn.IFS(I33=0,"Saturday",I33=1,"Sunday",I33=2,"Monday",I33=3,"Tuesday",I33=4,"Wednesday",I33=5,"Thusday",I33=6,"Friday")</f>
        <v>Friday</v>
      </c>
      <c r="K33" s="15">
        <v>1</v>
      </c>
      <c r="L33" s="15">
        <v>0.16</v>
      </c>
      <c r="M33" s="15" t="str">
        <f t="shared" si="1"/>
        <v>Rainy</v>
      </c>
      <c r="N33" s="15">
        <v>0.19700000000000001</v>
      </c>
      <c r="O33" s="15">
        <v>0.8</v>
      </c>
      <c r="P33" s="15">
        <v>8.9599999999999999E-2</v>
      </c>
      <c r="Q33" s="15">
        <v>3</v>
      </c>
      <c r="R33" s="15">
        <v>30</v>
      </c>
      <c r="S33" s="15">
        <v>33</v>
      </c>
    </row>
    <row r="34" spans="1:19" x14ac:dyDescent="0.35">
      <c r="A34" s="15">
        <v>642</v>
      </c>
      <c r="B34" s="16">
        <v>40573</v>
      </c>
      <c r="C34" s="15">
        <v>1</v>
      </c>
      <c r="D34" s="15">
        <v>0</v>
      </c>
      <c r="E34" s="15">
        <v>1</v>
      </c>
      <c r="F34" s="15">
        <v>0</v>
      </c>
      <c r="G34" s="15" t="str" cm="1">
        <f t="array" ref="G34">_xlfn.IFS(AND(F34&gt;=5,F34&lt;12),"Morning",AND(F34&gt;=12,F34&lt;17),"AfterNoon",AND(F34&gt;=17,F34&lt;20),"Evening",TRUE,"Night")</f>
        <v>Night</v>
      </c>
      <c r="H34" s="15" t="b">
        <v>0</v>
      </c>
      <c r="I34" s="15">
        <v>0</v>
      </c>
      <c r="J34" s="15" t="str" cm="1">
        <f t="array" ref="J34">_xlfn.IFS(I34=0,"Saturday",I34=1,"Sunday",I34=2,"Monday",I34=3,"Tuesday",I34=4,"Wednesday",I34=5,"Thusday",I34=6,"Friday")</f>
        <v>Saturday</v>
      </c>
      <c r="K34" s="15">
        <v>1</v>
      </c>
      <c r="L34" s="15">
        <v>0.16</v>
      </c>
      <c r="M34" s="15" t="str">
        <f t="shared" si="1"/>
        <v>Rainy</v>
      </c>
      <c r="N34" s="15">
        <v>0.18179999999999999</v>
      </c>
      <c r="O34" s="15">
        <v>0.8</v>
      </c>
      <c r="P34" s="15">
        <v>0.1045</v>
      </c>
      <c r="Q34" s="15">
        <v>0</v>
      </c>
      <c r="R34" s="15">
        <v>33</v>
      </c>
      <c r="S34" s="15">
        <v>33</v>
      </c>
    </row>
    <row r="35" spans="1:19" x14ac:dyDescent="0.35">
      <c r="A35" s="15">
        <v>643</v>
      </c>
      <c r="B35" s="16">
        <v>40573</v>
      </c>
      <c r="C35" s="15">
        <v>1</v>
      </c>
      <c r="D35" s="15">
        <v>0</v>
      </c>
      <c r="E35" s="15">
        <v>1</v>
      </c>
      <c r="F35" s="15">
        <v>1</v>
      </c>
      <c r="G35" s="15" t="str" cm="1">
        <f t="array" ref="G35">_xlfn.IFS(AND(F35&gt;=5,F35&lt;12),"Morning",AND(F35&gt;=12,F35&lt;17),"AfterNoon",AND(F35&gt;=17,F35&lt;20),"Evening",TRUE,"Night")</f>
        <v>Night</v>
      </c>
      <c r="H35" s="15" t="b">
        <v>0</v>
      </c>
      <c r="I35" s="15">
        <v>0</v>
      </c>
      <c r="J35" s="15" t="str" cm="1">
        <f t="array" ref="J35">_xlfn.IFS(I35=0,"Saturday",I35=1,"Sunday",I35=2,"Monday",I35=3,"Tuesday",I35=4,"Wednesday",I35=5,"Thusday",I35=6,"Friday")</f>
        <v>Saturday</v>
      </c>
      <c r="K35" s="15">
        <v>1</v>
      </c>
      <c r="L35" s="15">
        <v>0.14000000000000001</v>
      </c>
      <c r="M35" s="15" t="str">
        <f t="shared" si="1"/>
        <v>Rainy</v>
      </c>
      <c r="N35" s="15">
        <v>0.21210000000000001</v>
      </c>
      <c r="O35" s="15">
        <v>0.8</v>
      </c>
      <c r="P35" s="15">
        <v>0</v>
      </c>
      <c r="Q35" s="15">
        <v>7</v>
      </c>
      <c r="R35" s="15">
        <v>22</v>
      </c>
      <c r="S35" s="15">
        <v>29</v>
      </c>
    </row>
    <row r="36" spans="1:19" x14ac:dyDescent="0.35">
      <c r="A36" s="15">
        <v>644</v>
      </c>
      <c r="B36" s="16">
        <v>40573</v>
      </c>
      <c r="C36" s="15">
        <v>1</v>
      </c>
      <c r="D36" s="15">
        <v>0</v>
      </c>
      <c r="E36" s="15">
        <v>1</v>
      </c>
      <c r="F36" s="15">
        <v>2</v>
      </c>
      <c r="G36" s="15" t="str" cm="1">
        <f t="array" ref="G36">_xlfn.IFS(AND(F36&gt;=5,F36&lt;12),"Morning",AND(F36&gt;=12,F36&lt;17),"AfterNoon",AND(F36&gt;=17,F36&lt;20),"Evening",TRUE,"Night")</f>
        <v>Night</v>
      </c>
      <c r="H36" s="15" t="b">
        <v>0</v>
      </c>
      <c r="I36" s="15">
        <v>0</v>
      </c>
      <c r="J36" s="15" t="str" cm="1">
        <f t="array" ref="J36">_xlfn.IFS(I36=0,"Saturday",I36=1,"Sunday",I36=2,"Monday",I36=3,"Tuesday",I36=4,"Wednesday",I36=5,"Thusday",I36=6,"Friday")</f>
        <v>Saturday</v>
      </c>
      <c r="K36" s="15">
        <v>1</v>
      </c>
      <c r="L36" s="15">
        <v>0.16</v>
      </c>
      <c r="M36" s="15" t="str">
        <f t="shared" si="1"/>
        <v>Rainy</v>
      </c>
      <c r="N36" s="15">
        <v>0.2273</v>
      </c>
      <c r="O36" s="15">
        <v>0.8</v>
      </c>
      <c r="P36" s="15">
        <v>0</v>
      </c>
      <c r="Q36" s="15">
        <v>1</v>
      </c>
      <c r="R36" s="15">
        <v>10</v>
      </c>
      <c r="S36" s="15">
        <v>11</v>
      </c>
    </row>
    <row r="37" spans="1:19" x14ac:dyDescent="0.35">
      <c r="A37" s="15">
        <v>645</v>
      </c>
      <c r="B37" s="16">
        <v>40573</v>
      </c>
      <c r="C37" s="15">
        <v>1</v>
      </c>
      <c r="D37" s="15">
        <v>0</v>
      </c>
      <c r="E37" s="15">
        <v>1</v>
      </c>
      <c r="F37" s="15">
        <v>3</v>
      </c>
      <c r="G37" s="15" t="str" cm="1">
        <f t="array" ref="G37">_xlfn.IFS(AND(F37&gt;=5,F37&lt;12),"Morning",AND(F37&gt;=12,F37&lt;17),"AfterNoon",AND(F37&gt;=17,F37&lt;20),"Evening",TRUE,"Night")</f>
        <v>Night</v>
      </c>
      <c r="H37" s="15" t="b">
        <v>0</v>
      </c>
      <c r="I37" s="15">
        <v>0</v>
      </c>
      <c r="J37" s="15" t="str" cm="1">
        <f t="array" ref="J37">_xlfn.IFS(I37=0,"Saturday",I37=1,"Sunday",I37=2,"Monday",I37=3,"Tuesday",I37=4,"Wednesday",I37=5,"Thusday",I37=6,"Friday")</f>
        <v>Saturday</v>
      </c>
      <c r="K37" s="15">
        <v>1</v>
      </c>
      <c r="L37" s="15">
        <v>0.14000000000000001</v>
      </c>
      <c r="M37" s="15" t="str">
        <f t="shared" si="1"/>
        <v>Rainy</v>
      </c>
      <c r="N37" s="15">
        <v>0.21210000000000001</v>
      </c>
      <c r="O37" s="15">
        <v>0.93</v>
      </c>
      <c r="P37" s="15">
        <v>0</v>
      </c>
      <c r="Q37" s="15">
        <v>1</v>
      </c>
      <c r="R37" s="15">
        <v>7</v>
      </c>
      <c r="S37" s="15">
        <v>8</v>
      </c>
    </row>
    <row r="38" spans="1:19" x14ac:dyDescent="0.35">
      <c r="A38" s="15">
        <v>646</v>
      </c>
      <c r="B38" s="16">
        <v>40573</v>
      </c>
      <c r="C38" s="15">
        <v>1</v>
      </c>
      <c r="D38" s="15">
        <v>0</v>
      </c>
      <c r="E38" s="15">
        <v>1</v>
      </c>
      <c r="F38" s="15">
        <v>4</v>
      </c>
      <c r="G38" s="15" t="str" cm="1">
        <f t="array" ref="G38">_xlfn.IFS(AND(F38&gt;=5,F38&lt;12),"Morning",AND(F38&gt;=12,F38&lt;17),"AfterNoon",AND(F38&gt;=17,F38&lt;20),"Evening",TRUE,"Night")</f>
        <v>Night</v>
      </c>
      <c r="H38" s="15" t="b">
        <v>0</v>
      </c>
      <c r="I38" s="15">
        <v>0</v>
      </c>
      <c r="J38" s="15" t="str" cm="1">
        <f t="array" ref="J38">_xlfn.IFS(I38=0,"Saturday",I38=1,"Sunday",I38=2,"Monday",I38=3,"Tuesday",I38=4,"Wednesday",I38=5,"Thusday",I38=6,"Friday")</f>
        <v>Saturday</v>
      </c>
      <c r="K38" s="15">
        <v>1</v>
      </c>
      <c r="L38" s="15">
        <v>0.14000000000000001</v>
      </c>
      <c r="M38" s="15" t="str">
        <f t="shared" si="1"/>
        <v>Rainy</v>
      </c>
      <c r="N38" s="15">
        <v>0.21210000000000001</v>
      </c>
      <c r="O38" s="15">
        <v>0.93</v>
      </c>
      <c r="P38" s="15">
        <v>0</v>
      </c>
      <c r="Q38" s="15">
        <v>0</v>
      </c>
      <c r="R38" s="15">
        <v>1</v>
      </c>
      <c r="S38" s="15">
        <v>1</v>
      </c>
    </row>
    <row r="39" spans="1:19" x14ac:dyDescent="0.35">
      <c r="A39" s="15">
        <v>647</v>
      </c>
      <c r="B39" s="16">
        <v>40573</v>
      </c>
      <c r="C39" s="15">
        <v>1</v>
      </c>
      <c r="D39" s="15">
        <v>0</v>
      </c>
      <c r="E39" s="15">
        <v>1</v>
      </c>
      <c r="F39" s="15">
        <v>5</v>
      </c>
      <c r="G39" s="15" t="str" cm="1">
        <f t="array" ref="G39">_xlfn.IFS(AND(F39&gt;=5,F39&lt;12),"Morning",AND(F39&gt;=12,F39&lt;17),"AfterNoon",AND(F39&gt;=17,F39&lt;20),"Evening",TRUE,"Night")</f>
        <v>Morning</v>
      </c>
      <c r="H39" s="15" t="b">
        <v>0</v>
      </c>
      <c r="I39" s="15">
        <v>0</v>
      </c>
      <c r="J39" s="15" t="str" cm="1">
        <f t="array" ref="J39">_xlfn.IFS(I39=0,"Saturday",I39=1,"Sunday",I39=2,"Monday",I39=3,"Tuesday",I39=4,"Wednesday",I39=5,"Thusday",I39=6,"Friday")</f>
        <v>Saturday</v>
      </c>
      <c r="K39" s="15">
        <v>1</v>
      </c>
      <c r="L39" s="15">
        <v>0.14000000000000001</v>
      </c>
      <c r="M39" s="15" t="str">
        <f t="shared" si="1"/>
        <v>Rainy</v>
      </c>
      <c r="N39" s="15">
        <v>0.21210000000000001</v>
      </c>
      <c r="O39" s="15">
        <v>0.86</v>
      </c>
      <c r="P39" s="15">
        <v>0</v>
      </c>
      <c r="Q39" s="15">
        <v>0</v>
      </c>
      <c r="R39" s="15">
        <v>3</v>
      </c>
      <c r="S39" s="15">
        <v>3</v>
      </c>
    </row>
    <row r="40" spans="1:19" x14ac:dyDescent="0.35">
      <c r="A40" s="15">
        <v>648</v>
      </c>
      <c r="B40" s="16">
        <v>40573</v>
      </c>
      <c r="C40" s="15">
        <v>1</v>
      </c>
      <c r="D40" s="15">
        <v>0</v>
      </c>
      <c r="E40" s="15">
        <v>1</v>
      </c>
      <c r="F40" s="15">
        <v>7</v>
      </c>
      <c r="G40" s="15" t="str" cm="1">
        <f t="array" ref="G40">_xlfn.IFS(AND(F40&gt;=5,F40&lt;12),"Morning",AND(F40&gt;=12,F40&lt;17),"AfterNoon",AND(F40&gt;=17,F40&lt;20),"Evening",TRUE,"Night")</f>
        <v>Morning</v>
      </c>
      <c r="H40" s="15" t="b">
        <v>0</v>
      </c>
      <c r="I40" s="15">
        <v>0</v>
      </c>
      <c r="J40" s="15" t="str" cm="1">
        <f t="array" ref="J40">_xlfn.IFS(I40=0,"Saturday",I40=1,"Sunday",I40=2,"Monday",I40=3,"Tuesday",I40=4,"Wednesday",I40=5,"Thusday",I40=6,"Friday")</f>
        <v>Saturday</v>
      </c>
      <c r="K40" s="15">
        <v>1</v>
      </c>
      <c r="L40" s="15">
        <v>0.14000000000000001</v>
      </c>
      <c r="M40" s="15" t="str">
        <f t="shared" si="1"/>
        <v>Rainy</v>
      </c>
      <c r="N40" s="15">
        <v>0.21210000000000001</v>
      </c>
      <c r="O40" s="15">
        <v>0.86</v>
      </c>
      <c r="P40" s="15">
        <v>0</v>
      </c>
      <c r="Q40" s="15">
        <v>0</v>
      </c>
      <c r="R40" s="15">
        <v>3</v>
      </c>
      <c r="S40" s="15">
        <v>3</v>
      </c>
    </row>
    <row r="41" spans="1:19" x14ac:dyDescent="0.35">
      <c r="A41" s="15">
        <v>649</v>
      </c>
      <c r="B41" s="16">
        <v>40573</v>
      </c>
      <c r="C41" s="15">
        <v>1</v>
      </c>
      <c r="D41" s="15">
        <v>0</v>
      </c>
      <c r="E41" s="15">
        <v>1</v>
      </c>
      <c r="F41" s="15">
        <v>8</v>
      </c>
      <c r="G41" s="15" t="str" cm="1">
        <f t="array" ref="G41">_xlfn.IFS(AND(F41&gt;=5,F41&lt;12),"Morning",AND(F41&gt;=12,F41&lt;17),"AfterNoon",AND(F41&gt;=17,F41&lt;20),"Evening",TRUE,"Night")</f>
        <v>Morning</v>
      </c>
      <c r="H41" s="15" t="b">
        <v>0</v>
      </c>
      <c r="I41" s="15">
        <v>0</v>
      </c>
      <c r="J41" s="15" t="str" cm="1">
        <f t="array" ref="J41">_xlfn.IFS(I41=0,"Saturday",I41=1,"Sunday",I41=2,"Monday",I41=3,"Tuesday",I41=4,"Wednesday",I41=5,"Thusday",I41=6,"Friday")</f>
        <v>Saturday</v>
      </c>
      <c r="K41" s="15">
        <v>2</v>
      </c>
      <c r="L41" s="15">
        <v>0.14000000000000001</v>
      </c>
      <c r="M41" s="15" t="str">
        <f t="shared" si="1"/>
        <v>Rainy</v>
      </c>
      <c r="N41" s="15">
        <v>0.21210000000000001</v>
      </c>
      <c r="O41" s="15">
        <v>0.86</v>
      </c>
      <c r="P41" s="15">
        <v>0</v>
      </c>
      <c r="Q41" s="15">
        <v>1</v>
      </c>
      <c r="R41" s="15">
        <v>11</v>
      </c>
      <c r="S41" s="15">
        <v>12</v>
      </c>
    </row>
    <row r="42" spans="1:19" x14ac:dyDescent="0.35">
      <c r="A42" s="15">
        <v>650</v>
      </c>
      <c r="B42" s="16">
        <v>40573</v>
      </c>
      <c r="C42" s="15">
        <v>1</v>
      </c>
      <c r="D42" s="15">
        <v>0</v>
      </c>
      <c r="E42" s="15">
        <v>1</v>
      </c>
      <c r="F42" s="15">
        <v>9</v>
      </c>
      <c r="G42" s="15" t="str" cm="1">
        <f t="array" ref="G42">_xlfn.IFS(AND(F42&gt;=5,F42&lt;12),"Morning",AND(F42&gt;=12,F42&lt;17),"AfterNoon",AND(F42&gt;=17,F42&lt;20),"Evening",TRUE,"Night")</f>
        <v>Morning</v>
      </c>
      <c r="H42" s="15" t="b">
        <v>0</v>
      </c>
      <c r="I42" s="15">
        <v>0</v>
      </c>
      <c r="J42" s="15" t="str" cm="1">
        <f t="array" ref="J42">_xlfn.IFS(I42=0,"Saturday",I42=1,"Sunday",I42=2,"Monday",I42=3,"Tuesday",I42=4,"Wednesday",I42=5,"Thusday",I42=6,"Friday")</f>
        <v>Saturday</v>
      </c>
      <c r="K42" s="15">
        <v>2</v>
      </c>
      <c r="L42" s="15">
        <v>0.16</v>
      </c>
      <c r="M42" s="15" t="str">
        <f t="shared" si="1"/>
        <v>Rainy</v>
      </c>
      <c r="N42" s="15">
        <v>0.2273</v>
      </c>
      <c r="O42" s="15">
        <v>0.8</v>
      </c>
      <c r="P42" s="15">
        <v>0</v>
      </c>
      <c r="Q42" s="15">
        <v>4</v>
      </c>
      <c r="R42" s="15">
        <v>34</v>
      </c>
      <c r="S42" s="15">
        <v>38</v>
      </c>
    </row>
    <row r="43" spans="1:19" x14ac:dyDescent="0.35">
      <c r="A43" s="15">
        <v>651</v>
      </c>
      <c r="B43" s="16">
        <v>40573</v>
      </c>
      <c r="C43" s="15">
        <v>1</v>
      </c>
      <c r="D43" s="15">
        <v>0</v>
      </c>
      <c r="E43" s="15">
        <v>1</v>
      </c>
      <c r="F43" s="15">
        <v>10</v>
      </c>
      <c r="G43" s="15" t="str" cm="1">
        <f t="array" ref="G43">_xlfn.IFS(AND(F43&gt;=5,F43&lt;12),"Morning",AND(F43&gt;=12,F43&lt;17),"AfterNoon",AND(F43&gt;=17,F43&lt;20),"Evening",TRUE,"Night")</f>
        <v>Morning</v>
      </c>
      <c r="H43" s="15" t="b">
        <v>0</v>
      </c>
      <c r="I43" s="15">
        <v>0</v>
      </c>
      <c r="J43" s="15" t="str" cm="1">
        <f t="array" ref="J43">_xlfn.IFS(I43=0,"Saturday",I43=1,"Sunday",I43=2,"Monday",I43=3,"Tuesday",I43=4,"Wednesday",I43=5,"Thusday",I43=6,"Friday")</f>
        <v>Saturday</v>
      </c>
      <c r="K43" s="15">
        <v>2</v>
      </c>
      <c r="L43" s="15">
        <v>0.18</v>
      </c>
      <c r="M43" s="15" t="str">
        <f t="shared" si="1"/>
        <v>Rainy</v>
      </c>
      <c r="N43" s="15">
        <v>0.2424</v>
      </c>
      <c r="O43" s="15">
        <v>0.8</v>
      </c>
      <c r="P43" s="15">
        <v>0</v>
      </c>
      <c r="Q43" s="15">
        <v>7</v>
      </c>
      <c r="R43" s="15">
        <v>57</v>
      </c>
      <c r="S43" s="15">
        <v>64</v>
      </c>
    </row>
    <row r="44" spans="1:19" x14ac:dyDescent="0.35">
      <c r="A44" s="15">
        <v>652</v>
      </c>
      <c r="B44" s="16">
        <v>40573</v>
      </c>
      <c r="C44" s="15">
        <v>1</v>
      </c>
      <c r="D44" s="15">
        <v>0</v>
      </c>
      <c r="E44" s="15">
        <v>1</v>
      </c>
      <c r="F44" s="15">
        <v>11</v>
      </c>
      <c r="G44" s="15" t="str" cm="1">
        <f t="array" ref="G44">_xlfn.IFS(AND(F44&gt;=5,F44&lt;12),"Morning",AND(F44&gt;=12,F44&lt;17),"AfterNoon",AND(F44&gt;=17,F44&lt;20),"Evening",TRUE,"Night")</f>
        <v>Morning</v>
      </c>
      <c r="H44" s="15" t="b">
        <v>0</v>
      </c>
      <c r="I44" s="15">
        <v>0</v>
      </c>
      <c r="J44" s="15" t="str" cm="1">
        <f t="array" ref="J44">_xlfn.IFS(I44=0,"Saturday",I44=1,"Sunday",I44=2,"Monday",I44=3,"Tuesday",I44=4,"Wednesday",I44=5,"Thusday",I44=6,"Friday")</f>
        <v>Saturday</v>
      </c>
      <c r="K44" s="15">
        <v>1</v>
      </c>
      <c r="L44" s="15">
        <v>0.22</v>
      </c>
      <c r="M44" s="15" t="str">
        <f t="shared" si="1"/>
        <v>Cloudy</v>
      </c>
      <c r="N44" s="15">
        <v>0.2727</v>
      </c>
      <c r="O44" s="15">
        <v>0.75</v>
      </c>
      <c r="P44" s="15">
        <v>0</v>
      </c>
      <c r="Q44" s="15">
        <v>9</v>
      </c>
      <c r="R44" s="15">
        <v>50</v>
      </c>
      <c r="S44" s="15">
        <v>59</v>
      </c>
    </row>
    <row r="45" spans="1:19" x14ac:dyDescent="0.35">
      <c r="A45" s="15">
        <v>653</v>
      </c>
      <c r="B45" s="16">
        <v>40573</v>
      </c>
      <c r="C45" s="15">
        <v>1</v>
      </c>
      <c r="D45" s="15">
        <v>0</v>
      </c>
      <c r="E45" s="15">
        <v>1</v>
      </c>
      <c r="F45" s="15">
        <v>12</v>
      </c>
      <c r="G45" s="15" t="str" cm="1">
        <f t="array" ref="G45">_xlfn.IFS(AND(F45&gt;=5,F45&lt;12),"Morning",AND(F45&gt;=12,F45&lt;17),"AfterNoon",AND(F45&gt;=17,F45&lt;20),"Evening",TRUE,"Night")</f>
        <v>AfterNoon</v>
      </c>
      <c r="H45" s="15" t="b">
        <v>0</v>
      </c>
      <c r="I45" s="15">
        <v>0</v>
      </c>
      <c r="J45" s="15" t="str" cm="1">
        <f t="array" ref="J45">_xlfn.IFS(I45=0,"Saturday",I45=1,"Sunday",I45=2,"Monday",I45=3,"Tuesday",I45=4,"Wednesday",I45=5,"Thusday",I45=6,"Friday")</f>
        <v>Saturday</v>
      </c>
      <c r="K45" s="15">
        <v>1</v>
      </c>
      <c r="L45" s="15">
        <v>0.3</v>
      </c>
      <c r="M45" s="15" t="str">
        <f t="shared" si="1"/>
        <v>Cloudy</v>
      </c>
      <c r="N45" s="15">
        <v>0.31819999999999998</v>
      </c>
      <c r="O45" s="15">
        <v>0.52</v>
      </c>
      <c r="P45" s="15">
        <v>0.1045</v>
      </c>
      <c r="Q45" s="15">
        <v>10</v>
      </c>
      <c r="R45" s="15">
        <v>87</v>
      </c>
      <c r="S45" s="15">
        <v>97</v>
      </c>
    </row>
    <row r="46" spans="1:19" x14ac:dyDescent="0.35">
      <c r="A46" s="15">
        <v>654</v>
      </c>
      <c r="B46" s="16">
        <v>40573</v>
      </c>
      <c r="C46" s="15">
        <v>1</v>
      </c>
      <c r="D46" s="15">
        <v>0</v>
      </c>
      <c r="E46" s="15">
        <v>1</v>
      </c>
      <c r="F46" s="15">
        <v>13</v>
      </c>
      <c r="G46" s="15" t="str" cm="1">
        <f t="array" ref="G46">_xlfn.IFS(AND(F46&gt;=5,F46&lt;12),"Morning",AND(F46&gt;=12,F46&lt;17),"AfterNoon",AND(F46&gt;=17,F46&lt;20),"Evening",TRUE,"Night")</f>
        <v>AfterNoon</v>
      </c>
      <c r="H46" s="15" t="b">
        <v>0</v>
      </c>
      <c r="I46" s="15">
        <v>0</v>
      </c>
      <c r="J46" s="15" t="str" cm="1">
        <f t="array" ref="J46">_xlfn.IFS(I46=0,"Saturday",I46=1,"Sunday",I46=2,"Monday",I46=3,"Tuesday",I46=4,"Wednesday",I46=5,"Thusday",I46=6,"Friday")</f>
        <v>Saturday</v>
      </c>
      <c r="K46" s="15">
        <v>1</v>
      </c>
      <c r="L46" s="15">
        <v>0.28000000000000003</v>
      </c>
      <c r="M46" s="15" t="str">
        <f t="shared" si="1"/>
        <v>Cloudy</v>
      </c>
      <c r="N46" s="15">
        <v>0.28789999999999999</v>
      </c>
      <c r="O46" s="15">
        <v>0.61</v>
      </c>
      <c r="P46" s="15">
        <v>0.1045</v>
      </c>
      <c r="Q46" s="15">
        <v>13</v>
      </c>
      <c r="R46" s="15">
        <v>71</v>
      </c>
      <c r="S46" s="15">
        <v>84</v>
      </c>
    </row>
    <row r="47" spans="1:19" x14ac:dyDescent="0.35">
      <c r="A47" s="15">
        <v>655</v>
      </c>
      <c r="B47" s="16">
        <v>40573</v>
      </c>
      <c r="C47" s="15">
        <v>1</v>
      </c>
      <c r="D47" s="15">
        <v>0</v>
      </c>
      <c r="E47" s="15">
        <v>1</v>
      </c>
      <c r="F47" s="15">
        <v>14</v>
      </c>
      <c r="G47" s="15" t="str" cm="1">
        <f t="array" ref="G47">_xlfn.IFS(AND(F47&gt;=5,F47&lt;12),"Morning",AND(F47&gt;=12,F47&lt;17),"AfterNoon",AND(F47&gt;=17,F47&lt;20),"Evening",TRUE,"Night")</f>
        <v>AfterNoon</v>
      </c>
      <c r="H47" s="15" t="b">
        <v>0</v>
      </c>
      <c r="I47" s="15">
        <v>0</v>
      </c>
      <c r="J47" s="15" t="str" cm="1">
        <f t="array" ref="J47">_xlfn.IFS(I47=0,"Saturday",I47=1,"Sunday",I47=2,"Monday",I47=3,"Tuesday",I47=4,"Wednesday",I47=5,"Thusday",I47=6,"Friday")</f>
        <v>Saturday</v>
      </c>
      <c r="K47" s="15">
        <v>1</v>
      </c>
      <c r="L47" s="15">
        <v>0.28000000000000003</v>
      </c>
      <c r="M47" s="15" t="str">
        <f t="shared" si="1"/>
        <v>Cloudy</v>
      </c>
      <c r="N47" s="15">
        <v>0.30299999999999999</v>
      </c>
      <c r="O47" s="15">
        <v>0.61</v>
      </c>
      <c r="P47" s="15">
        <v>8.9599999999999999E-2</v>
      </c>
      <c r="Q47" s="15">
        <v>18</v>
      </c>
      <c r="R47" s="15">
        <v>104</v>
      </c>
      <c r="S47" s="15">
        <v>122</v>
      </c>
    </row>
    <row r="48" spans="1:19" x14ac:dyDescent="0.35">
      <c r="A48" s="15">
        <v>656</v>
      </c>
      <c r="B48" s="16">
        <v>40573</v>
      </c>
      <c r="C48" s="15">
        <v>1</v>
      </c>
      <c r="D48" s="15">
        <v>0</v>
      </c>
      <c r="E48" s="15">
        <v>1</v>
      </c>
      <c r="F48" s="15">
        <v>15</v>
      </c>
      <c r="G48" s="15" t="str" cm="1">
        <f t="array" ref="G48">_xlfn.IFS(AND(F48&gt;=5,F48&lt;12),"Morning",AND(F48&gt;=12,F48&lt;17),"AfterNoon",AND(F48&gt;=17,F48&lt;20),"Evening",TRUE,"Night")</f>
        <v>AfterNoon</v>
      </c>
      <c r="H48" s="15" t="b">
        <v>0</v>
      </c>
      <c r="I48" s="15">
        <v>0</v>
      </c>
      <c r="J48" s="15" t="str" cm="1">
        <f t="array" ref="J48">_xlfn.IFS(I48=0,"Saturday",I48=1,"Sunday",I48=2,"Monday",I48=3,"Tuesday",I48=4,"Wednesday",I48=5,"Thusday",I48=6,"Friday")</f>
        <v>Saturday</v>
      </c>
      <c r="K48" s="15">
        <v>1</v>
      </c>
      <c r="L48" s="15">
        <v>0.3</v>
      </c>
      <c r="M48" s="15" t="str">
        <f t="shared" si="1"/>
        <v>Cloudy</v>
      </c>
      <c r="N48" s="15">
        <v>0.33329999999999999</v>
      </c>
      <c r="O48" s="15">
        <v>0.56000000000000005</v>
      </c>
      <c r="P48" s="15">
        <v>0</v>
      </c>
      <c r="Q48" s="15">
        <v>14</v>
      </c>
      <c r="R48" s="15">
        <v>95</v>
      </c>
      <c r="S48" s="15">
        <v>109</v>
      </c>
    </row>
    <row r="49" spans="1:19" x14ac:dyDescent="0.35">
      <c r="A49" s="15">
        <v>657</v>
      </c>
      <c r="B49" s="16">
        <v>40573</v>
      </c>
      <c r="C49" s="15">
        <v>1</v>
      </c>
      <c r="D49" s="15">
        <v>0</v>
      </c>
      <c r="E49" s="15">
        <v>1</v>
      </c>
      <c r="F49" s="15">
        <v>16</v>
      </c>
      <c r="G49" s="15" t="str" cm="1">
        <f t="array" ref="G49">_xlfn.IFS(AND(F49&gt;=5,F49&lt;12),"Morning",AND(F49&gt;=12,F49&lt;17),"AfterNoon",AND(F49&gt;=17,F49&lt;20),"Evening",TRUE,"Night")</f>
        <v>AfterNoon</v>
      </c>
      <c r="H49" s="15" t="b">
        <v>0</v>
      </c>
      <c r="I49" s="15">
        <v>0</v>
      </c>
      <c r="J49" s="15" t="str" cm="1">
        <f t="array" ref="J49">_xlfn.IFS(I49=0,"Saturday",I49=1,"Sunday",I49=2,"Monday",I49=3,"Tuesday",I49=4,"Wednesday",I49=5,"Thusday",I49=6,"Friday")</f>
        <v>Saturday</v>
      </c>
      <c r="K49" s="15">
        <v>1</v>
      </c>
      <c r="L49" s="15">
        <v>0.3</v>
      </c>
      <c r="M49" s="15" t="str">
        <f t="shared" si="1"/>
        <v>Cloudy</v>
      </c>
      <c r="N49" s="15">
        <v>0.33329999999999999</v>
      </c>
      <c r="O49" s="15">
        <v>0.56000000000000005</v>
      </c>
      <c r="P49" s="15">
        <v>0</v>
      </c>
      <c r="Q49" s="15">
        <v>19</v>
      </c>
      <c r="R49" s="15">
        <v>104</v>
      </c>
      <c r="S49" s="15">
        <v>123</v>
      </c>
    </row>
    <row r="50" spans="1:19" x14ac:dyDescent="0.35">
      <c r="A50" s="15">
        <v>658</v>
      </c>
      <c r="B50" s="16">
        <v>40573</v>
      </c>
      <c r="C50" s="15">
        <v>1</v>
      </c>
      <c r="D50" s="15">
        <v>0</v>
      </c>
      <c r="E50" s="15">
        <v>1</v>
      </c>
      <c r="F50" s="15">
        <v>17</v>
      </c>
      <c r="G50" s="15" t="str" cm="1">
        <f t="array" ref="G50">_xlfn.IFS(AND(F50&gt;=5,F50&lt;12),"Morning",AND(F50&gt;=12,F50&lt;17),"AfterNoon",AND(F50&gt;=17,F50&lt;20),"Evening",TRUE,"Night")</f>
        <v>Evening</v>
      </c>
      <c r="H50" s="15" t="b">
        <v>0</v>
      </c>
      <c r="I50" s="15">
        <v>0</v>
      </c>
      <c r="J50" s="15" t="str" cm="1">
        <f t="array" ref="J50">_xlfn.IFS(I50=0,"Saturday",I50=1,"Sunday",I50=2,"Monday",I50=3,"Tuesday",I50=4,"Wednesday",I50=5,"Thusday",I50=6,"Friday")</f>
        <v>Saturday</v>
      </c>
      <c r="K50" s="15">
        <v>1</v>
      </c>
      <c r="L50" s="15">
        <v>0.3</v>
      </c>
      <c r="M50" s="15" t="str">
        <f t="shared" si="1"/>
        <v>Cloudy</v>
      </c>
      <c r="N50" s="15">
        <v>0.28789999999999999</v>
      </c>
      <c r="O50" s="15">
        <v>0.56000000000000005</v>
      </c>
      <c r="P50" s="15">
        <v>0.19400000000000001</v>
      </c>
      <c r="Q50" s="15">
        <v>6</v>
      </c>
      <c r="R50" s="15">
        <v>71</v>
      </c>
      <c r="S50" s="15">
        <v>77</v>
      </c>
    </row>
    <row r="51" spans="1:19" x14ac:dyDescent="0.35">
      <c r="A51" s="15">
        <v>659</v>
      </c>
      <c r="B51" s="16">
        <v>40573</v>
      </c>
      <c r="C51" s="15">
        <v>1</v>
      </c>
      <c r="D51" s="15">
        <v>0</v>
      </c>
      <c r="E51" s="15">
        <v>1</v>
      </c>
      <c r="F51" s="15">
        <v>18</v>
      </c>
      <c r="G51" s="15" t="str" cm="1">
        <f t="array" ref="G51">_xlfn.IFS(AND(F51&gt;=5,F51&lt;12),"Morning",AND(F51&gt;=12,F51&lt;17),"AfterNoon",AND(F51&gt;=17,F51&lt;20),"Evening",TRUE,"Night")</f>
        <v>Evening</v>
      </c>
      <c r="H51" s="15" t="b">
        <v>0</v>
      </c>
      <c r="I51" s="15">
        <v>0</v>
      </c>
      <c r="J51" s="15" t="str" cm="1">
        <f t="array" ref="J51">_xlfn.IFS(I51=0,"Saturday",I51=1,"Sunday",I51=2,"Monday",I51=3,"Tuesday",I51=4,"Wednesday",I51=5,"Thusday",I51=6,"Friday")</f>
        <v>Saturday</v>
      </c>
      <c r="K51" s="15">
        <v>1</v>
      </c>
      <c r="L51" s="15">
        <v>0.26</v>
      </c>
      <c r="M51" s="15" t="str">
        <f t="shared" si="1"/>
        <v>Cloudy</v>
      </c>
      <c r="N51" s="15">
        <v>0.2576</v>
      </c>
      <c r="O51" s="15">
        <v>0.65</v>
      </c>
      <c r="P51" s="15">
        <v>0.16420000000000001</v>
      </c>
      <c r="Q51" s="15">
        <v>8</v>
      </c>
      <c r="R51" s="15">
        <v>57</v>
      </c>
      <c r="S51" s="15">
        <v>65</v>
      </c>
    </row>
    <row r="52" spans="1:19" x14ac:dyDescent="0.35">
      <c r="A52" s="15">
        <v>660</v>
      </c>
      <c r="B52" s="16">
        <v>40573</v>
      </c>
      <c r="C52" s="15">
        <v>1</v>
      </c>
      <c r="D52" s="15">
        <v>0</v>
      </c>
      <c r="E52" s="15">
        <v>1</v>
      </c>
      <c r="F52" s="15">
        <v>19</v>
      </c>
      <c r="G52" s="15" t="str" cm="1">
        <f t="array" ref="G52">_xlfn.IFS(AND(F52&gt;=5,F52&lt;12),"Morning",AND(F52&gt;=12,F52&lt;17),"AfterNoon",AND(F52&gt;=17,F52&lt;20),"Evening",TRUE,"Night")</f>
        <v>Evening</v>
      </c>
      <c r="H52" s="15" t="b">
        <v>0</v>
      </c>
      <c r="I52" s="15">
        <v>0</v>
      </c>
      <c r="J52" s="15" t="str" cm="1">
        <f t="array" ref="J52">_xlfn.IFS(I52=0,"Saturday",I52=1,"Sunday",I52=2,"Monday",I52=3,"Tuesday",I52=4,"Wednesday",I52=5,"Thusday",I52=6,"Friday")</f>
        <v>Saturday</v>
      </c>
      <c r="K52" s="15">
        <v>1</v>
      </c>
      <c r="L52" s="15">
        <v>0.26</v>
      </c>
      <c r="M52" s="15" t="str">
        <f t="shared" si="1"/>
        <v>Cloudy</v>
      </c>
      <c r="N52" s="15">
        <v>0.2576</v>
      </c>
      <c r="O52" s="15">
        <v>0.65</v>
      </c>
      <c r="P52" s="15">
        <v>0.19400000000000001</v>
      </c>
      <c r="Q52" s="15">
        <v>9</v>
      </c>
      <c r="R52" s="15">
        <v>46</v>
      </c>
      <c r="S52" s="15">
        <v>55</v>
      </c>
    </row>
    <row r="53" spans="1:19" x14ac:dyDescent="0.35">
      <c r="A53" s="15">
        <v>661</v>
      </c>
      <c r="B53" s="16">
        <v>40573</v>
      </c>
      <c r="C53" s="15">
        <v>1</v>
      </c>
      <c r="D53" s="15">
        <v>0</v>
      </c>
      <c r="E53" s="15">
        <v>1</v>
      </c>
      <c r="F53" s="15">
        <v>20</v>
      </c>
      <c r="G53" s="15" t="str" cm="1">
        <f t="array" ref="G53">_xlfn.IFS(AND(F53&gt;=5,F53&lt;12),"Morning",AND(F53&gt;=12,F53&lt;17),"AfterNoon",AND(F53&gt;=17,F53&lt;20),"Evening",TRUE,"Night")</f>
        <v>Night</v>
      </c>
      <c r="H53" s="15" t="b">
        <v>0</v>
      </c>
      <c r="I53" s="15">
        <v>0</v>
      </c>
      <c r="J53" s="15" t="str" cm="1">
        <f t="array" ref="J53">_xlfn.IFS(I53=0,"Saturday",I53=1,"Sunday",I53=2,"Monday",I53=3,"Tuesday",I53=4,"Wednesday",I53=5,"Thusday",I53=6,"Friday")</f>
        <v>Saturday</v>
      </c>
      <c r="K53" s="15">
        <v>2</v>
      </c>
      <c r="L53" s="15">
        <v>0.26</v>
      </c>
      <c r="M53" s="15" t="str">
        <f t="shared" si="1"/>
        <v>Cloudy</v>
      </c>
      <c r="N53" s="15">
        <v>0.2727</v>
      </c>
      <c r="O53" s="15">
        <v>0.65</v>
      </c>
      <c r="P53" s="15">
        <v>0.1045</v>
      </c>
      <c r="Q53" s="15">
        <v>3</v>
      </c>
      <c r="R53" s="15">
        <v>30</v>
      </c>
      <c r="S53" s="15">
        <v>33</v>
      </c>
    </row>
    <row r="54" spans="1:19" x14ac:dyDescent="0.35">
      <c r="A54" s="15">
        <v>662</v>
      </c>
      <c r="B54" s="16">
        <v>40573</v>
      </c>
      <c r="C54" s="15">
        <v>1</v>
      </c>
      <c r="D54" s="15">
        <v>0</v>
      </c>
      <c r="E54" s="15">
        <v>1</v>
      </c>
      <c r="F54" s="15">
        <v>21</v>
      </c>
      <c r="G54" s="15" t="str" cm="1">
        <f t="array" ref="G54">_xlfn.IFS(AND(F54&gt;=5,F54&lt;12),"Morning",AND(F54&gt;=12,F54&lt;17),"AfterNoon",AND(F54&gt;=17,F54&lt;20),"Evening",TRUE,"Night")</f>
        <v>Night</v>
      </c>
      <c r="H54" s="15" t="b">
        <v>0</v>
      </c>
      <c r="I54" s="15">
        <v>0</v>
      </c>
      <c r="J54" s="15" t="str" cm="1">
        <f t="array" ref="J54">_xlfn.IFS(I54=0,"Saturday",I54=1,"Sunday",I54=2,"Monday",I54=3,"Tuesday",I54=4,"Wednesday",I54=5,"Thusday",I54=6,"Friday")</f>
        <v>Saturday</v>
      </c>
      <c r="K54" s="15">
        <v>2</v>
      </c>
      <c r="L54" s="15">
        <v>0.24</v>
      </c>
      <c r="M54" s="15" t="str">
        <f t="shared" si="1"/>
        <v>Cloudy</v>
      </c>
      <c r="N54" s="15">
        <v>0.2424</v>
      </c>
      <c r="O54" s="15">
        <v>0.7</v>
      </c>
      <c r="P54" s="15">
        <v>0.16420000000000001</v>
      </c>
      <c r="Q54" s="15">
        <v>3</v>
      </c>
      <c r="R54" s="15">
        <v>25</v>
      </c>
      <c r="S54" s="15">
        <v>28</v>
      </c>
    </row>
    <row r="55" spans="1:19" x14ac:dyDescent="0.35">
      <c r="A55" s="15">
        <v>663</v>
      </c>
      <c r="B55" s="16">
        <v>40573</v>
      </c>
      <c r="C55" s="15">
        <v>1</v>
      </c>
      <c r="D55" s="15">
        <v>0</v>
      </c>
      <c r="E55" s="15">
        <v>1</v>
      </c>
      <c r="F55" s="15">
        <v>22</v>
      </c>
      <c r="G55" s="15" t="str" cm="1">
        <f t="array" ref="G55">_xlfn.IFS(AND(F55&gt;=5,F55&lt;12),"Morning",AND(F55&gt;=12,F55&lt;17),"AfterNoon",AND(F55&gt;=17,F55&lt;20),"Evening",TRUE,"Night")</f>
        <v>Night</v>
      </c>
      <c r="H55" s="15" t="b">
        <v>0</v>
      </c>
      <c r="I55" s="15">
        <v>0</v>
      </c>
      <c r="J55" s="15" t="str" cm="1">
        <f t="array" ref="J55">_xlfn.IFS(I55=0,"Saturday",I55=1,"Sunday",I55=2,"Monday",I55=3,"Tuesday",I55=4,"Wednesday",I55=5,"Thusday",I55=6,"Friday")</f>
        <v>Saturday</v>
      </c>
      <c r="K55" s="15">
        <v>2</v>
      </c>
      <c r="L55" s="15">
        <v>0.24</v>
      </c>
      <c r="M55" s="15" t="str">
        <f t="shared" si="1"/>
        <v>Cloudy</v>
      </c>
      <c r="N55" s="15">
        <v>0.2273</v>
      </c>
      <c r="O55" s="15">
        <v>0.7</v>
      </c>
      <c r="P55" s="15">
        <v>0.19400000000000001</v>
      </c>
      <c r="Q55" s="15">
        <v>2</v>
      </c>
      <c r="R55" s="15">
        <v>19</v>
      </c>
      <c r="S55" s="15">
        <v>21</v>
      </c>
    </row>
    <row r="56" spans="1:19" x14ac:dyDescent="0.35">
      <c r="A56" s="15">
        <v>664</v>
      </c>
      <c r="B56" s="16">
        <v>40573</v>
      </c>
      <c r="C56" s="15">
        <v>1</v>
      </c>
      <c r="D56" s="15">
        <v>0</v>
      </c>
      <c r="E56" s="15">
        <v>1</v>
      </c>
      <c r="F56" s="15">
        <v>23</v>
      </c>
      <c r="G56" s="15" t="str" cm="1">
        <f t="array" ref="G56">_xlfn.IFS(AND(F56&gt;=5,F56&lt;12),"Morning",AND(F56&gt;=12,F56&lt;17),"AfterNoon",AND(F56&gt;=17,F56&lt;20),"Evening",TRUE,"Night")</f>
        <v>Night</v>
      </c>
      <c r="H56" s="15" t="b">
        <v>0</v>
      </c>
      <c r="I56" s="15">
        <v>0</v>
      </c>
      <c r="J56" s="15" t="str" cm="1">
        <f t="array" ref="J56">_xlfn.IFS(I56=0,"Saturday",I56=1,"Sunday",I56=2,"Monday",I56=3,"Tuesday",I56=4,"Wednesday",I56=5,"Thusday",I56=6,"Friday")</f>
        <v>Saturday</v>
      </c>
      <c r="K56" s="15">
        <v>2</v>
      </c>
      <c r="L56" s="15">
        <v>0.24</v>
      </c>
      <c r="M56" s="15" t="str">
        <f t="shared" si="1"/>
        <v>Cloudy</v>
      </c>
      <c r="N56" s="15">
        <v>0.21210000000000001</v>
      </c>
      <c r="O56" s="15">
        <v>0.65</v>
      </c>
      <c r="P56" s="15">
        <v>0.28360000000000002</v>
      </c>
      <c r="Q56" s="15">
        <v>5</v>
      </c>
      <c r="R56" s="15">
        <v>16</v>
      </c>
      <c r="S56" s="15">
        <v>21</v>
      </c>
    </row>
    <row r="57" spans="1:19" x14ac:dyDescent="0.35">
      <c r="A57" s="15">
        <v>665</v>
      </c>
      <c r="B57" s="16">
        <v>40574</v>
      </c>
      <c r="C57" s="15">
        <v>1</v>
      </c>
      <c r="D57" s="15">
        <v>0</v>
      </c>
      <c r="E57" s="15">
        <v>1</v>
      </c>
      <c r="F57" s="15">
        <v>0</v>
      </c>
      <c r="G57" s="15" t="str" cm="1">
        <f t="array" ref="G57">_xlfn.IFS(AND(F57&gt;=5,F57&lt;12),"Morning",AND(F57&gt;=12,F57&lt;17),"AfterNoon",AND(F57&gt;=17,F57&lt;20),"Evening",TRUE,"Night")</f>
        <v>Night</v>
      </c>
      <c r="H57" s="15" t="b">
        <v>0</v>
      </c>
      <c r="I57" s="15">
        <v>1</v>
      </c>
      <c r="J57" s="15" t="str" cm="1">
        <f t="array" ref="J57">_xlfn.IFS(I57=0,"Saturday",I57=1,"Sunday",I57=2,"Monday",I57=3,"Tuesday",I57=4,"Wednesday",I57=5,"Thusday",I57=6,"Friday")</f>
        <v>Sunday</v>
      </c>
      <c r="K57" s="15">
        <v>2</v>
      </c>
      <c r="L57" s="15">
        <v>0.24</v>
      </c>
      <c r="M57" s="15" t="str">
        <f t="shared" si="1"/>
        <v>Cloudy</v>
      </c>
      <c r="N57" s="15">
        <v>0.2273</v>
      </c>
      <c r="O57" s="15">
        <v>0.65</v>
      </c>
      <c r="P57" s="15">
        <v>0.22389999999999999</v>
      </c>
      <c r="Q57" s="15">
        <v>1</v>
      </c>
      <c r="R57" s="15">
        <v>6</v>
      </c>
      <c r="S57" s="15">
        <v>7</v>
      </c>
    </row>
    <row r="58" spans="1:19" x14ac:dyDescent="0.35">
      <c r="A58" s="15">
        <v>666</v>
      </c>
      <c r="B58" s="16">
        <v>40574</v>
      </c>
      <c r="C58" s="15">
        <v>1</v>
      </c>
      <c r="D58" s="15">
        <v>0</v>
      </c>
      <c r="E58" s="15">
        <v>1</v>
      </c>
      <c r="F58" s="15">
        <v>1</v>
      </c>
      <c r="G58" s="15" t="str" cm="1">
        <f t="array" ref="G58">_xlfn.IFS(AND(F58&gt;=5,F58&lt;12),"Morning",AND(F58&gt;=12,F58&lt;17),"AfterNoon",AND(F58&gt;=17,F58&lt;20),"Evening",TRUE,"Night")</f>
        <v>Night</v>
      </c>
      <c r="H58" s="15" t="b">
        <v>0</v>
      </c>
      <c r="I58" s="15">
        <v>1</v>
      </c>
      <c r="J58" s="15" t="str" cm="1">
        <f t="array" ref="J58">_xlfn.IFS(I58=0,"Saturday",I58=1,"Sunday",I58=2,"Monday",I58=3,"Tuesday",I58=4,"Wednesday",I58=5,"Thusday",I58=6,"Friday")</f>
        <v>Sunday</v>
      </c>
      <c r="K58" s="15">
        <v>1</v>
      </c>
      <c r="L58" s="15">
        <v>0.22</v>
      </c>
      <c r="M58" s="15" t="str">
        <f t="shared" si="1"/>
        <v>Cloudy</v>
      </c>
      <c r="N58" s="15">
        <v>0.21210000000000001</v>
      </c>
      <c r="O58" s="15">
        <v>0.64</v>
      </c>
      <c r="P58" s="15">
        <v>0.25369999999999998</v>
      </c>
      <c r="Q58" s="15">
        <v>2</v>
      </c>
      <c r="R58" s="15">
        <v>5</v>
      </c>
      <c r="S58" s="15">
        <v>7</v>
      </c>
    </row>
    <row r="59" spans="1:19" x14ac:dyDescent="0.35">
      <c r="A59" s="15">
        <v>667</v>
      </c>
      <c r="B59" s="16">
        <v>40574</v>
      </c>
      <c r="C59" s="15">
        <v>1</v>
      </c>
      <c r="D59" s="15">
        <v>0</v>
      </c>
      <c r="E59" s="15">
        <v>1</v>
      </c>
      <c r="F59" s="15">
        <v>2</v>
      </c>
      <c r="G59" s="15" t="str" cm="1">
        <f t="array" ref="G59">_xlfn.IFS(AND(F59&gt;=5,F59&lt;12),"Morning",AND(F59&gt;=12,F59&lt;17),"AfterNoon",AND(F59&gt;=17,F59&lt;20),"Evening",TRUE,"Night")</f>
        <v>Night</v>
      </c>
      <c r="H59" s="15" t="b">
        <v>0</v>
      </c>
      <c r="I59" s="15">
        <v>1</v>
      </c>
      <c r="J59" s="15" t="str" cm="1">
        <f t="array" ref="J59">_xlfn.IFS(I59=0,"Saturday",I59=1,"Sunday",I59=2,"Monday",I59=3,"Tuesday",I59=4,"Wednesday",I59=5,"Thusday",I59=6,"Friday")</f>
        <v>Sunday</v>
      </c>
      <c r="K59" s="15">
        <v>1</v>
      </c>
      <c r="L59" s="15">
        <v>0.22</v>
      </c>
      <c r="M59" s="15" t="str">
        <f t="shared" si="1"/>
        <v>Cloudy</v>
      </c>
      <c r="N59" s="15">
        <v>0.2273</v>
      </c>
      <c r="O59" s="15">
        <v>0.64</v>
      </c>
      <c r="P59" s="15">
        <v>0.19400000000000001</v>
      </c>
      <c r="Q59" s="15">
        <v>0</v>
      </c>
      <c r="R59" s="15">
        <v>1</v>
      </c>
      <c r="S59" s="15">
        <v>1</v>
      </c>
    </row>
    <row r="60" spans="1:19" x14ac:dyDescent="0.35">
      <c r="A60" s="15">
        <v>668</v>
      </c>
      <c r="B60" s="16">
        <v>40574</v>
      </c>
      <c r="C60" s="15">
        <v>1</v>
      </c>
      <c r="D60" s="15">
        <v>0</v>
      </c>
      <c r="E60" s="15">
        <v>1</v>
      </c>
      <c r="F60" s="15">
        <v>3</v>
      </c>
      <c r="G60" s="15" t="str" cm="1">
        <f t="array" ref="G60">_xlfn.IFS(AND(F60&gt;=5,F60&lt;12),"Morning",AND(F60&gt;=12,F60&lt;17),"AfterNoon",AND(F60&gt;=17,F60&lt;20),"Evening",TRUE,"Night")</f>
        <v>Night</v>
      </c>
      <c r="H60" s="15" t="b">
        <v>0</v>
      </c>
      <c r="I60" s="15">
        <v>1</v>
      </c>
      <c r="J60" s="15" t="str" cm="1">
        <f t="array" ref="J60">_xlfn.IFS(I60=0,"Saturday",I60=1,"Sunday",I60=2,"Monday",I60=3,"Tuesday",I60=4,"Wednesday",I60=5,"Thusday",I60=6,"Friday")</f>
        <v>Sunday</v>
      </c>
      <c r="K60" s="15">
        <v>1</v>
      </c>
      <c r="L60" s="15">
        <v>0.22</v>
      </c>
      <c r="M60" s="15" t="str">
        <f t="shared" si="1"/>
        <v>Cloudy</v>
      </c>
      <c r="N60" s="15">
        <v>0.2273</v>
      </c>
      <c r="O60" s="15">
        <v>0.64</v>
      </c>
      <c r="P60" s="15">
        <v>0.19400000000000001</v>
      </c>
      <c r="Q60" s="15">
        <v>0</v>
      </c>
      <c r="R60" s="15">
        <v>2</v>
      </c>
      <c r="S60" s="15">
        <v>2</v>
      </c>
    </row>
    <row r="61" spans="1:19" x14ac:dyDescent="0.35">
      <c r="A61" s="15">
        <v>669</v>
      </c>
      <c r="B61" s="16">
        <v>40574</v>
      </c>
      <c r="C61" s="15">
        <v>1</v>
      </c>
      <c r="D61" s="15">
        <v>0</v>
      </c>
      <c r="E61" s="15">
        <v>1</v>
      </c>
      <c r="F61" s="15">
        <v>4</v>
      </c>
      <c r="G61" s="15" t="str" cm="1">
        <f t="array" ref="G61">_xlfn.IFS(AND(F61&gt;=5,F61&lt;12),"Morning",AND(F61&gt;=12,F61&lt;17),"AfterNoon",AND(F61&gt;=17,F61&lt;20),"Evening",TRUE,"Night")</f>
        <v>Night</v>
      </c>
      <c r="H61" s="15" t="b">
        <v>0</v>
      </c>
      <c r="I61" s="15">
        <v>1</v>
      </c>
      <c r="J61" s="15" t="str" cm="1">
        <f t="array" ref="J61">_xlfn.IFS(I61=0,"Saturday",I61=1,"Sunday",I61=2,"Monday",I61=3,"Tuesday",I61=4,"Wednesday",I61=5,"Thusday",I61=6,"Friday")</f>
        <v>Sunday</v>
      </c>
      <c r="K61" s="15">
        <v>1</v>
      </c>
      <c r="L61" s="15">
        <v>0.2</v>
      </c>
      <c r="M61" s="15" t="str">
        <f t="shared" si="1"/>
        <v>Rainy</v>
      </c>
      <c r="N61" s="15">
        <v>0.19700000000000001</v>
      </c>
      <c r="O61" s="15">
        <v>0.59</v>
      </c>
      <c r="P61" s="15">
        <v>0.22389999999999999</v>
      </c>
      <c r="Q61" s="15">
        <v>0</v>
      </c>
      <c r="R61" s="15">
        <v>2</v>
      </c>
      <c r="S61" s="15">
        <v>2</v>
      </c>
    </row>
    <row r="62" spans="1:19" x14ac:dyDescent="0.35">
      <c r="A62" s="15">
        <v>670</v>
      </c>
      <c r="B62" s="16">
        <v>40574</v>
      </c>
      <c r="C62" s="15">
        <v>1</v>
      </c>
      <c r="D62" s="15">
        <v>0</v>
      </c>
      <c r="E62" s="15">
        <v>1</v>
      </c>
      <c r="F62" s="15">
        <v>5</v>
      </c>
      <c r="G62" s="15" t="str" cm="1">
        <f t="array" ref="G62">_xlfn.IFS(AND(F62&gt;=5,F62&lt;12),"Morning",AND(F62&gt;=12,F62&lt;17),"AfterNoon",AND(F62&gt;=17,F62&lt;20),"Evening",TRUE,"Night")</f>
        <v>Morning</v>
      </c>
      <c r="H62" s="15" t="b">
        <v>0</v>
      </c>
      <c r="I62" s="15">
        <v>1</v>
      </c>
      <c r="J62" s="15" t="str" cm="1">
        <f t="array" ref="J62">_xlfn.IFS(I62=0,"Saturday",I62=1,"Sunday",I62=2,"Monday",I62=3,"Tuesday",I62=4,"Wednesday",I62=5,"Thusday",I62=6,"Friday")</f>
        <v>Sunday</v>
      </c>
      <c r="K62" s="15">
        <v>1</v>
      </c>
      <c r="L62" s="15">
        <v>0.18</v>
      </c>
      <c r="M62" s="15" t="str">
        <f t="shared" si="1"/>
        <v>Rainy</v>
      </c>
      <c r="N62" s="15">
        <v>0.16669999999999999</v>
      </c>
      <c r="O62" s="15">
        <v>0.64</v>
      </c>
      <c r="P62" s="15">
        <v>0.28360000000000002</v>
      </c>
      <c r="Q62" s="15">
        <v>0</v>
      </c>
      <c r="R62" s="15">
        <v>8</v>
      </c>
      <c r="S62" s="15">
        <v>8</v>
      </c>
    </row>
    <row r="63" spans="1:19" x14ac:dyDescent="0.35">
      <c r="A63" s="15">
        <v>671</v>
      </c>
      <c r="B63" s="16">
        <v>40574</v>
      </c>
      <c r="C63" s="15">
        <v>1</v>
      </c>
      <c r="D63" s="15">
        <v>0</v>
      </c>
      <c r="E63" s="15">
        <v>1</v>
      </c>
      <c r="F63" s="15">
        <v>6</v>
      </c>
      <c r="G63" s="15" t="str" cm="1">
        <f t="array" ref="G63">_xlfn.IFS(AND(F63&gt;=5,F63&lt;12),"Morning",AND(F63&gt;=12,F63&lt;17),"AfterNoon",AND(F63&gt;=17,F63&lt;20),"Evening",TRUE,"Night")</f>
        <v>Morning</v>
      </c>
      <c r="H63" s="15" t="b">
        <v>0</v>
      </c>
      <c r="I63" s="15">
        <v>1</v>
      </c>
      <c r="J63" s="15" t="str" cm="1">
        <f t="array" ref="J63">_xlfn.IFS(I63=0,"Saturday",I63=1,"Sunday",I63=2,"Monday",I63=3,"Tuesday",I63=4,"Wednesday",I63=5,"Thusday",I63=6,"Friday")</f>
        <v>Sunday</v>
      </c>
      <c r="K63" s="15">
        <v>1</v>
      </c>
      <c r="L63" s="15">
        <v>0.16</v>
      </c>
      <c r="M63" s="15" t="str">
        <f t="shared" si="1"/>
        <v>Rainy</v>
      </c>
      <c r="N63" s="15">
        <v>0.13639999999999999</v>
      </c>
      <c r="O63" s="15">
        <v>0.69</v>
      </c>
      <c r="P63" s="15">
        <v>0.32840000000000003</v>
      </c>
      <c r="Q63" s="15">
        <v>0</v>
      </c>
      <c r="R63" s="15">
        <v>37</v>
      </c>
      <c r="S63" s="15">
        <v>37</v>
      </c>
    </row>
    <row r="64" spans="1:19" x14ac:dyDescent="0.35">
      <c r="A64" s="15">
        <v>672</v>
      </c>
      <c r="B64" s="16">
        <v>40574</v>
      </c>
      <c r="C64" s="15">
        <v>1</v>
      </c>
      <c r="D64" s="15">
        <v>0</v>
      </c>
      <c r="E64" s="15">
        <v>1</v>
      </c>
      <c r="F64" s="15">
        <v>7</v>
      </c>
      <c r="G64" s="15" t="str" cm="1">
        <f t="array" ref="G64">_xlfn.IFS(AND(F64&gt;=5,F64&lt;12),"Morning",AND(F64&gt;=12,F64&lt;17),"AfterNoon",AND(F64&gt;=17,F64&lt;20),"Evening",TRUE,"Night")</f>
        <v>Morning</v>
      </c>
      <c r="H64" s="15" t="b">
        <v>0</v>
      </c>
      <c r="I64" s="15">
        <v>1</v>
      </c>
      <c r="J64" s="15" t="str" cm="1">
        <f t="array" ref="J64">_xlfn.IFS(I64=0,"Saturday",I64=1,"Sunday",I64=2,"Monday",I64=3,"Tuesday",I64=4,"Wednesday",I64=5,"Thusday",I64=6,"Friday")</f>
        <v>Sunday</v>
      </c>
      <c r="K64" s="15">
        <v>2</v>
      </c>
      <c r="L64" s="15">
        <v>0.16</v>
      </c>
      <c r="M64" s="15" t="str">
        <f t="shared" si="1"/>
        <v>Rainy</v>
      </c>
      <c r="N64" s="15">
        <v>0.13639999999999999</v>
      </c>
      <c r="O64" s="15">
        <v>0.64</v>
      </c>
      <c r="P64" s="15">
        <v>0.28360000000000002</v>
      </c>
      <c r="Q64" s="15">
        <v>1</v>
      </c>
      <c r="R64" s="15">
        <v>71</v>
      </c>
      <c r="S64" s="15">
        <v>72</v>
      </c>
    </row>
    <row r="65" spans="1:19" x14ac:dyDescent="0.35">
      <c r="A65" s="15">
        <v>673</v>
      </c>
      <c r="B65" s="16">
        <v>40574</v>
      </c>
      <c r="C65" s="15">
        <v>1</v>
      </c>
      <c r="D65" s="15">
        <v>0</v>
      </c>
      <c r="E65" s="15">
        <v>1</v>
      </c>
      <c r="F65" s="15">
        <v>8</v>
      </c>
      <c r="G65" s="15" t="str" cm="1">
        <f t="array" ref="G65">_xlfn.IFS(AND(F65&gt;=5,F65&lt;12),"Morning",AND(F65&gt;=12,F65&lt;17),"AfterNoon",AND(F65&gt;=17,F65&lt;20),"Evening",TRUE,"Night")</f>
        <v>Morning</v>
      </c>
      <c r="H65" s="15" t="b">
        <v>0</v>
      </c>
      <c r="I65" s="15">
        <v>1</v>
      </c>
      <c r="J65" s="15" t="str" cm="1">
        <f t="array" ref="J65">_xlfn.IFS(I65=0,"Saturday",I65=1,"Sunday",I65=2,"Monday",I65=3,"Tuesday",I65=4,"Wednesday",I65=5,"Thusday",I65=6,"Friday")</f>
        <v>Sunday</v>
      </c>
      <c r="K65" s="15">
        <v>2</v>
      </c>
      <c r="L65" s="15">
        <v>0.16</v>
      </c>
      <c r="M65" s="15" t="str">
        <f t="shared" si="1"/>
        <v>Rainy</v>
      </c>
      <c r="N65" s="15">
        <v>0.13639999999999999</v>
      </c>
      <c r="O65" s="15">
        <v>0.59</v>
      </c>
      <c r="P65" s="15">
        <v>0.28360000000000002</v>
      </c>
      <c r="Q65" s="15">
        <v>3</v>
      </c>
      <c r="R65" s="15">
        <v>182</v>
      </c>
      <c r="S65" s="15">
        <v>185</v>
      </c>
    </row>
    <row r="66" spans="1:19" x14ac:dyDescent="0.35">
      <c r="A66" s="15">
        <v>674</v>
      </c>
      <c r="B66" s="16">
        <v>40574</v>
      </c>
      <c r="C66" s="15">
        <v>1</v>
      </c>
      <c r="D66" s="15">
        <v>0</v>
      </c>
      <c r="E66" s="15">
        <v>1</v>
      </c>
      <c r="F66" s="15">
        <v>9</v>
      </c>
      <c r="G66" s="15" t="str" cm="1">
        <f t="array" ref="G66">_xlfn.IFS(AND(F66&gt;=5,F66&lt;12),"Morning",AND(F66&gt;=12,F66&lt;17),"AfterNoon",AND(F66&gt;=17,F66&lt;20),"Evening",TRUE,"Night")</f>
        <v>Morning</v>
      </c>
      <c r="H66" s="15" t="b">
        <v>0</v>
      </c>
      <c r="I66" s="15">
        <v>1</v>
      </c>
      <c r="J66" s="15" t="str" cm="1">
        <f t="array" ref="J66">_xlfn.IFS(I66=0,"Saturday",I66=1,"Sunday",I66=2,"Monday",I66=3,"Tuesday",I66=4,"Wednesday",I66=5,"Thusday",I66=6,"Friday")</f>
        <v>Sunday</v>
      </c>
      <c r="K66" s="15">
        <v>2</v>
      </c>
      <c r="L66" s="15">
        <v>0.16</v>
      </c>
      <c r="M66" s="15" t="str">
        <f t="shared" si="1"/>
        <v>Rainy</v>
      </c>
      <c r="N66" s="15">
        <v>0.13639999999999999</v>
      </c>
      <c r="O66" s="15">
        <v>0.59</v>
      </c>
      <c r="P66" s="15">
        <v>0.29849999999999999</v>
      </c>
      <c r="Q66" s="15">
        <v>0</v>
      </c>
      <c r="R66" s="15">
        <v>112</v>
      </c>
      <c r="S66" s="15">
        <v>112</v>
      </c>
    </row>
    <row r="67" spans="1:19" x14ac:dyDescent="0.35">
      <c r="A67" s="15">
        <v>675</v>
      </c>
      <c r="B67" s="16">
        <v>40574</v>
      </c>
      <c r="C67" s="15">
        <v>1</v>
      </c>
      <c r="D67" s="15">
        <v>0</v>
      </c>
      <c r="E67" s="15">
        <v>1</v>
      </c>
      <c r="F67" s="15">
        <v>10</v>
      </c>
      <c r="G67" s="15" t="str" cm="1">
        <f t="array" ref="G67">_xlfn.IFS(AND(F67&gt;=5,F67&lt;12),"Morning",AND(F67&gt;=12,F67&lt;17),"AfterNoon",AND(F67&gt;=17,F67&lt;20),"Evening",TRUE,"Night")</f>
        <v>Morning</v>
      </c>
      <c r="H67" s="15" t="b">
        <v>0</v>
      </c>
      <c r="I67" s="15">
        <v>1</v>
      </c>
      <c r="J67" s="15" t="str" cm="1">
        <f t="array" ref="J67">_xlfn.IFS(I67=0,"Saturday",I67=1,"Sunday",I67=2,"Monday",I67=3,"Tuesday",I67=4,"Wednesday",I67=5,"Thusday",I67=6,"Friday")</f>
        <v>Sunday</v>
      </c>
      <c r="K67" s="15">
        <v>2</v>
      </c>
      <c r="L67" s="15">
        <v>0.16</v>
      </c>
      <c r="M67" s="15" t="str">
        <f t="shared" si="1"/>
        <v>Rainy</v>
      </c>
      <c r="N67" s="15">
        <v>0.1515</v>
      </c>
      <c r="O67" s="15">
        <v>0.59</v>
      </c>
      <c r="P67" s="15">
        <v>0.19400000000000001</v>
      </c>
      <c r="Q67" s="15">
        <v>1</v>
      </c>
      <c r="R67" s="15">
        <v>68</v>
      </c>
      <c r="S67" s="15">
        <v>69</v>
      </c>
    </row>
    <row r="68" spans="1:19" x14ac:dyDescent="0.35">
      <c r="A68" s="15">
        <v>676</v>
      </c>
      <c r="B68" s="16">
        <v>40574</v>
      </c>
      <c r="C68" s="15">
        <v>1</v>
      </c>
      <c r="D68" s="15">
        <v>0</v>
      </c>
      <c r="E68" s="15">
        <v>1</v>
      </c>
      <c r="F68" s="15">
        <v>11</v>
      </c>
      <c r="G68" s="15" t="str" cm="1">
        <f t="array" ref="G68">_xlfn.IFS(AND(F68&gt;=5,F68&lt;12),"Morning",AND(F68&gt;=12,F68&lt;17),"AfterNoon",AND(F68&gt;=17,F68&lt;20),"Evening",TRUE,"Night")</f>
        <v>Morning</v>
      </c>
      <c r="H68" s="15" t="b">
        <v>0</v>
      </c>
      <c r="I68" s="15">
        <v>1</v>
      </c>
      <c r="J68" s="15" t="str" cm="1">
        <f t="array" ref="J68">_xlfn.IFS(I68=0,"Saturday",I68=1,"Sunday",I68=2,"Monday",I68=3,"Tuesday",I68=4,"Wednesday",I68=5,"Thusday",I68=6,"Friday")</f>
        <v>Sunday</v>
      </c>
      <c r="K68" s="15">
        <v>2</v>
      </c>
      <c r="L68" s="15">
        <v>0.16</v>
      </c>
      <c r="M68" s="15" t="str">
        <f t="shared" ref="M68:M131" si="2">IF(L68&lt;=0.1,"Stromy",IF(L68&lt;=0.2,"Rainy",IF(L68&lt;=0.3,"Cloudy","Sunny")))</f>
        <v>Rainy</v>
      </c>
      <c r="N68" s="15">
        <v>0.1515</v>
      </c>
      <c r="O68" s="15">
        <v>0.59</v>
      </c>
      <c r="P68" s="15">
        <v>0.19400000000000001</v>
      </c>
      <c r="Q68" s="15">
        <v>2</v>
      </c>
      <c r="R68" s="15">
        <v>46</v>
      </c>
      <c r="S68" s="15">
        <v>48</v>
      </c>
    </row>
    <row r="69" spans="1:19" x14ac:dyDescent="0.35">
      <c r="A69" s="15">
        <v>677</v>
      </c>
      <c r="B69" s="16">
        <v>40574</v>
      </c>
      <c r="C69" s="15">
        <v>1</v>
      </c>
      <c r="D69" s="15">
        <v>0</v>
      </c>
      <c r="E69" s="15">
        <v>1</v>
      </c>
      <c r="F69" s="15">
        <v>12</v>
      </c>
      <c r="G69" s="15" t="str" cm="1">
        <f t="array" ref="G69">_xlfn.IFS(AND(F69&gt;=5,F69&lt;12),"Morning",AND(F69&gt;=12,F69&lt;17),"AfterNoon",AND(F69&gt;=17,F69&lt;20),"Evening",TRUE,"Night")</f>
        <v>AfterNoon</v>
      </c>
      <c r="H69" s="15" t="b">
        <v>0</v>
      </c>
      <c r="I69" s="15">
        <v>1</v>
      </c>
      <c r="J69" s="15" t="str" cm="1">
        <f t="array" ref="J69">_xlfn.IFS(I69=0,"Saturday",I69=1,"Sunday",I69=2,"Monday",I69=3,"Tuesday",I69=4,"Wednesday",I69=5,"Thusday",I69=6,"Friday")</f>
        <v>Sunday</v>
      </c>
      <c r="K69" s="15">
        <v>2</v>
      </c>
      <c r="L69" s="15">
        <v>0.18</v>
      </c>
      <c r="M69" s="15" t="str">
        <f t="shared" si="2"/>
        <v>Rainy</v>
      </c>
      <c r="N69" s="15">
        <v>0.21210000000000001</v>
      </c>
      <c r="O69" s="15">
        <v>0.55000000000000004</v>
      </c>
      <c r="P69" s="15">
        <v>0.1045</v>
      </c>
      <c r="Q69" s="15">
        <v>6</v>
      </c>
      <c r="R69" s="15">
        <v>62</v>
      </c>
      <c r="S69" s="15">
        <v>68</v>
      </c>
    </row>
    <row r="70" spans="1:19" x14ac:dyDescent="0.35">
      <c r="A70" s="15">
        <v>678</v>
      </c>
      <c r="B70" s="16">
        <v>40574</v>
      </c>
      <c r="C70" s="15">
        <v>1</v>
      </c>
      <c r="D70" s="15">
        <v>0</v>
      </c>
      <c r="E70" s="15">
        <v>1</v>
      </c>
      <c r="F70" s="15">
        <v>13</v>
      </c>
      <c r="G70" s="15" t="str" cm="1">
        <f t="array" ref="G70">_xlfn.IFS(AND(F70&gt;=5,F70&lt;12),"Morning",AND(F70&gt;=12,F70&lt;17),"AfterNoon",AND(F70&gt;=17,F70&lt;20),"Evening",TRUE,"Night")</f>
        <v>AfterNoon</v>
      </c>
      <c r="H70" s="15" t="b">
        <v>0</v>
      </c>
      <c r="I70" s="15">
        <v>1</v>
      </c>
      <c r="J70" s="15" t="str" cm="1">
        <f t="array" ref="J70">_xlfn.IFS(I70=0,"Saturday",I70=1,"Sunday",I70=2,"Monday",I70=3,"Tuesday",I70=4,"Wednesday",I70=5,"Thusday",I70=6,"Friday")</f>
        <v>Sunday</v>
      </c>
      <c r="K70" s="15">
        <v>2</v>
      </c>
      <c r="L70" s="15">
        <v>0.16</v>
      </c>
      <c r="M70" s="15" t="str">
        <f t="shared" si="2"/>
        <v>Rainy</v>
      </c>
      <c r="N70" s="15">
        <v>0.2273</v>
      </c>
      <c r="O70" s="15">
        <v>0.59</v>
      </c>
      <c r="P70" s="15">
        <v>0</v>
      </c>
      <c r="Q70" s="15">
        <v>2</v>
      </c>
      <c r="R70" s="15">
        <v>52</v>
      </c>
      <c r="S70" s="15">
        <v>54</v>
      </c>
    </row>
    <row r="71" spans="1:19" x14ac:dyDescent="0.35">
      <c r="A71" s="15">
        <v>679</v>
      </c>
      <c r="B71" s="16">
        <v>40574</v>
      </c>
      <c r="C71" s="15">
        <v>1</v>
      </c>
      <c r="D71" s="15">
        <v>0</v>
      </c>
      <c r="E71" s="15">
        <v>1</v>
      </c>
      <c r="F71" s="15">
        <v>14</v>
      </c>
      <c r="G71" s="15" t="str" cm="1">
        <f t="array" ref="G71">_xlfn.IFS(AND(F71&gt;=5,F71&lt;12),"Morning",AND(F71&gt;=12,F71&lt;17),"AfterNoon",AND(F71&gt;=17,F71&lt;20),"Evening",TRUE,"Night")</f>
        <v>AfterNoon</v>
      </c>
      <c r="H71" s="15" t="b">
        <v>0</v>
      </c>
      <c r="I71" s="15">
        <v>1</v>
      </c>
      <c r="J71" s="15" t="str" cm="1">
        <f t="array" ref="J71">_xlfn.IFS(I71=0,"Saturday",I71=1,"Sunday",I71=2,"Monday",I71=3,"Tuesday",I71=4,"Wednesday",I71=5,"Thusday",I71=6,"Friday")</f>
        <v>Sunday</v>
      </c>
      <c r="K71" s="15">
        <v>2</v>
      </c>
      <c r="L71" s="15">
        <v>0.18</v>
      </c>
      <c r="M71" s="15" t="str">
        <f t="shared" si="2"/>
        <v>Rainy</v>
      </c>
      <c r="N71" s="15">
        <v>0.19700000000000001</v>
      </c>
      <c r="O71" s="15">
        <v>0.55000000000000004</v>
      </c>
      <c r="P71" s="15">
        <v>0.1343</v>
      </c>
      <c r="Q71" s="15">
        <v>1</v>
      </c>
      <c r="R71" s="15">
        <v>85</v>
      </c>
      <c r="S71" s="15">
        <v>86</v>
      </c>
    </row>
    <row r="72" spans="1:19" x14ac:dyDescent="0.35">
      <c r="A72" s="15">
        <v>680</v>
      </c>
      <c r="B72" s="16">
        <v>40574</v>
      </c>
      <c r="C72" s="15">
        <v>1</v>
      </c>
      <c r="D72" s="15">
        <v>0</v>
      </c>
      <c r="E72" s="15">
        <v>1</v>
      </c>
      <c r="F72" s="15">
        <v>15</v>
      </c>
      <c r="G72" s="15" t="str" cm="1">
        <f t="array" ref="G72">_xlfn.IFS(AND(F72&gt;=5,F72&lt;12),"Morning",AND(F72&gt;=12,F72&lt;17),"AfterNoon",AND(F72&gt;=17,F72&lt;20),"Evening",TRUE,"Night")</f>
        <v>AfterNoon</v>
      </c>
      <c r="H72" s="15" t="b">
        <v>0</v>
      </c>
      <c r="I72" s="15">
        <v>1</v>
      </c>
      <c r="J72" s="15" t="str" cm="1">
        <f t="array" ref="J72">_xlfn.IFS(I72=0,"Saturday",I72=1,"Sunday",I72=2,"Monday",I72=3,"Tuesday",I72=4,"Wednesday",I72=5,"Thusday",I72=6,"Friday")</f>
        <v>Sunday</v>
      </c>
      <c r="K72" s="15">
        <v>2</v>
      </c>
      <c r="L72" s="15">
        <v>0.16</v>
      </c>
      <c r="M72" s="15" t="str">
        <f t="shared" si="2"/>
        <v>Rainy</v>
      </c>
      <c r="N72" s="15">
        <v>0.18179999999999999</v>
      </c>
      <c r="O72" s="15">
        <v>0.59</v>
      </c>
      <c r="P72" s="15">
        <v>0.1343</v>
      </c>
      <c r="Q72" s="15">
        <v>3</v>
      </c>
      <c r="R72" s="15">
        <v>41</v>
      </c>
      <c r="S72" s="15">
        <v>44</v>
      </c>
    </row>
    <row r="73" spans="1:19" x14ac:dyDescent="0.35">
      <c r="A73" s="15">
        <v>681</v>
      </c>
      <c r="B73" s="16">
        <v>40574</v>
      </c>
      <c r="C73" s="15">
        <v>1</v>
      </c>
      <c r="D73" s="15">
        <v>0</v>
      </c>
      <c r="E73" s="15">
        <v>1</v>
      </c>
      <c r="F73" s="15">
        <v>16</v>
      </c>
      <c r="G73" s="15" t="str" cm="1">
        <f t="array" ref="G73">_xlfn.IFS(AND(F73&gt;=5,F73&lt;12),"Morning",AND(F73&gt;=12,F73&lt;17),"AfterNoon",AND(F73&gt;=17,F73&lt;20),"Evening",TRUE,"Night")</f>
        <v>AfterNoon</v>
      </c>
      <c r="H73" s="15" t="b">
        <v>0</v>
      </c>
      <c r="I73" s="15">
        <v>1</v>
      </c>
      <c r="J73" s="15" t="str" cm="1">
        <f t="array" ref="J73">_xlfn.IFS(I73=0,"Saturday",I73=1,"Sunday",I73=2,"Monday",I73=3,"Tuesday",I73=4,"Wednesday",I73=5,"Thusday",I73=6,"Friday")</f>
        <v>Sunday</v>
      </c>
      <c r="K73" s="15">
        <v>2</v>
      </c>
      <c r="L73" s="15">
        <v>0.16</v>
      </c>
      <c r="M73" s="15" t="str">
        <f t="shared" si="2"/>
        <v>Rainy</v>
      </c>
      <c r="N73" s="15">
        <v>0.18179999999999999</v>
      </c>
      <c r="O73" s="15">
        <v>0.56000000000000005</v>
      </c>
      <c r="P73" s="15">
        <v>0.19400000000000001</v>
      </c>
      <c r="Q73" s="15">
        <v>3</v>
      </c>
      <c r="R73" s="15">
        <v>83</v>
      </c>
      <c r="S73" s="15">
        <v>86</v>
      </c>
    </row>
    <row r="74" spans="1:19" x14ac:dyDescent="0.35">
      <c r="A74" s="15">
        <v>682</v>
      </c>
      <c r="B74" s="16">
        <v>40574</v>
      </c>
      <c r="C74" s="15">
        <v>1</v>
      </c>
      <c r="D74" s="15">
        <v>0</v>
      </c>
      <c r="E74" s="15">
        <v>1</v>
      </c>
      <c r="F74" s="15">
        <v>17</v>
      </c>
      <c r="G74" s="15" t="str" cm="1">
        <f t="array" ref="G74">_xlfn.IFS(AND(F74&gt;=5,F74&lt;12),"Morning",AND(F74&gt;=12,F74&lt;17),"AfterNoon",AND(F74&gt;=17,F74&lt;20),"Evening",TRUE,"Night")</f>
        <v>Evening</v>
      </c>
      <c r="H74" s="15" t="b">
        <v>0</v>
      </c>
      <c r="I74" s="15">
        <v>1</v>
      </c>
      <c r="J74" s="15" t="str" cm="1">
        <f t="array" ref="J74">_xlfn.IFS(I74=0,"Saturday",I74=1,"Sunday",I74=2,"Monday",I74=3,"Tuesday",I74=4,"Wednesday",I74=5,"Thusday",I74=6,"Friday")</f>
        <v>Sunday</v>
      </c>
      <c r="K74" s="15">
        <v>2</v>
      </c>
      <c r="L74" s="15">
        <v>0.16</v>
      </c>
      <c r="M74" s="15" t="str">
        <f t="shared" si="2"/>
        <v>Rainy</v>
      </c>
      <c r="N74" s="15">
        <v>0.1515</v>
      </c>
      <c r="O74" s="15">
        <v>0.59</v>
      </c>
      <c r="P74" s="15">
        <v>0.19400000000000001</v>
      </c>
      <c r="Q74" s="15">
        <v>6</v>
      </c>
      <c r="R74" s="15">
        <v>155</v>
      </c>
      <c r="S74" s="15">
        <v>161</v>
      </c>
    </row>
    <row r="75" spans="1:19" x14ac:dyDescent="0.35">
      <c r="A75" s="15">
        <v>683</v>
      </c>
      <c r="B75" s="16">
        <v>40574</v>
      </c>
      <c r="C75" s="15">
        <v>1</v>
      </c>
      <c r="D75" s="15">
        <v>0</v>
      </c>
      <c r="E75" s="15">
        <v>1</v>
      </c>
      <c r="F75" s="15">
        <v>18</v>
      </c>
      <c r="G75" s="15" t="str" cm="1">
        <f t="array" ref="G75">_xlfn.IFS(AND(F75&gt;=5,F75&lt;12),"Morning",AND(F75&gt;=12,F75&lt;17),"AfterNoon",AND(F75&gt;=17,F75&lt;20),"Evening",TRUE,"Night")</f>
        <v>Evening</v>
      </c>
      <c r="H75" s="15" t="b">
        <v>0</v>
      </c>
      <c r="I75" s="15">
        <v>1</v>
      </c>
      <c r="J75" s="15" t="str" cm="1">
        <f t="array" ref="J75">_xlfn.IFS(I75=0,"Saturday",I75=1,"Sunday",I75=2,"Monday",I75=3,"Tuesday",I75=4,"Wednesday",I75=5,"Thusday",I75=6,"Friday")</f>
        <v>Sunday</v>
      </c>
      <c r="K75" s="15">
        <v>2</v>
      </c>
      <c r="L75" s="15">
        <v>0.16</v>
      </c>
      <c r="M75" s="15" t="str">
        <f t="shared" si="2"/>
        <v>Rainy</v>
      </c>
      <c r="N75" s="15">
        <v>0.1515</v>
      </c>
      <c r="O75" s="15">
        <v>0.55000000000000004</v>
      </c>
      <c r="P75" s="15">
        <v>0.22389999999999999</v>
      </c>
      <c r="Q75" s="15">
        <v>3</v>
      </c>
      <c r="R75" s="15">
        <v>153</v>
      </c>
      <c r="S75" s="15">
        <v>156</v>
      </c>
    </row>
    <row r="76" spans="1:19" x14ac:dyDescent="0.35">
      <c r="A76" s="15">
        <v>684</v>
      </c>
      <c r="B76" s="16">
        <v>40574</v>
      </c>
      <c r="C76" s="15">
        <v>1</v>
      </c>
      <c r="D76" s="15">
        <v>0</v>
      </c>
      <c r="E76" s="15">
        <v>1</v>
      </c>
      <c r="F76" s="15">
        <v>19</v>
      </c>
      <c r="G76" s="15" t="str" cm="1">
        <f t="array" ref="G76">_xlfn.IFS(AND(F76&gt;=5,F76&lt;12),"Morning",AND(F76&gt;=12,F76&lt;17),"AfterNoon",AND(F76&gt;=17,F76&lt;20),"Evening",TRUE,"Night")</f>
        <v>Evening</v>
      </c>
      <c r="H76" s="15" t="b">
        <v>0</v>
      </c>
      <c r="I76" s="15">
        <v>1</v>
      </c>
      <c r="J76" s="15" t="str" cm="1">
        <f t="array" ref="J76">_xlfn.IFS(I76=0,"Saturday",I76=1,"Sunday",I76=2,"Monday",I76=3,"Tuesday",I76=4,"Wednesday",I76=5,"Thusday",I76=6,"Friday")</f>
        <v>Sunday</v>
      </c>
      <c r="K76" s="15">
        <v>1</v>
      </c>
      <c r="L76" s="15">
        <v>0.3</v>
      </c>
      <c r="M76" s="15" t="str">
        <f t="shared" si="2"/>
        <v>Cloudy</v>
      </c>
      <c r="N76" s="15">
        <v>0.31819999999999998</v>
      </c>
      <c r="O76" s="15">
        <v>0.61</v>
      </c>
      <c r="P76" s="15">
        <v>0.1045</v>
      </c>
      <c r="Q76" s="15">
        <v>3</v>
      </c>
      <c r="R76" s="15">
        <v>108</v>
      </c>
      <c r="S76" s="15">
        <v>111</v>
      </c>
    </row>
    <row r="77" spans="1:19" x14ac:dyDescent="0.35">
      <c r="A77" s="15">
        <v>685</v>
      </c>
      <c r="B77" s="16">
        <v>40574</v>
      </c>
      <c r="C77" s="15">
        <v>1</v>
      </c>
      <c r="D77" s="15">
        <v>0</v>
      </c>
      <c r="E77" s="15">
        <v>1</v>
      </c>
      <c r="F77" s="15">
        <v>20</v>
      </c>
      <c r="G77" s="15" t="str" cm="1">
        <f t="array" ref="G77">_xlfn.IFS(AND(F77&gt;=5,F77&lt;12),"Morning",AND(F77&gt;=12,F77&lt;17),"AfterNoon",AND(F77&gt;=17,F77&lt;20),"Evening",TRUE,"Night")</f>
        <v>Night</v>
      </c>
      <c r="H77" s="15" t="b">
        <v>0</v>
      </c>
      <c r="I77" s="15">
        <v>1</v>
      </c>
      <c r="J77" s="15" t="str" cm="1">
        <f t="array" ref="J77">_xlfn.IFS(I77=0,"Saturday",I77=1,"Sunday",I77=2,"Monday",I77=3,"Tuesday",I77=4,"Wednesday",I77=5,"Thusday",I77=6,"Friday")</f>
        <v>Sunday</v>
      </c>
      <c r="K77" s="15">
        <v>3</v>
      </c>
      <c r="L77" s="15">
        <v>0.16</v>
      </c>
      <c r="M77" s="15" t="str">
        <f t="shared" si="2"/>
        <v>Rainy</v>
      </c>
      <c r="N77" s="15">
        <v>0.16669999999999999</v>
      </c>
      <c r="O77" s="15">
        <v>0.59</v>
      </c>
      <c r="P77" s="15">
        <v>0.16420000000000001</v>
      </c>
      <c r="Q77" s="15">
        <v>0</v>
      </c>
      <c r="R77" s="15">
        <v>78</v>
      </c>
      <c r="S77" s="15">
        <v>78</v>
      </c>
    </row>
    <row r="78" spans="1:19" x14ac:dyDescent="0.35">
      <c r="A78" s="15">
        <v>686</v>
      </c>
      <c r="B78" s="16">
        <v>40574</v>
      </c>
      <c r="C78" s="15">
        <v>1</v>
      </c>
      <c r="D78" s="15">
        <v>0</v>
      </c>
      <c r="E78" s="15">
        <v>1</v>
      </c>
      <c r="F78" s="15">
        <v>21</v>
      </c>
      <c r="G78" s="15" t="str" cm="1">
        <f t="array" ref="G78">_xlfn.IFS(AND(F78&gt;=5,F78&lt;12),"Morning",AND(F78&gt;=12,F78&lt;17),"AfterNoon",AND(F78&gt;=17,F78&lt;20),"Evening",TRUE,"Night")</f>
        <v>Night</v>
      </c>
      <c r="H78" s="15" t="b">
        <v>0</v>
      </c>
      <c r="I78" s="15">
        <v>1</v>
      </c>
      <c r="J78" s="15" t="str" cm="1">
        <f t="array" ref="J78">_xlfn.IFS(I78=0,"Saturday",I78=1,"Sunday",I78=2,"Monday",I78=3,"Tuesday",I78=4,"Wednesday",I78=5,"Thusday",I78=6,"Friday")</f>
        <v>Sunday</v>
      </c>
      <c r="K78" s="15">
        <v>3</v>
      </c>
      <c r="L78" s="15">
        <v>0.16</v>
      </c>
      <c r="M78" s="15" t="str">
        <f t="shared" si="2"/>
        <v>Rainy</v>
      </c>
      <c r="N78" s="15">
        <v>0.19700000000000001</v>
      </c>
      <c r="O78" s="15">
        <v>0.59</v>
      </c>
      <c r="P78" s="15">
        <v>8.9599999999999999E-2</v>
      </c>
      <c r="Q78" s="15">
        <v>3</v>
      </c>
      <c r="R78" s="15">
        <v>53</v>
      </c>
      <c r="S78" s="15">
        <v>56</v>
      </c>
    </row>
    <row r="79" spans="1:19" x14ac:dyDescent="0.35">
      <c r="A79" s="15">
        <v>687</v>
      </c>
      <c r="B79" s="16">
        <v>40574</v>
      </c>
      <c r="C79" s="15">
        <v>1</v>
      </c>
      <c r="D79" s="15">
        <v>0</v>
      </c>
      <c r="E79" s="15">
        <v>1</v>
      </c>
      <c r="F79" s="15">
        <v>22</v>
      </c>
      <c r="G79" s="15" t="str" cm="1">
        <f t="array" ref="G79">_xlfn.IFS(AND(F79&gt;=5,F79&lt;12),"Morning",AND(F79&gt;=12,F79&lt;17),"AfterNoon",AND(F79&gt;=17,F79&lt;20),"Evening",TRUE,"Night")</f>
        <v>Night</v>
      </c>
      <c r="H79" s="15" t="b">
        <v>0</v>
      </c>
      <c r="I79" s="15">
        <v>1</v>
      </c>
      <c r="J79" s="15" t="str" cm="1">
        <f t="array" ref="J79">_xlfn.IFS(I79=0,"Saturday",I79=1,"Sunday",I79=2,"Monday",I79=3,"Tuesday",I79=4,"Wednesday",I79=5,"Thusday",I79=6,"Friday")</f>
        <v>Sunday</v>
      </c>
      <c r="K79" s="15">
        <v>2</v>
      </c>
      <c r="L79" s="15">
        <v>0.16</v>
      </c>
      <c r="M79" s="15" t="str">
        <f t="shared" si="2"/>
        <v>Rainy</v>
      </c>
      <c r="N79" s="15">
        <v>0.18179999999999999</v>
      </c>
      <c r="O79" s="15">
        <v>0.59</v>
      </c>
      <c r="P79" s="15">
        <v>0.1045</v>
      </c>
      <c r="Q79" s="15">
        <v>0</v>
      </c>
      <c r="R79" s="15">
        <v>34</v>
      </c>
      <c r="S79" s="15">
        <v>34</v>
      </c>
    </row>
    <row r="80" spans="1:19" x14ac:dyDescent="0.35">
      <c r="A80" s="15">
        <v>688</v>
      </c>
      <c r="B80" s="16">
        <v>40574</v>
      </c>
      <c r="C80" s="15">
        <v>1</v>
      </c>
      <c r="D80" s="15">
        <v>0</v>
      </c>
      <c r="E80" s="15">
        <v>1</v>
      </c>
      <c r="F80" s="15">
        <v>23</v>
      </c>
      <c r="G80" s="15" t="str" cm="1">
        <f t="array" ref="G80">_xlfn.IFS(AND(F80&gt;=5,F80&lt;12),"Morning",AND(F80&gt;=12,F80&lt;17),"AfterNoon",AND(F80&gt;=17,F80&lt;20),"Evening",TRUE,"Night")</f>
        <v>Night</v>
      </c>
      <c r="H80" s="15" t="b">
        <v>0</v>
      </c>
      <c r="I80" s="15">
        <v>1</v>
      </c>
      <c r="J80" s="15" t="str" cm="1">
        <f t="array" ref="J80">_xlfn.IFS(I80=0,"Saturday",I80=1,"Sunday",I80=2,"Monday",I80=3,"Tuesday",I80=4,"Wednesday",I80=5,"Thusday",I80=6,"Friday")</f>
        <v>Sunday</v>
      </c>
      <c r="K80" s="15">
        <v>2</v>
      </c>
      <c r="L80" s="15">
        <v>0.16</v>
      </c>
      <c r="M80" s="15" t="str">
        <f t="shared" si="2"/>
        <v>Rainy</v>
      </c>
      <c r="N80" s="15">
        <v>0.19700000000000001</v>
      </c>
      <c r="O80" s="15">
        <v>0.64</v>
      </c>
      <c r="P80" s="15">
        <v>8.9599999999999999E-2</v>
      </c>
      <c r="Q80" s="15">
        <v>2</v>
      </c>
      <c r="R80" s="15">
        <v>15</v>
      </c>
      <c r="S80" s="15">
        <v>17</v>
      </c>
    </row>
    <row r="81" spans="1:19" x14ac:dyDescent="0.35">
      <c r="A81" s="15">
        <v>689</v>
      </c>
      <c r="B81" s="16">
        <v>40575</v>
      </c>
      <c r="C81" s="15">
        <v>1</v>
      </c>
      <c r="D81" s="15">
        <v>0</v>
      </c>
      <c r="E81" s="15">
        <v>2</v>
      </c>
      <c r="F81" s="15">
        <v>0</v>
      </c>
      <c r="G81" s="15" t="str" cm="1">
        <f t="array" ref="G81">_xlfn.IFS(AND(F81&gt;=5,F81&lt;12),"Morning",AND(F81&gt;=12,F81&lt;17),"AfterNoon",AND(F81&gt;=17,F81&lt;20),"Evening",TRUE,"Night")</f>
        <v>Night</v>
      </c>
      <c r="H81" s="15" t="b">
        <v>0</v>
      </c>
      <c r="I81" s="15">
        <v>2</v>
      </c>
      <c r="J81" s="15" t="str" cm="1">
        <f t="array" ref="J81">_xlfn.IFS(I81=0,"Saturday",I81=1,"Sunday",I81=2,"Monday",I81=3,"Tuesday",I81=4,"Wednesday",I81=5,"Thusday",I81=6,"Friday")</f>
        <v>Monday</v>
      </c>
      <c r="K81" s="15">
        <v>2</v>
      </c>
      <c r="L81" s="15">
        <v>0.16</v>
      </c>
      <c r="M81" s="15" t="str">
        <f t="shared" si="2"/>
        <v>Rainy</v>
      </c>
      <c r="N81" s="15">
        <v>0.18179999999999999</v>
      </c>
      <c r="O81" s="15">
        <v>0.64</v>
      </c>
      <c r="P81" s="15">
        <v>0.1045</v>
      </c>
      <c r="Q81" s="15">
        <v>2</v>
      </c>
      <c r="R81" s="15">
        <v>6</v>
      </c>
      <c r="S81" s="15">
        <v>8</v>
      </c>
    </row>
    <row r="82" spans="1:19" x14ac:dyDescent="0.35">
      <c r="A82" s="15">
        <v>690</v>
      </c>
      <c r="B82" s="16">
        <v>40575</v>
      </c>
      <c r="C82" s="15">
        <v>1</v>
      </c>
      <c r="D82" s="15">
        <v>0</v>
      </c>
      <c r="E82" s="15">
        <v>2</v>
      </c>
      <c r="F82" s="15">
        <v>1</v>
      </c>
      <c r="G82" s="15" t="str" cm="1">
        <f t="array" ref="G82">_xlfn.IFS(AND(F82&gt;=5,F82&lt;12),"Morning",AND(F82&gt;=12,F82&lt;17),"AfterNoon",AND(F82&gt;=17,F82&lt;20),"Evening",TRUE,"Night")</f>
        <v>Night</v>
      </c>
      <c r="H82" s="15" t="b">
        <v>0</v>
      </c>
      <c r="I82" s="15">
        <v>2</v>
      </c>
      <c r="J82" s="15" t="str" cm="1">
        <f t="array" ref="J82">_xlfn.IFS(I82=0,"Saturday",I82=1,"Sunday",I82=2,"Monday",I82=3,"Tuesday",I82=4,"Wednesday",I82=5,"Thusday",I82=6,"Friday")</f>
        <v>Monday</v>
      </c>
      <c r="K82" s="15">
        <v>2</v>
      </c>
      <c r="L82" s="15">
        <v>0.16</v>
      </c>
      <c r="M82" s="15" t="str">
        <f t="shared" si="2"/>
        <v>Rainy</v>
      </c>
      <c r="N82" s="15">
        <v>0.18179999999999999</v>
      </c>
      <c r="O82" s="15">
        <v>0.69</v>
      </c>
      <c r="P82" s="15">
        <v>0.1045</v>
      </c>
      <c r="Q82" s="15">
        <v>0</v>
      </c>
      <c r="R82" s="15">
        <v>3</v>
      </c>
      <c r="S82" s="15">
        <v>3</v>
      </c>
    </row>
    <row r="83" spans="1:19" x14ac:dyDescent="0.35">
      <c r="A83" s="15">
        <v>691</v>
      </c>
      <c r="B83" s="16">
        <v>40575</v>
      </c>
      <c r="C83" s="15">
        <v>1</v>
      </c>
      <c r="D83" s="15">
        <v>0</v>
      </c>
      <c r="E83" s="15">
        <v>2</v>
      </c>
      <c r="F83" s="15">
        <v>2</v>
      </c>
      <c r="G83" s="15" t="str" cm="1">
        <f t="array" ref="G83">_xlfn.IFS(AND(F83&gt;=5,F83&lt;12),"Morning",AND(F83&gt;=12,F83&lt;17),"AfterNoon",AND(F83&gt;=17,F83&lt;20),"Evening",TRUE,"Night")</f>
        <v>Night</v>
      </c>
      <c r="H83" s="15" t="b">
        <v>0</v>
      </c>
      <c r="I83" s="15">
        <v>2</v>
      </c>
      <c r="J83" s="15" t="str" cm="1">
        <f t="array" ref="J83">_xlfn.IFS(I83=0,"Saturday",I83=1,"Sunday",I83=2,"Monday",I83=3,"Tuesday",I83=4,"Wednesday",I83=5,"Thusday",I83=6,"Friday")</f>
        <v>Monday</v>
      </c>
      <c r="K83" s="15">
        <v>2</v>
      </c>
      <c r="L83" s="15">
        <v>0.16</v>
      </c>
      <c r="M83" s="15" t="str">
        <f t="shared" si="2"/>
        <v>Rainy</v>
      </c>
      <c r="N83" s="15">
        <v>0.2273</v>
      </c>
      <c r="O83" s="15">
        <v>0.69</v>
      </c>
      <c r="P83" s="15">
        <v>0</v>
      </c>
      <c r="Q83" s="15">
        <v>0</v>
      </c>
      <c r="R83" s="15">
        <v>2</v>
      </c>
      <c r="S83" s="15">
        <v>2</v>
      </c>
    </row>
    <row r="84" spans="1:19" x14ac:dyDescent="0.35">
      <c r="A84" s="15">
        <v>692</v>
      </c>
      <c r="B84" s="16">
        <v>40575</v>
      </c>
      <c r="C84" s="15">
        <v>1</v>
      </c>
      <c r="D84" s="15">
        <v>0</v>
      </c>
      <c r="E84" s="15">
        <v>2</v>
      </c>
      <c r="F84" s="15">
        <v>3</v>
      </c>
      <c r="G84" s="15" t="str" cm="1">
        <f t="array" ref="G84">_xlfn.IFS(AND(F84&gt;=5,F84&lt;12),"Morning",AND(F84&gt;=12,F84&lt;17),"AfterNoon",AND(F84&gt;=17,F84&lt;20),"Evening",TRUE,"Night")</f>
        <v>Night</v>
      </c>
      <c r="H84" s="15" t="b">
        <v>0</v>
      </c>
      <c r="I84" s="15">
        <v>2</v>
      </c>
      <c r="J84" s="15" t="str" cm="1">
        <f t="array" ref="J84">_xlfn.IFS(I84=0,"Saturday",I84=1,"Sunday",I84=2,"Monday",I84=3,"Tuesday",I84=4,"Wednesday",I84=5,"Thusday",I84=6,"Friday")</f>
        <v>Monday</v>
      </c>
      <c r="K84" s="15">
        <v>2</v>
      </c>
      <c r="L84" s="15">
        <v>0.16</v>
      </c>
      <c r="M84" s="15" t="str">
        <f t="shared" si="2"/>
        <v>Rainy</v>
      </c>
      <c r="N84" s="15">
        <v>0.2273</v>
      </c>
      <c r="O84" s="15">
        <v>0.69</v>
      </c>
      <c r="P84" s="15">
        <v>0</v>
      </c>
      <c r="Q84" s="15">
        <v>0</v>
      </c>
      <c r="R84" s="15">
        <v>2</v>
      </c>
      <c r="S84" s="15">
        <v>2</v>
      </c>
    </row>
    <row r="85" spans="1:19" x14ac:dyDescent="0.35">
      <c r="A85" s="15">
        <v>693</v>
      </c>
      <c r="B85" s="16">
        <v>40575</v>
      </c>
      <c r="C85" s="15">
        <v>1</v>
      </c>
      <c r="D85" s="15">
        <v>0</v>
      </c>
      <c r="E85" s="15">
        <v>2</v>
      </c>
      <c r="F85" s="15">
        <v>5</v>
      </c>
      <c r="G85" s="15" t="str" cm="1">
        <f t="array" ref="G85">_xlfn.IFS(AND(F85&gt;=5,F85&lt;12),"Morning",AND(F85&gt;=12,F85&lt;17),"AfterNoon",AND(F85&gt;=17,F85&lt;20),"Evening",TRUE,"Night")</f>
        <v>Morning</v>
      </c>
      <c r="H85" s="15" t="b">
        <v>0</v>
      </c>
      <c r="I85" s="15">
        <v>2</v>
      </c>
      <c r="J85" s="15" t="str" cm="1">
        <f t="array" ref="J85">_xlfn.IFS(I85=0,"Saturday",I85=1,"Sunday",I85=2,"Monday",I85=3,"Tuesday",I85=4,"Wednesday",I85=5,"Thusday",I85=6,"Friday")</f>
        <v>Monday</v>
      </c>
      <c r="K85" s="15">
        <v>3</v>
      </c>
      <c r="L85" s="15">
        <v>0.14000000000000001</v>
      </c>
      <c r="M85" s="15" t="str">
        <f t="shared" si="2"/>
        <v>Rainy</v>
      </c>
      <c r="N85" s="15">
        <v>0.21210000000000001</v>
      </c>
      <c r="O85" s="15">
        <v>0.93</v>
      </c>
      <c r="P85" s="15">
        <v>0</v>
      </c>
      <c r="Q85" s="15">
        <v>0</v>
      </c>
      <c r="R85" s="15">
        <v>3</v>
      </c>
      <c r="S85" s="15">
        <v>3</v>
      </c>
    </row>
    <row r="86" spans="1:19" x14ac:dyDescent="0.35">
      <c r="A86" s="15">
        <v>694</v>
      </c>
      <c r="B86" s="16">
        <v>40575</v>
      </c>
      <c r="C86" s="15">
        <v>1</v>
      </c>
      <c r="D86" s="15">
        <v>0</v>
      </c>
      <c r="E86" s="15">
        <v>2</v>
      </c>
      <c r="F86" s="15">
        <v>6</v>
      </c>
      <c r="G86" s="15" t="str" cm="1">
        <f t="array" ref="G86">_xlfn.IFS(AND(F86&gt;=5,F86&lt;12),"Morning",AND(F86&gt;=12,F86&lt;17),"AfterNoon",AND(F86&gt;=17,F86&lt;20),"Evening",TRUE,"Night")</f>
        <v>Morning</v>
      </c>
      <c r="H86" s="15" t="b">
        <v>0</v>
      </c>
      <c r="I86" s="15">
        <v>2</v>
      </c>
      <c r="J86" s="15" t="str" cm="1">
        <f t="array" ref="J86">_xlfn.IFS(I86=0,"Saturday",I86=1,"Sunday",I86=2,"Monday",I86=3,"Tuesday",I86=4,"Wednesday",I86=5,"Thusday",I86=6,"Friday")</f>
        <v>Monday</v>
      </c>
      <c r="K86" s="15">
        <v>3</v>
      </c>
      <c r="L86" s="15">
        <v>0.14000000000000001</v>
      </c>
      <c r="M86" s="15" t="str">
        <f t="shared" si="2"/>
        <v>Rainy</v>
      </c>
      <c r="N86" s="15">
        <v>0.21210000000000001</v>
      </c>
      <c r="O86" s="15">
        <v>0.93</v>
      </c>
      <c r="P86" s="15">
        <v>0</v>
      </c>
      <c r="Q86" s="15">
        <v>0</v>
      </c>
      <c r="R86" s="15">
        <v>22</v>
      </c>
      <c r="S86" s="15">
        <v>22</v>
      </c>
    </row>
    <row r="87" spans="1:19" x14ac:dyDescent="0.35">
      <c r="A87" s="15">
        <v>695</v>
      </c>
      <c r="B87" s="16">
        <v>40575</v>
      </c>
      <c r="C87" s="15">
        <v>1</v>
      </c>
      <c r="D87" s="15">
        <v>0</v>
      </c>
      <c r="E87" s="15">
        <v>2</v>
      </c>
      <c r="F87" s="15">
        <v>7</v>
      </c>
      <c r="G87" s="15" t="str" cm="1">
        <f t="array" ref="G87">_xlfn.IFS(AND(F87&gt;=5,F87&lt;12),"Morning",AND(F87&gt;=12,F87&lt;17),"AfterNoon",AND(F87&gt;=17,F87&lt;20),"Evening",TRUE,"Night")</f>
        <v>Morning</v>
      </c>
      <c r="H87" s="15" t="b">
        <v>0</v>
      </c>
      <c r="I87" s="15">
        <v>2</v>
      </c>
      <c r="J87" s="15" t="str" cm="1">
        <f t="array" ref="J87">_xlfn.IFS(I87=0,"Saturday",I87=1,"Sunday",I87=2,"Monday",I87=3,"Tuesday",I87=4,"Wednesday",I87=5,"Thusday",I87=6,"Friday")</f>
        <v>Monday</v>
      </c>
      <c r="K87" s="15">
        <v>3</v>
      </c>
      <c r="L87" s="15">
        <v>0.16</v>
      </c>
      <c r="M87" s="15" t="str">
        <f t="shared" si="2"/>
        <v>Rainy</v>
      </c>
      <c r="N87" s="15">
        <v>0.2273</v>
      </c>
      <c r="O87" s="15">
        <v>0.93</v>
      </c>
      <c r="P87" s="15">
        <v>0</v>
      </c>
      <c r="Q87" s="15">
        <v>0</v>
      </c>
      <c r="R87" s="15">
        <v>52</v>
      </c>
      <c r="S87" s="15">
        <v>52</v>
      </c>
    </row>
    <row r="88" spans="1:19" x14ac:dyDescent="0.35">
      <c r="A88" s="15">
        <v>696</v>
      </c>
      <c r="B88" s="16">
        <v>40575</v>
      </c>
      <c r="C88" s="15">
        <v>1</v>
      </c>
      <c r="D88" s="15">
        <v>0</v>
      </c>
      <c r="E88" s="15">
        <v>2</v>
      </c>
      <c r="F88" s="15">
        <v>8</v>
      </c>
      <c r="G88" s="15" t="str" cm="1">
        <f t="array" ref="G88">_xlfn.IFS(AND(F88&gt;=5,F88&lt;12),"Morning",AND(F88&gt;=12,F88&lt;17),"AfterNoon",AND(F88&gt;=17,F88&lt;20),"Evening",TRUE,"Night")</f>
        <v>Morning</v>
      </c>
      <c r="H88" s="15" t="b">
        <v>0</v>
      </c>
      <c r="I88" s="15">
        <v>2</v>
      </c>
      <c r="J88" s="15" t="str" cm="1">
        <f t="array" ref="J88">_xlfn.IFS(I88=0,"Saturday",I88=1,"Sunday",I88=2,"Monday",I88=3,"Tuesday",I88=4,"Wednesday",I88=5,"Thusday",I88=6,"Friday")</f>
        <v>Monday</v>
      </c>
      <c r="K88" s="15">
        <v>3</v>
      </c>
      <c r="L88" s="15">
        <v>0.16</v>
      </c>
      <c r="M88" s="15" t="str">
        <f t="shared" si="2"/>
        <v>Rainy</v>
      </c>
      <c r="N88" s="15">
        <v>0.2273</v>
      </c>
      <c r="O88" s="15">
        <v>0.93</v>
      </c>
      <c r="P88" s="15">
        <v>0</v>
      </c>
      <c r="Q88" s="15">
        <v>3</v>
      </c>
      <c r="R88" s="15">
        <v>132</v>
      </c>
      <c r="S88" s="15">
        <v>135</v>
      </c>
    </row>
    <row r="89" spans="1:19" x14ac:dyDescent="0.35">
      <c r="A89" s="15">
        <v>697</v>
      </c>
      <c r="B89" s="16">
        <v>40575</v>
      </c>
      <c r="C89" s="15">
        <v>1</v>
      </c>
      <c r="D89" s="15">
        <v>0</v>
      </c>
      <c r="E89" s="15">
        <v>2</v>
      </c>
      <c r="F89" s="15">
        <v>9</v>
      </c>
      <c r="G89" s="15" t="str" cm="1">
        <f t="array" ref="G89">_xlfn.IFS(AND(F89&gt;=5,F89&lt;12),"Morning",AND(F89&gt;=12,F89&lt;17),"AfterNoon",AND(F89&gt;=17,F89&lt;20),"Evening",TRUE,"Night")</f>
        <v>Morning</v>
      </c>
      <c r="H89" s="15" t="b">
        <v>0</v>
      </c>
      <c r="I89" s="15">
        <v>2</v>
      </c>
      <c r="J89" s="15" t="str" cm="1">
        <f t="array" ref="J89">_xlfn.IFS(I89=0,"Saturday",I89=1,"Sunday",I89=2,"Monday",I89=3,"Tuesday",I89=4,"Wednesday",I89=5,"Thusday",I89=6,"Friday")</f>
        <v>Monday</v>
      </c>
      <c r="K89" s="15">
        <v>2</v>
      </c>
      <c r="L89" s="15">
        <v>0.16</v>
      </c>
      <c r="M89" s="15" t="str">
        <f t="shared" si="2"/>
        <v>Rainy</v>
      </c>
      <c r="N89" s="15">
        <v>0.2273</v>
      </c>
      <c r="O89" s="15">
        <v>0.93</v>
      </c>
      <c r="P89" s="15">
        <v>0</v>
      </c>
      <c r="Q89" s="15">
        <v>2</v>
      </c>
      <c r="R89" s="15">
        <v>114</v>
      </c>
      <c r="S89" s="15">
        <v>116</v>
      </c>
    </row>
    <row r="90" spans="1:19" x14ac:dyDescent="0.35">
      <c r="A90" s="15">
        <v>698</v>
      </c>
      <c r="B90" s="16">
        <v>40575</v>
      </c>
      <c r="C90" s="15">
        <v>1</v>
      </c>
      <c r="D90" s="15">
        <v>0</v>
      </c>
      <c r="E90" s="15">
        <v>2</v>
      </c>
      <c r="F90" s="15">
        <v>10</v>
      </c>
      <c r="G90" s="15" t="str" cm="1">
        <f t="array" ref="G90">_xlfn.IFS(AND(F90&gt;=5,F90&lt;12),"Morning",AND(F90&gt;=12,F90&lt;17),"AfterNoon",AND(F90&gt;=17,F90&lt;20),"Evening",TRUE,"Night")</f>
        <v>Morning</v>
      </c>
      <c r="H90" s="15" t="b">
        <v>0</v>
      </c>
      <c r="I90" s="15">
        <v>2</v>
      </c>
      <c r="J90" s="15" t="str" cm="1">
        <f t="array" ref="J90">_xlfn.IFS(I90=0,"Saturday",I90=1,"Sunday",I90=2,"Monday",I90=3,"Tuesday",I90=4,"Wednesday",I90=5,"Thusday",I90=6,"Friday")</f>
        <v>Monday</v>
      </c>
      <c r="K90" s="15">
        <v>2</v>
      </c>
      <c r="L90" s="15">
        <v>0.16</v>
      </c>
      <c r="M90" s="15" t="str">
        <f t="shared" si="2"/>
        <v>Rainy</v>
      </c>
      <c r="N90" s="15">
        <v>0.2273</v>
      </c>
      <c r="O90" s="15">
        <v>0.93</v>
      </c>
      <c r="P90" s="15">
        <v>0</v>
      </c>
      <c r="Q90" s="15">
        <v>0</v>
      </c>
      <c r="R90" s="15">
        <v>47</v>
      </c>
      <c r="S90" s="15">
        <v>47</v>
      </c>
    </row>
    <row r="91" spans="1:19" x14ac:dyDescent="0.35">
      <c r="A91" s="15">
        <v>699</v>
      </c>
      <c r="B91" s="16">
        <v>40575</v>
      </c>
      <c r="C91" s="15">
        <v>1</v>
      </c>
      <c r="D91" s="15">
        <v>0</v>
      </c>
      <c r="E91" s="15">
        <v>2</v>
      </c>
      <c r="F91" s="15">
        <v>11</v>
      </c>
      <c r="G91" s="15" t="str" cm="1">
        <f t="array" ref="G91">_xlfn.IFS(AND(F91&gt;=5,F91&lt;12),"Morning",AND(F91&gt;=12,F91&lt;17),"AfterNoon",AND(F91&gt;=17,F91&lt;20),"Evening",TRUE,"Night")</f>
        <v>Morning</v>
      </c>
      <c r="H91" s="15" t="b">
        <v>0</v>
      </c>
      <c r="I91" s="15">
        <v>2</v>
      </c>
      <c r="J91" s="15" t="str" cm="1">
        <f t="array" ref="J91">_xlfn.IFS(I91=0,"Saturday",I91=1,"Sunday",I91=2,"Monday",I91=3,"Tuesday",I91=4,"Wednesday",I91=5,"Thusday",I91=6,"Friday")</f>
        <v>Monday</v>
      </c>
      <c r="K91" s="15">
        <v>2</v>
      </c>
      <c r="L91" s="15">
        <v>0.18</v>
      </c>
      <c r="M91" s="15" t="str">
        <f t="shared" si="2"/>
        <v>Rainy</v>
      </c>
      <c r="N91" s="15">
        <v>0.2424</v>
      </c>
      <c r="O91" s="15">
        <v>0.86</v>
      </c>
      <c r="P91" s="15">
        <v>0</v>
      </c>
      <c r="Q91" s="15">
        <v>2</v>
      </c>
      <c r="R91" s="15">
        <v>49</v>
      </c>
      <c r="S91" s="15">
        <v>51</v>
      </c>
    </row>
    <row r="92" spans="1:19" x14ac:dyDescent="0.35">
      <c r="A92" s="15">
        <v>700</v>
      </c>
      <c r="B92" s="16">
        <v>40575</v>
      </c>
      <c r="C92" s="15">
        <v>1</v>
      </c>
      <c r="D92" s="15">
        <v>0</v>
      </c>
      <c r="E92" s="15">
        <v>2</v>
      </c>
      <c r="F92" s="15">
        <v>12</v>
      </c>
      <c r="G92" s="15" t="str" cm="1">
        <f t="array" ref="G92">_xlfn.IFS(AND(F92&gt;=5,F92&lt;12),"Morning",AND(F92&gt;=12,F92&lt;17),"AfterNoon",AND(F92&gt;=17,F92&lt;20),"Evening",TRUE,"Night")</f>
        <v>AfterNoon</v>
      </c>
      <c r="H92" s="15" t="b">
        <v>0</v>
      </c>
      <c r="I92" s="15">
        <v>2</v>
      </c>
      <c r="J92" s="15" t="str" cm="1">
        <f t="array" ref="J92">_xlfn.IFS(I92=0,"Saturday",I92=1,"Sunday",I92=2,"Monday",I92=3,"Tuesday",I92=4,"Wednesday",I92=5,"Thusday",I92=6,"Friday")</f>
        <v>Monday</v>
      </c>
      <c r="K92" s="15">
        <v>2</v>
      </c>
      <c r="L92" s="15">
        <v>0.2</v>
      </c>
      <c r="M92" s="15" t="str">
        <f t="shared" si="2"/>
        <v>Rainy</v>
      </c>
      <c r="N92" s="15">
        <v>0.2576</v>
      </c>
      <c r="O92" s="15">
        <v>0.86</v>
      </c>
      <c r="P92" s="15">
        <v>0</v>
      </c>
      <c r="Q92" s="15">
        <v>2</v>
      </c>
      <c r="R92" s="15">
        <v>53</v>
      </c>
      <c r="S92" s="15">
        <v>55</v>
      </c>
    </row>
    <row r="93" spans="1:19" x14ac:dyDescent="0.35">
      <c r="A93" s="15">
        <v>701</v>
      </c>
      <c r="B93" s="16">
        <v>40575</v>
      </c>
      <c r="C93" s="15">
        <v>1</v>
      </c>
      <c r="D93" s="15">
        <v>0</v>
      </c>
      <c r="E93" s="15">
        <v>2</v>
      </c>
      <c r="F93" s="15">
        <v>13</v>
      </c>
      <c r="G93" s="15" t="str" cm="1">
        <f t="array" ref="G93">_xlfn.IFS(AND(F93&gt;=5,F93&lt;12),"Morning",AND(F93&gt;=12,F93&lt;17),"AfterNoon",AND(F93&gt;=17,F93&lt;20),"Evening",TRUE,"Night")</f>
        <v>AfterNoon</v>
      </c>
      <c r="H93" s="15" t="b">
        <v>0</v>
      </c>
      <c r="I93" s="15">
        <v>2</v>
      </c>
      <c r="J93" s="15" t="str" cm="1">
        <f t="array" ref="J93">_xlfn.IFS(I93=0,"Saturday",I93=1,"Sunday",I93=2,"Monday",I93=3,"Tuesday",I93=4,"Wednesday",I93=5,"Thusday",I93=6,"Friday")</f>
        <v>Monday</v>
      </c>
      <c r="K93" s="15">
        <v>2</v>
      </c>
      <c r="L93" s="15">
        <v>0.2</v>
      </c>
      <c r="M93" s="15" t="str">
        <f t="shared" si="2"/>
        <v>Rainy</v>
      </c>
      <c r="N93" s="15">
        <v>0.2576</v>
      </c>
      <c r="O93" s="15">
        <v>0.86</v>
      </c>
      <c r="P93" s="15">
        <v>0</v>
      </c>
      <c r="Q93" s="15">
        <v>3</v>
      </c>
      <c r="R93" s="15">
        <v>49</v>
      </c>
      <c r="S93" s="15">
        <v>52</v>
      </c>
    </row>
    <row r="94" spans="1:19" x14ac:dyDescent="0.35">
      <c r="A94" s="15">
        <v>702</v>
      </c>
      <c r="B94" s="16">
        <v>40575</v>
      </c>
      <c r="C94" s="15">
        <v>1</v>
      </c>
      <c r="D94" s="15">
        <v>0</v>
      </c>
      <c r="E94" s="15">
        <v>2</v>
      </c>
      <c r="F94" s="15">
        <v>14</v>
      </c>
      <c r="G94" s="15" t="str" cm="1">
        <f t="array" ref="G94">_xlfn.IFS(AND(F94&gt;=5,F94&lt;12),"Morning",AND(F94&gt;=12,F94&lt;17),"AfterNoon",AND(F94&gt;=17,F94&lt;20),"Evening",TRUE,"Night")</f>
        <v>AfterNoon</v>
      </c>
      <c r="H94" s="15" t="b">
        <v>0</v>
      </c>
      <c r="I94" s="15">
        <v>2</v>
      </c>
      <c r="J94" s="15" t="str" cm="1">
        <f t="array" ref="J94">_xlfn.IFS(I94=0,"Saturday",I94=1,"Sunday",I94=2,"Monday",I94=3,"Tuesday",I94=4,"Wednesday",I94=5,"Thusday",I94=6,"Friday")</f>
        <v>Monday</v>
      </c>
      <c r="K94" s="15">
        <v>2</v>
      </c>
      <c r="L94" s="15">
        <v>0.22</v>
      </c>
      <c r="M94" s="15" t="str">
        <f t="shared" si="2"/>
        <v>Cloudy</v>
      </c>
      <c r="N94" s="15">
        <v>0.2576</v>
      </c>
      <c r="O94" s="15">
        <v>0.8</v>
      </c>
      <c r="P94" s="15">
        <v>8.9599999999999999E-2</v>
      </c>
      <c r="Q94" s="15">
        <v>5</v>
      </c>
      <c r="R94" s="15">
        <v>49</v>
      </c>
      <c r="S94" s="15">
        <v>54</v>
      </c>
    </row>
    <row r="95" spans="1:19" x14ac:dyDescent="0.35">
      <c r="A95" s="15">
        <v>703</v>
      </c>
      <c r="B95" s="16">
        <v>40575</v>
      </c>
      <c r="C95" s="15">
        <v>1</v>
      </c>
      <c r="D95" s="15">
        <v>0</v>
      </c>
      <c r="E95" s="15">
        <v>2</v>
      </c>
      <c r="F95" s="15">
        <v>15</v>
      </c>
      <c r="G95" s="15" t="str" cm="1">
        <f t="array" ref="G95">_xlfn.IFS(AND(F95&gt;=5,F95&lt;12),"Morning",AND(F95&gt;=12,F95&lt;17),"AfterNoon",AND(F95&gt;=17,F95&lt;20),"Evening",TRUE,"Night")</f>
        <v>AfterNoon</v>
      </c>
      <c r="H95" s="15" t="b">
        <v>0</v>
      </c>
      <c r="I95" s="15">
        <v>2</v>
      </c>
      <c r="J95" s="15" t="str" cm="1">
        <f t="array" ref="J95">_xlfn.IFS(I95=0,"Saturday",I95=1,"Sunday",I95=2,"Monday",I95=3,"Tuesday",I95=4,"Wednesday",I95=5,"Thusday",I95=6,"Friday")</f>
        <v>Monday</v>
      </c>
      <c r="K95" s="15">
        <v>2</v>
      </c>
      <c r="L95" s="15">
        <v>0.24</v>
      </c>
      <c r="M95" s="15" t="str">
        <f t="shared" si="2"/>
        <v>Cloudy</v>
      </c>
      <c r="N95" s="15">
        <v>0.28789999999999999</v>
      </c>
      <c r="O95" s="15">
        <v>0.75</v>
      </c>
      <c r="P95" s="15">
        <v>0</v>
      </c>
      <c r="Q95" s="15">
        <v>7</v>
      </c>
      <c r="R95" s="15">
        <v>45</v>
      </c>
      <c r="S95" s="15">
        <v>52</v>
      </c>
    </row>
    <row r="96" spans="1:19" x14ac:dyDescent="0.35">
      <c r="A96" s="15">
        <v>704</v>
      </c>
      <c r="B96" s="16">
        <v>40575</v>
      </c>
      <c r="C96" s="15">
        <v>1</v>
      </c>
      <c r="D96" s="15">
        <v>0</v>
      </c>
      <c r="E96" s="15">
        <v>2</v>
      </c>
      <c r="F96" s="15">
        <v>16</v>
      </c>
      <c r="G96" s="15" t="str" cm="1">
        <f t="array" ref="G96">_xlfn.IFS(AND(F96&gt;=5,F96&lt;12),"Morning",AND(F96&gt;=12,F96&lt;17),"AfterNoon",AND(F96&gt;=17,F96&lt;20),"Evening",TRUE,"Night")</f>
        <v>AfterNoon</v>
      </c>
      <c r="H96" s="15" t="b">
        <v>0</v>
      </c>
      <c r="I96" s="15">
        <v>2</v>
      </c>
      <c r="J96" s="15" t="str" cm="1">
        <f t="array" ref="J96">_xlfn.IFS(I96=0,"Saturday",I96=1,"Sunday",I96=2,"Monday",I96=3,"Tuesday",I96=4,"Wednesday",I96=5,"Thusday",I96=6,"Friday")</f>
        <v>Monday</v>
      </c>
      <c r="K96" s="15">
        <v>2</v>
      </c>
      <c r="L96" s="15">
        <v>0.24</v>
      </c>
      <c r="M96" s="15" t="str">
        <f t="shared" si="2"/>
        <v>Cloudy</v>
      </c>
      <c r="N96" s="15">
        <v>0.2424</v>
      </c>
      <c r="O96" s="15">
        <v>0.75</v>
      </c>
      <c r="P96" s="15">
        <v>0.1343</v>
      </c>
      <c r="Q96" s="15">
        <v>3</v>
      </c>
      <c r="R96" s="15">
        <v>61</v>
      </c>
      <c r="S96" s="15">
        <v>64</v>
      </c>
    </row>
    <row r="97" spans="1:19" x14ac:dyDescent="0.35">
      <c r="A97" s="15">
        <v>705</v>
      </c>
      <c r="B97" s="16">
        <v>40575</v>
      </c>
      <c r="C97" s="15">
        <v>1</v>
      </c>
      <c r="D97" s="15">
        <v>0</v>
      </c>
      <c r="E97" s="15">
        <v>2</v>
      </c>
      <c r="F97" s="15">
        <v>17</v>
      </c>
      <c r="G97" s="15" t="str" cm="1">
        <f t="array" ref="G97">_xlfn.IFS(AND(F97&gt;=5,F97&lt;12),"Morning",AND(F97&gt;=12,F97&lt;17),"AfterNoon",AND(F97&gt;=17,F97&lt;20),"Evening",TRUE,"Night")</f>
        <v>Evening</v>
      </c>
      <c r="H97" s="15" t="b">
        <v>0</v>
      </c>
      <c r="I97" s="15">
        <v>2</v>
      </c>
      <c r="J97" s="15" t="str" cm="1">
        <f t="array" ref="J97">_xlfn.IFS(I97=0,"Saturday",I97=1,"Sunday",I97=2,"Monday",I97=3,"Tuesday",I97=4,"Wednesday",I97=5,"Thusday",I97=6,"Friday")</f>
        <v>Monday</v>
      </c>
      <c r="K97" s="15">
        <v>2</v>
      </c>
      <c r="L97" s="15">
        <v>0.24</v>
      </c>
      <c r="M97" s="15" t="str">
        <f t="shared" si="2"/>
        <v>Cloudy</v>
      </c>
      <c r="N97" s="15">
        <v>0.28789999999999999</v>
      </c>
      <c r="O97" s="15">
        <v>0.75</v>
      </c>
      <c r="P97" s="15">
        <v>0</v>
      </c>
      <c r="Q97" s="15">
        <v>4</v>
      </c>
      <c r="R97" s="15">
        <v>172</v>
      </c>
      <c r="S97" s="15">
        <v>176</v>
      </c>
    </row>
    <row r="98" spans="1:19" x14ac:dyDescent="0.35">
      <c r="A98" s="15">
        <v>706</v>
      </c>
      <c r="B98" s="16">
        <v>40575</v>
      </c>
      <c r="C98" s="15">
        <v>1</v>
      </c>
      <c r="D98" s="15">
        <v>0</v>
      </c>
      <c r="E98" s="15">
        <v>2</v>
      </c>
      <c r="F98" s="15">
        <v>18</v>
      </c>
      <c r="G98" s="15" t="str" cm="1">
        <f t="array" ref="G98">_xlfn.IFS(AND(F98&gt;=5,F98&lt;12),"Morning",AND(F98&gt;=12,F98&lt;17),"AfterNoon",AND(F98&gt;=17,F98&lt;20),"Evening",TRUE,"Night")</f>
        <v>Evening</v>
      </c>
      <c r="H98" s="15" t="b">
        <v>0</v>
      </c>
      <c r="I98" s="15">
        <v>2</v>
      </c>
      <c r="J98" s="15" t="str" cm="1">
        <f t="array" ref="J98">_xlfn.IFS(I98=0,"Saturday",I98=1,"Sunday",I98=2,"Monday",I98=3,"Tuesday",I98=4,"Wednesday",I98=5,"Thusday",I98=6,"Friday")</f>
        <v>Monday</v>
      </c>
      <c r="K98" s="15">
        <v>2</v>
      </c>
      <c r="L98" s="15">
        <v>0.24</v>
      </c>
      <c r="M98" s="15" t="str">
        <f t="shared" si="2"/>
        <v>Cloudy</v>
      </c>
      <c r="N98" s="15">
        <v>0.2576</v>
      </c>
      <c r="O98" s="15">
        <v>0.81</v>
      </c>
      <c r="P98" s="15">
        <v>0.1045</v>
      </c>
      <c r="Q98" s="15">
        <v>3</v>
      </c>
      <c r="R98" s="15">
        <v>165</v>
      </c>
      <c r="S98" s="15">
        <v>168</v>
      </c>
    </row>
    <row r="99" spans="1:19" x14ac:dyDescent="0.35">
      <c r="A99" s="15">
        <v>707</v>
      </c>
      <c r="B99" s="16">
        <v>40575</v>
      </c>
      <c r="C99" s="15">
        <v>1</v>
      </c>
      <c r="D99" s="15">
        <v>0</v>
      </c>
      <c r="E99" s="15">
        <v>2</v>
      </c>
      <c r="F99" s="15">
        <v>19</v>
      </c>
      <c r="G99" s="15" t="str" cm="1">
        <f t="array" ref="G99">_xlfn.IFS(AND(F99&gt;=5,F99&lt;12),"Morning",AND(F99&gt;=12,F99&lt;17),"AfterNoon",AND(F99&gt;=17,F99&lt;20),"Evening",TRUE,"Night")</f>
        <v>Evening</v>
      </c>
      <c r="H99" s="15" t="b">
        <v>0</v>
      </c>
      <c r="I99" s="15">
        <v>2</v>
      </c>
      <c r="J99" s="15" t="str" cm="1">
        <f t="array" ref="J99">_xlfn.IFS(I99=0,"Saturday",I99=1,"Sunday",I99=2,"Monday",I99=3,"Tuesday",I99=4,"Wednesday",I99=5,"Thusday",I99=6,"Friday")</f>
        <v>Monday</v>
      </c>
      <c r="K99" s="15">
        <v>2</v>
      </c>
      <c r="L99" s="15">
        <v>0.24</v>
      </c>
      <c r="M99" s="15" t="str">
        <f t="shared" si="2"/>
        <v>Cloudy</v>
      </c>
      <c r="N99" s="15">
        <v>0.2424</v>
      </c>
      <c r="O99" s="15">
        <v>0.81</v>
      </c>
      <c r="P99" s="15">
        <v>0.1343</v>
      </c>
      <c r="Q99" s="15">
        <v>3</v>
      </c>
      <c r="R99" s="15">
        <v>105</v>
      </c>
      <c r="S99" s="15">
        <v>108</v>
      </c>
    </row>
    <row r="100" spans="1:19" x14ac:dyDescent="0.35">
      <c r="A100" s="15">
        <v>708</v>
      </c>
      <c r="B100" s="16">
        <v>40575</v>
      </c>
      <c r="C100" s="15">
        <v>1</v>
      </c>
      <c r="D100" s="15">
        <v>0</v>
      </c>
      <c r="E100" s="15">
        <v>2</v>
      </c>
      <c r="F100" s="15">
        <v>20</v>
      </c>
      <c r="G100" s="15" t="str" cm="1">
        <f t="array" ref="G100">_xlfn.IFS(AND(F100&gt;=5,F100&lt;12),"Morning",AND(F100&gt;=12,F100&lt;17),"AfterNoon",AND(F100&gt;=17,F100&lt;20),"Evening",TRUE,"Night")</f>
        <v>Night</v>
      </c>
      <c r="H100" s="15" t="b">
        <v>0</v>
      </c>
      <c r="I100" s="15">
        <v>2</v>
      </c>
      <c r="J100" s="15" t="str" cm="1">
        <f t="array" ref="J100">_xlfn.IFS(I100=0,"Saturday",I100=1,"Sunday",I100=2,"Monday",I100=3,"Tuesday",I100=4,"Wednesday",I100=5,"Thusday",I100=6,"Friday")</f>
        <v>Monday</v>
      </c>
      <c r="K100" s="15">
        <v>2</v>
      </c>
      <c r="L100" s="15">
        <v>0.22</v>
      </c>
      <c r="M100" s="15" t="str">
        <f t="shared" si="2"/>
        <v>Cloudy</v>
      </c>
      <c r="N100" s="15">
        <v>0.2273</v>
      </c>
      <c r="O100" s="15">
        <v>0.87</v>
      </c>
      <c r="P100" s="15">
        <v>0.1343</v>
      </c>
      <c r="Q100" s="15">
        <v>5</v>
      </c>
      <c r="R100" s="15">
        <v>69</v>
      </c>
      <c r="S100" s="15">
        <v>74</v>
      </c>
    </row>
    <row r="101" spans="1:19" x14ac:dyDescent="0.35">
      <c r="A101" s="15">
        <v>709</v>
      </c>
      <c r="B101" s="16">
        <v>40575</v>
      </c>
      <c r="C101" s="15">
        <v>1</v>
      </c>
      <c r="D101" s="15">
        <v>0</v>
      </c>
      <c r="E101" s="15">
        <v>2</v>
      </c>
      <c r="F101" s="15">
        <v>21</v>
      </c>
      <c r="G101" s="15" t="str" cm="1">
        <f t="array" ref="G101">_xlfn.IFS(AND(F101&gt;=5,F101&lt;12),"Morning",AND(F101&gt;=12,F101&lt;17),"AfterNoon",AND(F101&gt;=17,F101&lt;20),"Evening",TRUE,"Night")</f>
        <v>Night</v>
      </c>
      <c r="H101" s="15" t="b">
        <v>0</v>
      </c>
      <c r="I101" s="15">
        <v>2</v>
      </c>
      <c r="J101" s="15" t="str" cm="1">
        <f t="array" ref="J101">_xlfn.IFS(I101=0,"Saturday",I101=1,"Sunday",I101=2,"Monday",I101=3,"Tuesday",I101=4,"Wednesday",I101=5,"Thusday",I101=6,"Friday")</f>
        <v>Monday</v>
      </c>
      <c r="K101" s="15">
        <v>2</v>
      </c>
      <c r="L101" s="15">
        <v>0.22</v>
      </c>
      <c r="M101" s="15" t="str">
        <f t="shared" si="2"/>
        <v>Cloudy</v>
      </c>
      <c r="N101" s="15">
        <v>0.2273</v>
      </c>
      <c r="O101" s="15">
        <v>0.87</v>
      </c>
      <c r="P101" s="15">
        <v>0.1343</v>
      </c>
      <c r="Q101" s="15">
        <v>0</v>
      </c>
      <c r="R101" s="15">
        <v>64</v>
      </c>
      <c r="S101" s="15">
        <v>64</v>
      </c>
    </row>
    <row r="102" spans="1:19" x14ac:dyDescent="0.35">
      <c r="A102" s="15">
        <v>710</v>
      </c>
      <c r="B102" s="16">
        <v>40575</v>
      </c>
      <c r="C102" s="15">
        <v>1</v>
      </c>
      <c r="D102" s="15">
        <v>0</v>
      </c>
      <c r="E102" s="15">
        <v>2</v>
      </c>
      <c r="F102" s="15">
        <v>22</v>
      </c>
      <c r="G102" s="15" t="str" cm="1">
        <f t="array" ref="G102">_xlfn.IFS(AND(F102&gt;=5,F102&lt;12),"Morning",AND(F102&gt;=12,F102&lt;17),"AfterNoon",AND(F102&gt;=17,F102&lt;20),"Evening",TRUE,"Night")</f>
        <v>Night</v>
      </c>
      <c r="H102" s="15" t="b">
        <v>0</v>
      </c>
      <c r="I102" s="15">
        <v>2</v>
      </c>
      <c r="J102" s="15" t="str" cm="1">
        <f t="array" ref="J102">_xlfn.IFS(I102=0,"Saturday",I102=1,"Sunday",I102=2,"Monday",I102=3,"Tuesday",I102=4,"Wednesday",I102=5,"Thusday",I102=6,"Friday")</f>
        <v>Monday</v>
      </c>
      <c r="K102" s="15">
        <v>2</v>
      </c>
      <c r="L102" s="15">
        <v>0.22</v>
      </c>
      <c r="M102" s="15" t="str">
        <f t="shared" si="2"/>
        <v>Cloudy</v>
      </c>
      <c r="N102" s="15">
        <v>0.2576</v>
      </c>
      <c r="O102" s="15">
        <v>0.87</v>
      </c>
      <c r="P102" s="15">
        <v>8.9599999999999999E-2</v>
      </c>
      <c r="Q102" s="15">
        <v>2</v>
      </c>
      <c r="R102" s="15">
        <v>34</v>
      </c>
      <c r="S102" s="15">
        <v>36</v>
      </c>
    </row>
    <row r="103" spans="1:19" x14ac:dyDescent="0.35">
      <c r="A103" s="15">
        <v>711</v>
      </c>
      <c r="B103" s="16">
        <v>40575</v>
      </c>
      <c r="C103" s="15">
        <v>1</v>
      </c>
      <c r="D103" s="15">
        <v>0</v>
      </c>
      <c r="E103" s="15">
        <v>2</v>
      </c>
      <c r="F103" s="15">
        <v>23</v>
      </c>
      <c r="G103" s="15" t="str" cm="1">
        <f t="array" ref="G103">_xlfn.IFS(AND(F103&gt;=5,F103&lt;12),"Morning",AND(F103&gt;=12,F103&lt;17),"AfterNoon",AND(F103&gt;=17,F103&lt;20),"Evening",TRUE,"Night")</f>
        <v>Night</v>
      </c>
      <c r="H103" s="15" t="b">
        <v>0</v>
      </c>
      <c r="I103" s="15">
        <v>2</v>
      </c>
      <c r="J103" s="15" t="str" cm="1">
        <f t="array" ref="J103">_xlfn.IFS(I103=0,"Saturday",I103=1,"Sunday",I103=2,"Monday",I103=3,"Tuesday",I103=4,"Wednesday",I103=5,"Thusday",I103=6,"Friday")</f>
        <v>Monday</v>
      </c>
      <c r="K103" s="15">
        <v>3</v>
      </c>
      <c r="L103" s="15">
        <v>0.2</v>
      </c>
      <c r="M103" s="15" t="str">
        <f t="shared" si="2"/>
        <v>Rainy</v>
      </c>
      <c r="N103" s="15">
        <v>0.19700000000000001</v>
      </c>
      <c r="O103" s="15">
        <v>0.93</v>
      </c>
      <c r="P103" s="15">
        <v>0.19400000000000001</v>
      </c>
      <c r="Q103" s="15">
        <v>1</v>
      </c>
      <c r="R103" s="15">
        <v>15</v>
      </c>
      <c r="S103" s="15">
        <v>16</v>
      </c>
    </row>
    <row r="104" spans="1:19" x14ac:dyDescent="0.35">
      <c r="A104" s="15">
        <v>712</v>
      </c>
      <c r="B104" s="16">
        <v>40576</v>
      </c>
      <c r="C104" s="15">
        <v>1</v>
      </c>
      <c r="D104" s="15">
        <v>0</v>
      </c>
      <c r="E104" s="15">
        <v>2</v>
      </c>
      <c r="F104" s="15">
        <v>0</v>
      </c>
      <c r="G104" s="15" t="str" cm="1">
        <f t="array" ref="G104">_xlfn.IFS(AND(F104&gt;=5,F104&lt;12),"Morning",AND(F104&gt;=12,F104&lt;17),"AfterNoon",AND(F104&gt;=17,F104&lt;20),"Evening",TRUE,"Night")</f>
        <v>Night</v>
      </c>
      <c r="H104" s="15" t="b">
        <v>0</v>
      </c>
      <c r="I104" s="15">
        <v>3</v>
      </c>
      <c r="J104" s="15" t="str" cm="1">
        <f t="array" ref="J104">_xlfn.IFS(I104=0,"Saturday",I104=1,"Sunday",I104=2,"Monday",I104=3,"Tuesday",I104=4,"Wednesday",I104=5,"Thusday",I104=6,"Friday")</f>
        <v>Tuesday</v>
      </c>
      <c r="K104" s="15">
        <v>3</v>
      </c>
      <c r="L104" s="15">
        <v>0.22</v>
      </c>
      <c r="M104" s="15" t="str">
        <f t="shared" si="2"/>
        <v>Cloudy</v>
      </c>
      <c r="N104" s="15">
        <v>0.2424</v>
      </c>
      <c r="O104" s="15">
        <v>0.93</v>
      </c>
      <c r="P104" s="15">
        <v>0.1045</v>
      </c>
      <c r="Q104" s="15">
        <v>0</v>
      </c>
      <c r="R104" s="15">
        <v>2</v>
      </c>
      <c r="S104" s="15">
        <v>2</v>
      </c>
    </row>
    <row r="105" spans="1:19" x14ac:dyDescent="0.35">
      <c r="A105" s="15">
        <v>713</v>
      </c>
      <c r="B105" s="16">
        <v>40576</v>
      </c>
      <c r="C105" s="15">
        <v>1</v>
      </c>
      <c r="D105" s="15">
        <v>0</v>
      </c>
      <c r="E105" s="15">
        <v>2</v>
      </c>
      <c r="F105" s="15">
        <v>1</v>
      </c>
      <c r="G105" s="15" t="str" cm="1">
        <f t="array" ref="G105">_xlfn.IFS(AND(F105&gt;=5,F105&lt;12),"Morning",AND(F105&gt;=12,F105&lt;17),"AfterNoon",AND(F105&gt;=17,F105&lt;20),"Evening",TRUE,"Night")</f>
        <v>Night</v>
      </c>
      <c r="H105" s="15" t="b">
        <v>0</v>
      </c>
      <c r="I105" s="15">
        <v>3</v>
      </c>
      <c r="J105" s="15" t="str" cm="1">
        <f t="array" ref="J105">_xlfn.IFS(I105=0,"Saturday",I105=1,"Sunday",I105=2,"Monday",I105=3,"Tuesday",I105=4,"Wednesday",I105=5,"Thusday",I105=6,"Friday")</f>
        <v>Tuesday</v>
      </c>
      <c r="K105" s="15">
        <v>3</v>
      </c>
      <c r="L105" s="15">
        <v>0.22</v>
      </c>
      <c r="M105" s="15" t="str">
        <f t="shared" si="2"/>
        <v>Cloudy</v>
      </c>
      <c r="N105" s="15">
        <v>0.2273</v>
      </c>
      <c r="O105" s="15">
        <v>0.93</v>
      </c>
      <c r="P105" s="15">
        <v>0.19400000000000001</v>
      </c>
      <c r="Q105" s="15">
        <v>0</v>
      </c>
      <c r="R105" s="15">
        <v>3</v>
      </c>
      <c r="S105" s="15">
        <v>3</v>
      </c>
    </row>
    <row r="106" spans="1:19" x14ac:dyDescent="0.35">
      <c r="A106" s="15">
        <v>714</v>
      </c>
      <c r="B106" s="16">
        <v>40576</v>
      </c>
      <c r="C106" s="15">
        <v>1</v>
      </c>
      <c r="D106" s="15">
        <v>0</v>
      </c>
      <c r="E106" s="15">
        <v>2</v>
      </c>
      <c r="F106" s="15">
        <v>2</v>
      </c>
      <c r="G106" s="15" t="str" cm="1">
        <f t="array" ref="G106">_xlfn.IFS(AND(F106&gt;=5,F106&lt;12),"Morning",AND(F106&gt;=12,F106&lt;17),"AfterNoon",AND(F106&gt;=17,F106&lt;20),"Evening",TRUE,"Night")</f>
        <v>Night</v>
      </c>
      <c r="H106" s="15" t="b">
        <v>0</v>
      </c>
      <c r="I106" s="15">
        <v>3</v>
      </c>
      <c r="J106" s="15" t="str" cm="1">
        <f t="array" ref="J106">_xlfn.IFS(I106=0,"Saturday",I106=1,"Sunday",I106=2,"Monday",I106=3,"Tuesday",I106=4,"Wednesday",I106=5,"Thusday",I106=6,"Friday")</f>
        <v>Tuesday</v>
      </c>
      <c r="K106" s="15">
        <v>3</v>
      </c>
      <c r="L106" s="15">
        <v>0.22</v>
      </c>
      <c r="M106" s="15" t="str">
        <f t="shared" si="2"/>
        <v>Cloudy</v>
      </c>
      <c r="N106" s="15">
        <v>0.2273</v>
      </c>
      <c r="O106" s="15">
        <v>0.93</v>
      </c>
      <c r="P106" s="15">
        <v>0.1343</v>
      </c>
      <c r="Q106" s="15">
        <v>4</v>
      </c>
      <c r="R106" s="15">
        <v>0</v>
      </c>
      <c r="S106" s="15">
        <v>4</v>
      </c>
    </row>
    <row r="107" spans="1:19" x14ac:dyDescent="0.35">
      <c r="A107" s="15">
        <v>715</v>
      </c>
      <c r="B107" s="16">
        <v>40576</v>
      </c>
      <c r="C107" s="15">
        <v>1</v>
      </c>
      <c r="D107" s="15">
        <v>0</v>
      </c>
      <c r="E107" s="15">
        <v>2</v>
      </c>
      <c r="F107" s="15">
        <v>3</v>
      </c>
      <c r="G107" s="15" t="str" cm="1">
        <f t="array" ref="G107">_xlfn.IFS(AND(F107&gt;=5,F107&lt;12),"Morning",AND(F107&gt;=12,F107&lt;17),"AfterNoon",AND(F107&gt;=17,F107&lt;20),"Evening",TRUE,"Night")</f>
        <v>Night</v>
      </c>
      <c r="H107" s="15" t="b">
        <v>0</v>
      </c>
      <c r="I107" s="15">
        <v>3</v>
      </c>
      <c r="J107" s="15" t="str" cm="1">
        <f t="array" ref="J107">_xlfn.IFS(I107=0,"Saturday",I107=1,"Sunday",I107=2,"Monday",I107=3,"Tuesday",I107=4,"Wednesday",I107=5,"Thusday",I107=6,"Friday")</f>
        <v>Tuesday</v>
      </c>
      <c r="K107" s="15">
        <v>3</v>
      </c>
      <c r="L107" s="15">
        <v>0.22</v>
      </c>
      <c r="M107" s="15" t="str">
        <f t="shared" si="2"/>
        <v>Cloudy</v>
      </c>
      <c r="N107" s="15">
        <v>0.2273</v>
      </c>
      <c r="O107" s="15">
        <v>0.93</v>
      </c>
      <c r="P107" s="15">
        <v>0.1343</v>
      </c>
      <c r="Q107" s="15">
        <v>0</v>
      </c>
      <c r="R107" s="15">
        <v>1</v>
      </c>
      <c r="S107" s="15">
        <v>1</v>
      </c>
    </row>
    <row r="108" spans="1:19" x14ac:dyDescent="0.35">
      <c r="A108" s="15">
        <v>716</v>
      </c>
      <c r="B108" s="16">
        <v>40576</v>
      </c>
      <c r="C108" s="15">
        <v>1</v>
      </c>
      <c r="D108" s="15">
        <v>0</v>
      </c>
      <c r="E108" s="15">
        <v>2</v>
      </c>
      <c r="F108" s="15">
        <v>4</v>
      </c>
      <c r="G108" s="15" t="str" cm="1">
        <f t="array" ref="G108">_xlfn.IFS(AND(F108&gt;=5,F108&lt;12),"Morning",AND(F108&gt;=12,F108&lt;17),"AfterNoon",AND(F108&gt;=17,F108&lt;20),"Evening",TRUE,"Night")</f>
        <v>Night</v>
      </c>
      <c r="H108" s="15" t="b">
        <v>0</v>
      </c>
      <c r="I108" s="15">
        <v>3</v>
      </c>
      <c r="J108" s="15" t="str" cm="1">
        <f t="array" ref="J108">_xlfn.IFS(I108=0,"Saturday",I108=1,"Sunday",I108=2,"Monday",I108=3,"Tuesday",I108=4,"Wednesday",I108=5,"Thusday",I108=6,"Friday")</f>
        <v>Tuesday</v>
      </c>
      <c r="K108" s="15">
        <v>3</v>
      </c>
      <c r="L108" s="15">
        <v>0.22</v>
      </c>
      <c r="M108" s="15" t="str">
        <f t="shared" si="2"/>
        <v>Cloudy</v>
      </c>
      <c r="N108" s="15">
        <v>0.21210000000000001</v>
      </c>
      <c r="O108" s="15">
        <v>0.93</v>
      </c>
      <c r="P108" s="15">
        <v>0.28360000000000002</v>
      </c>
      <c r="Q108" s="15">
        <v>0</v>
      </c>
      <c r="R108" s="15">
        <v>1</v>
      </c>
      <c r="S108" s="15">
        <v>1</v>
      </c>
    </row>
    <row r="109" spans="1:19" x14ac:dyDescent="0.35">
      <c r="A109" s="15">
        <v>717</v>
      </c>
      <c r="B109" s="16">
        <v>40576</v>
      </c>
      <c r="C109" s="15">
        <v>1</v>
      </c>
      <c r="D109" s="15">
        <v>0</v>
      </c>
      <c r="E109" s="15">
        <v>2</v>
      </c>
      <c r="F109" s="15">
        <v>5</v>
      </c>
      <c r="G109" s="15" t="str" cm="1">
        <f t="array" ref="G109">_xlfn.IFS(AND(F109&gt;=5,F109&lt;12),"Morning",AND(F109&gt;=12,F109&lt;17),"AfterNoon",AND(F109&gt;=17,F109&lt;20),"Evening",TRUE,"Night")</f>
        <v>Morning</v>
      </c>
      <c r="H109" s="15" t="b">
        <v>0</v>
      </c>
      <c r="I109" s="15">
        <v>3</v>
      </c>
      <c r="J109" s="15" t="str" cm="1">
        <f t="array" ref="J109">_xlfn.IFS(I109=0,"Saturday",I109=1,"Sunday",I109=2,"Monday",I109=3,"Tuesday",I109=4,"Wednesday",I109=5,"Thusday",I109=6,"Friday")</f>
        <v>Tuesday</v>
      </c>
      <c r="K109" s="15">
        <v>3</v>
      </c>
      <c r="L109" s="15">
        <v>0.22</v>
      </c>
      <c r="M109" s="15" t="str">
        <f t="shared" si="2"/>
        <v>Cloudy</v>
      </c>
      <c r="N109" s="15">
        <v>0.2424</v>
      </c>
      <c r="O109" s="15">
        <v>0.93</v>
      </c>
      <c r="P109" s="15">
        <v>0.1045</v>
      </c>
      <c r="Q109" s="15">
        <v>0</v>
      </c>
      <c r="R109" s="15">
        <v>3</v>
      </c>
      <c r="S109" s="15">
        <v>3</v>
      </c>
    </row>
    <row r="110" spans="1:19" x14ac:dyDescent="0.35">
      <c r="A110" s="15">
        <v>718</v>
      </c>
      <c r="B110" s="16">
        <v>40576</v>
      </c>
      <c r="C110" s="15">
        <v>1</v>
      </c>
      <c r="D110" s="15">
        <v>0</v>
      </c>
      <c r="E110" s="15">
        <v>2</v>
      </c>
      <c r="F110" s="15">
        <v>6</v>
      </c>
      <c r="G110" s="15" t="str" cm="1">
        <f t="array" ref="G110">_xlfn.IFS(AND(F110&gt;=5,F110&lt;12),"Morning",AND(F110&gt;=12,F110&lt;17),"AfterNoon",AND(F110&gt;=17,F110&lt;20),"Evening",TRUE,"Night")</f>
        <v>Morning</v>
      </c>
      <c r="H110" s="15" t="b">
        <v>0</v>
      </c>
      <c r="I110" s="15">
        <v>3</v>
      </c>
      <c r="J110" s="15" t="str" cm="1">
        <f t="array" ref="J110">_xlfn.IFS(I110=0,"Saturday",I110=1,"Sunday",I110=2,"Monday",I110=3,"Tuesday",I110=4,"Wednesday",I110=5,"Thusday",I110=6,"Friday")</f>
        <v>Tuesday</v>
      </c>
      <c r="K110" s="15">
        <v>3</v>
      </c>
      <c r="L110" s="15">
        <v>0.22</v>
      </c>
      <c r="M110" s="15" t="str">
        <f t="shared" si="2"/>
        <v>Cloudy</v>
      </c>
      <c r="N110" s="15">
        <v>0.2424</v>
      </c>
      <c r="O110" s="15">
        <v>0.93</v>
      </c>
      <c r="P110" s="15">
        <v>0.1045</v>
      </c>
      <c r="Q110" s="15">
        <v>1</v>
      </c>
      <c r="R110" s="15">
        <v>17</v>
      </c>
      <c r="S110" s="15">
        <v>18</v>
      </c>
    </row>
    <row r="111" spans="1:19" x14ac:dyDescent="0.35">
      <c r="A111" s="15">
        <v>719</v>
      </c>
      <c r="B111" s="16">
        <v>40576</v>
      </c>
      <c r="C111" s="15">
        <v>1</v>
      </c>
      <c r="D111" s="15">
        <v>0</v>
      </c>
      <c r="E111" s="15">
        <v>2</v>
      </c>
      <c r="F111" s="15">
        <v>7</v>
      </c>
      <c r="G111" s="15" t="str" cm="1">
        <f t="array" ref="G111">_xlfn.IFS(AND(F111&gt;=5,F111&lt;12),"Morning",AND(F111&gt;=12,F111&lt;17),"AfterNoon",AND(F111&gt;=17,F111&lt;20),"Evening",TRUE,"Night")</f>
        <v>Morning</v>
      </c>
      <c r="H111" s="15" t="b">
        <v>0</v>
      </c>
      <c r="I111" s="15">
        <v>3</v>
      </c>
      <c r="J111" s="15" t="str" cm="1">
        <f t="array" ref="J111">_xlfn.IFS(I111=0,"Saturday",I111=1,"Sunday",I111=2,"Monday",I111=3,"Tuesday",I111=4,"Wednesday",I111=5,"Thusday",I111=6,"Friday")</f>
        <v>Tuesday</v>
      </c>
      <c r="K111" s="15">
        <v>3</v>
      </c>
      <c r="L111" s="15">
        <v>0.22</v>
      </c>
      <c r="M111" s="15" t="str">
        <f t="shared" si="2"/>
        <v>Cloudy</v>
      </c>
      <c r="N111" s="15">
        <v>0.21210000000000001</v>
      </c>
      <c r="O111" s="15">
        <v>0.93</v>
      </c>
      <c r="P111" s="15">
        <v>0.22389999999999999</v>
      </c>
      <c r="Q111" s="15">
        <v>1</v>
      </c>
      <c r="R111" s="15">
        <v>48</v>
      </c>
      <c r="S111" s="15">
        <v>49</v>
      </c>
    </row>
    <row r="112" spans="1:19" x14ac:dyDescent="0.35">
      <c r="A112" s="15">
        <v>720</v>
      </c>
      <c r="B112" s="16">
        <v>40576</v>
      </c>
      <c r="C112" s="15">
        <v>1</v>
      </c>
      <c r="D112" s="15">
        <v>0</v>
      </c>
      <c r="E112" s="15">
        <v>2</v>
      </c>
      <c r="F112" s="15">
        <v>8</v>
      </c>
      <c r="G112" s="15" t="str" cm="1">
        <f t="array" ref="G112">_xlfn.IFS(AND(F112&gt;=5,F112&lt;12),"Morning",AND(F112&gt;=12,F112&lt;17),"AfterNoon",AND(F112&gt;=17,F112&lt;20),"Evening",TRUE,"Night")</f>
        <v>Morning</v>
      </c>
      <c r="H112" s="15" t="b">
        <v>0</v>
      </c>
      <c r="I112" s="15">
        <v>3</v>
      </c>
      <c r="J112" s="15" t="str" cm="1">
        <f t="array" ref="J112">_xlfn.IFS(I112=0,"Saturday",I112=1,"Sunday",I112=2,"Monday",I112=3,"Tuesday",I112=4,"Wednesday",I112=5,"Thusday",I112=6,"Friday")</f>
        <v>Tuesday</v>
      </c>
      <c r="K112" s="15">
        <v>3</v>
      </c>
      <c r="L112" s="15">
        <v>0.22</v>
      </c>
      <c r="M112" s="15" t="str">
        <f t="shared" si="2"/>
        <v>Cloudy</v>
      </c>
      <c r="N112" s="15">
        <v>0.21210000000000001</v>
      </c>
      <c r="O112" s="15">
        <v>0.93</v>
      </c>
      <c r="P112" s="15">
        <v>0.22389999999999999</v>
      </c>
      <c r="Q112" s="15">
        <v>1</v>
      </c>
      <c r="R112" s="15">
        <v>154</v>
      </c>
      <c r="S112" s="15">
        <v>155</v>
      </c>
    </row>
    <row r="113" spans="1:19" x14ac:dyDescent="0.35">
      <c r="A113" s="15">
        <v>721</v>
      </c>
      <c r="B113" s="16">
        <v>40576</v>
      </c>
      <c r="C113" s="15">
        <v>1</v>
      </c>
      <c r="D113" s="15">
        <v>0</v>
      </c>
      <c r="E113" s="15">
        <v>2</v>
      </c>
      <c r="F113" s="15">
        <v>9</v>
      </c>
      <c r="G113" s="15" t="str" cm="1">
        <f t="array" ref="G113">_xlfn.IFS(AND(F113&gt;=5,F113&lt;12),"Morning",AND(F113&gt;=12,F113&lt;17),"AfterNoon",AND(F113&gt;=17,F113&lt;20),"Evening",TRUE,"Night")</f>
        <v>Morning</v>
      </c>
      <c r="H113" s="15" t="b">
        <v>0</v>
      </c>
      <c r="I113" s="15">
        <v>3</v>
      </c>
      <c r="J113" s="15" t="str" cm="1">
        <f t="array" ref="J113">_xlfn.IFS(I113=0,"Saturday",I113=1,"Sunday",I113=2,"Monday",I113=3,"Tuesday",I113=4,"Wednesday",I113=5,"Thusday",I113=6,"Friday")</f>
        <v>Tuesday</v>
      </c>
      <c r="K113" s="15">
        <v>2</v>
      </c>
      <c r="L113" s="15">
        <v>0.24</v>
      </c>
      <c r="M113" s="15" t="str">
        <f t="shared" si="2"/>
        <v>Cloudy</v>
      </c>
      <c r="N113" s="15">
        <v>0.2576</v>
      </c>
      <c r="O113" s="15">
        <v>0.93</v>
      </c>
      <c r="P113" s="15">
        <v>8.9599999999999999E-2</v>
      </c>
      <c r="Q113" s="15">
        <v>4</v>
      </c>
      <c r="R113" s="15">
        <v>119</v>
      </c>
      <c r="S113" s="15">
        <v>123</v>
      </c>
    </row>
    <row r="114" spans="1:19" x14ac:dyDescent="0.35">
      <c r="A114" s="15">
        <v>722</v>
      </c>
      <c r="B114" s="16">
        <v>40576</v>
      </c>
      <c r="C114" s="15">
        <v>1</v>
      </c>
      <c r="D114" s="15">
        <v>0</v>
      </c>
      <c r="E114" s="15">
        <v>2</v>
      </c>
      <c r="F114" s="15">
        <v>10</v>
      </c>
      <c r="G114" s="15" t="str" cm="1">
        <f t="array" ref="G114">_xlfn.IFS(AND(F114&gt;=5,F114&lt;12),"Morning",AND(F114&gt;=12,F114&lt;17),"AfterNoon",AND(F114&gt;=17,F114&lt;20),"Evening",TRUE,"Night")</f>
        <v>Morning</v>
      </c>
      <c r="H114" s="15" t="b">
        <v>0</v>
      </c>
      <c r="I114" s="15">
        <v>3</v>
      </c>
      <c r="J114" s="15" t="str" cm="1">
        <f t="array" ref="J114">_xlfn.IFS(I114=0,"Saturday",I114=1,"Sunday",I114=2,"Monday",I114=3,"Tuesday",I114=4,"Wednesday",I114=5,"Thusday",I114=6,"Friday")</f>
        <v>Tuesday</v>
      </c>
      <c r="K114" s="15">
        <v>2</v>
      </c>
      <c r="L114" s="15">
        <v>0.22</v>
      </c>
      <c r="M114" s="15" t="str">
        <f t="shared" si="2"/>
        <v>Cloudy</v>
      </c>
      <c r="N114" s="15">
        <v>0.2727</v>
      </c>
      <c r="O114" s="15">
        <v>1</v>
      </c>
      <c r="P114" s="15">
        <v>0</v>
      </c>
      <c r="Q114" s="15">
        <v>2</v>
      </c>
      <c r="R114" s="15">
        <v>59</v>
      </c>
      <c r="S114" s="15">
        <v>61</v>
      </c>
    </row>
    <row r="115" spans="1:19" x14ac:dyDescent="0.35">
      <c r="A115" s="15">
        <v>723</v>
      </c>
      <c r="B115" s="16">
        <v>40576</v>
      </c>
      <c r="C115" s="15">
        <v>1</v>
      </c>
      <c r="D115" s="15">
        <v>0</v>
      </c>
      <c r="E115" s="15">
        <v>2</v>
      </c>
      <c r="F115" s="15">
        <v>11</v>
      </c>
      <c r="G115" s="15" t="str" cm="1">
        <f t="array" ref="G115">_xlfn.IFS(AND(F115&gt;=5,F115&lt;12),"Morning",AND(F115&gt;=12,F115&lt;17),"AfterNoon",AND(F115&gt;=17,F115&lt;20),"Evening",TRUE,"Night")</f>
        <v>Morning</v>
      </c>
      <c r="H115" s="15" t="b">
        <v>0</v>
      </c>
      <c r="I115" s="15">
        <v>3</v>
      </c>
      <c r="J115" s="15" t="str" cm="1">
        <f t="array" ref="J115">_xlfn.IFS(I115=0,"Saturday",I115=1,"Sunday",I115=2,"Monday",I115=3,"Tuesday",I115=4,"Wednesday",I115=5,"Thusday",I115=6,"Friday")</f>
        <v>Tuesday</v>
      </c>
      <c r="K115" s="15">
        <v>2</v>
      </c>
      <c r="L115" s="15">
        <v>0.24</v>
      </c>
      <c r="M115" s="15" t="str">
        <f t="shared" si="2"/>
        <v>Cloudy</v>
      </c>
      <c r="N115" s="15">
        <v>0.2273</v>
      </c>
      <c r="O115" s="15">
        <v>0.93</v>
      </c>
      <c r="P115" s="15">
        <v>0.19400000000000001</v>
      </c>
      <c r="Q115" s="15">
        <v>5</v>
      </c>
      <c r="R115" s="15">
        <v>47</v>
      </c>
      <c r="S115" s="15">
        <v>52</v>
      </c>
    </row>
    <row r="116" spans="1:19" x14ac:dyDescent="0.35">
      <c r="A116" s="15">
        <v>724</v>
      </c>
      <c r="B116" s="16">
        <v>40576</v>
      </c>
      <c r="C116" s="15">
        <v>1</v>
      </c>
      <c r="D116" s="15">
        <v>0</v>
      </c>
      <c r="E116" s="15">
        <v>2</v>
      </c>
      <c r="F116" s="15">
        <v>12</v>
      </c>
      <c r="G116" s="15" t="str" cm="1">
        <f t="array" ref="G116">_xlfn.IFS(AND(F116&gt;=5,F116&lt;12),"Morning",AND(F116&gt;=12,F116&lt;17),"AfterNoon",AND(F116&gt;=17,F116&lt;20),"Evening",TRUE,"Night")</f>
        <v>AfterNoon</v>
      </c>
      <c r="H116" s="15" t="b">
        <v>0</v>
      </c>
      <c r="I116" s="15">
        <v>3</v>
      </c>
      <c r="J116" s="15" t="str" cm="1">
        <f t="array" ref="J116">_xlfn.IFS(I116=0,"Saturday",I116=1,"Sunday",I116=2,"Monday",I116=3,"Tuesday",I116=4,"Wednesday",I116=5,"Thusday",I116=6,"Friday")</f>
        <v>Tuesday</v>
      </c>
      <c r="K116" s="15">
        <v>2</v>
      </c>
      <c r="L116" s="15">
        <v>0.24</v>
      </c>
      <c r="M116" s="15" t="str">
        <f t="shared" si="2"/>
        <v>Cloudy</v>
      </c>
      <c r="N116" s="15">
        <v>0.2273</v>
      </c>
      <c r="O116" s="15">
        <v>0.93</v>
      </c>
      <c r="P116" s="15">
        <v>0.22389999999999999</v>
      </c>
      <c r="Q116" s="15">
        <v>3</v>
      </c>
      <c r="R116" s="15">
        <v>61</v>
      </c>
      <c r="S116" s="15">
        <v>64</v>
      </c>
    </row>
    <row r="117" spans="1:19" x14ac:dyDescent="0.35">
      <c r="A117" s="15">
        <v>725</v>
      </c>
      <c r="B117" s="16">
        <v>40576</v>
      </c>
      <c r="C117" s="15">
        <v>1</v>
      </c>
      <c r="D117" s="15">
        <v>0</v>
      </c>
      <c r="E117" s="15">
        <v>2</v>
      </c>
      <c r="F117" s="15">
        <v>13</v>
      </c>
      <c r="G117" s="15" t="str" cm="1">
        <f t="array" ref="G117">_xlfn.IFS(AND(F117&gt;=5,F117&lt;12),"Morning",AND(F117&gt;=12,F117&lt;17),"AfterNoon",AND(F117&gt;=17,F117&lt;20),"Evening",TRUE,"Night")</f>
        <v>AfterNoon</v>
      </c>
      <c r="H117" s="15" t="b">
        <v>0</v>
      </c>
      <c r="I117" s="15">
        <v>3</v>
      </c>
      <c r="J117" s="15" t="str" cm="1">
        <f t="array" ref="J117">_xlfn.IFS(I117=0,"Saturday",I117=1,"Sunday",I117=2,"Monday",I117=3,"Tuesday",I117=4,"Wednesday",I117=5,"Thusday",I117=6,"Friday")</f>
        <v>Tuesday</v>
      </c>
      <c r="K117" s="15">
        <v>1</v>
      </c>
      <c r="L117" s="15">
        <v>0.34</v>
      </c>
      <c r="M117" s="15" t="str">
        <f t="shared" si="2"/>
        <v>Sunny</v>
      </c>
      <c r="N117" s="15">
        <v>0.33329999999999999</v>
      </c>
      <c r="O117" s="15">
        <v>0.93</v>
      </c>
      <c r="P117" s="15">
        <v>0.16420000000000001</v>
      </c>
      <c r="Q117" s="15">
        <v>1</v>
      </c>
      <c r="R117" s="15">
        <v>74</v>
      </c>
      <c r="S117" s="15">
        <v>75</v>
      </c>
    </row>
    <row r="118" spans="1:19" x14ac:dyDescent="0.35">
      <c r="A118" s="15">
        <v>726</v>
      </c>
      <c r="B118" s="16">
        <v>40576</v>
      </c>
      <c r="C118" s="15">
        <v>1</v>
      </c>
      <c r="D118" s="15">
        <v>0</v>
      </c>
      <c r="E118" s="15">
        <v>2</v>
      </c>
      <c r="F118" s="15">
        <v>14</v>
      </c>
      <c r="G118" s="15" t="str" cm="1">
        <f t="array" ref="G118">_xlfn.IFS(AND(F118&gt;=5,F118&lt;12),"Morning",AND(F118&gt;=12,F118&lt;17),"AfterNoon",AND(F118&gt;=17,F118&lt;20),"Evening",TRUE,"Night")</f>
        <v>AfterNoon</v>
      </c>
      <c r="H118" s="15" t="b">
        <v>0</v>
      </c>
      <c r="I118" s="15">
        <v>3</v>
      </c>
      <c r="J118" s="15" t="str" cm="1">
        <f t="array" ref="J118">_xlfn.IFS(I118=0,"Saturday",I118=1,"Sunday",I118=2,"Monday",I118=3,"Tuesday",I118=4,"Wednesday",I118=5,"Thusday",I118=6,"Friday")</f>
        <v>Tuesday</v>
      </c>
      <c r="K118" s="15">
        <v>1</v>
      </c>
      <c r="L118" s="15">
        <v>0.38</v>
      </c>
      <c r="M118" s="15" t="str">
        <f t="shared" si="2"/>
        <v>Sunny</v>
      </c>
      <c r="N118" s="15">
        <v>0.39389999999999997</v>
      </c>
      <c r="O118" s="15">
        <v>0.82</v>
      </c>
      <c r="P118" s="15">
        <v>0.3881</v>
      </c>
      <c r="Q118" s="15">
        <v>2</v>
      </c>
      <c r="R118" s="15">
        <v>61</v>
      </c>
      <c r="S118" s="15">
        <v>63</v>
      </c>
    </row>
    <row r="119" spans="1:19" x14ac:dyDescent="0.35">
      <c r="A119" s="15">
        <v>727</v>
      </c>
      <c r="B119" s="16">
        <v>40576</v>
      </c>
      <c r="C119" s="15">
        <v>1</v>
      </c>
      <c r="D119" s="15">
        <v>0</v>
      </c>
      <c r="E119" s="15">
        <v>2</v>
      </c>
      <c r="F119" s="15">
        <v>15</v>
      </c>
      <c r="G119" s="15" t="str" cm="1">
        <f t="array" ref="G119">_xlfn.IFS(AND(F119&gt;=5,F119&lt;12),"Morning",AND(F119&gt;=12,F119&lt;17),"AfterNoon",AND(F119&gt;=17,F119&lt;20),"Evening",TRUE,"Night")</f>
        <v>AfterNoon</v>
      </c>
      <c r="H119" s="15" t="b">
        <v>0</v>
      </c>
      <c r="I119" s="15">
        <v>3</v>
      </c>
      <c r="J119" s="15" t="str" cm="1">
        <f t="array" ref="J119">_xlfn.IFS(I119=0,"Saturday",I119=1,"Sunday",I119=2,"Monday",I119=3,"Tuesday",I119=4,"Wednesday",I119=5,"Thusday",I119=6,"Friday")</f>
        <v>Tuesday</v>
      </c>
      <c r="K119" s="15">
        <v>1</v>
      </c>
      <c r="L119" s="15">
        <v>0.38</v>
      </c>
      <c r="M119" s="15" t="str">
        <f t="shared" si="2"/>
        <v>Sunny</v>
      </c>
      <c r="N119" s="15">
        <v>0.39389999999999997</v>
      </c>
      <c r="O119" s="15">
        <v>0.76</v>
      </c>
      <c r="P119" s="15">
        <v>0.32840000000000003</v>
      </c>
      <c r="Q119" s="15">
        <v>10</v>
      </c>
      <c r="R119" s="15">
        <v>66</v>
      </c>
      <c r="S119" s="15">
        <v>76</v>
      </c>
    </row>
    <row r="120" spans="1:19" x14ac:dyDescent="0.35">
      <c r="A120" s="15">
        <v>728</v>
      </c>
      <c r="B120" s="16">
        <v>40576</v>
      </c>
      <c r="C120" s="15">
        <v>1</v>
      </c>
      <c r="D120" s="15">
        <v>0</v>
      </c>
      <c r="E120" s="15">
        <v>2</v>
      </c>
      <c r="F120" s="15">
        <v>16</v>
      </c>
      <c r="G120" s="15" t="str" cm="1">
        <f t="array" ref="G120">_xlfn.IFS(AND(F120&gt;=5,F120&lt;12),"Morning",AND(F120&gt;=12,F120&lt;17),"AfterNoon",AND(F120&gt;=17,F120&lt;20),"Evening",TRUE,"Night")</f>
        <v>AfterNoon</v>
      </c>
      <c r="H120" s="15" t="b">
        <v>0</v>
      </c>
      <c r="I120" s="15">
        <v>3</v>
      </c>
      <c r="J120" s="15" t="str" cm="1">
        <f t="array" ref="J120">_xlfn.IFS(I120=0,"Saturday",I120=1,"Sunday",I120=2,"Monday",I120=3,"Tuesday",I120=4,"Wednesday",I120=5,"Thusday",I120=6,"Friday")</f>
        <v>Tuesday</v>
      </c>
      <c r="K120" s="15">
        <v>1</v>
      </c>
      <c r="L120" s="15">
        <v>0.36</v>
      </c>
      <c r="M120" s="15" t="str">
        <f t="shared" si="2"/>
        <v>Sunny</v>
      </c>
      <c r="N120" s="15">
        <v>0.33329999999999999</v>
      </c>
      <c r="O120" s="15">
        <v>0.71</v>
      </c>
      <c r="P120" s="15">
        <v>0.29849999999999999</v>
      </c>
      <c r="Q120" s="15">
        <v>8</v>
      </c>
      <c r="R120" s="15">
        <v>95</v>
      </c>
      <c r="S120" s="15">
        <v>103</v>
      </c>
    </row>
    <row r="121" spans="1:19" x14ac:dyDescent="0.35">
      <c r="A121" s="15">
        <v>729</v>
      </c>
      <c r="B121" s="16">
        <v>40576</v>
      </c>
      <c r="C121" s="15">
        <v>1</v>
      </c>
      <c r="D121" s="15">
        <v>0</v>
      </c>
      <c r="E121" s="15">
        <v>2</v>
      </c>
      <c r="F121" s="15">
        <v>17</v>
      </c>
      <c r="G121" s="15" t="str" cm="1">
        <f t="array" ref="G121">_xlfn.IFS(AND(F121&gt;=5,F121&lt;12),"Morning",AND(F121&gt;=12,F121&lt;17),"AfterNoon",AND(F121&gt;=17,F121&lt;20),"Evening",TRUE,"Night")</f>
        <v>Evening</v>
      </c>
      <c r="H121" s="15" t="b">
        <v>0</v>
      </c>
      <c r="I121" s="15">
        <v>3</v>
      </c>
      <c r="J121" s="15" t="str" cm="1">
        <f t="array" ref="J121">_xlfn.IFS(I121=0,"Saturday",I121=1,"Sunday",I121=2,"Monday",I121=3,"Tuesday",I121=4,"Wednesday",I121=5,"Thusday",I121=6,"Friday")</f>
        <v>Tuesday</v>
      </c>
      <c r="K121" s="15">
        <v>1</v>
      </c>
      <c r="L121" s="15">
        <v>0.36</v>
      </c>
      <c r="M121" s="15" t="str">
        <f t="shared" si="2"/>
        <v>Sunny</v>
      </c>
      <c r="N121" s="15">
        <v>0.31819999999999998</v>
      </c>
      <c r="O121" s="15">
        <v>0.53</v>
      </c>
      <c r="P121" s="15">
        <v>0.52239999999999998</v>
      </c>
      <c r="Q121" s="15">
        <v>7</v>
      </c>
      <c r="R121" s="15">
        <v>183</v>
      </c>
      <c r="S121" s="15">
        <v>190</v>
      </c>
    </row>
    <row r="122" spans="1:19" x14ac:dyDescent="0.35">
      <c r="A122" s="15">
        <v>730</v>
      </c>
      <c r="B122" s="16">
        <v>40576</v>
      </c>
      <c r="C122" s="15">
        <v>1</v>
      </c>
      <c r="D122" s="15">
        <v>0</v>
      </c>
      <c r="E122" s="15">
        <v>2</v>
      </c>
      <c r="F122" s="15">
        <v>18</v>
      </c>
      <c r="G122" s="15" t="str" cm="1">
        <f t="array" ref="G122">_xlfn.IFS(AND(F122&gt;=5,F122&lt;12),"Morning",AND(F122&gt;=12,F122&lt;17),"AfterNoon",AND(F122&gt;=17,F122&lt;20),"Evening",TRUE,"Night")</f>
        <v>Evening</v>
      </c>
      <c r="H122" s="15" t="b">
        <v>0</v>
      </c>
      <c r="I122" s="15">
        <v>3</v>
      </c>
      <c r="J122" s="15" t="str" cm="1">
        <f t="array" ref="J122">_xlfn.IFS(I122=0,"Saturday",I122=1,"Sunday",I122=2,"Monday",I122=3,"Tuesday",I122=4,"Wednesday",I122=5,"Thusday",I122=6,"Friday")</f>
        <v>Tuesday</v>
      </c>
      <c r="K122" s="15">
        <v>1</v>
      </c>
      <c r="L122" s="15">
        <v>0.34</v>
      </c>
      <c r="M122" s="15" t="str">
        <f t="shared" si="2"/>
        <v>Sunny</v>
      </c>
      <c r="N122" s="15">
        <v>0.28789999999999999</v>
      </c>
      <c r="O122" s="15">
        <v>0.42</v>
      </c>
      <c r="P122" s="15">
        <v>0.55220000000000002</v>
      </c>
      <c r="Q122" s="15">
        <v>7</v>
      </c>
      <c r="R122" s="15">
        <v>175</v>
      </c>
      <c r="S122" s="15">
        <v>182</v>
      </c>
    </row>
    <row r="123" spans="1:19" x14ac:dyDescent="0.35">
      <c r="A123" s="15">
        <v>731</v>
      </c>
      <c r="B123" s="16">
        <v>40576</v>
      </c>
      <c r="C123" s="15">
        <v>1</v>
      </c>
      <c r="D123" s="15">
        <v>0</v>
      </c>
      <c r="E123" s="15">
        <v>2</v>
      </c>
      <c r="F123" s="15">
        <v>19</v>
      </c>
      <c r="G123" s="15" t="str" cm="1">
        <f t="array" ref="G123">_xlfn.IFS(AND(F123&gt;=5,F123&lt;12),"Morning",AND(F123&gt;=12,F123&lt;17),"AfterNoon",AND(F123&gt;=17,F123&lt;20),"Evening",TRUE,"Night")</f>
        <v>Evening</v>
      </c>
      <c r="H123" s="15" t="b">
        <v>0</v>
      </c>
      <c r="I123" s="15">
        <v>3</v>
      </c>
      <c r="J123" s="15" t="str" cm="1">
        <f t="array" ref="J123">_xlfn.IFS(I123=0,"Saturday",I123=1,"Sunday",I123=2,"Monday",I123=3,"Tuesday",I123=4,"Wednesday",I123=5,"Thusday",I123=6,"Friday")</f>
        <v>Tuesday</v>
      </c>
      <c r="K123" s="15">
        <v>1</v>
      </c>
      <c r="L123" s="15">
        <v>0.28000000000000003</v>
      </c>
      <c r="M123" s="15" t="str">
        <f t="shared" si="2"/>
        <v>Cloudy</v>
      </c>
      <c r="N123" s="15">
        <v>0.2424</v>
      </c>
      <c r="O123" s="15">
        <v>0.45</v>
      </c>
      <c r="P123" s="15">
        <v>0.49249999999999999</v>
      </c>
      <c r="Q123" s="15">
        <v>3</v>
      </c>
      <c r="R123" s="15">
        <v>88</v>
      </c>
      <c r="S123" s="15">
        <v>91</v>
      </c>
    </row>
    <row r="124" spans="1:19" x14ac:dyDescent="0.35">
      <c r="A124" s="15">
        <v>732</v>
      </c>
      <c r="B124" s="16">
        <v>40576</v>
      </c>
      <c r="C124" s="15">
        <v>1</v>
      </c>
      <c r="D124" s="15">
        <v>0</v>
      </c>
      <c r="E124" s="15">
        <v>2</v>
      </c>
      <c r="F124" s="15">
        <v>20</v>
      </c>
      <c r="G124" s="15" t="str" cm="1">
        <f t="array" ref="G124">_xlfn.IFS(AND(F124&gt;=5,F124&lt;12),"Morning",AND(F124&gt;=12,F124&lt;17),"AfterNoon",AND(F124&gt;=17,F124&lt;20),"Evening",TRUE,"Night")</f>
        <v>Night</v>
      </c>
      <c r="H124" s="15" t="b">
        <v>0</v>
      </c>
      <c r="I124" s="15">
        <v>3</v>
      </c>
      <c r="J124" s="15" t="str" cm="1">
        <f t="array" ref="J124">_xlfn.IFS(I124=0,"Saturday",I124=1,"Sunday",I124=2,"Monday",I124=3,"Tuesday",I124=4,"Wednesday",I124=5,"Thusday",I124=6,"Friday")</f>
        <v>Tuesday</v>
      </c>
      <c r="K124" s="15">
        <v>1</v>
      </c>
      <c r="L124" s="15">
        <v>0.24</v>
      </c>
      <c r="M124" s="15" t="str">
        <f t="shared" si="2"/>
        <v>Cloudy</v>
      </c>
      <c r="N124" s="15">
        <v>0.19700000000000001</v>
      </c>
      <c r="O124" s="15">
        <v>0.48</v>
      </c>
      <c r="P124" s="15">
        <v>0.55220000000000002</v>
      </c>
      <c r="Q124" s="15">
        <v>4</v>
      </c>
      <c r="R124" s="15">
        <v>71</v>
      </c>
      <c r="S124" s="15">
        <v>75</v>
      </c>
    </row>
    <row r="125" spans="1:19" x14ac:dyDescent="0.35">
      <c r="A125" s="15">
        <v>733</v>
      </c>
      <c r="B125" s="16">
        <v>40576</v>
      </c>
      <c r="C125" s="15">
        <v>1</v>
      </c>
      <c r="D125" s="15">
        <v>0</v>
      </c>
      <c r="E125" s="15">
        <v>2</v>
      </c>
      <c r="F125" s="15">
        <v>21</v>
      </c>
      <c r="G125" s="15" t="str" cm="1">
        <f t="array" ref="G125">_xlfn.IFS(AND(F125&gt;=5,F125&lt;12),"Morning",AND(F125&gt;=12,F125&lt;17),"AfterNoon",AND(F125&gt;=17,F125&lt;20),"Evening",TRUE,"Night")</f>
        <v>Night</v>
      </c>
      <c r="H125" s="15" t="b">
        <v>0</v>
      </c>
      <c r="I125" s="15">
        <v>3</v>
      </c>
      <c r="J125" s="15" t="str" cm="1">
        <f t="array" ref="J125">_xlfn.IFS(I125=0,"Saturday",I125=1,"Sunday",I125=2,"Monday",I125=3,"Tuesday",I125=4,"Wednesday",I125=5,"Thusday",I125=6,"Friday")</f>
        <v>Tuesday</v>
      </c>
      <c r="K125" s="15">
        <v>1</v>
      </c>
      <c r="L125" s="15">
        <v>0.22</v>
      </c>
      <c r="M125" s="15" t="str">
        <f t="shared" si="2"/>
        <v>Cloudy</v>
      </c>
      <c r="N125" s="15">
        <v>0.19700000000000001</v>
      </c>
      <c r="O125" s="15">
        <v>0.47</v>
      </c>
      <c r="P125" s="15">
        <v>0.32840000000000003</v>
      </c>
      <c r="Q125" s="15">
        <v>1</v>
      </c>
      <c r="R125" s="15">
        <v>62</v>
      </c>
      <c r="S125" s="15">
        <v>63</v>
      </c>
    </row>
    <row r="126" spans="1:19" x14ac:dyDescent="0.35">
      <c r="A126" s="15">
        <v>734</v>
      </c>
      <c r="B126" s="16">
        <v>40576</v>
      </c>
      <c r="C126" s="15">
        <v>1</v>
      </c>
      <c r="D126" s="15">
        <v>0</v>
      </c>
      <c r="E126" s="15">
        <v>2</v>
      </c>
      <c r="F126" s="15">
        <v>22</v>
      </c>
      <c r="G126" s="15" t="str" cm="1">
        <f t="array" ref="G126">_xlfn.IFS(AND(F126&gt;=5,F126&lt;12),"Morning",AND(F126&gt;=12,F126&lt;17),"AfterNoon",AND(F126&gt;=17,F126&lt;20),"Evening",TRUE,"Night")</f>
        <v>Night</v>
      </c>
      <c r="H126" s="15" t="b">
        <v>0</v>
      </c>
      <c r="I126" s="15">
        <v>3</v>
      </c>
      <c r="J126" s="15" t="str" cm="1">
        <f t="array" ref="J126">_xlfn.IFS(I126=0,"Saturday",I126=1,"Sunday",I126=2,"Monday",I126=3,"Tuesday",I126=4,"Wednesday",I126=5,"Thusday",I126=6,"Friday")</f>
        <v>Tuesday</v>
      </c>
      <c r="K126" s="15">
        <v>1</v>
      </c>
      <c r="L126" s="15">
        <v>0.22</v>
      </c>
      <c r="M126" s="15" t="str">
        <f t="shared" si="2"/>
        <v>Cloudy</v>
      </c>
      <c r="N126" s="15">
        <v>0.21210000000000001</v>
      </c>
      <c r="O126" s="15">
        <v>0.44</v>
      </c>
      <c r="P126" s="15">
        <v>0.25369999999999998</v>
      </c>
      <c r="Q126" s="15">
        <v>5</v>
      </c>
      <c r="R126" s="15">
        <v>35</v>
      </c>
      <c r="S126" s="15">
        <v>40</v>
      </c>
    </row>
    <row r="127" spans="1:19" x14ac:dyDescent="0.35">
      <c r="A127" s="15">
        <v>735</v>
      </c>
      <c r="B127" s="16">
        <v>40576</v>
      </c>
      <c r="C127" s="15">
        <v>1</v>
      </c>
      <c r="D127" s="15">
        <v>0</v>
      </c>
      <c r="E127" s="15">
        <v>2</v>
      </c>
      <c r="F127" s="15">
        <v>23</v>
      </c>
      <c r="G127" s="15" t="str" cm="1">
        <f t="array" ref="G127">_xlfn.IFS(AND(F127&gt;=5,F127&lt;12),"Morning",AND(F127&gt;=12,F127&lt;17),"AfterNoon",AND(F127&gt;=17,F127&lt;20),"Evening",TRUE,"Night")</f>
        <v>Night</v>
      </c>
      <c r="H127" s="15" t="b">
        <v>0</v>
      </c>
      <c r="I127" s="15">
        <v>3</v>
      </c>
      <c r="J127" s="15" t="str" cm="1">
        <f t="array" ref="J127">_xlfn.IFS(I127=0,"Saturday",I127=1,"Sunday",I127=2,"Monday",I127=3,"Tuesday",I127=4,"Wednesday",I127=5,"Thusday",I127=6,"Friday")</f>
        <v>Tuesday</v>
      </c>
      <c r="K127" s="15">
        <v>1</v>
      </c>
      <c r="L127" s="15">
        <v>0.2</v>
      </c>
      <c r="M127" s="15" t="str">
        <f t="shared" si="2"/>
        <v>Rainy</v>
      </c>
      <c r="N127" s="15">
        <v>0.16669999999999999</v>
      </c>
      <c r="O127" s="15">
        <v>0.44</v>
      </c>
      <c r="P127" s="15">
        <v>0.44779999999999998</v>
      </c>
      <c r="Q127" s="15">
        <v>3</v>
      </c>
      <c r="R127" s="15">
        <v>29</v>
      </c>
      <c r="S127" s="15">
        <v>32</v>
      </c>
    </row>
    <row r="128" spans="1:19" x14ac:dyDescent="0.35">
      <c r="A128" s="15">
        <v>736</v>
      </c>
      <c r="B128" s="16">
        <v>40577</v>
      </c>
      <c r="C128" s="15">
        <v>1</v>
      </c>
      <c r="D128" s="15">
        <v>0</v>
      </c>
      <c r="E128" s="15">
        <v>2</v>
      </c>
      <c r="F128" s="15">
        <v>0</v>
      </c>
      <c r="G128" s="15" t="str" cm="1">
        <f t="array" ref="G128">_xlfn.IFS(AND(F128&gt;=5,F128&lt;12),"Morning",AND(F128&gt;=12,F128&lt;17),"AfterNoon",AND(F128&gt;=17,F128&lt;20),"Evening",TRUE,"Night")</f>
        <v>Night</v>
      </c>
      <c r="H128" s="15" t="b">
        <v>0</v>
      </c>
      <c r="I128" s="15">
        <v>4</v>
      </c>
      <c r="J128" s="15" t="str" cm="1">
        <f t="array" ref="J128">_xlfn.IFS(I128=0,"Saturday",I128=1,"Sunday",I128=2,"Monday",I128=3,"Tuesday",I128=4,"Wednesday",I128=5,"Thusday",I128=6,"Friday")</f>
        <v>Wednesday</v>
      </c>
      <c r="K128" s="15">
        <v>1</v>
      </c>
      <c r="L128" s="15">
        <v>0.2</v>
      </c>
      <c r="M128" s="15" t="str">
        <f t="shared" si="2"/>
        <v>Rainy</v>
      </c>
      <c r="N128" s="15">
        <v>0.16669999999999999</v>
      </c>
      <c r="O128" s="15">
        <v>0.4</v>
      </c>
      <c r="P128" s="15">
        <v>0.44779999999999998</v>
      </c>
      <c r="Q128" s="15">
        <v>1</v>
      </c>
      <c r="R128" s="15">
        <v>11</v>
      </c>
      <c r="S128" s="15">
        <v>12</v>
      </c>
    </row>
    <row r="129" spans="1:19" x14ac:dyDescent="0.35">
      <c r="A129" s="15">
        <v>737</v>
      </c>
      <c r="B129" s="16">
        <v>40577</v>
      </c>
      <c r="C129" s="15">
        <v>1</v>
      </c>
      <c r="D129" s="15">
        <v>0</v>
      </c>
      <c r="E129" s="15">
        <v>2</v>
      </c>
      <c r="F129" s="15">
        <v>1</v>
      </c>
      <c r="G129" s="15" t="str" cm="1">
        <f t="array" ref="G129">_xlfn.IFS(AND(F129&gt;=5,F129&lt;12),"Morning",AND(F129&gt;=12,F129&lt;17),"AfterNoon",AND(F129&gt;=17,F129&lt;20),"Evening",TRUE,"Night")</f>
        <v>Night</v>
      </c>
      <c r="H129" s="15" t="b">
        <v>0</v>
      </c>
      <c r="I129" s="15">
        <v>4</v>
      </c>
      <c r="J129" s="15" t="str" cm="1">
        <f t="array" ref="J129">_xlfn.IFS(I129=0,"Saturday",I129=1,"Sunday",I129=2,"Monday",I129=3,"Tuesday",I129=4,"Wednesday",I129=5,"Thusday",I129=6,"Friday")</f>
        <v>Wednesday</v>
      </c>
      <c r="K129" s="15">
        <v>1</v>
      </c>
      <c r="L129" s="15">
        <v>0.2</v>
      </c>
      <c r="M129" s="15" t="str">
        <f t="shared" si="2"/>
        <v>Rainy</v>
      </c>
      <c r="N129" s="15">
        <v>0.1515</v>
      </c>
      <c r="O129" s="15">
        <v>0.44</v>
      </c>
      <c r="P129" s="15">
        <v>0.52239999999999998</v>
      </c>
      <c r="Q129" s="15">
        <v>0</v>
      </c>
      <c r="R129" s="15">
        <v>5</v>
      </c>
      <c r="S129" s="15">
        <v>5</v>
      </c>
    </row>
    <row r="130" spans="1:19" x14ac:dyDescent="0.35">
      <c r="A130" s="15">
        <v>738</v>
      </c>
      <c r="B130" s="16">
        <v>40577</v>
      </c>
      <c r="C130" s="15">
        <v>1</v>
      </c>
      <c r="D130" s="15">
        <v>0</v>
      </c>
      <c r="E130" s="15">
        <v>2</v>
      </c>
      <c r="F130" s="15">
        <v>2</v>
      </c>
      <c r="G130" s="15" t="str" cm="1">
        <f t="array" ref="G130">_xlfn.IFS(AND(F130&gt;=5,F130&lt;12),"Morning",AND(F130&gt;=12,F130&lt;17),"AfterNoon",AND(F130&gt;=17,F130&lt;20),"Evening",TRUE,"Night")</f>
        <v>Night</v>
      </c>
      <c r="H130" s="15" t="b">
        <v>0</v>
      </c>
      <c r="I130" s="15">
        <v>4</v>
      </c>
      <c r="J130" s="15" t="str" cm="1">
        <f t="array" ref="J130">_xlfn.IFS(I130=0,"Saturday",I130=1,"Sunday",I130=2,"Monday",I130=3,"Tuesday",I130=4,"Wednesday",I130=5,"Thusday",I130=6,"Friday")</f>
        <v>Wednesday</v>
      </c>
      <c r="K130" s="15">
        <v>1</v>
      </c>
      <c r="L130" s="15">
        <v>0.18</v>
      </c>
      <c r="M130" s="15" t="str">
        <f t="shared" si="2"/>
        <v>Rainy</v>
      </c>
      <c r="N130" s="15">
        <v>0.16669999999999999</v>
      </c>
      <c r="O130" s="15">
        <v>0.43</v>
      </c>
      <c r="P130" s="15">
        <v>0.25369999999999998</v>
      </c>
      <c r="Q130" s="15">
        <v>0</v>
      </c>
      <c r="R130" s="15">
        <v>2</v>
      </c>
      <c r="S130" s="15">
        <v>2</v>
      </c>
    </row>
    <row r="131" spans="1:19" x14ac:dyDescent="0.35">
      <c r="A131" s="15">
        <v>739</v>
      </c>
      <c r="B131" s="16">
        <v>40577</v>
      </c>
      <c r="C131" s="15">
        <v>1</v>
      </c>
      <c r="D131" s="15">
        <v>0</v>
      </c>
      <c r="E131" s="15">
        <v>2</v>
      </c>
      <c r="F131" s="15">
        <v>3</v>
      </c>
      <c r="G131" s="15" t="str" cm="1">
        <f t="array" ref="G131">_xlfn.IFS(AND(F131&gt;=5,F131&lt;12),"Morning",AND(F131&gt;=12,F131&lt;17),"AfterNoon",AND(F131&gt;=17,F131&lt;20),"Evening",TRUE,"Night")</f>
        <v>Night</v>
      </c>
      <c r="H131" s="15" t="b">
        <v>0</v>
      </c>
      <c r="I131" s="15">
        <v>4</v>
      </c>
      <c r="J131" s="15" t="str" cm="1">
        <f t="array" ref="J131">_xlfn.IFS(I131=0,"Saturday",I131=1,"Sunday",I131=2,"Monday",I131=3,"Tuesday",I131=4,"Wednesday",I131=5,"Thusday",I131=6,"Friday")</f>
        <v>Wednesday</v>
      </c>
      <c r="K131" s="15">
        <v>1</v>
      </c>
      <c r="L131" s="15">
        <v>0.18</v>
      </c>
      <c r="M131" s="15" t="str">
        <f t="shared" si="2"/>
        <v>Rainy</v>
      </c>
      <c r="N131" s="15">
        <v>0.16669999999999999</v>
      </c>
      <c r="O131" s="15">
        <v>0.43</v>
      </c>
      <c r="P131" s="15">
        <v>0.25369999999999998</v>
      </c>
      <c r="Q131" s="15">
        <v>0</v>
      </c>
      <c r="R131" s="15">
        <v>1</v>
      </c>
      <c r="S131" s="15">
        <v>1</v>
      </c>
    </row>
    <row r="132" spans="1:19" x14ac:dyDescent="0.35">
      <c r="A132" s="15">
        <v>740</v>
      </c>
      <c r="B132" s="16">
        <v>40577</v>
      </c>
      <c r="C132" s="15">
        <v>1</v>
      </c>
      <c r="D132" s="15">
        <v>0</v>
      </c>
      <c r="E132" s="15">
        <v>2</v>
      </c>
      <c r="F132" s="15">
        <v>5</v>
      </c>
      <c r="G132" s="15" t="str" cm="1">
        <f t="array" ref="G132">_xlfn.IFS(AND(F132&gt;=5,F132&lt;12),"Morning",AND(F132&gt;=12,F132&lt;17),"AfterNoon",AND(F132&gt;=17,F132&lt;20),"Evening",TRUE,"Night")</f>
        <v>Morning</v>
      </c>
      <c r="H132" s="15" t="b">
        <v>0</v>
      </c>
      <c r="I132" s="15">
        <v>4</v>
      </c>
      <c r="J132" s="15" t="str" cm="1">
        <f t="array" ref="J132">_xlfn.IFS(I132=0,"Saturday",I132=1,"Sunday",I132=2,"Monday",I132=3,"Tuesday",I132=4,"Wednesday",I132=5,"Thusday",I132=6,"Friday")</f>
        <v>Wednesday</v>
      </c>
      <c r="K132" s="15">
        <v>1</v>
      </c>
      <c r="L132" s="15">
        <v>0.16</v>
      </c>
      <c r="M132" s="15" t="str">
        <f t="shared" ref="M132:M195" si="3">IF(L132&lt;=0.1,"Stromy",IF(L132&lt;=0.2,"Rainy",IF(L132&lt;=0.3,"Cloudy","Sunny")))</f>
        <v>Rainy</v>
      </c>
      <c r="N132" s="15">
        <v>0.13639999999999999</v>
      </c>
      <c r="O132" s="15">
        <v>0.5</v>
      </c>
      <c r="P132" s="15">
        <v>0.29849999999999999</v>
      </c>
      <c r="Q132" s="15">
        <v>0</v>
      </c>
      <c r="R132" s="15">
        <v>2</v>
      </c>
      <c r="S132" s="15">
        <v>2</v>
      </c>
    </row>
    <row r="133" spans="1:19" x14ac:dyDescent="0.35">
      <c r="A133" s="15">
        <v>741</v>
      </c>
      <c r="B133" s="16">
        <v>40577</v>
      </c>
      <c r="C133" s="15">
        <v>1</v>
      </c>
      <c r="D133" s="15">
        <v>0</v>
      </c>
      <c r="E133" s="15">
        <v>2</v>
      </c>
      <c r="F133" s="15">
        <v>6</v>
      </c>
      <c r="G133" s="15" t="str" cm="1">
        <f t="array" ref="G133">_xlfn.IFS(AND(F133&gt;=5,F133&lt;12),"Morning",AND(F133&gt;=12,F133&lt;17),"AfterNoon",AND(F133&gt;=17,F133&lt;20),"Evening",TRUE,"Night")</f>
        <v>Morning</v>
      </c>
      <c r="H133" s="15" t="b">
        <v>0</v>
      </c>
      <c r="I133" s="15">
        <v>4</v>
      </c>
      <c r="J133" s="15" t="str" cm="1">
        <f t="array" ref="J133">_xlfn.IFS(I133=0,"Saturday",I133=1,"Sunday",I133=2,"Monday",I133=3,"Tuesday",I133=4,"Wednesday",I133=5,"Thusday",I133=6,"Friday")</f>
        <v>Wednesday</v>
      </c>
      <c r="K133" s="15">
        <v>1</v>
      </c>
      <c r="L133" s="15">
        <v>0.16</v>
      </c>
      <c r="M133" s="15" t="str">
        <f t="shared" si="3"/>
        <v>Rainy</v>
      </c>
      <c r="N133" s="15">
        <v>0.13639999999999999</v>
      </c>
      <c r="O133" s="15">
        <v>0.43</v>
      </c>
      <c r="P133" s="15">
        <v>0.35820000000000002</v>
      </c>
      <c r="Q133" s="15">
        <v>0</v>
      </c>
      <c r="R133" s="15">
        <v>39</v>
      </c>
      <c r="S133" s="15">
        <v>39</v>
      </c>
    </row>
    <row r="134" spans="1:19" x14ac:dyDescent="0.35">
      <c r="A134" s="15">
        <v>742</v>
      </c>
      <c r="B134" s="16">
        <v>40577</v>
      </c>
      <c r="C134" s="15">
        <v>1</v>
      </c>
      <c r="D134" s="15">
        <v>0</v>
      </c>
      <c r="E134" s="15">
        <v>2</v>
      </c>
      <c r="F134" s="15">
        <v>7</v>
      </c>
      <c r="G134" s="15" t="str" cm="1">
        <f t="array" ref="G134">_xlfn.IFS(AND(F134&gt;=5,F134&lt;12),"Morning",AND(F134&gt;=12,F134&lt;17),"AfterNoon",AND(F134&gt;=17,F134&lt;20),"Evening",TRUE,"Night")</f>
        <v>Morning</v>
      </c>
      <c r="H134" s="15" t="b">
        <v>0</v>
      </c>
      <c r="I134" s="15">
        <v>4</v>
      </c>
      <c r="J134" s="15" t="str" cm="1">
        <f t="array" ref="J134">_xlfn.IFS(I134=0,"Saturday",I134=1,"Sunday",I134=2,"Monday",I134=3,"Tuesday",I134=4,"Wednesday",I134=5,"Thusday",I134=6,"Friday")</f>
        <v>Wednesday</v>
      </c>
      <c r="K134" s="15">
        <v>1</v>
      </c>
      <c r="L134" s="15">
        <v>0.14000000000000001</v>
      </c>
      <c r="M134" s="15" t="str">
        <f t="shared" si="3"/>
        <v>Rainy</v>
      </c>
      <c r="N134" s="15">
        <v>0.1212</v>
      </c>
      <c r="O134" s="15">
        <v>0.5</v>
      </c>
      <c r="P134" s="15">
        <v>0.32840000000000003</v>
      </c>
      <c r="Q134" s="15">
        <v>1</v>
      </c>
      <c r="R134" s="15">
        <v>86</v>
      </c>
      <c r="S134" s="15">
        <v>87</v>
      </c>
    </row>
    <row r="135" spans="1:19" x14ac:dyDescent="0.35">
      <c r="A135" s="15">
        <v>743</v>
      </c>
      <c r="B135" s="16">
        <v>40577</v>
      </c>
      <c r="C135" s="15">
        <v>1</v>
      </c>
      <c r="D135" s="15">
        <v>0</v>
      </c>
      <c r="E135" s="15">
        <v>2</v>
      </c>
      <c r="F135" s="15">
        <v>8</v>
      </c>
      <c r="G135" s="15" t="str" cm="1">
        <f t="array" ref="G135">_xlfn.IFS(AND(F135&gt;=5,F135&lt;12),"Morning",AND(F135&gt;=12,F135&lt;17),"AfterNoon",AND(F135&gt;=17,F135&lt;20),"Evening",TRUE,"Night")</f>
        <v>Morning</v>
      </c>
      <c r="H135" s="15" t="b">
        <v>0</v>
      </c>
      <c r="I135" s="15">
        <v>4</v>
      </c>
      <c r="J135" s="15" t="str" cm="1">
        <f t="array" ref="J135">_xlfn.IFS(I135=0,"Saturday",I135=1,"Sunday",I135=2,"Monday",I135=3,"Tuesday",I135=4,"Wednesday",I135=5,"Thusday",I135=6,"Friday")</f>
        <v>Wednesday</v>
      </c>
      <c r="K135" s="15">
        <v>1</v>
      </c>
      <c r="L135" s="15">
        <v>0.14000000000000001</v>
      </c>
      <c r="M135" s="15" t="str">
        <f t="shared" si="3"/>
        <v>Rainy</v>
      </c>
      <c r="N135" s="15">
        <v>0.1212</v>
      </c>
      <c r="O135" s="15">
        <v>0.5</v>
      </c>
      <c r="P135" s="15">
        <v>0.35820000000000002</v>
      </c>
      <c r="Q135" s="15">
        <v>4</v>
      </c>
      <c r="R135" s="15">
        <v>184</v>
      </c>
      <c r="S135" s="15">
        <v>188</v>
      </c>
    </row>
    <row r="136" spans="1:19" x14ac:dyDescent="0.35">
      <c r="A136" s="15">
        <v>744</v>
      </c>
      <c r="B136" s="16">
        <v>40577</v>
      </c>
      <c r="C136" s="15">
        <v>1</v>
      </c>
      <c r="D136" s="15">
        <v>0</v>
      </c>
      <c r="E136" s="15">
        <v>2</v>
      </c>
      <c r="F136" s="15">
        <v>9</v>
      </c>
      <c r="G136" s="15" t="str" cm="1">
        <f t="array" ref="G136">_xlfn.IFS(AND(F136&gt;=5,F136&lt;12),"Morning",AND(F136&gt;=12,F136&lt;17),"AfterNoon",AND(F136&gt;=17,F136&lt;20),"Evening",TRUE,"Night")</f>
        <v>Morning</v>
      </c>
      <c r="H136" s="15" t="b">
        <v>0</v>
      </c>
      <c r="I136" s="15">
        <v>4</v>
      </c>
      <c r="J136" s="15" t="str" cm="1">
        <f t="array" ref="J136">_xlfn.IFS(I136=0,"Saturday",I136=1,"Sunday",I136=2,"Monday",I136=3,"Tuesday",I136=4,"Wednesday",I136=5,"Thusday",I136=6,"Friday")</f>
        <v>Wednesday</v>
      </c>
      <c r="K136" s="15">
        <v>1</v>
      </c>
      <c r="L136" s="15">
        <v>0.16</v>
      </c>
      <c r="M136" s="15" t="str">
        <f t="shared" si="3"/>
        <v>Rainy</v>
      </c>
      <c r="N136" s="15">
        <v>0.13639999999999999</v>
      </c>
      <c r="O136" s="15">
        <v>0.47</v>
      </c>
      <c r="P136" s="15">
        <v>0.29849999999999999</v>
      </c>
      <c r="Q136" s="15">
        <v>6</v>
      </c>
      <c r="R136" s="15">
        <v>127</v>
      </c>
      <c r="S136" s="15">
        <v>133</v>
      </c>
    </row>
    <row r="137" spans="1:19" x14ac:dyDescent="0.35">
      <c r="A137" s="15">
        <v>745</v>
      </c>
      <c r="B137" s="16">
        <v>40577</v>
      </c>
      <c r="C137" s="15">
        <v>1</v>
      </c>
      <c r="D137" s="15">
        <v>0</v>
      </c>
      <c r="E137" s="15">
        <v>2</v>
      </c>
      <c r="F137" s="15">
        <v>10</v>
      </c>
      <c r="G137" s="15" t="str" cm="1">
        <f t="array" ref="G137">_xlfn.IFS(AND(F137&gt;=5,F137&lt;12),"Morning",AND(F137&gt;=12,F137&lt;17),"AfterNoon",AND(F137&gt;=17,F137&lt;20),"Evening",TRUE,"Night")</f>
        <v>Morning</v>
      </c>
      <c r="H137" s="15" t="b">
        <v>0</v>
      </c>
      <c r="I137" s="15">
        <v>4</v>
      </c>
      <c r="J137" s="15" t="str" cm="1">
        <f t="array" ref="J137">_xlfn.IFS(I137=0,"Saturday",I137=1,"Sunday",I137=2,"Monday",I137=3,"Tuesday",I137=4,"Wednesday",I137=5,"Thusday",I137=6,"Friday")</f>
        <v>Wednesday</v>
      </c>
      <c r="K137" s="15">
        <v>1</v>
      </c>
      <c r="L137" s="15">
        <v>0.18</v>
      </c>
      <c r="M137" s="15" t="str">
        <f t="shared" si="3"/>
        <v>Rainy</v>
      </c>
      <c r="N137" s="15">
        <v>0.1515</v>
      </c>
      <c r="O137" s="15">
        <v>0.43</v>
      </c>
      <c r="P137" s="15">
        <v>0.32840000000000003</v>
      </c>
      <c r="Q137" s="15">
        <v>2</v>
      </c>
      <c r="R137" s="15">
        <v>50</v>
      </c>
      <c r="S137" s="15">
        <v>52</v>
      </c>
    </row>
    <row r="138" spans="1:19" x14ac:dyDescent="0.35">
      <c r="A138" s="15">
        <v>746</v>
      </c>
      <c r="B138" s="16">
        <v>40577</v>
      </c>
      <c r="C138" s="15">
        <v>1</v>
      </c>
      <c r="D138" s="15">
        <v>0</v>
      </c>
      <c r="E138" s="15">
        <v>2</v>
      </c>
      <c r="F138" s="15">
        <v>11</v>
      </c>
      <c r="G138" s="15" t="str" cm="1">
        <f t="array" ref="G138">_xlfn.IFS(AND(F138&gt;=5,F138&lt;12),"Morning",AND(F138&gt;=12,F138&lt;17),"AfterNoon",AND(F138&gt;=17,F138&lt;20),"Evening",TRUE,"Night")</f>
        <v>Morning</v>
      </c>
      <c r="H138" s="15" t="b">
        <v>0</v>
      </c>
      <c r="I138" s="15">
        <v>4</v>
      </c>
      <c r="J138" s="15" t="str" cm="1">
        <f t="array" ref="J138">_xlfn.IFS(I138=0,"Saturday",I138=1,"Sunday",I138=2,"Monday",I138=3,"Tuesday",I138=4,"Wednesday",I138=5,"Thusday",I138=6,"Friday")</f>
        <v>Wednesday</v>
      </c>
      <c r="K138" s="15">
        <v>1</v>
      </c>
      <c r="L138" s="15">
        <v>0.18</v>
      </c>
      <c r="M138" s="15" t="str">
        <f t="shared" si="3"/>
        <v>Rainy</v>
      </c>
      <c r="N138" s="15">
        <v>0.13639999999999999</v>
      </c>
      <c r="O138" s="15">
        <v>0.43</v>
      </c>
      <c r="P138" s="15">
        <v>0.44779999999999998</v>
      </c>
      <c r="Q138" s="15">
        <v>9</v>
      </c>
      <c r="R138" s="15">
        <v>55</v>
      </c>
      <c r="S138" s="15">
        <v>64</v>
      </c>
    </row>
    <row r="139" spans="1:19" x14ac:dyDescent="0.35">
      <c r="A139" s="15">
        <v>747</v>
      </c>
      <c r="B139" s="16">
        <v>40577</v>
      </c>
      <c r="C139" s="15">
        <v>1</v>
      </c>
      <c r="D139" s="15">
        <v>0</v>
      </c>
      <c r="E139" s="15">
        <v>2</v>
      </c>
      <c r="F139" s="15">
        <v>12</v>
      </c>
      <c r="G139" s="15" t="str" cm="1">
        <f t="array" ref="G139">_xlfn.IFS(AND(F139&gt;=5,F139&lt;12),"Morning",AND(F139&gt;=12,F139&lt;17),"AfterNoon",AND(F139&gt;=17,F139&lt;20),"Evening",TRUE,"Night")</f>
        <v>AfterNoon</v>
      </c>
      <c r="H139" s="15" t="b">
        <v>0</v>
      </c>
      <c r="I139" s="15">
        <v>4</v>
      </c>
      <c r="J139" s="15" t="str" cm="1">
        <f t="array" ref="J139">_xlfn.IFS(I139=0,"Saturday",I139=1,"Sunday",I139=2,"Monday",I139=3,"Tuesday",I139=4,"Wednesday",I139=5,"Thusday",I139=6,"Friday")</f>
        <v>Wednesday</v>
      </c>
      <c r="K139" s="15">
        <v>1</v>
      </c>
      <c r="L139" s="15">
        <v>0.2</v>
      </c>
      <c r="M139" s="15" t="str">
        <f t="shared" si="3"/>
        <v>Rainy</v>
      </c>
      <c r="N139" s="15">
        <v>0.18179999999999999</v>
      </c>
      <c r="O139" s="15">
        <v>0.4</v>
      </c>
      <c r="P139" s="15">
        <v>0.35820000000000002</v>
      </c>
      <c r="Q139" s="15">
        <v>2</v>
      </c>
      <c r="R139" s="15">
        <v>67</v>
      </c>
      <c r="S139" s="15">
        <v>69</v>
      </c>
    </row>
    <row r="140" spans="1:19" x14ac:dyDescent="0.35">
      <c r="A140" s="15">
        <v>748</v>
      </c>
      <c r="B140" s="16">
        <v>40577</v>
      </c>
      <c r="C140" s="15">
        <v>1</v>
      </c>
      <c r="D140" s="15">
        <v>0</v>
      </c>
      <c r="E140" s="15">
        <v>2</v>
      </c>
      <c r="F140" s="15">
        <v>13</v>
      </c>
      <c r="G140" s="15" t="str" cm="1">
        <f t="array" ref="G140">_xlfn.IFS(AND(F140&gt;=5,F140&lt;12),"Morning",AND(F140&gt;=12,F140&lt;17),"AfterNoon",AND(F140&gt;=17,F140&lt;20),"Evening",TRUE,"Night")</f>
        <v>AfterNoon</v>
      </c>
      <c r="H140" s="15" t="b">
        <v>0</v>
      </c>
      <c r="I140" s="15">
        <v>4</v>
      </c>
      <c r="J140" s="15" t="str" cm="1">
        <f t="array" ref="J140">_xlfn.IFS(I140=0,"Saturday",I140=1,"Sunday",I140=2,"Monday",I140=3,"Tuesday",I140=4,"Wednesday",I140=5,"Thusday",I140=6,"Friday")</f>
        <v>Wednesday</v>
      </c>
      <c r="K140" s="15">
        <v>1</v>
      </c>
      <c r="L140" s="15">
        <v>0.2</v>
      </c>
      <c r="M140" s="15" t="str">
        <f t="shared" si="3"/>
        <v>Rainy</v>
      </c>
      <c r="N140" s="15">
        <v>0.16669999999999999</v>
      </c>
      <c r="O140" s="15">
        <v>0.4</v>
      </c>
      <c r="P140" s="15">
        <v>0.41789999999999999</v>
      </c>
      <c r="Q140" s="15">
        <v>4</v>
      </c>
      <c r="R140" s="15">
        <v>47</v>
      </c>
      <c r="S140" s="15">
        <v>51</v>
      </c>
    </row>
    <row r="141" spans="1:19" x14ac:dyDescent="0.35">
      <c r="A141" s="15">
        <v>749</v>
      </c>
      <c r="B141" s="16">
        <v>40577</v>
      </c>
      <c r="C141" s="15">
        <v>1</v>
      </c>
      <c r="D141" s="15">
        <v>0</v>
      </c>
      <c r="E141" s="15">
        <v>2</v>
      </c>
      <c r="F141" s="15">
        <v>14</v>
      </c>
      <c r="G141" s="15" t="str" cm="1">
        <f t="array" ref="G141">_xlfn.IFS(AND(F141&gt;=5,F141&lt;12),"Morning",AND(F141&gt;=12,F141&lt;17),"AfterNoon",AND(F141&gt;=17,F141&lt;20),"Evening",TRUE,"Night")</f>
        <v>AfterNoon</v>
      </c>
      <c r="H141" s="15" t="b">
        <v>0</v>
      </c>
      <c r="I141" s="15">
        <v>4</v>
      </c>
      <c r="J141" s="15" t="str" cm="1">
        <f t="array" ref="J141">_xlfn.IFS(I141=0,"Saturday",I141=1,"Sunday",I141=2,"Monday",I141=3,"Tuesday",I141=4,"Wednesday",I141=5,"Thusday",I141=6,"Friday")</f>
        <v>Wednesday</v>
      </c>
      <c r="K141" s="15">
        <v>1</v>
      </c>
      <c r="L141" s="15">
        <v>0.22</v>
      </c>
      <c r="M141" s="15" t="str">
        <f t="shared" si="3"/>
        <v>Cloudy</v>
      </c>
      <c r="N141" s="15">
        <v>0.19700000000000001</v>
      </c>
      <c r="O141" s="15">
        <v>0.37</v>
      </c>
      <c r="P141" s="15">
        <v>0.3881</v>
      </c>
      <c r="Q141" s="15">
        <v>4</v>
      </c>
      <c r="R141" s="15">
        <v>43</v>
      </c>
      <c r="S141" s="15">
        <v>47</v>
      </c>
    </row>
    <row r="142" spans="1:19" x14ac:dyDescent="0.35">
      <c r="A142" s="15">
        <v>750</v>
      </c>
      <c r="B142" s="16">
        <v>40577</v>
      </c>
      <c r="C142" s="15">
        <v>1</v>
      </c>
      <c r="D142" s="15">
        <v>0</v>
      </c>
      <c r="E142" s="15">
        <v>2</v>
      </c>
      <c r="F142" s="15">
        <v>15</v>
      </c>
      <c r="G142" s="15" t="str" cm="1">
        <f t="array" ref="G142">_xlfn.IFS(AND(F142&gt;=5,F142&lt;12),"Morning",AND(F142&gt;=12,F142&lt;17),"AfterNoon",AND(F142&gt;=17,F142&lt;20),"Evening",TRUE,"Night")</f>
        <v>AfterNoon</v>
      </c>
      <c r="H142" s="15" t="b">
        <v>0</v>
      </c>
      <c r="I142" s="15">
        <v>4</v>
      </c>
      <c r="J142" s="15" t="str" cm="1">
        <f t="array" ref="J142">_xlfn.IFS(I142=0,"Saturday",I142=1,"Sunday",I142=2,"Monday",I142=3,"Tuesday",I142=4,"Wednesday",I142=5,"Thusday",I142=6,"Friday")</f>
        <v>Wednesday</v>
      </c>
      <c r="K142" s="15">
        <v>1</v>
      </c>
      <c r="L142" s="15">
        <v>0.22</v>
      </c>
      <c r="M142" s="15" t="str">
        <f t="shared" si="3"/>
        <v>Cloudy</v>
      </c>
      <c r="N142" s="15">
        <v>0.19700000000000001</v>
      </c>
      <c r="O142" s="15">
        <v>0.37</v>
      </c>
      <c r="P142" s="15">
        <v>0.32840000000000003</v>
      </c>
      <c r="Q142" s="15">
        <v>4</v>
      </c>
      <c r="R142" s="15">
        <v>56</v>
      </c>
      <c r="S142" s="15">
        <v>60</v>
      </c>
    </row>
    <row r="143" spans="1:19" x14ac:dyDescent="0.35">
      <c r="A143" s="15">
        <v>751</v>
      </c>
      <c r="B143" s="16">
        <v>40577</v>
      </c>
      <c r="C143" s="15">
        <v>1</v>
      </c>
      <c r="D143" s="15">
        <v>0</v>
      </c>
      <c r="E143" s="15">
        <v>2</v>
      </c>
      <c r="F143" s="15">
        <v>16</v>
      </c>
      <c r="G143" s="15" t="str" cm="1">
        <f t="array" ref="G143">_xlfn.IFS(AND(F143&gt;=5,F143&lt;12),"Morning",AND(F143&gt;=12,F143&lt;17),"AfterNoon",AND(F143&gt;=17,F143&lt;20),"Evening",TRUE,"Night")</f>
        <v>AfterNoon</v>
      </c>
      <c r="H143" s="15" t="b">
        <v>0</v>
      </c>
      <c r="I143" s="15">
        <v>4</v>
      </c>
      <c r="J143" s="15" t="str" cm="1">
        <f t="array" ref="J143">_xlfn.IFS(I143=0,"Saturday",I143=1,"Sunday",I143=2,"Monday",I143=3,"Tuesday",I143=4,"Wednesday",I143=5,"Thusday",I143=6,"Friday")</f>
        <v>Wednesday</v>
      </c>
      <c r="K143" s="15">
        <v>1</v>
      </c>
      <c r="L143" s="15">
        <v>0.22</v>
      </c>
      <c r="M143" s="15" t="str">
        <f t="shared" si="3"/>
        <v>Cloudy</v>
      </c>
      <c r="N143" s="15">
        <v>0.21210000000000001</v>
      </c>
      <c r="O143" s="15">
        <v>0.37</v>
      </c>
      <c r="P143" s="15">
        <v>0.25369999999999998</v>
      </c>
      <c r="Q143" s="15">
        <v>5</v>
      </c>
      <c r="R143" s="15">
        <v>73</v>
      </c>
      <c r="S143" s="15">
        <v>78</v>
      </c>
    </row>
    <row r="144" spans="1:19" x14ac:dyDescent="0.35">
      <c r="A144" s="15">
        <v>752</v>
      </c>
      <c r="B144" s="16">
        <v>40577</v>
      </c>
      <c r="C144" s="15">
        <v>1</v>
      </c>
      <c r="D144" s="15">
        <v>0</v>
      </c>
      <c r="E144" s="15">
        <v>2</v>
      </c>
      <c r="F144" s="15">
        <v>17</v>
      </c>
      <c r="G144" s="15" t="str" cm="1">
        <f t="array" ref="G144">_xlfn.IFS(AND(F144&gt;=5,F144&lt;12),"Morning",AND(F144&gt;=12,F144&lt;17),"AfterNoon",AND(F144&gt;=17,F144&lt;20),"Evening",TRUE,"Night")</f>
        <v>Evening</v>
      </c>
      <c r="H144" s="15" t="b">
        <v>0</v>
      </c>
      <c r="I144" s="15">
        <v>4</v>
      </c>
      <c r="J144" s="15" t="str" cm="1">
        <f t="array" ref="J144">_xlfn.IFS(I144=0,"Saturday",I144=1,"Sunday",I144=2,"Monday",I144=3,"Tuesday",I144=4,"Wednesday",I144=5,"Thusday",I144=6,"Friday")</f>
        <v>Wednesday</v>
      </c>
      <c r="K144" s="15">
        <v>1</v>
      </c>
      <c r="L144" s="15">
        <v>0.2</v>
      </c>
      <c r="M144" s="15" t="str">
        <f t="shared" si="3"/>
        <v>Rainy</v>
      </c>
      <c r="N144" s="15">
        <v>0.19700000000000001</v>
      </c>
      <c r="O144" s="15">
        <v>0.4</v>
      </c>
      <c r="P144" s="15">
        <v>0.19400000000000001</v>
      </c>
      <c r="Q144" s="15">
        <v>5</v>
      </c>
      <c r="R144" s="15">
        <v>170</v>
      </c>
      <c r="S144" s="15">
        <v>175</v>
      </c>
    </row>
    <row r="145" spans="1:19" x14ac:dyDescent="0.35">
      <c r="A145" s="15">
        <v>753</v>
      </c>
      <c r="B145" s="16">
        <v>40577</v>
      </c>
      <c r="C145" s="15">
        <v>1</v>
      </c>
      <c r="D145" s="15">
        <v>0</v>
      </c>
      <c r="E145" s="15">
        <v>2</v>
      </c>
      <c r="F145" s="15">
        <v>18</v>
      </c>
      <c r="G145" s="15" t="str" cm="1">
        <f t="array" ref="G145">_xlfn.IFS(AND(F145&gt;=5,F145&lt;12),"Morning",AND(F145&gt;=12,F145&lt;17),"AfterNoon",AND(F145&gt;=17,F145&lt;20),"Evening",TRUE,"Night")</f>
        <v>Evening</v>
      </c>
      <c r="H145" s="15" t="b">
        <v>0</v>
      </c>
      <c r="I145" s="15">
        <v>4</v>
      </c>
      <c r="J145" s="15" t="str" cm="1">
        <f t="array" ref="J145">_xlfn.IFS(I145=0,"Saturday",I145=1,"Sunday",I145=2,"Monday",I145=3,"Tuesday",I145=4,"Wednesday",I145=5,"Thusday",I145=6,"Friday")</f>
        <v>Wednesday</v>
      </c>
      <c r="K145" s="15">
        <v>1</v>
      </c>
      <c r="L145" s="15">
        <v>0.2</v>
      </c>
      <c r="M145" s="15" t="str">
        <f t="shared" si="3"/>
        <v>Rainy</v>
      </c>
      <c r="N145" s="15">
        <v>0.21210000000000001</v>
      </c>
      <c r="O145" s="15">
        <v>0.4</v>
      </c>
      <c r="P145" s="15">
        <v>0.16420000000000001</v>
      </c>
      <c r="Q145" s="15">
        <v>2</v>
      </c>
      <c r="R145" s="15">
        <v>145</v>
      </c>
      <c r="S145" s="15">
        <v>147</v>
      </c>
    </row>
    <row r="146" spans="1:19" x14ac:dyDescent="0.35">
      <c r="A146" s="15">
        <v>754</v>
      </c>
      <c r="B146" s="16">
        <v>40577</v>
      </c>
      <c r="C146" s="15">
        <v>1</v>
      </c>
      <c r="D146" s="15">
        <v>0</v>
      </c>
      <c r="E146" s="15">
        <v>2</v>
      </c>
      <c r="F146" s="15">
        <v>19</v>
      </c>
      <c r="G146" s="15" t="str" cm="1">
        <f t="array" ref="G146">_xlfn.IFS(AND(F146&gt;=5,F146&lt;12),"Morning",AND(F146&gt;=12,F146&lt;17),"AfterNoon",AND(F146&gt;=17,F146&lt;20),"Evening",TRUE,"Night")</f>
        <v>Evening</v>
      </c>
      <c r="H146" s="15" t="b">
        <v>0</v>
      </c>
      <c r="I146" s="15">
        <v>4</v>
      </c>
      <c r="J146" s="15" t="str" cm="1">
        <f t="array" ref="J146">_xlfn.IFS(I146=0,"Saturday",I146=1,"Sunday",I146=2,"Monday",I146=3,"Tuesday",I146=4,"Wednesday",I146=5,"Thusday",I146=6,"Friday")</f>
        <v>Wednesday</v>
      </c>
      <c r="K146" s="15">
        <v>1</v>
      </c>
      <c r="L146" s="15">
        <v>0.2</v>
      </c>
      <c r="M146" s="15" t="str">
        <f t="shared" si="3"/>
        <v>Rainy</v>
      </c>
      <c r="N146" s="15">
        <v>0.2576</v>
      </c>
      <c r="O146" s="15">
        <v>0.4</v>
      </c>
      <c r="P146" s="15">
        <v>0</v>
      </c>
      <c r="Q146" s="15">
        <v>4</v>
      </c>
      <c r="R146" s="15">
        <v>92</v>
      </c>
      <c r="S146" s="15">
        <v>96</v>
      </c>
    </row>
    <row r="147" spans="1:19" x14ac:dyDescent="0.35">
      <c r="A147" s="15">
        <v>755</v>
      </c>
      <c r="B147" s="16">
        <v>40577</v>
      </c>
      <c r="C147" s="15">
        <v>1</v>
      </c>
      <c r="D147" s="15">
        <v>0</v>
      </c>
      <c r="E147" s="15">
        <v>2</v>
      </c>
      <c r="F147" s="15">
        <v>20</v>
      </c>
      <c r="G147" s="15" t="str" cm="1">
        <f t="array" ref="G147">_xlfn.IFS(AND(F147&gt;=5,F147&lt;12),"Morning",AND(F147&gt;=12,F147&lt;17),"AfterNoon",AND(F147&gt;=17,F147&lt;20),"Evening",TRUE,"Night")</f>
        <v>Night</v>
      </c>
      <c r="H147" s="15" t="b">
        <v>0</v>
      </c>
      <c r="I147" s="15">
        <v>4</v>
      </c>
      <c r="J147" s="15" t="str" cm="1">
        <f t="array" ref="J147">_xlfn.IFS(I147=0,"Saturday",I147=1,"Sunday",I147=2,"Monday",I147=3,"Tuesday",I147=4,"Wednesday",I147=5,"Thusday",I147=6,"Friday")</f>
        <v>Wednesday</v>
      </c>
      <c r="K147" s="15">
        <v>1</v>
      </c>
      <c r="L147" s="15">
        <v>0.2</v>
      </c>
      <c r="M147" s="15" t="str">
        <f t="shared" si="3"/>
        <v>Rainy</v>
      </c>
      <c r="N147" s="15">
        <v>0.2273</v>
      </c>
      <c r="O147" s="15">
        <v>0.47</v>
      </c>
      <c r="P147" s="15">
        <v>8.9599999999999999E-2</v>
      </c>
      <c r="Q147" s="15">
        <v>1</v>
      </c>
      <c r="R147" s="15">
        <v>108</v>
      </c>
      <c r="S147" s="15">
        <v>109</v>
      </c>
    </row>
    <row r="148" spans="1:19" x14ac:dyDescent="0.35">
      <c r="A148" s="15">
        <v>756</v>
      </c>
      <c r="B148" s="16">
        <v>40577</v>
      </c>
      <c r="C148" s="15">
        <v>1</v>
      </c>
      <c r="D148" s="15">
        <v>0</v>
      </c>
      <c r="E148" s="15">
        <v>2</v>
      </c>
      <c r="F148" s="15">
        <v>21</v>
      </c>
      <c r="G148" s="15" t="str" cm="1">
        <f t="array" ref="G148">_xlfn.IFS(AND(F148&gt;=5,F148&lt;12),"Morning",AND(F148&gt;=12,F148&lt;17),"AfterNoon",AND(F148&gt;=17,F148&lt;20),"Evening",TRUE,"Night")</f>
        <v>Night</v>
      </c>
      <c r="H148" s="15" t="b">
        <v>0</v>
      </c>
      <c r="I148" s="15">
        <v>4</v>
      </c>
      <c r="J148" s="15" t="str" cm="1">
        <f t="array" ref="J148">_xlfn.IFS(I148=0,"Saturday",I148=1,"Sunday",I148=2,"Monday",I148=3,"Tuesday",I148=4,"Wednesday",I148=5,"Thusday",I148=6,"Friday")</f>
        <v>Wednesday</v>
      </c>
      <c r="K148" s="15">
        <v>1</v>
      </c>
      <c r="L148" s="15">
        <v>0.18</v>
      </c>
      <c r="M148" s="15" t="str">
        <f t="shared" si="3"/>
        <v>Rainy</v>
      </c>
      <c r="N148" s="15">
        <v>0.21210000000000001</v>
      </c>
      <c r="O148" s="15">
        <v>0.55000000000000004</v>
      </c>
      <c r="P148" s="15">
        <v>0.1045</v>
      </c>
      <c r="Q148" s="15">
        <v>1</v>
      </c>
      <c r="R148" s="15">
        <v>53</v>
      </c>
      <c r="S148" s="15">
        <v>54</v>
      </c>
    </row>
    <row r="149" spans="1:19" x14ac:dyDescent="0.35">
      <c r="A149" s="15">
        <v>757</v>
      </c>
      <c r="B149" s="16">
        <v>40577</v>
      </c>
      <c r="C149" s="15">
        <v>1</v>
      </c>
      <c r="D149" s="15">
        <v>0</v>
      </c>
      <c r="E149" s="15">
        <v>2</v>
      </c>
      <c r="F149" s="15">
        <v>22</v>
      </c>
      <c r="G149" s="15" t="str" cm="1">
        <f t="array" ref="G149">_xlfn.IFS(AND(F149&gt;=5,F149&lt;12),"Morning",AND(F149&gt;=12,F149&lt;17),"AfterNoon",AND(F149&gt;=17,F149&lt;20),"Evening",TRUE,"Night")</f>
        <v>Night</v>
      </c>
      <c r="H149" s="15" t="b">
        <v>0</v>
      </c>
      <c r="I149" s="15">
        <v>4</v>
      </c>
      <c r="J149" s="15" t="str" cm="1">
        <f t="array" ref="J149">_xlfn.IFS(I149=0,"Saturday",I149=1,"Sunday",I149=2,"Monday",I149=3,"Tuesday",I149=4,"Wednesday",I149=5,"Thusday",I149=6,"Friday")</f>
        <v>Wednesday</v>
      </c>
      <c r="K149" s="15">
        <v>1</v>
      </c>
      <c r="L149" s="15">
        <v>0.18</v>
      </c>
      <c r="M149" s="15" t="str">
        <f t="shared" si="3"/>
        <v>Rainy</v>
      </c>
      <c r="N149" s="15">
        <v>0.21210000000000001</v>
      </c>
      <c r="O149" s="15">
        <v>0.51</v>
      </c>
      <c r="P149" s="15">
        <v>8.9599999999999999E-2</v>
      </c>
      <c r="Q149" s="15">
        <v>2</v>
      </c>
      <c r="R149" s="15">
        <v>39</v>
      </c>
      <c r="S149" s="15">
        <v>41</v>
      </c>
    </row>
    <row r="150" spans="1:19" x14ac:dyDescent="0.35">
      <c r="A150" s="15">
        <v>758</v>
      </c>
      <c r="B150" s="16">
        <v>40577</v>
      </c>
      <c r="C150" s="15">
        <v>1</v>
      </c>
      <c r="D150" s="15">
        <v>0</v>
      </c>
      <c r="E150" s="15">
        <v>2</v>
      </c>
      <c r="F150" s="15">
        <v>23</v>
      </c>
      <c r="G150" s="15" t="str" cm="1">
        <f t="array" ref="G150">_xlfn.IFS(AND(F150&gt;=5,F150&lt;12),"Morning",AND(F150&gt;=12,F150&lt;17),"AfterNoon",AND(F150&gt;=17,F150&lt;20),"Evening",TRUE,"Night")</f>
        <v>Night</v>
      </c>
      <c r="H150" s="15" t="b">
        <v>0</v>
      </c>
      <c r="I150" s="15">
        <v>4</v>
      </c>
      <c r="J150" s="15" t="str" cm="1">
        <f t="array" ref="J150">_xlfn.IFS(I150=0,"Saturday",I150=1,"Sunday",I150=2,"Monday",I150=3,"Tuesday",I150=4,"Wednesday",I150=5,"Thusday",I150=6,"Friday")</f>
        <v>Wednesday</v>
      </c>
      <c r="K150" s="15">
        <v>1</v>
      </c>
      <c r="L150" s="15">
        <v>0.2</v>
      </c>
      <c r="M150" s="15" t="str">
        <f t="shared" si="3"/>
        <v>Rainy</v>
      </c>
      <c r="N150" s="15">
        <v>0.2273</v>
      </c>
      <c r="O150" s="15">
        <v>0.47</v>
      </c>
      <c r="P150" s="15">
        <v>0.1045</v>
      </c>
      <c r="Q150" s="15">
        <v>4</v>
      </c>
      <c r="R150" s="15">
        <v>34</v>
      </c>
      <c r="S150" s="15">
        <v>38</v>
      </c>
    </row>
    <row r="151" spans="1:19" x14ac:dyDescent="0.35">
      <c r="A151" s="15">
        <v>759</v>
      </c>
      <c r="B151" s="16">
        <v>40578</v>
      </c>
      <c r="C151" s="15">
        <v>1</v>
      </c>
      <c r="D151" s="15">
        <v>0</v>
      </c>
      <c r="E151" s="15">
        <v>2</v>
      </c>
      <c r="F151" s="15">
        <v>0</v>
      </c>
      <c r="G151" s="15" t="str" cm="1">
        <f t="array" ref="G151">_xlfn.IFS(AND(F151&gt;=5,F151&lt;12),"Morning",AND(F151&gt;=12,F151&lt;17),"AfterNoon",AND(F151&gt;=17,F151&lt;20),"Evening",TRUE,"Night")</f>
        <v>Night</v>
      </c>
      <c r="H151" s="15" t="b">
        <v>0</v>
      </c>
      <c r="I151" s="15">
        <v>5</v>
      </c>
      <c r="J151" s="15" t="str" cm="1">
        <f t="array" ref="J151">_xlfn.IFS(I151=0,"Saturday",I151=1,"Sunday",I151=2,"Monday",I151=3,"Tuesday",I151=4,"Wednesday",I151=5,"Thusday",I151=6,"Friday")</f>
        <v>Thusday</v>
      </c>
      <c r="K151" s="15">
        <v>2</v>
      </c>
      <c r="L151" s="15">
        <v>0.2</v>
      </c>
      <c r="M151" s="15" t="str">
        <f t="shared" si="3"/>
        <v>Rainy</v>
      </c>
      <c r="N151" s="15">
        <v>0.2576</v>
      </c>
      <c r="O151" s="15">
        <v>0.44</v>
      </c>
      <c r="P151" s="15">
        <v>0</v>
      </c>
      <c r="Q151" s="15">
        <v>3</v>
      </c>
      <c r="R151" s="15">
        <v>10</v>
      </c>
      <c r="S151" s="15">
        <v>13</v>
      </c>
    </row>
    <row r="152" spans="1:19" x14ac:dyDescent="0.35">
      <c r="A152" s="15">
        <v>760</v>
      </c>
      <c r="B152" s="16">
        <v>40578</v>
      </c>
      <c r="C152" s="15">
        <v>1</v>
      </c>
      <c r="D152" s="15">
        <v>0</v>
      </c>
      <c r="E152" s="15">
        <v>2</v>
      </c>
      <c r="F152" s="15">
        <v>1</v>
      </c>
      <c r="G152" s="15" t="str" cm="1">
        <f t="array" ref="G152">_xlfn.IFS(AND(F152&gt;=5,F152&lt;12),"Morning",AND(F152&gt;=12,F152&lt;17),"AfterNoon",AND(F152&gt;=17,F152&lt;20),"Evening",TRUE,"Night")</f>
        <v>Night</v>
      </c>
      <c r="H152" s="15" t="b">
        <v>0</v>
      </c>
      <c r="I152" s="15">
        <v>5</v>
      </c>
      <c r="J152" s="15" t="str" cm="1">
        <f t="array" ref="J152">_xlfn.IFS(I152=0,"Saturday",I152=1,"Sunday",I152=2,"Monday",I152=3,"Tuesday",I152=4,"Wednesday",I152=5,"Thusday",I152=6,"Friday")</f>
        <v>Thusday</v>
      </c>
      <c r="K152" s="15">
        <v>2</v>
      </c>
      <c r="L152" s="15">
        <v>0.16</v>
      </c>
      <c r="M152" s="15" t="str">
        <f t="shared" si="3"/>
        <v>Rainy</v>
      </c>
      <c r="N152" s="15">
        <v>0.2273</v>
      </c>
      <c r="O152" s="15">
        <v>0.59</v>
      </c>
      <c r="P152" s="15">
        <v>0</v>
      </c>
      <c r="Q152" s="15">
        <v>0</v>
      </c>
      <c r="R152" s="15">
        <v>7</v>
      </c>
      <c r="S152" s="15">
        <v>7</v>
      </c>
    </row>
    <row r="153" spans="1:19" x14ac:dyDescent="0.35">
      <c r="A153" s="15">
        <v>761</v>
      </c>
      <c r="B153" s="16">
        <v>40578</v>
      </c>
      <c r="C153" s="15">
        <v>1</v>
      </c>
      <c r="D153" s="15">
        <v>0</v>
      </c>
      <c r="E153" s="15">
        <v>2</v>
      </c>
      <c r="F153" s="15">
        <v>2</v>
      </c>
      <c r="G153" s="15" t="str" cm="1">
        <f t="array" ref="G153">_xlfn.IFS(AND(F153&gt;=5,F153&lt;12),"Morning",AND(F153&gt;=12,F153&lt;17),"AfterNoon",AND(F153&gt;=17,F153&lt;20),"Evening",TRUE,"Night")</f>
        <v>Night</v>
      </c>
      <c r="H153" s="15" t="b">
        <v>0</v>
      </c>
      <c r="I153" s="15">
        <v>5</v>
      </c>
      <c r="J153" s="15" t="str" cm="1">
        <f t="array" ref="J153">_xlfn.IFS(I153=0,"Saturday",I153=1,"Sunday",I153=2,"Monday",I153=3,"Tuesday",I153=4,"Wednesday",I153=5,"Thusday",I153=6,"Friday")</f>
        <v>Thusday</v>
      </c>
      <c r="K153" s="15">
        <v>2</v>
      </c>
      <c r="L153" s="15">
        <v>0.14000000000000001</v>
      </c>
      <c r="M153" s="15" t="str">
        <f t="shared" si="3"/>
        <v>Rainy</v>
      </c>
      <c r="N153" s="15">
        <v>0.16669999999999999</v>
      </c>
      <c r="O153" s="15">
        <v>0.63</v>
      </c>
      <c r="P153" s="15">
        <v>0.1045</v>
      </c>
      <c r="Q153" s="15">
        <v>0</v>
      </c>
      <c r="R153" s="15">
        <v>1</v>
      </c>
      <c r="S153" s="15">
        <v>1</v>
      </c>
    </row>
    <row r="154" spans="1:19" x14ac:dyDescent="0.35">
      <c r="A154" s="15">
        <v>762</v>
      </c>
      <c r="B154" s="16">
        <v>40578</v>
      </c>
      <c r="C154" s="15">
        <v>1</v>
      </c>
      <c r="D154" s="15">
        <v>0</v>
      </c>
      <c r="E154" s="15">
        <v>2</v>
      </c>
      <c r="F154" s="15">
        <v>3</v>
      </c>
      <c r="G154" s="15" t="str" cm="1">
        <f t="array" ref="G154">_xlfn.IFS(AND(F154&gt;=5,F154&lt;12),"Morning",AND(F154&gt;=12,F154&lt;17),"AfterNoon",AND(F154&gt;=17,F154&lt;20),"Evening",TRUE,"Night")</f>
        <v>Night</v>
      </c>
      <c r="H154" s="15" t="b">
        <v>0</v>
      </c>
      <c r="I154" s="15">
        <v>5</v>
      </c>
      <c r="J154" s="15" t="str" cm="1">
        <f t="array" ref="J154">_xlfn.IFS(I154=0,"Saturday",I154=1,"Sunday",I154=2,"Monday",I154=3,"Tuesday",I154=4,"Wednesday",I154=5,"Thusday",I154=6,"Friday")</f>
        <v>Thusday</v>
      </c>
      <c r="K154" s="15">
        <v>2</v>
      </c>
      <c r="L154" s="15">
        <v>0.14000000000000001</v>
      </c>
      <c r="M154" s="15" t="str">
        <f t="shared" si="3"/>
        <v>Rainy</v>
      </c>
      <c r="N154" s="15">
        <v>0.16669999999999999</v>
      </c>
      <c r="O154" s="15">
        <v>0.63</v>
      </c>
      <c r="P154" s="15">
        <v>0.1045</v>
      </c>
      <c r="Q154" s="15">
        <v>0</v>
      </c>
      <c r="R154" s="15">
        <v>1</v>
      </c>
      <c r="S154" s="15">
        <v>1</v>
      </c>
    </row>
    <row r="155" spans="1:19" x14ac:dyDescent="0.35">
      <c r="A155" s="15">
        <v>763</v>
      </c>
      <c r="B155" s="16">
        <v>40578</v>
      </c>
      <c r="C155" s="15">
        <v>1</v>
      </c>
      <c r="D155" s="15">
        <v>0</v>
      </c>
      <c r="E155" s="15">
        <v>2</v>
      </c>
      <c r="F155" s="15">
        <v>5</v>
      </c>
      <c r="G155" s="15" t="str" cm="1">
        <f t="array" ref="G155">_xlfn.IFS(AND(F155&gt;=5,F155&lt;12),"Morning",AND(F155&gt;=12,F155&lt;17),"AfterNoon",AND(F155&gt;=17,F155&lt;20),"Evening",TRUE,"Night")</f>
        <v>Morning</v>
      </c>
      <c r="H155" s="15" t="b">
        <v>0</v>
      </c>
      <c r="I155" s="15">
        <v>5</v>
      </c>
      <c r="J155" s="15" t="str" cm="1">
        <f t="array" ref="J155">_xlfn.IFS(I155=0,"Saturday",I155=1,"Sunday",I155=2,"Monday",I155=3,"Tuesday",I155=4,"Wednesday",I155=5,"Thusday",I155=6,"Friday")</f>
        <v>Thusday</v>
      </c>
      <c r="K155" s="15">
        <v>2</v>
      </c>
      <c r="L155" s="15">
        <v>0.14000000000000001</v>
      </c>
      <c r="M155" s="15" t="str">
        <f t="shared" si="3"/>
        <v>Rainy</v>
      </c>
      <c r="N155" s="15">
        <v>0.1515</v>
      </c>
      <c r="O155" s="15">
        <v>0.63</v>
      </c>
      <c r="P155" s="15">
        <v>0.1343</v>
      </c>
      <c r="Q155" s="15">
        <v>0</v>
      </c>
      <c r="R155" s="15">
        <v>7</v>
      </c>
      <c r="S155" s="15">
        <v>7</v>
      </c>
    </row>
    <row r="156" spans="1:19" x14ac:dyDescent="0.35">
      <c r="A156" s="15">
        <v>764</v>
      </c>
      <c r="B156" s="16">
        <v>40578</v>
      </c>
      <c r="C156" s="15">
        <v>1</v>
      </c>
      <c r="D156" s="15">
        <v>0</v>
      </c>
      <c r="E156" s="15">
        <v>2</v>
      </c>
      <c r="F156" s="15">
        <v>6</v>
      </c>
      <c r="G156" s="15" t="str" cm="1">
        <f t="array" ref="G156">_xlfn.IFS(AND(F156&gt;=5,F156&lt;12),"Morning",AND(F156&gt;=12,F156&lt;17),"AfterNoon",AND(F156&gt;=17,F156&lt;20),"Evening",TRUE,"Night")</f>
        <v>Morning</v>
      </c>
      <c r="H156" s="15" t="b">
        <v>0</v>
      </c>
      <c r="I156" s="15">
        <v>5</v>
      </c>
      <c r="J156" s="15" t="str" cm="1">
        <f t="array" ref="J156">_xlfn.IFS(I156=0,"Saturday",I156=1,"Sunday",I156=2,"Monday",I156=3,"Tuesday",I156=4,"Wednesday",I156=5,"Thusday",I156=6,"Friday")</f>
        <v>Thusday</v>
      </c>
      <c r="K156" s="15">
        <v>2</v>
      </c>
      <c r="L156" s="15">
        <v>0.16</v>
      </c>
      <c r="M156" s="15" t="str">
        <f t="shared" si="3"/>
        <v>Rainy</v>
      </c>
      <c r="N156" s="15">
        <v>0.2273</v>
      </c>
      <c r="O156" s="15">
        <v>0.55000000000000004</v>
      </c>
      <c r="P156" s="15">
        <v>0</v>
      </c>
      <c r="Q156" s="15">
        <v>2</v>
      </c>
      <c r="R156" s="15">
        <v>26</v>
      </c>
      <c r="S156" s="15">
        <v>28</v>
      </c>
    </row>
    <row r="157" spans="1:19" x14ac:dyDescent="0.35">
      <c r="A157" s="15">
        <v>765</v>
      </c>
      <c r="B157" s="16">
        <v>40578</v>
      </c>
      <c r="C157" s="15">
        <v>1</v>
      </c>
      <c r="D157" s="15">
        <v>0</v>
      </c>
      <c r="E157" s="15">
        <v>2</v>
      </c>
      <c r="F157" s="15">
        <v>7</v>
      </c>
      <c r="G157" s="15" t="str" cm="1">
        <f t="array" ref="G157">_xlfn.IFS(AND(F157&gt;=5,F157&lt;12),"Morning",AND(F157&gt;=12,F157&lt;17),"AfterNoon",AND(F157&gt;=17,F157&lt;20),"Evening",TRUE,"Night")</f>
        <v>Morning</v>
      </c>
      <c r="H157" s="15" t="b">
        <v>0</v>
      </c>
      <c r="I157" s="15">
        <v>5</v>
      </c>
      <c r="J157" s="15" t="str" cm="1">
        <f t="array" ref="J157">_xlfn.IFS(I157=0,"Saturday",I157=1,"Sunday",I157=2,"Monday",I157=3,"Tuesday",I157=4,"Wednesday",I157=5,"Thusday",I157=6,"Friday")</f>
        <v>Thusday</v>
      </c>
      <c r="K157" s="15">
        <v>1</v>
      </c>
      <c r="L157" s="15">
        <v>0.14000000000000001</v>
      </c>
      <c r="M157" s="15" t="str">
        <f t="shared" si="3"/>
        <v>Rainy</v>
      </c>
      <c r="N157" s="15">
        <v>0.21210000000000001</v>
      </c>
      <c r="O157" s="15">
        <v>0.59</v>
      </c>
      <c r="P157" s="15">
        <v>0</v>
      </c>
      <c r="Q157" s="15">
        <v>0</v>
      </c>
      <c r="R157" s="15">
        <v>87</v>
      </c>
      <c r="S157" s="15">
        <v>87</v>
      </c>
    </row>
    <row r="158" spans="1:19" x14ac:dyDescent="0.35">
      <c r="A158" s="15">
        <v>766</v>
      </c>
      <c r="B158" s="16">
        <v>40578</v>
      </c>
      <c r="C158" s="15">
        <v>1</v>
      </c>
      <c r="D158" s="15">
        <v>0</v>
      </c>
      <c r="E158" s="15">
        <v>2</v>
      </c>
      <c r="F158" s="15">
        <v>8</v>
      </c>
      <c r="G158" s="15" t="str" cm="1">
        <f t="array" ref="G158">_xlfn.IFS(AND(F158&gt;=5,F158&lt;12),"Morning",AND(F158&gt;=12,F158&lt;17),"AfterNoon",AND(F158&gt;=17,F158&lt;20),"Evening",TRUE,"Night")</f>
        <v>Morning</v>
      </c>
      <c r="H158" s="15" t="b">
        <v>0</v>
      </c>
      <c r="I158" s="15">
        <v>5</v>
      </c>
      <c r="J158" s="15" t="str" cm="1">
        <f t="array" ref="J158">_xlfn.IFS(I158=0,"Saturday",I158=1,"Sunday",I158=2,"Monday",I158=3,"Tuesday",I158=4,"Wednesday",I158=5,"Thusday",I158=6,"Friday")</f>
        <v>Thusday</v>
      </c>
      <c r="K158" s="15">
        <v>1</v>
      </c>
      <c r="L158" s="15">
        <v>0.14000000000000001</v>
      </c>
      <c r="M158" s="15" t="str">
        <f t="shared" si="3"/>
        <v>Rainy</v>
      </c>
      <c r="N158" s="15">
        <v>0.1515</v>
      </c>
      <c r="O158" s="15">
        <v>0.74</v>
      </c>
      <c r="P158" s="15">
        <v>0.1343</v>
      </c>
      <c r="Q158" s="15">
        <v>3</v>
      </c>
      <c r="R158" s="15">
        <v>217</v>
      </c>
      <c r="S158" s="15">
        <v>220</v>
      </c>
    </row>
    <row r="159" spans="1:19" x14ac:dyDescent="0.35">
      <c r="A159" s="15">
        <v>767</v>
      </c>
      <c r="B159" s="16">
        <v>40578</v>
      </c>
      <c r="C159" s="15">
        <v>1</v>
      </c>
      <c r="D159" s="15">
        <v>0</v>
      </c>
      <c r="E159" s="15">
        <v>2</v>
      </c>
      <c r="F159" s="15">
        <v>9</v>
      </c>
      <c r="G159" s="15" t="str" cm="1">
        <f t="array" ref="G159">_xlfn.IFS(AND(F159&gt;=5,F159&lt;12),"Morning",AND(F159&gt;=12,F159&lt;17),"AfterNoon",AND(F159&gt;=17,F159&lt;20),"Evening",TRUE,"Night")</f>
        <v>Morning</v>
      </c>
      <c r="H159" s="15" t="b">
        <v>0</v>
      </c>
      <c r="I159" s="15">
        <v>5</v>
      </c>
      <c r="J159" s="15" t="str" cm="1">
        <f t="array" ref="J159">_xlfn.IFS(I159=0,"Saturday",I159=1,"Sunday",I159=2,"Monday",I159=3,"Tuesday",I159=4,"Wednesday",I159=5,"Thusday",I159=6,"Friday")</f>
        <v>Thusday</v>
      </c>
      <c r="K159" s="15">
        <v>2</v>
      </c>
      <c r="L159" s="15">
        <v>0.16</v>
      </c>
      <c r="M159" s="15" t="str">
        <f t="shared" si="3"/>
        <v>Rainy</v>
      </c>
      <c r="N159" s="15">
        <v>0.18179999999999999</v>
      </c>
      <c r="O159" s="15">
        <v>0.8</v>
      </c>
      <c r="P159" s="15">
        <v>0.1343</v>
      </c>
      <c r="Q159" s="15">
        <v>3</v>
      </c>
      <c r="R159" s="15">
        <v>124</v>
      </c>
      <c r="S159" s="15">
        <v>127</v>
      </c>
    </row>
    <row r="160" spans="1:19" x14ac:dyDescent="0.35">
      <c r="A160" s="15">
        <v>768</v>
      </c>
      <c r="B160" s="16">
        <v>40578</v>
      </c>
      <c r="C160" s="15">
        <v>1</v>
      </c>
      <c r="D160" s="15">
        <v>0</v>
      </c>
      <c r="E160" s="15">
        <v>2</v>
      </c>
      <c r="F160" s="15">
        <v>10</v>
      </c>
      <c r="G160" s="15" t="str" cm="1">
        <f t="array" ref="G160">_xlfn.IFS(AND(F160&gt;=5,F160&lt;12),"Morning",AND(F160&gt;=12,F160&lt;17),"AfterNoon",AND(F160&gt;=17,F160&lt;20),"Evening",TRUE,"Night")</f>
        <v>Morning</v>
      </c>
      <c r="H160" s="15" t="b">
        <v>0</v>
      </c>
      <c r="I160" s="15">
        <v>5</v>
      </c>
      <c r="J160" s="15" t="str" cm="1">
        <f t="array" ref="J160">_xlfn.IFS(I160=0,"Saturday",I160=1,"Sunday",I160=2,"Monday",I160=3,"Tuesday",I160=4,"Wednesday",I160=5,"Thusday",I160=6,"Friday")</f>
        <v>Thusday</v>
      </c>
      <c r="K160" s="15">
        <v>2</v>
      </c>
      <c r="L160" s="15">
        <v>0.2</v>
      </c>
      <c r="M160" s="15" t="str">
        <f t="shared" si="3"/>
        <v>Rainy</v>
      </c>
      <c r="N160" s="15">
        <v>0.21210000000000001</v>
      </c>
      <c r="O160" s="15">
        <v>0.51</v>
      </c>
      <c r="P160" s="15">
        <v>0.1343</v>
      </c>
      <c r="Q160" s="15">
        <v>5</v>
      </c>
      <c r="R160" s="15">
        <v>46</v>
      </c>
      <c r="S160" s="15">
        <v>51</v>
      </c>
    </row>
    <row r="161" spans="1:19" x14ac:dyDescent="0.35">
      <c r="A161" s="15">
        <v>769</v>
      </c>
      <c r="B161" s="16">
        <v>40578</v>
      </c>
      <c r="C161" s="15">
        <v>1</v>
      </c>
      <c r="D161" s="15">
        <v>0</v>
      </c>
      <c r="E161" s="15">
        <v>2</v>
      </c>
      <c r="F161" s="15">
        <v>11</v>
      </c>
      <c r="G161" s="15" t="str" cm="1">
        <f t="array" ref="G161">_xlfn.IFS(AND(F161&gt;=5,F161&lt;12),"Morning",AND(F161&gt;=12,F161&lt;17),"AfterNoon",AND(F161&gt;=17,F161&lt;20),"Evening",TRUE,"Night")</f>
        <v>Morning</v>
      </c>
      <c r="H161" s="15" t="b">
        <v>0</v>
      </c>
      <c r="I161" s="15">
        <v>5</v>
      </c>
      <c r="J161" s="15" t="str" cm="1">
        <f t="array" ref="J161">_xlfn.IFS(I161=0,"Saturday",I161=1,"Sunday",I161=2,"Monday",I161=3,"Tuesday",I161=4,"Wednesday",I161=5,"Thusday",I161=6,"Friday")</f>
        <v>Thusday</v>
      </c>
      <c r="K161" s="15">
        <v>1</v>
      </c>
      <c r="L161" s="15">
        <v>0.22</v>
      </c>
      <c r="M161" s="15" t="str">
        <f t="shared" si="3"/>
        <v>Cloudy</v>
      </c>
      <c r="N161" s="15">
        <v>0.2273</v>
      </c>
      <c r="O161" s="15">
        <v>0.51</v>
      </c>
      <c r="P161" s="15">
        <v>0.16420000000000001</v>
      </c>
      <c r="Q161" s="15">
        <v>3</v>
      </c>
      <c r="R161" s="15">
        <v>61</v>
      </c>
      <c r="S161" s="15">
        <v>64</v>
      </c>
    </row>
    <row r="162" spans="1:19" x14ac:dyDescent="0.35">
      <c r="A162" s="15">
        <v>770</v>
      </c>
      <c r="B162" s="16">
        <v>40578</v>
      </c>
      <c r="C162" s="15">
        <v>1</v>
      </c>
      <c r="D162" s="15">
        <v>0</v>
      </c>
      <c r="E162" s="15">
        <v>2</v>
      </c>
      <c r="F162" s="15">
        <v>12</v>
      </c>
      <c r="G162" s="15" t="str" cm="1">
        <f t="array" ref="G162">_xlfn.IFS(AND(F162&gt;=5,F162&lt;12),"Morning",AND(F162&gt;=12,F162&lt;17),"AfterNoon",AND(F162&gt;=17,F162&lt;20),"Evening",TRUE,"Night")</f>
        <v>AfterNoon</v>
      </c>
      <c r="H162" s="15" t="b">
        <v>0</v>
      </c>
      <c r="I162" s="15">
        <v>5</v>
      </c>
      <c r="J162" s="15" t="str" cm="1">
        <f t="array" ref="J162">_xlfn.IFS(I162=0,"Saturday",I162=1,"Sunday",I162=2,"Monday",I162=3,"Tuesday",I162=4,"Wednesday",I162=5,"Thusday",I162=6,"Friday")</f>
        <v>Thusday</v>
      </c>
      <c r="K162" s="15">
        <v>2</v>
      </c>
      <c r="L162" s="15">
        <v>0.24</v>
      </c>
      <c r="M162" s="15" t="str">
        <f t="shared" si="3"/>
        <v>Cloudy</v>
      </c>
      <c r="N162" s="15">
        <v>0.2424</v>
      </c>
      <c r="O162" s="15">
        <v>0.48</v>
      </c>
      <c r="P162" s="15">
        <v>0.16420000000000001</v>
      </c>
      <c r="Q162" s="15">
        <v>8</v>
      </c>
      <c r="R162" s="15">
        <v>78</v>
      </c>
      <c r="S162" s="15">
        <v>86</v>
      </c>
    </row>
    <row r="163" spans="1:19" x14ac:dyDescent="0.35">
      <c r="A163" s="15">
        <v>771</v>
      </c>
      <c r="B163" s="16">
        <v>40578</v>
      </c>
      <c r="C163" s="15">
        <v>1</v>
      </c>
      <c r="D163" s="15">
        <v>0</v>
      </c>
      <c r="E163" s="15">
        <v>2</v>
      </c>
      <c r="F163" s="15">
        <v>13</v>
      </c>
      <c r="G163" s="15" t="str" cm="1">
        <f t="array" ref="G163">_xlfn.IFS(AND(F163&gt;=5,F163&lt;12),"Morning",AND(F163&gt;=12,F163&lt;17),"AfterNoon",AND(F163&gt;=17,F163&lt;20),"Evening",TRUE,"Night")</f>
        <v>AfterNoon</v>
      </c>
      <c r="H163" s="15" t="b">
        <v>0</v>
      </c>
      <c r="I163" s="15">
        <v>5</v>
      </c>
      <c r="J163" s="15" t="str" cm="1">
        <f t="array" ref="J163">_xlfn.IFS(I163=0,"Saturday",I163=1,"Sunday",I163=2,"Monday",I163=3,"Tuesday",I163=4,"Wednesday",I163=5,"Thusday",I163=6,"Friday")</f>
        <v>Thusday</v>
      </c>
      <c r="K163" s="15">
        <v>2</v>
      </c>
      <c r="L163" s="15">
        <v>0.26</v>
      </c>
      <c r="M163" s="15" t="str">
        <f t="shared" si="3"/>
        <v>Cloudy</v>
      </c>
      <c r="N163" s="15">
        <v>0.2576</v>
      </c>
      <c r="O163" s="15">
        <v>0.5</v>
      </c>
      <c r="P163" s="15">
        <v>0.22389999999999999</v>
      </c>
      <c r="Q163" s="15">
        <v>9</v>
      </c>
      <c r="R163" s="15">
        <v>73</v>
      </c>
      <c r="S163" s="15">
        <v>82</v>
      </c>
    </row>
    <row r="164" spans="1:19" x14ac:dyDescent="0.35">
      <c r="A164" s="15">
        <v>772</v>
      </c>
      <c r="B164" s="16">
        <v>40578</v>
      </c>
      <c r="C164" s="15">
        <v>1</v>
      </c>
      <c r="D164" s="15">
        <v>0</v>
      </c>
      <c r="E164" s="15">
        <v>2</v>
      </c>
      <c r="F164" s="15">
        <v>14</v>
      </c>
      <c r="G164" s="15" t="str" cm="1">
        <f t="array" ref="G164">_xlfn.IFS(AND(F164&gt;=5,F164&lt;12),"Morning",AND(F164&gt;=12,F164&lt;17),"AfterNoon",AND(F164&gt;=17,F164&lt;20),"Evening",TRUE,"Night")</f>
        <v>AfterNoon</v>
      </c>
      <c r="H164" s="15" t="b">
        <v>0</v>
      </c>
      <c r="I164" s="15">
        <v>5</v>
      </c>
      <c r="J164" s="15" t="str" cm="1">
        <f t="array" ref="J164">_xlfn.IFS(I164=0,"Saturday",I164=1,"Sunday",I164=2,"Monday",I164=3,"Tuesday",I164=4,"Wednesday",I164=5,"Thusday",I164=6,"Friday")</f>
        <v>Thusday</v>
      </c>
      <c r="K164" s="15">
        <v>2</v>
      </c>
      <c r="L164" s="15">
        <v>0.28000000000000003</v>
      </c>
      <c r="M164" s="15" t="str">
        <f t="shared" si="3"/>
        <v>Cloudy</v>
      </c>
      <c r="N164" s="15">
        <v>0.2727</v>
      </c>
      <c r="O164" s="15">
        <v>0.45</v>
      </c>
      <c r="P164" s="15">
        <v>0.16420000000000001</v>
      </c>
      <c r="Q164" s="15">
        <v>15</v>
      </c>
      <c r="R164" s="15">
        <v>76</v>
      </c>
      <c r="S164" s="15">
        <v>91</v>
      </c>
    </row>
    <row r="165" spans="1:19" x14ac:dyDescent="0.35">
      <c r="A165" s="15">
        <v>773</v>
      </c>
      <c r="B165" s="16">
        <v>40578</v>
      </c>
      <c r="C165" s="15">
        <v>1</v>
      </c>
      <c r="D165" s="15">
        <v>0</v>
      </c>
      <c r="E165" s="15">
        <v>2</v>
      </c>
      <c r="F165" s="15">
        <v>15</v>
      </c>
      <c r="G165" s="15" t="str" cm="1">
        <f t="array" ref="G165">_xlfn.IFS(AND(F165&gt;=5,F165&lt;12),"Morning",AND(F165&gt;=12,F165&lt;17),"AfterNoon",AND(F165&gt;=17,F165&lt;20),"Evening",TRUE,"Night")</f>
        <v>AfterNoon</v>
      </c>
      <c r="H165" s="15" t="b">
        <v>0</v>
      </c>
      <c r="I165" s="15">
        <v>5</v>
      </c>
      <c r="J165" s="15" t="str" cm="1">
        <f t="array" ref="J165">_xlfn.IFS(I165=0,"Saturday",I165=1,"Sunday",I165=2,"Monday",I165=3,"Tuesday",I165=4,"Wednesday",I165=5,"Thusday",I165=6,"Friday")</f>
        <v>Thusday</v>
      </c>
      <c r="K165" s="15">
        <v>2</v>
      </c>
      <c r="L165" s="15">
        <v>0.28000000000000003</v>
      </c>
      <c r="M165" s="15" t="str">
        <f t="shared" si="3"/>
        <v>Cloudy</v>
      </c>
      <c r="N165" s="15">
        <v>0.2727</v>
      </c>
      <c r="O165" s="15">
        <v>0.48</v>
      </c>
      <c r="P165" s="15">
        <v>0.25369999999999998</v>
      </c>
      <c r="Q165" s="15">
        <v>9</v>
      </c>
      <c r="R165" s="15">
        <v>81</v>
      </c>
      <c r="S165" s="15">
        <v>90</v>
      </c>
    </row>
    <row r="166" spans="1:19" x14ac:dyDescent="0.35">
      <c r="A166" s="15">
        <v>774</v>
      </c>
      <c r="B166" s="16">
        <v>40578</v>
      </c>
      <c r="C166" s="15">
        <v>1</v>
      </c>
      <c r="D166" s="15">
        <v>0</v>
      </c>
      <c r="E166" s="15">
        <v>2</v>
      </c>
      <c r="F166" s="15">
        <v>16</v>
      </c>
      <c r="G166" s="15" t="str" cm="1">
        <f t="array" ref="G166">_xlfn.IFS(AND(F166&gt;=5,F166&lt;12),"Morning",AND(F166&gt;=12,F166&lt;17),"AfterNoon",AND(F166&gt;=17,F166&lt;20),"Evening",TRUE,"Night")</f>
        <v>AfterNoon</v>
      </c>
      <c r="H166" s="15" t="b">
        <v>0</v>
      </c>
      <c r="I166" s="15">
        <v>5</v>
      </c>
      <c r="J166" s="15" t="str" cm="1">
        <f t="array" ref="J166">_xlfn.IFS(I166=0,"Saturday",I166=1,"Sunday",I166=2,"Monday",I166=3,"Tuesday",I166=4,"Wednesday",I166=5,"Thusday",I166=6,"Friday")</f>
        <v>Thusday</v>
      </c>
      <c r="K166" s="15">
        <v>2</v>
      </c>
      <c r="L166" s="15">
        <v>0.3</v>
      </c>
      <c r="M166" s="15" t="str">
        <f t="shared" si="3"/>
        <v>Cloudy</v>
      </c>
      <c r="N166" s="15">
        <v>0.28789999999999999</v>
      </c>
      <c r="O166" s="15">
        <v>0.42</v>
      </c>
      <c r="P166" s="15">
        <v>0.22389999999999999</v>
      </c>
      <c r="Q166" s="15">
        <v>8</v>
      </c>
      <c r="R166" s="15">
        <v>91</v>
      </c>
      <c r="S166" s="15">
        <v>99</v>
      </c>
    </row>
    <row r="167" spans="1:19" x14ac:dyDescent="0.35">
      <c r="A167" s="15">
        <v>775</v>
      </c>
      <c r="B167" s="16">
        <v>40578</v>
      </c>
      <c r="C167" s="15">
        <v>1</v>
      </c>
      <c r="D167" s="15">
        <v>0</v>
      </c>
      <c r="E167" s="15">
        <v>2</v>
      </c>
      <c r="F167" s="15">
        <v>17</v>
      </c>
      <c r="G167" s="15" t="str" cm="1">
        <f t="array" ref="G167">_xlfn.IFS(AND(F167&gt;=5,F167&lt;12),"Morning",AND(F167&gt;=12,F167&lt;17),"AfterNoon",AND(F167&gt;=17,F167&lt;20),"Evening",TRUE,"Night")</f>
        <v>Evening</v>
      </c>
      <c r="H167" s="15" t="b">
        <v>0</v>
      </c>
      <c r="I167" s="15">
        <v>5</v>
      </c>
      <c r="J167" s="15" t="str" cm="1">
        <f t="array" ref="J167">_xlfn.IFS(I167=0,"Saturday",I167=1,"Sunday",I167=2,"Monday",I167=3,"Tuesday",I167=4,"Wednesday",I167=5,"Thusday",I167=6,"Friday")</f>
        <v>Thusday</v>
      </c>
      <c r="K167" s="15">
        <v>2</v>
      </c>
      <c r="L167" s="15">
        <v>0.26</v>
      </c>
      <c r="M167" s="15" t="str">
        <f t="shared" si="3"/>
        <v>Cloudy</v>
      </c>
      <c r="N167" s="15">
        <v>0.2727</v>
      </c>
      <c r="O167" s="15">
        <v>0.56000000000000005</v>
      </c>
      <c r="P167" s="15">
        <v>0.1343</v>
      </c>
      <c r="Q167" s="15">
        <v>10</v>
      </c>
      <c r="R167" s="15">
        <v>195</v>
      </c>
      <c r="S167" s="15">
        <v>205</v>
      </c>
    </row>
    <row r="168" spans="1:19" x14ac:dyDescent="0.35">
      <c r="A168" s="15">
        <v>776</v>
      </c>
      <c r="B168" s="16">
        <v>40578</v>
      </c>
      <c r="C168" s="15">
        <v>1</v>
      </c>
      <c r="D168" s="15">
        <v>0</v>
      </c>
      <c r="E168" s="15">
        <v>2</v>
      </c>
      <c r="F168" s="15">
        <v>18</v>
      </c>
      <c r="G168" s="15" t="str" cm="1">
        <f t="array" ref="G168">_xlfn.IFS(AND(F168&gt;=5,F168&lt;12),"Morning",AND(F168&gt;=12,F168&lt;17),"AfterNoon",AND(F168&gt;=17,F168&lt;20),"Evening",TRUE,"Night")</f>
        <v>Evening</v>
      </c>
      <c r="H168" s="15" t="b">
        <v>0</v>
      </c>
      <c r="I168" s="15">
        <v>5</v>
      </c>
      <c r="J168" s="15" t="str" cm="1">
        <f t="array" ref="J168">_xlfn.IFS(I168=0,"Saturday",I168=1,"Sunday",I168=2,"Monday",I168=3,"Tuesday",I168=4,"Wednesday",I168=5,"Thusday",I168=6,"Friday")</f>
        <v>Thusday</v>
      </c>
      <c r="K168" s="15">
        <v>2</v>
      </c>
      <c r="L168" s="15">
        <v>0.24</v>
      </c>
      <c r="M168" s="15" t="str">
        <f t="shared" si="3"/>
        <v>Cloudy</v>
      </c>
      <c r="N168" s="15">
        <v>0.2576</v>
      </c>
      <c r="O168" s="15">
        <v>0.6</v>
      </c>
      <c r="P168" s="15">
        <v>0.1045</v>
      </c>
      <c r="Q168" s="15">
        <v>3</v>
      </c>
      <c r="R168" s="15">
        <v>152</v>
      </c>
      <c r="S168" s="15">
        <v>155</v>
      </c>
    </row>
    <row r="169" spans="1:19" x14ac:dyDescent="0.35">
      <c r="A169" s="15">
        <v>777</v>
      </c>
      <c r="B169" s="16">
        <v>40578</v>
      </c>
      <c r="C169" s="15">
        <v>1</v>
      </c>
      <c r="D169" s="15">
        <v>0</v>
      </c>
      <c r="E169" s="15">
        <v>2</v>
      </c>
      <c r="F169" s="15">
        <v>19</v>
      </c>
      <c r="G169" s="15" t="str" cm="1">
        <f t="array" ref="G169">_xlfn.IFS(AND(F169&gt;=5,F169&lt;12),"Morning",AND(F169&gt;=12,F169&lt;17),"AfterNoon",AND(F169&gt;=17,F169&lt;20),"Evening",TRUE,"Night")</f>
        <v>Evening</v>
      </c>
      <c r="H169" s="15" t="b">
        <v>0</v>
      </c>
      <c r="I169" s="15">
        <v>5</v>
      </c>
      <c r="J169" s="15" t="str" cm="1">
        <f t="array" ref="J169">_xlfn.IFS(I169=0,"Saturday",I169=1,"Sunday",I169=2,"Monday",I169=3,"Tuesday",I169=4,"Wednesday",I169=5,"Thusday",I169=6,"Friday")</f>
        <v>Thusday</v>
      </c>
      <c r="K169" s="15">
        <v>2</v>
      </c>
      <c r="L169" s="15">
        <v>0.24</v>
      </c>
      <c r="M169" s="15" t="str">
        <f t="shared" si="3"/>
        <v>Cloudy</v>
      </c>
      <c r="N169" s="15">
        <v>0.2424</v>
      </c>
      <c r="O169" s="15">
        <v>0.65</v>
      </c>
      <c r="P169" s="15">
        <v>0.1343</v>
      </c>
      <c r="Q169" s="15">
        <v>1</v>
      </c>
      <c r="R169" s="15">
        <v>102</v>
      </c>
      <c r="S169" s="15">
        <v>103</v>
      </c>
    </row>
    <row r="170" spans="1:19" x14ac:dyDescent="0.35">
      <c r="A170" s="15">
        <v>778</v>
      </c>
      <c r="B170" s="16">
        <v>40578</v>
      </c>
      <c r="C170" s="15">
        <v>1</v>
      </c>
      <c r="D170" s="15">
        <v>0</v>
      </c>
      <c r="E170" s="15">
        <v>2</v>
      </c>
      <c r="F170" s="15">
        <v>20</v>
      </c>
      <c r="G170" s="15" t="str" cm="1">
        <f t="array" ref="G170">_xlfn.IFS(AND(F170&gt;=5,F170&lt;12),"Morning",AND(F170&gt;=12,F170&lt;17),"AfterNoon",AND(F170&gt;=17,F170&lt;20),"Evening",TRUE,"Night")</f>
        <v>Night</v>
      </c>
      <c r="H170" s="15" t="b">
        <v>0</v>
      </c>
      <c r="I170" s="15">
        <v>5</v>
      </c>
      <c r="J170" s="15" t="str" cm="1">
        <f t="array" ref="J170">_xlfn.IFS(I170=0,"Saturday",I170=1,"Sunday",I170=2,"Monday",I170=3,"Tuesday",I170=4,"Wednesday",I170=5,"Thusday",I170=6,"Friday")</f>
        <v>Thusday</v>
      </c>
      <c r="K170" s="15">
        <v>2</v>
      </c>
      <c r="L170" s="15">
        <v>0.24</v>
      </c>
      <c r="M170" s="15" t="str">
        <f t="shared" si="3"/>
        <v>Cloudy</v>
      </c>
      <c r="N170" s="15">
        <v>0.2424</v>
      </c>
      <c r="O170" s="15">
        <v>0.65</v>
      </c>
      <c r="P170" s="15">
        <v>0.16420000000000001</v>
      </c>
      <c r="Q170" s="15">
        <v>2</v>
      </c>
      <c r="R170" s="15">
        <v>69</v>
      </c>
      <c r="S170" s="15">
        <v>71</v>
      </c>
    </row>
    <row r="171" spans="1:19" x14ac:dyDescent="0.35">
      <c r="A171" s="15">
        <v>779</v>
      </c>
      <c r="B171" s="16">
        <v>40578</v>
      </c>
      <c r="C171" s="15">
        <v>1</v>
      </c>
      <c r="D171" s="15">
        <v>0</v>
      </c>
      <c r="E171" s="15">
        <v>2</v>
      </c>
      <c r="F171" s="15">
        <v>21</v>
      </c>
      <c r="G171" s="15" t="str" cm="1">
        <f t="array" ref="G171">_xlfn.IFS(AND(F171&gt;=5,F171&lt;12),"Morning",AND(F171&gt;=12,F171&lt;17),"AfterNoon",AND(F171&gt;=17,F171&lt;20),"Evening",TRUE,"Night")</f>
        <v>Night</v>
      </c>
      <c r="H171" s="15" t="b">
        <v>0</v>
      </c>
      <c r="I171" s="15">
        <v>5</v>
      </c>
      <c r="J171" s="15" t="str" cm="1">
        <f t="array" ref="J171">_xlfn.IFS(I171=0,"Saturday",I171=1,"Sunday",I171=2,"Monday",I171=3,"Tuesday",I171=4,"Wednesday",I171=5,"Thusday",I171=6,"Friday")</f>
        <v>Thusday</v>
      </c>
      <c r="K171" s="15">
        <v>2</v>
      </c>
      <c r="L171" s="15">
        <v>0.24</v>
      </c>
      <c r="M171" s="15" t="str">
        <f t="shared" si="3"/>
        <v>Cloudy</v>
      </c>
      <c r="N171" s="15">
        <v>0.2424</v>
      </c>
      <c r="O171" s="15">
        <v>0.7</v>
      </c>
      <c r="P171" s="15">
        <v>0.16420000000000001</v>
      </c>
      <c r="Q171" s="15">
        <v>2</v>
      </c>
      <c r="R171" s="15">
        <v>41</v>
      </c>
      <c r="S171" s="15">
        <v>43</v>
      </c>
    </row>
    <row r="172" spans="1:19" x14ac:dyDescent="0.35">
      <c r="A172" s="15">
        <v>780</v>
      </c>
      <c r="B172" s="16">
        <v>40578</v>
      </c>
      <c r="C172" s="15">
        <v>1</v>
      </c>
      <c r="D172" s="15">
        <v>0</v>
      </c>
      <c r="E172" s="15">
        <v>2</v>
      </c>
      <c r="F172" s="15">
        <v>22</v>
      </c>
      <c r="G172" s="15" t="str" cm="1">
        <f t="array" ref="G172">_xlfn.IFS(AND(F172&gt;=5,F172&lt;12),"Morning",AND(F172&gt;=12,F172&lt;17),"AfterNoon",AND(F172&gt;=17,F172&lt;20),"Evening",TRUE,"Night")</f>
        <v>Night</v>
      </c>
      <c r="H172" s="15" t="b">
        <v>0</v>
      </c>
      <c r="I172" s="15">
        <v>5</v>
      </c>
      <c r="J172" s="15" t="str" cm="1">
        <f t="array" ref="J172">_xlfn.IFS(I172=0,"Saturday",I172=1,"Sunday",I172=2,"Monday",I172=3,"Tuesday",I172=4,"Wednesday",I172=5,"Thusday",I172=6,"Friday")</f>
        <v>Thusday</v>
      </c>
      <c r="K172" s="15">
        <v>2</v>
      </c>
      <c r="L172" s="15">
        <v>0.24</v>
      </c>
      <c r="M172" s="15" t="str">
        <f t="shared" si="3"/>
        <v>Cloudy</v>
      </c>
      <c r="N172" s="15">
        <v>0.2424</v>
      </c>
      <c r="O172" s="15">
        <v>0.65</v>
      </c>
      <c r="P172" s="15">
        <v>0.16420000000000001</v>
      </c>
      <c r="Q172" s="15">
        <v>1</v>
      </c>
      <c r="R172" s="15">
        <v>45</v>
      </c>
      <c r="S172" s="15">
        <v>46</v>
      </c>
    </row>
    <row r="173" spans="1:19" x14ac:dyDescent="0.35">
      <c r="A173" s="15">
        <v>781</v>
      </c>
      <c r="B173" s="16">
        <v>40578</v>
      </c>
      <c r="C173" s="15">
        <v>1</v>
      </c>
      <c r="D173" s="15">
        <v>0</v>
      </c>
      <c r="E173" s="15">
        <v>2</v>
      </c>
      <c r="F173" s="15">
        <v>23</v>
      </c>
      <c r="G173" s="15" t="str" cm="1">
        <f t="array" ref="G173">_xlfn.IFS(AND(F173&gt;=5,F173&lt;12),"Morning",AND(F173&gt;=12,F173&lt;17),"AfterNoon",AND(F173&gt;=17,F173&lt;20),"Evening",TRUE,"Night")</f>
        <v>Night</v>
      </c>
      <c r="H173" s="15" t="b">
        <v>0</v>
      </c>
      <c r="I173" s="15">
        <v>5</v>
      </c>
      <c r="J173" s="15" t="str" cm="1">
        <f t="array" ref="J173">_xlfn.IFS(I173=0,"Saturday",I173=1,"Sunday",I173=2,"Monday",I173=3,"Tuesday",I173=4,"Wednesday",I173=5,"Thusday",I173=6,"Friday")</f>
        <v>Thusday</v>
      </c>
      <c r="K173" s="15">
        <v>2</v>
      </c>
      <c r="L173" s="15">
        <v>0.24</v>
      </c>
      <c r="M173" s="15" t="str">
        <f t="shared" si="3"/>
        <v>Cloudy</v>
      </c>
      <c r="N173" s="15">
        <v>0.2424</v>
      </c>
      <c r="O173" s="15">
        <v>0.7</v>
      </c>
      <c r="P173" s="15">
        <v>0.1343</v>
      </c>
      <c r="Q173" s="15">
        <v>1</v>
      </c>
      <c r="R173" s="15">
        <v>30</v>
      </c>
      <c r="S173" s="15">
        <v>31</v>
      </c>
    </row>
    <row r="174" spans="1:19" x14ac:dyDescent="0.35">
      <c r="A174" s="15">
        <v>782</v>
      </c>
      <c r="B174" s="16">
        <v>40579</v>
      </c>
      <c r="C174" s="15">
        <v>1</v>
      </c>
      <c r="D174" s="15">
        <v>0</v>
      </c>
      <c r="E174" s="15">
        <v>2</v>
      </c>
      <c r="F174" s="15">
        <v>0</v>
      </c>
      <c r="G174" s="15" t="str" cm="1">
        <f t="array" ref="G174">_xlfn.IFS(AND(F174&gt;=5,F174&lt;12),"Morning",AND(F174&gt;=12,F174&lt;17),"AfterNoon",AND(F174&gt;=17,F174&lt;20),"Evening",TRUE,"Night")</f>
        <v>Night</v>
      </c>
      <c r="H174" s="15" t="b">
        <v>0</v>
      </c>
      <c r="I174" s="15">
        <v>6</v>
      </c>
      <c r="J174" s="15" t="str" cm="1">
        <f t="array" ref="J174">_xlfn.IFS(I174=0,"Saturday",I174=1,"Sunday",I174=2,"Monday",I174=3,"Tuesday",I174=4,"Wednesday",I174=5,"Thusday",I174=6,"Friday")</f>
        <v>Friday</v>
      </c>
      <c r="K174" s="15">
        <v>2</v>
      </c>
      <c r="L174" s="15">
        <v>0.24</v>
      </c>
      <c r="M174" s="15" t="str">
        <f t="shared" si="3"/>
        <v>Cloudy</v>
      </c>
      <c r="N174" s="15">
        <v>0.2424</v>
      </c>
      <c r="O174" s="15">
        <v>0.7</v>
      </c>
      <c r="P174" s="15">
        <v>0.16420000000000001</v>
      </c>
      <c r="Q174" s="15">
        <v>3</v>
      </c>
      <c r="R174" s="15">
        <v>36</v>
      </c>
      <c r="S174" s="15">
        <v>39</v>
      </c>
    </row>
    <row r="175" spans="1:19" x14ac:dyDescent="0.35">
      <c r="A175" s="15">
        <v>783</v>
      </c>
      <c r="B175" s="16">
        <v>40579</v>
      </c>
      <c r="C175" s="15">
        <v>1</v>
      </c>
      <c r="D175" s="15">
        <v>0</v>
      </c>
      <c r="E175" s="15">
        <v>2</v>
      </c>
      <c r="F175" s="15">
        <v>1</v>
      </c>
      <c r="G175" s="15" t="str" cm="1">
        <f t="array" ref="G175">_xlfn.IFS(AND(F175&gt;=5,F175&lt;12),"Morning",AND(F175&gt;=12,F175&lt;17),"AfterNoon",AND(F175&gt;=17,F175&lt;20),"Evening",TRUE,"Night")</f>
        <v>Night</v>
      </c>
      <c r="H175" s="15" t="b">
        <v>0</v>
      </c>
      <c r="I175" s="15">
        <v>6</v>
      </c>
      <c r="J175" s="15" t="str" cm="1">
        <f t="array" ref="J175">_xlfn.IFS(I175=0,"Saturday",I175=1,"Sunday",I175=2,"Monday",I175=3,"Tuesday",I175=4,"Wednesday",I175=5,"Thusday",I175=6,"Friday")</f>
        <v>Friday</v>
      </c>
      <c r="K175" s="15">
        <v>2</v>
      </c>
      <c r="L175" s="15">
        <v>0.24</v>
      </c>
      <c r="M175" s="15" t="str">
        <f t="shared" si="3"/>
        <v>Cloudy</v>
      </c>
      <c r="N175" s="15">
        <v>0.2424</v>
      </c>
      <c r="O175" s="15">
        <v>0.65</v>
      </c>
      <c r="P175" s="15">
        <v>0.16420000000000001</v>
      </c>
      <c r="Q175" s="15">
        <v>1</v>
      </c>
      <c r="R175" s="15">
        <v>17</v>
      </c>
      <c r="S175" s="15">
        <v>18</v>
      </c>
    </row>
    <row r="176" spans="1:19" x14ac:dyDescent="0.35">
      <c r="A176" s="15">
        <v>784</v>
      </c>
      <c r="B176" s="16">
        <v>40579</v>
      </c>
      <c r="C176" s="15">
        <v>1</v>
      </c>
      <c r="D176" s="15">
        <v>0</v>
      </c>
      <c r="E176" s="15">
        <v>2</v>
      </c>
      <c r="F176" s="15">
        <v>2</v>
      </c>
      <c r="G176" s="15" t="str" cm="1">
        <f t="array" ref="G176">_xlfn.IFS(AND(F176&gt;=5,F176&lt;12),"Morning",AND(F176&gt;=12,F176&lt;17),"AfterNoon",AND(F176&gt;=17,F176&lt;20),"Evening",TRUE,"Night")</f>
        <v>Night</v>
      </c>
      <c r="H176" s="15" t="b">
        <v>0</v>
      </c>
      <c r="I176" s="15">
        <v>6</v>
      </c>
      <c r="J176" s="15" t="str" cm="1">
        <f t="array" ref="J176">_xlfn.IFS(I176=0,"Saturday",I176=1,"Sunday",I176=2,"Monday",I176=3,"Tuesday",I176=4,"Wednesday",I176=5,"Thusday",I176=6,"Friday")</f>
        <v>Friday</v>
      </c>
      <c r="K176" s="15">
        <v>2</v>
      </c>
      <c r="L176" s="15">
        <v>0.24</v>
      </c>
      <c r="M176" s="15" t="str">
        <f t="shared" si="3"/>
        <v>Cloudy</v>
      </c>
      <c r="N176" s="15">
        <v>0.2424</v>
      </c>
      <c r="O176" s="15">
        <v>0.75</v>
      </c>
      <c r="P176" s="15">
        <v>0.16420000000000001</v>
      </c>
      <c r="Q176" s="15">
        <v>5</v>
      </c>
      <c r="R176" s="15">
        <v>12</v>
      </c>
      <c r="S176" s="15">
        <v>17</v>
      </c>
    </row>
    <row r="177" spans="1:19" x14ac:dyDescent="0.35">
      <c r="A177" s="15">
        <v>785</v>
      </c>
      <c r="B177" s="16">
        <v>40579</v>
      </c>
      <c r="C177" s="15">
        <v>1</v>
      </c>
      <c r="D177" s="15">
        <v>0</v>
      </c>
      <c r="E177" s="15">
        <v>2</v>
      </c>
      <c r="F177" s="15">
        <v>3</v>
      </c>
      <c r="G177" s="15" t="str" cm="1">
        <f t="array" ref="G177">_xlfn.IFS(AND(F177&gt;=5,F177&lt;12),"Morning",AND(F177&gt;=12,F177&lt;17),"AfterNoon",AND(F177&gt;=17,F177&lt;20),"Evening",TRUE,"Night")</f>
        <v>Night</v>
      </c>
      <c r="H177" s="15" t="b">
        <v>0</v>
      </c>
      <c r="I177" s="15">
        <v>6</v>
      </c>
      <c r="J177" s="15" t="str" cm="1">
        <f t="array" ref="J177">_xlfn.IFS(I177=0,"Saturday",I177=1,"Sunday",I177=2,"Monday",I177=3,"Tuesday",I177=4,"Wednesday",I177=5,"Thusday",I177=6,"Friday")</f>
        <v>Friday</v>
      </c>
      <c r="K177" s="15">
        <v>2</v>
      </c>
      <c r="L177" s="15">
        <v>0.24</v>
      </c>
      <c r="M177" s="15" t="str">
        <f t="shared" si="3"/>
        <v>Cloudy</v>
      </c>
      <c r="N177" s="15">
        <v>0.2424</v>
      </c>
      <c r="O177" s="15">
        <v>0.75</v>
      </c>
      <c r="P177" s="15">
        <v>0.16420000000000001</v>
      </c>
      <c r="Q177" s="15">
        <v>1</v>
      </c>
      <c r="R177" s="15">
        <v>10</v>
      </c>
      <c r="S177" s="15">
        <v>11</v>
      </c>
    </row>
    <row r="178" spans="1:19" x14ac:dyDescent="0.35">
      <c r="A178" s="15">
        <v>786</v>
      </c>
      <c r="B178" s="16">
        <v>40579</v>
      </c>
      <c r="C178" s="15">
        <v>1</v>
      </c>
      <c r="D178" s="15">
        <v>0</v>
      </c>
      <c r="E178" s="15">
        <v>2</v>
      </c>
      <c r="F178" s="15">
        <v>4</v>
      </c>
      <c r="G178" s="15" t="str" cm="1">
        <f t="array" ref="G178">_xlfn.IFS(AND(F178&gt;=5,F178&lt;12),"Morning",AND(F178&gt;=12,F178&lt;17),"AfterNoon",AND(F178&gt;=17,F178&lt;20),"Evening",TRUE,"Night")</f>
        <v>Night</v>
      </c>
      <c r="H178" s="15" t="b">
        <v>0</v>
      </c>
      <c r="I178" s="15">
        <v>6</v>
      </c>
      <c r="J178" s="15" t="str" cm="1">
        <f t="array" ref="J178">_xlfn.IFS(I178=0,"Saturday",I178=1,"Sunday",I178=2,"Monday",I178=3,"Tuesday",I178=4,"Wednesday",I178=5,"Thusday",I178=6,"Friday")</f>
        <v>Friday</v>
      </c>
      <c r="K178" s="15">
        <v>3</v>
      </c>
      <c r="L178" s="15">
        <v>0.22</v>
      </c>
      <c r="M178" s="15" t="str">
        <f t="shared" si="3"/>
        <v>Cloudy</v>
      </c>
      <c r="N178" s="15">
        <v>0.2273</v>
      </c>
      <c r="O178" s="15">
        <v>0.93</v>
      </c>
      <c r="P178" s="15">
        <v>0.1343</v>
      </c>
      <c r="Q178" s="15">
        <v>0</v>
      </c>
      <c r="R178" s="15">
        <v>8</v>
      </c>
      <c r="S178" s="15">
        <v>8</v>
      </c>
    </row>
    <row r="179" spans="1:19" x14ac:dyDescent="0.35">
      <c r="A179" s="15">
        <v>787</v>
      </c>
      <c r="B179" s="16">
        <v>40579</v>
      </c>
      <c r="C179" s="15">
        <v>1</v>
      </c>
      <c r="D179" s="15">
        <v>0</v>
      </c>
      <c r="E179" s="15">
        <v>2</v>
      </c>
      <c r="F179" s="15">
        <v>5</v>
      </c>
      <c r="G179" s="15" t="str" cm="1">
        <f t="array" ref="G179">_xlfn.IFS(AND(F179&gt;=5,F179&lt;12),"Morning",AND(F179&gt;=12,F179&lt;17),"AfterNoon",AND(F179&gt;=17,F179&lt;20),"Evening",TRUE,"Night")</f>
        <v>Morning</v>
      </c>
      <c r="H179" s="15" t="b">
        <v>0</v>
      </c>
      <c r="I179" s="15">
        <v>6</v>
      </c>
      <c r="J179" s="15" t="str" cm="1">
        <f t="array" ref="J179">_xlfn.IFS(I179=0,"Saturday",I179=1,"Sunday",I179=2,"Monday",I179=3,"Tuesday",I179=4,"Wednesday",I179=5,"Thusday",I179=6,"Friday")</f>
        <v>Friday</v>
      </c>
      <c r="K179" s="15">
        <v>3</v>
      </c>
      <c r="L179" s="15">
        <v>0.2</v>
      </c>
      <c r="M179" s="15" t="str">
        <f t="shared" si="3"/>
        <v>Rainy</v>
      </c>
      <c r="N179" s="15">
        <v>0.2273</v>
      </c>
      <c r="O179" s="15">
        <v>1</v>
      </c>
      <c r="P179" s="15">
        <v>8.9599999999999999E-2</v>
      </c>
      <c r="Q179" s="15">
        <v>0</v>
      </c>
      <c r="R179" s="15">
        <v>9</v>
      </c>
      <c r="S179" s="15">
        <v>9</v>
      </c>
    </row>
    <row r="180" spans="1:19" x14ac:dyDescent="0.35">
      <c r="A180" s="15">
        <v>788</v>
      </c>
      <c r="B180" s="16">
        <v>40579</v>
      </c>
      <c r="C180" s="15">
        <v>1</v>
      </c>
      <c r="D180" s="15">
        <v>0</v>
      </c>
      <c r="E180" s="15">
        <v>2</v>
      </c>
      <c r="F180" s="15">
        <v>6</v>
      </c>
      <c r="G180" s="15" t="str" cm="1">
        <f t="array" ref="G180">_xlfn.IFS(AND(F180&gt;=5,F180&lt;12),"Morning",AND(F180&gt;=12,F180&lt;17),"AfterNoon",AND(F180&gt;=17,F180&lt;20),"Evening",TRUE,"Night")</f>
        <v>Morning</v>
      </c>
      <c r="H180" s="15" t="b">
        <v>0</v>
      </c>
      <c r="I180" s="15">
        <v>6</v>
      </c>
      <c r="J180" s="15" t="str" cm="1">
        <f t="array" ref="J180">_xlfn.IFS(I180=0,"Saturday",I180=1,"Sunday",I180=2,"Monday",I180=3,"Tuesday",I180=4,"Wednesday",I180=5,"Thusday",I180=6,"Friday")</f>
        <v>Friday</v>
      </c>
      <c r="K180" s="15">
        <v>3</v>
      </c>
      <c r="L180" s="15">
        <v>0.2</v>
      </c>
      <c r="M180" s="15" t="str">
        <f t="shared" si="3"/>
        <v>Rainy</v>
      </c>
      <c r="N180" s="15">
        <v>0.2576</v>
      </c>
      <c r="O180" s="15">
        <v>1</v>
      </c>
      <c r="P180" s="15">
        <v>0</v>
      </c>
      <c r="Q180" s="15">
        <v>0</v>
      </c>
      <c r="R180" s="15">
        <v>4</v>
      </c>
      <c r="S180" s="15">
        <v>4</v>
      </c>
    </row>
    <row r="181" spans="1:19" x14ac:dyDescent="0.35">
      <c r="A181" s="15">
        <v>789</v>
      </c>
      <c r="B181" s="16">
        <v>40579</v>
      </c>
      <c r="C181" s="15">
        <v>1</v>
      </c>
      <c r="D181" s="15">
        <v>0</v>
      </c>
      <c r="E181" s="15">
        <v>2</v>
      </c>
      <c r="F181" s="15">
        <v>7</v>
      </c>
      <c r="G181" s="15" t="str" cm="1">
        <f t="array" ref="G181">_xlfn.IFS(AND(F181&gt;=5,F181&lt;12),"Morning",AND(F181&gt;=12,F181&lt;17),"AfterNoon",AND(F181&gt;=17,F181&lt;20),"Evening",TRUE,"Night")</f>
        <v>Morning</v>
      </c>
      <c r="H181" s="15" t="b">
        <v>0</v>
      </c>
      <c r="I181" s="15">
        <v>6</v>
      </c>
      <c r="J181" s="15" t="str" cm="1">
        <f t="array" ref="J181">_xlfn.IFS(I181=0,"Saturday",I181=1,"Sunday",I181=2,"Monday",I181=3,"Tuesday",I181=4,"Wednesday",I181=5,"Thusday",I181=6,"Friday")</f>
        <v>Friday</v>
      </c>
      <c r="K181" s="15">
        <v>3</v>
      </c>
      <c r="L181" s="15">
        <v>0.22</v>
      </c>
      <c r="M181" s="15" t="str">
        <f t="shared" si="3"/>
        <v>Cloudy</v>
      </c>
      <c r="N181" s="15">
        <v>0.2576</v>
      </c>
      <c r="O181" s="15">
        <v>0.93</v>
      </c>
      <c r="P181" s="15">
        <v>8.9599999999999999E-2</v>
      </c>
      <c r="Q181" s="15">
        <v>0</v>
      </c>
      <c r="R181" s="15">
        <v>4</v>
      </c>
      <c r="S181" s="15">
        <v>4</v>
      </c>
    </row>
    <row r="182" spans="1:19" x14ac:dyDescent="0.35">
      <c r="A182" s="15">
        <v>790</v>
      </c>
      <c r="B182" s="16">
        <v>40579</v>
      </c>
      <c r="C182" s="15">
        <v>1</v>
      </c>
      <c r="D182" s="15">
        <v>0</v>
      </c>
      <c r="E182" s="15">
        <v>2</v>
      </c>
      <c r="F182" s="15">
        <v>8</v>
      </c>
      <c r="G182" s="15" t="str" cm="1">
        <f t="array" ref="G182">_xlfn.IFS(AND(F182&gt;=5,F182&lt;12),"Morning",AND(F182&gt;=12,F182&lt;17),"AfterNoon",AND(F182&gt;=17,F182&lt;20),"Evening",TRUE,"Night")</f>
        <v>Morning</v>
      </c>
      <c r="H182" s="15" t="b">
        <v>0</v>
      </c>
      <c r="I182" s="15">
        <v>6</v>
      </c>
      <c r="J182" s="15" t="str" cm="1">
        <f t="array" ref="J182">_xlfn.IFS(I182=0,"Saturday",I182=1,"Sunday",I182=2,"Monday",I182=3,"Tuesday",I182=4,"Wednesday",I182=5,"Thusday",I182=6,"Friday")</f>
        <v>Friday</v>
      </c>
      <c r="K182" s="15">
        <v>3</v>
      </c>
      <c r="L182" s="15">
        <v>0.2</v>
      </c>
      <c r="M182" s="15" t="str">
        <f t="shared" si="3"/>
        <v>Rainy</v>
      </c>
      <c r="N182" s="15">
        <v>0.2273</v>
      </c>
      <c r="O182" s="15">
        <v>1</v>
      </c>
      <c r="P182" s="15">
        <v>8.9599999999999999E-2</v>
      </c>
      <c r="Q182" s="15">
        <v>0</v>
      </c>
      <c r="R182" s="15">
        <v>10</v>
      </c>
      <c r="S182" s="15">
        <v>10</v>
      </c>
    </row>
    <row r="183" spans="1:19" x14ac:dyDescent="0.35">
      <c r="A183" s="15">
        <v>791</v>
      </c>
      <c r="B183" s="16">
        <v>40579</v>
      </c>
      <c r="C183" s="15">
        <v>1</v>
      </c>
      <c r="D183" s="15">
        <v>0</v>
      </c>
      <c r="E183" s="15">
        <v>2</v>
      </c>
      <c r="F183" s="15">
        <v>9</v>
      </c>
      <c r="G183" s="15" t="str" cm="1">
        <f t="array" ref="G183">_xlfn.IFS(AND(F183&gt;=5,F183&lt;12),"Morning",AND(F183&gt;=12,F183&lt;17),"AfterNoon",AND(F183&gt;=17,F183&lt;20),"Evening",TRUE,"Night")</f>
        <v>Morning</v>
      </c>
      <c r="H183" s="15" t="b">
        <v>0</v>
      </c>
      <c r="I183" s="15">
        <v>6</v>
      </c>
      <c r="J183" s="15" t="str" cm="1">
        <f t="array" ref="J183">_xlfn.IFS(I183=0,"Saturday",I183=1,"Sunday",I183=2,"Monday",I183=3,"Tuesday",I183=4,"Wednesday",I183=5,"Thusday",I183=6,"Friday")</f>
        <v>Friday</v>
      </c>
      <c r="K183" s="15">
        <v>3</v>
      </c>
      <c r="L183" s="15">
        <v>0.2</v>
      </c>
      <c r="M183" s="15" t="str">
        <f t="shared" si="3"/>
        <v>Rainy</v>
      </c>
      <c r="N183" s="15">
        <v>0.2273</v>
      </c>
      <c r="O183" s="15">
        <v>1</v>
      </c>
      <c r="P183" s="15">
        <v>8.9599999999999999E-2</v>
      </c>
      <c r="Q183" s="15">
        <v>3</v>
      </c>
      <c r="R183" s="15">
        <v>17</v>
      </c>
      <c r="S183" s="15">
        <v>20</v>
      </c>
    </row>
    <row r="184" spans="1:19" x14ac:dyDescent="0.35">
      <c r="A184" s="15">
        <v>792</v>
      </c>
      <c r="B184" s="16">
        <v>40579</v>
      </c>
      <c r="C184" s="15">
        <v>1</v>
      </c>
      <c r="D184" s="15">
        <v>0</v>
      </c>
      <c r="E184" s="15">
        <v>2</v>
      </c>
      <c r="F184" s="15">
        <v>10</v>
      </c>
      <c r="G184" s="15" t="str" cm="1">
        <f t="array" ref="G184">_xlfn.IFS(AND(F184&gt;=5,F184&lt;12),"Morning",AND(F184&gt;=12,F184&lt;17),"AfterNoon",AND(F184&gt;=17,F184&lt;20),"Evening",TRUE,"Night")</f>
        <v>Morning</v>
      </c>
      <c r="H184" s="15" t="b">
        <v>0</v>
      </c>
      <c r="I184" s="15">
        <v>6</v>
      </c>
      <c r="J184" s="15" t="str" cm="1">
        <f t="array" ref="J184">_xlfn.IFS(I184=0,"Saturday",I184=1,"Sunday",I184=2,"Monday",I184=3,"Tuesday",I184=4,"Wednesday",I184=5,"Thusday",I184=6,"Friday")</f>
        <v>Friday</v>
      </c>
      <c r="K184" s="15">
        <v>3</v>
      </c>
      <c r="L184" s="15">
        <v>0.2</v>
      </c>
      <c r="M184" s="15" t="str">
        <f t="shared" si="3"/>
        <v>Rainy</v>
      </c>
      <c r="N184" s="15">
        <v>0.21210000000000001</v>
      </c>
      <c r="O184" s="15">
        <v>1</v>
      </c>
      <c r="P184" s="15">
        <v>0.1343</v>
      </c>
      <c r="Q184" s="15">
        <v>3</v>
      </c>
      <c r="R184" s="15">
        <v>31</v>
      </c>
      <c r="S184" s="15">
        <v>34</v>
      </c>
    </row>
    <row r="185" spans="1:19" x14ac:dyDescent="0.35">
      <c r="A185" s="15">
        <v>793</v>
      </c>
      <c r="B185" s="16">
        <v>40579</v>
      </c>
      <c r="C185" s="15">
        <v>1</v>
      </c>
      <c r="D185" s="15">
        <v>0</v>
      </c>
      <c r="E185" s="15">
        <v>2</v>
      </c>
      <c r="F185" s="15">
        <v>11</v>
      </c>
      <c r="G185" s="15" t="str" cm="1">
        <f t="array" ref="G185">_xlfn.IFS(AND(F185&gt;=5,F185&lt;12),"Morning",AND(F185&gt;=12,F185&lt;17),"AfterNoon",AND(F185&gt;=17,F185&lt;20),"Evening",TRUE,"Night")</f>
        <v>Morning</v>
      </c>
      <c r="H185" s="15" t="b">
        <v>0</v>
      </c>
      <c r="I185" s="15">
        <v>6</v>
      </c>
      <c r="J185" s="15" t="str" cm="1">
        <f t="array" ref="J185">_xlfn.IFS(I185=0,"Saturday",I185=1,"Sunday",I185=2,"Monday",I185=3,"Tuesday",I185=4,"Wednesday",I185=5,"Thusday",I185=6,"Friday")</f>
        <v>Friday</v>
      </c>
      <c r="K185" s="15">
        <v>3</v>
      </c>
      <c r="L185" s="15">
        <v>0.22</v>
      </c>
      <c r="M185" s="15" t="str">
        <f t="shared" si="3"/>
        <v>Cloudy</v>
      </c>
      <c r="N185" s="15">
        <v>0.2273</v>
      </c>
      <c r="O185" s="15">
        <v>1</v>
      </c>
      <c r="P185" s="15">
        <v>0.1343</v>
      </c>
      <c r="Q185" s="15">
        <v>1</v>
      </c>
      <c r="R185" s="15">
        <v>46</v>
      </c>
      <c r="S185" s="15">
        <v>47</v>
      </c>
    </row>
    <row r="186" spans="1:19" x14ac:dyDescent="0.35">
      <c r="A186" s="15">
        <v>794</v>
      </c>
      <c r="B186" s="16">
        <v>40579</v>
      </c>
      <c r="C186" s="15">
        <v>1</v>
      </c>
      <c r="D186" s="15">
        <v>0</v>
      </c>
      <c r="E186" s="15">
        <v>2</v>
      </c>
      <c r="F186" s="15">
        <v>12</v>
      </c>
      <c r="G186" s="15" t="str" cm="1">
        <f t="array" ref="G186">_xlfn.IFS(AND(F186&gt;=5,F186&lt;12),"Morning",AND(F186&gt;=12,F186&lt;17),"AfterNoon",AND(F186&gt;=17,F186&lt;20),"Evening",TRUE,"Night")</f>
        <v>AfterNoon</v>
      </c>
      <c r="H186" s="15" t="b">
        <v>0</v>
      </c>
      <c r="I186" s="15">
        <v>6</v>
      </c>
      <c r="J186" s="15" t="str" cm="1">
        <f t="array" ref="J186">_xlfn.IFS(I186=0,"Saturday",I186=1,"Sunday",I186=2,"Monday",I186=3,"Tuesday",I186=4,"Wednesday",I186=5,"Thusday",I186=6,"Friday")</f>
        <v>Friday</v>
      </c>
      <c r="K186" s="15">
        <v>3</v>
      </c>
      <c r="L186" s="15">
        <v>0.22</v>
      </c>
      <c r="M186" s="15" t="str">
        <f t="shared" si="3"/>
        <v>Cloudy</v>
      </c>
      <c r="N186" s="15">
        <v>0.2273</v>
      </c>
      <c r="O186" s="15">
        <v>1</v>
      </c>
      <c r="P186" s="15">
        <v>0.16420000000000001</v>
      </c>
      <c r="Q186" s="15">
        <v>10</v>
      </c>
      <c r="R186" s="15">
        <v>42</v>
      </c>
      <c r="S186" s="15">
        <v>52</v>
      </c>
    </row>
    <row r="187" spans="1:19" x14ac:dyDescent="0.35">
      <c r="A187" s="15">
        <v>795</v>
      </c>
      <c r="B187" s="16">
        <v>40579</v>
      </c>
      <c r="C187" s="15">
        <v>1</v>
      </c>
      <c r="D187" s="15">
        <v>0</v>
      </c>
      <c r="E187" s="15">
        <v>2</v>
      </c>
      <c r="F187" s="15">
        <v>13</v>
      </c>
      <c r="G187" s="15" t="str" cm="1">
        <f t="array" ref="G187">_xlfn.IFS(AND(F187&gt;=5,F187&lt;12),"Morning",AND(F187&gt;=12,F187&lt;17),"AfterNoon",AND(F187&gt;=17,F187&lt;20),"Evening",TRUE,"Night")</f>
        <v>AfterNoon</v>
      </c>
      <c r="H187" s="15" t="b">
        <v>0</v>
      </c>
      <c r="I187" s="15">
        <v>6</v>
      </c>
      <c r="J187" s="15" t="str" cm="1">
        <f t="array" ref="J187">_xlfn.IFS(I187=0,"Saturday",I187=1,"Sunday",I187=2,"Monday",I187=3,"Tuesday",I187=4,"Wednesday",I187=5,"Thusday",I187=6,"Friday")</f>
        <v>Friday</v>
      </c>
      <c r="K187" s="15">
        <v>3</v>
      </c>
      <c r="L187" s="15">
        <v>0.22</v>
      </c>
      <c r="M187" s="15" t="str">
        <f t="shared" si="3"/>
        <v>Cloudy</v>
      </c>
      <c r="N187" s="15">
        <v>0.2273</v>
      </c>
      <c r="O187" s="15">
        <v>1</v>
      </c>
      <c r="P187" s="15">
        <v>0.16420000000000001</v>
      </c>
      <c r="Q187" s="15">
        <v>10</v>
      </c>
      <c r="R187" s="15">
        <v>62</v>
      </c>
      <c r="S187" s="15">
        <v>72</v>
      </c>
    </row>
    <row r="188" spans="1:19" x14ac:dyDescent="0.35">
      <c r="A188" s="15">
        <v>796</v>
      </c>
      <c r="B188" s="16">
        <v>40579</v>
      </c>
      <c r="C188" s="15">
        <v>1</v>
      </c>
      <c r="D188" s="15">
        <v>0</v>
      </c>
      <c r="E188" s="15">
        <v>2</v>
      </c>
      <c r="F188" s="15">
        <v>14</v>
      </c>
      <c r="G188" s="15" t="str" cm="1">
        <f t="array" ref="G188">_xlfn.IFS(AND(F188&gt;=5,F188&lt;12),"Morning",AND(F188&gt;=12,F188&lt;17),"AfterNoon",AND(F188&gt;=17,F188&lt;20),"Evening",TRUE,"Night")</f>
        <v>AfterNoon</v>
      </c>
      <c r="H188" s="15" t="b">
        <v>0</v>
      </c>
      <c r="I188" s="15">
        <v>6</v>
      </c>
      <c r="J188" s="15" t="str" cm="1">
        <f t="array" ref="J188">_xlfn.IFS(I188=0,"Saturday",I188=1,"Sunday",I188=2,"Monday",I188=3,"Tuesday",I188=4,"Wednesday",I188=5,"Thusday",I188=6,"Friday")</f>
        <v>Friday</v>
      </c>
      <c r="K188" s="15">
        <v>3</v>
      </c>
      <c r="L188" s="15">
        <v>0.22</v>
      </c>
      <c r="M188" s="15" t="str">
        <f t="shared" si="3"/>
        <v>Cloudy</v>
      </c>
      <c r="N188" s="15">
        <v>0.2727</v>
      </c>
      <c r="O188" s="15">
        <v>1</v>
      </c>
      <c r="P188" s="15">
        <v>0</v>
      </c>
      <c r="Q188" s="15">
        <v>5</v>
      </c>
      <c r="R188" s="15">
        <v>50</v>
      </c>
      <c r="S188" s="15">
        <v>55</v>
      </c>
    </row>
    <row r="189" spans="1:19" x14ac:dyDescent="0.35">
      <c r="A189" s="15">
        <v>797</v>
      </c>
      <c r="B189" s="16">
        <v>40579</v>
      </c>
      <c r="C189" s="15">
        <v>1</v>
      </c>
      <c r="D189" s="15">
        <v>0</v>
      </c>
      <c r="E189" s="15">
        <v>2</v>
      </c>
      <c r="F189" s="15">
        <v>15</v>
      </c>
      <c r="G189" s="15" t="str" cm="1">
        <f t="array" ref="G189">_xlfn.IFS(AND(F189&gt;=5,F189&lt;12),"Morning",AND(F189&gt;=12,F189&lt;17),"AfterNoon",AND(F189&gt;=17,F189&lt;20),"Evening",TRUE,"Night")</f>
        <v>AfterNoon</v>
      </c>
      <c r="H189" s="15" t="b">
        <v>0</v>
      </c>
      <c r="I189" s="15">
        <v>6</v>
      </c>
      <c r="J189" s="15" t="str" cm="1">
        <f t="array" ref="J189">_xlfn.IFS(I189=0,"Saturday",I189=1,"Sunday",I189=2,"Monday",I189=3,"Tuesday",I189=4,"Wednesday",I189=5,"Thusday",I189=6,"Friday")</f>
        <v>Friday</v>
      </c>
      <c r="K189" s="15">
        <v>3</v>
      </c>
      <c r="L189" s="15">
        <v>0.22</v>
      </c>
      <c r="M189" s="15" t="str">
        <f t="shared" si="3"/>
        <v>Cloudy</v>
      </c>
      <c r="N189" s="15">
        <v>0.2727</v>
      </c>
      <c r="O189" s="15">
        <v>1</v>
      </c>
      <c r="P189" s="15">
        <v>0</v>
      </c>
      <c r="Q189" s="15">
        <v>11</v>
      </c>
      <c r="R189" s="15">
        <v>49</v>
      </c>
      <c r="S189" s="15">
        <v>60</v>
      </c>
    </row>
    <row r="190" spans="1:19" x14ac:dyDescent="0.35">
      <c r="A190" s="15">
        <v>798</v>
      </c>
      <c r="B190" s="16">
        <v>40579</v>
      </c>
      <c r="C190" s="15">
        <v>1</v>
      </c>
      <c r="D190" s="15">
        <v>0</v>
      </c>
      <c r="E190" s="15">
        <v>2</v>
      </c>
      <c r="F190" s="15">
        <v>16</v>
      </c>
      <c r="G190" s="15" t="str" cm="1">
        <f t="array" ref="G190">_xlfn.IFS(AND(F190&gt;=5,F190&lt;12),"Morning",AND(F190&gt;=12,F190&lt;17),"AfterNoon",AND(F190&gt;=17,F190&lt;20),"Evening",TRUE,"Night")</f>
        <v>AfterNoon</v>
      </c>
      <c r="H190" s="15" t="b">
        <v>0</v>
      </c>
      <c r="I190" s="15">
        <v>6</v>
      </c>
      <c r="J190" s="15" t="str" cm="1">
        <f t="array" ref="J190">_xlfn.IFS(I190=0,"Saturday",I190=1,"Sunday",I190=2,"Monday",I190=3,"Tuesday",I190=4,"Wednesday",I190=5,"Thusday",I190=6,"Friday")</f>
        <v>Friday</v>
      </c>
      <c r="K190" s="15">
        <v>3</v>
      </c>
      <c r="L190" s="15">
        <v>0.22</v>
      </c>
      <c r="M190" s="15" t="str">
        <f t="shared" si="3"/>
        <v>Cloudy</v>
      </c>
      <c r="N190" s="15">
        <v>0.2273</v>
      </c>
      <c r="O190" s="15">
        <v>1</v>
      </c>
      <c r="P190" s="15">
        <v>0.1343</v>
      </c>
      <c r="Q190" s="15">
        <v>8</v>
      </c>
      <c r="R190" s="15">
        <v>63</v>
      </c>
      <c r="S190" s="15">
        <v>71</v>
      </c>
    </row>
    <row r="191" spans="1:19" x14ac:dyDescent="0.35">
      <c r="A191" s="15">
        <v>799</v>
      </c>
      <c r="B191" s="16">
        <v>40579</v>
      </c>
      <c r="C191" s="15">
        <v>1</v>
      </c>
      <c r="D191" s="15">
        <v>0</v>
      </c>
      <c r="E191" s="15">
        <v>2</v>
      </c>
      <c r="F191" s="15">
        <v>17</v>
      </c>
      <c r="G191" s="15" t="str" cm="1">
        <f t="array" ref="G191">_xlfn.IFS(AND(F191&gt;=5,F191&lt;12),"Morning",AND(F191&gt;=12,F191&lt;17),"AfterNoon",AND(F191&gt;=17,F191&lt;20),"Evening",TRUE,"Night")</f>
        <v>Evening</v>
      </c>
      <c r="H191" s="15" t="b">
        <v>0</v>
      </c>
      <c r="I191" s="15">
        <v>6</v>
      </c>
      <c r="J191" s="15" t="str" cm="1">
        <f t="array" ref="J191">_xlfn.IFS(I191=0,"Saturday",I191=1,"Sunday",I191=2,"Monday",I191=3,"Tuesday",I191=4,"Wednesday",I191=5,"Thusday",I191=6,"Friday")</f>
        <v>Friday</v>
      </c>
      <c r="K191" s="15">
        <v>2</v>
      </c>
      <c r="L191" s="15">
        <v>0.24</v>
      </c>
      <c r="M191" s="15" t="str">
        <f t="shared" si="3"/>
        <v>Cloudy</v>
      </c>
      <c r="N191" s="15">
        <v>0.21210000000000001</v>
      </c>
      <c r="O191" s="15">
        <v>1</v>
      </c>
      <c r="P191" s="15">
        <v>0.28360000000000002</v>
      </c>
      <c r="Q191" s="15">
        <v>14</v>
      </c>
      <c r="R191" s="15">
        <v>64</v>
      </c>
      <c r="S191" s="15">
        <v>78</v>
      </c>
    </row>
    <row r="192" spans="1:19" x14ac:dyDescent="0.35">
      <c r="A192" s="15">
        <v>800</v>
      </c>
      <c r="B192" s="16">
        <v>40579</v>
      </c>
      <c r="C192" s="15">
        <v>1</v>
      </c>
      <c r="D192" s="15">
        <v>0</v>
      </c>
      <c r="E192" s="15">
        <v>2</v>
      </c>
      <c r="F192" s="15">
        <v>18</v>
      </c>
      <c r="G192" s="15" t="str" cm="1">
        <f t="array" ref="G192">_xlfn.IFS(AND(F192&gt;=5,F192&lt;12),"Morning",AND(F192&gt;=12,F192&lt;17),"AfterNoon",AND(F192&gt;=17,F192&lt;20),"Evening",TRUE,"Night")</f>
        <v>Evening</v>
      </c>
      <c r="H192" s="15" t="b">
        <v>0</v>
      </c>
      <c r="I192" s="15">
        <v>6</v>
      </c>
      <c r="J192" s="15" t="str" cm="1">
        <f t="array" ref="J192">_xlfn.IFS(I192=0,"Saturday",I192=1,"Sunday",I192=2,"Monday",I192=3,"Tuesday",I192=4,"Wednesday",I192=5,"Thusday",I192=6,"Friday")</f>
        <v>Friday</v>
      </c>
      <c r="K192" s="15">
        <v>2</v>
      </c>
      <c r="L192" s="15">
        <v>0.28000000000000003</v>
      </c>
      <c r="M192" s="15" t="str">
        <f t="shared" si="3"/>
        <v>Cloudy</v>
      </c>
      <c r="N192" s="15">
        <v>0.2424</v>
      </c>
      <c r="O192" s="15">
        <v>0.93</v>
      </c>
      <c r="P192" s="15">
        <v>0.44779999999999998</v>
      </c>
      <c r="Q192" s="15">
        <v>2</v>
      </c>
      <c r="R192" s="15">
        <v>81</v>
      </c>
      <c r="S192" s="15">
        <v>83</v>
      </c>
    </row>
    <row r="193" spans="1:19" x14ac:dyDescent="0.35">
      <c r="A193" s="15">
        <v>801</v>
      </c>
      <c r="B193" s="16">
        <v>40579</v>
      </c>
      <c r="C193" s="15">
        <v>1</v>
      </c>
      <c r="D193" s="15">
        <v>0</v>
      </c>
      <c r="E193" s="15">
        <v>2</v>
      </c>
      <c r="F193" s="15">
        <v>19</v>
      </c>
      <c r="G193" s="15" t="str" cm="1">
        <f t="array" ref="G193">_xlfn.IFS(AND(F193&gt;=5,F193&lt;12),"Morning",AND(F193&gt;=12,F193&lt;17),"AfterNoon",AND(F193&gt;=17,F193&lt;20),"Evening",TRUE,"Night")</f>
        <v>Evening</v>
      </c>
      <c r="H193" s="15" t="b">
        <v>0</v>
      </c>
      <c r="I193" s="15">
        <v>6</v>
      </c>
      <c r="J193" s="15" t="str" cm="1">
        <f t="array" ref="J193">_xlfn.IFS(I193=0,"Saturday",I193=1,"Sunday",I193=2,"Monday",I193=3,"Tuesday",I193=4,"Wednesday",I193=5,"Thusday",I193=6,"Friday")</f>
        <v>Friday</v>
      </c>
      <c r="K193" s="15">
        <v>2</v>
      </c>
      <c r="L193" s="15">
        <v>0.28000000000000003</v>
      </c>
      <c r="M193" s="15" t="str">
        <f t="shared" si="3"/>
        <v>Cloudy</v>
      </c>
      <c r="N193" s="15">
        <v>0.2424</v>
      </c>
      <c r="O193" s="15">
        <v>0.93</v>
      </c>
      <c r="P193" s="15">
        <v>0.44779999999999998</v>
      </c>
      <c r="Q193" s="15">
        <v>6</v>
      </c>
      <c r="R193" s="15">
        <v>78</v>
      </c>
      <c r="S193" s="15">
        <v>84</v>
      </c>
    </row>
    <row r="194" spans="1:19" x14ac:dyDescent="0.35">
      <c r="A194" s="15">
        <v>802</v>
      </c>
      <c r="B194" s="16">
        <v>40579</v>
      </c>
      <c r="C194" s="15">
        <v>1</v>
      </c>
      <c r="D194" s="15">
        <v>0</v>
      </c>
      <c r="E194" s="15">
        <v>2</v>
      </c>
      <c r="F194" s="15">
        <v>20</v>
      </c>
      <c r="G194" s="15" t="str" cm="1">
        <f t="array" ref="G194">_xlfn.IFS(AND(F194&gt;=5,F194&lt;12),"Morning",AND(F194&gt;=12,F194&lt;17),"AfterNoon",AND(F194&gt;=17,F194&lt;20),"Evening",TRUE,"Night")</f>
        <v>Night</v>
      </c>
      <c r="H194" s="15" t="b">
        <v>0</v>
      </c>
      <c r="I194" s="15">
        <v>6</v>
      </c>
      <c r="J194" s="15" t="str" cm="1">
        <f t="array" ref="J194">_xlfn.IFS(I194=0,"Saturday",I194=1,"Sunday",I194=2,"Monday",I194=3,"Tuesday",I194=4,"Wednesday",I194=5,"Thusday",I194=6,"Friday")</f>
        <v>Friday</v>
      </c>
      <c r="K194" s="15">
        <v>1</v>
      </c>
      <c r="L194" s="15">
        <v>0.3</v>
      </c>
      <c r="M194" s="15" t="str">
        <f t="shared" si="3"/>
        <v>Cloudy</v>
      </c>
      <c r="N194" s="15">
        <v>0.28789999999999999</v>
      </c>
      <c r="O194" s="15">
        <v>0.87</v>
      </c>
      <c r="P194" s="15">
        <v>0.25369999999999998</v>
      </c>
      <c r="Q194" s="15">
        <v>5</v>
      </c>
      <c r="R194" s="15">
        <v>64</v>
      </c>
      <c r="S194" s="15">
        <v>69</v>
      </c>
    </row>
    <row r="195" spans="1:19" x14ac:dyDescent="0.35">
      <c r="A195" s="15">
        <v>803</v>
      </c>
      <c r="B195" s="16">
        <v>40579</v>
      </c>
      <c r="C195" s="15">
        <v>1</v>
      </c>
      <c r="D195" s="15">
        <v>0</v>
      </c>
      <c r="E195" s="15">
        <v>2</v>
      </c>
      <c r="F195" s="15">
        <v>21</v>
      </c>
      <c r="G195" s="15" t="str" cm="1">
        <f t="array" ref="G195">_xlfn.IFS(AND(F195&gt;=5,F195&lt;12),"Morning",AND(F195&gt;=12,F195&lt;17),"AfterNoon",AND(F195&gt;=17,F195&lt;20),"Evening",TRUE,"Night")</f>
        <v>Night</v>
      </c>
      <c r="H195" s="15" t="b">
        <v>0</v>
      </c>
      <c r="I195" s="15">
        <v>6</v>
      </c>
      <c r="J195" s="15" t="str" cm="1">
        <f t="array" ref="J195">_xlfn.IFS(I195=0,"Saturday",I195=1,"Sunday",I195=2,"Monday",I195=3,"Tuesday",I195=4,"Wednesday",I195=5,"Thusday",I195=6,"Friday")</f>
        <v>Friday</v>
      </c>
      <c r="K195" s="15">
        <v>1</v>
      </c>
      <c r="L195" s="15">
        <v>0.26</v>
      </c>
      <c r="M195" s="15" t="str">
        <f t="shared" si="3"/>
        <v>Cloudy</v>
      </c>
      <c r="N195" s="15">
        <v>0.2576</v>
      </c>
      <c r="O195" s="15">
        <v>1</v>
      </c>
      <c r="P195" s="15">
        <v>0.19400000000000001</v>
      </c>
      <c r="Q195" s="15">
        <v>3</v>
      </c>
      <c r="R195" s="15">
        <v>53</v>
      </c>
      <c r="S195" s="15">
        <v>56</v>
      </c>
    </row>
    <row r="196" spans="1:19" x14ac:dyDescent="0.35">
      <c r="A196" s="15">
        <v>804</v>
      </c>
      <c r="B196" s="16">
        <v>40579</v>
      </c>
      <c r="C196" s="15">
        <v>1</v>
      </c>
      <c r="D196" s="15">
        <v>0</v>
      </c>
      <c r="E196" s="15">
        <v>2</v>
      </c>
      <c r="F196" s="15">
        <v>22</v>
      </c>
      <c r="G196" s="15" t="str" cm="1">
        <f t="array" ref="G196">_xlfn.IFS(AND(F196&gt;=5,F196&lt;12),"Morning",AND(F196&gt;=12,F196&lt;17),"AfterNoon",AND(F196&gt;=17,F196&lt;20),"Evening",TRUE,"Night")</f>
        <v>Night</v>
      </c>
      <c r="H196" s="15" t="b">
        <v>0</v>
      </c>
      <c r="I196" s="15">
        <v>6</v>
      </c>
      <c r="J196" s="15" t="str" cm="1">
        <f t="array" ref="J196">_xlfn.IFS(I196=0,"Saturday",I196=1,"Sunday",I196=2,"Monday",I196=3,"Tuesday",I196=4,"Wednesday",I196=5,"Thusday",I196=6,"Friday")</f>
        <v>Friday</v>
      </c>
      <c r="K196" s="15">
        <v>1</v>
      </c>
      <c r="L196" s="15">
        <v>0.26</v>
      </c>
      <c r="M196" s="15" t="str">
        <f t="shared" ref="M196:M259" si="4">IF(L196&lt;=0.1,"Stromy",IF(L196&lt;=0.2,"Rainy",IF(L196&lt;=0.3,"Cloudy","Sunny")))</f>
        <v>Cloudy</v>
      </c>
      <c r="N196" s="15">
        <v>0.2727</v>
      </c>
      <c r="O196" s="15">
        <v>0.93</v>
      </c>
      <c r="P196" s="15">
        <v>0.1343</v>
      </c>
      <c r="Q196" s="15">
        <v>2</v>
      </c>
      <c r="R196" s="15">
        <v>43</v>
      </c>
      <c r="S196" s="15">
        <v>45</v>
      </c>
    </row>
    <row r="197" spans="1:19" x14ac:dyDescent="0.35">
      <c r="A197" s="15">
        <v>805</v>
      </c>
      <c r="B197" s="16">
        <v>40579</v>
      </c>
      <c r="C197" s="15">
        <v>1</v>
      </c>
      <c r="D197" s="15">
        <v>0</v>
      </c>
      <c r="E197" s="15">
        <v>2</v>
      </c>
      <c r="F197" s="15">
        <v>23</v>
      </c>
      <c r="G197" s="15" t="str" cm="1">
        <f t="array" ref="G197">_xlfn.IFS(AND(F197&gt;=5,F197&lt;12),"Morning",AND(F197&gt;=12,F197&lt;17),"AfterNoon",AND(F197&gt;=17,F197&lt;20),"Evening",TRUE,"Night")</f>
        <v>Night</v>
      </c>
      <c r="H197" s="15" t="b">
        <v>0</v>
      </c>
      <c r="I197" s="15">
        <v>6</v>
      </c>
      <c r="J197" s="15" t="str" cm="1">
        <f t="array" ref="J197">_xlfn.IFS(I197=0,"Saturday",I197=1,"Sunday",I197=2,"Monday",I197=3,"Tuesday",I197=4,"Wednesday",I197=5,"Thusday",I197=6,"Friday")</f>
        <v>Friday</v>
      </c>
      <c r="K197" s="15">
        <v>1</v>
      </c>
      <c r="L197" s="15">
        <v>0.26</v>
      </c>
      <c r="M197" s="15" t="str">
        <f t="shared" si="4"/>
        <v>Cloudy</v>
      </c>
      <c r="N197" s="15">
        <v>0.2576</v>
      </c>
      <c r="O197" s="15">
        <v>0.93</v>
      </c>
      <c r="P197" s="15">
        <v>0.22389999999999999</v>
      </c>
      <c r="Q197" s="15">
        <v>7</v>
      </c>
      <c r="R197" s="15">
        <v>52</v>
      </c>
      <c r="S197" s="15">
        <v>59</v>
      </c>
    </row>
    <row r="198" spans="1:19" x14ac:dyDescent="0.35">
      <c r="A198" s="15">
        <v>806</v>
      </c>
      <c r="B198" s="16">
        <v>40580</v>
      </c>
      <c r="C198" s="15">
        <v>1</v>
      </c>
      <c r="D198" s="15">
        <v>0</v>
      </c>
      <c r="E198" s="15">
        <v>2</v>
      </c>
      <c r="F198" s="15">
        <v>0</v>
      </c>
      <c r="G198" s="15" t="str" cm="1">
        <f t="array" ref="G198">_xlfn.IFS(AND(F198&gt;=5,F198&lt;12),"Morning",AND(F198&gt;=12,F198&lt;17),"AfterNoon",AND(F198&gt;=17,F198&lt;20),"Evening",TRUE,"Night")</f>
        <v>Night</v>
      </c>
      <c r="H198" s="15" t="b">
        <v>0</v>
      </c>
      <c r="I198" s="15">
        <v>0</v>
      </c>
      <c r="J198" s="15" t="str" cm="1">
        <f t="array" ref="J198">_xlfn.IFS(I198=0,"Saturday",I198=1,"Sunday",I198=2,"Monday",I198=3,"Tuesday",I198=4,"Wednesday",I198=5,"Thusday",I198=6,"Friday")</f>
        <v>Saturday</v>
      </c>
      <c r="K198" s="15">
        <v>1</v>
      </c>
      <c r="L198" s="15">
        <v>0.26</v>
      </c>
      <c r="M198" s="15" t="str">
        <f t="shared" si="4"/>
        <v>Cloudy</v>
      </c>
      <c r="N198" s="15">
        <v>0.2576</v>
      </c>
      <c r="O198" s="15">
        <v>0.7</v>
      </c>
      <c r="P198" s="15">
        <v>0.19400000000000001</v>
      </c>
      <c r="Q198" s="15">
        <v>2</v>
      </c>
      <c r="R198" s="15">
        <v>37</v>
      </c>
      <c r="S198" s="15">
        <v>39</v>
      </c>
    </row>
    <row r="199" spans="1:19" x14ac:dyDescent="0.35">
      <c r="A199" s="15">
        <v>807</v>
      </c>
      <c r="B199" s="16">
        <v>40580</v>
      </c>
      <c r="C199" s="15">
        <v>1</v>
      </c>
      <c r="D199" s="15">
        <v>0</v>
      </c>
      <c r="E199" s="15">
        <v>2</v>
      </c>
      <c r="F199" s="15">
        <v>1</v>
      </c>
      <c r="G199" s="15" t="str" cm="1">
        <f t="array" ref="G199">_xlfn.IFS(AND(F199&gt;=5,F199&lt;12),"Morning",AND(F199&gt;=12,F199&lt;17),"AfterNoon",AND(F199&gt;=17,F199&lt;20),"Evening",TRUE,"Night")</f>
        <v>Night</v>
      </c>
      <c r="H199" s="15" t="b">
        <v>0</v>
      </c>
      <c r="I199" s="15">
        <v>0</v>
      </c>
      <c r="J199" s="15" t="str" cm="1">
        <f t="array" ref="J199">_xlfn.IFS(I199=0,"Saturday",I199=1,"Sunday",I199=2,"Monday",I199=3,"Tuesday",I199=4,"Wednesday",I199=5,"Thusday",I199=6,"Friday")</f>
        <v>Saturday</v>
      </c>
      <c r="K199" s="15">
        <v>1</v>
      </c>
      <c r="L199" s="15">
        <v>0.26</v>
      </c>
      <c r="M199" s="15" t="str">
        <f t="shared" si="4"/>
        <v>Cloudy</v>
      </c>
      <c r="N199" s="15">
        <v>0.2273</v>
      </c>
      <c r="O199" s="15">
        <v>0.65</v>
      </c>
      <c r="P199" s="15">
        <v>0.41789999999999999</v>
      </c>
      <c r="Q199" s="15">
        <v>4</v>
      </c>
      <c r="R199" s="15">
        <v>40</v>
      </c>
      <c r="S199" s="15">
        <v>44</v>
      </c>
    </row>
    <row r="200" spans="1:19" x14ac:dyDescent="0.35">
      <c r="A200" s="15">
        <v>808</v>
      </c>
      <c r="B200" s="16">
        <v>40580</v>
      </c>
      <c r="C200" s="15">
        <v>1</v>
      </c>
      <c r="D200" s="15">
        <v>0</v>
      </c>
      <c r="E200" s="15">
        <v>2</v>
      </c>
      <c r="F200" s="15">
        <v>2</v>
      </c>
      <c r="G200" s="15" t="str" cm="1">
        <f t="array" ref="G200">_xlfn.IFS(AND(F200&gt;=5,F200&lt;12),"Morning",AND(F200&gt;=12,F200&lt;17),"AfterNoon",AND(F200&gt;=17,F200&lt;20),"Evening",TRUE,"Night")</f>
        <v>Night</v>
      </c>
      <c r="H200" s="15" t="b">
        <v>0</v>
      </c>
      <c r="I200" s="15">
        <v>0</v>
      </c>
      <c r="J200" s="15" t="str" cm="1">
        <f t="array" ref="J200">_xlfn.IFS(I200=0,"Saturday",I200=1,"Sunday",I200=2,"Monday",I200=3,"Tuesday",I200=4,"Wednesday",I200=5,"Thusday",I200=6,"Friday")</f>
        <v>Saturday</v>
      </c>
      <c r="K200" s="15">
        <v>1</v>
      </c>
      <c r="L200" s="15">
        <v>0.26</v>
      </c>
      <c r="M200" s="15" t="str">
        <f t="shared" si="4"/>
        <v>Cloudy</v>
      </c>
      <c r="N200" s="15">
        <v>0.2273</v>
      </c>
      <c r="O200" s="15">
        <v>0.6</v>
      </c>
      <c r="P200" s="15">
        <v>0.32840000000000003</v>
      </c>
      <c r="Q200" s="15">
        <v>0</v>
      </c>
      <c r="R200" s="15">
        <v>20</v>
      </c>
      <c r="S200" s="15">
        <v>20</v>
      </c>
    </row>
    <row r="201" spans="1:19" x14ac:dyDescent="0.35">
      <c r="A201" s="15">
        <v>809</v>
      </c>
      <c r="B201" s="16">
        <v>40580</v>
      </c>
      <c r="C201" s="15">
        <v>1</v>
      </c>
      <c r="D201" s="15">
        <v>0</v>
      </c>
      <c r="E201" s="15">
        <v>2</v>
      </c>
      <c r="F201" s="15">
        <v>3</v>
      </c>
      <c r="G201" s="15" t="str" cm="1">
        <f t="array" ref="G201">_xlfn.IFS(AND(F201&gt;=5,F201&lt;12),"Morning",AND(F201&gt;=12,F201&lt;17),"AfterNoon",AND(F201&gt;=17,F201&lt;20),"Evening",TRUE,"Night")</f>
        <v>Night</v>
      </c>
      <c r="H201" s="15" t="b">
        <v>0</v>
      </c>
      <c r="I201" s="15">
        <v>0</v>
      </c>
      <c r="J201" s="15" t="str" cm="1">
        <f t="array" ref="J201">_xlfn.IFS(I201=0,"Saturday",I201=1,"Sunday",I201=2,"Monday",I201=3,"Tuesday",I201=4,"Wednesday",I201=5,"Thusday",I201=6,"Friday")</f>
        <v>Saturday</v>
      </c>
      <c r="K201" s="15">
        <v>1</v>
      </c>
      <c r="L201" s="15">
        <v>0.26</v>
      </c>
      <c r="M201" s="15" t="str">
        <f t="shared" si="4"/>
        <v>Cloudy</v>
      </c>
      <c r="N201" s="15">
        <v>0.28789999999999999</v>
      </c>
      <c r="O201" s="15">
        <v>0.6</v>
      </c>
      <c r="P201" s="15">
        <v>8.9599999999999999E-2</v>
      </c>
      <c r="Q201" s="15">
        <v>3</v>
      </c>
      <c r="R201" s="15">
        <v>10</v>
      </c>
      <c r="S201" s="15">
        <v>13</v>
      </c>
    </row>
    <row r="202" spans="1:19" x14ac:dyDescent="0.35">
      <c r="A202" s="15">
        <v>810</v>
      </c>
      <c r="B202" s="16">
        <v>40580</v>
      </c>
      <c r="C202" s="15">
        <v>1</v>
      </c>
      <c r="D202" s="15">
        <v>0</v>
      </c>
      <c r="E202" s="15">
        <v>2</v>
      </c>
      <c r="F202" s="15">
        <v>4</v>
      </c>
      <c r="G202" s="15" t="str" cm="1">
        <f t="array" ref="G202">_xlfn.IFS(AND(F202&gt;=5,F202&lt;12),"Morning",AND(F202&gt;=12,F202&lt;17),"AfterNoon",AND(F202&gt;=17,F202&lt;20),"Evening",TRUE,"Night")</f>
        <v>Night</v>
      </c>
      <c r="H202" s="15" t="b">
        <v>0</v>
      </c>
      <c r="I202" s="15">
        <v>0</v>
      </c>
      <c r="J202" s="15" t="str" cm="1">
        <f t="array" ref="J202">_xlfn.IFS(I202=0,"Saturday",I202=1,"Sunday",I202=2,"Monday",I202=3,"Tuesday",I202=4,"Wednesday",I202=5,"Thusday",I202=6,"Friday")</f>
        <v>Saturday</v>
      </c>
      <c r="K202" s="15">
        <v>1</v>
      </c>
      <c r="L202" s="15">
        <v>0.26</v>
      </c>
      <c r="M202" s="15" t="str">
        <f t="shared" si="4"/>
        <v>Cloudy</v>
      </c>
      <c r="N202" s="15">
        <v>0.2273</v>
      </c>
      <c r="O202" s="15">
        <v>0.6</v>
      </c>
      <c r="P202" s="15">
        <v>0.35820000000000002</v>
      </c>
      <c r="Q202" s="15">
        <v>0</v>
      </c>
      <c r="R202" s="15">
        <v>2</v>
      </c>
      <c r="S202" s="15">
        <v>2</v>
      </c>
    </row>
    <row r="203" spans="1:19" x14ac:dyDescent="0.35">
      <c r="A203" s="15">
        <v>811</v>
      </c>
      <c r="B203" s="16">
        <v>40580</v>
      </c>
      <c r="C203" s="15">
        <v>1</v>
      </c>
      <c r="D203" s="15">
        <v>0</v>
      </c>
      <c r="E203" s="15">
        <v>2</v>
      </c>
      <c r="F203" s="15">
        <v>5</v>
      </c>
      <c r="G203" s="15" t="str" cm="1">
        <f t="array" ref="G203">_xlfn.IFS(AND(F203&gt;=5,F203&lt;12),"Morning",AND(F203&gt;=12,F203&lt;17),"AfterNoon",AND(F203&gt;=17,F203&lt;20),"Evening",TRUE,"Night")</f>
        <v>Morning</v>
      </c>
      <c r="H203" s="15" t="b">
        <v>0</v>
      </c>
      <c r="I203" s="15">
        <v>0</v>
      </c>
      <c r="J203" s="15" t="str" cm="1">
        <f t="array" ref="J203">_xlfn.IFS(I203=0,"Saturday",I203=1,"Sunday",I203=2,"Monday",I203=3,"Tuesday",I203=4,"Wednesday",I203=5,"Thusday",I203=6,"Friday")</f>
        <v>Saturday</v>
      </c>
      <c r="K203" s="15">
        <v>1</v>
      </c>
      <c r="L203" s="15">
        <v>0.26</v>
      </c>
      <c r="M203" s="15" t="str">
        <f t="shared" si="4"/>
        <v>Cloudy</v>
      </c>
      <c r="N203" s="15">
        <v>0.2576</v>
      </c>
      <c r="O203" s="15">
        <v>0.6</v>
      </c>
      <c r="P203" s="15">
        <v>0.22389999999999999</v>
      </c>
      <c r="Q203" s="15">
        <v>0</v>
      </c>
      <c r="R203" s="15">
        <v>1</v>
      </c>
      <c r="S203" s="15">
        <v>1</v>
      </c>
    </row>
    <row r="204" spans="1:19" x14ac:dyDescent="0.35">
      <c r="A204" s="15">
        <v>812</v>
      </c>
      <c r="B204" s="16">
        <v>40580</v>
      </c>
      <c r="C204" s="15">
        <v>1</v>
      </c>
      <c r="D204" s="15">
        <v>0</v>
      </c>
      <c r="E204" s="15">
        <v>2</v>
      </c>
      <c r="F204" s="15">
        <v>6</v>
      </c>
      <c r="G204" s="15" t="str" cm="1">
        <f t="array" ref="G204">_xlfn.IFS(AND(F204&gt;=5,F204&lt;12),"Morning",AND(F204&gt;=12,F204&lt;17),"AfterNoon",AND(F204&gt;=17,F204&lt;20),"Evening",TRUE,"Night")</f>
        <v>Morning</v>
      </c>
      <c r="H204" s="15" t="b">
        <v>0</v>
      </c>
      <c r="I204" s="15">
        <v>0</v>
      </c>
      <c r="J204" s="15" t="str" cm="1">
        <f t="array" ref="J204">_xlfn.IFS(I204=0,"Saturday",I204=1,"Sunday",I204=2,"Monday",I204=3,"Tuesday",I204=4,"Wednesday",I204=5,"Thusday",I204=6,"Friday")</f>
        <v>Saturday</v>
      </c>
      <c r="K204" s="15">
        <v>1</v>
      </c>
      <c r="L204" s="15">
        <v>0.26</v>
      </c>
      <c r="M204" s="15" t="str">
        <f t="shared" si="4"/>
        <v>Cloudy</v>
      </c>
      <c r="N204" s="15">
        <v>0.2576</v>
      </c>
      <c r="O204" s="15">
        <v>0.6</v>
      </c>
      <c r="P204" s="15">
        <v>0.22389999999999999</v>
      </c>
      <c r="Q204" s="15">
        <v>0</v>
      </c>
      <c r="R204" s="15">
        <v>1</v>
      </c>
      <c r="S204" s="15">
        <v>1</v>
      </c>
    </row>
    <row r="205" spans="1:19" x14ac:dyDescent="0.35">
      <c r="A205" s="15">
        <v>813</v>
      </c>
      <c r="B205" s="16">
        <v>40580</v>
      </c>
      <c r="C205" s="15">
        <v>1</v>
      </c>
      <c r="D205" s="15">
        <v>0</v>
      </c>
      <c r="E205" s="15">
        <v>2</v>
      </c>
      <c r="F205" s="15">
        <v>7</v>
      </c>
      <c r="G205" s="15" t="str" cm="1">
        <f t="array" ref="G205">_xlfn.IFS(AND(F205&gt;=5,F205&lt;12),"Morning",AND(F205&gt;=12,F205&lt;17),"AfterNoon",AND(F205&gt;=17,F205&lt;20),"Evening",TRUE,"Night")</f>
        <v>Morning</v>
      </c>
      <c r="H205" s="15" t="b">
        <v>0</v>
      </c>
      <c r="I205" s="15">
        <v>0</v>
      </c>
      <c r="J205" s="15" t="str" cm="1">
        <f t="array" ref="J205">_xlfn.IFS(I205=0,"Saturday",I205=1,"Sunday",I205=2,"Monday",I205=3,"Tuesday",I205=4,"Wednesday",I205=5,"Thusday",I205=6,"Friday")</f>
        <v>Saturday</v>
      </c>
      <c r="K205" s="15">
        <v>1</v>
      </c>
      <c r="L205" s="15">
        <v>0.24</v>
      </c>
      <c r="M205" s="15" t="str">
        <f t="shared" si="4"/>
        <v>Cloudy</v>
      </c>
      <c r="N205" s="15">
        <v>0.2424</v>
      </c>
      <c r="O205" s="15">
        <v>0.65</v>
      </c>
      <c r="P205" s="15">
        <v>0.16420000000000001</v>
      </c>
      <c r="Q205" s="15">
        <v>0</v>
      </c>
      <c r="R205" s="15">
        <v>8</v>
      </c>
      <c r="S205" s="15">
        <v>8</v>
      </c>
    </row>
    <row r="206" spans="1:19" x14ac:dyDescent="0.35">
      <c r="A206" s="15">
        <v>814</v>
      </c>
      <c r="B206" s="16">
        <v>40580</v>
      </c>
      <c r="C206" s="15">
        <v>1</v>
      </c>
      <c r="D206" s="15">
        <v>0</v>
      </c>
      <c r="E206" s="15">
        <v>2</v>
      </c>
      <c r="F206" s="15">
        <v>8</v>
      </c>
      <c r="G206" s="15" t="str" cm="1">
        <f t="array" ref="G206">_xlfn.IFS(AND(F206&gt;=5,F206&lt;12),"Morning",AND(F206&gt;=12,F206&lt;17),"AfterNoon",AND(F206&gt;=17,F206&lt;20),"Evening",TRUE,"Night")</f>
        <v>Morning</v>
      </c>
      <c r="H206" s="15" t="b">
        <v>0</v>
      </c>
      <c r="I206" s="15">
        <v>0</v>
      </c>
      <c r="J206" s="15" t="str" cm="1">
        <f t="array" ref="J206">_xlfn.IFS(I206=0,"Saturday",I206=1,"Sunday",I206=2,"Monday",I206=3,"Tuesday",I206=4,"Wednesday",I206=5,"Thusday",I206=6,"Friday")</f>
        <v>Saturday</v>
      </c>
      <c r="K206" s="15">
        <v>1</v>
      </c>
      <c r="L206" s="15">
        <v>0.24</v>
      </c>
      <c r="M206" s="15" t="str">
        <f t="shared" si="4"/>
        <v>Cloudy</v>
      </c>
      <c r="N206" s="15">
        <v>0.2576</v>
      </c>
      <c r="O206" s="15">
        <v>0.65</v>
      </c>
      <c r="P206" s="15">
        <v>0.1045</v>
      </c>
      <c r="Q206" s="15">
        <v>2</v>
      </c>
      <c r="R206" s="15">
        <v>21</v>
      </c>
      <c r="S206" s="15">
        <v>23</v>
      </c>
    </row>
    <row r="207" spans="1:19" x14ac:dyDescent="0.35">
      <c r="A207" s="15">
        <v>815</v>
      </c>
      <c r="B207" s="16">
        <v>40580</v>
      </c>
      <c r="C207" s="15">
        <v>1</v>
      </c>
      <c r="D207" s="15">
        <v>0</v>
      </c>
      <c r="E207" s="15">
        <v>2</v>
      </c>
      <c r="F207" s="15">
        <v>9</v>
      </c>
      <c r="G207" s="15" t="str" cm="1">
        <f t="array" ref="G207">_xlfn.IFS(AND(F207&gt;=5,F207&lt;12),"Morning",AND(F207&gt;=12,F207&lt;17),"AfterNoon",AND(F207&gt;=17,F207&lt;20),"Evening",TRUE,"Night")</f>
        <v>Morning</v>
      </c>
      <c r="H207" s="15" t="b">
        <v>0</v>
      </c>
      <c r="I207" s="15">
        <v>0</v>
      </c>
      <c r="J207" s="15" t="str" cm="1">
        <f t="array" ref="J207">_xlfn.IFS(I207=0,"Saturday",I207=1,"Sunday",I207=2,"Monday",I207=3,"Tuesday",I207=4,"Wednesday",I207=5,"Thusday",I207=6,"Friday")</f>
        <v>Saturday</v>
      </c>
      <c r="K207" s="15">
        <v>1</v>
      </c>
      <c r="L207" s="15">
        <v>0.28000000000000003</v>
      </c>
      <c r="M207" s="15" t="str">
        <f t="shared" si="4"/>
        <v>Cloudy</v>
      </c>
      <c r="N207" s="15">
        <v>0.28789999999999999</v>
      </c>
      <c r="O207" s="15">
        <v>0.56000000000000005</v>
      </c>
      <c r="P207" s="15">
        <v>0.1045</v>
      </c>
      <c r="Q207" s="15">
        <v>7</v>
      </c>
      <c r="R207" s="15">
        <v>38</v>
      </c>
      <c r="S207" s="15">
        <v>45</v>
      </c>
    </row>
    <row r="208" spans="1:19" x14ac:dyDescent="0.35">
      <c r="A208" s="15">
        <v>816</v>
      </c>
      <c r="B208" s="16">
        <v>40580</v>
      </c>
      <c r="C208" s="15">
        <v>1</v>
      </c>
      <c r="D208" s="15">
        <v>0</v>
      </c>
      <c r="E208" s="15">
        <v>2</v>
      </c>
      <c r="F208" s="15">
        <v>10</v>
      </c>
      <c r="G208" s="15" t="str" cm="1">
        <f t="array" ref="G208">_xlfn.IFS(AND(F208&gt;=5,F208&lt;12),"Morning",AND(F208&gt;=12,F208&lt;17),"AfterNoon",AND(F208&gt;=17,F208&lt;20),"Evening",TRUE,"Night")</f>
        <v>Morning</v>
      </c>
      <c r="H208" s="15" t="b">
        <v>0</v>
      </c>
      <c r="I208" s="15">
        <v>0</v>
      </c>
      <c r="J208" s="15" t="str" cm="1">
        <f t="array" ref="J208">_xlfn.IFS(I208=0,"Saturday",I208=1,"Sunday",I208=2,"Monday",I208=3,"Tuesday",I208=4,"Wednesday",I208=5,"Thusday",I208=6,"Friday")</f>
        <v>Saturday</v>
      </c>
      <c r="K208" s="15">
        <v>1</v>
      </c>
      <c r="L208" s="15">
        <v>0.3</v>
      </c>
      <c r="M208" s="15" t="str">
        <f t="shared" si="4"/>
        <v>Cloudy</v>
      </c>
      <c r="N208" s="15">
        <v>0.28789999999999999</v>
      </c>
      <c r="O208" s="15">
        <v>0.52</v>
      </c>
      <c r="P208" s="15">
        <v>0.25369999999999998</v>
      </c>
      <c r="Q208" s="15">
        <v>15</v>
      </c>
      <c r="R208" s="15">
        <v>74</v>
      </c>
      <c r="S208" s="15">
        <v>89</v>
      </c>
    </row>
    <row r="209" spans="1:19" x14ac:dyDescent="0.35">
      <c r="A209" s="15">
        <v>817</v>
      </c>
      <c r="B209" s="16">
        <v>40580</v>
      </c>
      <c r="C209" s="15">
        <v>1</v>
      </c>
      <c r="D209" s="15">
        <v>0</v>
      </c>
      <c r="E209" s="15">
        <v>2</v>
      </c>
      <c r="F209" s="15">
        <v>11</v>
      </c>
      <c r="G209" s="15" t="str" cm="1">
        <f t="array" ref="G209">_xlfn.IFS(AND(F209&gt;=5,F209&lt;12),"Morning",AND(F209&gt;=12,F209&lt;17),"AfterNoon",AND(F209&gt;=17,F209&lt;20),"Evening",TRUE,"Night")</f>
        <v>Morning</v>
      </c>
      <c r="H209" s="15" t="b">
        <v>0</v>
      </c>
      <c r="I209" s="15">
        <v>0</v>
      </c>
      <c r="J209" s="15" t="str" cm="1">
        <f t="array" ref="J209">_xlfn.IFS(I209=0,"Saturday",I209=1,"Sunday",I209=2,"Monday",I209=3,"Tuesday",I209=4,"Wednesday",I209=5,"Thusday",I209=6,"Friday")</f>
        <v>Saturday</v>
      </c>
      <c r="K209" s="15">
        <v>1</v>
      </c>
      <c r="L209" s="15">
        <v>0.32</v>
      </c>
      <c r="M209" s="15" t="str">
        <f t="shared" si="4"/>
        <v>Sunny</v>
      </c>
      <c r="N209" s="15">
        <v>0.30299999999999999</v>
      </c>
      <c r="O209" s="15">
        <v>0.49</v>
      </c>
      <c r="P209" s="15">
        <v>0.25369999999999998</v>
      </c>
      <c r="Q209" s="15">
        <v>28</v>
      </c>
      <c r="R209" s="15">
        <v>89</v>
      </c>
      <c r="S209" s="15">
        <v>117</v>
      </c>
    </row>
    <row r="210" spans="1:19" x14ac:dyDescent="0.35">
      <c r="A210" s="15">
        <v>818</v>
      </c>
      <c r="B210" s="16">
        <v>40580</v>
      </c>
      <c r="C210" s="15">
        <v>1</v>
      </c>
      <c r="D210" s="15">
        <v>0</v>
      </c>
      <c r="E210" s="15">
        <v>2</v>
      </c>
      <c r="F210" s="15">
        <v>12</v>
      </c>
      <c r="G210" s="15" t="str" cm="1">
        <f t="array" ref="G210">_xlfn.IFS(AND(F210&gt;=5,F210&lt;12),"Morning",AND(F210&gt;=12,F210&lt;17),"AfterNoon",AND(F210&gt;=17,F210&lt;20),"Evening",TRUE,"Night")</f>
        <v>AfterNoon</v>
      </c>
      <c r="H210" s="15" t="b">
        <v>0</v>
      </c>
      <c r="I210" s="15">
        <v>0</v>
      </c>
      <c r="J210" s="15" t="str" cm="1">
        <f t="array" ref="J210">_xlfn.IFS(I210=0,"Saturday",I210=1,"Sunday",I210=2,"Monday",I210=3,"Tuesday",I210=4,"Wednesday",I210=5,"Thusday",I210=6,"Friday")</f>
        <v>Saturday</v>
      </c>
      <c r="K210" s="15">
        <v>1</v>
      </c>
      <c r="L210" s="15">
        <v>0.34</v>
      </c>
      <c r="M210" s="15" t="str">
        <f t="shared" si="4"/>
        <v>Sunny</v>
      </c>
      <c r="N210" s="15">
        <v>0.33329999999999999</v>
      </c>
      <c r="O210" s="15">
        <v>0.46</v>
      </c>
      <c r="P210" s="15">
        <v>0</v>
      </c>
      <c r="Q210" s="15">
        <v>48</v>
      </c>
      <c r="R210" s="15">
        <v>126</v>
      </c>
      <c r="S210" s="15">
        <v>174</v>
      </c>
    </row>
    <row r="211" spans="1:19" x14ac:dyDescent="0.35">
      <c r="A211" s="15">
        <v>819</v>
      </c>
      <c r="B211" s="16">
        <v>40580</v>
      </c>
      <c r="C211" s="15">
        <v>1</v>
      </c>
      <c r="D211" s="15">
        <v>0</v>
      </c>
      <c r="E211" s="15">
        <v>2</v>
      </c>
      <c r="F211" s="15">
        <v>13</v>
      </c>
      <c r="G211" s="15" t="str" cm="1">
        <f t="array" ref="G211">_xlfn.IFS(AND(F211&gt;=5,F211&lt;12),"Morning",AND(F211&gt;=12,F211&lt;17),"AfterNoon",AND(F211&gt;=17,F211&lt;20),"Evening",TRUE,"Night")</f>
        <v>AfterNoon</v>
      </c>
      <c r="H211" s="15" t="b">
        <v>0</v>
      </c>
      <c r="I211" s="15">
        <v>0</v>
      </c>
      <c r="J211" s="15" t="str" cm="1">
        <f t="array" ref="J211">_xlfn.IFS(I211=0,"Saturday",I211=1,"Sunday",I211=2,"Monday",I211=3,"Tuesday",I211=4,"Wednesday",I211=5,"Thusday",I211=6,"Friday")</f>
        <v>Saturday</v>
      </c>
      <c r="K211" s="15">
        <v>1</v>
      </c>
      <c r="L211" s="15">
        <v>0.34</v>
      </c>
      <c r="M211" s="15" t="str">
        <f t="shared" si="4"/>
        <v>Sunny</v>
      </c>
      <c r="N211" s="15">
        <v>0.36359999999999998</v>
      </c>
      <c r="O211" s="15">
        <v>0.46</v>
      </c>
      <c r="P211" s="15">
        <v>0</v>
      </c>
      <c r="Q211" s="15">
        <v>47</v>
      </c>
      <c r="R211" s="15">
        <v>135</v>
      </c>
      <c r="S211" s="15">
        <v>182</v>
      </c>
    </row>
    <row r="212" spans="1:19" x14ac:dyDescent="0.35">
      <c r="A212" s="15">
        <v>820</v>
      </c>
      <c r="B212" s="16">
        <v>40580</v>
      </c>
      <c r="C212" s="15">
        <v>1</v>
      </c>
      <c r="D212" s="15">
        <v>0</v>
      </c>
      <c r="E212" s="15">
        <v>2</v>
      </c>
      <c r="F212" s="15">
        <v>14</v>
      </c>
      <c r="G212" s="15" t="str" cm="1">
        <f t="array" ref="G212">_xlfn.IFS(AND(F212&gt;=5,F212&lt;12),"Morning",AND(F212&gt;=12,F212&lt;17),"AfterNoon",AND(F212&gt;=17,F212&lt;20),"Evening",TRUE,"Night")</f>
        <v>AfterNoon</v>
      </c>
      <c r="H212" s="15" t="b">
        <v>0</v>
      </c>
      <c r="I212" s="15">
        <v>0</v>
      </c>
      <c r="J212" s="15" t="str" cm="1">
        <f t="array" ref="J212">_xlfn.IFS(I212=0,"Saturday",I212=1,"Sunday",I212=2,"Monday",I212=3,"Tuesday",I212=4,"Wednesday",I212=5,"Thusday",I212=6,"Friday")</f>
        <v>Saturday</v>
      </c>
      <c r="K212" s="15">
        <v>1</v>
      </c>
      <c r="L212" s="15">
        <v>0.34</v>
      </c>
      <c r="M212" s="15" t="str">
        <f t="shared" si="4"/>
        <v>Sunny</v>
      </c>
      <c r="N212" s="15">
        <v>0.34849999999999998</v>
      </c>
      <c r="O212" s="15">
        <v>0.46</v>
      </c>
      <c r="P212" s="15">
        <v>8.9599999999999999E-2</v>
      </c>
      <c r="Q212" s="15">
        <v>47</v>
      </c>
      <c r="R212" s="15">
        <v>114</v>
      </c>
      <c r="S212" s="15">
        <v>161</v>
      </c>
    </row>
    <row r="213" spans="1:19" x14ac:dyDescent="0.35">
      <c r="A213" s="15">
        <v>821</v>
      </c>
      <c r="B213" s="16">
        <v>40580</v>
      </c>
      <c r="C213" s="15">
        <v>1</v>
      </c>
      <c r="D213" s="15">
        <v>0</v>
      </c>
      <c r="E213" s="15">
        <v>2</v>
      </c>
      <c r="F213" s="15">
        <v>15</v>
      </c>
      <c r="G213" s="15" t="str" cm="1">
        <f t="array" ref="G213">_xlfn.IFS(AND(F213&gt;=5,F213&lt;12),"Morning",AND(F213&gt;=12,F213&lt;17),"AfterNoon",AND(F213&gt;=17,F213&lt;20),"Evening",TRUE,"Night")</f>
        <v>AfterNoon</v>
      </c>
      <c r="H213" s="15" t="b">
        <v>0</v>
      </c>
      <c r="I213" s="15">
        <v>0</v>
      </c>
      <c r="J213" s="15" t="str" cm="1">
        <f t="array" ref="J213">_xlfn.IFS(I213=0,"Saturday",I213=1,"Sunday",I213=2,"Monday",I213=3,"Tuesday",I213=4,"Wednesday",I213=5,"Thusday",I213=6,"Friday")</f>
        <v>Saturday</v>
      </c>
      <c r="K213" s="15">
        <v>1</v>
      </c>
      <c r="L213" s="15">
        <v>0.34</v>
      </c>
      <c r="M213" s="15" t="str">
        <f t="shared" si="4"/>
        <v>Sunny</v>
      </c>
      <c r="N213" s="15">
        <v>0.34849999999999998</v>
      </c>
      <c r="O213" s="15">
        <v>0.46</v>
      </c>
      <c r="P213" s="15">
        <v>8.9599999999999999E-2</v>
      </c>
      <c r="Q213" s="15">
        <v>52</v>
      </c>
      <c r="R213" s="15">
        <v>130</v>
      </c>
      <c r="S213" s="15">
        <v>182</v>
      </c>
    </row>
    <row r="214" spans="1:19" x14ac:dyDescent="0.35">
      <c r="A214" s="15">
        <v>822</v>
      </c>
      <c r="B214" s="16">
        <v>40580</v>
      </c>
      <c r="C214" s="15">
        <v>1</v>
      </c>
      <c r="D214" s="15">
        <v>0</v>
      </c>
      <c r="E214" s="15">
        <v>2</v>
      </c>
      <c r="F214" s="15">
        <v>16</v>
      </c>
      <c r="G214" s="15" t="str" cm="1">
        <f t="array" ref="G214">_xlfn.IFS(AND(F214&gt;=5,F214&lt;12),"Morning",AND(F214&gt;=12,F214&lt;17),"AfterNoon",AND(F214&gt;=17,F214&lt;20),"Evening",TRUE,"Night")</f>
        <v>AfterNoon</v>
      </c>
      <c r="H214" s="15" t="b">
        <v>0</v>
      </c>
      <c r="I214" s="15">
        <v>0</v>
      </c>
      <c r="J214" s="15" t="str" cm="1">
        <f t="array" ref="J214">_xlfn.IFS(I214=0,"Saturday",I214=1,"Sunday",I214=2,"Monday",I214=3,"Tuesday",I214=4,"Wednesday",I214=5,"Thusday",I214=6,"Friday")</f>
        <v>Saturday</v>
      </c>
      <c r="K214" s="15">
        <v>1</v>
      </c>
      <c r="L214" s="15">
        <v>0.34</v>
      </c>
      <c r="M214" s="15" t="str">
        <f t="shared" si="4"/>
        <v>Sunny</v>
      </c>
      <c r="N214" s="15">
        <v>0.34849999999999998</v>
      </c>
      <c r="O214" s="15">
        <v>0.49</v>
      </c>
      <c r="P214" s="15">
        <v>0.1045</v>
      </c>
      <c r="Q214" s="15">
        <v>42</v>
      </c>
      <c r="R214" s="15">
        <v>115</v>
      </c>
      <c r="S214" s="15">
        <v>157</v>
      </c>
    </row>
    <row r="215" spans="1:19" x14ac:dyDescent="0.35">
      <c r="A215" s="15">
        <v>823</v>
      </c>
      <c r="B215" s="16">
        <v>40580</v>
      </c>
      <c r="C215" s="15">
        <v>1</v>
      </c>
      <c r="D215" s="15">
        <v>0</v>
      </c>
      <c r="E215" s="15">
        <v>2</v>
      </c>
      <c r="F215" s="15">
        <v>17</v>
      </c>
      <c r="G215" s="15" t="str" cm="1">
        <f t="array" ref="G215">_xlfn.IFS(AND(F215&gt;=5,F215&lt;12),"Morning",AND(F215&gt;=12,F215&lt;17),"AfterNoon",AND(F215&gt;=17,F215&lt;20),"Evening",TRUE,"Night")</f>
        <v>Evening</v>
      </c>
      <c r="H215" s="15" t="b">
        <v>0</v>
      </c>
      <c r="I215" s="15">
        <v>0</v>
      </c>
      <c r="J215" s="15" t="str" cm="1">
        <f t="array" ref="J215">_xlfn.IFS(I215=0,"Saturday",I215=1,"Sunday",I215=2,"Monday",I215=3,"Tuesday",I215=4,"Wednesday",I215=5,"Thusday",I215=6,"Friday")</f>
        <v>Saturday</v>
      </c>
      <c r="K215" s="15">
        <v>1</v>
      </c>
      <c r="L215" s="15">
        <v>0.34</v>
      </c>
      <c r="M215" s="15" t="str">
        <f t="shared" si="4"/>
        <v>Sunny</v>
      </c>
      <c r="N215" s="15">
        <v>0.36359999999999998</v>
      </c>
      <c r="O215" s="15">
        <v>0.46</v>
      </c>
      <c r="P215" s="15">
        <v>0</v>
      </c>
      <c r="Q215" s="15">
        <v>24</v>
      </c>
      <c r="R215" s="15">
        <v>97</v>
      </c>
      <c r="S215" s="15">
        <v>121</v>
      </c>
    </row>
    <row r="216" spans="1:19" x14ac:dyDescent="0.35">
      <c r="A216" s="15">
        <v>824</v>
      </c>
      <c r="B216" s="16">
        <v>40580</v>
      </c>
      <c r="C216" s="15">
        <v>1</v>
      </c>
      <c r="D216" s="15">
        <v>0</v>
      </c>
      <c r="E216" s="15">
        <v>2</v>
      </c>
      <c r="F216" s="15">
        <v>18</v>
      </c>
      <c r="G216" s="15" t="str" cm="1">
        <f t="array" ref="G216">_xlfn.IFS(AND(F216&gt;=5,F216&lt;12),"Morning",AND(F216&gt;=12,F216&lt;17),"AfterNoon",AND(F216&gt;=17,F216&lt;20),"Evening",TRUE,"Night")</f>
        <v>Evening</v>
      </c>
      <c r="H216" s="15" t="b">
        <v>0</v>
      </c>
      <c r="I216" s="15">
        <v>0</v>
      </c>
      <c r="J216" s="15" t="str" cm="1">
        <f t="array" ref="J216">_xlfn.IFS(I216=0,"Saturday",I216=1,"Sunday",I216=2,"Monday",I216=3,"Tuesday",I216=4,"Wednesday",I216=5,"Thusday",I216=6,"Friday")</f>
        <v>Saturday</v>
      </c>
      <c r="K216" s="15">
        <v>1</v>
      </c>
      <c r="L216" s="15">
        <v>0.3</v>
      </c>
      <c r="M216" s="15" t="str">
        <f t="shared" si="4"/>
        <v>Cloudy</v>
      </c>
      <c r="N216" s="15">
        <v>0.30299999999999999</v>
      </c>
      <c r="O216" s="15">
        <v>0.56000000000000005</v>
      </c>
      <c r="P216" s="15">
        <v>0.16420000000000001</v>
      </c>
      <c r="Q216" s="15">
        <v>13</v>
      </c>
      <c r="R216" s="15">
        <v>65</v>
      </c>
      <c r="S216" s="15">
        <v>78</v>
      </c>
    </row>
    <row r="217" spans="1:19" x14ac:dyDescent="0.35">
      <c r="A217" s="15">
        <v>825</v>
      </c>
      <c r="B217" s="16">
        <v>40580</v>
      </c>
      <c r="C217" s="15">
        <v>1</v>
      </c>
      <c r="D217" s="15">
        <v>0</v>
      </c>
      <c r="E217" s="15">
        <v>2</v>
      </c>
      <c r="F217" s="15">
        <v>19</v>
      </c>
      <c r="G217" s="15" t="str" cm="1">
        <f t="array" ref="G217">_xlfn.IFS(AND(F217&gt;=5,F217&lt;12),"Morning",AND(F217&gt;=12,F217&lt;17),"AfterNoon",AND(F217&gt;=17,F217&lt;20),"Evening",TRUE,"Night")</f>
        <v>Evening</v>
      </c>
      <c r="H217" s="15" t="b">
        <v>0</v>
      </c>
      <c r="I217" s="15">
        <v>0</v>
      </c>
      <c r="J217" s="15" t="str" cm="1">
        <f t="array" ref="J217">_xlfn.IFS(I217=0,"Saturday",I217=1,"Sunday",I217=2,"Monday",I217=3,"Tuesday",I217=4,"Wednesday",I217=5,"Thusday",I217=6,"Friday")</f>
        <v>Saturday</v>
      </c>
      <c r="K217" s="15">
        <v>1</v>
      </c>
      <c r="L217" s="15">
        <v>0.28000000000000003</v>
      </c>
      <c r="M217" s="15" t="str">
        <f t="shared" si="4"/>
        <v>Cloudy</v>
      </c>
      <c r="N217" s="15">
        <v>0.28789999999999999</v>
      </c>
      <c r="O217" s="15">
        <v>0.61</v>
      </c>
      <c r="P217" s="15">
        <v>0.1343</v>
      </c>
      <c r="Q217" s="15">
        <v>1</v>
      </c>
      <c r="R217" s="15">
        <v>20</v>
      </c>
      <c r="S217" s="15">
        <v>21</v>
      </c>
    </row>
    <row r="218" spans="1:19" x14ac:dyDescent="0.35">
      <c r="A218" s="15">
        <v>826</v>
      </c>
      <c r="B218" s="16">
        <v>40580</v>
      </c>
      <c r="C218" s="15">
        <v>1</v>
      </c>
      <c r="D218" s="15">
        <v>0</v>
      </c>
      <c r="E218" s="15">
        <v>2</v>
      </c>
      <c r="F218" s="15">
        <v>20</v>
      </c>
      <c r="G218" s="15" t="str" cm="1">
        <f t="array" ref="G218">_xlfn.IFS(AND(F218&gt;=5,F218&lt;12),"Morning",AND(F218&gt;=12,F218&lt;17),"AfterNoon",AND(F218&gt;=17,F218&lt;20),"Evening",TRUE,"Night")</f>
        <v>Night</v>
      </c>
      <c r="H218" s="15" t="b">
        <v>0</v>
      </c>
      <c r="I218" s="15">
        <v>0</v>
      </c>
      <c r="J218" s="15" t="str" cm="1">
        <f t="array" ref="J218">_xlfn.IFS(I218=0,"Saturday",I218=1,"Sunday",I218=2,"Monday",I218=3,"Tuesday",I218=4,"Wednesday",I218=5,"Thusday",I218=6,"Friday")</f>
        <v>Saturday</v>
      </c>
      <c r="K218" s="15">
        <v>1</v>
      </c>
      <c r="L218" s="15">
        <v>0.28000000000000003</v>
      </c>
      <c r="M218" s="15" t="str">
        <f t="shared" si="4"/>
        <v>Cloudy</v>
      </c>
      <c r="N218" s="15">
        <v>0.28789999999999999</v>
      </c>
      <c r="O218" s="15">
        <v>0.61</v>
      </c>
      <c r="P218" s="15">
        <v>0.1045</v>
      </c>
      <c r="Q218" s="15">
        <v>5</v>
      </c>
      <c r="R218" s="15">
        <v>21</v>
      </c>
      <c r="S218" s="15">
        <v>26</v>
      </c>
    </row>
    <row r="219" spans="1:19" x14ac:dyDescent="0.35">
      <c r="A219" s="15">
        <v>827</v>
      </c>
      <c r="B219" s="16">
        <v>40580</v>
      </c>
      <c r="C219" s="15">
        <v>1</v>
      </c>
      <c r="D219" s="15">
        <v>0</v>
      </c>
      <c r="E219" s="15">
        <v>2</v>
      </c>
      <c r="F219" s="15">
        <v>21</v>
      </c>
      <c r="G219" s="15" t="str" cm="1">
        <f t="array" ref="G219">_xlfn.IFS(AND(F219&gt;=5,F219&lt;12),"Morning",AND(F219&gt;=12,F219&lt;17),"AfterNoon",AND(F219&gt;=17,F219&lt;20),"Evening",TRUE,"Night")</f>
        <v>Night</v>
      </c>
      <c r="H219" s="15" t="b">
        <v>0</v>
      </c>
      <c r="I219" s="15">
        <v>0</v>
      </c>
      <c r="J219" s="15" t="str" cm="1">
        <f t="array" ref="J219">_xlfn.IFS(I219=0,"Saturday",I219=1,"Sunday",I219=2,"Monday",I219=3,"Tuesday",I219=4,"Wednesday",I219=5,"Thusday",I219=6,"Friday")</f>
        <v>Saturday</v>
      </c>
      <c r="K219" s="15">
        <v>1</v>
      </c>
      <c r="L219" s="15">
        <v>0.26</v>
      </c>
      <c r="M219" s="15" t="str">
        <f t="shared" si="4"/>
        <v>Cloudy</v>
      </c>
      <c r="N219" s="15">
        <v>0.30299999999999999</v>
      </c>
      <c r="O219" s="15">
        <v>0.6</v>
      </c>
      <c r="P219" s="15">
        <v>0</v>
      </c>
      <c r="Q219" s="15">
        <v>5</v>
      </c>
      <c r="R219" s="15">
        <v>22</v>
      </c>
      <c r="S219" s="15">
        <v>27</v>
      </c>
    </row>
    <row r="220" spans="1:19" x14ac:dyDescent="0.35">
      <c r="A220" s="15">
        <v>828</v>
      </c>
      <c r="B220" s="16">
        <v>40580</v>
      </c>
      <c r="C220" s="15">
        <v>1</v>
      </c>
      <c r="D220" s="15">
        <v>0</v>
      </c>
      <c r="E220" s="15">
        <v>2</v>
      </c>
      <c r="F220" s="15">
        <v>22</v>
      </c>
      <c r="G220" s="15" t="str" cm="1">
        <f t="array" ref="G220">_xlfn.IFS(AND(F220&gt;=5,F220&lt;12),"Morning",AND(F220&gt;=12,F220&lt;17),"AfterNoon",AND(F220&gt;=17,F220&lt;20),"Evening",TRUE,"Night")</f>
        <v>Night</v>
      </c>
      <c r="H220" s="15" t="b">
        <v>0</v>
      </c>
      <c r="I220" s="15">
        <v>0</v>
      </c>
      <c r="J220" s="15" t="str" cm="1">
        <f t="array" ref="J220">_xlfn.IFS(I220=0,"Saturday",I220=1,"Sunday",I220=2,"Monday",I220=3,"Tuesday",I220=4,"Wednesday",I220=5,"Thusday",I220=6,"Friday")</f>
        <v>Saturday</v>
      </c>
      <c r="K220" s="15">
        <v>1</v>
      </c>
      <c r="L220" s="15">
        <v>0.26</v>
      </c>
      <c r="M220" s="15" t="str">
        <f t="shared" si="4"/>
        <v>Cloudy</v>
      </c>
      <c r="N220" s="15">
        <v>0.30299999999999999</v>
      </c>
      <c r="O220" s="15">
        <v>0.6</v>
      </c>
      <c r="P220" s="15">
        <v>0</v>
      </c>
      <c r="Q220" s="15">
        <v>5</v>
      </c>
      <c r="R220" s="15">
        <v>57</v>
      </c>
      <c r="S220" s="15">
        <v>62</v>
      </c>
    </row>
    <row r="221" spans="1:19" x14ac:dyDescent="0.35">
      <c r="A221" s="15">
        <v>829</v>
      </c>
      <c r="B221" s="16">
        <v>40580</v>
      </c>
      <c r="C221" s="15">
        <v>1</v>
      </c>
      <c r="D221" s="15">
        <v>0</v>
      </c>
      <c r="E221" s="15">
        <v>2</v>
      </c>
      <c r="F221" s="15">
        <v>23</v>
      </c>
      <c r="G221" s="15" t="str" cm="1">
        <f t="array" ref="G221">_xlfn.IFS(AND(F221&gt;=5,F221&lt;12),"Morning",AND(F221&gt;=12,F221&lt;17),"AfterNoon",AND(F221&gt;=17,F221&lt;20),"Evening",TRUE,"Night")</f>
        <v>Night</v>
      </c>
      <c r="H221" s="15" t="b">
        <v>0</v>
      </c>
      <c r="I221" s="15">
        <v>0</v>
      </c>
      <c r="J221" s="15" t="str" cm="1">
        <f t="array" ref="J221">_xlfn.IFS(I221=0,"Saturday",I221=1,"Sunday",I221=2,"Monday",I221=3,"Tuesday",I221=4,"Wednesday",I221=5,"Thusday",I221=6,"Friday")</f>
        <v>Saturday</v>
      </c>
      <c r="K221" s="15">
        <v>1</v>
      </c>
      <c r="L221" s="15">
        <v>0.24</v>
      </c>
      <c r="M221" s="15" t="str">
        <f t="shared" si="4"/>
        <v>Cloudy</v>
      </c>
      <c r="N221" s="15">
        <v>0.28789999999999999</v>
      </c>
      <c r="O221" s="15">
        <v>0.65</v>
      </c>
      <c r="P221" s="15">
        <v>0</v>
      </c>
      <c r="Q221" s="15">
        <v>4</v>
      </c>
      <c r="R221" s="15">
        <v>26</v>
      </c>
      <c r="S221" s="15">
        <v>30</v>
      </c>
    </row>
    <row r="222" spans="1:19" x14ac:dyDescent="0.35">
      <c r="A222" s="15">
        <v>830</v>
      </c>
      <c r="B222" s="16">
        <v>40581</v>
      </c>
      <c r="C222" s="15">
        <v>1</v>
      </c>
      <c r="D222" s="15">
        <v>0</v>
      </c>
      <c r="E222" s="15">
        <v>2</v>
      </c>
      <c r="F222" s="15">
        <v>0</v>
      </c>
      <c r="G222" s="15" t="str" cm="1">
        <f t="array" ref="G222">_xlfn.IFS(AND(F222&gt;=5,F222&lt;12),"Morning",AND(F222&gt;=12,F222&lt;17),"AfterNoon",AND(F222&gt;=17,F222&lt;20),"Evening",TRUE,"Night")</f>
        <v>Night</v>
      </c>
      <c r="H222" s="15" t="b">
        <v>0</v>
      </c>
      <c r="I222" s="15">
        <v>1</v>
      </c>
      <c r="J222" s="15" t="str" cm="1">
        <f t="array" ref="J222">_xlfn.IFS(I222=0,"Saturday",I222=1,"Sunday",I222=2,"Monday",I222=3,"Tuesday",I222=4,"Wednesday",I222=5,"Thusday",I222=6,"Friday")</f>
        <v>Sunday</v>
      </c>
      <c r="K222" s="15">
        <v>1</v>
      </c>
      <c r="L222" s="15">
        <v>0.24</v>
      </c>
      <c r="M222" s="15" t="str">
        <f t="shared" si="4"/>
        <v>Cloudy</v>
      </c>
      <c r="N222" s="15">
        <v>0.28789999999999999</v>
      </c>
      <c r="O222" s="15">
        <v>0.65</v>
      </c>
      <c r="P222" s="15">
        <v>0</v>
      </c>
      <c r="Q222" s="15">
        <v>1</v>
      </c>
      <c r="R222" s="15">
        <v>14</v>
      </c>
      <c r="S222" s="15">
        <v>15</v>
      </c>
    </row>
    <row r="223" spans="1:19" x14ac:dyDescent="0.35">
      <c r="A223" s="15">
        <v>831</v>
      </c>
      <c r="B223" s="16">
        <v>40581</v>
      </c>
      <c r="C223" s="15">
        <v>1</v>
      </c>
      <c r="D223" s="15">
        <v>0</v>
      </c>
      <c r="E223" s="15">
        <v>2</v>
      </c>
      <c r="F223" s="15">
        <v>1</v>
      </c>
      <c r="G223" s="15" t="str" cm="1">
        <f t="array" ref="G223">_xlfn.IFS(AND(F223&gt;=5,F223&lt;12),"Morning",AND(F223&gt;=12,F223&lt;17),"AfterNoon",AND(F223&gt;=17,F223&lt;20),"Evening",TRUE,"Night")</f>
        <v>Night</v>
      </c>
      <c r="H223" s="15" t="b">
        <v>0</v>
      </c>
      <c r="I223" s="15">
        <v>1</v>
      </c>
      <c r="J223" s="15" t="str" cm="1">
        <f t="array" ref="J223">_xlfn.IFS(I223=0,"Saturday",I223=1,"Sunday",I223=2,"Monday",I223=3,"Tuesday",I223=4,"Wednesday",I223=5,"Thusday",I223=6,"Friday")</f>
        <v>Sunday</v>
      </c>
      <c r="K223" s="15">
        <v>1</v>
      </c>
      <c r="L223" s="15">
        <v>0.22</v>
      </c>
      <c r="M223" s="15" t="str">
        <f t="shared" si="4"/>
        <v>Cloudy</v>
      </c>
      <c r="N223" s="15">
        <v>0.2727</v>
      </c>
      <c r="O223" s="15">
        <v>0.75</v>
      </c>
      <c r="P223" s="15">
        <v>0</v>
      </c>
      <c r="Q223" s="15">
        <v>1</v>
      </c>
      <c r="R223" s="15">
        <v>4</v>
      </c>
      <c r="S223" s="15">
        <v>5</v>
      </c>
    </row>
    <row r="224" spans="1:19" x14ac:dyDescent="0.35">
      <c r="A224" s="15">
        <v>832</v>
      </c>
      <c r="B224" s="16">
        <v>40581</v>
      </c>
      <c r="C224" s="15">
        <v>1</v>
      </c>
      <c r="D224" s="15">
        <v>0</v>
      </c>
      <c r="E224" s="15">
        <v>2</v>
      </c>
      <c r="F224" s="15">
        <v>2</v>
      </c>
      <c r="G224" s="15" t="str" cm="1">
        <f t="array" ref="G224">_xlfn.IFS(AND(F224&gt;=5,F224&lt;12),"Morning",AND(F224&gt;=12,F224&lt;17),"AfterNoon",AND(F224&gt;=17,F224&lt;20),"Evening",TRUE,"Night")</f>
        <v>Night</v>
      </c>
      <c r="H224" s="15" t="b">
        <v>0</v>
      </c>
      <c r="I224" s="15">
        <v>1</v>
      </c>
      <c r="J224" s="15" t="str" cm="1">
        <f t="array" ref="J224">_xlfn.IFS(I224=0,"Saturday",I224=1,"Sunday",I224=2,"Monday",I224=3,"Tuesday",I224=4,"Wednesday",I224=5,"Thusday",I224=6,"Friday")</f>
        <v>Sunday</v>
      </c>
      <c r="K224" s="15">
        <v>1</v>
      </c>
      <c r="L224" s="15">
        <v>0.2</v>
      </c>
      <c r="M224" s="15" t="str">
        <f t="shared" si="4"/>
        <v>Rainy</v>
      </c>
      <c r="N224" s="15">
        <v>0.2576</v>
      </c>
      <c r="O224" s="15">
        <v>0.8</v>
      </c>
      <c r="P224" s="15">
        <v>0</v>
      </c>
      <c r="Q224" s="15">
        <v>0</v>
      </c>
      <c r="R224" s="15">
        <v>3</v>
      </c>
      <c r="S224" s="15">
        <v>3</v>
      </c>
    </row>
    <row r="225" spans="1:19" x14ac:dyDescent="0.35">
      <c r="A225" s="15">
        <v>833</v>
      </c>
      <c r="B225" s="16">
        <v>40581</v>
      </c>
      <c r="C225" s="15">
        <v>1</v>
      </c>
      <c r="D225" s="15">
        <v>0</v>
      </c>
      <c r="E225" s="15">
        <v>2</v>
      </c>
      <c r="F225" s="15">
        <v>3</v>
      </c>
      <c r="G225" s="15" t="str" cm="1">
        <f t="array" ref="G225">_xlfn.IFS(AND(F225&gt;=5,F225&lt;12),"Morning",AND(F225&gt;=12,F225&lt;17),"AfterNoon",AND(F225&gt;=17,F225&lt;20),"Evening",TRUE,"Night")</f>
        <v>Night</v>
      </c>
      <c r="H225" s="15" t="b">
        <v>0</v>
      </c>
      <c r="I225" s="15">
        <v>1</v>
      </c>
      <c r="J225" s="15" t="str" cm="1">
        <f t="array" ref="J225">_xlfn.IFS(I225=0,"Saturday",I225=1,"Sunday",I225=2,"Monday",I225=3,"Tuesday",I225=4,"Wednesday",I225=5,"Thusday",I225=6,"Friday")</f>
        <v>Sunday</v>
      </c>
      <c r="K225" s="15">
        <v>1</v>
      </c>
      <c r="L225" s="15">
        <v>0.2</v>
      </c>
      <c r="M225" s="15" t="str">
        <f t="shared" si="4"/>
        <v>Rainy</v>
      </c>
      <c r="N225" s="15">
        <v>0.2576</v>
      </c>
      <c r="O225" s="15">
        <v>0.86</v>
      </c>
      <c r="P225" s="15">
        <v>0</v>
      </c>
      <c r="Q225" s="15">
        <v>0</v>
      </c>
      <c r="R225" s="15">
        <v>1</v>
      </c>
      <c r="S225" s="15">
        <v>1</v>
      </c>
    </row>
    <row r="226" spans="1:19" x14ac:dyDescent="0.35">
      <c r="A226" s="15">
        <v>834</v>
      </c>
      <c r="B226" s="16">
        <v>40581</v>
      </c>
      <c r="C226" s="15">
        <v>1</v>
      </c>
      <c r="D226" s="15">
        <v>0</v>
      </c>
      <c r="E226" s="15">
        <v>2</v>
      </c>
      <c r="F226" s="15">
        <v>4</v>
      </c>
      <c r="G226" s="15" t="str" cm="1">
        <f t="array" ref="G226">_xlfn.IFS(AND(F226&gt;=5,F226&lt;12),"Morning",AND(F226&gt;=12,F226&lt;17),"AfterNoon",AND(F226&gt;=17,F226&lt;20),"Evening",TRUE,"Night")</f>
        <v>Night</v>
      </c>
      <c r="H226" s="15" t="b">
        <v>0</v>
      </c>
      <c r="I226" s="15">
        <v>1</v>
      </c>
      <c r="J226" s="15" t="str" cm="1">
        <f t="array" ref="J226">_xlfn.IFS(I226=0,"Saturday",I226=1,"Sunday",I226=2,"Monday",I226=3,"Tuesday",I226=4,"Wednesday",I226=5,"Thusday",I226=6,"Friday")</f>
        <v>Sunday</v>
      </c>
      <c r="K226" s="15">
        <v>1</v>
      </c>
      <c r="L226" s="15">
        <v>0.2</v>
      </c>
      <c r="M226" s="15" t="str">
        <f t="shared" si="4"/>
        <v>Rainy</v>
      </c>
      <c r="N226" s="15">
        <v>0.2576</v>
      </c>
      <c r="O226" s="15">
        <v>0.86</v>
      </c>
      <c r="P226" s="15">
        <v>0</v>
      </c>
      <c r="Q226" s="15">
        <v>1</v>
      </c>
      <c r="R226" s="15">
        <v>1</v>
      </c>
      <c r="S226" s="15">
        <v>2</v>
      </c>
    </row>
    <row r="227" spans="1:19" x14ac:dyDescent="0.35">
      <c r="A227" s="15">
        <v>835</v>
      </c>
      <c r="B227" s="16">
        <v>40581</v>
      </c>
      <c r="C227" s="15">
        <v>1</v>
      </c>
      <c r="D227" s="15">
        <v>0</v>
      </c>
      <c r="E227" s="15">
        <v>2</v>
      </c>
      <c r="F227" s="15">
        <v>5</v>
      </c>
      <c r="G227" s="15" t="str" cm="1">
        <f t="array" ref="G227">_xlfn.IFS(AND(F227&gt;=5,F227&lt;12),"Morning",AND(F227&gt;=12,F227&lt;17),"AfterNoon",AND(F227&gt;=17,F227&lt;20),"Evening",TRUE,"Night")</f>
        <v>Morning</v>
      </c>
      <c r="H227" s="15" t="b">
        <v>0</v>
      </c>
      <c r="I227" s="15">
        <v>1</v>
      </c>
      <c r="J227" s="15" t="str" cm="1">
        <f t="array" ref="J227">_xlfn.IFS(I227=0,"Saturday",I227=1,"Sunday",I227=2,"Monday",I227=3,"Tuesday",I227=4,"Wednesday",I227=5,"Thusday",I227=6,"Friday")</f>
        <v>Sunday</v>
      </c>
      <c r="K227" s="15">
        <v>1</v>
      </c>
      <c r="L227" s="15">
        <v>0.2</v>
      </c>
      <c r="M227" s="15" t="str">
        <f t="shared" si="4"/>
        <v>Rainy</v>
      </c>
      <c r="N227" s="15">
        <v>0.2576</v>
      </c>
      <c r="O227" s="15">
        <v>0.86</v>
      </c>
      <c r="P227" s="15">
        <v>0</v>
      </c>
      <c r="Q227" s="15">
        <v>1</v>
      </c>
      <c r="R227" s="15">
        <v>9</v>
      </c>
      <c r="S227" s="15">
        <v>10</v>
      </c>
    </row>
    <row r="228" spans="1:19" x14ac:dyDescent="0.35">
      <c r="A228" s="15">
        <v>836</v>
      </c>
      <c r="B228" s="16">
        <v>40581</v>
      </c>
      <c r="C228" s="15">
        <v>1</v>
      </c>
      <c r="D228" s="15">
        <v>0</v>
      </c>
      <c r="E228" s="15">
        <v>2</v>
      </c>
      <c r="F228" s="15">
        <v>6</v>
      </c>
      <c r="G228" s="15" t="str" cm="1">
        <f t="array" ref="G228">_xlfn.IFS(AND(F228&gt;=5,F228&lt;12),"Morning",AND(F228&gt;=12,F228&lt;17),"AfterNoon",AND(F228&gt;=17,F228&lt;20),"Evening",TRUE,"Night")</f>
        <v>Morning</v>
      </c>
      <c r="H228" s="15" t="b">
        <v>0</v>
      </c>
      <c r="I228" s="15">
        <v>1</v>
      </c>
      <c r="J228" s="15" t="str" cm="1">
        <f t="array" ref="J228">_xlfn.IFS(I228=0,"Saturday",I228=1,"Sunday",I228=2,"Monday",I228=3,"Tuesday",I228=4,"Wednesday",I228=5,"Thusday",I228=6,"Friday")</f>
        <v>Sunday</v>
      </c>
      <c r="K228" s="15">
        <v>1</v>
      </c>
      <c r="L228" s="15">
        <v>0.18</v>
      </c>
      <c r="M228" s="15" t="str">
        <f t="shared" si="4"/>
        <v>Rainy</v>
      </c>
      <c r="N228" s="15">
        <v>0.2424</v>
      </c>
      <c r="O228" s="15">
        <v>0.93</v>
      </c>
      <c r="P228" s="15">
        <v>0</v>
      </c>
      <c r="Q228" s="15">
        <v>1</v>
      </c>
      <c r="R228" s="15">
        <v>29</v>
      </c>
      <c r="S228" s="15">
        <v>30</v>
      </c>
    </row>
    <row r="229" spans="1:19" x14ac:dyDescent="0.35">
      <c r="A229" s="15">
        <v>837</v>
      </c>
      <c r="B229" s="16">
        <v>40581</v>
      </c>
      <c r="C229" s="15">
        <v>1</v>
      </c>
      <c r="D229" s="15">
        <v>0</v>
      </c>
      <c r="E229" s="15">
        <v>2</v>
      </c>
      <c r="F229" s="15">
        <v>7</v>
      </c>
      <c r="G229" s="15" t="str" cm="1">
        <f t="array" ref="G229">_xlfn.IFS(AND(F229&gt;=5,F229&lt;12),"Morning",AND(F229&gt;=12,F229&lt;17),"AfterNoon",AND(F229&gt;=17,F229&lt;20),"Evening",TRUE,"Night")</f>
        <v>Morning</v>
      </c>
      <c r="H229" s="15" t="b">
        <v>0</v>
      </c>
      <c r="I229" s="15">
        <v>1</v>
      </c>
      <c r="J229" s="15" t="str" cm="1">
        <f t="array" ref="J229">_xlfn.IFS(I229=0,"Saturday",I229=1,"Sunday",I229=2,"Monday",I229=3,"Tuesday",I229=4,"Wednesday",I229=5,"Thusday",I229=6,"Friday")</f>
        <v>Sunday</v>
      </c>
      <c r="K229" s="15">
        <v>1</v>
      </c>
      <c r="L229" s="15">
        <v>0.18</v>
      </c>
      <c r="M229" s="15" t="str">
        <f t="shared" si="4"/>
        <v>Rainy</v>
      </c>
      <c r="N229" s="15">
        <v>0.2424</v>
      </c>
      <c r="O229" s="15">
        <v>0.86</v>
      </c>
      <c r="P229" s="15">
        <v>0</v>
      </c>
      <c r="Q229" s="15">
        <v>6</v>
      </c>
      <c r="R229" s="15">
        <v>89</v>
      </c>
      <c r="S229" s="15">
        <v>95</v>
      </c>
    </row>
    <row r="230" spans="1:19" x14ac:dyDescent="0.35">
      <c r="A230" s="15">
        <v>838</v>
      </c>
      <c r="B230" s="16">
        <v>40581</v>
      </c>
      <c r="C230" s="15">
        <v>1</v>
      </c>
      <c r="D230" s="15">
        <v>0</v>
      </c>
      <c r="E230" s="15">
        <v>2</v>
      </c>
      <c r="F230" s="15">
        <v>8</v>
      </c>
      <c r="G230" s="15" t="str" cm="1">
        <f t="array" ref="G230">_xlfn.IFS(AND(F230&gt;=5,F230&lt;12),"Morning",AND(F230&gt;=12,F230&lt;17),"AfterNoon",AND(F230&gt;=17,F230&lt;20),"Evening",TRUE,"Night")</f>
        <v>Morning</v>
      </c>
      <c r="H230" s="15" t="b">
        <v>0</v>
      </c>
      <c r="I230" s="15">
        <v>1</v>
      </c>
      <c r="J230" s="15" t="str" cm="1">
        <f t="array" ref="J230">_xlfn.IFS(I230=0,"Saturday",I230=1,"Sunday",I230=2,"Monday",I230=3,"Tuesday",I230=4,"Wednesday",I230=5,"Thusday",I230=6,"Friday")</f>
        <v>Sunday</v>
      </c>
      <c r="K230" s="15">
        <v>2</v>
      </c>
      <c r="L230" s="15">
        <v>0.16</v>
      </c>
      <c r="M230" s="15" t="str">
        <f t="shared" si="4"/>
        <v>Rainy</v>
      </c>
      <c r="N230" s="15">
        <v>0.2273</v>
      </c>
      <c r="O230" s="15">
        <v>1</v>
      </c>
      <c r="P230" s="15">
        <v>0</v>
      </c>
      <c r="Q230" s="15">
        <v>7</v>
      </c>
      <c r="R230" s="15">
        <v>223</v>
      </c>
      <c r="S230" s="15">
        <v>230</v>
      </c>
    </row>
    <row r="231" spans="1:19" x14ac:dyDescent="0.35">
      <c r="A231" s="15">
        <v>839</v>
      </c>
      <c r="B231" s="16">
        <v>40581</v>
      </c>
      <c r="C231" s="15">
        <v>1</v>
      </c>
      <c r="D231" s="15">
        <v>0</v>
      </c>
      <c r="E231" s="15">
        <v>2</v>
      </c>
      <c r="F231" s="15">
        <v>9</v>
      </c>
      <c r="G231" s="15" t="str" cm="1">
        <f t="array" ref="G231">_xlfn.IFS(AND(F231&gt;=5,F231&lt;12),"Morning",AND(F231&gt;=12,F231&lt;17),"AfterNoon",AND(F231&gt;=17,F231&lt;20),"Evening",TRUE,"Night")</f>
        <v>Morning</v>
      </c>
      <c r="H231" s="15" t="b">
        <v>0</v>
      </c>
      <c r="I231" s="15">
        <v>1</v>
      </c>
      <c r="J231" s="15" t="str" cm="1">
        <f t="array" ref="J231">_xlfn.IFS(I231=0,"Saturday",I231=1,"Sunday",I231=2,"Monday",I231=3,"Tuesday",I231=4,"Wednesday",I231=5,"Thusday",I231=6,"Friday")</f>
        <v>Sunday</v>
      </c>
      <c r="K231" s="15">
        <v>1</v>
      </c>
      <c r="L231" s="15">
        <v>0.22</v>
      </c>
      <c r="M231" s="15" t="str">
        <f t="shared" si="4"/>
        <v>Cloudy</v>
      </c>
      <c r="N231" s="15">
        <v>0.2727</v>
      </c>
      <c r="O231" s="15">
        <v>0.8</v>
      </c>
      <c r="P231" s="15">
        <v>0</v>
      </c>
      <c r="Q231" s="15">
        <v>3</v>
      </c>
      <c r="R231" s="15">
        <v>115</v>
      </c>
      <c r="S231" s="15">
        <v>118</v>
      </c>
    </row>
    <row r="232" spans="1:19" x14ac:dyDescent="0.35">
      <c r="A232" s="15">
        <v>840</v>
      </c>
      <c r="B232" s="16">
        <v>40581</v>
      </c>
      <c r="C232" s="15">
        <v>1</v>
      </c>
      <c r="D232" s="15">
        <v>0</v>
      </c>
      <c r="E232" s="15">
        <v>2</v>
      </c>
      <c r="F232" s="15">
        <v>10</v>
      </c>
      <c r="G232" s="15" t="str" cm="1">
        <f t="array" ref="G232">_xlfn.IFS(AND(F232&gt;=5,F232&lt;12),"Morning",AND(F232&gt;=12,F232&lt;17),"AfterNoon",AND(F232&gt;=17,F232&lt;20),"Evening",TRUE,"Night")</f>
        <v>Morning</v>
      </c>
      <c r="H232" s="15" t="b">
        <v>0</v>
      </c>
      <c r="I232" s="15">
        <v>1</v>
      </c>
      <c r="J232" s="15" t="str" cm="1">
        <f t="array" ref="J232">_xlfn.IFS(I232=0,"Saturday",I232=1,"Sunday",I232=2,"Monday",I232=3,"Tuesday",I232=4,"Wednesday",I232=5,"Thusday",I232=6,"Friday")</f>
        <v>Sunday</v>
      </c>
      <c r="K232" s="15">
        <v>1</v>
      </c>
      <c r="L232" s="15">
        <v>0.24</v>
      </c>
      <c r="M232" s="15" t="str">
        <f t="shared" si="4"/>
        <v>Cloudy</v>
      </c>
      <c r="N232" s="15">
        <v>0.2576</v>
      </c>
      <c r="O232" s="15">
        <v>0.75</v>
      </c>
      <c r="P232" s="15">
        <v>0.1045</v>
      </c>
      <c r="Q232" s="15">
        <v>6</v>
      </c>
      <c r="R232" s="15">
        <v>49</v>
      </c>
      <c r="S232" s="15">
        <v>55</v>
      </c>
    </row>
    <row r="233" spans="1:19" x14ac:dyDescent="0.35">
      <c r="A233" s="15">
        <v>841</v>
      </c>
      <c r="B233" s="16">
        <v>40581</v>
      </c>
      <c r="C233" s="15">
        <v>1</v>
      </c>
      <c r="D233" s="15">
        <v>0</v>
      </c>
      <c r="E233" s="15">
        <v>2</v>
      </c>
      <c r="F233" s="15">
        <v>11</v>
      </c>
      <c r="G233" s="15" t="str" cm="1">
        <f t="array" ref="G233">_xlfn.IFS(AND(F233&gt;=5,F233&lt;12),"Morning",AND(F233&gt;=12,F233&lt;17),"AfterNoon",AND(F233&gt;=17,F233&lt;20),"Evening",TRUE,"Night")</f>
        <v>Morning</v>
      </c>
      <c r="H233" s="15" t="b">
        <v>0</v>
      </c>
      <c r="I233" s="15">
        <v>1</v>
      </c>
      <c r="J233" s="15" t="str" cm="1">
        <f t="array" ref="J233">_xlfn.IFS(I233=0,"Saturday",I233=1,"Sunday",I233=2,"Monday",I233=3,"Tuesday",I233=4,"Wednesday",I233=5,"Thusday",I233=6,"Friday")</f>
        <v>Sunday</v>
      </c>
      <c r="K233" s="15">
        <v>1</v>
      </c>
      <c r="L233" s="15">
        <v>0.3</v>
      </c>
      <c r="M233" s="15" t="str">
        <f t="shared" si="4"/>
        <v>Cloudy</v>
      </c>
      <c r="N233" s="15">
        <v>0.31819999999999998</v>
      </c>
      <c r="O233" s="15">
        <v>0.65</v>
      </c>
      <c r="P233" s="15">
        <v>8.9599999999999999E-2</v>
      </c>
      <c r="Q233" s="15">
        <v>11</v>
      </c>
      <c r="R233" s="15">
        <v>36</v>
      </c>
      <c r="S233" s="15">
        <v>47</v>
      </c>
    </row>
    <row r="234" spans="1:19" x14ac:dyDescent="0.35">
      <c r="A234" s="15">
        <v>842</v>
      </c>
      <c r="B234" s="16">
        <v>40581</v>
      </c>
      <c r="C234" s="15">
        <v>1</v>
      </c>
      <c r="D234" s="15">
        <v>0</v>
      </c>
      <c r="E234" s="15">
        <v>2</v>
      </c>
      <c r="F234" s="15">
        <v>12</v>
      </c>
      <c r="G234" s="15" t="str" cm="1">
        <f t="array" ref="G234">_xlfn.IFS(AND(F234&gt;=5,F234&lt;12),"Morning",AND(F234&gt;=12,F234&lt;17),"AfterNoon",AND(F234&gt;=17,F234&lt;20),"Evening",TRUE,"Night")</f>
        <v>AfterNoon</v>
      </c>
      <c r="H234" s="15" t="b">
        <v>0</v>
      </c>
      <c r="I234" s="15">
        <v>1</v>
      </c>
      <c r="J234" s="15" t="str" cm="1">
        <f t="array" ref="J234">_xlfn.IFS(I234=0,"Saturday",I234=1,"Sunday",I234=2,"Monday",I234=3,"Tuesday",I234=4,"Wednesday",I234=5,"Thusday",I234=6,"Friday")</f>
        <v>Sunday</v>
      </c>
      <c r="K234" s="15">
        <v>2</v>
      </c>
      <c r="L234" s="15">
        <v>0.32</v>
      </c>
      <c r="M234" s="15" t="str">
        <f t="shared" si="4"/>
        <v>Sunny</v>
      </c>
      <c r="N234" s="15">
        <v>0.34849999999999998</v>
      </c>
      <c r="O234" s="15">
        <v>0.62</v>
      </c>
      <c r="P234" s="15">
        <v>0</v>
      </c>
      <c r="Q234" s="15">
        <v>7</v>
      </c>
      <c r="R234" s="15">
        <v>59</v>
      </c>
      <c r="S234" s="15">
        <v>66</v>
      </c>
    </row>
    <row r="235" spans="1:19" x14ac:dyDescent="0.35">
      <c r="A235" s="15">
        <v>843</v>
      </c>
      <c r="B235" s="16">
        <v>40581</v>
      </c>
      <c r="C235" s="15">
        <v>1</v>
      </c>
      <c r="D235" s="15">
        <v>0</v>
      </c>
      <c r="E235" s="15">
        <v>2</v>
      </c>
      <c r="F235" s="15">
        <v>13</v>
      </c>
      <c r="G235" s="15" t="str" cm="1">
        <f t="array" ref="G235">_xlfn.IFS(AND(F235&gt;=5,F235&lt;12),"Morning",AND(F235&gt;=12,F235&lt;17),"AfterNoon",AND(F235&gt;=17,F235&lt;20),"Evening",TRUE,"Night")</f>
        <v>AfterNoon</v>
      </c>
      <c r="H235" s="15" t="b">
        <v>0</v>
      </c>
      <c r="I235" s="15">
        <v>1</v>
      </c>
      <c r="J235" s="15" t="str" cm="1">
        <f t="array" ref="J235">_xlfn.IFS(I235=0,"Saturday",I235=1,"Sunday",I235=2,"Monday",I235=3,"Tuesday",I235=4,"Wednesday",I235=5,"Thusday",I235=6,"Friday")</f>
        <v>Sunday</v>
      </c>
      <c r="K235" s="15">
        <v>2</v>
      </c>
      <c r="L235" s="15">
        <v>0.36</v>
      </c>
      <c r="M235" s="15" t="str">
        <f t="shared" si="4"/>
        <v>Sunny</v>
      </c>
      <c r="N235" s="15">
        <v>0.36359999999999998</v>
      </c>
      <c r="O235" s="15">
        <v>0.56999999999999995</v>
      </c>
      <c r="P235" s="15">
        <v>8.9599999999999999E-2</v>
      </c>
      <c r="Q235" s="15">
        <v>10</v>
      </c>
      <c r="R235" s="15">
        <v>54</v>
      </c>
      <c r="S235" s="15">
        <v>64</v>
      </c>
    </row>
    <row r="236" spans="1:19" x14ac:dyDescent="0.35">
      <c r="A236" s="15">
        <v>844</v>
      </c>
      <c r="B236" s="16">
        <v>40581</v>
      </c>
      <c r="C236" s="15">
        <v>1</v>
      </c>
      <c r="D236" s="15">
        <v>0</v>
      </c>
      <c r="E236" s="15">
        <v>2</v>
      </c>
      <c r="F236" s="15">
        <v>14</v>
      </c>
      <c r="G236" s="15" t="str" cm="1">
        <f t="array" ref="G236">_xlfn.IFS(AND(F236&gt;=5,F236&lt;12),"Morning",AND(F236&gt;=12,F236&lt;17),"AfterNoon",AND(F236&gt;=17,F236&lt;20),"Evening",TRUE,"Night")</f>
        <v>AfterNoon</v>
      </c>
      <c r="H236" s="15" t="b">
        <v>0</v>
      </c>
      <c r="I236" s="15">
        <v>1</v>
      </c>
      <c r="J236" s="15" t="str" cm="1">
        <f t="array" ref="J236">_xlfn.IFS(I236=0,"Saturday",I236=1,"Sunday",I236=2,"Monday",I236=3,"Tuesday",I236=4,"Wednesday",I236=5,"Thusday",I236=6,"Friday")</f>
        <v>Sunday</v>
      </c>
      <c r="K236" s="15">
        <v>2</v>
      </c>
      <c r="L236" s="15">
        <v>0.36</v>
      </c>
      <c r="M236" s="15" t="str">
        <f t="shared" si="4"/>
        <v>Sunny</v>
      </c>
      <c r="N236" s="15">
        <v>0.36359999999999998</v>
      </c>
      <c r="O236" s="15">
        <v>0.56999999999999995</v>
      </c>
      <c r="P236" s="15">
        <v>8.9599999999999999E-2</v>
      </c>
      <c r="Q236" s="15">
        <v>8</v>
      </c>
      <c r="R236" s="15">
        <v>52</v>
      </c>
      <c r="S236" s="15">
        <v>60</v>
      </c>
    </row>
    <row r="237" spans="1:19" x14ac:dyDescent="0.35">
      <c r="A237" s="15">
        <v>845</v>
      </c>
      <c r="B237" s="16">
        <v>40581</v>
      </c>
      <c r="C237" s="15">
        <v>1</v>
      </c>
      <c r="D237" s="15">
        <v>0</v>
      </c>
      <c r="E237" s="15">
        <v>2</v>
      </c>
      <c r="F237" s="15">
        <v>15</v>
      </c>
      <c r="G237" s="15" t="str" cm="1">
        <f t="array" ref="G237">_xlfn.IFS(AND(F237&gt;=5,F237&lt;12),"Morning",AND(F237&gt;=12,F237&lt;17),"AfterNoon",AND(F237&gt;=17,F237&lt;20),"Evening",TRUE,"Night")</f>
        <v>AfterNoon</v>
      </c>
      <c r="H237" s="15" t="b">
        <v>0</v>
      </c>
      <c r="I237" s="15">
        <v>1</v>
      </c>
      <c r="J237" s="15" t="str" cm="1">
        <f t="array" ref="J237">_xlfn.IFS(I237=0,"Saturday",I237=1,"Sunday",I237=2,"Monday",I237=3,"Tuesday",I237=4,"Wednesday",I237=5,"Thusday",I237=6,"Friday")</f>
        <v>Sunday</v>
      </c>
      <c r="K237" s="15">
        <v>2</v>
      </c>
      <c r="L237" s="15">
        <v>0.38</v>
      </c>
      <c r="M237" s="15" t="str">
        <f t="shared" si="4"/>
        <v>Sunny</v>
      </c>
      <c r="N237" s="15">
        <v>0.39389999999999997</v>
      </c>
      <c r="O237" s="15">
        <v>0.54</v>
      </c>
      <c r="P237" s="15">
        <v>8.9599999999999999E-2</v>
      </c>
      <c r="Q237" s="15">
        <v>4</v>
      </c>
      <c r="R237" s="15">
        <v>46</v>
      </c>
      <c r="S237" s="15">
        <v>50</v>
      </c>
    </row>
    <row r="238" spans="1:19" x14ac:dyDescent="0.35">
      <c r="A238" s="15">
        <v>846</v>
      </c>
      <c r="B238" s="16">
        <v>40581</v>
      </c>
      <c r="C238" s="15">
        <v>1</v>
      </c>
      <c r="D238" s="15">
        <v>0</v>
      </c>
      <c r="E238" s="15">
        <v>2</v>
      </c>
      <c r="F238" s="15">
        <v>16</v>
      </c>
      <c r="G238" s="15" t="str" cm="1">
        <f t="array" ref="G238">_xlfn.IFS(AND(F238&gt;=5,F238&lt;12),"Morning",AND(F238&gt;=12,F238&lt;17),"AfterNoon",AND(F238&gt;=17,F238&lt;20),"Evening",TRUE,"Night")</f>
        <v>AfterNoon</v>
      </c>
      <c r="H238" s="15" t="b">
        <v>0</v>
      </c>
      <c r="I238" s="15">
        <v>1</v>
      </c>
      <c r="J238" s="15" t="str" cm="1">
        <f t="array" ref="J238">_xlfn.IFS(I238=0,"Saturday",I238=1,"Sunday",I238=2,"Monday",I238=3,"Tuesday",I238=4,"Wednesday",I238=5,"Thusday",I238=6,"Friday")</f>
        <v>Sunday</v>
      </c>
      <c r="K238" s="15">
        <v>2</v>
      </c>
      <c r="L238" s="15">
        <v>0.36</v>
      </c>
      <c r="M238" s="15" t="str">
        <f t="shared" si="4"/>
        <v>Sunny</v>
      </c>
      <c r="N238" s="15">
        <v>0.34849999999999998</v>
      </c>
      <c r="O238" s="15">
        <v>0.56999999999999995</v>
      </c>
      <c r="P238" s="15">
        <v>0.1343</v>
      </c>
      <c r="Q238" s="15">
        <v>16</v>
      </c>
      <c r="R238" s="15">
        <v>98</v>
      </c>
      <c r="S238" s="15">
        <v>114</v>
      </c>
    </row>
    <row r="239" spans="1:19" x14ac:dyDescent="0.35">
      <c r="A239" s="15">
        <v>847</v>
      </c>
      <c r="B239" s="16">
        <v>40581</v>
      </c>
      <c r="C239" s="15">
        <v>1</v>
      </c>
      <c r="D239" s="15">
        <v>0</v>
      </c>
      <c r="E239" s="15">
        <v>2</v>
      </c>
      <c r="F239" s="15">
        <v>17</v>
      </c>
      <c r="G239" s="15" t="str" cm="1">
        <f t="array" ref="G239">_xlfn.IFS(AND(F239&gt;=5,F239&lt;12),"Morning",AND(F239&gt;=12,F239&lt;17),"AfterNoon",AND(F239&gt;=17,F239&lt;20),"Evening",TRUE,"Night")</f>
        <v>Evening</v>
      </c>
      <c r="H239" s="15" t="b">
        <v>0</v>
      </c>
      <c r="I239" s="15">
        <v>1</v>
      </c>
      <c r="J239" s="15" t="str" cm="1">
        <f t="array" ref="J239">_xlfn.IFS(I239=0,"Saturday",I239=1,"Sunday",I239=2,"Monday",I239=3,"Tuesday",I239=4,"Wednesday",I239=5,"Thusday",I239=6,"Friday")</f>
        <v>Sunday</v>
      </c>
      <c r="K239" s="15">
        <v>2</v>
      </c>
      <c r="L239" s="15">
        <v>0.32</v>
      </c>
      <c r="M239" s="15" t="str">
        <f t="shared" si="4"/>
        <v>Sunny</v>
      </c>
      <c r="N239" s="15">
        <v>0.31819999999999998</v>
      </c>
      <c r="O239" s="15">
        <v>0.7</v>
      </c>
      <c r="P239" s="15">
        <v>0.16420000000000001</v>
      </c>
      <c r="Q239" s="15">
        <v>9</v>
      </c>
      <c r="R239" s="15">
        <v>207</v>
      </c>
      <c r="S239" s="15">
        <v>216</v>
      </c>
    </row>
    <row r="240" spans="1:19" x14ac:dyDescent="0.35">
      <c r="A240" s="15">
        <v>848</v>
      </c>
      <c r="B240" s="16">
        <v>40581</v>
      </c>
      <c r="C240" s="15">
        <v>1</v>
      </c>
      <c r="D240" s="15">
        <v>0</v>
      </c>
      <c r="E240" s="15">
        <v>2</v>
      </c>
      <c r="F240" s="15">
        <v>18</v>
      </c>
      <c r="G240" s="15" t="str" cm="1">
        <f t="array" ref="G240">_xlfn.IFS(AND(F240&gt;=5,F240&lt;12),"Morning",AND(F240&gt;=12,F240&lt;17),"AfterNoon",AND(F240&gt;=17,F240&lt;20),"Evening",TRUE,"Night")</f>
        <v>Evening</v>
      </c>
      <c r="H240" s="15" t="b">
        <v>0</v>
      </c>
      <c r="I240" s="15">
        <v>1</v>
      </c>
      <c r="J240" s="15" t="str" cm="1">
        <f t="array" ref="J240">_xlfn.IFS(I240=0,"Saturday",I240=1,"Sunday",I240=2,"Monday",I240=3,"Tuesday",I240=4,"Wednesday",I240=5,"Thusday",I240=6,"Friday")</f>
        <v>Sunday</v>
      </c>
      <c r="K240" s="15">
        <v>2</v>
      </c>
      <c r="L240" s="15">
        <v>0.34</v>
      </c>
      <c r="M240" s="15" t="str">
        <f t="shared" si="4"/>
        <v>Sunny</v>
      </c>
      <c r="N240" s="15">
        <v>0.33329999999999999</v>
      </c>
      <c r="O240" s="15">
        <v>0.66</v>
      </c>
      <c r="P240" s="15">
        <v>0.1343</v>
      </c>
      <c r="Q240" s="15">
        <v>5</v>
      </c>
      <c r="R240" s="15">
        <v>170</v>
      </c>
      <c r="S240" s="15">
        <v>175</v>
      </c>
    </row>
    <row r="241" spans="1:19" x14ac:dyDescent="0.35">
      <c r="A241" s="15">
        <v>849</v>
      </c>
      <c r="B241" s="16">
        <v>40581</v>
      </c>
      <c r="C241" s="15">
        <v>1</v>
      </c>
      <c r="D241" s="15">
        <v>0</v>
      </c>
      <c r="E241" s="15">
        <v>2</v>
      </c>
      <c r="F241" s="15">
        <v>19</v>
      </c>
      <c r="G241" s="15" t="str" cm="1">
        <f t="array" ref="G241">_xlfn.IFS(AND(F241&gt;=5,F241&lt;12),"Morning",AND(F241&gt;=12,F241&lt;17),"AfterNoon",AND(F241&gt;=17,F241&lt;20),"Evening",TRUE,"Night")</f>
        <v>Evening</v>
      </c>
      <c r="H241" s="15" t="b">
        <v>0</v>
      </c>
      <c r="I241" s="15">
        <v>1</v>
      </c>
      <c r="J241" s="15" t="str" cm="1">
        <f t="array" ref="J241">_xlfn.IFS(I241=0,"Saturday",I241=1,"Sunday",I241=2,"Monday",I241=3,"Tuesday",I241=4,"Wednesday",I241=5,"Thusday",I241=6,"Friday")</f>
        <v>Sunday</v>
      </c>
      <c r="K241" s="15">
        <v>2</v>
      </c>
      <c r="L241" s="15">
        <v>0.32</v>
      </c>
      <c r="M241" s="15" t="str">
        <f t="shared" si="4"/>
        <v>Sunny</v>
      </c>
      <c r="N241" s="15">
        <v>0.34849999999999998</v>
      </c>
      <c r="O241" s="15">
        <v>0.7</v>
      </c>
      <c r="P241" s="15">
        <v>0</v>
      </c>
      <c r="Q241" s="15">
        <v>5</v>
      </c>
      <c r="R241" s="15">
        <v>123</v>
      </c>
      <c r="S241" s="15">
        <v>128</v>
      </c>
    </row>
    <row r="242" spans="1:19" x14ac:dyDescent="0.35">
      <c r="A242" s="15">
        <v>850</v>
      </c>
      <c r="B242" s="16">
        <v>40581</v>
      </c>
      <c r="C242" s="15">
        <v>1</v>
      </c>
      <c r="D242" s="15">
        <v>0</v>
      </c>
      <c r="E242" s="15">
        <v>2</v>
      </c>
      <c r="F242" s="15">
        <v>20</v>
      </c>
      <c r="G242" s="15" t="str" cm="1">
        <f t="array" ref="G242">_xlfn.IFS(AND(F242&gt;=5,F242&lt;12),"Morning",AND(F242&gt;=12,F242&lt;17),"AfterNoon",AND(F242&gt;=17,F242&lt;20),"Evening",TRUE,"Night")</f>
        <v>Night</v>
      </c>
      <c r="H242" s="15" t="b">
        <v>0</v>
      </c>
      <c r="I242" s="15">
        <v>1</v>
      </c>
      <c r="J242" s="15" t="str" cm="1">
        <f t="array" ref="J242">_xlfn.IFS(I242=0,"Saturday",I242=1,"Sunday",I242=2,"Monday",I242=3,"Tuesday",I242=4,"Wednesday",I242=5,"Thusday",I242=6,"Friday")</f>
        <v>Sunday</v>
      </c>
      <c r="K242" s="15">
        <v>2</v>
      </c>
      <c r="L242" s="15">
        <v>0.32</v>
      </c>
      <c r="M242" s="15" t="str">
        <f t="shared" si="4"/>
        <v>Sunny</v>
      </c>
      <c r="N242" s="15">
        <v>0.33329999999999999</v>
      </c>
      <c r="O242" s="15">
        <v>0.7</v>
      </c>
      <c r="P242" s="15">
        <v>0.1045</v>
      </c>
      <c r="Q242" s="15">
        <v>6</v>
      </c>
      <c r="R242" s="15">
        <v>82</v>
      </c>
      <c r="S242" s="15">
        <v>88</v>
      </c>
    </row>
    <row r="243" spans="1:19" x14ac:dyDescent="0.35">
      <c r="A243" s="15">
        <v>851</v>
      </c>
      <c r="B243" s="16">
        <v>40581</v>
      </c>
      <c r="C243" s="15">
        <v>1</v>
      </c>
      <c r="D243" s="15">
        <v>0</v>
      </c>
      <c r="E243" s="15">
        <v>2</v>
      </c>
      <c r="F243" s="15">
        <v>21</v>
      </c>
      <c r="G243" s="15" t="str" cm="1">
        <f t="array" ref="G243">_xlfn.IFS(AND(F243&gt;=5,F243&lt;12),"Morning",AND(F243&gt;=12,F243&lt;17),"AfterNoon",AND(F243&gt;=17,F243&lt;20),"Evening",TRUE,"Night")</f>
        <v>Night</v>
      </c>
      <c r="H243" s="15" t="b">
        <v>0</v>
      </c>
      <c r="I243" s="15">
        <v>1</v>
      </c>
      <c r="J243" s="15" t="str" cm="1">
        <f t="array" ref="J243">_xlfn.IFS(I243=0,"Saturday",I243=1,"Sunday",I243=2,"Monday",I243=3,"Tuesday",I243=4,"Wednesday",I243=5,"Thusday",I243=6,"Friday")</f>
        <v>Sunday</v>
      </c>
      <c r="K243" s="15">
        <v>1</v>
      </c>
      <c r="L243" s="15">
        <v>0.32</v>
      </c>
      <c r="M243" s="15" t="str">
        <f t="shared" si="4"/>
        <v>Sunny</v>
      </c>
      <c r="N243" s="15">
        <v>0.34849999999999998</v>
      </c>
      <c r="O243" s="15">
        <v>0.7</v>
      </c>
      <c r="P243" s="15">
        <v>0</v>
      </c>
      <c r="Q243" s="15">
        <v>3</v>
      </c>
      <c r="R243" s="15">
        <v>75</v>
      </c>
      <c r="S243" s="15">
        <v>78</v>
      </c>
    </row>
    <row r="244" spans="1:19" x14ac:dyDescent="0.35">
      <c r="A244" s="15">
        <v>852</v>
      </c>
      <c r="B244" s="16">
        <v>40581</v>
      </c>
      <c r="C244" s="15">
        <v>1</v>
      </c>
      <c r="D244" s="15">
        <v>0</v>
      </c>
      <c r="E244" s="15">
        <v>2</v>
      </c>
      <c r="F244" s="15">
        <v>22</v>
      </c>
      <c r="G244" s="15" t="str" cm="1">
        <f t="array" ref="G244">_xlfn.IFS(AND(F244&gt;=5,F244&lt;12),"Morning",AND(F244&gt;=12,F244&lt;17),"AfterNoon",AND(F244&gt;=17,F244&lt;20),"Evening",TRUE,"Night")</f>
        <v>Night</v>
      </c>
      <c r="H244" s="15" t="b">
        <v>0</v>
      </c>
      <c r="I244" s="15">
        <v>1</v>
      </c>
      <c r="J244" s="15" t="str" cm="1">
        <f t="array" ref="J244">_xlfn.IFS(I244=0,"Saturday",I244=1,"Sunday",I244=2,"Monday",I244=3,"Tuesday",I244=4,"Wednesday",I244=5,"Thusday",I244=6,"Friday")</f>
        <v>Sunday</v>
      </c>
      <c r="K244" s="15">
        <v>1</v>
      </c>
      <c r="L244" s="15">
        <v>0.28000000000000003</v>
      </c>
      <c r="M244" s="15" t="str">
        <f t="shared" si="4"/>
        <v>Cloudy</v>
      </c>
      <c r="N244" s="15">
        <v>0.30299999999999999</v>
      </c>
      <c r="O244" s="15">
        <v>0.81</v>
      </c>
      <c r="P244" s="15">
        <v>8.9599999999999999E-2</v>
      </c>
      <c r="Q244" s="15">
        <v>3</v>
      </c>
      <c r="R244" s="15">
        <v>34</v>
      </c>
      <c r="S244" s="15">
        <v>37</v>
      </c>
    </row>
    <row r="245" spans="1:19" x14ac:dyDescent="0.35">
      <c r="A245" s="15">
        <v>853</v>
      </c>
      <c r="B245" s="16">
        <v>40581</v>
      </c>
      <c r="C245" s="15">
        <v>1</v>
      </c>
      <c r="D245" s="15">
        <v>0</v>
      </c>
      <c r="E245" s="15">
        <v>2</v>
      </c>
      <c r="F245" s="15">
        <v>23</v>
      </c>
      <c r="G245" s="15" t="str" cm="1">
        <f t="array" ref="G245">_xlfn.IFS(AND(F245&gt;=5,F245&lt;12),"Morning",AND(F245&gt;=12,F245&lt;17),"AfterNoon",AND(F245&gt;=17,F245&lt;20),"Evening",TRUE,"Night")</f>
        <v>Night</v>
      </c>
      <c r="H245" s="15" t="b">
        <v>0</v>
      </c>
      <c r="I245" s="15">
        <v>1</v>
      </c>
      <c r="J245" s="15" t="str" cm="1">
        <f t="array" ref="J245">_xlfn.IFS(I245=0,"Saturday",I245=1,"Sunday",I245=2,"Monday",I245=3,"Tuesday",I245=4,"Wednesday",I245=5,"Thusday",I245=6,"Friday")</f>
        <v>Sunday</v>
      </c>
      <c r="K245" s="15">
        <v>2</v>
      </c>
      <c r="L245" s="15">
        <v>0.3</v>
      </c>
      <c r="M245" s="15" t="str">
        <f t="shared" si="4"/>
        <v>Cloudy</v>
      </c>
      <c r="N245" s="15">
        <v>0.33329999999999999</v>
      </c>
      <c r="O245" s="15">
        <v>0.81</v>
      </c>
      <c r="P245" s="15">
        <v>0</v>
      </c>
      <c r="Q245" s="15">
        <v>6</v>
      </c>
      <c r="R245" s="15">
        <v>19</v>
      </c>
      <c r="S245" s="15">
        <v>25</v>
      </c>
    </row>
    <row r="246" spans="1:19" x14ac:dyDescent="0.35">
      <c r="A246" s="15">
        <v>854</v>
      </c>
      <c r="B246" s="16">
        <v>40582</v>
      </c>
      <c r="C246" s="15">
        <v>1</v>
      </c>
      <c r="D246" s="15">
        <v>0</v>
      </c>
      <c r="E246" s="15">
        <v>2</v>
      </c>
      <c r="F246" s="15">
        <v>0</v>
      </c>
      <c r="G246" s="15" t="str" cm="1">
        <f t="array" ref="G246">_xlfn.IFS(AND(F246&gt;=5,F246&lt;12),"Morning",AND(F246&gt;=12,F246&lt;17),"AfterNoon",AND(F246&gt;=17,F246&lt;20),"Evening",TRUE,"Night")</f>
        <v>Night</v>
      </c>
      <c r="H246" s="15" t="b">
        <v>0</v>
      </c>
      <c r="I246" s="15">
        <v>2</v>
      </c>
      <c r="J246" s="15" t="str" cm="1">
        <f t="array" ref="J246">_xlfn.IFS(I246=0,"Saturday",I246=1,"Sunday",I246=2,"Monday",I246=3,"Tuesday",I246=4,"Wednesday",I246=5,"Thusday",I246=6,"Friday")</f>
        <v>Monday</v>
      </c>
      <c r="K246" s="15">
        <v>2</v>
      </c>
      <c r="L246" s="15">
        <v>0.28000000000000003</v>
      </c>
      <c r="M246" s="15" t="str">
        <f t="shared" si="4"/>
        <v>Cloudy</v>
      </c>
      <c r="N246" s="15">
        <v>0.31819999999999998</v>
      </c>
      <c r="O246" s="15">
        <v>0.87</v>
      </c>
      <c r="P246" s="15">
        <v>0</v>
      </c>
      <c r="Q246" s="15">
        <v>4</v>
      </c>
      <c r="R246" s="15">
        <v>6</v>
      </c>
      <c r="S246" s="15">
        <v>10</v>
      </c>
    </row>
    <row r="247" spans="1:19" x14ac:dyDescent="0.35">
      <c r="A247" s="15">
        <v>855</v>
      </c>
      <c r="B247" s="16">
        <v>40582</v>
      </c>
      <c r="C247" s="15">
        <v>1</v>
      </c>
      <c r="D247" s="15">
        <v>0</v>
      </c>
      <c r="E247" s="15">
        <v>2</v>
      </c>
      <c r="F247" s="15">
        <v>1</v>
      </c>
      <c r="G247" s="15" t="str" cm="1">
        <f t="array" ref="G247">_xlfn.IFS(AND(F247&gt;=5,F247&lt;12),"Morning",AND(F247&gt;=12,F247&lt;17),"AfterNoon",AND(F247&gt;=17,F247&lt;20),"Evening",TRUE,"Night")</f>
        <v>Night</v>
      </c>
      <c r="H247" s="15" t="b">
        <v>0</v>
      </c>
      <c r="I247" s="15">
        <v>2</v>
      </c>
      <c r="J247" s="15" t="str" cm="1">
        <f t="array" ref="J247">_xlfn.IFS(I247=0,"Saturday",I247=1,"Sunday",I247=2,"Monday",I247=3,"Tuesday",I247=4,"Wednesday",I247=5,"Thusday",I247=6,"Friday")</f>
        <v>Monday</v>
      </c>
      <c r="K247" s="15">
        <v>2</v>
      </c>
      <c r="L247" s="15">
        <v>0.28000000000000003</v>
      </c>
      <c r="M247" s="15" t="str">
        <f t="shared" si="4"/>
        <v>Cloudy</v>
      </c>
      <c r="N247" s="15">
        <v>0.31819999999999998</v>
      </c>
      <c r="O247" s="15">
        <v>0.87</v>
      </c>
      <c r="P247" s="15">
        <v>0</v>
      </c>
      <c r="Q247" s="15">
        <v>0</v>
      </c>
      <c r="R247" s="15">
        <v>4</v>
      </c>
      <c r="S247" s="15">
        <v>4</v>
      </c>
    </row>
    <row r="248" spans="1:19" x14ac:dyDescent="0.35">
      <c r="A248" s="15">
        <v>856</v>
      </c>
      <c r="B248" s="16">
        <v>40582</v>
      </c>
      <c r="C248" s="15">
        <v>1</v>
      </c>
      <c r="D248" s="15">
        <v>0</v>
      </c>
      <c r="E248" s="15">
        <v>2</v>
      </c>
      <c r="F248" s="15">
        <v>2</v>
      </c>
      <c r="G248" s="15" t="str" cm="1">
        <f t="array" ref="G248">_xlfn.IFS(AND(F248&gt;=5,F248&lt;12),"Morning",AND(F248&gt;=12,F248&lt;17),"AfterNoon",AND(F248&gt;=17,F248&lt;20),"Evening",TRUE,"Night")</f>
        <v>Night</v>
      </c>
      <c r="H248" s="15" t="b">
        <v>0</v>
      </c>
      <c r="I248" s="15">
        <v>2</v>
      </c>
      <c r="J248" s="15" t="str" cm="1">
        <f t="array" ref="J248">_xlfn.IFS(I248=0,"Saturday",I248=1,"Sunday",I248=2,"Monday",I248=3,"Tuesday",I248=4,"Wednesday",I248=5,"Thusday",I248=6,"Friday")</f>
        <v>Monday</v>
      </c>
      <c r="K248" s="15">
        <v>2</v>
      </c>
      <c r="L248" s="15">
        <v>0.26</v>
      </c>
      <c r="M248" s="15" t="str">
        <f t="shared" si="4"/>
        <v>Cloudy</v>
      </c>
      <c r="N248" s="15">
        <v>0.2727</v>
      </c>
      <c r="O248" s="15">
        <v>0.93</v>
      </c>
      <c r="P248" s="15">
        <v>0.1045</v>
      </c>
      <c r="Q248" s="15">
        <v>1</v>
      </c>
      <c r="R248" s="15">
        <v>1</v>
      </c>
      <c r="S248" s="15">
        <v>2</v>
      </c>
    </row>
    <row r="249" spans="1:19" x14ac:dyDescent="0.35">
      <c r="A249" s="15">
        <v>857</v>
      </c>
      <c r="B249" s="16">
        <v>40582</v>
      </c>
      <c r="C249" s="15">
        <v>1</v>
      </c>
      <c r="D249" s="15">
        <v>0</v>
      </c>
      <c r="E249" s="15">
        <v>2</v>
      </c>
      <c r="F249" s="15">
        <v>3</v>
      </c>
      <c r="G249" s="15" t="str" cm="1">
        <f t="array" ref="G249">_xlfn.IFS(AND(F249&gt;=5,F249&lt;12),"Morning",AND(F249&gt;=12,F249&lt;17),"AfterNoon",AND(F249&gt;=17,F249&lt;20),"Evening",TRUE,"Night")</f>
        <v>Night</v>
      </c>
      <c r="H249" s="15" t="b">
        <v>0</v>
      </c>
      <c r="I249" s="15">
        <v>2</v>
      </c>
      <c r="J249" s="15" t="str" cm="1">
        <f t="array" ref="J249">_xlfn.IFS(I249=0,"Saturday",I249=1,"Sunday",I249=2,"Monday",I249=3,"Tuesday",I249=4,"Wednesday",I249=5,"Thusday",I249=6,"Friday")</f>
        <v>Monday</v>
      </c>
      <c r="K249" s="15">
        <v>3</v>
      </c>
      <c r="L249" s="15">
        <v>0.28000000000000003</v>
      </c>
      <c r="M249" s="15" t="str">
        <f t="shared" si="4"/>
        <v>Cloudy</v>
      </c>
      <c r="N249" s="15">
        <v>0.2727</v>
      </c>
      <c r="O249" s="15">
        <v>0.93</v>
      </c>
      <c r="P249" s="15">
        <v>0.16420000000000001</v>
      </c>
      <c r="Q249" s="15">
        <v>0</v>
      </c>
      <c r="R249" s="15">
        <v>1</v>
      </c>
      <c r="S249" s="15">
        <v>1</v>
      </c>
    </row>
    <row r="250" spans="1:19" x14ac:dyDescent="0.35">
      <c r="A250" s="15">
        <v>858</v>
      </c>
      <c r="B250" s="16">
        <v>40582</v>
      </c>
      <c r="C250" s="15">
        <v>1</v>
      </c>
      <c r="D250" s="15">
        <v>0</v>
      </c>
      <c r="E250" s="15">
        <v>2</v>
      </c>
      <c r="F250" s="15">
        <v>4</v>
      </c>
      <c r="G250" s="15" t="str" cm="1">
        <f t="array" ref="G250">_xlfn.IFS(AND(F250&gt;=5,F250&lt;12),"Morning",AND(F250&gt;=12,F250&lt;17),"AfterNoon",AND(F250&gt;=17,F250&lt;20),"Evening",TRUE,"Night")</f>
        <v>Night</v>
      </c>
      <c r="H250" s="15" t="b">
        <v>0</v>
      </c>
      <c r="I250" s="15">
        <v>2</v>
      </c>
      <c r="J250" s="15" t="str" cm="1">
        <f t="array" ref="J250">_xlfn.IFS(I250=0,"Saturday",I250=1,"Sunday",I250=2,"Monday",I250=3,"Tuesday",I250=4,"Wednesday",I250=5,"Thusday",I250=6,"Friday")</f>
        <v>Monday</v>
      </c>
      <c r="K250" s="15">
        <v>1</v>
      </c>
      <c r="L250" s="15">
        <v>0.26</v>
      </c>
      <c r="M250" s="15" t="str">
        <f t="shared" si="4"/>
        <v>Cloudy</v>
      </c>
      <c r="N250" s="15">
        <v>0.2576</v>
      </c>
      <c r="O250" s="15">
        <v>0.93</v>
      </c>
      <c r="P250" s="15">
        <v>0.16420000000000001</v>
      </c>
      <c r="Q250" s="15">
        <v>0</v>
      </c>
      <c r="R250" s="15">
        <v>3</v>
      </c>
      <c r="S250" s="15">
        <v>3</v>
      </c>
    </row>
    <row r="251" spans="1:19" x14ac:dyDescent="0.35">
      <c r="A251" s="15">
        <v>859</v>
      </c>
      <c r="B251" s="16">
        <v>40582</v>
      </c>
      <c r="C251" s="15">
        <v>1</v>
      </c>
      <c r="D251" s="15">
        <v>0</v>
      </c>
      <c r="E251" s="15">
        <v>2</v>
      </c>
      <c r="F251" s="15">
        <v>5</v>
      </c>
      <c r="G251" s="15" t="str" cm="1">
        <f t="array" ref="G251">_xlfn.IFS(AND(F251&gt;=5,F251&lt;12),"Morning",AND(F251&gt;=12,F251&lt;17),"AfterNoon",AND(F251&gt;=17,F251&lt;20),"Evening",TRUE,"Night")</f>
        <v>Morning</v>
      </c>
      <c r="H251" s="15" t="b">
        <v>0</v>
      </c>
      <c r="I251" s="15">
        <v>2</v>
      </c>
      <c r="J251" s="15" t="str" cm="1">
        <f t="array" ref="J251">_xlfn.IFS(I251=0,"Saturday",I251=1,"Sunday",I251=2,"Monday",I251=3,"Tuesday",I251=4,"Wednesday",I251=5,"Thusday",I251=6,"Friday")</f>
        <v>Monday</v>
      </c>
      <c r="K251" s="15">
        <v>1</v>
      </c>
      <c r="L251" s="15">
        <v>0.26</v>
      </c>
      <c r="M251" s="15" t="str">
        <f t="shared" si="4"/>
        <v>Cloudy</v>
      </c>
      <c r="N251" s="15">
        <v>0.2273</v>
      </c>
      <c r="O251" s="15">
        <v>0.81</v>
      </c>
      <c r="P251" s="15">
        <v>0.32840000000000003</v>
      </c>
      <c r="Q251" s="15">
        <v>0</v>
      </c>
      <c r="R251" s="15">
        <v>2</v>
      </c>
      <c r="S251" s="15">
        <v>2</v>
      </c>
    </row>
    <row r="252" spans="1:19" x14ac:dyDescent="0.35">
      <c r="A252" s="15">
        <v>860</v>
      </c>
      <c r="B252" s="16">
        <v>40582</v>
      </c>
      <c r="C252" s="15">
        <v>1</v>
      </c>
      <c r="D252" s="15">
        <v>0</v>
      </c>
      <c r="E252" s="15">
        <v>2</v>
      </c>
      <c r="F252" s="15">
        <v>6</v>
      </c>
      <c r="G252" s="15" t="str" cm="1">
        <f t="array" ref="G252">_xlfn.IFS(AND(F252&gt;=5,F252&lt;12),"Morning",AND(F252&gt;=12,F252&lt;17),"AfterNoon",AND(F252&gt;=17,F252&lt;20),"Evening",TRUE,"Night")</f>
        <v>Morning</v>
      </c>
      <c r="H252" s="15" t="b">
        <v>0</v>
      </c>
      <c r="I252" s="15">
        <v>2</v>
      </c>
      <c r="J252" s="15" t="str" cm="1">
        <f t="array" ref="J252">_xlfn.IFS(I252=0,"Saturday",I252=1,"Sunday",I252=2,"Monday",I252=3,"Tuesday",I252=4,"Wednesday",I252=5,"Thusday",I252=6,"Friday")</f>
        <v>Monday</v>
      </c>
      <c r="K252" s="15">
        <v>1</v>
      </c>
      <c r="L252" s="15">
        <v>0.26</v>
      </c>
      <c r="M252" s="15" t="str">
        <f t="shared" si="4"/>
        <v>Cloudy</v>
      </c>
      <c r="N252" s="15">
        <v>0.2273</v>
      </c>
      <c r="O252" s="15">
        <v>0.7</v>
      </c>
      <c r="P252" s="15">
        <v>0.32840000000000003</v>
      </c>
      <c r="Q252" s="15">
        <v>0</v>
      </c>
      <c r="R252" s="15">
        <v>39</v>
      </c>
      <c r="S252" s="15">
        <v>39</v>
      </c>
    </row>
    <row r="253" spans="1:19" x14ac:dyDescent="0.35">
      <c r="A253" s="15">
        <v>861</v>
      </c>
      <c r="B253" s="16">
        <v>40582</v>
      </c>
      <c r="C253" s="15">
        <v>1</v>
      </c>
      <c r="D253" s="15">
        <v>0</v>
      </c>
      <c r="E253" s="15">
        <v>2</v>
      </c>
      <c r="F253" s="15">
        <v>7</v>
      </c>
      <c r="G253" s="15" t="str" cm="1">
        <f t="array" ref="G253">_xlfn.IFS(AND(F253&gt;=5,F253&lt;12),"Morning",AND(F253&gt;=12,F253&lt;17),"AfterNoon",AND(F253&gt;=17,F253&lt;20),"Evening",TRUE,"Night")</f>
        <v>Morning</v>
      </c>
      <c r="H253" s="15" t="b">
        <v>0</v>
      </c>
      <c r="I253" s="15">
        <v>2</v>
      </c>
      <c r="J253" s="15" t="str" cm="1">
        <f t="array" ref="J253">_xlfn.IFS(I253=0,"Saturday",I253=1,"Sunday",I253=2,"Monday",I253=3,"Tuesday",I253=4,"Wednesday",I253=5,"Thusday",I253=6,"Friday")</f>
        <v>Monday</v>
      </c>
      <c r="K253" s="15">
        <v>1</v>
      </c>
      <c r="L253" s="15">
        <v>0.24</v>
      </c>
      <c r="M253" s="15" t="str">
        <f t="shared" si="4"/>
        <v>Cloudy</v>
      </c>
      <c r="N253" s="15">
        <v>0.19700000000000001</v>
      </c>
      <c r="O253" s="15">
        <v>0.65</v>
      </c>
      <c r="P253" s="15">
        <v>0.41789999999999999</v>
      </c>
      <c r="Q253" s="15">
        <v>3</v>
      </c>
      <c r="R253" s="15">
        <v>97</v>
      </c>
      <c r="S253" s="15">
        <v>100</v>
      </c>
    </row>
    <row r="254" spans="1:19" x14ac:dyDescent="0.35">
      <c r="A254" s="15">
        <v>862</v>
      </c>
      <c r="B254" s="16">
        <v>40582</v>
      </c>
      <c r="C254" s="15">
        <v>1</v>
      </c>
      <c r="D254" s="15">
        <v>0</v>
      </c>
      <c r="E254" s="15">
        <v>2</v>
      </c>
      <c r="F254" s="15">
        <v>8</v>
      </c>
      <c r="G254" s="15" t="str" cm="1">
        <f t="array" ref="G254">_xlfn.IFS(AND(F254&gt;=5,F254&lt;12),"Morning",AND(F254&gt;=12,F254&lt;17),"AfterNoon",AND(F254&gt;=17,F254&lt;20),"Evening",TRUE,"Night")</f>
        <v>Morning</v>
      </c>
      <c r="H254" s="15" t="b">
        <v>0</v>
      </c>
      <c r="I254" s="15">
        <v>2</v>
      </c>
      <c r="J254" s="15" t="str" cm="1">
        <f t="array" ref="J254">_xlfn.IFS(I254=0,"Saturday",I254=1,"Sunday",I254=2,"Monday",I254=3,"Tuesday",I254=4,"Wednesday",I254=5,"Thusday",I254=6,"Friday")</f>
        <v>Monday</v>
      </c>
      <c r="K254" s="15">
        <v>1</v>
      </c>
      <c r="L254" s="15">
        <v>0.24</v>
      </c>
      <c r="M254" s="15" t="str">
        <f t="shared" si="4"/>
        <v>Cloudy</v>
      </c>
      <c r="N254" s="15">
        <v>0.19700000000000001</v>
      </c>
      <c r="O254" s="15">
        <v>0.56000000000000005</v>
      </c>
      <c r="P254" s="15">
        <v>0.49249999999999999</v>
      </c>
      <c r="Q254" s="15">
        <v>7</v>
      </c>
      <c r="R254" s="15">
        <v>236</v>
      </c>
      <c r="S254" s="15">
        <v>243</v>
      </c>
    </row>
    <row r="255" spans="1:19" x14ac:dyDescent="0.35">
      <c r="A255" s="15">
        <v>863</v>
      </c>
      <c r="B255" s="16">
        <v>40582</v>
      </c>
      <c r="C255" s="15">
        <v>1</v>
      </c>
      <c r="D255" s="15">
        <v>0</v>
      </c>
      <c r="E255" s="15">
        <v>2</v>
      </c>
      <c r="F255" s="15">
        <v>9</v>
      </c>
      <c r="G255" s="15" t="str" cm="1">
        <f t="array" ref="G255">_xlfn.IFS(AND(F255&gt;=5,F255&lt;12),"Morning",AND(F255&gt;=12,F255&lt;17),"AfterNoon",AND(F255&gt;=17,F255&lt;20),"Evening",TRUE,"Night")</f>
        <v>Morning</v>
      </c>
      <c r="H255" s="15" t="b">
        <v>0</v>
      </c>
      <c r="I255" s="15">
        <v>2</v>
      </c>
      <c r="J255" s="15" t="str" cm="1">
        <f t="array" ref="J255">_xlfn.IFS(I255=0,"Saturday",I255=1,"Sunday",I255=2,"Monday",I255=3,"Tuesday",I255=4,"Wednesday",I255=5,"Thusday",I255=6,"Friday")</f>
        <v>Monday</v>
      </c>
      <c r="K255" s="15">
        <v>1</v>
      </c>
      <c r="L255" s="15">
        <v>0.24</v>
      </c>
      <c r="M255" s="15" t="str">
        <f t="shared" si="4"/>
        <v>Cloudy</v>
      </c>
      <c r="N255" s="15">
        <v>0.19700000000000001</v>
      </c>
      <c r="O255" s="15">
        <v>0.52</v>
      </c>
      <c r="P255" s="15">
        <v>0.49249999999999999</v>
      </c>
      <c r="Q255" s="15">
        <v>7</v>
      </c>
      <c r="R255" s="15">
        <v>128</v>
      </c>
      <c r="S255" s="15">
        <v>135</v>
      </c>
    </row>
    <row r="256" spans="1:19" x14ac:dyDescent="0.35">
      <c r="A256" s="15">
        <v>864</v>
      </c>
      <c r="B256" s="16">
        <v>40582</v>
      </c>
      <c r="C256" s="15">
        <v>1</v>
      </c>
      <c r="D256" s="15">
        <v>0</v>
      </c>
      <c r="E256" s="15">
        <v>2</v>
      </c>
      <c r="F256" s="15">
        <v>10</v>
      </c>
      <c r="G256" s="15" t="str" cm="1">
        <f t="array" ref="G256">_xlfn.IFS(AND(F256&gt;=5,F256&lt;12),"Morning",AND(F256&gt;=12,F256&lt;17),"AfterNoon",AND(F256&gt;=17,F256&lt;20),"Evening",TRUE,"Night")</f>
        <v>Morning</v>
      </c>
      <c r="H256" s="15" t="b">
        <v>0</v>
      </c>
      <c r="I256" s="15">
        <v>2</v>
      </c>
      <c r="J256" s="15" t="str" cm="1">
        <f t="array" ref="J256">_xlfn.IFS(I256=0,"Saturday",I256=1,"Sunday",I256=2,"Monday",I256=3,"Tuesday",I256=4,"Wednesday",I256=5,"Thusday",I256=6,"Friday")</f>
        <v>Monday</v>
      </c>
      <c r="K256" s="15">
        <v>1</v>
      </c>
      <c r="L256" s="15">
        <v>0.22</v>
      </c>
      <c r="M256" s="15" t="str">
        <f t="shared" si="4"/>
        <v>Cloudy</v>
      </c>
      <c r="N256" s="15">
        <v>0.18179999999999999</v>
      </c>
      <c r="O256" s="15">
        <v>0.47</v>
      </c>
      <c r="P256" s="15">
        <v>0.55220000000000002</v>
      </c>
      <c r="Q256" s="15">
        <v>4</v>
      </c>
      <c r="R256" s="15">
        <v>44</v>
      </c>
      <c r="S256" s="15">
        <v>48</v>
      </c>
    </row>
    <row r="257" spans="1:19" x14ac:dyDescent="0.35">
      <c r="A257" s="15">
        <v>865</v>
      </c>
      <c r="B257" s="16">
        <v>40582</v>
      </c>
      <c r="C257" s="15">
        <v>1</v>
      </c>
      <c r="D257" s="15">
        <v>0</v>
      </c>
      <c r="E257" s="15">
        <v>2</v>
      </c>
      <c r="F257" s="15">
        <v>11</v>
      </c>
      <c r="G257" s="15" t="str" cm="1">
        <f t="array" ref="G257">_xlfn.IFS(AND(F257&gt;=5,F257&lt;12),"Morning",AND(F257&gt;=12,F257&lt;17),"AfterNoon",AND(F257&gt;=17,F257&lt;20),"Evening",TRUE,"Night")</f>
        <v>Morning</v>
      </c>
      <c r="H257" s="15" t="b">
        <v>0</v>
      </c>
      <c r="I257" s="15">
        <v>2</v>
      </c>
      <c r="J257" s="15" t="str" cm="1">
        <f t="array" ref="J257">_xlfn.IFS(I257=0,"Saturday",I257=1,"Sunday",I257=2,"Monday",I257=3,"Tuesday",I257=4,"Wednesday",I257=5,"Thusday",I257=6,"Friday")</f>
        <v>Monday</v>
      </c>
      <c r="K257" s="15">
        <v>1</v>
      </c>
      <c r="L257" s="15">
        <v>0.22</v>
      </c>
      <c r="M257" s="15" t="str">
        <f t="shared" si="4"/>
        <v>Cloudy</v>
      </c>
      <c r="N257" s="15">
        <v>0.18179999999999999</v>
      </c>
      <c r="O257" s="15">
        <v>0.47</v>
      </c>
      <c r="P257" s="15">
        <v>0.4627</v>
      </c>
      <c r="Q257" s="15">
        <v>1</v>
      </c>
      <c r="R257" s="15">
        <v>49</v>
      </c>
      <c r="S257" s="15">
        <v>50</v>
      </c>
    </row>
    <row r="258" spans="1:19" x14ac:dyDescent="0.35">
      <c r="A258" s="15">
        <v>866</v>
      </c>
      <c r="B258" s="16">
        <v>40582</v>
      </c>
      <c r="C258" s="15">
        <v>1</v>
      </c>
      <c r="D258" s="15">
        <v>0</v>
      </c>
      <c r="E258" s="15">
        <v>2</v>
      </c>
      <c r="F258" s="15">
        <v>12</v>
      </c>
      <c r="G258" s="15" t="str" cm="1">
        <f t="array" ref="G258">_xlfn.IFS(AND(F258&gt;=5,F258&lt;12),"Morning",AND(F258&gt;=12,F258&lt;17),"AfterNoon",AND(F258&gt;=17,F258&lt;20),"Evening",TRUE,"Night")</f>
        <v>AfterNoon</v>
      </c>
      <c r="H258" s="15" t="b">
        <v>0</v>
      </c>
      <c r="I258" s="15">
        <v>2</v>
      </c>
      <c r="J258" s="15" t="str" cm="1">
        <f t="array" ref="J258">_xlfn.IFS(I258=0,"Saturday",I258=1,"Sunday",I258=2,"Monday",I258=3,"Tuesday",I258=4,"Wednesday",I258=5,"Thusday",I258=6,"Friday")</f>
        <v>Monday</v>
      </c>
      <c r="K258" s="15">
        <v>1</v>
      </c>
      <c r="L258" s="15">
        <v>0.24</v>
      </c>
      <c r="M258" s="15" t="str">
        <f t="shared" si="4"/>
        <v>Cloudy</v>
      </c>
      <c r="N258" s="15">
        <v>0.19700000000000001</v>
      </c>
      <c r="O258" s="15">
        <v>0.38</v>
      </c>
      <c r="P258" s="15">
        <v>0.49249999999999999</v>
      </c>
      <c r="Q258" s="15">
        <v>2</v>
      </c>
      <c r="R258" s="15">
        <v>63</v>
      </c>
      <c r="S258" s="15">
        <v>65</v>
      </c>
    </row>
    <row r="259" spans="1:19" x14ac:dyDescent="0.35">
      <c r="A259" s="15">
        <v>867</v>
      </c>
      <c r="B259" s="16">
        <v>40582</v>
      </c>
      <c r="C259" s="15">
        <v>1</v>
      </c>
      <c r="D259" s="15">
        <v>0</v>
      </c>
      <c r="E259" s="15">
        <v>2</v>
      </c>
      <c r="F259" s="15">
        <v>13</v>
      </c>
      <c r="G259" s="15" t="str" cm="1">
        <f t="array" ref="G259">_xlfn.IFS(AND(F259&gt;=5,F259&lt;12),"Morning",AND(F259&gt;=12,F259&lt;17),"AfterNoon",AND(F259&gt;=17,F259&lt;20),"Evening",TRUE,"Night")</f>
        <v>AfterNoon</v>
      </c>
      <c r="H259" s="15" t="b">
        <v>0</v>
      </c>
      <c r="I259" s="15">
        <v>2</v>
      </c>
      <c r="J259" s="15" t="str" cm="1">
        <f t="array" ref="J259">_xlfn.IFS(I259=0,"Saturday",I259=1,"Sunday",I259=2,"Monday",I259=3,"Tuesday",I259=4,"Wednesday",I259=5,"Thusday",I259=6,"Friday")</f>
        <v>Monday</v>
      </c>
      <c r="K259" s="15">
        <v>2</v>
      </c>
      <c r="L259" s="15">
        <v>0.24</v>
      </c>
      <c r="M259" s="15" t="str">
        <f t="shared" si="4"/>
        <v>Cloudy</v>
      </c>
      <c r="N259" s="15">
        <v>0.19700000000000001</v>
      </c>
      <c r="O259" s="15">
        <v>0.32</v>
      </c>
      <c r="P259" s="15">
        <v>0.44779999999999998</v>
      </c>
      <c r="Q259" s="15">
        <v>2</v>
      </c>
      <c r="R259" s="15">
        <v>48</v>
      </c>
      <c r="S259" s="15">
        <v>50</v>
      </c>
    </row>
    <row r="260" spans="1:19" x14ac:dyDescent="0.35">
      <c r="A260" s="15">
        <v>868</v>
      </c>
      <c r="B260" s="16">
        <v>40582</v>
      </c>
      <c r="C260" s="15">
        <v>1</v>
      </c>
      <c r="D260" s="15">
        <v>0</v>
      </c>
      <c r="E260" s="15">
        <v>2</v>
      </c>
      <c r="F260" s="15">
        <v>14</v>
      </c>
      <c r="G260" s="15" t="str" cm="1">
        <f t="array" ref="G260">_xlfn.IFS(AND(F260&gt;=5,F260&lt;12),"Morning",AND(F260&gt;=12,F260&lt;17),"AfterNoon",AND(F260&gt;=17,F260&lt;20),"Evening",TRUE,"Night")</f>
        <v>AfterNoon</v>
      </c>
      <c r="H260" s="15" t="b">
        <v>0</v>
      </c>
      <c r="I260" s="15">
        <v>2</v>
      </c>
      <c r="J260" s="15" t="str" cm="1">
        <f t="array" ref="J260">_xlfn.IFS(I260=0,"Saturday",I260=1,"Sunday",I260=2,"Monday",I260=3,"Tuesday",I260=4,"Wednesday",I260=5,"Thusday",I260=6,"Friday")</f>
        <v>Monday</v>
      </c>
      <c r="K260" s="15">
        <v>1</v>
      </c>
      <c r="L260" s="15">
        <v>0.22</v>
      </c>
      <c r="M260" s="15" t="str">
        <f t="shared" ref="M260:M323" si="5">IF(L260&lt;=0.1,"Stromy",IF(L260&lt;=0.2,"Rainy",IF(L260&lt;=0.3,"Cloudy","Sunny")))</f>
        <v>Cloudy</v>
      </c>
      <c r="N260" s="15">
        <v>0.19700000000000001</v>
      </c>
      <c r="O260" s="15">
        <v>0.37</v>
      </c>
      <c r="P260" s="15">
        <v>0.41789999999999999</v>
      </c>
      <c r="Q260" s="15">
        <v>3</v>
      </c>
      <c r="R260" s="15">
        <v>61</v>
      </c>
      <c r="S260" s="15">
        <v>64</v>
      </c>
    </row>
    <row r="261" spans="1:19" x14ac:dyDescent="0.35">
      <c r="A261" s="15">
        <v>869</v>
      </c>
      <c r="B261" s="16">
        <v>40582</v>
      </c>
      <c r="C261" s="15">
        <v>1</v>
      </c>
      <c r="D261" s="15">
        <v>0</v>
      </c>
      <c r="E261" s="15">
        <v>2</v>
      </c>
      <c r="F261" s="15">
        <v>15</v>
      </c>
      <c r="G261" s="15" t="str" cm="1">
        <f t="array" ref="G261">_xlfn.IFS(AND(F261&gt;=5,F261&lt;12),"Morning",AND(F261&gt;=12,F261&lt;17),"AfterNoon",AND(F261&gt;=17,F261&lt;20),"Evening",TRUE,"Night")</f>
        <v>AfterNoon</v>
      </c>
      <c r="H261" s="15" t="b">
        <v>0</v>
      </c>
      <c r="I261" s="15">
        <v>2</v>
      </c>
      <c r="J261" s="15" t="str" cm="1">
        <f t="array" ref="J261">_xlfn.IFS(I261=0,"Saturday",I261=1,"Sunday",I261=2,"Monday",I261=3,"Tuesday",I261=4,"Wednesday",I261=5,"Thusday",I261=6,"Friday")</f>
        <v>Monday</v>
      </c>
      <c r="K261" s="15">
        <v>1</v>
      </c>
      <c r="L261" s="15">
        <v>0.22</v>
      </c>
      <c r="M261" s="15" t="str">
        <f t="shared" si="5"/>
        <v>Cloudy</v>
      </c>
      <c r="N261" s="15">
        <v>0.19700000000000001</v>
      </c>
      <c r="O261" s="15">
        <v>0.35</v>
      </c>
      <c r="P261" s="15">
        <v>0.3881</v>
      </c>
      <c r="Q261" s="15">
        <v>6</v>
      </c>
      <c r="R261" s="15">
        <v>45</v>
      </c>
      <c r="S261" s="15">
        <v>51</v>
      </c>
    </row>
    <row r="262" spans="1:19" x14ac:dyDescent="0.35">
      <c r="A262" s="15">
        <v>870</v>
      </c>
      <c r="B262" s="16">
        <v>40582</v>
      </c>
      <c r="C262" s="15">
        <v>1</v>
      </c>
      <c r="D262" s="15">
        <v>0</v>
      </c>
      <c r="E262" s="15">
        <v>2</v>
      </c>
      <c r="F262" s="15">
        <v>16</v>
      </c>
      <c r="G262" s="15" t="str" cm="1">
        <f t="array" ref="G262">_xlfn.IFS(AND(F262&gt;=5,F262&lt;12),"Morning",AND(F262&gt;=12,F262&lt;17),"AfterNoon",AND(F262&gt;=17,F262&lt;20),"Evening",TRUE,"Night")</f>
        <v>AfterNoon</v>
      </c>
      <c r="H262" s="15" t="b">
        <v>0</v>
      </c>
      <c r="I262" s="15">
        <v>2</v>
      </c>
      <c r="J262" s="15" t="str" cm="1">
        <f t="array" ref="J262">_xlfn.IFS(I262=0,"Saturday",I262=1,"Sunday",I262=2,"Monday",I262=3,"Tuesday",I262=4,"Wednesday",I262=5,"Thusday",I262=6,"Friday")</f>
        <v>Monday</v>
      </c>
      <c r="K262" s="15">
        <v>1</v>
      </c>
      <c r="L262" s="15">
        <v>0.22</v>
      </c>
      <c r="M262" s="15" t="str">
        <f t="shared" si="5"/>
        <v>Cloudy</v>
      </c>
      <c r="N262" s="15">
        <v>0.18179999999999999</v>
      </c>
      <c r="O262" s="15">
        <v>0.35</v>
      </c>
      <c r="P262" s="15">
        <v>0.52239999999999998</v>
      </c>
      <c r="Q262" s="15">
        <v>4</v>
      </c>
      <c r="R262" s="15">
        <v>79</v>
      </c>
      <c r="S262" s="15">
        <v>83</v>
      </c>
    </row>
    <row r="263" spans="1:19" x14ac:dyDescent="0.35">
      <c r="A263" s="15">
        <v>871</v>
      </c>
      <c r="B263" s="16">
        <v>40582</v>
      </c>
      <c r="C263" s="15">
        <v>1</v>
      </c>
      <c r="D263" s="15">
        <v>0</v>
      </c>
      <c r="E263" s="15">
        <v>2</v>
      </c>
      <c r="F263" s="15">
        <v>17</v>
      </c>
      <c r="G263" s="15" t="str" cm="1">
        <f t="array" ref="G263">_xlfn.IFS(AND(F263&gt;=5,F263&lt;12),"Morning",AND(F263&gt;=12,F263&lt;17),"AfterNoon",AND(F263&gt;=17,F263&lt;20),"Evening",TRUE,"Night")</f>
        <v>Evening</v>
      </c>
      <c r="H263" s="15" t="b">
        <v>0</v>
      </c>
      <c r="I263" s="15">
        <v>2</v>
      </c>
      <c r="J263" s="15" t="str" cm="1">
        <f t="array" ref="J263">_xlfn.IFS(I263=0,"Saturday",I263=1,"Sunday",I263=2,"Monday",I263=3,"Tuesday",I263=4,"Wednesday",I263=5,"Thusday",I263=6,"Friday")</f>
        <v>Monday</v>
      </c>
      <c r="K263" s="15">
        <v>1</v>
      </c>
      <c r="L263" s="15">
        <v>0.22</v>
      </c>
      <c r="M263" s="15" t="str">
        <f t="shared" si="5"/>
        <v>Cloudy</v>
      </c>
      <c r="N263" s="15">
        <v>0.18179999999999999</v>
      </c>
      <c r="O263" s="15">
        <v>0.32</v>
      </c>
      <c r="P263" s="15">
        <v>0.58209999999999995</v>
      </c>
      <c r="Q263" s="15">
        <v>4</v>
      </c>
      <c r="R263" s="15">
        <v>172</v>
      </c>
      <c r="S263" s="15">
        <v>176</v>
      </c>
    </row>
    <row r="264" spans="1:19" x14ac:dyDescent="0.35">
      <c r="A264" s="15">
        <v>872</v>
      </c>
      <c r="B264" s="16">
        <v>40582</v>
      </c>
      <c r="C264" s="15">
        <v>1</v>
      </c>
      <c r="D264" s="15">
        <v>0</v>
      </c>
      <c r="E264" s="15">
        <v>2</v>
      </c>
      <c r="F264" s="15">
        <v>18</v>
      </c>
      <c r="G264" s="15" t="str" cm="1">
        <f t="array" ref="G264">_xlfn.IFS(AND(F264&gt;=5,F264&lt;12),"Morning",AND(F264&gt;=12,F264&lt;17),"AfterNoon",AND(F264&gt;=17,F264&lt;20),"Evening",TRUE,"Night")</f>
        <v>Evening</v>
      </c>
      <c r="H264" s="15" t="b">
        <v>0</v>
      </c>
      <c r="I264" s="15">
        <v>2</v>
      </c>
      <c r="J264" s="15" t="str" cm="1">
        <f t="array" ref="J264">_xlfn.IFS(I264=0,"Saturday",I264=1,"Sunday",I264=2,"Monday",I264=3,"Tuesday",I264=4,"Wednesday",I264=5,"Thusday",I264=6,"Friday")</f>
        <v>Monday</v>
      </c>
      <c r="K264" s="15">
        <v>1</v>
      </c>
      <c r="L264" s="15">
        <v>0.2</v>
      </c>
      <c r="M264" s="15" t="str">
        <f t="shared" si="5"/>
        <v>Rainy</v>
      </c>
      <c r="N264" s="15">
        <v>0.18179999999999999</v>
      </c>
      <c r="O264" s="15">
        <v>0.32</v>
      </c>
      <c r="P264" s="15">
        <v>0.3881</v>
      </c>
      <c r="Q264" s="15">
        <v>1</v>
      </c>
      <c r="R264" s="15">
        <v>151</v>
      </c>
      <c r="S264" s="15">
        <v>152</v>
      </c>
    </row>
    <row r="265" spans="1:19" x14ac:dyDescent="0.35">
      <c r="A265" s="15">
        <v>873</v>
      </c>
      <c r="B265" s="16">
        <v>40582</v>
      </c>
      <c r="C265" s="15">
        <v>1</v>
      </c>
      <c r="D265" s="15">
        <v>0</v>
      </c>
      <c r="E265" s="15">
        <v>2</v>
      </c>
      <c r="F265" s="15">
        <v>19</v>
      </c>
      <c r="G265" s="15" t="str" cm="1">
        <f t="array" ref="G265">_xlfn.IFS(AND(F265&gt;=5,F265&lt;12),"Morning",AND(F265&gt;=12,F265&lt;17),"AfterNoon",AND(F265&gt;=17,F265&lt;20),"Evening",TRUE,"Night")</f>
        <v>Evening</v>
      </c>
      <c r="H265" s="15" t="b">
        <v>0</v>
      </c>
      <c r="I265" s="15">
        <v>2</v>
      </c>
      <c r="J265" s="15" t="str" cm="1">
        <f t="array" ref="J265">_xlfn.IFS(I265=0,"Saturday",I265=1,"Sunday",I265=2,"Monday",I265=3,"Tuesday",I265=4,"Wednesday",I265=5,"Thusday",I265=6,"Friday")</f>
        <v>Monday</v>
      </c>
      <c r="K265" s="15">
        <v>1</v>
      </c>
      <c r="L265" s="15">
        <v>0.16</v>
      </c>
      <c r="M265" s="15" t="str">
        <f t="shared" si="5"/>
        <v>Rainy</v>
      </c>
      <c r="N265" s="15">
        <v>0.1212</v>
      </c>
      <c r="O265" s="15">
        <v>0.4</v>
      </c>
      <c r="P265" s="15">
        <v>0.4627</v>
      </c>
      <c r="Q265" s="15">
        <v>1</v>
      </c>
      <c r="R265" s="15">
        <v>100</v>
      </c>
      <c r="S265" s="15">
        <v>101</v>
      </c>
    </row>
    <row r="266" spans="1:19" x14ac:dyDescent="0.35">
      <c r="A266" s="15">
        <v>874</v>
      </c>
      <c r="B266" s="16">
        <v>40582</v>
      </c>
      <c r="C266" s="15">
        <v>1</v>
      </c>
      <c r="D266" s="15">
        <v>0</v>
      </c>
      <c r="E266" s="15">
        <v>2</v>
      </c>
      <c r="F266" s="15">
        <v>20</v>
      </c>
      <c r="G266" s="15" t="str" cm="1">
        <f t="array" ref="G266">_xlfn.IFS(AND(F266&gt;=5,F266&lt;12),"Morning",AND(F266&gt;=12,F266&lt;17),"AfterNoon",AND(F266&gt;=17,F266&lt;20),"Evening",TRUE,"Night")</f>
        <v>Night</v>
      </c>
      <c r="H266" s="15" t="b">
        <v>0</v>
      </c>
      <c r="I266" s="15">
        <v>2</v>
      </c>
      <c r="J266" s="15" t="str" cm="1">
        <f t="array" ref="J266">_xlfn.IFS(I266=0,"Saturday",I266=1,"Sunday",I266=2,"Monday",I266=3,"Tuesday",I266=4,"Wednesday",I266=5,"Thusday",I266=6,"Friday")</f>
        <v>Monday</v>
      </c>
      <c r="K266" s="15">
        <v>1</v>
      </c>
      <c r="L266" s="15">
        <v>0.16</v>
      </c>
      <c r="M266" s="15" t="str">
        <f t="shared" si="5"/>
        <v>Rainy</v>
      </c>
      <c r="N266" s="15">
        <v>0.13639999999999999</v>
      </c>
      <c r="O266" s="15">
        <v>0.4</v>
      </c>
      <c r="P266" s="15">
        <v>0.32840000000000003</v>
      </c>
      <c r="Q266" s="15">
        <v>3</v>
      </c>
      <c r="R266" s="15">
        <v>53</v>
      </c>
      <c r="S266" s="15">
        <v>56</v>
      </c>
    </row>
    <row r="267" spans="1:19" x14ac:dyDescent="0.35">
      <c r="A267" s="15">
        <v>875</v>
      </c>
      <c r="B267" s="16">
        <v>40582</v>
      </c>
      <c r="C267" s="15">
        <v>1</v>
      </c>
      <c r="D267" s="15">
        <v>0</v>
      </c>
      <c r="E267" s="15">
        <v>2</v>
      </c>
      <c r="F267" s="15">
        <v>21</v>
      </c>
      <c r="G267" s="15" t="str" cm="1">
        <f t="array" ref="G267">_xlfn.IFS(AND(F267&gt;=5,F267&lt;12),"Morning",AND(F267&gt;=12,F267&lt;17),"AfterNoon",AND(F267&gt;=17,F267&lt;20),"Evening",TRUE,"Night")</f>
        <v>Night</v>
      </c>
      <c r="H267" s="15" t="b">
        <v>0</v>
      </c>
      <c r="I267" s="15">
        <v>2</v>
      </c>
      <c r="J267" s="15" t="str" cm="1">
        <f t="array" ref="J267">_xlfn.IFS(I267=0,"Saturday",I267=1,"Sunday",I267=2,"Monday",I267=3,"Tuesday",I267=4,"Wednesday",I267=5,"Thusday",I267=6,"Friday")</f>
        <v>Monday</v>
      </c>
      <c r="K267" s="15">
        <v>1</v>
      </c>
      <c r="L267" s="15">
        <v>0.14000000000000001</v>
      </c>
      <c r="M267" s="15" t="str">
        <f t="shared" si="5"/>
        <v>Rainy</v>
      </c>
      <c r="N267" s="15">
        <v>0.1061</v>
      </c>
      <c r="O267" s="15">
        <v>0.33</v>
      </c>
      <c r="P267" s="15">
        <v>0.4627</v>
      </c>
      <c r="Q267" s="15">
        <v>8</v>
      </c>
      <c r="R267" s="15">
        <v>46</v>
      </c>
      <c r="S267" s="15">
        <v>54</v>
      </c>
    </row>
    <row r="268" spans="1:19" x14ac:dyDescent="0.35">
      <c r="A268" s="15">
        <v>876</v>
      </c>
      <c r="B268" s="16">
        <v>40582</v>
      </c>
      <c r="C268" s="15">
        <v>1</v>
      </c>
      <c r="D268" s="15">
        <v>0</v>
      </c>
      <c r="E268" s="15">
        <v>2</v>
      </c>
      <c r="F268" s="15">
        <v>22</v>
      </c>
      <c r="G268" s="15" t="str" cm="1">
        <f t="array" ref="G268">_xlfn.IFS(AND(F268&gt;=5,F268&lt;12),"Morning",AND(F268&gt;=12,F268&lt;17),"AfterNoon",AND(F268&gt;=17,F268&lt;20),"Evening",TRUE,"Night")</f>
        <v>Night</v>
      </c>
      <c r="H268" s="15" t="b">
        <v>0</v>
      </c>
      <c r="I268" s="15">
        <v>2</v>
      </c>
      <c r="J268" s="15" t="str" cm="1">
        <f t="array" ref="J268">_xlfn.IFS(I268=0,"Saturday",I268=1,"Sunday",I268=2,"Monday",I268=3,"Tuesday",I268=4,"Wednesday",I268=5,"Thusday",I268=6,"Friday")</f>
        <v>Monday</v>
      </c>
      <c r="K268" s="15">
        <v>1</v>
      </c>
      <c r="L268" s="15">
        <v>0.12</v>
      </c>
      <c r="M268" s="15" t="str">
        <f t="shared" si="5"/>
        <v>Rainy</v>
      </c>
      <c r="N268" s="15">
        <v>0.1061</v>
      </c>
      <c r="O268" s="15">
        <v>0.33</v>
      </c>
      <c r="P268" s="15">
        <v>0.35820000000000002</v>
      </c>
      <c r="Q268" s="15">
        <v>0</v>
      </c>
      <c r="R268" s="15">
        <v>29</v>
      </c>
      <c r="S268" s="15">
        <v>29</v>
      </c>
    </row>
    <row r="269" spans="1:19" x14ac:dyDescent="0.35">
      <c r="A269" s="15">
        <v>877</v>
      </c>
      <c r="B269" s="16">
        <v>40582</v>
      </c>
      <c r="C269" s="15">
        <v>1</v>
      </c>
      <c r="D269" s="15">
        <v>0</v>
      </c>
      <c r="E269" s="15">
        <v>2</v>
      </c>
      <c r="F269" s="15">
        <v>23</v>
      </c>
      <c r="G269" s="15" t="str" cm="1">
        <f t="array" ref="G269">_xlfn.IFS(AND(F269&gt;=5,F269&lt;12),"Morning",AND(F269&gt;=12,F269&lt;17),"AfterNoon",AND(F269&gt;=17,F269&lt;20),"Evening",TRUE,"Night")</f>
        <v>Night</v>
      </c>
      <c r="H269" s="15" t="b">
        <v>0</v>
      </c>
      <c r="I269" s="15">
        <v>2</v>
      </c>
      <c r="J269" s="15" t="str" cm="1">
        <f t="array" ref="J269">_xlfn.IFS(I269=0,"Saturday",I269=1,"Sunday",I269=2,"Monday",I269=3,"Tuesday",I269=4,"Wednesday",I269=5,"Thusday",I269=6,"Friday")</f>
        <v>Monday</v>
      </c>
      <c r="K269" s="15">
        <v>1</v>
      </c>
      <c r="L269" s="15">
        <v>0.12</v>
      </c>
      <c r="M269" s="15" t="str">
        <f t="shared" si="5"/>
        <v>Rainy</v>
      </c>
      <c r="N269" s="15">
        <v>0.1061</v>
      </c>
      <c r="O269" s="15">
        <v>0.33</v>
      </c>
      <c r="P269" s="15">
        <v>0.32840000000000003</v>
      </c>
      <c r="Q269" s="15">
        <v>3</v>
      </c>
      <c r="R269" s="15">
        <v>9</v>
      </c>
      <c r="S269" s="15">
        <v>12</v>
      </c>
    </row>
    <row r="270" spans="1:19" x14ac:dyDescent="0.35">
      <c r="A270" s="15">
        <v>878</v>
      </c>
      <c r="B270" s="16">
        <v>40583</v>
      </c>
      <c r="C270" s="15">
        <v>1</v>
      </c>
      <c r="D270" s="15">
        <v>0</v>
      </c>
      <c r="E270" s="15">
        <v>2</v>
      </c>
      <c r="F270" s="15">
        <v>0</v>
      </c>
      <c r="G270" s="15" t="str" cm="1">
        <f t="array" ref="G270">_xlfn.IFS(AND(F270&gt;=5,F270&lt;12),"Morning",AND(F270&gt;=12,F270&lt;17),"AfterNoon",AND(F270&gt;=17,F270&lt;20),"Evening",TRUE,"Night")</f>
        <v>Night</v>
      </c>
      <c r="H270" s="15" t="b">
        <v>0</v>
      </c>
      <c r="I270" s="15">
        <v>3</v>
      </c>
      <c r="J270" s="15" t="str" cm="1">
        <f t="array" ref="J270">_xlfn.IFS(I270=0,"Saturday",I270=1,"Sunday",I270=2,"Monday",I270=3,"Tuesday",I270=4,"Wednesday",I270=5,"Thusday",I270=6,"Friday")</f>
        <v>Tuesday</v>
      </c>
      <c r="K270" s="15">
        <v>1</v>
      </c>
      <c r="L270" s="15">
        <v>0.1</v>
      </c>
      <c r="M270" s="15" t="str">
        <f t="shared" si="5"/>
        <v>Stromy</v>
      </c>
      <c r="N270" s="15">
        <v>7.5800000000000006E-2</v>
      </c>
      <c r="O270" s="15">
        <v>0.36</v>
      </c>
      <c r="P270" s="15">
        <v>0.35820000000000002</v>
      </c>
      <c r="Q270" s="15">
        <v>0</v>
      </c>
      <c r="R270" s="15">
        <v>17</v>
      </c>
      <c r="S270" s="15">
        <v>17</v>
      </c>
    </row>
    <row r="271" spans="1:19" x14ac:dyDescent="0.35">
      <c r="A271" s="15">
        <v>879</v>
      </c>
      <c r="B271" s="16">
        <v>40583</v>
      </c>
      <c r="C271" s="15">
        <v>1</v>
      </c>
      <c r="D271" s="15">
        <v>0</v>
      </c>
      <c r="E271" s="15">
        <v>2</v>
      </c>
      <c r="F271" s="15">
        <v>1</v>
      </c>
      <c r="G271" s="15" t="str" cm="1">
        <f t="array" ref="G271">_xlfn.IFS(AND(F271&gt;=5,F271&lt;12),"Morning",AND(F271&gt;=12,F271&lt;17),"AfterNoon",AND(F271&gt;=17,F271&lt;20),"Evening",TRUE,"Night")</f>
        <v>Night</v>
      </c>
      <c r="H271" s="15" t="b">
        <v>0</v>
      </c>
      <c r="I271" s="15">
        <v>3</v>
      </c>
      <c r="J271" s="15" t="str" cm="1">
        <f t="array" ref="J271">_xlfn.IFS(I271=0,"Saturday",I271=1,"Sunday",I271=2,"Monday",I271=3,"Tuesday",I271=4,"Wednesday",I271=5,"Thusday",I271=6,"Friday")</f>
        <v>Tuesday</v>
      </c>
      <c r="K271" s="15">
        <v>1</v>
      </c>
      <c r="L271" s="15">
        <v>0.1</v>
      </c>
      <c r="M271" s="15" t="str">
        <f t="shared" si="5"/>
        <v>Stromy</v>
      </c>
      <c r="N271" s="15">
        <v>0.1061</v>
      </c>
      <c r="O271" s="15">
        <v>0.36</v>
      </c>
      <c r="P271" s="15">
        <v>0.22389999999999999</v>
      </c>
      <c r="Q271" s="15">
        <v>0</v>
      </c>
      <c r="R271" s="15">
        <v>7</v>
      </c>
      <c r="S271" s="15">
        <v>7</v>
      </c>
    </row>
    <row r="272" spans="1:19" x14ac:dyDescent="0.35">
      <c r="A272" s="15">
        <v>880</v>
      </c>
      <c r="B272" s="16">
        <v>40583</v>
      </c>
      <c r="C272" s="15">
        <v>1</v>
      </c>
      <c r="D272" s="15">
        <v>0</v>
      </c>
      <c r="E272" s="15">
        <v>2</v>
      </c>
      <c r="F272" s="15">
        <v>2</v>
      </c>
      <c r="G272" s="15" t="str" cm="1">
        <f t="array" ref="G272">_xlfn.IFS(AND(F272&gt;=5,F272&lt;12),"Morning",AND(F272&gt;=12,F272&lt;17),"AfterNoon",AND(F272&gt;=17,F272&lt;20),"Evening",TRUE,"Night")</f>
        <v>Night</v>
      </c>
      <c r="H272" s="15" t="b">
        <v>0</v>
      </c>
      <c r="I272" s="15">
        <v>3</v>
      </c>
      <c r="J272" s="15" t="str" cm="1">
        <f t="array" ref="J272">_xlfn.IFS(I272=0,"Saturday",I272=1,"Sunday",I272=2,"Monday",I272=3,"Tuesday",I272=4,"Wednesday",I272=5,"Thusday",I272=6,"Friday")</f>
        <v>Tuesday</v>
      </c>
      <c r="K272" s="15">
        <v>1</v>
      </c>
      <c r="L272" s="15">
        <v>0.08</v>
      </c>
      <c r="M272" s="15" t="str">
        <f t="shared" si="5"/>
        <v>Stromy</v>
      </c>
      <c r="N272" s="15">
        <v>7.5800000000000006E-2</v>
      </c>
      <c r="O272" s="15">
        <v>0.38</v>
      </c>
      <c r="P272" s="15">
        <v>0.28360000000000002</v>
      </c>
      <c r="Q272" s="15">
        <v>1</v>
      </c>
      <c r="R272" s="15">
        <v>2</v>
      </c>
      <c r="S272" s="15">
        <v>3</v>
      </c>
    </row>
    <row r="273" spans="1:19" x14ac:dyDescent="0.35">
      <c r="A273" s="15">
        <v>881</v>
      </c>
      <c r="B273" s="16">
        <v>40583</v>
      </c>
      <c r="C273" s="15">
        <v>1</v>
      </c>
      <c r="D273" s="15">
        <v>0</v>
      </c>
      <c r="E273" s="15">
        <v>2</v>
      </c>
      <c r="F273" s="15">
        <v>3</v>
      </c>
      <c r="G273" s="15" t="str" cm="1">
        <f t="array" ref="G273">_xlfn.IFS(AND(F273&gt;=5,F273&lt;12),"Morning",AND(F273&gt;=12,F273&lt;17),"AfterNoon",AND(F273&gt;=17,F273&lt;20),"Evening",TRUE,"Night")</f>
        <v>Night</v>
      </c>
      <c r="H273" s="15" t="b">
        <v>0</v>
      </c>
      <c r="I273" s="15">
        <v>3</v>
      </c>
      <c r="J273" s="15" t="str" cm="1">
        <f t="array" ref="J273">_xlfn.IFS(I273=0,"Saturday",I273=1,"Sunday",I273=2,"Monday",I273=3,"Tuesday",I273=4,"Wednesday",I273=5,"Thusday",I273=6,"Friday")</f>
        <v>Tuesday</v>
      </c>
      <c r="K273" s="15">
        <v>1</v>
      </c>
      <c r="L273" s="15">
        <v>0.06</v>
      </c>
      <c r="M273" s="15" t="str">
        <f t="shared" si="5"/>
        <v>Stromy</v>
      </c>
      <c r="N273" s="15">
        <v>7.5800000000000006E-2</v>
      </c>
      <c r="O273" s="15">
        <v>0.45</v>
      </c>
      <c r="P273" s="15">
        <v>0.1343</v>
      </c>
      <c r="Q273" s="15">
        <v>0</v>
      </c>
      <c r="R273" s="15">
        <v>2</v>
      </c>
      <c r="S273" s="15">
        <v>2</v>
      </c>
    </row>
    <row r="274" spans="1:19" x14ac:dyDescent="0.35">
      <c r="A274" s="15">
        <v>882</v>
      </c>
      <c r="B274" s="16">
        <v>40583</v>
      </c>
      <c r="C274" s="15">
        <v>1</v>
      </c>
      <c r="D274" s="15">
        <v>0</v>
      </c>
      <c r="E274" s="15">
        <v>2</v>
      </c>
      <c r="F274" s="15">
        <v>5</v>
      </c>
      <c r="G274" s="15" t="str" cm="1">
        <f t="array" ref="G274">_xlfn.IFS(AND(F274&gt;=5,F274&lt;12),"Morning",AND(F274&gt;=12,F274&lt;17),"AfterNoon",AND(F274&gt;=17,F274&lt;20),"Evening",TRUE,"Night")</f>
        <v>Morning</v>
      </c>
      <c r="H274" s="15" t="b">
        <v>0</v>
      </c>
      <c r="I274" s="15">
        <v>3</v>
      </c>
      <c r="J274" s="15" t="str" cm="1">
        <f t="array" ref="J274">_xlfn.IFS(I274=0,"Saturday",I274=1,"Sunday",I274=2,"Monday",I274=3,"Tuesday",I274=4,"Wednesday",I274=5,"Thusday",I274=6,"Friday")</f>
        <v>Tuesday</v>
      </c>
      <c r="K274" s="15">
        <v>1</v>
      </c>
      <c r="L274" s="15">
        <v>0.06</v>
      </c>
      <c r="M274" s="15" t="str">
        <f t="shared" si="5"/>
        <v>Stromy</v>
      </c>
      <c r="N274" s="15">
        <v>0.1061</v>
      </c>
      <c r="O274" s="15">
        <v>0.45</v>
      </c>
      <c r="P274" s="15">
        <v>0.1045</v>
      </c>
      <c r="Q274" s="15">
        <v>0</v>
      </c>
      <c r="R274" s="15">
        <v>7</v>
      </c>
      <c r="S274" s="15">
        <v>7</v>
      </c>
    </row>
    <row r="275" spans="1:19" x14ac:dyDescent="0.35">
      <c r="A275" s="15">
        <v>883</v>
      </c>
      <c r="B275" s="16">
        <v>40583</v>
      </c>
      <c r="C275" s="15">
        <v>1</v>
      </c>
      <c r="D275" s="15">
        <v>0</v>
      </c>
      <c r="E275" s="15">
        <v>2</v>
      </c>
      <c r="F275" s="15">
        <v>6</v>
      </c>
      <c r="G275" s="15" t="str" cm="1">
        <f t="array" ref="G275">_xlfn.IFS(AND(F275&gt;=5,F275&lt;12),"Morning",AND(F275&gt;=12,F275&lt;17),"AfterNoon",AND(F275&gt;=17,F275&lt;20),"Evening",TRUE,"Night")</f>
        <v>Morning</v>
      </c>
      <c r="H275" s="15" t="b">
        <v>0</v>
      </c>
      <c r="I275" s="15">
        <v>3</v>
      </c>
      <c r="J275" s="15" t="str" cm="1">
        <f t="array" ref="J275">_xlfn.IFS(I275=0,"Saturday",I275=1,"Sunday",I275=2,"Monday",I275=3,"Tuesday",I275=4,"Wednesday",I275=5,"Thusday",I275=6,"Friday")</f>
        <v>Tuesday</v>
      </c>
      <c r="K275" s="15">
        <v>1</v>
      </c>
      <c r="L275" s="15">
        <v>0.06</v>
      </c>
      <c r="M275" s="15" t="str">
        <f t="shared" si="5"/>
        <v>Stromy</v>
      </c>
      <c r="N275" s="15">
        <v>0.1515</v>
      </c>
      <c r="O275" s="15">
        <v>0.45</v>
      </c>
      <c r="P275" s="15">
        <v>0</v>
      </c>
      <c r="Q275" s="15">
        <v>0</v>
      </c>
      <c r="R275" s="15">
        <v>43</v>
      </c>
      <c r="S275" s="15">
        <v>43</v>
      </c>
    </row>
    <row r="276" spans="1:19" x14ac:dyDescent="0.35">
      <c r="A276" s="15">
        <v>884</v>
      </c>
      <c r="B276" s="16">
        <v>40583</v>
      </c>
      <c r="C276" s="15">
        <v>1</v>
      </c>
      <c r="D276" s="15">
        <v>0</v>
      </c>
      <c r="E276" s="15">
        <v>2</v>
      </c>
      <c r="F276" s="15">
        <v>7</v>
      </c>
      <c r="G276" s="15" t="str" cm="1">
        <f t="array" ref="G276">_xlfn.IFS(AND(F276&gt;=5,F276&lt;12),"Morning",AND(F276&gt;=12,F276&lt;17),"AfterNoon",AND(F276&gt;=17,F276&lt;20),"Evening",TRUE,"Night")</f>
        <v>Morning</v>
      </c>
      <c r="H276" s="15" t="b">
        <v>0</v>
      </c>
      <c r="I276" s="15">
        <v>3</v>
      </c>
      <c r="J276" s="15" t="str" cm="1">
        <f t="array" ref="J276">_xlfn.IFS(I276=0,"Saturday",I276=1,"Sunday",I276=2,"Monday",I276=3,"Tuesday",I276=4,"Wednesday",I276=5,"Thusday",I276=6,"Friday")</f>
        <v>Tuesday</v>
      </c>
      <c r="K276" s="15">
        <v>1</v>
      </c>
      <c r="L276" s="15">
        <v>0.06</v>
      </c>
      <c r="M276" s="15" t="str">
        <f t="shared" si="5"/>
        <v>Stromy</v>
      </c>
      <c r="N276" s="15">
        <v>0.1061</v>
      </c>
      <c r="O276" s="15">
        <v>0.49</v>
      </c>
      <c r="P276" s="15">
        <v>0.1045</v>
      </c>
      <c r="Q276" s="15">
        <v>4</v>
      </c>
      <c r="R276" s="15">
        <v>95</v>
      </c>
      <c r="S276" s="15">
        <v>99</v>
      </c>
    </row>
    <row r="277" spans="1:19" x14ac:dyDescent="0.35">
      <c r="A277" s="15">
        <v>885</v>
      </c>
      <c r="B277" s="16">
        <v>40583</v>
      </c>
      <c r="C277" s="15">
        <v>1</v>
      </c>
      <c r="D277" s="15">
        <v>0</v>
      </c>
      <c r="E277" s="15">
        <v>2</v>
      </c>
      <c r="F277" s="15">
        <v>8</v>
      </c>
      <c r="G277" s="15" t="str" cm="1">
        <f t="array" ref="G277">_xlfn.IFS(AND(F277&gt;=5,F277&lt;12),"Morning",AND(F277&gt;=12,F277&lt;17),"AfterNoon",AND(F277&gt;=17,F277&lt;20),"Evening",TRUE,"Night")</f>
        <v>Morning</v>
      </c>
      <c r="H277" s="15" t="b">
        <v>0</v>
      </c>
      <c r="I277" s="15">
        <v>3</v>
      </c>
      <c r="J277" s="15" t="str" cm="1">
        <f t="array" ref="J277">_xlfn.IFS(I277=0,"Saturday",I277=1,"Sunday",I277=2,"Monday",I277=3,"Tuesday",I277=4,"Wednesday",I277=5,"Thusday",I277=6,"Friday")</f>
        <v>Tuesday</v>
      </c>
      <c r="K277" s="15">
        <v>1</v>
      </c>
      <c r="L277" s="15">
        <v>0.1</v>
      </c>
      <c r="M277" s="15" t="str">
        <f t="shared" si="5"/>
        <v>Stromy</v>
      </c>
      <c r="N277" s="15">
        <v>0.13639999999999999</v>
      </c>
      <c r="O277" s="15">
        <v>0.42</v>
      </c>
      <c r="P277" s="15">
        <v>0</v>
      </c>
      <c r="Q277" s="15">
        <v>1</v>
      </c>
      <c r="R277" s="15">
        <v>198</v>
      </c>
      <c r="S277" s="15">
        <v>199</v>
      </c>
    </row>
    <row r="278" spans="1:19" x14ac:dyDescent="0.35">
      <c r="A278" s="15">
        <v>886</v>
      </c>
      <c r="B278" s="16">
        <v>40583</v>
      </c>
      <c r="C278" s="15">
        <v>1</v>
      </c>
      <c r="D278" s="15">
        <v>0</v>
      </c>
      <c r="E278" s="15">
        <v>2</v>
      </c>
      <c r="F278" s="15">
        <v>9</v>
      </c>
      <c r="G278" s="15" t="str" cm="1">
        <f t="array" ref="G278">_xlfn.IFS(AND(F278&gt;=5,F278&lt;12),"Morning",AND(F278&gt;=12,F278&lt;17),"AfterNoon",AND(F278&gt;=17,F278&lt;20),"Evening",TRUE,"Night")</f>
        <v>Morning</v>
      </c>
      <c r="H278" s="15" t="b">
        <v>0</v>
      </c>
      <c r="I278" s="15">
        <v>3</v>
      </c>
      <c r="J278" s="15" t="str" cm="1">
        <f t="array" ref="J278">_xlfn.IFS(I278=0,"Saturday",I278=1,"Sunday",I278=2,"Monday",I278=3,"Tuesday",I278=4,"Wednesday",I278=5,"Thusday",I278=6,"Friday")</f>
        <v>Tuesday</v>
      </c>
      <c r="K278" s="15">
        <v>1</v>
      </c>
      <c r="L278" s="15">
        <v>0.12</v>
      </c>
      <c r="M278" s="15" t="str">
        <f t="shared" si="5"/>
        <v>Rainy</v>
      </c>
      <c r="N278" s="15">
        <v>0.13639999999999999</v>
      </c>
      <c r="O278" s="15">
        <v>0.39</v>
      </c>
      <c r="P278" s="15">
        <v>0.16420000000000001</v>
      </c>
      <c r="Q278" s="15">
        <v>4</v>
      </c>
      <c r="R278" s="15">
        <v>119</v>
      </c>
      <c r="S278" s="15">
        <v>123</v>
      </c>
    </row>
    <row r="279" spans="1:19" x14ac:dyDescent="0.35">
      <c r="A279" s="15">
        <v>887</v>
      </c>
      <c r="B279" s="16">
        <v>40583</v>
      </c>
      <c r="C279" s="15">
        <v>1</v>
      </c>
      <c r="D279" s="15">
        <v>0</v>
      </c>
      <c r="E279" s="15">
        <v>2</v>
      </c>
      <c r="F279" s="15">
        <v>10</v>
      </c>
      <c r="G279" s="15" t="str" cm="1">
        <f t="array" ref="G279">_xlfn.IFS(AND(F279&gt;=5,F279&lt;12),"Morning",AND(F279&gt;=12,F279&lt;17),"AfterNoon",AND(F279&gt;=17,F279&lt;20),"Evening",TRUE,"Night")</f>
        <v>Morning</v>
      </c>
      <c r="H279" s="15" t="b">
        <v>0</v>
      </c>
      <c r="I279" s="15">
        <v>3</v>
      </c>
      <c r="J279" s="15" t="str" cm="1">
        <f t="array" ref="J279">_xlfn.IFS(I279=0,"Saturday",I279=1,"Sunday",I279=2,"Monday",I279=3,"Tuesday",I279=4,"Wednesday",I279=5,"Thusday",I279=6,"Friday")</f>
        <v>Tuesday</v>
      </c>
      <c r="K279" s="15">
        <v>1</v>
      </c>
      <c r="L279" s="15">
        <v>0.14000000000000001</v>
      </c>
      <c r="M279" s="15" t="str">
        <f t="shared" si="5"/>
        <v>Rainy</v>
      </c>
      <c r="N279" s="15">
        <v>0.18179999999999999</v>
      </c>
      <c r="O279" s="15">
        <v>0.36</v>
      </c>
      <c r="P279" s="15">
        <v>0</v>
      </c>
      <c r="Q279" s="15">
        <v>8</v>
      </c>
      <c r="R279" s="15">
        <v>51</v>
      </c>
      <c r="S279" s="15">
        <v>59</v>
      </c>
    </row>
    <row r="280" spans="1:19" x14ac:dyDescent="0.35">
      <c r="A280" s="15">
        <v>888</v>
      </c>
      <c r="B280" s="16">
        <v>40583</v>
      </c>
      <c r="C280" s="15">
        <v>1</v>
      </c>
      <c r="D280" s="15">
        <v>0</v>
      </c>
      <c r="E280" s="15">
        <v>2</v>
      </c>
      <c r="F280" s="15">
        <v>11</v>
      </c>
      <c r="G280" s="15" t="str" cm="1">
        <f t="array" ref="G280">_xlfn.IFS(AND(F280&gt;=5,F280&lt;12),"Morning",AND(F280&gt;=12,F280&lt;17),"AfterNoon",AND(F280&gt;=17,F280&lt;20),"Evening",TRUE,"Night")</f>
        <v>Morning</v>
      </c>
      <c r="H280" s="15" t="b">
        <v>0</v>
      </c>
      <c r="I280" s="15">
        <v>3</v>
      </c>
      <c r="J280" s="15" t="str" cm="1">
        <f t="array" ref="J280">_xlfn.IFS(I280=0,"Saturday",I280=1,"Sunday",I280=2,"Monday",I280=3,"Tuesday",I280=4,"Wednesday",I280=5,"Thusday",I280=6,"Friday")</f>
        <v>Tuesday</v>
      </c>
      <c r="K280" s="15">
        <v>2</v>
      </c>
      <c r="L280" s="15">
        <v>0.14000000000000001</v>
      </c>
      <c r="M280" s="15" t="str">
        <f t="shared" si="5"/>
        <v>Rainy</v>
      </c>
      <c r="N280" s="15">
        <v>0.1515</v>
      </c>
      <c r="O280" s="15">
        <v>0.43</v>
      </c>
      <c r="P280" s="15">
        <v>0.16420000000000001</v>
      </c>
      <c r="Q280" s="15">
        <v>1</v>
      </c>
      <c r="R280" s="15">
        <v>40</v>
      </c>
      <c r="S280" s="15">
        <v>41</v>
      </c>
    </row>
    <row r="281" spans="1:19" x14ac:dyDescent="0.35">
      <c r="A281" s="15">
        <v>889</v>
      </c>
      <c r="B281" s="16">
        <v>40583</v>
      </c>
      <c r="C281" s="15">
        <v>1</v>
      </c>
      <c r="D281" s="15">
        <v>0</v>
      </c>
      <c r="E281" s="15">
        <v>2</v>
      </c>
      <c r="F281" s="15">
        <v>12</v>
      </c>
      <c r="G281" s="15" t="str" cm="1">
        <f t="array" ref="G281">_xlfn.IFS(AND(F281&gt;=5,F281&lt;12),"Morning",AND(F281&gt;=12,F281&lt;17),"AfterNoon",AND(F281&gt;=17,F281&lt;20),"Evening",TRUE,"Night")</f>
        <v>AfterNoon</v>
      </c>
      <c r="H281" s="15" t="b">
        <v>0</v>
      </c>
      <c r="I281" s="15">
        <v>3</v>
      </c>
      <c r="J281" s="15" t="str" cm="1">
        <f t="array" ref="J281">_xlfn.IFS(I281=0,"Saturday",I281=1,"Sunday",I281=2,"Monday",I281=3,"Tuesday",I281=4,"Wednesday",I281=5,"Thusday",I281=6,"Friday")</f>
        <v>Tuesday</v>
      </c>
      <c r="K281" s="15">
        <v>2</v>
      </c>
      <c r="L281" s="15">
        <v>0.18</v>
      </c>
      <c r="M281" s="15" t="str">
        <f t="shared" si="5"/>
        <v>Rainy</v>
      </c>
      <c r="N281" s="15">
        <v>0.18179999999999999</v>
      </c>
      <c r="O281" s="15">
        <v>0.4</v>
      </c>
      <c r="P281" s="15">
        <v>0.22389999999999999</v>
      </c>
      <c r="Q281" s="15">
        <v>4</v>
      </c>
      <c r="R281" s="15">
        <v>57</v>
      </c>
      <c r="S281" s="15">
        <v>61</v>
      </c>
    </row>
    <row r="282" spans="1:19" x14ac:dyDescent="0.35">
      <c r="A282" s="15">
        <v>890</v>
      </c>
      <c r="B282" s="16">
        <v>40583</v>
      </c>
      <c r="C282" s="15">
        <v>1</v>
      </c>
      <c r="D282" s="15">
        <v>0</v>
      </c>
      <c r="E282" s="15">
        <v>2</v>
      </c>
      <c r="F282" s="15">
        <v>13</v>
      </c>
      <c r="G282" s="15" t="str" cm="1">
        <f t="array" ref="G282">_xlfn.IFS(AND(F282&gt;=5,F282&lt;12),"Morning",AND(F282&gt;=12,F282&lt;17),"AfterNoon",AND(F282&gt;=17,F282&lt;20),"Evening",TRUE,"Night")</f>
        <v>AfterNoon</v>
      </c>
      <c r="H282" s="15" t="b">
        <v>0</v>
      </c>
      <c r="I282" s="15">
        <v>3</v>
      </c>
      <c r="J282" s="15" t="str" cm="1">
        <f t="array" ref="J282">_xlfn.IFS(I282=0,"Saturday",I282=1,"Sunday",I282=2,"Monday",I282=3,"Tuesday",I282=4,"Wednesday",I282=5,"Thusday",I282=6,"Friday")</f>
        <v>Tuesday</v>
      </c>
      <c r="K282" s="15">
        <v>1</v>
      </c>
      <c r="L282" s="15">
        <v>0.18</v>
      </c>
      <c r="M282" s="15" t="str">
        <f t="shared" si="5"/>
        <v>Rainy</v>
      </c>
      <c r="N282" s="15">
        <v>0.16669999999999999</v>
      </c>
      <c r="O282" s="15">
        <v>0.4</v>
      </c>
      <c r="P282" s="15">
        <v>0.25369999999999998</v>
      </c>
      <c r="Q282" s="15">
        <v>2</v>
      </c>
      <c r="R282" s="15">
        <v>67</v>
      </c>
      <c r="S282" s="15">
        <v>69</v>
      </c>
    </row>
    <row r="283" spans="1:19" x14ac:dyDescent="0.35">
      <c r="A283" s="15">
        <v>891</v>
      </c>
      <c r="B283" s="16">
        <v>40583</v>
      </c>
      <c r="C283" s="15">
        <v>1</v>
      </c>
      <c r="D283" s="15">
        <v>0</v>
      </c>
      <c r="E283" s="15">
        <v>2</v>
      </c>
      <c r="F283" s="15">
        <v>14</v>
      </c>
      <c r="G283" s="15" t="str" cm="1">
        <f t="array" ref="G283">_xlfn.IFS(AND(F283&gt;=5,F283&lt;12),"Morning",AND(F283&gt;=12,F283&lt;17),"AfterNoon",AND(F283&gt;=17,F283&lt;20),"Evening",TRUE,"Night")</f>
        <v>AfterNoon</v>
      </c>
      <c r="H283" s="15" t="b">
        <v>0</v>
      </c>
      <c r="I283" s="15">
        <v>3</v>
      </c>
      <c r="J283" s="15" t="str" cm="1">
        <f t="array" ref="J283">_xlfn.IFS(I283=0,"Saturday",I283=1,"Sunday",I283=2,"Monday",I283=3,"Tuesday",I283=4,"Wednesday",I283=5,"Thusday",I283=6,"Friday")</f>
        <v>Tuesday</v>
      </c>
      <c r="K283" s="15">
        <v>1</v>
      </c>
      <c r="L283" s="15">
        <v>0.2</v>
      </c>
      <c r="M283" s="15" t="str">
        <f t="shared" si="5"/>
        <v>Rainy</v>
      </c>
      <c r="N283" s="15">
        <v>0.18179999999999999</v>
      </c>
      <c r="O283" s="15">
        <v>0.34</v>
      </c>
      <c r="P283" s="15">
        <v>0.29849999999999999</v>
      </c>
      <c r="Q283" s="15">
        <v>2</v>
      </c>
      <c r="R283" s="15">
        <v>56</v>
      </c>
      <c r="S283" s="15">
        <v>58</v>
      </c>
    </row>
    <row r="284" spans="1:19" x14ac:dyDescent="0.35">
      <c r="A284" s="15">
        <v>892</v>
      </c>
      <c r="B284" s="16">
        <v>40583</v>
      </c>
      <c r="C284" s="15">
        <v>1</v>
      </c>
      <c r="D284" s="15">
        <v>0</v>
      </c>
      <c r="E284" s="15">
        <v>2</v>
      </c>
      <c r="F284" s="15">
        <v>15</v>
      </c>
      <c r="G284" s="15" t="str" cm="1">
        <f t="array" ref="G284">_xlfn.IFS(AND(F284&gt;=5,F284&lt;12),"Morning",AND(F284&gt;=12,F284&lt;17),"AfterNoon",AND(F284&gt;=17,F284&lt;20),"Evening",TRUE,"Night")</f>
        <v>AfterNoon</v>
      </c>
      <c r="H284" s="15" t="b">
        <v>0</v>
      </c>
      <c r="I284" s="15">
        <v>3</v>
      </c>
      <c r="J284" s="15" t="str" cm="1">
        <f t="array" ref="J284">_xlfn.IFS(I284=0,"Saturday",I284=1,"Sunday",I284=2,"Monday",I284=3,"Tuesday",I284=4,"Wednesday",I284=5,"Thusday",I284=6,"Friday")</f>
        <v>Tuesday</v>
      </c>
      <c r="K284" s="15">
        <v>2</v>
      </c>
      <c r="L284" s="15">
        <v>0.2</v>
      </c>
      <c r="M284" s="15" t="str">
        <f t="shared" si="5"/>
        <v>Rainy</v>
      </c>
      <c r="N284" s="15">
        <v>0.18179999999999999</v>
      </c>
      <c r="O284" s="15">
        <v>0.34</v>
      </c>
      <c r="P284" s="15">
        <v>0.28360000000000002</v>
      </c>
      <c r="Q284" s="15">
        <v>3</v>
      </c>
      <c r="R284" s="15">
        <v>61</v>
      </c>
      <c r="S284" s="15">
        <v>64</v>
      </c>
    </row>
    <row r="285" spans="1:19" x14ac:dyDescent="0.35">
      <c r="A285" s="15">
        <v>893</v>
      </c>
      <c r="B285" s="16">
        <v>40583</v>
      </c>
      <c r="C285" s="15">
        <v>1</v>
      </c>
      <c r="D285" s="15">
        <v>0</v>
      </c>
      <c r="E285" s="15">
        <v>2</v>
      </c>
      <c r="F285" s="15">
        <v>16</v>
      </c>
      <c r="G285" s="15" t="str" cm="1">
        <f t="array" ref="G285">_xlfn.IFS(AND(F285&gt;=5,F285&lt;12),"Morning",AND(F285&gt;=12,F285&lt;17),"AfterNoon",AND(F285&gt;=17,F285&lt;20),"Evening",TRUE,"Night")</f>
        <v>AfterNoon</v>
      </c>
      <c r="H285" s="15" t="b">
        <v>0</v>
      </c>
      <c r="I285" s="15">
        <v>3</v>
      </c>
      <c r="J285" s="15" t="str" cm="1">
        <f t="array" ref="J285">_xlfn.IFS(I285=0,"Saturday",I285=1,"Sunday",I285=2,"Monday",I285=3,"Tuesday",I285=4,"Wednesday",I285=5,"Thusday",I285=6,"Friday")</f>
        <v>Tuesday</v>
      </c>
      <c r="K285" s="15">
        <v>2</v>
      </c>
      <c r="L285" s="15">
        <v>0.2</v>
      </c>
      <c r="M285" s="15" t="str">
        <f t="shared" si="5"/>
        <v>Rainy</v>
      </c>
      <c r="N285" s="15">
        <v>0.19700000000000001</v>
      </c>
      <c r="O285" s="15">
        <v>0.37</v>
      </c>
      <c r="P285" s="15">
        <v>0.25369999999999998</v>
      </c>
      <c r="Q285" s="15">
        <v>7</v>
      </c>
      <c r="R285" s="15">
        <v>72</v>
      </c>
      <c r="S285" s="15">
        <v>79</v>
      </c>
    </row>
    <row r="286" spans="1:19" x14ac:dyDescent="0.35">
      <c r="A286" s="15">
        <v>894</v>
      </c>
      <c r="B286" s="16">
        <v>40583</v>
      </c>
      <c r="C286" s="15">
        <v>1</v>
      </c>
      <c r="D286" s="15">
        <v>0</v>
      </c>
      <c r="E286" s="15">
        <v>2</v>
      </c>
      <c r="F286" s="15">
        <v>17</v>
      </c>
      <c r="G286" s="15" t="str" cm="1">
        <f t="array" ref="G286">_xlfn.IFS(AND(F286&gt;=5,F286&lt;12),"Morning",AND(F286&gt;=12,F286&lt;17),"AfterNoon",AND(F286&gt;=17,F286&lt;20),"Evening",TRUE,"Night")</f>
        <v>Evening</v>
      </c>
      <c r="H286" s="15" t="b">
        <v>0</v>
      </c>
      <c r="I286" s="15">
        <v>3</v>
      </c>
      <c r="J286" s="15" t="str" cm="1">
        <f t="array" ref="J286">_xlfn.IFS(I286=0,"Saturday",I286=1,"Sunday",I286=2,"Monday",I286=3,"Tuesday",I286=4,"Wednesday",I286=5,"Thusday",I286=6,"Friday")</f>
        <v>Tuesday</v>
      </c>
      <c r="K286" s="15">
        <v>2</v>
      </c>
      <c r="L286" s="15">
        <v>0.2</v>
      </c>
      <c r="M286" s="15" t="str">
        <f t="shared" si="5"/>
        <v>Rainy</v>
      </c>
      <c r="N286" s="15">
        <v>0.19700000000000001</v>
      </c>
      <c r="O286" s="15">
        <v>0.34</v>
      </c>
      <c r="P286" s="15">
        <v>0.25369999999999998</v>
      </c>
      <c r="Q286" s="15">
        <v>9</v>
      </c>
      <c r="R286" s="15">
        <v>157</v>
      </c>
      <c r="S286" s="15">
        <v>166</v>
      </c>
    </row>
    <row r="287" spans="1:19" x14ac:dyDescent="0.35">
      <c r="A287" s="15">
        <v>895</v>
      </c>
      <c r="B287" s="16">
        <v>40583</v>
      </c>
      <c r="C287" s="15">
        <v>1</v>
      </c>
      <c r="D287" s="15">
        <v>0</v>
      </c>
      <c r="E287" s="15">
        <v>2</v>
      </c>
      <c r="F287" s="15">
        <v>18</v>
      </c>
      <c r="G287" s="15" t="str" cm="1">
        <f t="array" ref="G287">_xlfn.IFS(AND(F287&gt;=5,F287&lt;12),"Morning",AND(F287&gt;=12,F287&lt;17),"AfterNoon",AND(F287&gt;=17,F287&lt;20),"Evening",TRUE,"Night")</f>
        <v>Evening</v>
      </c>
      <c r="H287" s="15" t="b">
        <v>0</v>
      </c>
      <c r="I287" s="15">
        <v>3</v>
      </c>
      <c r="J287" s="15" t="str" cm="1">
        <f t="array" ref="J287">_xlfn.IFS(I287=0,"Saturday",I287=1,"Sunday",I287=2,"Monday",I287=3,"Tuesday",I287=4,"Wednesday",I287=5,"Thusday",I287=6,"Friday")</f>
        <v>Tuesday</v>
      </c>
      <c r="K287" s="15">
        <v>2</v>
      </c>
      <c r="L287" s="15">
        <v>0.18</v>
      </c>
      <c r="M287" s="15" t="str">
        <f t="shared" si="5"/>
        <v>Rainy</v>
      </c>
      <c r="N287" s="15">
        <v>0.16669999999999999</v>
      </c>
      <c r="O287" s="15">
        <v>0.47</v>
      </c>
      <c r="P287" s="15">
        <v>0.29849999999999999</v>
      </c>
      <c r="Q287" s="15">
        <v>2</v>
      </c>
      <c r="R287" s="15">
        <v>168</v>
      </c>
      <c r="S287" s="15">
        <v>170</v>
      </c>
    </row>
    <row r="288" spans="1:19" x14ac:dyDescent="0.35">
      <c r="A288" s="15">
        <v>896</v>
      </c>
      <c r="B288" s="16">
        <v>40583</v>
      </c>
      <c r="C288" s="15">
        <v>1</v>
      </c>
      <c r="D288" s="15">
        <v>0</v>
      </c>
      <c r="E288" s="15">
        <v>2</v>
      </c>
      <c r="F288" s="15">
        <v>19</v>
      </c>
      <c r="G288" s="15" t="str" cm="1">
        <f t="array" ref="G288">_xlfn.IFS(AND(F288&gt;=5,F288&lt;12),"Morning",AND(F288&gt;=12,F288&lt;17),"AfterNoon",AND(F288&gt;=17,F288&lt;20),"Evening",TRUE,"Night")</f>
        <v>Evening</v>
      </c>
      <c r="H288" s="15" t="b">
        <v>0</v>
      </c>
      <c r="I288" s="15">
        <v>3</v>
      </c>
      <c r="J288" s="15" t="str" cm="1">
        <f t="array" ref="J288">_xlfn.IFS(I288=0,"Saturday",I288=1,"Sunday",I288=2,"Monday",I288=3,"Tuesday",I288=4,"Wednesday",I288=5,"Thusday",I288=6,"Friday")</f>
        <v>Tuesday</v>
      </c>
      <c r="K288" s="15">
        <v>3</v>
      </c>
      <c r="L288" s="15">
        <v>0.14000000000000001</v>
      </c>
      <c r="M288" s="15" t="str">
        <f t="shared" si="5"/>
        <v>Rainy</v>
      </c>
      <c r="N288" s="15">
        <v>0.1212</v>
      </c>
      <c r="O288" s="15">
        <v>0.86</v>
      </c>
      <c r="P288" s="15">
        <v>0.25369999999999998</v>
      </c>
      <c r="Q288" s="15">
        <v>1</v>
      </c>
      <c r="R288" s="15">
        <v>87</v>
      </c>
      <c r="S288" s="15">
        <v>88</v>
      </c>
    </row>
    <row r="289" spans="1:19" x14ac:dyDescent="0.35">
      <c r="A289" s="15">
        <v>897</v>
      </c>
      <c r="B289" s="16">
        <v>40583</v>
      </c>
      <c r="C289" s="15">
        <v>1</v>
      </c>
      <c r="D289" s="15">
        <v>0</v>
      </c>
      <c r="E289" s="15">
        <v>2</v>
      </c>
      <c r="F289" s="15">
        <v>20</v>
      </c>
      <c r="G289" s="15" t="str" cm="1">
        <f t="array" ref="G289">_xlfn.IFS(AND(F289&gt;=5,F289&lt;12),"Morning",AND(F289&gt;=12,F289&lt;17),"AfterNoon",AND(F289&gt;=17,F289&lt;20),"Evening",TRUE,"Night")</f>
        <v>Night</v>
      </c>
      <c r="H289" s="15" t="b">
        <v>0</v>
      </c>
      <c r="I289" s="15">
        <v>3</v>
      </c>
      <c r="J289" s="15" t="str" cm="1">
        <f t="array" ref="J289">_xlfn.IFS(I289=0,"Saturday",I289=1,"Sunday",I289=2,"Monday",I289=3,"Tuesday",I289=4,"Wednesday",I289=5,"Thusday",I289=6,"Friday")</f>
        <v>Tuesday</v>
      </c>
      <c r="K289" s="15">
        <v>3</v>
      </c>
      <c r="L289" s="15">
        <v>0.14000000000000001</v>
      </c>
      <c r="M289" s="15" t="str">
        <f t="shared" si="5"/>
        <v>Rainy</v>
      </c>
      <c r="N289" s="15">
        <v>0.1515</v>
      </c>
      <c r="O289" s="15">
        <v>0.86</v>
      </c>
      <c r="P289" s="15">
        <v>0.16420000000000001</v>
      </c>
      <c r="Q289" s="15">
        <v>0</v>
      </c>
      <c r="R289" s="15">
        <v>84</v>
      </c>
      <c r="S289" s="15">
        <v>84</v>
      </c>
    </row>
    <row r="290" spans="1:19" x14ac:dyDescent="0.35">
      <c r="A290" s="15">
        <v>898</v>
      </c>
      <c r="B290" s="16">
        <v>40583</v>
      </c>
      <c r="C290" s="15">
        <v>1</v>
      </c>
      <c r="D290" s="15">
        <v>0</v>
      </c>
      <c r="E290" s="15">
        <v>2</v>
      </c>
      <c r="F290" s="15">
        <v>21</v>
      </c>
      <c r="G290" s="15" t="str" cm="1">
        <f t="array" ref="G290">_xlfn.IFS(AND(F290&gt;=5,F290&lt;12),"Morning",AND(F290&gt;=12,F290&lt;17),"AfterNoon",AND(F290&gt;=17,F290&lt;20),"Evening",TRUE,"Night")</f>
        <v>Night</v>
      </c>
      <c r="H290" s="15" t="b">
        <v>0</v>
      </c>
      <c r="I290" s="15">
        <v>3</v>
      </c>
      <c r="J290" s="15" t="str" cm="1">
        <f t="array" ref="J290">_xlfn.IFS(I290=0,"Saturday",I290=1,"Sunday",I290=2,"Monday",I290=3,"Tuesday",I290=4,"Wednesday",I290=5,"Thusday",I290=6,"Friday")</f>
        <v>Tuesday</v>
      </c>
      <c r="K290" s="15">
        <v>2</v>
      </c>
      <c r="L290" s="15">
        <v>0.14000000000000001</v>
      </c>
      <c r="M290" s="15" t="str">
        <f t="shared" si="5"/>
        <v>Rainy</v>
      </c>
      <c r="N290" s="15">
        <v>0.1515</v>
      </c>
      <c r="O290" s="15">
        <v>0.86</v>
      </c>
      <c r="P290" s="15">
        <v>0.16420000000000001</v>
      </c>
      <c r="Q290" s="15">
        <v>0</v>
      </c>
      <c r="R290" s="15">
        <v>83</v>
      </c>
      <c r="S290" s="15">
        <v>83</v>
      </c>
    </row>
    <row r="291" spans="1:19" x14ac:dyDescent="0.35">
      <c r="A291" s="15">
        <v>899</v>
      </c>
      <c r="B291" s="16">
        <v>40583</v>
      </c>
      <c r="C291" s="15">
        <v>1</v>
      </c>
      <c r="D291" s="15">
        <v>0</v>
      </c>
      <c r="E291" s="15">
        <v>2</v>
      </c>
      <c r="F291" s="15">
        <v>22</v>
      </c>
      <c r="G291" s="15" t="str" cm="1">
        <f t="array" ref="G291">_xlfn.IFS(AND(F291&gt;=5,F291&lt;12),"Morning",AND(F291&gt;=12,F291&lt;17),"AfterNoon",AND(F291&gt;=17,F291&lt;20),"Evening",TRUE,"Night")</f>
        <v>Night</v>
      </c>
      <c r="H291" s="15" t="b">
        <v>0</v>
      </c>
      <c r="I291" s="15">
        <v>3</v>
      </c>
      <c r="J291" s="15" t="str" cm="1">
        <f t="array" ref="J291">_xlfn.IFS(I291=0,"Saturday",I291=1,"Sunday",I291=2,"Monday",I291=3,"Tuesday",I291=4,"Wednesday",I291=5,"Thusday",I291=6,"Friday")</f>
        <v>Tuesday</v>
      </c>
      <c r="K291" s="15">
        <v>3</v>
      </c>
      <c r="L291" s="15">
        <v>0.16</v>
      </c>
      <c r="M291" s="15" t="str">
        <f t="shared" si="5"/>
        <v>Rainy</v>
      </c>
      <c r="N291" s="15">
        <v>0.16669999999999999</v>
      </c>
      <c r="O291" s="15">
        <v>0.8</v>
      </c>
      <c r="P291" s="15">
        <v>0.16420000000000001</v>
      </c>
      <c r="Q291" s="15">
        <v>4</v>
      </c>
      <c r="R291" s="15">
        <v>42</v>
      </c>
      <c r="S291" s="15">
        <v>46</v>
      </c>
    </row>
    <row r="292" spans="1:19" x14ac:dyDescent="0.35">
      <c r="A292" s="15">
        <v>900</v>
      </c>
      <c r="B292" s="16">
        <v>40583</v>
      </c>
      <c r="C292" s="15">
        <v>1</v>
      </c>
      <c r="D292" s="15">
        <v>0</v>
      </c>
      <c r="E292" s="15">
        <v>2</v>
      </c>
      <c r="F292" s="15">
        <v>23</v>
      </c>
      <c r="G292" s="15" t="str" cm="1">
        <f t="array" ref="G292">_xlfn.IFS(AND(F292&gt;=5,F292&lt;12),"Morning",AND(F292&gt;=12,F292&lt;17),"AfterNoon",AND(F292&gt;=17,F292&lt;20),"Evening",TRUE,"Night")</f>
        <v>Night</v>
      </c>
      <c r="H292" s="15" t="b">
        <v>0</v>
      </c>
      <c r="I292" s="15">
        <v>3</v>
      </c>
      <c r="J292" s="15" t="str" cm="1">
        <f t="array" ref="J292">_xlfn.IFS(I292=0,"Saturday",I292=1,"Sunday",I292=2,"Monday",I292=3,"Tuesday",I292=4,"Wednesday",I292=5,"Thusday",I292=6,"Friday")</f>
        <v>Tuesday</v>
      </c>
      <c r="K292" s="15">
        <v>3</v>
      </c>
      <c r="L292" s="15">
        <v>0.16</v>
      </c>
      <c r="M292" s="15" t="str">
        <f t="shared" si="5"/>
        <v>Rainy</v>
      </c>
      <c r="N292" s="15">
        <v>0.1515</v>
      </c>
      <c r="O292" s="15">
        <v>0.8</v>
      </c>
      <c r="P292" s="15">
        <v>0.19400000000000001</v>
      </c>
      <c r="Q292" s="15">
        <v>0</v>
      </c>
      <c r="R292" s="15">
        <v>37</v>
      </c>
      <c r="S292" s="15">
        <v>37</v>
      </c>
    </row>
    <row r="293" spans="1:19" x14ac:dyDescent="0.35">
      <c r="A293" s="15">
        <v>901</v>
      </c>
      <c r="B293" s="16">
        <v>40584</v>
      </c>
      <c r="C293" s="15">
        <v>1</v>
      </c>
      <c r="D293" s="15">
        <v>0</v>
      </c>
      <c r="E293" s="15">
        <v>2</v>
      </c>
      <c r="F293" s="15">
        <v>0</v>
      </c>
      <c r="G293" s="15" t="str" cm="1">
        <f t="array" ref="G293">_xlfn.IFS(AND(F293&gt;=5,F293&lt;12),"Morning",AND(F293&gt;=12,F293&lt;17),"AfterNoon",AND(F293&gt;=17,F293&lt;20),"Evening",TRUE,"Night")</f>
        <v>Night</v>
      </c>
      <c r="H293" s="15" t="b">
        <v>0</v>
      </c>
      <c r="I293" s="15">
        <v>4</v>
      </c>
      <c r="J293" s="15" t="str" cm="1">
        <f t="array" ref="J293">_xlfn.IFS(I293=0,"Saturday",I293=1,"Sunday",I293=2,"Monday",I293=3,"Tuesday",I293=4,"Wednesday",I293=5,"Thusday",I293=6,"Friday")</f>
        <v>Wednesday</v>
      </c>
      <c r="K293" s="15">
        <v>3</v>
      </c>
      <c r="L293" s="15">
        <v>0.14000000000000001</v>
      </c>
      <c r="M293" s="15" t="str">
        <f t="shared" si="5"/>
        <v>Rainy</v>
      </c>
      <c r="N293" s="15">
        <v>0.13639999999999999</v>
      </c>
      <c r="O293" s="15">
        <v>0.86</v>
      </c>
      <c r="P293" s="15">
        <v>0.19400000000000001</v>
      </c>
      <c r="Q293" s="15">
        <v>0</v>
      </c>
      <c r="R293" s="15">
        <v>16</v>
      </c>
      <c r="S293" s="15">
        <v>16</v>
      </c>
    </row>
    <row r="294" spans="1:19" x14ac:dyDescent="0.35">
      <c r="A294" s="15">
        <v>902</v>
      </c>
      <c r="B294" s="16">
        <v>40584</v>
      </c>
      <c r="C294" s="15">
        <v>1</v>
      </c>
      <c r="D294" s="15">
        <v>0</v>
      </c>
      <c r="E294" s="15">
        <v>2</v>
      </c>
      <c r="F294" s="15">
        <v>1</v>
      </c>
      <c r="G294" s="15" t="str" cm="1">
        <f t="array" ref="G294">_xlfn.IFS(AND(F294&gt;=5,F294&lt;12),"Morning",AND(F294&gt;=12,F294&lt;17),"AfterNoon",AND(F294&gt;=17,F294&lt;20),"Evening",TRUE,"Night")</f>
        <v>Night</v>
      </c>
      <c r="H294" s="15" t="b">
        <v>0</v>
      </c>
      <c r="I294" s="15">
        <v>4</v>
      </c>
      <c r="J294" s="15" t="str" cm="1">
        <f t="array" ref="J294">_xlfn.IFS(I294=0,"Saturday",I294=1,"Sunday",I294=2,"Monday",I294=3,"Tuesday",I294=4,"Wednesday",I294=5,"Thusday",I294=6,"Friday")</f>
        <v>Wednesday</v>
      </c>
      <c r="K294" s="15">
        <v>3</v>
      </c>
      <c r="L294" s="15">
        <v>0.14000000000000001</v>
      </c>
      <c r="M294" s="15" t="str">
        <f t="shared" si="5"/>
        <v>Rainy</v>
      </c>
      <c r="N294" s="15">
        <v>0.1515</v>
      </c>
      <c r="O294" s="15">
        <v>0.8</v>
      </c>
      <c r="P294" s="15">
        <v>0.1343</v>
      </c>
      <c r="Q294" s="15">
        <v>0</v>
      </c>
      <c r="R294" s="15">
        <v>7</v>
      </c>
      <c r="S294" s="15">
        <v>7</v>
      </c>
    </row>
    <row r="295" spans="1:19" x14ac:dyDescent="0.35">
      <c r="A295" s="15">
        <v>903</v>
      </c>
      <c r="B295" s="16">
        <v>40584</v>
      </c>
      <c r="C295" s="15">
        <v>1</v>
      </c>
      <c r="D295" s="15">
        <v>0</v>
      </c>
      <c r="E295" s="15">
        <v>2</v>
      </c>
      <c r="F295" s="15">
        <v>2</v>
      </c>
      <c r="G295" s="15" t="str" cm="1">
        <f t="array" ref="G295">_xlfn.IFS(AND(F295&gt;=5,F295&lt;12),"Morning",AND(F295&gt;=12,F295&lt;17),"AfterNoon",AND(F295&gt;=17,F295&lt;20),"Evening",TRUE,"Night")</f>
        <v>Night</v>
      </c>
      <c r="H295" s="15" t="b">
        <v>0</v>
      </c>
      <c r="I295" s="15">
        <v>4</v>
      </c>
      <c r="J295" s="15" t="str" cm="1">
        <f t="array" ref="J295">_xlfn.IFS(I295=0,"Saturday",I295=1,"Sunday",I295=2,"Monday",I295=3,"Tuesday",I295=4,"Wednesday",I295=5,"Thusday",I295=6,"Friday")</f>
        <v>Wednesday</v>
      </c>
      <c r="K295" s="15">
        <v>3</v>
      </c>
      <c r="L295" s="15">
        <v>0.14000000000000001</v>
      </c>
      <c r="M295" s="15" t="str">
        <f t="shared" si="5"/>
        <v>Rainy</v>
      </c>
      <c r="N295" s="15">
        <v>0.1515</v>
      </c>
      <c r="O295" s="15">
        <v>0.8</v>
      </c>
      <c r="P295" s="15">
        <v>0.1343</v>
      </c>
      <c r="Q295" s="15">
        <v>0</v>
      </c>
      <c r="R295" s="15">
        <v>3</v>
      </c>
      <c r="S295" s="15">
        <v>3</v>
      </c>
    </row>
    <row r="296" spans="1:19" x14ac:dyDescent="0.35">
      <c r="A296" s="15">
        <v>904</v>
      </c>
      <c r="B296" s="16">
        <v>40584</v>
      </c>
      <c r="C296" s="15">
        <v>1</v>
      </c>
      <c r="D296" s="15">
        <v>0</v>
      </c>
      <c r="E296" s="15">
        <v>2</v>
      </c>
      <c r="F296" s="15">
        <v>4</v>
      </c>
      <c r="G296" s="15" t="str" cm="1">
        <f t="array" ref="G296">_xlfn.IFS(AND(F296&gt;=5,F296&lt;12),"Morning",AND(F296&gt;=12,F296&lt;17),"AfterNoon",AND(F296&gt;=17,F296&lt;20),"Evening",TRUE,"Night")</f>
        <v>Night</v>
      </c>
      <c r="H296" s="15" t="b">
        <v>0</v>
      </c>
      <c r="I296" s="15">
        <v>4</v>
      </c>
      <c r="J296" s="15" t="str" cm="1">
        <f t="array" ref="J296">_xlfn.IFS(I296=0,"Saturday",I296=1,"Sunday",I296=2,"Monday",I296=3,"Tuesday",I296=4,"Wednesday",I296=5,"Thusday",I296=6,"Friday")</f>
        <v>Wednesday</v>
      </c>
      <c r="K296" s="15">
        <v>2</v>
      </c>
      <c r="L296" s="15">
        <v>0.14000000000000001</v>
      </c>
      <c r="M296" s="15" t="str">
        <f t="shared" si="5"/>
        <v>Rainy</v>
      </c>
      <c r="N296" s="15">
        <v>0.13639999999999999</v>
      </c>
      <c r="O296" s="15">
        <v>0.59</v>
      </c>
      <c r="P296" s="15">
        <v>0.22389999999999999</v>
      </c>
      <c r="Q296" s="15">
        <v>0</v>
      </c>
      <c r="R296" s="15">
        <v>1</v>
      </c>
      <c r="S296" s="15">
        <v>1</v>
      </c>
    </row>
    <row r="297" spans="1:19" x14ac:dyDescent="0.35">
      <c r="A297" s="15">
        <v>905</v>
      </c>
      <c r="B297" s="16">
        <v>40584</v>
      </c>
      <c r="C297" s="15">
        <v>1</v>
      </c>
      <c r="D297" s="15">
        <v>0</v>
      </c>
      <c r="E297" s="15">
        <v>2</v>
      </c>
      <c r="F297" s="15">
        <v>5</v>
      </c>
      <c r="G297" s="15" t="str" cm="1">
        <f t="array" ref="G297">_xlfn.IFS(AND(F297&gt;=5,F297&lt;12),"Morning",AND(F297&gt;=12,F297&lt;17),"AfterNoon",AND(F297&gt;=17,F297&lt;20),"Evening",TRUE,"Night")</f>
        <v>Morning</v>
      </c>
      <c r="H297" s="15" t="b">
        <v>0</v>
      </c>
      <c r="I297" s="15">
        <v>4</v>
      </c>
      <c r="J297" s="15" t="str" cm="1">
        <f t="array" ref="J297">_xlfn.IFS(I297=0,"Saturday",I297=1,"Sunday",I297=2,"Monday",I297=3,"Tuesday",I297=4,"Wednesday",I297=5,"Thusday",I297=6,"Friday")</f>
        <v>Wednesday</v>
      </c>
      <c r="K297" s="15">
        <v>2</v>
      </c>
      <c r="L297" s="15">
        <v>0.12</v>
      </c>
      <c r="M297" s="15" t="str">
        <f t="shared" si="5"/>
        <v>Rainy</v>
      </c>
      <c r="N297" s="15">
        <v>0.1212</v>
      </c>
      <c r="O297" s="15">
        <v>0.5</v>
      </c>
      <c r="P297" s="15">
        <v>0.22389999999999999</v>
      </c>
      <c r="Q297" s="15">
        <v>0</v>
      </c>
      <c r="R297" s="15">
        <v>6</v>
      </c>
      <c r="S297" s="15">
        <v>6</v>
      </c>
    </row>
    <row r="298" spans="1:19" x14ac:dyDescent="0.35">
      <c r="A298" s="15">
        <v>906</v>
      </c>
      <c r="B298" s="16">
        <v>40584</v>
      </c>
      <c r="C298" s="15">
        <v>1</v>
      </c>
      <c r="D298" s="15">
        <v>0</v>
      </c>
      <c r="E298" s="15">
        <v>2</v>
      </c>
      <c r="F298" s="15">
        <v>6</v>
      </c>
      <c r="G298" s="15" t="str" cm="1">
        <f t="array" ref="G298">_xlfn.IFS(AND(F298&gt;=5,F298&lt;12),"Morning",AND(F298&gt;=12,F298&lt;17),"AfterNoon",AND(F298&gt;=17,F298&lt;20),"Evening",TRUE,"Night")</f>
        <v>Morning</v>
      </c>
      <c r="H298" s="15" t="b">
        <v>0</v>
      </c>
      <c r="I298" s="15">
        <v>4</v>
      </c>
      <c r="J298" s="15" t="str" cm="1">
        <f t="array" ref="J298">_xlfn.IFS(I298=0,"Saturday",I298=1,"Sunday",I298=2,"Monday",I298=3,"Tuesday",I298=4,"Wednesday",I298=5,"Thusday",I298=6,"Friday")</f>
        <v>Wednesday</v>
      </c>
      <c r="K298" s="15">
        <v>2</v>
      </c>
      <c r="L298" s="15">
        <v>0.12</v>
      </c>
      <c r="M298" s="15" t="str">
        <f t="shared" si="5"/>
        <v>Rainy</v>
      </c>
      <c r="N298" s="15">
        <v>0.1212</v>
      </c>
      <c r="O298" s="15">
        <v>0.54</v>
      </c>
      <c r="P298" s="15">
        <v>0.28360000000000002</v>
      </c>
      <c r="Q298" s="15">
        <v>0</v>
      </c>
      <c r="R298" s="15">
        <v>26</v>
      </c>
      <c r="S298" s="15">
        <v>26</v>
      </c>
    </row>
    <row r="299" spans="1:19" x14ac:dyDescent="0.35">
      <c r="A299" s="15">
        <v>907</v>
      </c>
      <c r="B299" s="16">
        <v>40584</v>
      </c>
      <c r="C299" s="15">
        <v>1</v>
      </c>
      <c r="D299" s="15">
        <v>0</v>
      </c>
      <c r="E299" s="15">
        <v>2</v>
      </c>
      <c r="F299" s="15">
        <v>7</v>
      </c>
      <c r="G299" s="15" t="str" cm="1">
        <f t="array" ref="G299">_xlfn.IFS(AND(F299&gt;=5,F299&lt;12),"Morning",AND(F299&gt;=12,F299&lt;17),"AfterNoon",AND(F299&gt;=17,F299&lt;20),"Evening",TRUE,"Night")</f>
        <v>Morning</v>
      </c>
      <c r="H299" s="15" t="b">
        <v>0</v>
      </c>
      <c r="I299" s="15">
        <v>4</v>
      </c>
      <c r="J299" s="15" t="str" cm="1">
        <f t="array" ref="J299">_xlfn.IFS(I299=0,"Saturday",I299=1,"Sunday",I299=2,"Monday",I299=3,"Tuesday",I299=4,"Wednesday",I299=5,"Thusday",I299=6,"Friday")</f>
        <v>Wednesday</v>
      </c>
      <c r="K299" s="15">
        <v>1</v>
      </c>
      <c r="L299" s="15">
        <v>0.1</v>
      </c>
      <c r="M299" s="15" t="str">
        <f t="shared" si="5"/>
        <v>Stromy</v>
      </c>
      <c r="N299" s="15">
        <v>7.5800000000000006E-2</v>
      </c>
      <c r="O299" s="15">
        <v>0.5</v>
      </c>
      <c r="P299" s="15">
        <v>0.41789999999999999</v>
      </c>
      <c r="Q299" s="15">
        <v>0</v>
      </c>
      <c r="R299" s="15">
        <v>99</v>
      </c>
      <c r="S299" s="15">
        <v>99</v>
      </c>
    </row>
    <row r="300" spans="1:19" x14ac:dyDescent="0.35">
      <c r="A300" s="15">
        <v>908</v>
      </c>
      <c r="B300" s="16">
        <v>40584</v>
      </c>
      <c r="C300" s="15">
        <v>1</v>
      </c>
      <c r="D300" s="15">
        <v>0</v>
      </c>
      <c r="E300" s="15">
        <v>2</v>
      </c>
      <c r="F300" s="15">
        <v>8</v>
      </c>
      <c r="G300" s="15" t="str" cm="1">
        <f t="array" ref="G300">_xlfn.IFS(AND(F300&gt;=5,F300&lt;12),"Morning",AND(F300&gt;=12,F300&lt;17),"AfterNoon",AND(F300&gt;=17,F300&lt;20),"Evening",TRUE,"Night")</f>
        <v>Morning</v>
      </c>
      <c r="H300" s="15" t="b">
        <v>0</v>
      </c>
      <c r="I300" s="15">
        <v>4</v>
      </c>
      <c r="J300" s="15" t="str" cm="1">
        <f t="array" ref="J300">_xlfn.IFS(I300=0,"Saturday",I300=1,"Sunday",I300=2,"Monday",I300=3,"Tuesday",I300=4,"Wednesday",I300=5,"Thusday",I300=6,"Friday")</f>
        <v>Wednesday</v>
      </c>
      <c r="K300" s="15">
        <v>1</v>
      </c>
      <c r="L300" s="15">
        <v>0.1</v>
      </c>
      <c r="M300" s="15" t="str">
        <f t="shared" si="5"/>
        <v>Stromy</v>
      </c>
      <c r="N300" s="15">
        <v>7.5800000000000006E-2</v>
      </c>
      <c r="O300" s="15">
        <v>0.49</v>
      </c>
      <c r="P300" s="15">
        <v>0.32840000000000003</v>
      </c>
      <c r="Q300" s="15">
        <v>5</v>
      </c>
      <c r="R300" s="15">
        <v>173</v>
      </c>
      <c r="S300" s="15">
        <v>178</v>
      </c>
    </row>
    <row r="301" spans="1:19" x14ac:dyDescent="0.35">
      <c r="A301" s="15">
        <v>909</v>
      </c>
      <c r="B301" s="16">
        <v>40584</v>
      </c>
      <c r="C301" s="15">
        <v>1</v>
      </c>
      <c r="D301" s="15">
        <v>0</v>
      </c>
      <c r="E301" s="15">
        <v>2</v>
      </c>
      <c r="F301" s="15">
        <v>9</v>
      </c>
      <c r="G301" s="15" t="str" cm="1">
        <f t="array" ref="G301">_xlfn.IFS(AND(F301&gt;=5,F301&lt;12),"Morning",AND(F301&gt;=12,F301&lt;17),"AfterNoon",AND(F301&gt;=17,F301&lt;20),"Evening",TRUE,"Night")</f>
        <v>Morning</v>
      </c>
      <c r="H301" s="15" t="b">
        <v>0</v>
      </c>
      <c r="I301" s="15">
        <v>4</v>
      </c>
      <c r="J301" s="15" t="str" cm="1">
        <f t="array" ref="J301">_xlfn.IFS(I301=0,"Saturday",I301=1,"Sunday",I301=2,"Monday",I301=3,"Tuesday",I301=4,"Wednesday",I301=5,"Thusday",I301=6,"Friday")</f>
        <v>Wednesday</v>
      </c>
      <c r="K301" s="15">
        <v>1</v>
      </c>
      <c r="L301" s="15">
        <v>0.12</v>
      </c>
      <c r="M301" s="15" t="str">
        <f t="shared" si="5"/>
        <v>Rainy</v>
      </c>
      <c r="N301" s="15">
        <v>0.1061</v>
      </c>
      <c r="O301" s="15">
        <v>0.42</v>
      </c>
      <c r="P301" s="15">
        <v>0.35820000000000002</v>
      </c>
      <c r="Q301" s="15">
        <v>1</v>
      </c>
      <c r="R301" s="15">
        <v>121</v>
      </c>
      <c r="S301" s="15">
        <v>122</v>
      </c>
    </row>
    <row r="302" spans="1:19" x14ac:dyDescent="0.35">
      <c r="A302" s="15">
        <v>910</v>
      </c>
      <c r="B302" s="16">
        <v>40584</v>
      </c>
      <c r="C302" s="15">
        <v>1</v>
      </c>
      <c r="D302" s="15">
        <v>0</v>
      </c>
      <c r="E302" s="15">
        <v>2</v>
      </c>
      <c r="F302" s="15">
        <v>10</v>
      </c>
      <c r="G302" s="15" t="str" cm="1">
        <f t="array" ref="G302">_xlfn.IFS(AND(F302&gt;=5,F302&lt;12),"Morning",AND(F302&gt;=12,F302&lt;17),"AfterNoon",AND(F302&gt;=17,F302&lt;20),"Evening",TRUE,"Night")</f>
        <v>Morning</v>
      </c>
      <c r="H302" s="15" t="b">
        <v>0</v>
      </c>
      <c r="I302" s="15">
        <v>4</v>
      </c>
      <c r="J302" s="15" t="str" cm="1">
        <f t="array" ref="J302">_xlfn.IFS(I302=0,"Saturday",I302=1,"Sunday",I302=2,"Monday",I302=3,"Tuesday",I302=4,"Wednesday",I302=5,"Thusday",I302=6,"Friday")</f>
        <v>Wednesday</v>
      </c>
      <c r="K302" s="15">
        <v>1</v>
      </c>
      <c r="L302" s="15">
        <v>0.12</v>
      </c>
      <c r="M302" s="15" t="str">
        <f t="shared" si="5"/>
        <v>Rainy</v>
      </c>
      <c r="N302" s="15">
        <v>0.1061</v>
      </c>
      <c r="O302" s="15">
        <v>0.42</v>
      </c>
      <c r="P302" s="15">
        <v>0.29849999999999999</v>
      </c>
      <c r="Q302" s="15">
        <v>1</v>
      </c>
      <c r="R302" s="15">
        <v>34</v>
      </c>
      <c r="S302" s="15">
        <v>35</v>
      </c>
    </row>
    <row r="303" spans="1:19" x14ac:dyDescent="0.35">
      <c r="A303" s="15">
        <v>911</v>
      </c>
      <c r="B303" s="16">
        <v>40584</v>
      </c>
      <c r="C303" s="15">
        <v>1</v>
      </c>
      <c r="D303" s="15">
        <v>0</v>
      </c>
      <c r="E303" s="15">
        <v>2</v>
      </c>
      <c r="F303" s="15">
        <v>11</v>
      </c>
      <c r="G303" s="15" t="str" cm="1">
        <f t="array" ref="G303">_xlfn.IFS(AND(F303&gt;=5,F303&lt;12),"Morning",AND(F303&gt;=12,F303&lt;17),"AfterNoon",AND(F303&gt;=17,F303&lt;20),"Evening",TRUE,"Night")</f>
        <v>Morning</v>
      </c>
      <c r="H303" s="15" t="b">
        <v>0</v>
      </c>
      <c r="I303" s="15">
        <v>4</v>
      </c>
      <c r="J303" s="15" t="str" cm="1">
        <f t="array" ref="J303">_xlfn.IFS(I303=0,"Saturday",I303=1,"Sunday",I303=2,"Monday",I303=3,"Tuesday",I303=4,"Wednesday",I303=5,"Thusday",I303=6,"Friday")</f>
        <v>Wednesday</v>
      </c>
      <c r="K303" s="15">
        <v>1</v>
      </c>
      <c r="L303" s="15">
        <v>0.14000000000000001</v>
      </c>
      <c r="M303" s="15" t="str">
        <f t="shared" si="5"/>
        <v>Rainy</v>
      </c>
      <c r="N303" s="15">
        <v>0.1212</v>
      </c>
      <c r="O303" s="15">
        <v>0.39</v>
      </c>
      <c r="P303" s="15">
        <v>0.35820000000000002</v>
      </c>
      <c r="Q303" s="15">
        <v>1</v>
      </c>
      <c r="R303" s="15">
        <v>44</v>
      </c>
      <c r="S303" s="15">
        <v>45</v>
      </c>
    </row>
    <row r="304" spans="1:19" x14ac:dyDescent="0.35">
      <c r="A304" s="15">
        <v>912</v>
      </c>
      <c r="B304" s="16">
        <v>40584</v>
      </c>
      <c r="C304" s="15">
        <v>1</v>
      </c>
      <c r="D304" s="15">
        <v>0</v>
      </c>
      <c r="E304" s="15">
        <v>2</v>
      </c>
      <c r="F304" s="15">
        <v>12</v>
      </c>
      <c r="G304" s="15" t="str" cm="1">
        <f t="array" ref="G304">_xlfn.IFS(AND(F304&gt;=5,F304&lt;12),"Morning",AND(F304&gt;=12,F304&lt;17),"AfterNoon",AND(F304&gt;=17,F304&lt;20),"Evening",TRUE,"Night")</f>
        <v>AfterNoon</v>
      </c>
      <c r="H304" s="15" t="b">
        <v>0</v>
      </c>
      <c r="I304" s="15">
        <v>4</v>
      </c>
      <c r="J304" s="15" t="str" cm="1">
        <f t="array" ref="J304">_xlfn.IFS(I304=0,"Saturday",I304=1,"Sunday",I304=2,"Monday",I304=3,"Tuesday",I304=4,"Wednesday",I304=5,"Thusday",I304=6,"Friday")</f>
        <v>Wednesday</v>
      </c>
      <c r="K304" s="15">
        <v>1</v>
      </c>
      <c r="L304" s="15">
        <v>0.16</v>
      </c>
      <c r="M304" s="15" t="str">
        <f t="shared" si="5"/>
        <v>Rainy</v>
      </c>
      <c r="N304" s="15">
        <v>0.13639999999999999</v>
      </c>
      <c r="O304" s="15">
        <v>0.34</v>
      </c>
      <c r="P304" s="15">
        <v>0.3881</v>
      </c>
      <c r="Q304" s="15">
        <v>4</v>
      </c>
      <c r="R304" s="15">
        <v>65</v>
      </c>
      <c r="S304" s="15">
        <v>69</v>
      </c>
    </row>
    <row r="305" spans="1:19" x14ac:dyDescent="0.35">
      <c r="A305" s="15">
        <v>913</v>
      </c>
      <c r="B305" s="16">
        <v>40584</v>
      </c>
      <c r="C305" s="15">
        <v>1</v>
      </c>
      <c r="D305" s="15">
        <v>0</v>
      </c>
      <c r="E305" s="15">
        <v>2</v>
      </c>
      <c r="F305" s="15">
        <v>13</v>
      </c>
      <c r="G305" s="15" t="str" cm="1">
        <f t="array" ref="G305">_xlfn.IFS(AND(F305&gt;=5,F305&lt;12),"Morning",AND(F305&gt;=12,F305&lt;17),"AfterNoon",AND(F305&gt;=17,F305&lt;20),"Evening",TRUE,"Night")</f>
        <v>AfterNoon</v>
      </c>
      <c r="H305" s="15" t="b">
        <v>0</v>
      </c>
      <c r="I305" s="15">
        <v>4</v>
      </c>
      <c r="J305" s="15" t="str" cm="1">
        <f t="array" ref="J305">_xlfn.IFS(I305=0,"Saturday",I305=1,"Sunday",I305=2,"Monday",I305=3,"Tuesday",I305=4,"Wednesday",I305=5,"Thusday",I305=6,"Friday")</f>
        <v>Wednesday</v>
      </c>
      <c r="K305" s="15">
        <v>1</v>
      </c>
      <c r="L305" s="15">
        <v>0.18</v>
      </c>
      <c r="M305" s="15" t="str">
        <f t="shared" si="5"/>
        <v>Rainy</v>
      </c>
      <c r="N305" s="15">
        <v>0.16669999999999999</v>
      </c>
      <c r="O305" s="15">
        <v>0.28999999999999998</v>
      </c>
      <c r="P305" s="15">
        <v>0.29849999999999999</v>
      </c>
      <c r="Q305" s="15">
        <v>3</v>
      </c>
      <c r="R305" s="15">
        <v>59</v>
      </c>
      <c r="S305" s="15">
        <v>62</v>
      </c>
    </row>
    <row r="306" spans="1:19" x14ac:dyDescent="0.35">
      <c r="A306" s="15">
        <v>914</v>
      </c>
      <c r="B306" s="16">
        <v>40584</v>
      </c>
      <c r="C306" s="15">
        <v>1</v>
      </c>
      <c r="D306" s="15">
        <v>0</v>
      </c>
      <c r="E306" s="15">
        <v>2</v>
      </c>
      <c r="F306" s="15">
        <v>14</v>
      </c>
      <c r="G306" s="15" t="str" cm="1">
        <f t="array" ref="G306">_xlfn.IFS(AND(F306&gt;=5,F306&lt;12),"Morning",AND(F306&gt;=12,F306&lt;17),"AfterNoon",AND(F306&gt;=17,F306&lt;20),"Evening",TRUE,"Night")</f>
        <v>AfterNoon</v>
      </c>
      <c r="H306" s="15" t="b">
        <v>0</v>
      </c>
      <c r="I306" s="15">
        <v>4</v>
      </c>
      <c r="J306" s="15" t="str" cm="1">
        <f t="array" ref="J306">_xlfn.IFS(I306=0,"Saturday",I306=1,"Sunday",I306=2,"Monday",I306=3,"Tuesday",I306=4,"Wednesday",I306=5,"Thusday",I306=6,"Friday")</f>
        <v>Wednesday</v>
      </c>
      <c r="K306" s="15">
        <v>1</v>
      </c>
      <c r="L306" s="15">
        <v>0.2</v>
      </c>
      <c r="M306" s="15" t="str">
        <f t="shared" si="5"/>
        <v>Rainy</v>
      </c>
      <c r="N306" s="15">
        <v>0.18179999999999999</v>
      </c>
      <c r="O306" s="15">
        <v>0.27</v>
      </c>
      <c r="P306" s="15">
        <v>0.28360000000000002</v>
      </c>
      <c r="Q306" s="15">
        <v>6</v>
      </c>
      <c r="R306" s="15">
        <v>42</v>
      </c>
      <c r="S306" s="15">
        <v>48</v>
      </c>
    </row>
    <row r="307" spans="1:19" x14ac:dyDescent="0.35">
      <c r="A307" s="15">
        <v>915</v>
      </c>
      <c r="B307" s="16">
        <v>40584</v>
      </c>
      <c r="C307" s="15">
        <v>1</v>
      </c>
      <c r="D307" s="15">
        <v>0</v>
      </c>
      <c r="E307" s="15">
        <v>2</v>
      </c>
      <c r="F307" s="15">
        <v>15</v>
      </c>
      <c r="G307" s="15" t="str" cm="1">
        <f t="array" ref="G307">_xlfn.IFS(AND(F307&gt;=5,F307&lt;12),"Morning",AND(F307&gt;=12,F307&lt;17),"AfterNoon",AND(F307&gt;=17,F307&lt;20),"Evening",TRUE,"Night")</f>
        <v>AfterNoon</v>
      </c>
      <c r="H307" s="15" t="b">
        <v>0</v>
      </c>
      <c r="I307" s="15">
        <v>4</v>
      </c>
      <c r="J307" s="15" t="str" cm="1">
        <f t="array" ref="J307">_xlfn.IFS(I307=0,"Saturday",I307=1,"Sunday",I307=2,"Monday",I307=3,"Tuesday",I307=4,"Wednesday",I307=5,"Thusday",I307=6,"Friday")</f>
        <v>Wednesday</v>
      </c>
      <c r="K307" s="15">
        <v>1</v>
      </c>
      <c r="L307" s="15">
        <v>0.2</v>
      </c>
      <c r="M307" s="15" t="str">
        <f t="shared" si="5"/>
        <v>Rainy</v>
      </c>
      <c r="N307" s="15">
        <v>0.19700000000000001</v>
      </c>
      <c r="O307" s="15">
        <v>0.25</v>
      </c>
      <c r="P307" s="15">
        <v>0.25369999999999998</v>
      </c>
      <c r="Q307" s="15">
        <v>0</v>
      </c>
      <c r="R307" s="15">
        <v>50</v>
      </c>
      <c r="S307" s="15">
        <v>50</v>
      </c>
    </row>
    <row r="308" spans="1:19" x14ac:dyDescent="0.35">
      <c r="A308" s="15">
        <v>916</v>
      </c>
      <c r="B308" s="16">
        <v>40584</v>
      </c>
      <c r="C308" s="15">
        <v>1</v>
      </c>
      <c r="D308" s="15">
        <v>0</v>
      </c>
      <c r="E308" s="15">
        <v>2</v>
      </c>
      <c r="F308" s="15">
        <v>16</v>
      </c>
      <c r="G308" s="15" t="str" cm="1">
        <f t="array" ref="G308">_xlfn.IFS(AND(F308&gt;=5,F308&lt;12),"Morning",AND(F308&gt;=12,F308&lt;17),"AfterNoon",AND(F308&gt;=17,F308&lt;20),"Evening",TRUE,"Night")</f>
        <v>AfterNoon</v>
      </c>
      <c r="H308" s="15" t="b">
        <v>0</v>
      </c>
      <c r="I308" s="15">
        <v>4</v>
      </c>
      <c r="J308" s="15" t="str" cm="1">
        <f t="array" ref="J308">_xlfn.IFS(I308=0,"Saturday",I308=1,"Sunday",I308=2,"Monday",I308=3,"Tuesday",I308=4,"Wednesday",I308=5,"Thusday",I308=6,"Friday")</f>
        <v>Wednesday</v>
      </c>
      <c r="K308" s="15">
        <v>1</v>
      </c>
      <c r="L308" s="15">
        <v>0.2</v>
      </c>
      <c r="M308" s="15" t="str">
        <f t="shared" si="5"/>
        <v>Rainy</v>
      </c>
      <c r="N308" s="15">
        <v>0.18179999999999999</v>
      </c>
      <c r="O308" s="15">
        <v>0.27</v>
      </c>
      <c r="P308" s="15">
        <v>0.29849999999999999</v>
      </c>
      <c r="Q308" s="15">
        <v>4</v>
      </c>
      <c r="R308" s="15">
        <v>76</v>
      </c>
      <c r="S308" s="15">
        <v>80</v>
      </c>
    </row>
    <row r="309" spans="1:19" x14ac:dyDescent="0.35">
      <c r="A309" s="15">
        <v>917</v>
      </c>
      <c r="B309" s="16">
        <v>40584</v>
      </c>
      <c r="C309" s="15">
        <v>1</v>
      </c>
      <c r="D309" s="15">
        <v>0</v>
      </c>
      <c r="E309" s="15">
        <v>2</v>
      </c>
      <c r="F309" s="15">
        <v>17</v>
      </c>
      <c r="G309" s="15" t="str" cm="1">
        <f t="array" ref="G309">_xlfn.IFS(AND(F309&gt;=5,F309&lt;12),"Morning",AND(F309&gt;=12,F309&lt;17),"AfterNoon",AND(F309&gt;=17,F309&lt;20),"Evening",TRUE,"Night")</f>
        <v>Evening</v>
      </c>
      <c r="H309" s="15" t="b">
        <v>0</v>
      </c>
      <c r="I309" s="15">
        <v>4</v>
      </c>
      <c r="J309" s="15" t="str" cm="1">
        <f t="array" ref="J309">_xlfn.IFS(I309=0,"Saturday",I309=1,"Sunday",I309=2,"Monday",I309=3,"Tuesday",I309=4,"Wednesday",I309=5,"Thusday",I309=6,"Friday")</f>
        <v>Wednesday</v>
      </c>
      <c r="K309" s="15">
        <v>1</v>
      </c>
      <c r="L309" s="15">
        <v>0.18</v>
      </c>
      <c r="M309" s="15" t="str">
        <f t="shared" si="5"/>
        <v>Rainy</v>
      </c>
      <c r="N309" s="15">
        <v>0.18179999999999999</v>
      </c>
      <c r="O309" s="15">
        <v>0.26</v>
      </c>
      <c r="P309" s="15">
        <v>0.19400000000000001</v>
      </c>
      <c r="Q309" s="15">
        <v>6</v>
      </c>
      <c r="R309" s="15">
        <v>159</v>
      </c>
      <c r="S309" s="15">
        <v>165</v>
      </c>
    </row>
    <row r="310" spans="1:19" x14ac:dyDescent="0.35">
      <c r="A310" s="15">
        <v>918</v>
      </c>
      <c r="B310" s="16">
        <v>40584</v>
      </c>
      <c r="C310" s="15">
        <v>1</v>
      </c>
      <c r="D310" s="15">
        <v>0</v>
      </c>
      <c r="E310" s="15">
        <v>2</v>
      </c>
      <c r="F310" s="15">
        <v>18</v>
      </c>
      <c r="G310" s="15" t="str" cm="1">
        <f t="array" ref="G310">_xlfn.IFS(AND(F310&gt;=5,F310&lt;12),"Morning",AND(F310&gt;=12,F310&lt;17),"AfterNoon",AND(F310&gt;=17,F310&lt;20),"Evening",TRUE,"Night")</f>
        <v>Evening</v>
      </c>
      <c r="H310" s="15" t="b">
        <v>0</v>
      </c>
      <c r="I310" s="15">
        <v>4</v>
      </c>
      <c r="J310" s="15" t="str" cm="1">
        <f t="array" ref="J310">_xlfn.IFS(I310=0,"Saturday",I310=1,"Sunday",I310=2,"Monday",I310=3,"Tuesday",I310=4,"Wednesday",I310=5,"Thusday",I310=6,"Friday")</f>
        <v>Wednesday</v>
      </c>
      <c r="K310" s="15">
        <v>1</v>
      </c>
      <c r="L310" s="15">
        <v>0.16</v>
      </c>
      <c r="M310" s="15" t="str">
        <f t="shared" si="5"/>
        <v>Rainy</v>
      </c>
      <c r="N310" s="15">
        <v>0.18179999999999999</v>
      </c>
      <c r="O310" s="15">
        <v>0.28000000000000003</v>
      </c>
      <c r="P310" s="15">
        <v>0.1343</v>
      </c>
      <c r="Q310" s="15">
        <v>3</v>
      </c>
      <c r="R310" s="15">
        <v>157</v>
      </c>
      <c r="S310" s="15">
        <v>160</v>
      </c>
    </row>
    <row r="311" spans="1:19" x14ac:dyDescent="0.35">
      <c r="A311" s="15">
        <v>919</v>
      </c>
      <c r="B311" s="16">
        <v>40584</v>
      </c>
      <c r="C311" s="15">
        <v>1</v>
      </c>
      <c r="D311" s="15">
        <v>0</v>
      </c>
      <c r="E311" s="15">
        <v>2</v>
      </c>
      <c r="F311" s="15">
        <v>19</v>
      </c>
      <c r="G311" s="15" t="str" cm="1">
        <f t="array" ref="G311">_xlfn.IFS(AND(F311&gt;=5,F311&lt;12),"Morning",AND(F311&gt;=12,F311&lt;17),"AfterNoon",AND(F311&gt;=17,F311&lt;20),"Evening",TRUE,"Night")</f>
        <v>Evening</v>
      </c>
      <c r="H311" s="15" t="b">
        <v>0</v>
      </c>
      <c r="I311" s="15">
        <v>4</v>
      </c>
      <c r="J311" s="15" t="str" cm="1">
        <f t="array" ref="J311">_xlfn.IFS(I311=0,"Saturday",I311=1,"Sunday",I311=2,"Monday",I311=3,"Tuesday",I311=4,"Wednesday",I311=5,"Thusday",I311=6,"Friday")</f>
        <v>Wednesday</v>
      </c>
      <c r="K311" s="15">
        <v>1</v>
      </c>
      <c r="L311" s="15">
        <v>0.14000000000000001</v>
      </c>
      <c r="M311" s="15" t="str">
        <f t="shared" si="5"/>
        <v>Rainy</v>
      </c>
      <c r="N311" s="15">
        <v>0.16669999999999999</v>
      </c>
      <c r="O311" s="15">
        <v>0.28000000000000003</v>
      </c>
      <c r="P311" s="15">
        <v>0.1045</v>
      </c>
      <c r="Q311" s="15">
        <v>2</v>
      </c>
      <c r="R311" s="15">
        <v>110</v>
      </c>
      <c r="S311" s="15">
        <v>112</v>
      </c>
    </row>
    <row r="312" spans="1:19" x14ac:dyDescent="0.35">
      <c r="A312" s="15">
        <v>920</v>
      </c>
      <c r="B312" s="16">
        <v>40584</v>
      </c>
      <c r="C312" s="15">
        <v>1</v>
      </c>
      <c r="D312" s="15">
        <v>0</v>
      </c>
      <c r="E312" s="15">
        <v>2</v>
      </c>
      <c r="F312" s="15">
        <v>20</v>
      </c>
      <c r="G312" s="15" t="str" cm="1">
        <f t="array" ref="G312">_xlfn.IFS(AND(F312&gt;=5,F312&lt;12),"Morning",AND(F312&gt;=12,F312&lt;17),"AfterNoon",AND(F312&gt;=17,F312&lt;20),"Evening",TRUE,"Night")</f>
        <v>Night</v>
      </c>
      <c r="H312" s="15" t="b">
        <v>0</v>
      </c>
      <c r="I312" s="15">
        <v>4</v>
      </c>
      <c r="J312" s="15" t="str" cm="1">
        <f t="array" ref="J312">_xlfn.IFS(I312=0,"Saturday",I312=1,"Sunday",I312=2,"Monday",I312=3,"Tuesday",I312=4,"Wednesday",I312=5,"Thusday",I312=6,"Friday")</f>
        <v>Wednesday</v>
      </c>
      <c r="K312" s="15">
        <v>1</v>
      </c>
      <c r="L312" s="15">
        <v>0.14000000000000001</v>
      </c>
      <c r="M312" s="15" t="str">
        <f t="shared" si="5"/>
        <v>Rainy</v>
      </c>
      <c r="N312" s="15">
        <v>0.18179999999999999</v>
      </c>
      <c r="O312" s="15">
        <v>0.31</v>
      </c>
      <c r="P312" s="15">
        <v>8.9599999999999999E-2</v>
      </c>
      <c r="Q312" s="15">
        <v>4</v>
      </c>
      <c r="R312" s="15">
        <v>93</v>
      </c>
      <c r="S312" s="15">
        <v>97</v>
      </c>
    </row>
    <row r="313" spans="1:19" x14ac:dyDescent="0.35">
      <c r="A313" s="15">
        <v>921</v>
      </c>
      <c r="B313" s="16">
        <v>40584</v>
      </c>
      <c r="C313" s="15">
        <v>1</v>
      </c>
      <c r="D313" s="15">
        <v>0</v>
      </c>
      <c r="E313" s="15">
        <v>2</v>
      </c>
      <c r="F313" s="15">
        <v>21</v>
      </c>
      <c r="G313" s="15" t="str" cm="1">
        <f t="array" ref="G313">_xlfn.IFS(AND(F313&gt;=5,F313&lt;12),"Morning",AND(F313&gt;=12,F313&lt;17),"AfterNoon",AND(F313&gt;=17,F313&lt;20),"Evening",TRUE,"Night")</f>
        <v>Night</v>
      </c>
      <c r="H313" s="15" t="b">
        <v>0</v>
      </c>
      <c r="I313" s="15">
        <v>4</v>
      </c>
      <c r="J313" s="15" t="str" cm="1">
        <f t="array" ref="J313">_xlfn.IFS(I313=0,"Saturday",I313=1,"Sunday",I313=2,"Monday",I313=3,"Tuesday",I313=4,"Wednesday",I313=5,"Thusday",I313=6,"Friday")</f>
        <v>Wednesday</v>
      </c>
      <c r="K313" s="15">
        <v>1</v>
      </c>
      <c r="L313" s="15">
        <v>0.14000000000000001</v>
      </c>
      <c r="M313" s="15" t="str">
        <f t="shared" si="5"/>
        <v>Rainy</v>
      </c>
      <c r="N313" s="15">
        <v>0.21210000000000001</v>
      </c>
      <c r="O313" s="15">
        <v>0.39</v>
      </c>
      <c r="P313" s="15">
        <v>0</v>
      </c>
      <c r="Q313" s="15">
        <v>2</v>
      </c>
      <c r="R313" s="15">
        <v>70</v>
      </c>
      <c r="S313" s="15">
        <v>72</v>
      </c>
    </row>
    <row r="314" spans="1:19" x14ac:dyDescent="0.35">
      <c r="A314" s="15">
        <v>922</v>
      </c>
      <c r="B314" s="16">
        <v>40584</v>
      </c>
      <c r="C314" s="15">
        <v>1</v>
      </c>
      <c r="D314" s="15">
        <v>0</v>
      </c>
      <c r="E314" s="15">
        <v>2</v>
      </c>
      <c r="F314" s="15">
        <v>22</v>
      </c>
      <c r="G314" s="15" t="str" cm="1">
        <f t="array" ref="G314">_xlfn.IFS(AND(F314&gt;=5,F314&lt;12),"Morning",AND(F314&gt;=12,F314&lt;17),"AfterNoon",AND(F314&gt;=17,F314&lt;20),"Evening",TRUE,"Night")</f>
        <v>Night</v>
      </c>
      <c r="H314" s="15" t="b">
        <v>0</v>
      </c>
      <c r="I314" s="15">
        <v>4</v>
      </c>
      <c r="J314" s="15" t="str" cm="1">
        <f t="array" ref="J314">_xlfn.IFS(I314=0,"Saturday",I314=1,"Sunday",I314=2,"Monday",I314=3,"Tuesday",I314=4,"Wednesday",I314=5,"Thusday",I314=6,"Friday")</f>
        <v>Wednesday</v>
      </c>
      <c r="K314" s="15">
        <v>1</v>
      </c>
      <c r="L314" s="15">
        <v>0.12</v>
      </c>
      <c r="M314" s="15" t="str">
        <f t="shared" si="5"/>
        <v>Rainy</v>
      </c>
      <c r="N314" s="15">
        <v>0.19700000000000001</v>
      </c>
      <c r="O314" s="15">
        <v>0.39</v>
      </c>
      <c r="P314" s="15">
        <v>0</v>
      </c>
      <c r="Q314" s="15">
        <v>4</v>
      </c>
      <c r="R314" s="15">
        <v>47</v>
      </c>
      <c r="S314" s="15">
        <v>51</v>
      </c>
    </row>
    <row r="315" spans="1:19" x14ac:dyDescent="0.35">
      <c r="A315" s="15">
        <v>923</v>
      </c>
      <c r="B315" s="16">
        <v>40584</v>
      </c>
      <c r="C315" s="15">
        <v>1</v>
      </c>
      <c r="D315" s="15">
        <v>0</v>
      </c>
      <c r="E315" s="15">
        <v>2</v>
      </c>
      <c r="F315" s="15">
        <v>23</v>
      </c>
      <c r="G315" s="15" t="str" cm="1">
        <f t="array" ref="G315">_xlfn.IFS(AND(F315&gt;=5,F315&lt;12),"Morning",AND(F315&gt;=12,F315&lt;17),"AfterNoon",AND(F315&gt;=17,F315&lt;20),"Evening",TRUE,"Night")</f>
        <v>Night</v>
      </c>
      <c r="H315" s="15" t="b">
        <v>0</v>
      </c>
      <c r="I315" s="15">
        <v>4</v>
      </c>
      <c r="J315" s="15" t="str" cm="1">
        <f t="array" ref="J315">_xlfn.IFS(I315=0,"Saturday",I315=1,"Sunday",I315=2,"Monday",I315=3,"Tuesday",I315=4,"Wednesday",I315=5,"Thusday",I315=6,"Friday")</f>
        <v>Wednesday</v>
      </c>
      <c r="K315" s="15">
        <v>1</v>
      </c>
      <c r="L315" s="15">
        <v>0.12</v>
      </c>
      <c r="M315" s="15" t="str">
        <f t="shared" si="5"/>
        <v>Rainy</v>
      </c>
      <c r="N315" s="15">
        <v>0.1515</v>
      </c>
      <c r="O315" s="15">
        <v>0.42</v>
      </c>
      <c r="P315" s="15">
        <v>0.1045</v>
      </c>
      <c r="Q315" s="15">
        <v>1</v>
      </c>
      <c r="R315" s="15">
        <v>33</v>
      </c>
      <c r="S315" s="15">
        <v>34</v>
      </c>
    </row>
    <row r="316" spans="1:19" x14ac:dyDescent="0.35">
      <c r="A316" s="15">
        <v>924</v>
      </c>
      <c r="B316" s="16">
        <v>40585</v>
      </c>
      <c r="C316" s="15">
        <v>1</v>
      </c>
      <c r="D316" s="15">
        <v>0</v>
      </c>
      <c r="E316" s="15">
        <v>2</v>
      </c>
      <c r="F316" s="15">
        <v>0</v>
      </c>
      <c r="G316" s="15" t="str" cm="1">
        <f t="array" ref="G316">_xlfn.IFS(AND(F316&gt;=5,F316&lt;12),"Morning",AND(F316&gt;=12,F316&lt;17),"AfterNoon",AND(F316&gt;=17,F316&lt;20),"Evening",TRUE,"Night")</f>
        <v>Night</v>
      </c>
      <c r="H316" s="15" t="b">
        <v>0</v>
      </c>
      <c r="I316" s="15">
        <v>5</v>
      </c>
      <c r="J316" s="15" t="str" cm="1">
        <f t="array" ref="J316">_xlfn.IFS(I316=0,"Saturday",I316=1,"Sunday",I316=2,"Monday",I316=3,"Tuesday",I316=4,"Wednesday",I316=5,"Thusday",I316=6,"Friday")</f>
        <v>Thusday</v>
      </c>
      <c r="K316" s="15">
        <v>1</v>
      </c>
      <c r="L316" s="15">
        <v>0.1</v>
      </c>
      <c r="M316" s="15" t="str">
        <f t="shared" si="5"/>
        <v>Stromy</v>
      </c>
      <c r="N316" s="15">
        <v>0.13639999999999999</v>
      </c>
      <c r="O316" s="15">
        <v>0.49</v>
      </c>
      <c r="P316" s="15">
        <v>0.1045</v>
      </c>
      <c r="Q316" s="15">
        <v>2</v>
      </c>
      <c r="R316" s="15">
        <v>12</v>
      </c>
      <c r="S316" s="15">
        <v>14</v>
      </c>
    </row>
    <row r="317" spans="1:19" x14ac:dyDescent="0.35">
      <c r="A317" s="15">
        <v>925</v>
      </c>
      <c r="B317" s="16">
        <v>40585</v>
      </c>
      <c r="C317" s="15">
        <v>1</v>
      </c>
      <c r="D317" s="15">
        <v>0</v>
      </c>
      <c r="E317" s="15">
        <v>2</v>
      </c>
      <c r="F317" s="15">
        <v>1</v>
      </c>
      <c r="G317" s="15" t="str" cm="1">
        <f t="array" ref="G317">_xlfn.IFS(AND(F317&gt;=5,F317&lt;12),"Morning",AND(F317&gt;=12,F317&lt;17),"AfterNoon",AND(F317&gt;=17,F317&lt;20),"Evening",TRUE,"Night")</f>
        <v>Night</v>
      </c>
      <c r="H317" s="15" t="b">
        <v>0</v>
      </c>
      <c r="I317" s="15">
        <v>5</v>
      </c>
      <c r="J317" s="15" t="str" cm="1">
        <f t="array" ref="J317">_xlfn.IFS(I317=0,"Saturday",I317=1,"Sunday",I317=2,"Monday",I317=3,"Tuesday",I317=4,"Wednesday",I317=5,"Thusday",I317=6,"Friday")</f>
        <v>Thusday</v>
      </c>
      <c r="K317" s="15">
        <v>1</v>
      </c>
      <c r="L317" s="15">
        <v>0.1</v>
      </c>
      <c r="M317" s="15" t="str">
        <f t="shared" si="5"/>
        <v>Stromy</v>
      </c>
      <c r="N317" s="15">
        <v>0.13639999999999999</v>
      </c>
      <c r="O317" s="15">
        <v>0.54</v>
      </c>
      <c r="P317" s="15">
        <v>8.9599999999999999E-2</v>
      </c>
      <c r="Q317" s="15">
        <v>1</v>
      </c>
      <c r="R317" s="15">
        <v>6</v>
      </c>
      <c r="S317" s="15">
        <v>7</v>
      </c>
    </row>
    <row r="318" spans="1:19" x14ac:dyDescent="0.35">
      <c r="A318" s="15">
        <v>926</v>
      </c>
      <c r="B318" s="16">
        <v>40585</v>
      </c>
      <c r="C318" s="15">
        <v>1</v>
      </c>
      <c r="D318" s="15">
        <v>0</v>
      </c>
      <c r="E318" s="15">
        <v>2</v>
      </c>
      <c r="F318" s="15">
        <v>2</v>
      </c>
      <c r="G318" s="15" t="str" cm="1">
        <f t="array" ref="G318">_xlfn.IFS(AND(F318&gt;=5,F318&lt;12),"Morning",AND(F318&gt;=12,F318&lt;17),"AfterNoon",AND(F318&gt;=17,F318&lt;20),"Evening",TRUE,"Night")</f>
        <v>Night</v>
      </c>
      <c r="H318" s="15" t="b">
        <v>0</v>
      </c>
      <c r="I318" s="15">
        <v>5</v>
      </c>
      <c r="J318" s="15" t="str" cm="1">
        <f t="array" ref="J318">_xlfn.IFS(I318=0,"Saturday",I318=1,"Sunday",I318=2,"Monday",I318=3,"Tuesday",I318=4,"Wednesday",I318=5,"Thusday",I318=6,"Friday")</f>
        <v>Thusday</v>
      </c>
      <c r="K318" s="15">
        <v>1</v>
      </c>
      <c r="L318" s="15">
        <v>0.1</v>
      </c>
      <c r="M318" s="15" t="str">
        <f t="shared" si="5"/>
        <v>Stromy</v>
      </c>
      <c r="N318" s="15">
        <v>0.13639999999999999</v>
      </c>
      <c r="O318" s="15">
        <v>0.54</v>
      </c>
      <c r="P318" s="15">
        <v>8.9599999999999999E-2</v>
      </c>
      <c r="Q318" s="15">
        <v>0</v>
      </c>
      <c r="R318" s="15">
        <v>3</v>
      </c>
      <c r="S318" s="15">
        <v>3</v>
      </c>
    </row>
    <row r="319" spans="1:19" x14ac:dyDescent="0.35">
      <c r="A319" s="15">
        <v>927</v>
      </c>
      <c r="B319" s="16">
        <v>40585</v>
      </c>
      <c r="C319" s="15">
        <v>1</v>
      </c>
      <c r="D319" s="15">
        <v>0</v>
      </c>
      <c r="E319" s="15">
        <v>2</v>
      </c>
      <c r="F319" s="15">
        <v>5</v>
      </c>
      <c r="G319" s="15" t="str" cm="1">
        <f t="array" ref="G319">_xlfn.IFS(AND(F319&gt;=5,F319&lt;12),"Morning",AND(F319&gt;=12,F319&lt;17),"AfterNoon",AND(F319&gt;=17,F319&lt;20),"Evening",TRUE,"Night")</f>
        <v>Morning</v>
      </c>
      <c r="H319" s="15" t="b">
        <v>0</v>
      </c>
      <c r="I319" s="15">
        <v>5</v>
      </c>
      <c r="J319" s="15" t="str" cm="1">
        <f t="array" ref="J319">_xlfn.IFS(I319=0,"Saturday",I319=1,"Sunday",I319=2,"Monday",I319=3,"Tuesday",I319=4,"Wednesday",I319=5,"Thusday",I319=6,"Friday")</f>
        <v>Thusday</v>
      </c>
      <c r="K319" s="15">
        <v>1</v>
      </c>
      <c r="L319" s="15">
        <v>0.08</v>
      </c>
      <c r="M319" s="15" t="str">
        <f t="shared" si="5"/>
        <v>Stromy</v>
      </c>
      <c r="N319" s="15">
        <v>0.1212</v>
      </c>
      <c r="O319" s="15">
        <v>0.63</v>
      </c>
      <c r="P319" s="15">
        <v>8.9599999999999999E-2</v>
      </c>
      <c r="Q319" s="15">
        <v>0</v>
      </c>
      <c r="R319" s="15">
        <v>4</v>
      </c>
      <c r="S319" s="15">
        <v>4</v>
      </c>
    </row>
    <row r="320" spans="1:19" x14ac:dyDescent="0.35">
      <c r="A320" s="15">
        <v>928</v>
      </c>
      <c r="B320" s="16">
        <v>40585</v>
      </c>
      <c r="C320" s="15">
        <v>1</v>
      </c>
      <c r="D320" s="15">
        <v>0</v>
      </c>
      <c r="E320" s="15">
        <v>2</v>
      </c>
      <c r="F320" s="15">
        <v>6</v>
      </c>
      <c r="G320" s="15" t="str" cm="1">
        <f t="array" ref="G320">_xlfn.IFS(AND(F320&gt;=5,F320&lt;12),"Morning",AND(F320&gt;=12,F320&lt;17),"AfterNoon",AND(F320&gt;=17,F320&lt;20),"Evening",TRUE,"Night")</f>
        <v>Morning</v>
      </c>
      <c r="H320" s="15" t="b">
        <v>0</v>
      </c>
      <c r="I320" s="15">
        <v>5</v>
      </c>
      <c r="J320" s="15" t="str" cm="1">
        <f t="array" ref="J320">_xlfn.IFS(I320=0,"Saturday",I320=1,"Sunday",I320=2,"Monday",I320=3,"Tuesday",I320=4,"Wednesday",I320=5,"Thusday",I320=6,"Friday")</f>
        <v>Thusday</v>
      </c>
      <c r="K320" s="15">
        <v>1</v>
      </c>
      <c r="L320" s="15">
        <v>0.1</v>
      </c>
      <c r="M320" s="15" t="str">
        <f t="shared" si="5"/>
        <v>Stromy</v>
      </c>
      <c r="N320" s="15">
        <v>0.18179999999999999</v>
      </c>
      <c r="O320" s="15">
        <v>0.68</v>
      </c>
      <c r="P320" s="15">
        <v>0</v>
      </c>
      <c r="Q320" s="15">
        <v>1</v>
      </c>
      <c r="R320" s="15">
        <v>23</v>
      </c>
      <c r="S320" s="15">
        <v>24</v>
      </c>
    </row>
    <row r="321" spans="1:19" x14ac:dyDescent="0.35">
      <c r="A321" s="15">
        <v>929</v>
      </c>
      <c r="B321" s="16">
        <v>40585</v>
      </c>
      <c r="C321" s="15">
        <v>1</v>
      </c>
      <c r="D321" s="15">
        <v>0</v>
      </c>
      <c r="E321" s="15">
        <v>2</v>
      </c>
      <c r="F321" s="15">
        <v>7</v>
      </c>
      <c r="G321" s="15" t="str" cm="1">
        <f t="array" ref="G321">_xlfn.IFS(AND(F321&gt;=5,F321&lt;12),"Morning",AND(F321&gt;=12,F321&lt;17),"AfterNoon",AND(F321&gt;=17,F321&lt;20),"Evening",TRUE,"Night")</f>
        <v>Morning</v>
      </c>
      <c r="H321" s="15" t="b">
        <v>0</v>
      </c>
      <c r="I321" s="15">
        <v>5</v>
      </c>
      <c r="J321" s="15" t="str" cm="1">
        <f t="array" ref="J321">_xlfn.IFS(I321=0,"Saturday",I321=1,"Sunday",I321=2,"Monday",I321=3,"Tuesday",I321=4,"Wednesday",I321=5,"Thusday",I321=6,"Friday")</f>
        <v>Thusday</v>
      </c>
      <c r="K321" s="15">
        <v>1</v>
      </c>
      <c r="L321" s="15">
        <v>0.08</v>
      </c>
      <c r="M321" s="15" t="str">
        <f t="shared" si="5"/>
        <v>Stromy</v>
      </c>
      <c r="N321" s="15">
        <v>0.16669999999999999</v>
      </c>
      <c r="O321" s="15">
        <v>0.73</v>
      </c>
      <c r="P321" s="15">
        <v>0</v>
      </c>
      <c r="Q321" s="15">
        <v>1</v>
      </c>
      <c r="R321" s="15">
        <v>73</v>
      </c>
      <c r="S321" s="15">
        <v>74</v>
      </c>
    </row>
    <row r="322" spans="1:19" x14ac:dyDescent="0.35">
      <c r="A322" s="15">
        <v>930</v>
      </c>
      <c r="B322" s="16">
        <v>40585</v>
      </c>
      <c r="C322" s="15">
        <v>1</v>
      </c>
      <c r="D322" s="15">
        <v>0</v>
      </c>
      <c r="E322" s="15">
        <v>2</v>
      </c>
      <c r="F322" s="15">
        <v>8</v>
      </c>
      <c r="G322" s="15" t="str" cm="1">
        <f t="array" ref="G322">_xlfn.IFS(AND(F322&gt;=5,F322&lt;12),"Morning",AND(F322&gt;=12,F322&lt;17),"AfterNoon",AND(F322&gt;=17,F322&lt;20),"Evening",TRUE,"Night")</f>
        <v>Morning</v>
      </c>
      <c r="H322" s="15" t="b">
        <v>0</v>
      </c>
      <c r="I322" s="15">
        <v>5</v>
      </c>
      <c r="J322" s="15" t="str" cm="1">
        <f t="array" ref="J322">_xlfn.IFS(I322=0,"Saturday",I322=1,"Sunday",I322=2,"Monday",I322=3,"Tuesday",I322=4,"Wednesday",I322=5,"Thusday",I322=6,"Friday")</f>
        <v>Thusday</v>
      </c>
      <c r="K322" s="15">
        <v>1</v>
      </c>
      <c r="L322" s="15">
        <v>0.1</v>
      </c>
      <c r="M322" s="15" t="str">
        <f t="shared" si="5"/>
        <v>Stromy</v>
      </c>
      <c r="N322" s="15">
        <v>0.1212</v>
      </c>
      <c r="O322" s="15">
        <v>0.74</v>
      </c>
      <c r="P322" s="15">
        <v>0.16420000000000001</v>
      </c>
      <c r="Q322" s="15">
        <v>4</v>
      </c>
      <c r="R322" s="15">
        <v>212</v>
      </c>
      <c r="S322" s="15">
        <v>216</v>
      </c>
    </row>
    <row r="323" spans="1:19" x14ac:dyDescent="0.35">
      <c r="A323" s="15">
        <v>931</v>
      </c>
      <c r="B323" s="16">
        <v>40585</v>
      </c>
      <c r="C323" s="15">
        <v>1</v>
      </c>
      <c r="D323" s="15">
        <v>0</v>
      </c>
      <c r="E323" s="15">
        <v>2</v>
      </c>
      <c r="F323" s="15">
        <v>9</v>
      </c>
      <c r="G323" s="15" t="str" cm="1">
        <f t="array" ref="G323">_xlfn.IFS(AND(F323&gt;=5,F323&lt;12),"Morning",AND(F323&gt;=12,F323&lt;17),"AfterNoon",AND(F323&gt;=17,F323&lt;20),"Evening",TRUE,"Night")</f>
        <v>Morning</v>
      </c>
      <c r="H323" s="15" t="b">
        <v>0</v>
      </c>
      <c r="I323" s="15">
        <v>5</v>
      </c>
      <c r="J323" s="15" t="str" cm="1">
        <f t="array" ref="J323">_xlfn.IFS(I323=0,"Saturday",I323=1,"Sunday",I323=2,"Monday",I323=3,"Tuesday",I323=4,"Wednesday",I323=5,"Thusday",I323=6,"Friday")</f>
        <v>Thusday</v>
      </c>
      <c r="K323" s="15">
        <v>1</v>
      </c>
      <c r="L323" s="15">
        <v>0.12</v>
      </c>
      <c r="M323" s="15" t="str">
        <f t="shared" si="5"/>
        <v>Rainy</v>
      </c>
      <c r="N323" s="15">
        <v>0.1212</v>
      </c>
      <c r="O323" s="15">
        <v>0.74</v>
      </c>
      <c r="P323" s="15">
        <v>0.22389999999999999</v>
      </c>
      <c r="Q323" s="15">
        <v>8</v>
      </c>
      <c r="R323" s="15">
        <v>132</v>
      </c>
      <c r="S323" s="15">
        <v>140</v>
      </c>
    </row>
    <row r="324" spans="1:19" x14ac:dyDescent="0.35">
      <c r="A324" s="15">
        <v>932</v>
      </c>
      <c r="B324" s="16">
        <v>40585</v>
      </c>
      <c r="C324" s="15">
        <v>1</v>
      </c>
      <c r="D324" s="15">
        <v>0</v>
      </c>
      <c r="E324" s="15">
        <v>2</v>
      </c>
      <c r="F324" s="15">
        <v>10</v>
      </c>
      <c r="G324" s="15" t="str" cm="1">
        <f t="array" ref="G324">_xlfn.IFS(AND(F324&gt;=5,F324&lt;12),"Morning",AND(F324&gt;=12,F324&lt;17),"AfterNoon",AND(F324&gt;=17,F324&lt;20),"Evening",TRUE,"Night")</f>
        <v>Morning</v>
      </c>
      <c r="H324" s="15" t="b">
        <v>0</v>
      </c>
      <c r="I324" s="15">
        <v>5</v>
      </c>
      <c r="J324" s="15" t="str" cm="1">
        <f t="array" ref="J324">_xlfn.IFS(I324=0,"Saturday",I324=1,"Sunday",I324=2,"Monday",I324=3,"Tuesday",I324=4,"Wednesday",I324=5,"Thusday",I324=6,"Friday")</f>
        <v>Thusday</v>
      </c>
      <c r="K324" s="15">
        <v>1</v>
      </c>
      <c r="L324" s="15">
        <v>0.14000000000000001</v>
      </c>
      <c r="M324" s="15" t="str">
        <f t="shared" ref="M324:M387" si="6">IF(L324&lt;=0.1,"Stromy",IF(L324&lt;=0.2,"Rainy",IF(L324&lt;=0.3,"Cloudy","Sunny")))</f>
        <v>Rainy</v>
      </c>
      <c r="N324" s="15">
        <v>0.13639999999999999</v>
      </c>
      <c r="O324" s="15">
        <v>0.69</v>
      </c>
      <c r="P324" s="15">
        <v>0.19400000000000001</v>
      </c>
      <c r="Q324" s="15">
        <v>5</v>
      </c>
      <c r="R324" s="15">
        <v>39</v>
      </c>
      <c r="S324" s="15">
        <v>44</v>
      </c>
    </row>
    <row r="325" spans="1:19" x14ac:dyDescent="0.35">
      <c r="A325" s="15">
        <v>933</v>
      </c>
      <c r="B325" s="16">
        <v>40585</v>
      </c>
      <c r="C325" s="15">
        <v>1</v>
      </c>
      <c r="D325" s="15">
        <v>0</v>
      </c>
      <c r="E325" s="15">
        <v>2</v>
      </c>
      <c r="F325" s="15">
        <v>11</v>
      </c>
      <c r="G325" s="15" t="str" cm="1">
        <f t="array" ref="G325">_xlfn.IFS(AND(F325&gt;=5,F325&lt;12),"Morning",AND(F325&gt;=12,F325&lt;17),"AfterNoon",AND(F325&gt;=17,F325&lt;20),"Evening",TRUE,"Night")</f>
        <v>Morning</v>
      </c>
      <c r="H325" s="15" t="b">
        <v>0</v>
      </c>
      <c r="I325" s="15">
        <v>5</v>
      </c>
      <c r="J325" s="15" t="str" cm="1">
        <f t="array" ref="J325">_xlfn.IFS(I325=0,"Saturday",I325=1,"Sunday",I325=2,"Monday",I325=3,"Tuesday",I325=4,"Wednesday",I325=5,"Thusday",I325=6,"Friday")</f>
        <v>Thusday</v>
      </c>
      <c r="K325" s="15">
        <v>1</v>
      </c>
      <c r="L325" s="15">
        <v>0.22</v>
      </c>
      <c r="M325" s="15" t="str">
        <f t="shared" si="6"/>
        <v>Cloudy</v>
      </c>
      <c r="N325" s="15">
        <v>0.2273</v>
      </c>
      <c r="O325" s="15">
        <v>0.47</v>
      </c>
      <c r="P325" s="15">
        <v>0.1343</v>
      </c>
      <c r="Q325" s="15">
        <v>12</v>
      </c>
      <c r="R325" s="15">
        <v>52</v>
      </c>
      <c r="S325" s="15">
        <v>64</v>
      </c>
    </row>
    <row r="326" spans="1:19" x14ac:dyDescent="0.35">
      <c r="A326" s="15">
        <v>934</v>
      </c>
      <c r="B326" s="16">
        <v>40585</v>
      </c>
      <c r="C326" s="15">
        <v>1</v>
      </c>
      <c r="D326" s="15">
        <v>0</v>
      </c>
      <c r="E326" s="15">
        <v>2</v>
      </c>
      <c r="F326" s="15">
        <v>12</v>
      </c>
      <c r="G326" s="15" t="str" cm="1">
        <f t="array" ref="G326">_xlfn.IFS(AND(F326&gt;=5,F326&lt;12),"Morning",AND(F326&gt;=12,F326&lt;17),"AfterNoon",AND(F326&gt;=17,F326&lt;20),"Evening",TRUE,"Night")</f>
        <v>AfterNoon</v>
      </c>
      <c r="H326" s="15" t="b">
        <v>0</v>
      </c>
      <c r="I326" s="15">
        <v>5</v>
      </c>
      <c r="J326" s="15" t="str" cm="1">
        <f t="array" ref="J326">_xlfn.IFS(I326=0,"Saturday",I326=1,"Sunday",I326=2,"Monday",I326=3,"Tuesday",I326=4,"Wednesday",I326=5,"Thusday",I326=6,"Friday")</f>
        <v>Thusday</v>
      </c>
      <c r="K326" s="15">
        <v>1</v>
      </c>
      <c r="L326" s="15">
        <v>0.22</v>
      </c>
      <c r="M326" s="15" t="str">
        <f t="shared" si="6"/>
        <v>Cloudy</v>
      </c>
      <c r="N326" s="15">
        <v>0.2273</v>
      </c>
      <c r="O326" s="15">
        <v>0.47</v>
      </c>
      <c r="P326" s="15">
        <v>0.1343</v>
      </c>
      <c r="Q326" s="15">
        <v>7</v>
      </c>
      <c r="R326" s="15">
        <v>64</v>
      </c>
      <c r="S326" s="15">
        <v>71</v>
      </c>
    </row>
    <row r="327" spans="1:19" x14ac:dyDescent="0.35">
      <c r="A327" s="15">
        <v>935</v>
      </c>
      <c r="B327" s="16">
        <v>40585</v>
      </c>
      <c r="C327" s="15">
        <v>1</v>
      </c>
      <c r="D327" s="15">
        <v>0</v>
      </c>
      <c r="E327" s="15">
        <v>2</v>
      </c>
      <c r="F327" s="15">
        <v>13</v>
      </c>
      <c r="G327" s="15" t="str" cm="1">
        <f t="array" ref="G327">_xlfn.IFS(AND(F327&gt;=5,F327&lt;12),"Morning",AND(F327&gt;=12,F327&lt;17),"AfterNoon",AND(F327&gt;=17,F327&lt;20),"Evening",TRUE,"Night")</f>
        <v>AfterNoon</v>
      </c>
      <c r="H327" s="15" t="b">
        <v>0</v>
      </c>
      <c r="I327" s="15">
        <v>5</v>
      </c>
      <c r="J327" s="15" t="str" cm="1">
        <f t="array" ref="J327">_xlfn.IFS(I327=0,"Saturday",I327=1,"Sunday",I327=2,"Monday",I327=3,"Tuesday",I327=4,"Wednesday",I327=5,"Thusday",I327=6,"Friday")</f>
        <v>Thusday</v>
      </c>
      <c r="K327" s="15">
        <v>1</v>
      </c>
      <c r="L327" s="15">
        <v>0.24</v>
      </c>
      <c r="M327" s="15" t="str">
        <f t="shared" si="6"/>
        <v>Cloudy</v>
      </c>
      <c r="N327" s="15">
        <v>0.2273</v>
      </c>
      <c r="O327" s="15">
        <v>0.35</v>
      </c>
      <c r="P327" s="15">
        <v>0.19400000000000001</v>
      </c>
      <c r="Q327" s="15">
        <v>21</v>
      </c>
      <c r="R327" s="15">
        <v>89</v>
      </c>
      <c r="S327" s="15">
        <v>110</v>
      </c>
    </row>
    <row r="328" spans="1:19" x14ac:dyDescent="0.35">
      <c r="A328" s="15">
        <v>936</v>
      </c>
      <c r="B328" s="16">
        <v>40585</v>
      </c>
      <c r="C328" s="15">
        <v>1</v>
      </c>
      <c r="D328" s="15">
        <v>0</v>
      </c>
      <c r="E328" s="15">
        <v>2</v>
      </c>
      <c r="F328" s="15">
        <v>14</v>
      </c>
      <c r="G328" s="15" t="str" cm="1">
        <f t="array" ref="G328">_xlfn.IFS(AND(F328&gt;=5,F328&lt;12),"Morning",AND(F328&gt;=12,F328&lt;17),"AfterNoon",AND(F328&gt;=17,F328&lt;20),"Evening",TRUE,"Night")</f>
        <v>AfterNoon</v>
      </c>
      <c r="H328" s="15" t="b">
        <v>0</v>
      </c>
      <c r="I328" s="15">
        <v>5</v>
      </c>
      <c r="J328" s="15" t="str" cm="1">
        <f t="array" ref="J328">_xlfn.IFS(I328=0,"Saturday",I328=1,"Sunday",I328=2,"Monday",I328=3,"Tuesday",I328=4,"Wednesday",I328=5,"Thusday",I328=6,"Friday")</f>
        <v>Thusday</v>
      </c>
      <c r="K328" s="15">
        <v>1</v>
      </c>
      <c r="L328" s="15">
        <v>0.3</v>
      </c>
      <c r="M328" s="15" t="str">
        <f t="shared" si="6"/>
        <v>Cloudy</v>
      </c>
      <c r="N328" s="15">
        <v>0.28789999999999999</v>
      </c>
      <c r="O328" s="15">
        <v>0.26</v>
      </c>
      <c r="P328" s="15">
        <v>0.25369999999999998</v>
      </c>
      <c r="Q328" s="15">
        <v>17</v>
      </c>
      <c r="R328" s="15">
        <v>67</v>
      </c>
      <c r="S328" s="15">
        <v>84</v>
      </c>
    </row>
    <row r="329" spans="1:19" x14ac:dyDescent="0.35">
      <c r="A329" s="15">
        <v>937</v>
      </c>
      <c r="B329" s="16">
        <v>40585</v>
      </c>
      <c r="C329" s="15">
        <v>1</v>
      </c>
      <c r="D329" s="15">
        <v>0</v>
      </c>
      <c r="E329" s="15">
        <v>2</v>
      </c>
      <c r="F329" s="15">
        <v>15</v>
      </c>
      <c r="G329" s="15" t="str" cm="1">
        <f t="array" ref="G329">_xlfn.IFS(AND(F329&gt;=5,F329&lt;12),"Morning",AND(F329&gt;=12,F329&lt;17),"AfterNoon",AND(F329&gt;=17,F329&lt;20),"Evening",TRUE,"Night")</f>
        <v>AfterNoon</v>
      </c>
      <c r="H329" s="15" t="b">
        <v>0</v>
      </c>
      <c r="I329" s="15">
        <v>5</v>
      </c>
      <c r="J329" s="15" t="str" cm="1">
        <f t="array" ref="J329">_xlfn.IFS(I329=0,"Saturday",I329=1,"Sunday",I329=2,"Monday",I329=3,"Tuesday",I329=4,"Wednesday",I329=5,"Thusday",I329=6,"Friday")</f>
        <v>Thusday</v>
      </c>
      <c r="K329" s="15">
        <v>1</v>
      </c>
      <c r="L329" s="15">
        <v>0.32</v>
      </c>
      <c r="M329" s="15" t="str">
        <f t="shared" si="6"/>
        <v>Sunny</v>
      </c>
      <c r="N329" s="15">
        <v>0.31819999999999998</v>
      </c>
      <c r="O329" s="15">
        <v>0.21</v>
      </c>
      <c r="P329" s="15">
        <v>0.16420000000000001</v>
      </c>
      <c r="Q329" s="15">
        <v>12</v>
      </c>
      <c r="R329" s="15">
        <v>62</v>
      </c>
      <c r="S329" s="15">
        <v>74</v>
      </c>
    </row>
    <row r="330" spans="1:19" x14ac:dyDescent="0.35">
      <c r="A330" s="15">
        <v>938</v>
      </c>
      <c r="B330" s="16">
        <v>40585</v>
      </c>
      <c r="C330" s="15">
        <v>1</v>
      </c>
      <c r="D330" s="15">
        <v>0</v>
      </c>
      <c r="E330" s="15">
        <v>2</v>
      </c>
      <c r="F330" s="15">
        <v>16</v>
      </c>
      <c r="G330" s="15" t="str" cm="1">
        <f t="array" ref="G330">_xlfn.IFS(AND(F330&gt;=5,F330&lt;12),"Morning",AND(F330&gt;=12,F330&lt;17),"AfterNoon",AND(F330&gt;=17,F330&lt;20),"Evening",TRUE,"Night")</f>
        <v>AfterNoon</v>
      </c>
      <c r="H330" s="15" t="b">
        <v>0</v>
      </c>
      <c r="I330" s="15">
        <v>5</v>
      </c>
      <c r="J330" s="15" t="str" cm="1">
        <f t="array" ref="J330">_xlfn.IFS(I330=0,"Saturday",I330=1,"Sunday",I330=2,"Monday",I330=3,"Tuesday",I330=4,"Wednesday",I330=5,"Thusday",I330=6,"Friday")</f>
        <v>Thusday</v>
      </c>
      <c r="K330" s="15">
        <v>1</v>
      </c>
      <c r="L330" s="15">
        <v>0.3</v>
      </c>
      <c r="M330" s="15" t="str">
        <f t="shared" si="6"/>
        <v>Cloudy</v>
      </c>
      <c r="N330" s="15">
        <v>0.28789999999999999</v>
      </c>
      <c r="O330" s="15">
        <v>0.28000000000000003</v>
      </c>
      <c r="P330" s="15">
        <v>0.19400000000000001</v>
      </c>
      <c r="Q330" s="15">
        <v>14</v>
      </c>
      <c r="R330" s="15">
        <v>111</v>
      </c>
      <c r="S330" s="15">
        <v>125</v>
      </c>
    </row>
    <row r="331" spans="1:19" x14ac:dyDescent="0.35">
      <c r="A331" s="15">
        <v>939</v>
      </c>
      <c r="B331" s="16">
        <v>40585</v>
      </c>
      <c r="C331" s="15">
        <v>1</v>
      </c>
      <c r="D331" s="15">
        <v>0</v>
      </c>
      <c r="E331" s="15">
        <v>2</v>
      </c>
      <c r="F331" s="15">
        <v>17</v>
      </c>
      <c r="G331" s="15" t="str" cm="1">
        <f t="array" ref="G331">_xlfn.IFS(AND(F331&gt;=5,F331&lt;12),"Morning",AND(F331&gt;=12,F331&lt;17),"AfterNoon",AND(F331&gt;=17,F331&lt;20),"Evening",TRUE,"Night")</f>
        <v>Evening</v>
      </c>
      <c r="H331" s="15" t="b">
        <v>0</v>
      </c>
      <c r="I331" s="15">
        <v>5</v>
      </c>
      <c r="J331" s="15" t="str" cm="1">
        <f t="array" ref="J331">_xlfn.IFS(I331=0,"Saturday",I331=1,"Sunday",I331=2,"Monday",I331=3,"Tuesday",I331=4,"Wednesday",I331=5,"Thusday",I331=6,"Friday")</f>
        <v>Thusday</v>
      </c>
      <c r="K331" s="15">
        <v>1</v>
      </c>
      <c r="L331" s="15">
        <v>0.3</v>
      </c>
      <c r="M331" s="15" t="str">
        <f t="shared" si="6"/>
        <v>Cloudy</v>
      </c>
      <c r="N331" s="15">
        <v>0.33329999999999999</v>
      </c>
      <c r="O331" s="15">
        <v>0.24</v>
      </c>
      <c r="P331" s="15">
        <v>0</v>
      </c>
      <c r="Q331" s="15">
        <v>18</v>
      </c>
      <c r="R331" s="15">
        <v>193</v>
      </c>
      <c r="S331" s="15">
        <v>211</v>
      </c>
    </row>
    <row r="332" spans="1:19" x14ac:dyDescent="0.35">
      <c r="A332" s="15">
        <v>940</v>
      </c>
      <c r="B332" s="16">
        <v>40585</v>
      </c>
      <c r="C332" s="15">
        <v>1</v>
      </c>
      <c r="D332" s="15">
        <v>0</v>
      </c>
      <c r="E332" s="15">
        <v>2</v>
      </c>
      <c r="F332" s="15">
        <v>18</v>
      </c>
      <c r="G332" s="15" t="str" cm="1">
        <f t="array" ref="G332">_xlfn.IFS(AND(F332&gt;=5,F332&lt;12),"Morning",AND(F332&gt;=12,F332&lt;17),"AfterNoon",AND(F332&gt;=17,F332&lt;20),"Evening",TRUE,"Night")</f>
        <v>Evening</v>
      </c>
      <c r="H332" s="15" t="b">
        <v>0</v>
      </c>
      <c r="I332" s="15">
        <v>5</v>
      </c>
      <c r="J332" s="15" t="str" cm="1">
        <f t="array" ref="J332">_xlfn.IFS(I332=0,"Saturday",I332=1,"Sunday",I332=2,"Monday",I332=3,"Tuesday",I332=4,"Wednesday",I332=5,"Thusday",I332=6,"Friday")</f>
        <v>Thusday</v>
      </c>
      <c r="K332" s="15">
        <v>1</v>
      </c>
      <c r="L332" s="15">
        <v>0.28000000000000003</v>
      </c>
      <c r="M332" s="15" t="str">
        <f t="shared" si="6"/>
        <v>Cloudy</v>
      </c>
      <c r="N332" s="15">
        <v>0.31819999999999998</v>
      </c>
      <c r="O332" s="15">
        <v>0.28000000000000003</v>
      </c>
      <c r="P332" s="15">
        <v>0</v>
      </c>
      <c r="Q332" s="15">
        <v>9</v>
      </c>
      <c r="R332" s="15">
        <v>165</v>
      </c>
      <c r="S332" s="15">
        <v>174</v>
      </c>
    </row>
    <row r="333" spans="1:19" x14ac:dyDescent="0.35">
      <c r="A333" s="15">
        <v>941</v>
      </c>
      <c r="B333" s="16">
        <v>40585</v>
      </c>
      <c r="C333" s="15">
        <v>1</v>
      </c>
      <c r="D333" s="15">
        <v>0</v>
      </c>
      <c r="E333" s="15">
        <v>2</v>
      </c>
      <c r="F333" s="15">
        <v>19</v>
      </c>
      <c r="G333" s="15" t="str" cm="1">
        <f t="array" ref="G333">_xlfn.IFS(AND(F333&gt;=5,F333&lt;12),"Morning",AND(F333&gt;=12,F333&lt;17),"AfterNoon",AND(F333&gt;=17,F333&lt;20),"Evening",TRUE,"Night")</f>
        <v>Evening</v>
      </c>
      <c r="H333" s="15" t="b">
        <v>0</v>
      </c>
      <c r="I333" s="15">
        <v>5</v>
      </c>
      <c r="J333" s="15" t="str" cm="1">
        <f t="array" ref="J333">_xlfn.IFS(I333=0,"Saturday",I333=1,"Sunday",I333=2,"Monday",I333=3,"Tuesday",I333=4,"Wednesday",I333=5,"Thusday",I333=6,"Friday")</f>
        <v>Thusday</v>
      </c>
      <c r="K333" s="15">
        <v>1</v>
      </c>
      <c r="L333" s="15">
        <v>0.26</v>
      </c>
      <c r="M333" s="15" t="str">
        <f t="shared" si="6"/>
        <v>Cloudy</v>
      </c>
      <c r="N333" s="15">
        <v>0.30299999999999999</v>
      </c>
      <c r="O333" s="15">
        <v>0.33</v>
      </c>
      <c r="P333" s="15">
        <v>0</v>
      </c>
      <c r="Q333" s="15">
        <v>7</v>
      </c>
      <c r="R333" s="15">
        <v>94</v>
      </c>
      <c r="S333" s="15">
        <v>101</v>
      </c>
    </row>
    <row r="334" spans="1:19" x14ac:dyDescent="0.35">
      <c r="A334" s="15">
        <v>942</v>
      </c>
      <c r="B334" s="16">
        <v>40585</v>
      </c>
      <c r="C334" s="15">
        <v>1</v>
      </c>
      <c r="D334" s="15">
        <v>0</v>
      </c>
      <c r="E334" s="15">
        <v>2</v>
      </c>
      <c r="F334" s="15">
        <v>20</v>
      </c>
      <c r="G334" s="15" t="str" cm="1">
        <f t="array" ref="G334">_xlfn.IFS(AND(F334&gt;=5,F334&lt;12),"Morning",AND(F334&gt;=12,F334&lt;17),"AfterNoon",AND(F334&gt;=17,F334&lt;20),"Evening",TRUE,"Night")</f>
        <v>Night</v>
      </c>
      <c r="H334" s="15" t="b">
        <v>0</v>
      </c>
      <c r="I334" s="15">
        <v>5</v>
      </c>
      <c r="J334" s="15" t="str" cm="1">
        <f t="array" ref="J334">_xlfn.IFS(I334=0,"Saturday",I334=1,"Sunday",I334=2,"Monday",I334=3,"Tuesday",I334=4,"Wednesday",I334=5,"Thusday",I334=6,"Friday")</f>
        <v>Thusday</v>
      </c>
      <c r="K334" s="15">
        <v>1</v>
      </c>
      <c r="L334" s="15">
        <v>0.22</v>
      </c>
      <c r="M334" s="15" t="str">
        <f t="shared" si="6"/>
        <v>Cloudy</v>
      </c>
      <c r="N334" s="15">
        <v>0.2273</v>
      </c>
      <c r="O334" s="15">
        <v>0.55000000000000004</v>
      </c>
      <c r="P334" s="15">
        <v>0.1343</v>
      </c>
      <c r="Q334" s="15">
        <v>2</v>
      </c>
      <c r="R334" s="15">
        <v>61</v>
      </c>
      <c r="S334" s="15">
        <v>63</v>
      </c>
    </row>
    <row r="335" spans="1:19" x14ac:dyDescent="0.35">
      <c r="A335" s="15">
        <v>943</v>
      </c>
      <c r="B335" s="16">
        <v>40585</v>
      </c>
      <c r="C335" s="15">
        <v>1</v>
      </c>
      <c r="D335" s="15">
        <v>0</v>
      </c>
      <c r="E335" s="15">
        <v>2</v>
      </c>
      <c r="F335" s="15">
        <v>21</v>
      </c>
      <c r="G335" s="15" t="str" cm="1">
        <f t="array" ref="G335">_xlfn.IFS(AND(F335&gt;=5,F335&lt;12),"Morning",AND(F335&gt;=12,F335&lt;17),"AfterNoon",AND(F335&gt;=17,F335&lt;20),"Evening",TRUE,"Night")</f>
        <v>Night</v>
      </c>
      <c r="H335" s="15" t="b">
        <v>0</v>
      </c>
      <c r="I335" s="15">
        <v>5</v>
      </c>
      <c r="J335" s="15" t="str" cm="1">
        <f t="array" ref="J335">_xlfn.IFS(I335=0,"Saturday",I335=1,"Sunday",I335=2,"Monday",I335=3,"Tuesday",I335=4,"Wednesday",I335=5,"Thusday",I335=6,"Friday")</f>
        <v>Thusday</v>
      </c>
      <c r="K335" s="15">
        <v>1</v>
      </c>
      <c r="L335" s="15">
        <v>0.2</v>
      </c>
      <c r="M335" s="15" t="str">
        <f t="shared" si="6"/>
        <v>Rainy</v>
      </c>
      <c r="N335" s="15">
        <v>0.21210000000000001</v>
      </c>
      <c r="O335" s="15">
        <v>0.59</v>
      </c>
      <c r="P335" s="15">
        <v>0.1343</v>
      </c>
      <c r="Q335" s="15">
        <v>1</v>
      </c>
      <c r="R335" s="15">
        <v>46</v>
      </c>
      <c r="S335" s="15">
        <v>47</v>
      </c>
    </row>
    <row r="336" spans="1:19" x14ac:dyDescent="0.35">
      <c r="A336" s="15">
        <v>944</v>
      </c>
      <c r="B336" s="16">
        <v>40585</v>
      </c>
      <c r="C336" s="15">
        <v>1</v>
      </c>
      <c r="D336" s="15">
        <v>0</v>
      </c>
      <c r="E336" s="15">
        <v>2</v>
      </c>
      <c r="F336" s="15">
        <v>22</v>
      </c>
      <c r="G336" s="15" t="str" cm="1">
        <f t="array" ref="G336">_xlfn.IFS(AND(F336&gt;=5,F336&lt;12),"Morning",AND(F336&gt;=12,F336&lt;17),"AfterNoon",AND(F336&gt;=17,F336&lt;20),"Evening",TRUE,"Night")</f>
        <v>Night</v>
      </c>
      <c r="H336" s="15" t="b">
        <v>0</v>
      </c>
      <c r="I336" s="15">
        <v>5</v>
      </c>
      <c r="J336" s="15" t="str" cm="1">
        <f t="array" ref="J336">_xlfn.IFS(I336=0,"Saturday",I336=1,"Sunday",I336=2,"Monday",I336=3,"Tuesday",I336=4,"Wednesday",I336=5,"Thusday",I336=6,"Friday")</f>
        <v>Thusday</v>
      </c>
      <c r="K336" s="15">
        <v>1</v>
      </c>
      <c r="L336" s="15">
        <v>0.2</v>
      </c>
      <c r="M336" s="15" t="str">
        <f t="shared" si="6"/>
        <v>Rainy</v>
      </c>
      <c r="N336" s="15">
        <v>0.2273</v>
      </c>
      <c r="O336" s="15">
        <v>0.64</v>
      </c>
      <c r="P336" s="15">
        <v>8.9599999999999999E-2</v>
      </c>
      <c r="Q336" s="15">
        <v>2</v>
      </c>
      <c r="R336" s="15">
        <v>41</v>
      </c>
      <c r="S336" s="15">
        <v>43</v>
      </c>
    </row>
    <row r="337" spans="1:19" x14ac:dyDescent="0.35">
      <c r="A337" s="15">
        <v>945</v>
      </c>
      <c r="B337" s="16">
        <v>40585</v>
      </c>
      <c r="C337" s="15">
        <v>1</v>
      </c>
      <c r="D337" s="15">
        <v>0</v>
      </c>
      <c r="E337" s="15">
        <v>2</v>
      </c>
      <c r="F337" s="15">
        <v>23</v>
      </c>
      <c r="G337" s="15" t="str" cm="1">
        <f t="array" ref="G337">_xlfn.IFS(AND(F337&gt;=5,F337&lt;12),"Morning",AND(F337&gt;=12,F337&lt;17),"AfterNoon",AND(F337&gt;=17,F337&lt;20),"Evening",TRUE,"Night")</f>
        <v>Night</v>
      </c>
      <c r="H337" s="15" t="b">
        <v>0</v>
      </c>
      <c r="I337" s="15">
        <v>5</v>
      </c>
      <c r="J337" s="15" t="str" cm="1">
        <f t="array" ref="J337">_xlfn.IFS(I337=0,"Saturday",I337=1,"Sunday",I337=2,"Monday",I337=3,"Tuesday",I337=4,"Wednesday",I337=5,"Thusday",I337=6,"Friday")</f>
        <v>Thusday</v>
      </c>
      <c r="K337" s="15">
        <v>1</v>
      </c>
      <c r="L337" s="15">
        <v>0.18</v>
      </c>
      <c r="M337" s="15" t="str">
        <f t="shared" si="6"/>
        <v>Rainy</v>
      </c>
      <c r="N337" s="15">
        <v>0.2424</v>
      </c>
      <c r="O337" s="15">
        <v>0.69</v>
      </c>
      <c r="P337" s="15">
        <v>0</v>
      </c>
      <c r="Q337" s="15">
        <v>5</v>
      </c>
      <c r="R337" s="15">
        <v>48</v>
      </c>
      <c r="S337" s="15">
        <v>53</v>
      </c>
    </row>
    <row r="338" spans="1:19" x14ac:dyDescent="0.35">
      <c r="A338" s="15">
        <v>946</v>
      </c>
      <c r="B338" s="16">
        <v>40586</v>
      </c>
      <c r="C338" s="15">
        <v>1</v>
      </c>
      <c r="D338" s="15">
        <v>0</v>
      </c>
      <c r="E338" s="15">
        <v>2</v>
      </c>
      <c r="F338" s="15">
        <v>0</v>
      </c>
      <c r="G338" s="15" t="str" cm="1">
        <f t="array" ref="G338">_xlfn.IFS(AND(F338&gt;=5,F338&lt;12),"Morning",AND(F338&gt;=12,F338&lt;17),"AfterNoon",AND(F338&gt;=17,F338&lt;20),"Evening",TRUE,"Night")</f>
        <v>Night</v>
      </c>
      <c r="H338" s="15" t="b">
        <v>0</v>
      </c>
      <c r="I338" s="15">
        <v>6</v>
      </c>
      <c r="J338" s="15" t="str" cm="1">
        <f t="array" ref="J338">_xlfn.IFS(I338=0,"Saturday",I338=1,"Sunday",I338=2,"Monday",I338=3,"Tuesday",I338=4,"Wednesday",I338=5,"Thusday",I338=6,"Friday")</f>
        <v>Friday</v>
      </c>
      <c r="K338" s="15">
        <v>1</v>
      </c>
      <c r="L338" s="15">
        <v>0.16</v>
      </c>
      <c r="M338" s="15" t="str">
        <f t="shared" si="6"/>
        <v>Rainy</v>
      </c>
      <c r="N338" s="15">
        <v>0.19700000000000001</v>
      </c>
      <c r="O338" s="15">
        <v>0.69</v>
      </c>
      <c r="P338" s="15">
        <v>8.9599999999999999E-2</v>
      </c>
      <c r="Q338" s="15">
        <v>3</v>
      </c>
      <c r="R338" s="15">
        <v>27</v>
      </c>
      <c r="S338" s="15">
        <v>30</v>
      </c>
    </row>
    <row r="339" spans="1:19" x14ac:dyDescent="0.35">
      <c r="A339" s="15">
        <v>947</v>
      </c>
      <c r="B339" s="16">
        <v>40586</v>
      </c>
      <c r="C339" s="15">
        <v>1</v>
      </c>
      <c r="D339" s="15">
        <v>0</v>
      </c>
      <c r="E339" s="15">
        <v>2</v>
      </c>
      <c r="F339" s="15">
        <v>1</v>
      </c>
      <c r="G339" s="15" t="str" cm="1">
        <f t="array" ref="G339">_xlfn.IFS(AND(F339&gt;=5,F339&lt;12),"Morning",AND(F339&gt;=12,F339&lt;17),"AfterNoon",AND(F339&gt;=17,F339&lt;20),"Evening",TRUE,"Night")</f>
        <v>Night</v>
      </c>
      <c r="H339" s="15" t="b">
        <v>0</v>
      </c>
      <c r="I339" s="15">
        <v>6</v>
      </c>
      <c r="J339" s="15" t="str" cm="1">
        <f t="array" ref="J339">_xlfn.IFS(I339=0,"Saturday",I339=1,"Sunday",I339=2,"Monday",I339=3,"Tuesday",I339=4,"Wednesday",I339=5,"Thusday",I339=6,"Friday")</f>
        <v>Friday</v>
      </c>
      <c r="K339" s="15">
        <v>1</v>
      </c>
      <c r="L339" s="15">
        <v>0.14000000000000001</v>
      </c>
      <c r="M339" s="15" t="str">
        <f t="shared" si="6"/>
        <v>Rainy</v>
      </c>
      <c r="N339" s="15">
        <v>0.21210000000000001</v>
      </c>
      <c r="O339" s="15">
        <v>0.86</v>
      </c>
      <c r="P339" s="15">
        <v>0</v>
      </c>
      <c r="Q339" s="15">
        <v>2</v>
      </c>
      <c r="R339" s="15">
        <v>22</v>
      </c>
      <c r="S339" s="15">
        <v>24</v>
      </c>
    </row>
    <row r="340" spans="1:19" x14ac:dyDescent="0.35">
      <c r="A340" s="15">
        <v>948</v>
      </c>
      <c r="B340" s="16">
        <v>40586</v>
      </c>
      <c r="C340" s="15">
        <v>1</v>
      </c>
      <c r="D340" s="15">
        <v>0</v>
      </c>
      <c r="E340" s="15">
        <v>2</v>
      </c>
      <c r="F340" s="15">
        <v>2</v>
      </c>
      <c r="G340" s="15" t="str" cm="1">
        <f t="array" ref="G340">_xlfn.IFS(AND(F340&gt;=5,F340&lt;12),"Morning",AND(F340&gt;=12,F340&lt;17),"AfterNoon",AND(F340&gt;=17,F340&lt;20),"Evening",TRUE,"Night")</f>
        <v>Night</v>
      </c>
      <c r="H340" s="15" t="b">
        <v>0</v>
      </c>
      <c r="I340" s="15">
        <v>6</v>
      </c>
      <c r="J340" s="15" t="str" cm="1">
        <f t="array" ref="J340">_xlfn.IFS(I340=0,"Saturday",I340=1,"Sunday",I340=2,"Monday",I340=3,"Tuesday",I340=4,"Wednesday",I340=5,"Thusday",I340=6,"Friday")</f>
        <v>Friday</v>
      </c>
      <c r="K340" s="15">
        <v>1</v>
      </c>
      <c r="L340" s="15">
        <v>0.14000000000000001</v>
      </c>
      <c r="M340" s="15" t="str">
        <f t="shared" si="6"/>
        <v>Rainy</v>
      </c>
      <c r="N340" s="15">
        <v>0.21210000000000001</v>
      </c>
      <c r="O340" s="15">
        <v>0.8</v>
      </c>
      <c r="P340" s="15">
        <v>0</v>
      </c>
      <c r="Q340" s="15">
        <v>2</v>
      </c>
      <c r="R340" s="15">
        <v>13</v>
      </c>
      <c r="S340" s="15">
        <v>15</v>
      </c>
    </row>
    <row r="341" spans="1:19" x14ac:dyDescent="0.35">
      <c r="A341" s="15">
        <v>949</v>
      </c>
      <c r="B341" s="16">
        <v>40586</v>
      </c>
      <c r="C341" s="15">
        <v>1</v>
      </c>
      <c r="D341" s="15">
        <v>0</v>
      </c>
      <c r="E341" s="15">
        <v>2</v>
      </c>
      <c r="F341" s="15">
        <v>3</v>
      </c>
      <c r="G341" s="15" t="str" cm="1">
        <f t="array" ref="G341">_xlfn.IFS(AND(F341&gt;=5,F341&lt;12),"Morning",AND(F341&gt;=12,F341&lt;17),"AfterNoon",AND(F341&gt;=17,F341&lt;20),"Evening",TRUE,"Night")</f>
        <v>Night</v>
      </c>
      <c r="H341" s="15" t="b">
        <v>0</v>
      </c>
      <c r="I341" s="15">
        <v>6</v>
      </c>
      <c r="J341" s="15" t="str" cm="1">
        <f t="array" ref="J341">_xlfn.IFS(I341=0,"Saturday",I341=1,"Sunday",I341=2,"Monday",I341=3,"Tuesday",I341=4,"Wednesday",I341=5,"Thusday",I341=6,"Friday")</f>
        <v>Friday</v>
      </c>
      <c r="K341" s="15">
        <v>1</v>
      </c>
      <c r="L341" s="15">
        <v>0.12</v>
      </c>
      <c r="M341" s="15" t="str">
        <f t="shared" si="6"/>
        <v>Rainy</v>
      </c>
      <c r="N341" s="15">
        <v>0.19700000000000001</v>
      </c>
      <c r="O341" s="15">
        <v>0.8</v>
      </c>
      <c r="P341" s="15">
        <v>0</v>
      </c>
      <c r="Q341" s="15">
        <v>3</v>
      </c>
      <c r="R341" s="15">
        <v>7</v>
      </c>
      <c r="S341" s="15">
        <v>10</v>
      </c>
    </row>
    <row r="342" spans="1:19" x14ac:dyDescent="0.35">
      <c r="A342" s="15">
        <v>950</v>
      </c>
      <c r="B342" s="16">
        <v>40586</v>
      </c>
      <c r="C342" s="15">
        <v>1</v>
      </c>
      <c r="D342" s="15">
        <v>0</v>
      </c>
      <c r="E342" s="15">
        <v>2</v>
      </c>
      <c r="F342" s="15">
        <v>4</v>
      </c>
      <c r="G342" s="15" t="str" cm="1">
        <f t="array" ref="G342">_xlfn.IFS(AND(F342&gt;=5,F342&lt;12),"Morning",AND(F342&gt;=12,F342&lt;17),"AfterNoon",AND(F342&gt;=17,F342&lt;20),"Evening",TRUE,"Night")</f>
        <v>Night</v>
      </c>
      <c r="H342" s="15" t="b">
        <v>0</v>
      </c>
      <c r="I342" s="15">
        <v>6</v>
      </c>
      <c r="J342" s="15" t="str" cm="1">
        <f t="array" ref="J342">_xlfn.IFS(I342=0,"Saturday",I342=1,"Sunday",I342=2,"Monday",I342=3,"Tuesday",I342=4,"Wednesday",I342=5,"Thusday",I342=6,"Friday")</f>
        <v>Friday</v>
      </c>
      <c r="K342" s="15">
        <v>1</v>
      </c>
      <c r="L342" s="15">
        <v>0.12</v>
      </c>
      <c r="M342" s="15" t="str">
        <f t="shared" si="6"/>
        <v>Rainy</v>
      </c>
      <c r="N342" s="15">
        <v>0.16669999999999999</v>
      </c>
      <c r="O342" s="15">
        <v>0.74</v>
      </c>
      <c r="P342" s="15">
        <v>8.9599999999999999E-2</v>
      </c>
      <c r="Q342" s="15">
        <v>0</v>
      </c>
      <c r="R342" s="15">
        <v>4</v>
      </c>
      <c r="S342" s="15">
        <v>4</v>
      </c>
    </row>
    <row r="343" spans="1:19" x14ac:dyDescent="0.35">
      <c r="A343" s="15">
        <v>951</v>
      </c>
      <c r="B343" s="16">
        <v>40586</v>
      </c>
      <c r="C343" s="15">
        <v>1</v>
      </c>
      <c r="D343" s="15">
        <v>0</v>
      </c>
      <c r="E343" s="15">
        <v>2</v>
      </c>
      <c r="F343" s="15">
        <v>5</v>
      </c>
      <c r="G343" s="15" t="str" cm="1">
        <f t="array" ref="G343">_xlfn.IFS(AND(F343&gt;=5,F343&lt;12),"Morning",AND(F343&gt;=12,F343&lt;17),"AfterNoon",AND(F343&gt;=17,F343&lt;20),"Evening",TRUE,"Night")</f>
        <v>Morning</v>
      </c>
      <c r="H343" s="15" t="b">
        <v>0</v>
      </c>
      <c r="I343" s="15">
        <v>6</v>
      </c>
      <c r="J343" s="15" t="str" cm="1">
        <f t="array" ref="J343">_xlfn.IFS(I343=0,"Saturday",I343=1,"Sunday",I343=2,"Monday",I343=3,"Tuesday",I343=4,"Wednesday",I343=5,"Thusday",I343=6,"Friday")</f>
        <v>Friday</v>
      </c>
      <c r="K343" s="15">
        <v>1</v>
      </c>
      <c r="L343" s="15">
        <v>0.12</v>
      </c>
      <c r="M343" s="15" t="str">
        <f t="shared" si="6"/>
        <v>Rainy</v>
      </c>
      <c r="N343" s="15">
        <v>0.16669999999999999</v>
      </c>
      <c r="O343" s="15">
        <v>0.74</v>
      </c>
      <c r="P343" s="15">
        <v>8.9599999999999999E-2</v>
      </c>
      <c r="Q343" s="15">
        <v>0</v>
      </c>
      <c r="R343" s="15">
        <v>1</v>
      </c>
      <c r="S343" s="15">
        <v>1</v>
      </c>
    </row>
    <row r="344" spans="1:19" x14ac:dyDescent="0.35">
      <c r="A344" s="15">
        <v>952</v>
      </c>
      <c r="B344" s="16">
        <v>40586</v>
      </c>
      <c r="C344" s="15">
        <v>1</v>
      </c>
      <c r="D344" s="15">
        <v>0</v>
      </c>
      <c r="E344" s="15">
        <v>2</v>
      </c>
      <c r="F344" s="15">
        <v>6</v>
      </c>
      <c r="G344" s="15" t="str" cm="1">
        <f t="array" ref="G344">_xlfn.IFS(AND(F344&gt;=5,F344&lt;12),"Morning",AND(F344&gt;=12,F344&lt;17),"AfterNoon",AND(F344&gt;=17,F344&lt;20),"Evening",TRUE,"Night")</f>
        <v>Morning</v>
      </c>
      <c r="H344" s="15" t="b">
        <v>0</v>
      </c>
      <c r="I344" s="15">
        <v>6</v>
      </c>
      <c r="J344" s="15" t="str" cm="1">
        <f t="array" ref="J344">_xlfn.IFS(I344=0,"Saturday",I344=1,"Sunday",I344=2,"Monday",I344=3,"Tuesday",I344=4,"Wednesday",I344=5,"Thusday",I344=6,"Friday")</f>
        <v>Friday</v>
      </c>
      <c r="K344" s="15">
        <v>1</v>
      </c>
      <c r="L344" s="15">
        <v>0.12</v>
      </c>
      <c r="M344" s="15" t="str">
        <f t="shared" si="6"/>
        <v>Rainy</v>
      </c>
      <c r="N344" s="15">
        <v>0.13639999999999999</v>
      </c>
      <c r="O344" s="15">
        <v>0.93</v>
      </c>
      <c r="P344" s="15">
        <v>0.19400000000000001</v>
      </c>
      <c r="Q344" s="15">
        <v>1</v>
      </c>
      <c r="R344" s="15">
        <v>1</v>
      </c>
      <c r="S344" s="15">
        <v>2</v>
      </c>
    </row>
    <row r="345" spans="1:19" x14ac:dyDescent="0.35">
      <c r="A345" s="15">
        <v>953</v>
      </c>
      <c r="B345" s="16">
        <v>40586</v>
      </c>
      <c r="C345" s="15">
        <v>1</v>
      </c>
      <c r="D345" s="15">
        <v>0</v>
      </c>
      <c r="E345" s="15">
        <v>2</v>
      </c>
      <c r="F345" s="15">
        <v>7</v>
      </c>
      <c r="G345" s="15" t="str" cm="1">
        <f t="array" ref="G345">_xlfn.IFS(AND(F345&gt;=5,F345&lt;12),"Morning",AND(F345&gt;=12,F345&lt;17),"AfterNoon",AND(F345&gt;=17,F345&lt;20),"Evening",TRUE,"Night")</f>
        <v>Morning</v>
      </c>
      <c r="H345" s="15" t="b">
        <v>0</v>
      </c>
      <c r="I345" s="15">
        <v>6</v>
      </c>
      <c r="J345" s="15" t="str" cm="1">
        <f t="array" ref="J345">_xlfn.IFS(I345=0,"Saturday",I345=1,"Sunday",I345=2,"Monday",I345=3,"Tuesday",I345=4,"Wednesday",I345=5,"Thusday",I345=6,"Friday")</f>
        <v>Friday</v>
      </c>
      <c r="K345" s="15">
        <v>1</v>
      </c>
      <c r="L345" s="15">
        <v>0.12</v>
      </c>
      <c r="M345" s="15" t="str">
        <f t="shared" si="6"/>
        <v>Rainy</v>
      </c>
      <c r="N345" s="15">
        <v>0.1515</v>
      </c>
      <c r="O345" s="15">
        <v>0.8</v>
      </c>
      <c r="P345" s="15">
        <v>0.1045</v>
      </c>
      <c r="Q345" s="15">
        <v>2</v>
      </c>
      <c r="R345" s="15">
        <v>9</v>
      </c>
      <c r="S345" s="15">
        <v>11</v>
      </c>
    </row>
    <row r="346" spans="1:19" x14ac:dyDescent="0.35">
      <c r="A346" s="15">
        <v>954</v>
      </c>
      <c r="B346" s="16">
        <v>40586</v>
      </c>
      <c r="C346" s="15">
        <v>1</v>
      </c>
      <c r="D346" s="15">
        <v>0</v>
      </c>
      <c r="E346" s="15">
        <v>2</v>
      </c>
      <c r="F346" s="15">
        <v>8</v>
      </c>
      <c r="G346" s="15" t="str" cm="1">
        <f t="array" ref="G346">_xlfn.IFS(AND(F346&gt;=5,F346&lt;12),"Morning",AND(F346&gt;=12,F346&lt;17),"AfterNoon",AND(F346&gt;=17,F346&lt;20),"Evening",TRUE,"Night")</f>
        <v>Morning</v>
      </c>
      <c r="H346" s="15" t="b">
        <v>0</v>
      </c>
      <c r="I346" s="15">
        <v>6</v>
      </c>
      <c r="J346" s="15" t="str" cm="1">
        <f t="array" ref="J346">_xlfn.IFS(I346=0,"Saturday",I346=1,"Sunday",I346=2,"Monday",I346=3,"Tuesday",I346=4,"Wednesday",I346=5,"Thusday",I346=6,"Friday")</f>
        <v>Friday</v>
      </c>
      <c r="K346" s="15">
        <v>1</v>
      </c>
      <c r="L346" s="15">
        <v>0.14000000000000001</v>
      </c>
      <c r="M346" s="15" t="str">
        <f t="shared" si="6"/>
        <v>Rainy</v>
      </c>
      <c r="N346" s="15">
        <v>0.1515</v>
      </c>
      <c r="O346" s="15">
        <v>0.86</v>
      </c>
      <c r="P346" s="15">
        <v>0.1343</v>
      </c>
      <c r="Q346" s="15">
        <v>2</v>
      </c>
      <c r="R346" s="15">
        <v>28</v>
      </c>
      <c r="S346" s="15">
        <v>30</v>
      </c>
    </row>
    <row r="347" spans="1:19" x14ac:dyDescent="0.35">
      <c r="A347" s="15">
        <v>955</v>
      </c>
      <c r="B347" s="16">
        <v>40586</v>
      </c>
      <c r="C347" s="15">
        <v>1</v>
      </c>
      <c r="D347" s="15">
        <v>0</v>
      </c>
      <c r="E347" s="15">
        <v>2</v>
      </c>
      <c r="F347" s="15">
        <v>9</v>
      </c>
      <c r="G347" s="15" t="str" cm="1">
        <f t="array" ref="G347">_xlfn.IFS(AND(F347&gt;=5,F347&lt;12),"Morning",AND(F347&gt;=12,F347&lt;17),"AfterNoon",AND(F347&gt;=17,F347&lt;20),"Evening",TRUE,"Night")</f>
        <v>Morning</v>
      </c>
      <c r="H347" s="15" t="b">
        <v>0</v>
      </c>
      <c r="I347" s="15">
        <v>6</v>
      </c>
      <c r="J347" s="15" t="str" cm="1">
        <f t="array" ref="J347">_xlfn.IFS(I347=0,"Saturday",I347=1,"Sunday",I347=2,"Monday",I347=3,"Tuesday",I347=4,"Wednesday",I347=5,"Thusday",I347=6,"Friday")</f>
        <v>Friday</v>
      </c>
      <c r="K347" s="15">
        <v>1</v>
      </c>
      <c r="L347" s="15">
        <v>0.16</v>
      </c>
      <c r="M347" s="15" t="str">
        <f t="shared" si="6"/>
        <v>Rainy</v>
      </c>
      <c r="N347" s="15">
        <v>0.18179999999999999</v>
      </c>
      <c r="O347" s="15">
        <v>0.64</v>
      </c>
      <c r="P347" s="15">
        <v>0.1343</v>
      </c>
      <c r="Q347" s="15">
        <v>5</v>
      </c>
      <c r="R347" s="15">
        <v>38</v>
      </c>
      <c r="S347" s="15">
        <v>43</v>
      </c>
    </row>
    <row r="348" spans="1:19" x14ac:dyDescent="0.35">
      <c r="A348" s="15">
        <v>956</v>
      </c>
      <c r="B348" s="16">
        <v>40586</v>
      </c>
      <c r="C348" s="15">
        <v>1</v>
      </c>
      <c r="D348" s="15">
        <v>0</v>
      </c>
      <c r="E348" s="15">
        <v>2</v>
      </c>
      <c r="F348" s="15">
        <v>10</v>
      </c>
      <c r="G348" s="15" t="str" cm="1">
        <f t="array" ref="G348">_xlfn.IFS(AND(F348&gt;=5,F348&lt;12),"Morning",AND(F348&gt;=12,F348&lt;17),"AfterNoon",AND(F348&gt;=17,F348&lt;20),"Evening",TRUE,"Night")</f>
        <v>Morning</v>
      </c>
      <c r="H348" s="15" t="b">
        <v>0</v>
      </c>
      <c r="I348" s="15">
        <v>6</v>
      </c>
      <c r="J348" s="15" t="str" cm="1">
        <f t="array" ref="J348">_xlfn.IFS(I348=0,"Saturday",I348=1,"Sunday",I348=2,"Monday",I348=3,"Tuesday",I348=4,"Wednesday",I348=5,"Thusday",I348=6,"Friday")</f>
        <v>Friday</v>
      </c>
      <c r="K348" s="15">
        <v>1</v>
      </c>
      <c r="L348" s="15">
        <v>0.22</v>
      </c>
      <c r="M348" s="15" t="str">
        <f t="shared" si="6"/>
        <v>Cloudy</v>
      </c>
      <c r="N348" s="15">
        <v>0.21210000000000001</v>
      </c>
      <c r="O348" s="15">
        <v>0.41</v>
      </c>
      <c r="P348" s="15">
        <v>0.25369999999999998</v>
      </c>
      <c r="Q348" s="15">
        <v>13</v>
      </c>
      <c r="R348" s="15">
        <v>71</v>
      </c>
      <c r="S348" s="15">
        <v>84</v>
      </c>
    </row>
    <row r="349" spans="1:19" x14ac:dyDescent="0.35">
      <c r="A349" s="15">
        <v>957</v>
      </c>
      <c r="B349" s="16">
        <v>40586</v>
      </c>
      <c r="C349" s="15">
        <v>1</v>
      </c>
      <c r="D349" s="15">
        <v>0</v>
      </c>
      <c r="E349" s="15">
        <v>2</v>
      </c>
      <c r="F349" s="15">
        <v>11</v>
      </c>
      <c r="G349" s="15" t="str" cm="1">
        <f t="array" ref="G349">_xlfn.IFS(AND(F349&gt;=5,F349&lt;12),"Morning",AND(F349&gt;=12,F349&lt;17),"AfterNoon",AND(F349&gt;=17,F349&lt;20),"Evening",TRUE,"Night")</f>
        <v>Morning</v>
      </c>
      <c r="H349" s="15" t="b">
        <v>0</v>
      </c>
      <c r="I349" s="15">
        <v>6</v>
      </c>
      <c r="J349" s="15" t="str" cm="1">
        <f t="array" ref="J349">_xlfn.IFS(I349=0,"Saturday",I349=1,"Sunday",I349=2,"Monday",I349=3,"Tuesday",I349=4,"Wednesday",I349=5,"Thusday",I349=6,"Friday")</f>
        <v>Friday</v>
      </c>
      <c r="K349" s="15">
        <v>1</v>
      </c>
      <c r="L349" s="15">
        <v>0.3</v>
      </c>
      <c r="M349" s="15" t="str">
        <f t="shared" si="6"/>
        <v>Cloudy</v>
      </c>
      <c r="N349" s="15">
        <v>0.2727</v>
      </c>
      <c r="O349" s="15">
        <v>0.28000000000000003</v>
      </c>
      <c r="P349" s="15">
        <v>0.32840000000000003</v>
      </c>
      <c r="Q349" s="15">
        <v>30</v>
      </c>
      <c r="R349" s="15">
        <v>84</v>
      </c>
      <c r="S349" s="15">
        <v>114</v>
      </c>
    </row>
    <row r="350" spans="1:19" x14ac:dyDescent="0.35">
      <c r="A350" s="15">
        <v>958</v>
      </c>
      <c r="B350" s="16">
        <v>40586</v>
      </c>
      <c r="C350" s="15">
        <v>1</v>
      </c>
      <c r="D350" s="15">
        <v>0</v>
      </c>
      <c r="E350" s="15">
        <v>2</v>
      </c>
      <c r="F350" s="15">
        <v>12</v>
      </c>
      <c r="G350" s="15" t="str" cm="1">
        <f t="array" ref="G350">_xlfn.IFS(AND(F350&gt;=5,F350&lt;12),"Morning",AND(F350&gt;=12,F350&lt;17),"AfterNoon",AND(F350&gt;=17,F350&lt;20),"Evening",TRUE,"Night")</f>
        <v>AfterNoon</v>
      </c>
      <c r="H350" s="15" t="b">
        <v>0</v>
      </c>
      <c r="I350" s="15">
        <v>6</v>
      </c>
      <c r="J350" s="15" t="str" cm="1">
        <f t="array" ref="J350">_xlfn.IFS(I350=0,"Saturday",I350=1,"Sunday",I350=2,"Monday",I350=3,"Tuesday",I350=4,"Wednesday",I350=5,"Thusday",I350=6,"Friday")</f>
        <v>Friday</v>
      </c>
      <c r="K350" s="15">
        <v>1</v>
      </c>
      <c r="L350" s="15">
        <v>0.3</v>
      </c>
      <c r="M350" s="15" t="str">
        <f t="shared" si="6"/>
        <v>Cloudy</v>
      </c>
      <c r="N350" s="15">
        <v>0.2727</v>
      </c>
      <c r="O350" s="15">
        <v>0.39</v>
      </c>
      <c r="P350" s="15">
        <v>0.4627</v>
      </c>
      <c r="Q350" s="15">
        <v>27</v>
      </c>
      <c r="R350" s="15">
        <v>93</v>
      </c>
      <c r="S350" s="15">
        <v>120</v>
      </c>
    </row>
    <row r="351" spans="1:19" x14ac:dyDescent="0.35">
      <c r="A351" s="15">
        <v>959</v>
      </c>
      <c r="B351" s="16">
        <v>40586</v>
      </c>
      <c r="C351" s="15">
        <v>1</v>
      </c>
      <c r="D351" s="15">
        <v>0</v>
      </c>
      <c r="E351" s="15">
        <v>2</v>
      </c>
      <c r="F351" s="15">
        <v>13</v>
      </c>
      <c r="G351" s="15" t="str" cm="1">
        <f t="array" ref="G351">_xlfn.IFS(AND(F351&gt;=5,F351&lt;12),"Morning",AND(F351&gt;=12,F351&lt;17),"AfterNoon",AND(F351&gt;=17,F351&lt;20),"Evening",TRUE,"Night")</f>
        <v>AfterNoon</v>
      </c>
      <c r="H351" s="15" t="b">
        <v>0</v>
      </c>
      <c r="I351" s="15">
        <v>6</v>
      </c>
      <c r="J351" s="15" t="str" cm="1">
        <f t="array" ref="J351">_xlfn.IFS(I351=0,"Saturday",I351=1,"Sunday",I351=2,"Monday",I351=3,"Tuesday",I351=4,"Wednesday",I351=5,"Thusday",I351=6,"Friday")</f>
        <v>Friday</v>
      </c>
      <c r="K351" s="15">
        <v>1</v>
      </c>
      <c r="L351" s="15">
        <v>0.3</v>
      </c>
      <c r="M351" s="15" t="str">
        <f t="shared" si="6"/>
        <v>Cloudy</v>
      </c>
      <c r="N351" s="15">
        <v>0.2727</v>
      </c>
      <c r="O351" s="15">
        <v>0.39</v>
      </c>
      <c r="P351" s="15">
        <v>0.41789999999999999</v>
      </c>
      <c r="Q351" s="15">
        <v>32</v>
      </c>
      <c r="R351" s="15">
        <v>103</v>
      </c>
      <c r="S351" s="15">
        <v>135</v>
      </c>
    </row>
    <row r="352" spans="1:19" x14ac:dyDescent="0.35">
      <c r="A352" s="15">
        <v>960</v>
      </c>
      <c r="B352" s="16">
        <v>40586</v>
      </c>
      <c r="C352" s="15">
        <v>1</v>
      </c>
      <c r="D352" s="15">
        <v>0</v>
      </c>
      <c r="E352" s="15">
        <v>2</v>
      </c>
      <c r="F352" s="15">
        <v>14</v>
      </c>
      <c r="G352" s="15" t="str" cm="1">
        <f t="array" ref="G352">_xlfn.IFS(AND(F352&gt;=5,F352&lt;12),"Morning",AND(F352&gt;=12,F352&lt;17),"AfterNoon",AND(F352&gt;=17,F352&lt;20),"Evening",TRUE,"Night")</f>
        <v>AfterNoon</v>
      </c>
      <c r="H352" s="15" t="b">
        <v>0</v>
      </c>
      <c r="I352" s="15">
        <v>6</v>
      </c>
      <c r="J352" s="15" t="str" cm="1">
        <f t="array" ref="J352">_xlfn.IFS(I352=0,"Saturday",I352=1,"Sunday",I352=2,"Monday",I352=3,"Tuesday",I352=4,"Wednesday",I352=5,"Thusday",I352=6,"Friday")</f>
        <v>Friday</v>
      </c>
      <c r="K352" s="15">
        <v>1</v>
      </c>
      <c r="L352" s="15">
        <v>0.34</v>
      </c>
      <c r="M352" s="15" t="str">
        <f t="shared" si="6"/>
        <v>Sunny</v>
      </c>
      <c r="N352" s="15">
        <v>0.31819999999999998</v>
      </c>
      <c r="O352" s="15">
        <v>0.31</v>
      </c>
      <c r="P352" s="15">
        <v>0.28360000000000002</v>
      </c>
      <c r="Q352" s="15">
        <v>30</v>
      </c>
      <c r="R352" s="15">
        <v>90</v>
      </c>
      <c r="S352" s="15">
        <v>120</v>
      </c>
    </row>
    <row r="353" spans="1:19" x14ac:dyDescent="0.35">
      <c r="A353" s="15">
        <v>961</v>
      </c>
      <c r="B353" s="16">
        <v>40586</v>
      </c>
      <c r="C353" s="15">
        <v>1</v>
      </c>
      <c r="D353" s="15">
        <v>0</v>
      </c>
      <c r="E353" s="15">
        <v>2</v>
      </c>
      <c r="F353" s="15">
        <v>15</v>
      </c>
      <c r="G353" s="15" t="str" cm="1">
        <f t="array" ref="G353">_xlfn.IFS(AND(F353&gt;=5,F353&lt;12),"Morning",AND(F353&gt;=12,F353&lt;17),"AfterNoon",AND(F353&gt;=17,F353&lt;20),"Evening",TRUE,"Night")</f>
        <v>AfterNoon</v>
      </c>
      <c r="H353" s="15" t="b">
        <v>0</v>
      </c>
      <c r="I353" s="15">
        <v>6</v>
      </c>
      <c r="J353" s="15" t="str" cm="1">
        <f t="array" ref="J353">_xlfn.IFS(I353=0,"Saturday",I353=1,"Sunday",I353=2,"Monday",I353=3,"Tuesday",I353=4,"Wednesday",I353=5,"Thusday",I353=6,"Friday")</f>
        <v>Friday</v>
      </c>
      <c r="K353" s="15">
        <v>1</v>
      </c>
      <c r="L353" s="15">
        <v>0.34</v>
      </c>
      <c r="M353" s="15" t="str">
        <f t="shared" si="6"/>
        <v>Sunny</v>
      </c>
      <c r="N353" s="15">
        <v>0.30299999999999999</v>
      </c>
      <c r="O353" s="15">
        <v>0.28999999999999998</v>
      </c>
      <c r="P353" s="15">
        <v>0.41789999999999999</v>
      </c>
      <c r="Q353" s="15">
        <v>47</v>
      </c>
      <c r="R353" s="15">
        <v>127</v>
      </c>
      <c r="S353" s="15">
        <v>174</v>
      </c>
    </row>
    <row r="354" spans="1:19" x14ac:dyDescent="0.35">
      <c r="A354" s="15">
        <v>962</v>
      </c>
      <c r="B354" s="16">
        <v>40586</v>
      </c>
      <c r="C354" s="15">
        <v>1</v>
      </c>
      <c r="D354" s="15">
        <v>0</v>
      </c>
      <c r="E354" s="15">
        <v>2</v>
      </c>
      <c r="F354" s="15">
        <v>16</v>
      </c>
      <c r="G354" s="15" t="str" cm="1">
        <f t="array" ref="G354">_xlfn.IFS(AND(F354&gt;=5,F354&lt;12),"Morning",AND(F354&gt;=12,F354&lt;17),"AfterNoon",AND(F354&gt;=17,F354&lt;20),"Evening",TRUE,"Night")</f>
        <v>AfterNoon</v>
      </c>
      <c r="H354" s="15" t="b">
        <v>0</v>
      </c>
      <c r="I354" s="15">
        <v>6</v>
      </c>
      <c r="J354" s="15" t="str" cm="1">
        <f t="array" ref="J354">_xlfn.IFS(I354=0,"Saturday",I354=1,"Sunday",I354=2,"Monday",I354=3,"Tuesday",I354=4,"Wednesday",I354=5,"Thusday",I354=6,"Friday")</f>
        <v>Friday</v>
      </c>
      <c r="K354" s="15">
        <v>1</v>
      </c>
      <c r="L354" s="15">
        <v>0.34</v>
      </c>
      <c r="M354" s="15" t="str">
        <f t="shared" si="6"/>
        <v>Sunny</v>
      </c>
      <c r="N354" s="15">
        <v>0.30299999999999999</v>
      </c>
      <c r="O354" s="15">
        <v>0.28999999999999998</v>
      </c>
      <c r="P354" s="15">
        <v>0.41789999999999999</v>
      </c>
      <c r="Q354" s="15">
        <v>42</v>
      </c>
      <c r="R354" s="15">
        <v>103</v>
      </c>
      <c r="S354" s="15">
        <v>145</v>
      </c>
    </row>
    <row r="355" spans="1:19" x14ac:dyDescent="0.35">
      <c r="A355" s="15">
        <v>963</v>
      </c>
      <c r="B355" s="16">
        <v>40586</v>
      </c>
      <c r="C355" s="15">
        <v>1</v>
      </c>
      <c r="D355" s="15">
        <v>0</v>
      </c>
      <c r="E355" s="15">
        <v>2</v>
      </c>
      <c r="F355" s="15">
        <v>17</v>
      </c>
      <c r="G355" s="15" t="str" cm="1">
        <f t="array" ref="G355">_xlfn.IFS(AND(F355&gt;=5,F355&lt;12),"Morning",AND(F355&gt;=12,F355&lt;17),"AfterNoon",AND(F355&gt;=17,F355&lt;20),"Evening",TRUE,"Night")</f>
        <v>Evening</v>
      </c>
      <c r="H355" s="15" t="b">
        <v>0</v>
      </c>
      <c r="I355" s="15">
        <v>6</v>
      </c>
      <c r="J355" s="15" t="str" cm="1">
        <f t="array" ref="J355">_xlfn.IFS(I355=0,"Saturday",I355=1,"Sunday",I355=2,"Monday",I355=3,"Tuesday",I355=4,"Wednesday",I355=5,"Thusday",I355=6,"Friday")</f>
        <v>Friday</v>
      </c>
      <c r="K355" s="15">
        <v>1</v>
      </c>
      <c r="L355" s="15">
        <v>0.32</v>
      </c>
      <c r="M355" s="15" t="str">
        <f t="shared" si="6"/>
        <v>Sunny</v>
      </c>
      <c r="N355" s="15">
        <v>0.28789999999999999</v>
      </c>
      <c r="O355" s="15">
        <v>0.31</v>
      </c>
      <c r="P355" s="15">
        <v>0.52239999999999998</v>
      </c>
      <c r="Q355" s="15">
        <v>24</v>
      </c>
      <c r="R355" s="15">
        <v>113</v>
      </c>
      <c r="S355" s="15">
        <v>137</v>
      </c>
    </row>
    <row r="356" spans="1:19" x14ac:dyDescent="0.35">
      <c r="A356" s="15">
        <v>964</v>
      </c>
      <c r="B356" s="16">
        <v>40586</v>
      </c>
      <c r="C356" s="15">
        <v>1</v>
      </c>
      <c r="D356" s="15">
        <v>0</v>
      </c>
      <c r="E356" s="15">
        <v>2</v>
      </c>
      <c r="F356" s="15">
        <v>18</v>
      </c>
      <c r="G356" s="15" t="str" cm="1">
        <f t="array" ref="G356">_xlfn.IFS(AND(F356&gt;=5,F356&lt;12),"Morning",AND(F356&gt;=12,F356&lt;17),"AfterNoon",AND(F356&gt;=17,F356&lt;20),"Evening",TRUE,"Night")</f>
        <v>Evening</v>
      </c>
      <c r="H356" s="15" t="b">
        <v>0</v>
      </c>
      <c r="I356" s="15">
        <v>6</v>
      </c>
      <c r="J356" s="15" t="str" cm="1">
        <f t="array" ref="J356">_xlfn.IFS(I356=0,"Saturday",I356=1,"Sunday",I356=2,"Monday",I356=3,"Tuesday",I356=4,"Wednesday",I356=5,"Thusday",I356=6,"Friday")</f>
        <v>Friday</v>
      </c>
      <c r="K356" s="15">
        <v>1</v>
      </c>
      <c r="L356" s="15">
        <v>0.28000000000000003</v>
      </c>
      <c r="M356" s="15" t="str">
        <f t="shared" si="6"/>
        <v>Cloudy</v>
      </c>
      <c r="N356" s="15">
        <v>0.2576</v>
      </c>
      <c r="O356" s="15">
        <v>0.38</v>
      </c>
      <c r="P356" s="15">
        <v>0.32840000000000003</v>
      </c>
      <c r="Q356" s="15">
        <v>4</v>
      </c>
      <c r="R356" s="15">
        <v>60</v>
      </c>
      <c r="S356" s="15">
        <v>64</v>
      </c>
    </row>
    <row r="357" spans="1:19" x14ac:dyDescent="0.35">
      <c r="A357" s="15">
        <v>965</v>
      </c>
      <c r="B357" s="16">
        <v>40586</v>
      </c>
      <c r="C357" s="15">
        <v>1</v>
      </c>
      <c r="D357" s="15">
        <v>0</v>
      </c>
      <c r="E357" s="15">
        <v>2</v>
      </c>
      <c r="F357" s="15">
        <v>19</v>
      </c>
      <c r="G357" s="15" t="str" cm="1">
        <f t="array" ref="G357">_xlfn.IFS(AND(F357&gt;=5,F357&lt;12),"Morning",AND(F357&gt;=12,F357&lt;17),"AfterNoon",AND(F357&gt;=17,F357&lt;20),"Evening",TRUE,"Night")</f>
        <v>Evening</v>
      </c>
      <c r="H357" s="15" t="b">
        <v>0</v>
      </c>
      <c r="I357" s="15">
        <v>6</v>
      </c>
      <c r="J357" s="15" t="str" cm="1">
        <f t="array" ref="J357">_xlfn.IFS(I357=0,"Saturday",I357=1,"Sunday",I357=2,"Monday",I357=3,"Tuesday",I357=4,"Wednesday",I357=5,"Thusday",I357=6,"Friday")</f>
        <v>Friday</v>
      </c>
      <c r="K357" s="15">
        <v>1</v>
      </c>
      <c r="L357" s="15">
        <v>0.28000000000000003</v>
      </c>
      <c r="M357" s="15" t="str">
        <f t="shared" si="6"/>
        <v>Cloudy</v>
      </c>
      <c r="N357" s="15">
        <v>0.2727</v>
      </c>
      <c r="O357" s="15">
        <v>0.38</v>
      </c>
      <c r="P357" s="15">
        <v>0.16420000000000001</v>
      </c>
      <c r="Q357" s="15">
        <v>2</v>
      </c>
      <c r="R357" s="15">
        <v>39</v>
      </c>
      <c r="S357" s="15">
        <v>41</v>
      </c>
    </row>
    <row r="358" spans="1:19" x14ac:dyDescent="0.35">
      <c r="A358" s="15">
        <v>966</v>
      </c>
      <c r="B358" s="16">
        <v>40586</v>
      </c>
      <c r="C358" s="15">
        <v>1</v>
      </c>
      <c r="D358" s="15">
        <v>0</v>
      </c>
      <c r="E358" s="15">
        <v>2</v>
      </c>
      <c r="F358" s="15">
        <v>20</v>
      </c>
      <c r="G358" s="15" t="str" cm="1">
        <f t="array" ref="G358">_xlfn.IFS(AND(F358&gt;=5,F358&lt;12),"Morning",AND(F358&gt;=12,F358&lt;17),"AfterNoon",AND(F358&gt;=17,F358&lt;20),"Evening",TRUE,"Night")</f>
        <v>Night</v>
      </c>
      <c r="H358" s="15" t="b">
        <v>0</v>
      </c>
      <c r="I358" s="15">
        <v>6</v>
      </c>
      <c r="J358" s="15" t="str" cm="1">
        <f t="array" ref="J358">_xlfn.IFS(I358=0,"Saturday",I358=1,"Sunday",I358=2,"Monday",I358=3,"Tuesday",I358=4,"Wednesday",I358=5,"Thusday",I358=6,"Friday")</f>
        <v>Friday</v>
      </c>
      <c r="K358" s="15">
        <v>1</v>
      </c>
      <c r="L358" s="15">
        <v>0.26</v>
      </c>
      <c r="M358" s="15" t="str">
        <f t="shared" si="6"/>
        <v>Cloudy</v>
      </c>
      <c r="N358" s="15">
        <v>0.2576</v>
      </c>
      <c r="O358" s="15">
        <v>0.41</v>
      </c>
      <c r="P358" s="15">
        <v>0.22389999999999999</v>
      </c>
      <c r="Q358" s="15">
        <v>1</v>
      </c>
      <c r="R358" s="15">
        <v>39</v>
      </c>
      <c r="S358" s="15">
        <v>40</v>
      </c>
    </row>
    <row r="359" spans="1:19" x14ac:dyDescent="0.35">
      <c r="A359" s="15">
        <v>967</v>
      </c>
      <c r="B359" s="16">
        <v>40586</v>
      </c>
      <c r="C359" s="15">
        <v>1</v>
      </c>
      <c r="D359" s="15">
        <v>0</v>
      </c>
      <c r="E359" s="15">
        <v>2</v>
      </c>
      <c r="F359" s="15">
        <v>21</v>
      </c>
      <c r="G359" s="15" t="str" cm="1">
        <f t="array" ref="G359">_xlfn.IFS(AND(F359&gt;=5,F359&lt;12),"Morning",AND(F359&gt;=12,F359&lt;17),"AfterNoon",AND(F359&gt;=17,F359&lt;20),"Evening",TRUE,"Night")</f>
        <v>Night</v>
      </c>
      <c r="H359" s="15" t="b">
        <v>0</v>
      </c>
      <c r="I359" s="15">
        <v>6</v>
      </c>
      <c r="J359" s="15" t="str" cm="1">
        <f t="array" ref="J359">_xlfn.IFS(I359=0,"Saturday",I359=1,"Sunday",I359=2,"Monday",I359=3,"Tuesday",I359=4,"Wednesday",I359=5,"Thusday",I359=6,"Friday")</f>
        <v>Friday</v>
      </c>
      <c r="K359" s="15">
        <v>1</v>
      </c>
      <c r="L359" s="15">
        <v>0.26</v>
      </c>
      <c r="M359" s="15" t="str">
        <f t="shared" si="6"/>
        <v>Cloudy</v>
      </c>
      <c r="N359" s="15">
        <v>0.30299999999999999</v>
      </c>
      <c r="O359" s="15">
        <v>0.41</v>
      </c>
      <c r="P359" s="15">
        <v>0</v>
      </c>
      <c r="Q359" s="15">
        <v>9</v>
      </c>
      <c r="R359" s="15">
        <v>42</v>
      </c>
      <c r="S359" s="15">
        <v>51</v>
      </c>
    </row>
    <row r="360" spans="1:19" x14ac:dyDescent="0.35">
      <c r="A360" s="15">
        <v>968</v>
      </c>
      <c r="B360" s="16">
        <v>40586</v>
      </c>
      <c r="C360" s="15">
        <v>1</v>
      </c>
      <c r="D360" s="15">
        <v>0</v>
      </c>
      <c r="E360" s="15">
        <v>2</v>
      </c>
      <c r="F360" s="15">
        <v>22</v>
      </c>
      <c r="G360" s="15" t="str" cm="1">
        <f t="array" ref="G360">_xlfn.IFS(AND(F360&gt;=5,F360&lt;12),"Morning",AND(F360&gt;=12,F360&lt;17),"AfterNoon",AND(F360&gt;=17,F360&lt;20),"Evening",TRUE,"Night")</f>
        <v>Night</v>
      </c>
      <c r="H360" s="15" t="b">
        <v>0</v>
      </c>
      <c r="I360" s="15">
        <v>6</v>
      </c>
      <c r="J360" s="15" t="str" cm="1">
        <f t="array" ref="J360">_xlfn.IFS(I360=0,"Saturday",I360=1,"Sunday",I360=2,"Monday",I360=3,"Tuesday",I360=4,"Wednesday",I360=5,"Thusday",I360=6,"Friday")</f>
        <v>Friday</v>
      </c>
      <c r="K360" s="15">
        <v>1</v>
      </c>
      <c r="L360" s="15">
        <v>0.24</v>
      </c>
      <c r="M360" s="15" t="str">
        <f t="shared" si="6"/>
        <v>Cloudy</v>
      </c>
      <c r="N360" s="15">
        <v>0.2576</v>
      </c>
      <c r="O360" s="15">
        <v>0.44</v>
      </c>
      <c r="P360" s="15">
        <v>8.9599999999999999E-2</v>
      </c>
      <c r="Q360" s="15">
        <v>6</v>
      </c>
      <c r="R360" s="15">
        <v>39</v>
      </c>
      <c r="S360" s="15">
        <v>45</v>
      </c>
    </row>
    <row r="361" spans="1:19" x14ac:dyDescent="0.35">
      <c r="A361" s="15">
        <v>969</v>
      </c>
      <c r="B361" s="16">
        <v>40586</v>
      </c>
      <c r="C361" s="15">
        <v>1</v>
      </c>
      <c r="D361" s="15">
        <v>0</v>
      </c>
      <c r="E361" s="15">
        <v>2</v>
      </c>
      <c r="F361" s="15">
        <v>23</v>
      </c>
      <c r="G361" s="15" t="str" cm="1">
        <f t="array" ref="G361">_xlfn.IFS(AND(F361&gt;=5,F361&lt;12),"Morning",AND(F361&gt;=12,F361&lt;17),"AfterNoon",AND(F361&gt;=17,F361&lt;20),"Evening",TRUE,"Night")</f>
        <v>Night</v>
      </c>
      <c r="H361" s="15" t="b">
        <v>0</v>
      </c>
      <c r="I361" s="15">
        <v>6</v>
      </c>
      <c r="J361" s="15" t="str" cm="1">
        <f t="array" ref="J361">_xlfn.IFS(I361=0,"Saturday",I361=1,"Sunday",I361=2,"Monday",I361=3,"Tuesday",I361=4,"Wednesday",I361=5,"Thusday",I361=6,"Friday")</f>
        <v>Friday</v>
      </c>
      <c r="K361" s="15">
        <v>1</v>
      </c>
      <c r="L361" s="15">
        <v>0.22</v>
      </c>
      <c r="M361" s="15" t="str">
        <f t="shared" si="6"/>
        <v>Cloudy</v>
      </c>
      <c r="N361" s="15">
        <v>0.2273</v>
      </c>
      <c r="O361" s="15">
        <v>0.51</v>
      </c>
      <c r="P361" s="15">
        <v>0.1343</v>
      </c>
      <c r="Q361" s="15">
        <v>1</v>
      </c>
      <c r="R361" s="15">
        <v>31</v>
      </c>
      <c r="S361" s="15">
        <v>32</v>
      </c>
    </row>
    <row r="362" spans="1:19" x14ac:dyDescent="0.35">
      <c r="A362" s="15">
        <v>970</v>
      </c>
      <c r="B362" s="16">
        <v>40587</v>
      </c>
      <c r="C362" s="15">
        <v>1</v>
      </c>
      <c r="D362" s="15">
        <v>0</v>
      </c>
      <c r="E362" s="15">
        <v>2</v>
      </c>
      <c r="F362" s="15">
        <v>0</v>
      </c>
      <c r="G362" s="15" t="str" cm="1">
        <f t="array" ref="G362">_xlfn.IFS(AND(F362&gt;=5,F362&lt;12),"Morning",AND(F362&gt;=12,F362&lt;17),"AfterNoon",AND(F362&gt;=17,F362&lt;20),"Evening",TRUE,"Night")</f>
        <v>Night</v>
      </c>
      <c r="H362" s="15" t="b">
        <v>0</v>
      </c>
      <c r="I362" s="15">
        <v>0</v>
      </c>
      <c r="J362" s="15" t="str" cm="1">
        <f t="array" ref="J362">_xlfn.IFS(I362=0,"Saturday",I362=1,"Sunday",I362=2,"Monday",I362=3,"Tuesday",I362=4,"Wednesday",I362=5,"Thusday",I362=6,"Friday")</f>
        <v>Saturday</v>
      </c>
      <c r="K362" s="15">
        <v>1</v>
      </c>
      <c r="L362" s="15">
        <v>0.2</v>
      </c>
      <c r="M362" s="15" t="str">
        <f t="shared" si="6"/>
        <v>Rainy</v>
      </c>
      <c r="N362" s="15">
        <v>0.2273</v>
      </c>
      <c r="O362" s="15">
        <v>0.64</v>
      </c>
      <c r="P362" s="15">
        <v>0.1045</v>
      </c>
      <c r="Q362" s="15">
        <v>5</v>
      </c>
      <c r="R362" s="15">
        <v>34</v>
      </c>
      <c r="S362" s="15">
        <v>39</v>
      </c>
    </row>
    <row r="363" spans="1:19" x14ac:dyDescent="0.35">
      <c r="A363" s="15">
        <v>971</v>
      </c>
      <c r="B363" s="16">
        <v>40587</v>
      </c>
      <c r="C363" s="15">
        <v>1</v>
      </c>
      <c r="D363" s="15">
        <v>0</v>
      </c>
      <c r="E363" s="15">
        <v>2</v>
      </c>
      <c r="F363" s="15">
        <v>1</v>
      </c>
      <c r="G363" s="15" t="str" cm="1">
        <f t="array" ref="G363">_xlfn.IFS(AND(F363&gt;=5,F363&lt;12),"Morning",AND(F363&gt;=12,F363&lt;17),"AfterNoon",AND(F363&gt;=17,F363&lt;20),"Evening",TRUE,"Night")</f>
        <v>Night</v>
      </c>
      <c r="H363" s="15" t="b">
        <v>0</v>
      </c>
      <c r="I363" s="15">
        <v>0</v>
      </c>
      <c r="J363" s="15" t="str" cm="1">
        <f t="array" ref="J363">_xlfn.IFS(I363=0,"Saturday",I363=1,"Sunday",I363=2,"Monday",I363=3,"Tuesday",I363=4,"Wednesday",I363=5,"Thusday",I363=6,"Friday")</f>
        <v>Saturday</v>
      </c>
      <c r="K363" s="15">
        <v>1</v>
      </c>
      <c r="L363" s="15">
        <v>0.2</v>
      </c>
      <c r="M363" s="15" t="str">
        <f t="shared" si="6"/>
        <v>Rainy</v>
      </c>
      <c r="N363" s="15">
        <v>0.2273</v>
      </c>
      <c r="O363" s="15">
        <v>0.59</v>
      </c>
      <c r="P363" s="15">
        <v>8.9599999999999999E-2</v>
      </c>
      <c r="Q363" s="15">
        <v>1</v>
      </c>
      <c r="R363" s="15">
        <v>23</v>
      </c>
      <c r="S363" s="15">
        <v>24</v>
      </c>
    </row>
    <row r="364" spans="1:19" x14ac:dyDescent="0.35">
      <c r="A364" s="15">
        <v>972</v>
      </c>
      <c r="B364" s="16">
        <v>40587</v>
      </c>
      <c r="C364" s="15">
        <v>1</v>
      </c>
      <c r="D364" s="15">
        <v>0</v>
      </c>
      <c r="E364" s="15">
        <v>2</v>
      </c>
      <c r="F364" s="15">
        <v>2</v>
      </c>
      <c r="G364" s="15" t="str" cm="1">
        <f t="array" ref="G364">_xlfn.IFS(AND(F364&gt;=5,F364&lt;12),"Morning",AND(F364&gt;=12,F364&lt;17),"AfterNoon",AND(F364&gt;=17,F364&lt;20),"Evening",TRUE,"Night")</f>
        <v>Night</v>
      </c>
      <c r="H364" s="15" t="b">
        <v>0</v>
      </c>
      <c r="I364" s="15">
        <v>0</v>
      </c>
      <c r="J364" s="15" t="str" cm="1">
        <f t="array" ref="J364">_xlfn.IFS(I364=0,"Saturday",I364=1,"Sunday",I364=2,"Monday",I364=3,"Tuesday",I364=4,"Wednesday",I364=5,"Thusday",I364=6,"Friday")</f>
        <v>Saturday</v>
      </c>
      <c r="K364" s="15">
        <v>2</v>
      </c>
      <c r="L364" s="15">
        <v>0.2</v>
      </c>
      <c r="M364" s="15" t="str">
        <f t="shared" si="6"/>
        <v>Rainy</v>
      </c>
      <c r="N364" s="15">
        <v>0.2273</v>
      </c>
      <c r="O364" s="15">
        <v>0.75</v>
      </c>
      <c r="P364" s="15">
        <v>8.9599999999999999E-2</v>
      </c>
      <c r="Q364" s="15">
        <v>1</v>
      </c>
      <c r="R364" s="15">
        <v>19</v>
      </c>
      <c r="S364" s="15">
        <v>20</v>
      </c>
    </row>
    <row r="365" spans="1:19" x14ac:dyDescent="0.35">
      <c r="A365" s="15">
        <v>973</v>
      </c>
      <c r="B365" s="16">
        <v>40587</v>
      </c>
      <c r="C365" s="15">
        <v>1</v>
      </c>
      <c r="D365" s="15">
        <v>0</v>
      </c>
      <c r="E365" s="15">
        <v>2</v>
      </c>
      <c r="F365" s="15">
        <v>3</v>
      </c>
      <c r="G365" s="15" t="str" cm="1">
        <f t="array" ref="G365">_xlfn.IFS(AND(F365&gt;=5,F365&lt;12),"Morning",AND(F365&gt;=12,F365&lt;17),"AfterNoon",AND(F365&gt;=17,F365&lt;20),"Evening",TRUE,"Night")</f>
        <v>Night</v>
      </c>
      <c r="H365" s="15" t="b">
        <v>0</v>
      </c>
      <c r="I365" s="15">
        <v>0</v>
      </c>
      <c r="J365" s="15" t="str" cm="1">
        <f t="array" ref="J365">_xlfn.IFS(I365=0,"Saturday",I365=1,"Sunday",I365=2,"Monday",I365=3,"Tuesday",I365=4,"Wednesday",I365=5,"Thusday",I365=6,"Friday")</f>
        <v>Saturday</v>
      </c>
      <c r="K365" s="15">
        <v>2</v>
      </c>
      <c r="L365" s="15">
        <v>0.2</v>
      </c>
      <c r="M365" s="15" t="str">
        <f t="shared" si="6"/>
        <v>Rainy</v>
      </c>
      <c r="N365" s="15">
        <v>0.2273</v>
      </c>
      <c r="O365" s="15">
        <v>0.69</v>
      </c>
      <c r="P365" s="15">
        <v>0.1045</v>
      </c>
      <c r="Q365" s="15">
        <v>4</v>
      </c>
      <c r="R365" s="15">
        <v>8</v>
      </c>
      <c r="S365" s="15">
        <v>12</v>
      </c>
    </row>
    <row r="366" spans="1:19" x14ac:dyDescent="0.35">
      <c r="A366" s="15">
        <v>974</v>
      </c>
      <c r="B366" s="16">
        <v>40587</v>
      </c>
      <c r="C366" s="15">
        <v>1</v>
      </c>
      <c r="D366" s="15">
        <v>0</v>
      </c>
      <c r="E366" s="15">
        <v>2</v>
      </c>
      <c r="F366" s="15">
        <v>4</v>
      </c>
      <c r="G366" s="15" t="str" cm="1">
        <f t="array" ref="G366">_xlfn.IFS(AND(F366&gt;=5,F366&lt;12),"Morning",AND(F366&gt;=12,F366&lt;17),"AfterNoon",AND(F366&gt;=17,F366&lt;20),"Evening",TRUE,"Night")</f>
        <v>Night</v>
      </c>
      <c r="H366" s="15" t="b">
        <v>0</v>
      </c>
      <c r="I366" s="15">
        <v>0</v>
      </c>
      <c r="J366" s="15" t="str" cm="1">
        <f t="array" ref="J366">_xlfn.IFS(I366=0,"Saturday",I366=1,"Sunday",I366=2,"Monday",I366=3,"Tuesday",I366=4,"Wednesday",I366=5,"Thusday",I366=6,"Friday")</f>
        <v>Saturday</v>
      </c>
      <c r="K366" s="15">
        <v>2</v>
      </c>
      <c r="L366" s="15">
        <v>0.2</v>
      </c>
      <c r="M366" s="15" t="str">
        <f t="shared" si="6"/>
        <v>Rainy</v>
      </c>
      <c r="N366" s="15">
        <v>0.21210000000000001</v>
      </c>
      <c r="O366" s="15">
        <v>0.69</v>
      </c>
      <c r="P366" s="15">
        <v>0.16420000000000001</v>
      </c>
      <c r="Q366" s="15">
        <v>0</v>
      </c>
      <c r="R366" s="15">
        <v>2</v>
      </c>
      <c r="S366" s="15">
        <v>2</v>
      </c>
    </row>
    <row r="367" spans="1:19" x14ac:dyDescent="0.35">
      <c r="A367" s="15">
        <v>975</v>
      </c>
      <c r="B367" s="16">
        <v>40587</v>
      </c>
      <c r="C367" s="15">
        <v>1</v>
      </c>
      <c r="D367" s="15">
        <v>0</v>
      </c>
      <c r="E367" s="15">
        <v>2</v>
      </c>
      <c r="F367" s="15">
        <v>6</v>
      </c>
      <c r="G367" s="15" t="str" cm="1">
        <f t="array" ref="G367">_xlfn.IFS(AND(F367&gt;=5,F367&lt;12),"Morning",AND(F367&gt;=12,F367&lt;17),"AfterNoon",AND(F367&gt;=17,F367&lt;20),"Evening",TRUE,"Night")</f>
        <v>Morning</v>
      </c>
      <c r="H367" s="15" t="b">
        <v>0</v>
      </c>
      <c r="I367" s="15">
        <v>0</v>
      </c>
      <c r="J367" s="15" t="str" cm="1">
        <f t="array" ref="J367">_xlfn.IFS(I367=0,"Saturday",I367=1,"Sunday",I367=2,"Monday",I367=3,"Tuesday",I367=4,"Wednesday",I367=5,"Thusday",I367=6,"Friday")</f>
        <v>Saturday</v>
      </c>
      <c r="K367" s="15">
        <v>2</v>
      </c>
      <c r="L367" s="15">
        <v>0.2</v>
      </c>
      <c r="M367" s="15" t="str">
        <f t="shared" si="6"/>
        <v>Rainy</v>
      </c>
      <c r="N367" s="15">
        <v>0.21210000000000001</v>
      </c>
      <c r="O367" s="15">
        <v>0.69</v>
      </c>
      <c r="P367" s="15">
        <v>0.1343</v>
      </c>
      <c r="Q367" s="15">
        <v>2</v>
      </c>
      <c r="R367" s="15">
        <v>3</v>
      </c>
      <c r="S367" s="15">
        <v>5</v>
      </c>
    </row>
    <row r="368" spans="1:19" x14ac:dyDescent="0.35">
      <c r="A368" s="15">
        <v>976</v>
      </c>
      <c r="B368" s="16">
        <v>40587</v>
      </c>
      <c r="C368" s="15">
        <v>1</v>
      </c>
      <c r="D368" s="15">
        <v>0</v>
      </c>
      <c r="E368" s="15">
        <v>2</v>
      </c>
      <c r="F368" s="15">
        <v>7</v>
      </c>
      <c r="G368" s="15" t="str" cm="1">
        <f t="array" ref="G368">_xlfn.IFS(AND(F368&gt;=5,F368&lt;12),"Morning",AND(F368&gt;=12,F368&lt;17),"AfterNoon",AND(F368&gt;=17,F368&lt;20),"Evening",TRUE,"Night")</f>
        <v>Morning</v>
      </c>
      <c r="H368" s="15" t="b">
        <v>0</v>
      </c>
      <c r="I368" s="15">
        <v>0</v>
      </c>
      <c r="J368" s="15" t="str" cm="1">
        <f t="array" ref="J368">_xlfn.IFS(I368=0,"Saturday",I368=1,"Sunday",I368=2,"Monday",I368=3,"Tuesday",I368=4,"Wednesday",I368=5,"Thusday",I368=6,"Friday")</f>
        <v>Saturday</v>
      </c>
      <c r="K368" s="15">
        <v>2</v>
      </c>
      <c r="L368" s="15">
        <v>0.22</v>
      </c>
      <c r="M368" s="15" t="str">
        <f t="shared" si="6"/>
        <v>Cloudy</v>
      </c>
      <c r="N368" s="15">
        <v>0.2727</v>
      </c>
      <c r="O368" s="15">
        <v>0.55000000000000004</v>
      </c>
      <c r="P368" s="15">
        <v>0</v>
      </c>
      <c r="Q368" s="15">
        <v>0</v>
      </c>
      <c r="R368" s="15">
        <v>3</v>
      </c>
      <c r="S368" s="15">
        <v>3</v>
      </c>
    </row>
    <row r="369" spans="1:19" x14ac:dyDescent="0.35">
      <c r="A369" s="15">
        <v>977</v>
      </c>
      <c r="B369" s="16">
        <v>40587</v>
      </c>
      <c r="C369" s="15">
        <v>1</v>
      </c>
      <c r="D369" s="15">
        <v>0</v>
      </c>
      <c r="E369" s="15">
        <v>2</v>
      </c>
      <c r="F369" s="15">
        <v>8</v>
      </c>
      <c r="G369" s="15" t="str" cm="1">
        <f t="array" ref="G369">_xlfn.IFS(AND(F369&gt;=5,F369&lt;12),"Morning",AND(F369&gt;=12,F369&lt;17),"AfterNoon",AND(F369&gt;=17,F369&lt;20),"Evening",TRUE,"Night")</f>
        <v>Morning</v>
      </c>
      <c r="H369" s="15" t="b">
        <v>0</v>
      </c>
      <c r="I369" s="15">
        <v>0</v>
      </c>
      <c r="J369" s="15" t="str" cm="1">
        <f t="array" ref="J369">_xlfn.IFS(I369=0,"Saturday",I369=1,"Sunday",I369=2,"Monday",I369=3,"Tuesday",I369=4,"Wednesday",I369=5,"Thusday",I369=6,"Friday")</f>
        <v>Saturday</v>
      </c>
      <c r="K369" s="15">
        <v>2</v>
      </c>
      <c r="L369" s="15">
        <v>0.22</v>
      </c>
      <c r="M369" s="15" t="str">
        <f t="shared" si="6"/>
        <v>Cloudy</v>
      </c>
      <c r="N369" s="15">
        <v>0.2273</v>
      </c>
      <c r="O369" s="15">
        <v>0.64</v>
      </c>
      <c r="P369" s="15">
        <v>0.19400000000000001</v>
      </c>
      <c r="Q369" s="15">
        <v>1</v>
      </c>
      <c r="R369" s="15">
        <v>11</v>
      </c>
      <c r="S369" s="15">
        <v>12</v>
      </c>
    </row>
    <row r="370" spans="1:19" x14ac:dyDescent="0.35">
      <c r="A370" s="15">
        <v>978</v>
      </c>
      <c r="B370" s="16">
        <v>40587</v>
      </c>
      <c r="C370" s="15">
        <v>1</v>
      </c>
      <c r="D370" s="15">
        <v>0</v>
      </c>
      <c r="E370" s="15">
        <v>2</v>
      </c>
      <c r="F370" s="15">
        <v>9</v>
      </c>
      <c r="G370" s="15" t="str" cm="1">
        <f t="array" ref="G370">_xlfn.IFS(AND(F370&gt;=5,F370&lt;12),"Morning",AND(F370&gt;=12,F370&lt;17),"AfterNoon",AND(F370&gt;=17,F370&lt;20),"Evening",TRUE,"Night")</f>
        <v>Morning</v>
      </c>
      <c r="H370" s="15" t="b">
        <v>0</v>
      </c>
      <c r="I370" s="15">
        <v>0</v>
      </c>
      <c r="J370" s="15" t="str" cm="1">
        <f t="array" ref="J370">_xlfn.IFS(I370=0,"Saturday",I370=1,"Sunday",I370=2,"Monday",I370=3,"Tuesday",I370=4,"Wednesday",I370=5,"Thusday",I370=6,"Friday")</f>
        <v>Saturday</v>
      </c>
      <c r="K370" s="15">
        <v>2</v>
      </c>
      <c r="L370" s="15">
        <v>0.24</v>
      </c>
      <c r="M370" s="15" t="str">
        <f t="shared" si="6"/>
        <v>Cloudy</v>
      </c>
      <c r="N370" s="15">
        <v>0.2273</v>
      </c>
      <c r="O370" s="15">
        <v>0.6</v>
      </c>
      <c r="P370" s="15">
        <v>0.22389999999999999</v>
      </c>
      <c r="Q370" s="15">
        <v>12</v>
      </c>
      <c r="R370" s="15">
        <v>35</v>
      </c>
      <c r="S370" s="15">
        <v>47</v>
      </c>
    </row>
    <row r="371" spans="1:19" x14ac:dyDescent="0.35">
      <c r="A371" s="15">
        <v>979</v>
      </c>
      <c r="B371" s="16">
        <v>40587</v>
      </c>
      <c r="C371" s="15">
        <v>1</v>
      </c>
      <c r="D371" s="15">
        <v>0</v>
      </c>
      <c r="E371" s="15">
        <v>2</v>
      </c>
      <c r="F371" s="15">
        <v>10</v>
      </c>
      <c r="G371" s="15" t="str" cm="1">
        <f t="array" ref="G371">_xlfn.IFS(AND(F371&gt;=5,F371&lt;12),"Morning",AND(F371&gt;=12,F371&lt;17),"AfterNoon",AND(F371&gt;=17,F371&lt;20),"Evening",TRUE,"Night")</f>
        <v>Morning</v>
      </c>
      <c r="H371" s="15" t="b">
        <v>0</v>
      </c>
      <c r="I371" s="15">
        <v>0</v>
      </c>
      <c r="J371" s="15" t="str" cm="1">
        <f t="array" ref="J371">_xlfn.IFS(I371=0,"Saturday",I371=1,"Sunday",I371=2,"Monday",I371=3,"Tuesday",I371=4,"Wednesday",I371=5,"Thusday",I371=6,"Friday")</f>
        <v>Saturday</v>
      </c>
      <c r="K371" s="15">
        <v>1</v>
      </c>
      <c r="L371" s="15">
        <v>0.3</v>
      </c>
      <c r="M371" s="15" t="str">
        <f t="shared" si="6"/>
        <v>Cloudy</v>
      </c>
      <c r="N371" s="15">
        <v>0.2727</v>
      </c>
      <c r="O371" s="15">
        <v>0.45</v>
      </c>
      <c r="P371" s="15">
        <v>0.32840000000000003</v>
      </c>
      <c r="Q371" s="15">
        <v>19</v>
      </c>
      <c r="R371" s="15">
        <v>86</v>
      </c>
      <c r="S371" s="15">
        <v>105</v>
      </c>
    </row>
    <row r="372" spans="1:19" x14ac:dyDescent="0.35">
      <c r="A372" s="15">
        <v>980</v>
      </c>
      <c r="B372" s="16">
        <v>40587</v>
      </c>
      <c r="C372" s="15">
        <v>1</v>
      </c>
      <c r="D372" s="15">
        <v>0</v>
      </c>
      <c r="E372" s="15">
        <v>2</v>
      </c>
      <c r="F372" s="15">
        <v>11</v>
      </c>
      <c r="G372" s="15" t="str" cm="1">
        <f t="array" ref="G372">_xlfn.IFS(AND(F372&gt;=5,F372&lt;12),"Morning",AND(F372&gt;=12,F372&lt;17),"AfterNoon",AND(F372&gt;=17,F372&lt;20),"Evening",TRUE,"Night")</f>
        <v>Morning</v>
      </c>
      <c r="H372" s="15" t="b">
        <v>0</v>
      </c>
      <c r="I372" s="15">
        <v>0</v>
      </c>
      <c r="J372" s="15" t="str" cm="1">
        <f t="array" ref="J372">_xlfn.IFS(I372=0,"Saturday",I372=1,"Sunday",I372=2,"Monday",I372=3,"Tuesday",I372=4,"Wednesday",I372=5,"Thusday",I372=6,"Friday")</f>
        <v>Saturday</v>
      </c>
      <c r="K372" s="15">
        <v>1</v>
      </c>
      <c r="L372" s="15">
        <v>0.32</v>
      </c>
      <c r="M372" s="15" t="str">
        <f t="shared" si="6"/>
        <v>Sunny</v>
      </c>
      <c r="N372" s="15">
        <v>0.28789999999999999</v>
      </c>
      <c r="O372" s="15">
        <v>0.39</v>
      </c>
      <c r="P372" s="15">
        <v>0.44779999999999998</v>
      </c>
      <c r="Q372" s="15">
        <v>26</v>
      </c>
      <c r="R372" s="15">
        <v>86</v>
      </c>
      <c r="S372" s="15">
        <v>112</v>
      </c>
    </row>
    <row r="373" spans="1:19" x14ac:dyDescent="0.35">
      <c r="A373" s="15">
        <v>981</v>
      </c>
      <c r="B373" s="16">
        <v>40587</v>
      </c>
      <c r="C373" s="15">
        <v>1</v>
      </c>
      <c r="D373" s="15">
        <v>0</v>
      </c>
      <c r="E373" s="15">
        <v>2</v>
      </c>
      <c r="F373" s="15">
        <v>12</v>
      </c>
      <c r="G373" s="15" t="str" cm="1">
        <f t="array" ref="G373">_xlfn.IFS(AND(F373&gt;=5,F373&lt;12),"Morning",AND(F373&gt;=12,F373&lt;17),"AfterNoon",AND(F373&gt;=17,F373&lt;20),"Evening",TRUE,"Night")</f>
        <v>AfterNoon</v>
      </c>
      <c r="H373" s="15" t="b">
        <v>0</v>
      </c>
      <c r="I373" s="15">
        <v>0</v>
      </c>
      <c r="J373" s="15" t="str" cm="1">
        <f t="array" ref="J373">_xlfn.IFS(I373=0,"Saturday",I373=1,"Sunday",I373=2,"Monday",I373=3,"Tuesday",I373=4,"Wednesday",I373=5,"Thusday",I373=6,"Friday")</f>
        <v>Saturday</v>
      </c>
      <c r="K373" s="15">
        <v>1</v>
      </c>
      <c r="L373" s="15">
        <v>0.36</v>
      </c>
      <c r="M373" s="15" t="str">
        <f t="shared" si="6"/>
        <v>Sunny</v>
      </c>
      <c r="N373" s="15">
        <v>0.31819999999999998</v>
      </c>
      <c r="O373" s="15">
        <v>0.32</v>
      </c>
      <c r="P373" s="15">
        <v>0.4627</v>
      </c>
      <c r="Q373" s="15">
        <v>58</v>
      </c>
      <c r="R373" s="15">
        <v>94</v>
      </c>
      <c r="S373" s="15">
        <v>152</v>
      </c>
    </row>
    <row r="374" spans="1:19" x14ac:dyDescent="0.35">
      <c r="A374" s="15">
        <v>982</v>
      </c>
      <c r="B374" s="16">
        <v>40587</v>
      </c>
      <c r="C374" s="15">
        <v>1</v>
      </c>
      <c r="D374" s="15">
        <v>0</v>
      </c>
      <c r="E374" s="15">
        <v>2</v>
      </c>
      <c r="F374" s="15">
        <v>13</v>
      </c>
      <c r="G374" s="15" t="str" cm="1">
        <f t="array" ref="G374">_xlfn.IFS(AND(F374&gt;=5,F374&lt;12),"Morning",AND(F374&gt;=12,F374&lt;17),"AfterNoon",AND(F374&gt;=17,F374&lt;20),"Evening",TRUE,"Night")</f>
        <v>AfterNoon</v>
      </c>
      <c r="H374" s="15" t="b">
        <v>0</v>
      </c>
      <c r="I374" s="15">
        <v>0</v>
      </c>
      <c r="J374" s="15" t="str" cm="1">
        <f t="array" ref="J374">_xlfn.IFS(I374=0,"Saturday",I374=1,"Sunday",I374=2,"Monday",I374=3,"Tuesday",I374=4,"Wednesday",I374=5,"Thusday",I374=6,"Friday")</f>
        <v>Saturday</v>
      </c>
      <c r="K374" s="15">
        <v>1</v>
      </c>
      <c r="L374" s="15">
        <v>0.38</v>
      </c>
      <c r="M374" s="15" t="str">
        <f t="shared" si="6"/>
        <v>Sunny</v>
      </c>
      <c r="N374" s="15">
        <v>0.39389999999999997</v>
      </c>
      <c r="O374" s="15">
        <v>0.28999999999999998</v>
      </c>
      <c r="P374" s="15">
        <v>0.35820000000000002</v>
      </c>
      <c r="Q374" s="15">
        <v>62</v>
      </c>
      <c r="R374" s="15">
        <v>92</v>
      </c>
      <c r="S374" s="15">
        <v>154</v>
      </c>
    </row>
    <row r="375" spans="1:19" x14ac:dyDescent="0.35">
      <c r="A375" s="15">
        <v>983</v>
      </c>
      <c r="B375" s="16">
        <v>40587</v>
      </c>
      <c r="C375" s="15">
        <v>1</v>
      </c>
      <c r="D375" s="15">
        <v>0</v>
      </c>
      <c r="E375" s="15">
        <v>2</v>
      </c>
      <c r="F375" s="15">
        <v>14</v>
      </c>
      <c r="G375" s="15" t="str" cm="1">
        <f t="array" ref="G375">_xlfn.IFS(AND(F375&gt;=5,F375&lt;12),"Morning",AND(F375&gt;=12,F375&lt;17),"AfterNoon",AND(F375&gt;=17,F375&lt;20),"Evening",TRUE,"Night")</f>
        <v>AfterNoon</v>
      </c>
      <c r="H375" s="15" t="b">
        <v>0</v>
      </c>
      <c r="I375" s="15">
        <v>0</v>
      </c>
      <c r="J375" s="15" t="str" cm="1">
        <f t="array" ref="J375">_xlfn.IFS(I375=0,"Saturday",I375=1,"Sunday",I375=2,"Monday",I375=3,"Tuesday",I375=4,"Wednesday",I375=5,"Thusday",I375=6,"Friday")</f>
        <v>Saturday</v>
      </c>
      <c r="K375" s="15">
        <v>2</v>
      </c>
      <c r="L375" s="15">
        <v>0.4</v>
      </c>
      <c r="M375" s="15" t="str">
        <f t="shared" si="6"/>
        <v>Sunny</v>
      </c>
      <c r="N375" s="15">
        <v>0.40910000000000002</v>
      </c>
      <c r="O375" s="15">
        <v>0.3</v>
      </c>
      <c r="P375" s="15">
        <v>0.41789999999999999</v>
      </c>
      <c r="Q375" s="15">
        <v>51</v>
      </c>
      <c r="R375" s="15">
        <v>110</v>
      </c>
      <c r="S375" s="15">
        <v>161</v>
      </c>
    </row>
    <row r="376" spans="1:19" x14ac:dyDescent="0.35">
      <c r="A376" s="15">
        <v>984</v>
      </c>
      <c r="B376" s="16">
        <v>40587</v>
      </c>
      <c r="C376" s="15">
        <v>1</v>
      </c>
      <c r="D376" s="15">
        <v>0</v>
      </c>
      <c r="E376" s="15">
        <v>2</v>
      </c>
      <c r="F376" s="15">
        <v>15</v>
      </c>
      <c r="G376" s="15" t="str" cm="1">
        <f t="array" ref="G376">_xlfn.IFS(AND(F376&gt;=5,F376&lt;12),"Morning",AND(F376&gt;=12,F376&lt;17),"AfterNoon",AND(F376&gt;=17,F376&lt;20),"Evening",TRUE,"Night")</f>
        <v>AfterNoon</v>
      </c>
      <c r="H376" s="15" t="b">
        <v>0</v>
      </c>
      <c r="I376" s="15">
        <v>0</v>
      </c>
      <c r="J376" s="15" t="str" cm="1">
        <f t="array" ref="J376">_xlfn.IFS(I376=0,"Saturday",I376=1,"Sunday",I376=2,"Monday",I376=3,"Tuesday",I376=4,"Wednesday",I376=5,"Thusday",I376=6,"Friday")</f>
        <v>Saturday</v>
      </c>
      <c r="K376" s="15">
        <v>2</v>
      </c>
      <c r="L376" s="15">
        <v>0.4</v>
      </c>
      <c r="M376" s="15" t="str">
        <f t="shared" si="6"/>
        <v>Sunny</v>
      </c>
      <c r="N376" s="15">
        <v>0.40910000000000002</v>
      </c>
      <c r="O376" s="15">
        <v>0.3</v>
      </c>
      <c r="P376" s="15">
        <v>0.29849999999999999</v>
      </c>
      <c r="Q376" s="15">
        <v>40</v>
      </c>
      <c r="R376" s="15">
        <v>122</v>
      </c>
      <c r="S376" s="15">
        <v>162</v>
      </c>
    </row>
    <row r="377" spans="1:19" x14ac:dyDescent="0.35">
      <c r="A377" s="15">
        <v>985</v>
      </c>
      <c r="B377" s="16">
        <v>40587</v>
      </c>
      <c r="C377" s="15">
        <v>1</v>
      </c>
      <c r="D377" s="15">
        <v>0</v>
      </c>
      <c r="E377" s="15">
        <v>2</v>
      </c>
      <c r="F377" s="15">
        <v>16</v>
      </c>
      <c r="G377" s="15" t="str" cm="1">
        <f t="array" ref="G377">_xlfn.IFS(AND(F377&gt;=5,F377&lt;12),"Morning",AND(F377&gt;=12,F377&lt;17),"AfterNoon",AND(F377&gt;=17,F377&lt;20),"Evening",TRUE,"Night")</f>
        <v>AfterNoon</v>
      </c>
      <c r="H377" s="15" t="b">
        <v>0</v>
      </c>
      <c r="I377" s="15">
        <v>0</v>
      </c>
      <c r="J377" s="15" t="str" cm="1">
        <f t="array" ref="J377">_xlfn.IFS(I377=0,"Saturday",I377=1,"Sunday",I377=2,"Monday",I377=3,"Tuesday",I377=4,"Wednesday",I377=5,"Thusday",I377=6,"Friday")</f>
        <v>Saturday</v>
      </c>
      <c r="K377" s="15">
        <v>2</v>
      </c>
      <c r="L377" s="15">
        <v>0.42</v>
      </c>
      <c r="M377" s="15" t="str">
        <f t="shared" si="6"/>
        <v>Sunny</v>
      </c>
      <c r="N377" s="15">
        <v>0.42420000000000002</v>
      </c>
      <c r="O377" s="15">
        <v>0.28000000000000003</v>
      </c>
      <c r="P377" s="15">
        <v>0.32840000000000003</v>
      </c>
      <c r="Q377" s="15">
        <v>28</v>
      </c>
      <c r="R377" s="15">
        <v>106</v>
      </c>
      <c r="S377" s="15">
        <v>134</v>
      </c>
    </row>
    <row r="378" spans="1:19" x14ac:dyDescent="0.35">
      <c r="A378" s="15">
        <v>986</v>
      </c>
      <c r="B378" s="16">
        <v>40587</v>
      </c>
      <c r="C378" s="15">
        <v>1</v>
      </c>
      <c r="D378" s="15">
        <v>0</v>
      </c>
      <c r="E378" s="15">
        <v>2</v>
      </c>
      <c r="F378" s="15">
        <v>17</v>
      </c>
      <c r="G378" s="15" t="str" cm="1">
        <f t="array" ref="G378">_xlfn.IFS(AND(F378&gt;=5,F378&lt;12),"Morning",AND(F378&gt;=12,F378&lt;17),"AfterNoon",AND(F378&gt;=17,F378&lt;20),"Evening",TRUE,"Night")</f>
        <v>Evening</v>
      </c>
      <c r="H378" s="15" t="b">
        <v>0</v>
      </c>
      <c r="I378" s="15">
        <v>0</v>
      </c>
      <c r="J378" s="15" t="str" cm="1">
        <f t="array" ref="J378">_xlfn.IFS(I378=0,"Saturday",I378=1,"Sunday",I378=2,"Monday",I378=3,"Tuesday",I378=4,"Wednesday",I378=5,"Thusday",I378=6,"Friday")</f>
        <v>Saturday</v>
      </c>
      <c r="K378" s="15">
        <v>1</v>
      </c>
      <c r="L378" s="15">
        <v>0.42</v>
      </c>
      <c r="M378" s="15" t="str">
        <f t="shared" si="6"/>
        <v>Sunny</v>
      </c>
      <c r="N378" s="15">
        <v>0.42420000000000002</v>
      </c>
      <c r="O378" s="15">
        <v>0.28000000000000003</v>
      </c>
      <c r="P378" s="15">
        <v>0.32840000000000003</v>
      </c>
      <c r="Q378" s="15">
        <v>30</v>
      </c>
      <c r="R378" s="15">
        <v>95</v>
      </c>
      <c r="S378" s="15">
        <v>125</v>
      </c>
    </row>
    <row r="379" spans="1:19" x14ac:dyDescent="0.35">
      <c r="A379" s="15">
        <v>987</v>
      </c>
      <c r="B379" s="16">
        <v>40587</v>
      </c>
      <c r="C379" s="15">
        <v>1</v>
      </c>
      <c r="D379" s="15">
        <v>0</v>
      </c>
      <c r="E379" s="15">
        <v>2</v>
      </c>
      <c r="F379" s="15">
        <v>18</v>
      </c>
      <c r="G379" s="15" t="str" cm="1">
        <f t="array" ref="G379">_xlfn.IFS(AND(F379&gt;=5,F379&lt;12),"Morning",AND(F379&gt;=12,F379&lt;17),"AfterNoon",AND(F379&gt;=17,F379&lt;20),"Evening",TRUE,"Night")</f>
        <v>Evening</v>
      </c>
      <c r="H379" s="15" t="b">
        <v>0</v>
      </c>
      <c r="I379" s="15">
        <v>0</v>
      </c>
      <c r="J379" s="15" t="str" cm="1">
        <f t="array" ref="J379">_xlfn.IFS(I379=0,"Saturday",I379=1,"Sunday",I379=2,"Monday",I379=3,"Tuesday",I379=4,"Wednesday",I379=5,"Thusday",I379=6,"Friday")</f>
        <v>Saturday</v>
      </c>
      <c r="K379" s="15">
        <v>1</v>
      </c>
      <c r="L379" s="15">
        <v>0.4</v>
      </c>
      <c r="M379" s="15" t="str">
        <f t="shared" si="6"/>
        <v>Sunny</v>
      </c>
      <c r="N379" s="15">
        <v>0.40910000000000002</v>
      </c>
      <c r="O379" s="15">
        <v>0.32</v>
      </c>
      <c r="P379" s="15">
        <v>0.29849999999999999</v>
      </c>
      <c r="Q379" s="15">
        <v>17</v>
      </c>
      <c r="R379" s="15">
        <v>78</v>
      </c>
      <c r="S379" s="15">
        <v>95</v>
      </c>
    </row>
    <row r="380" spans="1:19" x14ac:dyDescent="0.35">
      <c r="A380" s="15">
        <v>988</v>
      </c>
      <c r="B380" s="16">
        <v>40587</v>
      </c>
      <c r="C380" s="15">
        <v>1</v>
      </c>
      <c r="D380" s="15">
        <v>0</v>
      </c>
      <c r="E380" s="15">
        <v>2</v>
      </c>
      <c r="F380" s="15">
        <v>19</v>
      </c>
      <c r="G380" s="15" t="str" cm="1">
        <f t="array" ref="G380">_xlfn.IFS(AND(F380&gt;=5,F380&lt;12),"Morning",AND(F380&gt;=12,F380&lt;17),"AfterNoon",AND(F380&gt;=17,F380&lt;20),"Evening",TRUE,"Night")</f>
        <v>Evening</v>
      </c>
      <c r="H380" s="15" t="b">
        <v>0</v>
      </c>
      <c r="I380" s="15">
        <v>0</v>
      </c>
      <c r="J380" s="15" t="str" cm="1">
        <f t="array" ref="J380">_xlfn.IFS(I380=0,"Saturday",I380=1,"Sunday",I380=2,"Monday",I380=3,"Tuesday",I380=4,"Wednesday",I380=5,"Thusday",I380=6,"Friday")</f>
        <v>Saturday</v>
      </c>
      <c r="K380" s="15">
        <v>1</v>
      </c>
      <c r="L380" s="15">
        <v>0.4</v>
      </c>
      <c r="M380" s="15" t="str">
        <f t="shared" si="6"/>
        <v>Sunny</v>
      </c>
      <c r="N380" s="15">
        <v>0.40910000000000002</v>
      </c>
      <c r="O380" s="15">
        <v>0.35</v>
      </c>
      <c r="P380" s="15">
        <v>0.28360000000000002</v>
      </c>
      <c r="Q380" s="15">
        <v>11</v>
      </c>
      <c r="R380" s="15">
        <v>50</v>
      </c>
      <c r="S380" s="15">
        <v>61</v>
      </c>
    </row>
    <row r="381" spans="1:19" x14ac:dyDescent="0.35">
      <c r="A381" s="15">
        <v>989</v>
      </c>
      <c r="B381" s="16">
        <v>40587</v>
      </c>
      <c r="C381" s="15">
        <v>1</v>
      </c>
      <c r="D381" s="15">
        <v>0</v>
      </c>
      <c r="E381" s="15">
        <v>2</v>
      </c>
      <c r="F381" s="15">
        <v>20</v>
      </c>
      <c r="G381" s="15" t="str" cm="1">
        <f t="array" ref="G381">_xlfn.IFS(AND(F381&gt;=5,F381&lt;12),"Morning",AND(F381&gt;=12,F381&lt;17),"AfterNoon",AND(F381&gt;=17,F381&lt;20),"Evening",TRUE,"Night")</f>
        <v>Night</v>
      </c>
      <c r="H381" s="15" t="b">
        <v>0</v>
      </c>
      <c r="I381" s="15">
        <v>0</v>
      </c>
      <c r="J381" s="15" t="str" cm="1">
        <f t="array" ref="J381">_xlfn.IFS(I381=0,"Saturday",I381=1,"Sunday",I381=2,"Monday",I381=3,"Tuesday",I381=4,"Wednesday",I381=5,"Thusday",I381=6,"Friday")</f>
        <v>Saturday</v>
      </c>
      <c r="K381" s="15">
        <v>1</v>
      </c>
      <c r="L381" s="15">
        <v>0.4</v>
      </c>
      <c r="M381" s="15" t="str">
        <f t="shared" si="6"/>
        <v>Sunny</v>
      </c>
      <c r="N381" s="15">
        <v>0.40910000000000002</v>
      </c>
      <c r="O381" s="15">
        <v>0.35</v>
      </c>
      <c r="P381" s="15">
        <v>0.32840000000000003</v>
      </c>
      <c r="Q381" s="15">
        <v>15</v>
      </c>
      <c r="R381" s="15">
        <v>32</v>
      </c>
      <c r="S381" s="15">
        <v>47</v>
      </c>
    </row>
    <row r="382" spans="1:19" x14ac:dyDescent="0.35">
      <c r="A382" s="15">
        <v>990</v>
      </c>
      <c r="B382" s="16">
        <v>40587</v>
      </c>
      <c r="C382" s="15">
        <v>1</v>
      </c>
      <c r="D382" s="15">
        <v>0</v>
      </c>
      <c r="E382" s="15">
        <v>2</v>
      </c>
      <c r="F382" s="15">
        <v>21</v>
      </c>
      <c r="G382" s="15" t="str" cm="1">
        <f t="array" ref="G382">_xlfn.IFS(AND(F382&gt;=5,F382&lt;12),"Morning",AND(F382&gt;=12,F382&lt;17),"AfterNoon",AND(F382&gt;=17,F382&lt;20),"Evening",TRUE,"Night")</f>
        <v>Night</v>
      </c>
      <c r="H382" s="15" t="b">
        <v>0</v>
      </c>
      <c r="I382" s="15">
        <v>0</v>
      </c>
      <c r="J382" s="15" t="str" cm="1">
        <f t="array" ref="J382">_xlfn.IFS(I382=0,"Saturday",I382=1,"Sunday",I382=2,"Monday",I382=3,"Tuesday",I382=4,"Wednesday",I382=5,"Thusday",I382=6,"Friday")</f>
        <v>Saturday</v>
      </c>
      <c r="K382" s="15">
        <v>1</v>
      </c>
      <c r="L382" s="15">
        <v>0.4</v>
      </c>
      <c r="M382" s="15" t="str">
        <f t="shared" si="6"/>
        <v>Sunny</v>
      </c>
      <c r="N382" s="15">
        <v>0.40910000000000002</v>
      </c>
      <c r="O382" s="15">
        <v>0.35</v>
      </c>
      <c r="P382" s="15">
        <v>0.35820000000000002</v>
      </c>
      <c r="Q382" s="15">
        <v>6</v>
      </c>
      <c r="R382" s="15">
        <v>45</v>
      </c>
      <c r="S382" s="15">
        <v>51</v>
      </c>
    </row>
    <row r="383" spans="1:19" x14ac:dyDescent="0.35">
      <c r="A383" s="15">
        <v>991</v>
      </c>
      <c r="B383" s="16">
        <v>40587</v>
      </c>
      <c r="C383" s="15">
        <v>1</v>
      </c>
      <c r="D383" s="15">
        <v>0</v>
      </c>
      <c r="E383" s="15">
        <v>2</v>
      </c>
      <c r="F383" s="15">
        <v>22</v>
      </c>
      <c r="G383" s="15" t="str" cm="1">
        <f t="array" ref="G383">_xlfn.IFS(AND(F383&gt;=5,F383&lt;12),"Morning",AND(F383&gt;=12,F383&lt;17),"AfterNoon",AND(F383&gt;=17,F383&lt;20),"Evening",TRUE,"Night")</f>
        <v>Night</v>
      </c>
      <c r="H383" s="15" t="b">
        <v>0</v>
      </c>
      <c r="I383" s="15">
        <v>0</v>
      </c>
      <c r="J383" s="15" t="str" cm="1">
        <f t="array" ref="J383">_xlfn.IFS(I383=0,"Saturday",I383=1,"Sunday",I383=2,"Monday",I383=3,"Tuesday",I383=4,"Wednesday",I383=5,"Thusday",I383=6,"Friday")</f>
        <v>Saturday</v>
      </c>
      <c r="K383" s="15">
        <v>1</v>
      </c>
      <c r="L383" s="15">
        <v>0.4</v>
      </c>
      <c r="M383" s="15" t="str">
        <f t="shared" si="6"/>
        <v>Sunny</v>
      </c>
      <c r="N383" s="15">
        <v>0.40910000000000002</v>
      </c>
      <c r="O383" s="15">
        <v>0.35</v>
      </c>
      <c r="P383" s="15">
        <v>0.29849999999999999</v>
      </c>
      <c r="Q383" s="15">
        <v>5</v>
      </c>
      <c r="R383" s="15">
        <v>31</v>
      </c>
      <c r="S383" s="15">
        <v>36</v>
      </c>
    </row>
    <row r="384" spans="1:19" x14ac:dyDescent="0.35">
      <c r="A384" s="15">
        <v>992</v>
      </c>
      <c r="B384" s="16">
        <v>40587</v>
      </c>
      <c r="C384" s="15">
        <v>1</v>
      </c>
      <c r="D384" s="15">
        <v>0</v>
      </c>
      <c r="E384" s="15">
        <v>2</v>
      </c>
      <c r="F384" s="15">
        <v>23</v>
      </c>
      <c r="G384" s="15" t="str" cm="1">
        <f t="array" ref="G384">_xlfn.IFS(AND(F384&gt;=5,F384&lt;12),"Morning",AND(F384&gt;=12,F384&lt;17),"AfterNoon",AND(F384&gt;=17,F384&lt;20),"Evening",TRUE,"Night")</f>
        <v>Night</v>
      </c>
      <c r="H384" s="15" t="b">
        <v>0</v>
      </c>
      <c r="I384" s="15">
        <v>0</v>
      </c>
      <c r="J384" s="15" t="str" cm="1">
        <f t="array" ref="J384">_xlfn.IFS(I384=0,"Saturday",I384=1,"Sunday",I384=2,"Monday",I384=3,"Tuesday",I384=4,"Wednesday",I384=5,"Thusday",I384=6,"Friday")</f>
        <v>Saturday</v>
      </c>
      <c r="K384" s="15">
        <v>1</v>
      </c>
      <c r="L384" s="15">
        <v>0.4</v>
      </c>
      <c r="M384" s="15" t="str">
        <f t="shared" si="6"/>
        <v>Sunny</v>
      </c>
      <c r="N384" s="15">
        <v>0.40910000000000002</v>
      </c>
      <c r="O384" s="15">
        <v>0.35</v>
      </c>
      <c r="P384" s="15">
        <v>0.35820000000000002</v>
      </c>
      <c r="Q384" s="15">
        <v>3</v>
      </c>
      <c r="R384" s="15">
        <v>27</v>
      </c>
      <c r="S384" s="15">
        <v>30</v>
      </c>
    </row>
    <row r="385" spans="1:19" x14ac:dyDescent="0.35">
      <c r="A385" s="15">
        <v>993</v>
      </c>
      <c r="B385" s="16">
        <v>40588</v>
      </c>
      <c r="C385" s="15">
        <v>1</v>
      </c>
      <c r="D385" s="15">
        <v>0</v>
      </c>
      <c r="E385" s="15">
        <v>2</v>
      </c>
      <c r="F385" s="15">
        <v>0</v>
      </c>
      <c r="G385" s="15" t="str" cm="1">
        <f t="array" ref="G385">_xlfn.IFS(AND(F385&gt;=5,F385&lt;12),"Morning",AND(F385&gt;=12,F385&lt;17),"AfterNoon",AND(F385&gt;=17,F385&lt;20),"Evening",TRUE,"Night")</f>
        <v>Night</v>
      </c>
      <c r="H385" s="15" t="b">
        <v>0</v>
      </c>
      <c r="I385" s="15">
        <v>1</v>
      </c>
      <c r="J385" s="15" t="str" cm="1">
        <f t="array" ref="J385">_xlfn.IFS(I385=0,"Saturday",I385=1,"Sunday",I385=2,"Monday",I385=3,"Tuesday",I385=4,"Wednesday",I385=5,"Thusday",I385=6,"Friday")</f>
        <v>Sunday</v>
      </c>
      <c r="K385" s="15">
        <v>1</v>
      </c>
      <c r="L385" s="15">
        <v>0.38</v>
      </c>
      <c r="M385" s="15" t="str">
        <f t="shared" si="6"/>
        <v>Sunny</v>
      </c>
      <c r="N385" s="15">
        <v>0.39389999999999997</v>
      </c>
      <c r="O385" s="15">
        <v>0.37</v>
      </c>
      <c r="P385" s="15">
        <v>0.35820000000000002</v>
      </c>
      <c r="Q385" s="15">
        <v>3</v>
      </c>
      <c r="R385" s="15">
        <v>8</v>
      </c>
      <c r="S385" s="15">
        <v>11</v>
      </c>
    </row>
    <row r="386" spans="1:19" x14ac:dyDescent="0.35">
      <c r="A386" s="15">
        <v>994</v>
      </c>
      <c r="B386" s="16">
        <v>40588</v>
      </c>
      <c r="C386" s="15">
        <v>1</v>
      </c>
      <c r="D386" s="15">
        <v>0</v>
      </c>
      <c r="E386" s="15">
        <v>2</v>
      </c>
      <c r="F386" s="15">
        <v>1</v>
      </c>
      <c r="G386" s="15" t="str" cm="1">
        <f t="array" ref="G386">_xlfn.IFS(AND(F386&gt;=5,F386&lt;12),"Morning",AND(F386&gt;=12,F386&lt;17),"AfterNoon",AND(F386&gt;=17,F386&lt;20),"Evening",TRUE,"Night")</f>
        <v>Night</v>
      </c>
      <c r="H386" s="15" t="b">
        <v>0</v>
      </c>
      <c r="I386" s="15">
        <v>1</v>
      </c>
      <c r="J386" s="15" t="str" cm="1">
        <f t="array" ref="J386">_xlfn.IFS(I386=0,"Saturday",I386=1,"Sunday",I386=2,"Monday",I386=3,"Tuesday",I386=4,"Wednesday",I386=5,"Thusday",I386=6,"Friday")</f>
        <v>Sunday</v>
      </c>
      <c r="K386" s="15">
        <v>1</v>
      </c>
      <c r="L386" s="15">
        <v>0.38</v>
      </c>
      <c r="M386" s="15" t="str">
        <f t="shared" si="6"/>
        <v>Sunny</v>
      </c>
      <c r="N386" s="15">
        <v>0.39389999999999997</v>
      </c>
      <c r="O386" s="15">
        <v>0.37</v>
      </c>
      <c r="P386" s="15">
        <v>0.35820000000000002</v>
      </c>
      <c r="Q386" s="15">
        <v>1</v>
      </c>
      <c r="R386" s="15">
        <v>6</v>
      </c>
      <c r="S386" s="15">
        <v>7</v>
      </c>
    </row>
    <row r="387" spans="1:19" x14ac:dyDescent="0.35">
      <c r="A387" s="15">
        <v>995</v>
      </c>
      <c r="B387" s="16">
        <v>40588</v>
      </c>
      <c r="C387" s="15">
        <v>1</v>
      </c>
      <c r="D387" s="15">
        <v>0</v>
      </c>
      <c r="E387" s="15">
        <v>2</v>
      </c>
      <c r="F387" s="15">
        <v>2</v>
      </c>
      <c r="G387" s="15" t="str" cm="1">
        <f t="array" ref="G387">_xlfn.IFS(AND(F387&gt;=5,F387&lt;12),"Morning",AND(F387&gt;=12,F387&lt;17),"AfterNoon",AND(F387&gt;=17,F387&lt;20),"Evening",TRUE,"Night")</f>
        <v>Night</v>
      </c>
      <c r="H387" s="15" t="b">
        <v>0</v>
      </c>
      <c r="I387" s="15">
        <v>1</v>
      </c>
      <c r="J387" s="15" t="str" cm="1">
        <f t="array" ref="J387">_xlfn.IFS(I387=0,"Saturday",I387=1,"Sunday",I387=2,"Monday",I387=3,"Tuesday",I387=4,"Wednesday",I387=5,"Thusday",I387=6,"Friday")</f>
        <v>Sunday</v>
      </c>
      <c r="K387" s="15">
        <v>1</v>
      </c>
      <c r="L387" s="15">
        <v>0.36</v>
      </c>
      <c r="M387" s="15" t="str">
        <f t="shared" si="6"/>
        <v>Sunny</v>
      </c>
      <c r="N387" s="15">
        <v>0.33329999999999999</v>
      </c>
      <c r="O387" s="15">
        <v>0.4</v>
      </c>
      <c r="P387" s="15">
        <v>0.29849999999999999</v>
      </c>
      <c r="Q387" s="15">
        <v>0</v>
      </c>
      <c r="R387" s="15">
        <v>2</v>
      </c>
      <c r="S387" s="15">
        <v>2</v>
      </c>
    </row>
    <row r="388" spans="1:19" x14ac:dyDescent="0.35">
      <c r="A388" s="15">
        <v>996</v>
      </c>
      <c r="B388" s="16">
        <v>40588</v>
      </c>
      <c r="C388" s="15">
        <v>1</v>
      </c>
      <c r="D388" s="15">
        <v>0</v>
      </c>
      <c r="E388" s="15">
        <v>2</v>
      </c>
      <c r="F388" s="15">
        <v>3</v>
      </c>
      <c r="G388" s="15" t="str" cm="1">
        <f t="array" ref="G388">_xlfn.IFS(AND(F388&gt;=5,F388&lt;12),"Morning",AND(F388&gt;=12,F388&lt;17),"AfterNoon",AND(F388&gt;=17,F388&lt;20),"Evening",TRUE,"Night")</f>
        <v>Night</v>
      </c>
      <c r="H388" s="15" t="b">
        <v>0</v>
      </c>
      <c r="I388" s="15">
        <v>1</v>
      </c>
      <c r="J388" s="15" t="str" cm="1">
        <f t="array" ref="J388">_xlfn.IFS(I388=0,"Saturday",I388=1,"Sunday",I388=2,"Monday",I388=3,"Tuesday",I388=4,"Wednesday",I388=5,"Thusday",I388=6,"Friday")</f>
        <v>Sunday</v>
      </c>
      <c r="K388" s="15">
        <v>1</v>
      </c>
      <c r="L388" s="15">
        <v>0.34</v>
      </c>
      <c r="M388" s="15" t="str">
        <f t="shared" ref="M388:M392" si="7">IF(L388&lt;=0.1,"Stromy",IF(L388&lt;=0.2,"Rainy",IF(L388&lt;=0.3,"Cloudy","Sunny")))</f>
        <v>Sunny</v>
      </c>
      <c r="N388" s="15">
        <v>0.31819999999999998</v>
      </c>
      <c r="O388" s="15">
        <v>0.46</v>
      </c>
      <c r="P388" s="15">
        <v>0.22389999999999999</v>
      </c>
      <c r="Q388" s="15">
        <v>1</v>
      </c>
      <c r="R388" s="15">
        <v>1</v>
      </c>
      <c r="S388" s="15">
        <v>2</v>
      </c>
    </row>
    <row r="389" spans="1:19" x14ac:dyDescent="0.35">
      <c r="A389" s="15">
        <v>997</v>
      </c>
      <c r="B389" s="16">
        <v>40588</v>
      </c>
      <c r="C389" s="15">
        <v>1</v>
      </c>
      <c r="D389" s="15">
        <v>0</v>
      </c>
      <c r="E389" s="15">
        <v>2</v>
      </c>
      <c r="F389" s="15">
        <v>4</v>
      </c>
      <c r="G389" s="15" t="str" cm="1">
        <f t="array" ref="G389">_xlfn.IFS(AND(F389&gt;=5,F389&lt;12),"Morning",AND(F389&gt;=12,F389&lt;17),"AfterNoon",AND(F389&gt;=17,F389&lt;20),"Evening",TRUE,"Night")</f>
        <v>Night</v>
      </c>
      <c r="H389" s="15" t="b">
        <v>0</v>
      </c>
      <c r="I389" s="15">
        <v>1</v>
      </c>
      <c r="J389" s="15" t="str" cm="1">
        <f t="array" ref="J389">_xlfn.IFS(I389=0,"Saturday",I389=1,"Sunday",I389=2,"Monday",I389=3,"Tuesday",I389=4,"Wednesday",I389=5,"Thusday",I389=6,"Friday")</f>
        <v>Sunday</v>
      </c>
      <c r="K389" s="15">
        <v>1</v>
      </c>
      <c r="L389" s="15">
        <v>0.32</v>
      </c>
      <c r="M389" s="15" t="str">
        <f t="shared" si="7"/>
        <v>Sunny</v>
      </c>
      <c r="N389" s="15">
        <v>0.30299999999999999</v>
      </c>
      <c r="O389" s="15">
        <v>0.53</v>
      </c>
      <c r="P389" s="15">
        <v>0.28360000000000002</v>
      </c>
      <c r="Q389" s="15">
        <v>0</v>
      </c>
      <c r="R389" s="15">
        <v>2</v>
      </c>
      <c r="S389" s="15">
        <v>2</v>
      </c>
    </row>
    <row r="390" spans="1:19" x14ac:dyDescent="0.35">
      <c r="A390" s="15">
        <v>998</v>
      </c>
      <c r="B390" s="16">
        <v>40588</v>
      </c>
      <c r="C390" s="15">
        <v>1</v>
      </c>
      <c r="D390" s="15">
        <v>0</v>
      </c>
      <c r="E390" s="15">
        <v>2</v>
      </c>
      <c r="F390" s="15">
        <v>5</v>
      </c>
      <c r="G390" s="15" t="str" cm="1">
        <f t="array" ref="G390">_xlfn.IFS(AND(F390&gt;=5,F390&lt;12),"Morning",AND(F390&gt;=12,F390&lt;17),"AfterNoon",AND(F390&gt;=17,F390&lt;20),"Evening",TRUE,"Night")</f>
        <v>Morning</v>
      </c>
      <c r="H390" s="15" t="b">
        <v>0</v>
      </c>
      <c r="I390" s="15">
        <v>1</v>
      </c>
      <c r="J390" s="15" t="str" cm="1">
        <f t="array" ref="J390">_xlfn.IFS(I390=0,"Saturday",I390=1,"Sunday",I390=2,"Monday",I390=3,"Tuesday",I390=4,"Wednesday",I390=5,"Thusday",I390=6,"Friday")</f>
        <v>Sunday</v>
      </c>
      <c r="K390" s="15">
        <v>1</v>
      </c>
      <c r="L390" s="15">
        <v>0.32</v>
      </c>
      <c r="M390" s="15" t="str">
        <f t="shared" si="7"/>
        <v>Sunny</v>
      </c>
      <c r="N390" s="15">
        <v>0.30299999999999999</v>
      </c>
      <c r="O390" s="15">
        <v>0.53</v>
      </c>
      <c r="P390" s="15">
        <v>0.28360000000000002</v>
      </c>
      <c r="Q390" s="15">
        <v>0</v>
      </c>
      <c r="R390" s="15">
        <v>3</v>
      </c>
      <c r="S390" s="15">
        <v>3</v>
      </c>
    </row>
    <row r="391" spans="1:19" x14ac:dyDescent="0.35">
      <c r="A391" s="15">
        <v>999</v>
      </c>
      <c r="B391" s="16">
        <v>40588</v>
      </c>
      <c r="C391" s="15">
        <v>1</v>
      </c>
      <c r="D391" s="15">
        <v>0</v>
      </c>
      <c r="E391" s="15">
        <v>2</v>
      </c>
      <c r="F391" s="15">
        <v>6</v>
      </c>
      <c r="G391" s="15" t="str" cm="1">
        <f t="array" ref="G391">_xlfn.IFS(AND(F391&gt;=5,F391&lt;12),"Morning",AND(F391&gt;=12,F391&lt;17),"AfterNoon",AND(F391&gt;=17,F391&lt;20),"Evening",TRUE,"Night")</f>
        <v>Morning</v>
      </c>
      <c r="H391" s="15" t="b">
        <v>0</v>
      </c>
      <c r="I391" s="15">
        <v>1</v>
      </c>
      <c r="J391" s="15" t="str" cm="1">
        <f t="array" ref="J391">_xlfn.IFS(I391=0,"Saturday",I391=1,"Sunday",I391=2,"Monday",I391=3,"Tuesday",I391=4,"Wednesday",I391=5,"Thusday",I391=6,"Friday")</f>
        <v>Sunday</v>
      </c>
      <c r="K391" s="15">
        <v>1</v>
      </c>
      <c r="L391" s="15">
        <v>0.34</v>
      </c>
      <c r="M391" s="15" t="str">
        <f t="shared" si="7"/>
        <v>Sunny</v>
      </c>
      <c r="N391" s="15">
        <v>0.30299999999999999</v>
      </c>
      <c r="O391" s="15">
        <v>0.46</v>
      </c>
      <c r="P391" s="15">
        <v>0.29849999999999999</v>
      </c>
      <c r="Q391" s="15">
        <v>1</v>
      </c>
      <c r="R391" s="15">
        <v>25</v>
      </c>
      <c r="S391" s="15">
        <v>26</v>
      </c>
    </row>
    <row r="392" spans="1:19" x14ac:dyDescent="0.35">
      <c r="A392" s="15">
        <v>1000</v>
      </c>
      <c r="B392" s="16">
        <v>40588</v>
      </c>
      <c r="C392" s="15">
        <v>1</v>
      </c>
      <c r="D392" s="15">
        <v>0</v>
      </c>
      <c r="E392" s="15">
        <v>2</v>
      </c>
      <c r="F392" s="15">
        <v>7</v>
      </c>
      <c r="G392" s="15" t="str" cm="1">
        <f t="array" ref="G392">_xlfn.IFS(AND(F392&gt;=5,F392&lt;12),"Morning",AND(F392&gt;=12,F392&lt;17),"AfterNoon",AND(F392&gt;=17,F392&lt;20),"Evening",TRUE,"Night")</f>
        <v>Morning</v>
      </c>
      <c r="H392" s="15" t="b">
        <v>0</v>
      </c>
      <c r="I392" s="15">
        <v>1</v>
      </c>
      <c r="J392" s="15" t="str" cm="1">
        <f t="array" ref="J392">_xlfn.IFS(I392=0,"Saturday",I392=1,"Sunday",I392=2,"Monday",I392=3,"Tuesday",I392=4,"Wednesday",I392=5,"Thusday",I392=6,"Friday")</f>
        <v>Sunday</v>
      </c>
      <c r="K392" s="15">
        <v>1</v>
      </c>
      <c r="L392" s="15">
        <v>0.34</v>
      </c>
      <c r="M392" s="15" t="str">
        <f t="shared" si="7"/>
        <v>Sunny</v>
      </c>
      <c r="N392" s="15">
        <v>0.30299999999999999</v>
      </c>
      <c r="O392" s="15">
        <v>0.46</v>
      </c>
      <c r="P392" s="15">
        <v>0.29849999999999999</v>
      </c>
      <c r="Q392" s="15">
        <v>2</v>
      </c>
      <c r="R392" s="15">
        <v>96</v>
      </c>
      <c r="S392" s="15">
        <v>98</v>
      </c>
    </row>
  </sheetData>
  <autoFilter ref="A2:S2" xr:uid="{6258C45D-F77B-49AA-BAA2-95E459FF67D5}"/>
  <sortState xmlns:xlrd2="http://schemas.microsoft.com/office/spreadsheetml/2017/richdata2" ref="A3:S392">
    <sortCondition ref="A3:A392"/>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7E09B-0250-4C86-A891-C5318BFB6C2D}">
  <sheetPr>
    <tabColor theme="4" tint="0.59999389629810485"/>
  </sheetPr>
  <dimension ref="A1:S611"/>
  <sheetViews>
    <sheetView workbookViewId="0">
      <selection activeCell="R3" sqref="R3"/>
    </sheetView>
  </sheetViews>
  <sheetFormatPr defaultRowHeight="14.5" x14ac:dyDescent="0.35"/>
  <cols>
    <col min="1" max="1" width="10.7265625" bestFit="1" customWidth="1"/>
    <col min="2" max="2" width="11.26953125" style="18" bestFit="1" customWidth="1"/>
    <col min="3" max="3" width="11.26953125" bestFit="1" customWidth="1"/>
    <col min="5" max="5" width="9.90625" bestFit="1" customWidth="1"/>
    <col min="7" max="7" width="9.54296875" bestFit="1" customWidth="1"/>
    <col min="8" max="8" width="11.6328125" bestFit="1" customWidth="1"/>
    <col min="9" max="9" width="13.08984375" bestFit="1" customWidth="1"/>
    <col min="10" max="10" width="10.6328125" bestFit="1" customWidth="1"/>
    <col min="11" max="11" width="14.54296875" bestFit="1" customWidth="1"/>
    <col min="12" max="12" width="10.08984375" bestFit="1" customWidth="1"/>
    <col min="13" max="14" width="12.6328125" bestFit="1" customWidth="1"/>
    <col min="16" max="16" width="14.81640625" bestFit="1" customWidth="1"/>
    <col min="17" max="17" width="10.81640625" bestFit="1" customWidth="1"/>
    <col min="18" max="18" width="14.08984375" bestFit="1" customWidth="1"/>
    <col min="19" max="19" width="8.1796875" bestFit="1" customWidth="1"/>
  </cols>
  <sheetData>
    <row r="1" spans="1:19" x14ac:dyDescent="0.35">
      <c r="A1" s="39" t="s">
        <v>25</v>
      </c>
      <c r="B1" s="61" t="str">
        <f>VLOOKUP(A1,'Dataset-1'!A2:M612,2,)</f>
        <v>Dteday</v>
      </c>
      <c r="C1" s="34" t="str">
        <f>VLOOKUP(B1,'Dataset-1'!B2:N612,2,)</f>
        <v>Season</v>
      </c>
      <c r="D1" s="34" t="str">
        <f>VLOOKUP(C1,'Dataset-1'!C2:O612,2,)</f>
        <v>Yr</v>
      </c>
      <c r="E1" s="34" t="str">
        <f>VLOOKUP(D1,'Dataset-1'!D2:P612,2,)</f>
        <v>Mnth</v>
      </c>
      <c r="F1" s="34" t="str">
        <f>VLOOKUP(E1,'Dataset-1'!E2:Q612,2,)</f>
        <v>Hr</v>
      </c>
      <c r="G1" s="34" t="str">
        <f>VLOOKUP(F1,'Dataset-1'!F2:R612,2,)</f>
        <v>Time</v>
      </c>
      <c r="H1" s="34" t="str">
        <f>VLOOKUP(G1,'Dataset-1'!G2:S612,2,)</f>
        <v>Holiday</v>
      </c>
      <c r="I1" s="34" t="str">
        <f>VLOOKUP(H1,'Dataset-1'!H2:T612,2,)</f>
        <v>Weekday</v>
      </c>
      <c r="J1" s="34" t="str">
        <f>VLOOKUP(I1,'Dataset-1'!I2:U612,2,)</f>
        <v>Days</v>
      </c>
      <c r="K1" s="34" t="str">
        <f>VLOOKUP(J1,'Dataset-1'!J2:V612,2,)</f>
        <v>Weathersit</v>
      </c>
      <c r="L1" s="34" t="str">
        <f>VLOOKUP(K1,'Dataset-1'!K2:W612,2,)</f>
        <v>Temp</v>
      </c>
      <c r="M1" s="34" t="str">
        <f>VLOOKUP(L1,'Dataset-1'!L2:X612,2,)</f>
        <v>Weather</v>
      </c>
      <c r="N1" s="34" t="str">
        <f>VLOOKUP(A1,'Dataset-2'!B2:H612,2,)</f>
        <v>N Atemp</v>
      </c>
      <c r="O1" s="34" t="str">
        <f>VLOOKUP(N1,'Dataset-2'!C2:I612,2,)</f>
        <v>Hum</v>
      </c>
      <c r="P1" s="34" t="str">
        <f>VLOOKUP(O1,'Dataset-2'!D2:J612,2,)</f>
        <v>Windspeed</v>
      </c>
      <c r="Q1" s="34" t="str">
        <f>VLOOKUP(P1,'Dataset-2'!E2:K612,2,)</f>
        <v>Casual</v>
      </c>
      <c r="R1" s="34" t="str">
        <f>VLOOKUP(Q1,'Dataset-2'!F2:L612,2,)</f>
        <v>Registered</v>
      </c>
      <c r="S1" s="34" t="str">
        <f>VLOOKUP(R1,'Dataset-2'!G2:M612,2,)</f>
        <v>Cnt</v>
      </c>
    </row>
    <row r="2" spans="1:19" x14ac:dyDescent="0.35">
      <c r="A2" s="40">
        <v>1</v>
      </c>
      <c r="B2" s="62">
        <f>VLOOKUP(A2,'Dataset-1'!A3:M613,2,)</f>
        <v>40544</v>
      </c>
      <c r="C2" s="41">
        <f>VLOOKUP(B2,'Dataset-1'!B3:N613,2,)</f>
        <v>1</v>
      </c>
      <c r="D2" s="41">
        <f>VLOOKUP(C2,'Dataset-1'!C3:O613,2,)</f>
        <v>0</v>
      </c>
      <c r="E2" s="41">
        <f>VLOOKUP(D2,'Dataset-1'!D3:P613,2,)</f>
        <v>1</v>
      </c>
      <c r="F2" s="41">
        <f>VLOOKUP(E2,'Dataset-1'!E3:Q613,2,)</f>
        <v>0</v>
      </c>
      <c r="G2" s="71" t="str">
        <f>VLOOKUP(F2,'Dataset-1'!F3:R613,2,)</f>
        <v>Night</v>
      </c>
      <c r="H2" s="41" t="b">
        <f>VLOOKUP(G2,'Dataset-1'!G3:S613,2,)</f>
        <v>0</v>
      </c>
      <c r="I2" s="41">
        <f>VLOOKUP(H2,'Dataset-1'!H3:T613,2,)</f>
        <v>6</v>
      </c>
      <c r="J2" s="71" t="str">
        <f>VLOOKUP(I2,'Dataset-1'!I3:U613,2,)</f>
        <v>Friday</v>
      </c>
      <c r="K2" s="41">
        <f>VLOOKUP(J2,'Dataset-1'!J3:V613,2,)</f>
        <v>1</v>
      </c>
      <c r="L2" s="41">
        <f>VLOOKUP(K2,'Dataset-1'!K3:W613,2,)</f>
        <v>0.24</v>
      </c>
      <c r="M2" s="71" t="str">
        <f>VLOOKUP(L2,'Dataset-1'!L3:X613,2,)</f>
        <v>Cloudy</v>
      </c>
      <c r="N2" s="41">
        <f>VLOOKUP(A2,'Dataset-2'!B3:H613,2,)</f>
        <v>0.28789999999999999</v>
      </c>
      <c r="O2" s="41">
        <f>VLOOKUP(N2,'Dataset-2'!C3:I613,2,)</f>
        <v>0.81</v>
      </c>
      <c r="P2" s="41">
        <f>VLOOKUP(O2,'Dataset-2'!D3:J613,2,)</f>
        <v>0</v>
      </c>
      <c r="Q2" s="41">
        <f>VLOOKUP(P2,'Dataset-2'!E3:K613,2,)</f>
        <v>3</v>
      </c>
      <c r="R2" s="41">
        <f>VLOOKUP(Q2,'Dataset-2'!F3:L613,2,)</f>
        <v>13</v>
      </c>
      <c r="S2" s="41">
        <f>VLOOKUP(R2,'Dataset-2'!G3:M613,2,)</f>
        <v>16</v>
      </c>
    </row>
    <row r="3" spans="1:19" x14ac:dyDescent="0.35">
      <c r="A3" s="40">
        <v>2</v>
      </c>
      <c r="B3" s="62">
        <f>VLOOKUP(A3,'Dataset-1'!A4:M614,2,)</f>
        <v>40544</v>
      </c>
      <c r="C3" s="41">
        <f>VLOOKUP(B3,'Dataset-1'!B4:N614,2,)</f>
        <v>1</v>
      </c>
      <c r="D3" s="41">
        <f>VLOOKUP(C3,'Dataset-1'!C4:O614,2,)</f>
        <v>0</v>
      </c>
      <c r="E3" s="41">
        <f>VLOOKUP(D3,'Dataset-1'!D4:P614,2,)</f>
        <v>1</v>
      </c>
      <c r="F3" s="41">
        <f>VLOOKUP(E3,'Dataset-1'!E4:Q614,2,)</f>
        <v>1</v>
      </c>
      <c r="G3" s="71" t="str">
        <f>VLOOKUP(F3,'Dataset-1'!F4:R614,2,)</f>
        <v>Night</v>
      </c>
      <c r="H3" s="41" t="b">
        <f>VLOOKUP(G3,'Dataset-1'!G4:S614,2,)</f>
        <v>0</v>
      </c>
      <c r="I3" s="41">
        <f>VLOOKUP(H3,'Dataset-1'!H4:T614,2,)</f>
        <v>6</v>
      </c>
      <c r="J3" s="71" t="str">
        <f>VLOOKUP(I3,'Dataset-1'!I4:U614,2,)</f>
        <v>Friday</v>
      </c>
      <c r="K3" s="41">
        <f>VLOOKUP(J3,'Dataset-1'!J4:V614,2,)</f>
        <v>1</v>
      </c>
      <c r="L3" s="41">
        <f>VLOOKUP(K3,'Dataset-1'!K4:W614,2,)</f>
        <v>0.22</v>
      </c>
      <c r="M3" s="71" t="str">
        <f>VLOOKUP(L3,'Dataset-1'!L4:X614,2,)</f>
        <v>Cloudy</v>
      </c>
      <c r="N3" s="41">
        <f>VLOOKUP(A3,'Dataset-2'!B4:H614,2,)</f>
        <v>0.2727</v>
      </c>
      <c r="O3" s="41">
        <f>VLOOKUP(N3,'Dataset-2'!C4:I614,2,)</f>
        <v>0.8</v>
      </c>
      <c r="P3" s="41">
        <f>VLOOKUP(O3,'Dataset-2'!D4:J614,2,)</f>
        <v>0</v>
      </c>
      <c r="Q3" s="41">
        <f>VLOOKUP(P3,'Dataset-2'!E4:K614,2,)</f>
        <v>8</v>
      </c>
      <c r="R3" s="41">
        <f>VLOOKUP(Q3,'Dataset-2'!F4:L614,2,)</f>
        <v>32</v>
      </c>
      <c r="S3" s="41">
        <f>VLOOKUP(R3,'Dataset-2'!G4:M614,2,)</f>
        <v>40</v>
      </c>
    </row>
    <row r="4" spans="1:19" x14ac:dyDescent="0.35">
      <c r="A4" s="40">
        <v>3</v>
      </c>
      <c r="B4" s="62">
        <f>VLOOKUP(A4,'Dataset-1'!A5:M615,2,)</f>
        <v>40544</v>
      </c>
      <c r="C4" s="41">
        <f>VLOOKUP(B4,'Dataset-1'!B5:N615,2,)</f>
        <v>1</v>
      </c>
      <c r="D4" s="41">
        <f>VLOOKUP(C4,'Dataset-1'!C5:O615,2,)</f>
        <v>0</v>
      </c>
      <c r="E4" s="41">
        <f>VLOOKUP(D4,'Dataset-1'!D5:P615,2,)</f>
        <v>1</v>
      </c>
      <c r="F4" s="41">
        <f>VLOOKUP(E4,'Dataset-1'!E5:Q615,2,)</f>
        <v>2</v>
      </c>
      <c r="G4" s="71" t="str">
        <f>VLOOKUP(F4,'Dataset-1'!F5:R615,2,)</f>
        <v>Night</v>
      </c>
      <c r="H4" s="41" t="b">
        <f>VLOOKUP(G4,'Dataset-1'!G5:S615,2,)</f>
        <v>0</v>
      </c>
      <c r="I4" s="41">
        <f>VLOOKUP(H4,'Dataset-1'!H5:T615,2,)</f>
        <v>6</v>
      </c>
      <c r="J4" s="71" t="str">
        <f>VLOOKUP(I4,'Dataset-1'!I5:U615,2,)</f>
        <v>Friday</v>
      </c>
      <c r="K4" s="41">
        <f>VLOOKUP(J4,'Dataset-1'!J5:V615,2,)</f>
        <v>1</v>
      </c>
      <c r="L4" s="41">
        <f>VLOOKUP(K4,'Dataset-1'!K5:W615,2,)</f>
        <v>0.22</v>
      </c>
      <c r="M4" s="71" t="str">
        <f>VLOOKUP(L4,'Dataset-1'!L5:X615,2,)</f>
        <v>Cloudy</v>
      </c>
      <c r="N4" s="41">
        <f>VLOOKUP(A4,'Dataset-2'!B5:H615,2,)</f>
        <v>0.2727</v>
      </c>
      <c r="O4" s="41">
        <f>VLOOKUP(N4,'Dataset-2'!C5:I615,2,)</f>
        <v>0.8</v>
      </c>
      <c r="P4" s="41">
        <f>VLOOKUP(O4,'Dataset-2'!D5:J615,2,)</f>
        <v>0</v>
      </c>
      <c r="Q4" s="41">
        <f>VLOOKUP(P4,'Dataset-2'!E5:K615,2,)</f>
        <v>5</v>
      </c>
      <c r="R4" s="41">
        <f>VLOOKUP(Q4,'Dataset-2'!F5:L615,2,)</f>
        <v>27</v>
      </c>
      <c r="S4" s="41">
        <f>VLOOKUP(R4,'Dataset-2'!G5:M615,2,)</f>
        <v>32</v>
      </c>
    </row>
    <row r="5" spans="1:19" x14ac:dyDescent="0.35">
      <c r="A5" s="40">
        <v>4</v>
      </c>
      <c r="B5" s="62">
        <f>VLOOKUP(A5,'Dataset-1'!A6:M616,2,)</f>
        <v>40544</v>
      </c>
      <c r="C5" s="41">
        <f>VLOOKUP(B5,'Dataset-1'!B6:N616,2,)</f>
        <v>1</v>
      </c>
      <c r="D5" s="41">
        <f>VLOOKUP(C5,'Dataset-1'!C6:O616,2,)</f>
        <v>0</v>
      </c>
      <c r="E5" s="41">
        <f>VLOOKUP(D5,'Dataset-1'!D6:P616,2,)</f>
        <v>1</v>
      </c>
      <c r="F5" s="41">
        <f>VLOOKUP(E5,'Dataset-1'!E6:Q616,2,)</f>
        <v>3</v>
      </c>
      <c r="G5" s="71" t="str">
        <f>VLOOKUP(F5,'Dataset-1'!F6:R616,2,)</f>
        <v>Night</v>
      </c>
      <c r="H5" s="41" t="b">
        <f>VLOOKUP(G5,'Dataset-1'!G6:S616,2,)</f>
        <v>0</v>
      </c>
      <c r="I5" s="41">
        <f>VLOOKUP(H5,'Dataset-1'!H6:T616,2,)</f>
        <v>6</v>
      </c>
      <c r="J5" s="71" t="str">
        <f>VLOOKUP(I5,'Dataset-1'!I6:U616,2,)</f>
        <v>Friday</v>
      </c>
      <c r="K5" s="41">
        <f>VLOOKUP(J5,'Dataset-1'!J6:V616,2,)</f>
        <v>1</v>
      </c>
      <c r="L5" s="41">
        <f>VLOOKUP(K5,'Dataset-1'!K6:W616,2,)</f>
        <v>0.24</v>
      </c>
      <c r="M5" s="71" t="str">
        <f>VLOOKUP(L5,'Dataset-1'!L6:X616,2,)</f>
        <v>Cloudy</v>
      </c>
      <c r="N5" s="41">
        <f>VLOOKUP(A5,'Dataset-2'!B6:H616,2,)</f>
        <v>0.28789999999999999</v>
      </c>
      <c r="O5" s="41">
        <f>VLOOKUP(N5,'Dataset-2'!C6:I616,2,)</f>
        <v>0.75</v>
      </c>
      <c r="P5" s="41">
        <f>VLOOKUP(O5,'Dataset-2'!D6:J616,2,)</f>
        <v>0</v>
      </c>
      <c r="Q5" s="41">
        <f>VLOOKUP(P5,'Dataset-2'!E6:K616,2,)</f>
        <v>3</v>
      </c>
      <c r="R5" s="41">
        <f>VLOOKUP(Q5,'Dataset-2'!F6:L616,2,)</f>
        <v>10</v>
      </c>
      <c r="S5" s="41">
        <f>VLOOKUP(R5,'Dataset-2'!G6:M616,2,)</f>
        <v>13</v>
      </c>
    </row>
    <row r="6" spans="1:19" x14ac:dyDescent="0.35">
      <c r="A6" s="40">
        <v>5</v>
      </c>
      <c r="B6" s="62">
        <f>VLOOKUP(A6,'Dataset-1'!A7:M617,2,)</f>
        <v>40544</v>
      </c>
      <c r="C6" s="41">
        <f>VLOOKUP(B6,'Dataset-1'!B7:N617,2,)</f>
        <v>1</v>
      </c>
      <c r="D6" s="41">
        <f>VLOOKUP(C6,'Dataset-1'!C7:O617,2,)</f>
        <v>0</v>
      </c>
      <c r="E6" s="41">
        <f>VLOOKUP(D6,'Dataset-1'!D7:P617,2,)</f>
        <v>1</v>
      </c>
      <c r="F6" s="41">
        <f>VLOOKUP(E6,'Dataset-1'!E7:Q617,2,)</f>
        <v>4</v>
      </c>
      <c r="G6" s="71" t="str">
        <f>VLOOKUP(F6,'Dataset-1'!F7:R617,2,)</f>
        <v>Night</v>
      </c>
      <c r="H6" s="41" t="b">
        <f>VLOOKUP(G6,'Dataset-1'!G7:S617,2,)</f>
        <v>0</v>
      </c>
      <c r="I6" s="41">
        <f>VLOOKUP(H6,'Dataset-1'!H7:T617,2,)</f>
        <v>6</v>
      </c>
      <c r="J6" s="71" t="str">
        <f>VLOOKUP(I6,'Dataset-1'!I7:U617,2,)</f>
        <v>Friday</v>
      </c>
      <c r="K6" s="41">
        <f>VLOOKUP(J6,'Dataset-1'!J7:V617,2,)</f>
        <v>1</v>
      </c>
      <c r="L6" s="41">
        <f>VLOOKUP(K6,'Dataset-1'!K7:W617,2,)</f>
        <v>0.24</v>
      </c>
      <c r="M6" s="71" t="str">
        <f>VLOOKUP(L6,'Dataset-1'!L7:X617,2,)</f>
        <v>Cloudy</v>
      </c>
      <c r="N6" s="41">
        <f>VLOOKUP(A6,'Dataset-2'!B7:H617,2,)</f>
        <v>0.28789999999999999</v>
      </c>
      <c r="O6" s="41">
        <f>VLOOKUP(N6,'Dataset-2'!C7:I617,2,)</f>
        <v>0.75</v>
      </c>
      <c r="P6" s="41">
        <f>VLOOKUP(O6,'Dataset-2'!D7:J617,2,)</f>
        <v>0</v>
      </c>
      <c r="Q6" s="41">
        <f>VLOOKUP(P6,'Dataset-2'!E7:K617,2,)</f>
        <v>0</v>
      </c>
      <c r="R6" s="41">
        <f>VLOOKUP(Q6,'Dataset-2'!F7:L617,2,)</f>
        <v>1</v>
      </c>
      <c r="S6" s="41">
        <f>VLOOKUP(R6,'Dataset-2'!G7:M617,2,)</f>
        <v>1</v>
      </c>
    </row>
    <row r="7" spans="1:19" x14ac:dyDescent="0.35">
      <c r="A7" s="40">
        <v>6</v>
      </c>
      <c r="B7" s="62">
        <f>VLOOKUP(A7,'Dataset-1'!A8:M618,2,)</f>
        <v>40544</v>
      </c>
      <c r="C7" s="41">
        <f>VLOOKUP(B7,'Dataset-1'!B8:N618,2,)</f>
        <v>1</v>
      </c>
      <c r="D7" s="41">
        <f>VLOOKUP(C7,'Dataset-1'!C8:O618,2,)</f>
        <v>0</v>
      </c>
      <c r="E7" s="41">
        <f>VLOOKUP(D7,'Dataset-1'!D8:P618,2,)</f>
        <v>1</v>
      </c>
      <c r="F7" s="41">
        <f>VLOOKUP(E7,'Dataset-1'!E8:Q618,2,)</f>
        <v>5</v>
      </c>
      <c r="G7" s="71" t="str">
        <f>VLOOKUP(F7,'Dataset-1'!F8:R618,2,)</f>
        <v>Morning</v>
      </c>
      <c r="H7" s="41" t="b">
        <f>VLOOKUP(G7,'Dataset-1'!G8:S618,2,)</f>
        <v>0</v>
      </c>
      <c r="I7" s="41">
        <f>VLOOKUP(H7,'Dataset-1'!H8:T618,2,)</f>
        <v>6</v>
      </c>
      <c r="J7" s="71" t="str">
        <f>VLOOKUP(I7,'Dataset-1'!I8:U618,2,)</f>
        <v>Friday</v>
      </c>
      <c r="K7" s="41">
        <f>VLOOKUP(J7,'Dataset-1'!J8:V618,2,)</f>
        <v>2</v>
      </c>
      <c r="L7" s="41">
        <f>VLOOKUP(K7,'Dataset-1'!K8:W618,2,)</f>
        <v>0.24</v>
      </c>
      <c r="M7" s="71" t="str">
        <f>VLOOKUP(L7,'Dataset-1'!L8:X618,2,)</f>
        <v>Cloudy</v>
      </c>
      <c r="N7" s="41">
        <f>VLOOKUP(A7,'Dataset-2'!B8:H618,2,)</f>
        <v>0.2576</v>
      </c>
      <c r="O7" s="41">
        <f>VLOOKUP(N7,'Dataset-2'!C8:I618,2,)</f>
        <v>0.75</v>
      </c>
      <c r="P7" s="41">
        <f>VLOOKUP(O7,'Dataset-2'!D8:J618,2,)</f>
        <v>8.9599999999999999E-2</v>
      </c>
      <c r="Q7" s="41">
        <f>VLOOKUP(P7,'Dataset-2'!E8:K618,2,)</f>
        <v>0</v>
      </c>
      <c r="R7" s="41">
        <f>VLOOKUP(Q7,'Dataset-2'!F8:L618,2,)</f>
        <v>1</v>
      </c>
      <c r="S7" s="41">
        <f>VLOOKUP(R7,'Dataset-2'!G8:M618,2,)</f>
        <v>1</v>
      </c>
    </row>
    <row r="8" spans="1:19" x14ac:dyDescent="0.35">
      <c r="A8" s="40">
        <v>7</v>
      </c>
      <c r="B8" s="62">
        <f>VLOOKUP(A8,'Dataset-1'!A9:M619,2,)</f>
        <v>40544</v>
      </c>
      <c r="C8" s="41">
        <f>VLOOKUP(B8,'Dataset-1'!B9:N619,2,)</f>
        <v>1</v>
      </c>
      <c r="D8" s="41">
        <f>VLOOKUP(C8,'Dataset-1'!C9:O619,2,)</f>
        <v>0</v>
      </c>
      <c r="E8" s="41">
        <f>VLOOKUP(D8,'Dataset-1'!D9:P619,2,)</f>
        <v>1</v>
      </c>
      <c r="F8" s="41">
        <f>VLOOKUP(E8,'Dataset-1'!E9:Q619,2,)</f>
        <v>6</v>
      </c>
      <c r="G8" s="71" t="str">
        <f>VLOOKUP(F8,'Dataset-1'!F9:R619,2,)</f>
        <v>Morning</v>
      </c>
      <c r="H8" s="41" t="b">
        <f>VLOOKUP(G8,'Dataset-1'!G9:S619,2,)</f>
        <v>0</v>
      </c>
      <c r="I8" s="41">
        <f>VLOOKUP(H8,'Dataset-1'!H9:T619,2,)</f>
        <v>6</v>
      </c>
      <c r="J8" s="71" t="str">
        <f>VLOOKUP(I8,'Dataset-1'!I9:U619,2,)</f>
        <v>Friday</v>
      </c>
      <c r="K8" s="41">
        <f>VLOOKUP(J8,'Dataset-1'!J9:V619,2,)</f>
        <v>1</v>
      </c>
      <c r="L8" s="41">
        <f>VLOOKUP(K8,'Dataset-1'!K9:W619,2,)</f>
        <v>0.22</v>
      </c>
      <c r="M8" s="71" t="str">
        <f>VLOOKUP(L8,'Dataset-1'!L9:X619,2,)</f>
        <v>Cloudy</v>
      </c>
      <c r="N8" s="41">
        <f>VLOOKUP(A8,'Dataset-2'!B9:H619,2,)</f>
        <v>0.2727</v>
      </c>
      <c r="O8" s="41">
        <f>VLOOKUP(N8,'Dataset-2'!C9:I619,2,)</f>
        <v>0.8</v>
      </c>
      <c r="P8" s="41">
        <f>VLOOKUP(O8,'Dataset-2'!D9:J619,2,)</f>
        <v>0</v>
      </c>
      <c r="Q8" s="41">
        <f>VLOOKUP(P8,'Dataset-2'!E9:K619,2,)</f>
        <v>2</v>
      </c>
      <c r="R8" s="41">
        <f>VLOOKUP(Q8,'Dataset-2'!F9:L619,2,)</f>
        <v>0</v>
      </c>
      <c r="S8" s="41">
        <f>VLOOKUP(R8,'Dataset-2'!G9:M619,2,)</f>
        <v>2</v>
      </c>
    </row>
    <row r="9" spans="1:19" x14ac:dyDescent="0.35">
      <c r="A9" s="40">
        <v>8</v>
      </c>
      <c r="B9" s="62">
        <f>VLOOKUP(A9,'Dataset-1'!A10:M620,2,)</f>
        <v>40544</v>
      </c>
      <c r="C9" s="41">
        <f>VLOOKUP(B9,'Dataset-1'!B10:N620,2,)</f>
        <v>1</v>
      </c>
      <c r="D9" s="41">
        <f>VLOOKUP(C9,'Dataset-1'!C10:O620,2,)</f>
        <v>0</v>
      </c>
      <c r="E9" s="41">
        <f>VLOOKUP(D9,'Dataset-1'!D10:P620,2,)</f>
        <v>1</v>
      </c>
      <c r="F9" s="41">
        <f>VLOOKUP(E9,'Dataset-1'!E10:Q620,2,)</f>
        <v>7</v>
      </c>
      <c r="G9" s="71" t="str">
        <f>VLOOKUP(F9,'Dataset-1'!F10:R620,2,)</f>
        <v>Morning</v>
      </c>
      <c r="H9" s="41" t="b">
        <f>VLOOKUP(G9,'Dataset-1'!G10:S620,2,)</f>
        <v>0</v>
      </c>
      <c r="I9" s="41">
        <f>VLOOKUP(H9,'Dataset-1'!H10:T620,2,)</f>
        <v>6</v>
      </c>
      <c r="J9" s="71" t="str">
        <f>VLOOKUP(I9,'Dataset-1'!I10:U620,2,)</f>
        <v>Friday</v>
      </c>
      <c r="K9" s="41">
        <f>VLOOKUP(J9,'Dataset-1'!J10:V620,2,)</f>
        <v>1</v>
      </c>
      <c r="L9" s="41">
        <f>VLOOKUP(K9,'Dataset-1'!K10:W620,2,)</f>
        <v>0.2</v>
      </c>
      <c r="M9" s="71" t="str">
        <f>VLOOKUP(L9,'Dataset-1'!L10:X620,2,)</f>
        <v>Rainy</v>
      </c>
      <c r="N9" s="41">
        <f>VLOOKUP(A9,'Dataset-2'!B10:H620,2,)</f>
        <v>0.2576</v>
      </c>
      <c r="O9" s="41">
        <f>VLOOKUP(N9,'Dataset-2'!C10:I620,2,)</f>
        <v>0.86</v>
      </c>
      <c r="P9" s="41">
        <f>VLOOKUP(O9,'Dataset-2'!D10:J620,2,)</f>
        <v>0</v>
      </c>
      <c r="Q9" s="41">
        <f>VLOOKUP(P9,'Dataset-2'!E10:K620,2,)</f>
        <v>1</v>
      </c>
      <c r="R9" s="41">
        <f>VLOOKUP(Q9,'Dataset-2'!F10:L620,2,)</f>
        <v>2</v>
      </c>
      <c r="S9" s="41">
        <f>VLOOKUP(R9,'Dataset-2'!G10:M620,2,)</f>
        <v>3</v>
      </c>
    </row>
    <row r="10" spans="1:19" x14ac:dyDescent="0.35">
      <c r="A10" s="40">
        <v>9</v>
      </c>
      <c r="B10" s="62">
        <f>VLOOKUP(A10,'Dataset-1'!A11:M621,2,)</f>
        <v>40544</v>
      </c>
      <c r="C10" s="41">
        <f>VLOOKUP(B10,'Dataset-1'!B11:N621,2,)</f>
        <v>1</v>
      </c>
      <c r="D10" s="41">
        <f>VLOOKUP(C10,'Dataset-1'!C11:O621,2,)</f>
        <v>0</v>
      </c>
      <c r="E10" s="41">
        <f>VLOOKUP(D10,'Dataset-1'!D11:P621,2,)</f>
        <v>1</v>
      </c>
      <c r="F10" s="41">
        <f>VLOOKUP(E10,'Dataset-1'!E11:Q621,2,)</f>
        <v>8</v>
      </c>
      <c r="G10" s="71" t="str">
        <f>VLOOKUP(F10,'Dataset-1'!F11:R621,2,)</f>
        <v>Morning</v>
      </c>
      <c r="H10" s="41" t="b">
        <f>VLOOKUP(G10,'Dataset-1'!G11:S621,2,)</f>
        <v>0</v>
      </c>
      <c r="I10" s="41">
        <f>VLOOKUP(H10,'Dataset-1'!H11:T621,2,)</f>
        <v>6</v>
      </c>
      <c r="J10" s="71" t="str">
        <f>VLOOKUP(I10,'Dataset-1'!I11:U621,2,)</f>
        <v>Friday</v>
      </c>
      <c r="K10" s="41">
        <f>VLOOKUP(J10,'Dataset-1'!J11:V621,2,)</f>
        <v>1</v>
      </c>
      <c r="L10" s="41">
        <f>VLOOKUP(K10,'Dataset-1'!K11:W621,2,)</f>
        <v>0.24</v>
      </c>
      <c r="M10" s="71" t="str">
        <f>VLOOKUP(L10,'Dataset-1'!L11:X621,2,)</f>
        <v>Cloudy</v>
      </c>
      <c r="N10" s="41">
        <f>VLOOKUP(A10,'Dataset-2'!B11:H621,2,)</f>
        <v>0.30304999999999999</v>
      </c>
      <c r="O10" s="41">
        <f>VLOOKUP(N10,'Dataset-2'!C11:I621,2,)</f>
        <v>0.75</v>
      </c>
      <c r="P10" s="41">
        <f>VLOOKUP(O10,'Dataset-2'!D11:J621,2,)</f>
        <v>0</v>
      </c>
      <c r="Q10" s="41">
        <f>VLOOKUP(P10,'Dataset-2'!E11:K621,2,)</f>
        <v>1</v>
      </c>
      <c r="R10" s="41">
        <f>VLOOKUP(Q10,'Dataset-2'!F11:L621,2,)</f>
        <v>7</v>
      </c>
      <c r="S10" s="41">
        <f>VLOOKUP(R10,'Dataset-2'!G11:M621,2,)</f>
        <v>8</v>
      </c>
    </row>
    <row r="11" spans="1:19" x14ac:dyDescent="0.35">
      <c r="A11" s="40">
        <v>10</v>
      </c>
      <c r="B11" s="62">
        <f>VLOOKUP(A11,'Dataset-1'!A12:M622,2,)</f>
        <v>40544</v>
      </c>
      <c r="C11" s="41">
        <f>VLOOKUP(B11,'Dataset-1'!B12:N622,2,)</f>
        <v>1</v>
      </c>
      <c r="D11" s="41">
        <f>VLOOKUP(C11,'Dataset-1'!C12:O622,2,)</f>
        <v>0</v>
      </c>
      <c r="E11" s="41">
        <f>VLOOKUP(D11,'Dataset-1'!D12:P622,2,)</f>
        <v>1</v>
      </c>
      <c r="F11" s="41">
        <f>VLOOKUP(E11,'Dataset-1'!E12:Q622,2,)</f>
        <v>9</v>
      </c>
      <c r="G11" s="71" t="str">
        <f>VLOOKUP(F11,'Dataset-1'!F12:R622,2,)</f>
        <v>Morning</v>
      </c>
      <c r="H11" s="41" t="b">
        <f>VLOOKUP(G11,'Dataset-1'!G12:S622,2,)</f>
        <v>0</v>
      </c>
      <c r="I11" s="41">
        <f>VLOOKUP(H11,'Dataset-1'!H12:T622,2,)</f>
        <v>6</v>
      </c>
      <c r="J11" s="71" t="str">
        <f>VLOOKUP(I11,'Dataset-1'!I12:U622,2,)</f>
        <v>Friday</v>
      </c>
      <c r="K11" s="41">
        <f>VLOOKUP(J11,'Dataset-1'!J12:V622,2,)</f>
        <v>1</v>
      </c>
      <c r="L11" s="41">
        <f>VLOOKUP(K11,'Dataset-1'!K12:W622,2,)</f>
        <v>0.32</v>
      </c>
      <c r="M11" s="71" t="str">
        <f>VLOOKUP(L11,'Dataset-1'!L12:X622,2,)</f>
        <v>Sunny</v>
      </c>
      <c r="N11" s="41">
        <f>VLOOKUP(A11,'Dataset-2'!B12:H622,2,)</f>
        <v>0.34849999999999998</v>
      </c>
      <c r="O11" s="41">
        <f>VLOOKUP(N11,'Dataset-2'!C12:I622,2,)</f>
        <v>0.76</v>
      </c>
      <c r="P11" s="41">
        <f>VLOOKUP(O11,'Dataset-2'!D12:J622,2,)</f>
        <v>0</v>
      </c>
      <c r="Q11" s="41">
        <f>VLOOKUP(P11,'Dataset-2'!E12:K622,2,)</f>
        <v>8</v>
      </c>
      <c r="R11" s="41">
        <f>VLOOKUP(Q11,'Dataset-2'!F12:L622,2,)</f>
        <v>6</v>
      </c>
      <c r="S11" s="41">
        <f>VLOOKUP(R11,'Dataset-2'!G12:M622,2,)</f>
        <v>14</v>
      </c>
    </row>
    <row r="12" spans="1:19" x14ac:dyDescent="0.35">
      <c r="A12" s="40">
        <v>11</v>
      </c>
      <c r="B12" s="62">
        <f>VLOOKUP(A12,'Dataset-1'!A13:M623,2,)</f>
        <v>40544</v>
      </c>
      <c r="C12" s="41">
        <f>VLOOKUP(B12,'Dataset-1'!B13:N623,2,)</f>
        <v>1</v>
      </c>
      <c r="D12" s="41">
        <f>VLOOKUP(C12,'Dataset-1'!C13:O623,2,)</f>
        <v>0</v>
      </c>
      <c r="E12" s="41">
        <f>VLOOKUP(D12,'Dataset-1'!D13:P623,2,)</f>
        <v>1</v>
      </c>
      <c r="F12" s="41">
        <f>VLOOKUP(E12,'Dataset-1'!E13:Q623,2,)</f>
        <v>10</v>
      </c>
      <c r="G12" s="71" t="str">
        <f>VLOOKUP(F12,'Dataset-1'!F13:R623,2,)</f>
        <v>Morning</v>
      </c>
      <c r="H12" s="41" t="b">
        <f>VLOOKUP(G12,'Dataset-1'!G13:S623,2,)</f>
        <v>0</v>
      </c>
      <c r="I12" s="41">
        <f>VLOOKUP(H12,'Dataset-1'!H13:T623,2,)</f>
        <v>6</v>
      </c>
      <c r="J12" s="71" t="str">
        <f>VLOOKUP(I12,'Dataset-1'!I13:U623,2,)</f>
        <v>Friday</v>
      </c>
      <c r="K12" s="41">
        <f>VLOOKUP(J12,'Dataset-1'!J13:V623,2,)</f>
        <v>1</v>
      </c>
      <c r="L12" s="41">
        <f>VLOOKUP(K12,'Dataset-1'!K13:W623,2,)</f>
        <v>0.38</v>
      </c>
      <c r="M12" s="71" t="str">
        <f>VLOOKUP(L12,'Dataset-1'!L13:X623,2,)</f>
        <v>Sunny</v>
      </c>
      <c r="N12" s="41">
        <f>VLOOKUP(A12,'Dataset-2'!B13:H623,2,)</f>
        <v>0.39389999999999997</v>
      </c>
      <c r="O12" s="41">
        <f>VLOOKUP(N12,'Dataset-2'!C13:I623,2,)</f>
        <v>0.76</v>
      </c>
      <c r="P12" s="41">
        <f>VLOOKUP(O12,'Dataset-2'!D13:J623,2,)</f>
        <v>0.25369999999999998</v>
      </c>
      <c r="Q12" s="41">
        <f>VLOOKUP(P12,'Dataset-2'!E13:K623,2,)</f>
        <v>12</v>
      </c>
      <c r="R12" s="41">
        <f>VLOOKUP(Q12,'Dataset-2'!F13:L623,2,)</f>
        <v>24</v>
      </c>
      <c r="S12" s="41">
        <f>VLOOKUP(R12,'Dataset-2'!G13:M623,2,)</f>
        <v>36</v>
      </c>
    </row>
    <row r="13" spans="1:19" x14ac:dyDescent="0.35">
      <c r="A13" s="40">
        <v>12</v>
      </c>
      <c r="B13" s="62">
        <f>VLOOKUP(A13,'Dataset-1'!A14:M624,2,)</f>
        <v>40544</v>
      </c>
      <c r="C13" s="41">
        <f>VLOOKUP(B13,'Dataset-1'!B14:N624,2,)</f>
        <v>1</v>
      </c>
      <c r="D13" s="41">
        <f>VLOOKUP(C13,'Dataset-1'!C14:O624,2,)</f>
        <v>0</v>
      </c>
      <c r="E13" s="41">
        <f>VLOOKUP(D13,'Dataset-1'!D14:P624,2,)</f>
        <v>1</v>
      </c>
      <c r="F13" s="41">
        <f>VLOOKUP(E13,'Dataset-1'!E14:Q624,2,)</f>
        <v>11</v>
      </c>
      <c r="G13" s="71" t="str">
        <f>VLOOKUP(F13,'Dataset-1'!F14:R624,2,)</f>
        <v>Morning</v>
      </c>
      <c r="H13" s="41" t="b">
        <f>VLOOKUP(G13,'Dataset-1'!G14:S624,2,)</f>
        <v>0</v>
      </c>
      <c r="I13" s="41">
        <f>VLOOKUP(H13,'Dataset-1'!H14:T624,2,)</f>
        <v>6</v>
      </c>
      <c r="J13" s="71" t="str">
        <f>VLOOKUP(I13,'Dataset-1'!I14:U624,2,)</f>
        <v>Friday</v>
      </c>
      <c r="K13" s="41">
        <f>VLOOKUP(J13,'Dataset-1'!J14:V624,2,)</f>
        <v>1</v>
      </c>
      <c r="L13" s="41">
        <f>VLOOKUP(K13,'Dataset-1'!K14:W624,2,)</f>
        <v>0.36</v>
      </c>
      <c r="M13" s="71" t="str">
        <f>VLOOKUP(L13,'Dataset-1'!L14:X624,2,)</f>
        <v>Sunny</v>
      </c>
      <c r="N13" s="41">
        <f>VLOOKUP(A13,'Dataset-2'!B14:H624,2,)</f>
        <v>0.33329999999999999</v>
      </c>
      <c r="O13" s="41">
        <f>VLOOKUP(N13,'Dataset-2'!C14:I624,2,)</f>
        <v>0.81</v>
      </c>
      <c r="P13" s="41">
        <f>VLOOKUP(O13,'Dataset-2'!D14:J624,2,)</f>
        <v>0.28360000000000002</v>
      </c>
      <c r="Q13" s="41">
        <f>VLOOKUP(P13,'Dataset-2'!E14:K624,2,)</f>
        <v>26</v>
      </c>
      <c r="R13" s="41">
        <f>VLOOKUP(Q13,'Dataset-2'!F14:L624,2,)</f>
        <v>30</v>
      </c>
      <c r="S13" s="41">
        <f>VLOOKUP(R13,'Dataset-2'!G14:M624,2,)</f>
        <v>56</v>
      </c>
    </row>
    <row r="14" spans="1:19" x14ac:dyDescent="0.35">
      <c r="A14" s="40">
        <v>13</v>
      </c>
      <c r="B14" s="62">
        <f>VLOOKUP(A14,'Dataset-1'!A15:M625,2,)</f>
        <v>40544</v>
      </c>
      <c r="C14" s="41">
        <f>VLOOKUP(B14,'Dataset-1'!B15:N625,2,)</f>
        <v>1</v>
      </c>
      <c r="D14" s="41">
        <f>VLOOKUP(C14,'Dataset-1'!C15:O625,2,)</f>
        <v>0</v>
      </c>
      <c r="E14" s="41">
        <f>VLOOKUP(D14,'Dataset-1'!D15:P625,2,)</f>
        <v>1</v>
      </c>
      <c r="F14" s="41">
        <f>VLOOKUP(E14,'Dataset-1'!E15:Q625,2,)</f>
        <v>12</v>
      </c>
      <c r="G14" s="71" t="str">
        <f>VLOOKUP(F14,'Dataset-1'!F15:R625,2,)</f>
        <v>AfterNoon</v>
      </c>
      <c r="H14" s="41" t="b">
        <f>VLOOKUP(G14,'Dataset-1'!G15:S625,2,)</f>
        <v>0</v>
      </c>
      <c r="I14" s="41">
        <f>VLOOKUP(H14,'Dataset-1'!H15:T625,2,)</f>
        <v>6</v>
      </c>
      <c r="J14" s="71" t="str">
        <f>VLOOKUP(I14,'Dataset-1'!I15:U625,2,)</f>
        <v>Friday</v>
      </c>
      <c r="K14" s="41">
        <f>VLOOKUP(J14,'Dataset-1'!J15:V625,2,)</f>
        <v>1</v>
      </c>
      <c r="L14" s="41">
        <f>VLOOKUP(K14,'Dataset-1'!K15:W625,2,)</f>
        <v>0.42</v>
      </c>
      <c r="M14" s="71" t="str">
        <f>VLOOKUP(L14,'Dataset-1'!L15:X625,2,)</f>
        <v>Sunny</v>
      </c>
      <c r="N14" s="41">
        <f>VLOOKUP(A14,'Dataset-2'!B15:H625,2,)</f>
        <v>0.42420000000000002</v>
      </c>
      <c r="O14" s="41">
        <f>VLOOKUP(N14,'Dataset-2'!C15:I625,2,)</f>
        <v>0.77</v>
      </c>
      <c r="P14" s="41">
        <f>VLOOKUP(O14,'Dataset-2'!D15:J625,2,)</f>
        <v>0.28360000000000002</v>
      </c>
      <c r="Q14" s="41">
        <f>VLOOKUP(P14,'Dataset-2'!E15:K625,2,)</f>
        <v>29</v>
      </c>
      <c r="R14" s="41">
        <f>VLOOKUP(Q14,'Dataset-2'!F15:L625,2,)</f>
        <v>55</v>
      </c>
      <c r="S14" s="41">
        <f>VLOOKUP(R14,'Dataset-2'!G15:M625,2,)</f>
        <v>84</v>
      </c>
    </row>
    <row r="15" spans="1:19" x14ac:dyDescent="0.35">
      <c r="A15" s="40">
        <v>14</v>
      </c>
      <c r="B15" s="62">
        <f>VLOOKUP(A15,'Dataset-1'!A16:M626,2,)</f>
        <v>40544</v>
      </c>
      <c r="C15" s="41">
        <f>VLOOKUP(B15,'Dataset-1'!B16:N626,2,)</f>
        <v>1</v>
      </c>
      <c r="D15" s="41">
        <f>VLOOKUP(C15,'Dataset-1'!C16:O626,2,)</f>
        <v>0</v>
      </c>
      <c r="E15" s="41">
        <f>VLOOKUP(D15,'Dataset-1'!D16:P626,2,)</f>
        <v>1</v>
      </c>
      <c r="F15" s="41">
        <f>VLOOKUP(E15,'Dataset-1'!E16:Q626,2,)</f>
        <v>13</v>
      </c>
      <c r="G15" s="71" t="str">
        <f>VLOOKUP(F15,'Dataset-1'!F16:R626,2,)</f>
        <v>AfterNoon</v>
      </c>
      <c r="H15" s="41" t="b">
        <f>VLOOKUP(G15,'Dataset-1'!G16:S626,2,)</f>
        <v>0</v>
      </c>
      <c r="I15" s="41">
        <f>VLOOKUP(H15,'Dataset-1'!H16:T626,2,)</f>
        <v>6</v>
      </c>
      <c r="J15" s="71" t="str">
        <f>VLOOKUP(I15,'Dataset-1'!I16:U626,2,)</f>
        <v>Friday</v>
      </c>
      <c r="K15" s="41">
        <f>VLOOKUP(J15,'Dataset-1'!J16:V626,2,)</f>
        <v>2</v>
      </c>
      <c r="L15" s="41">
        <f>VLOOKUP(K15,'Dataset-1'!K16:W626,2,)</f>
        <v>0.46</v>
      </c>
      <c r="M15" s="71" t="str">
        <f>VLOOKUP(L15,'Dataset-1'!L16:X626,2,)</f>
        <v>Sunny</v>
      </c>
      <c r="N15" s="41">
        <f>VLOOKUP(A15,'Dataset-2'!B16:H626,2,)</f>
        <v>0.45450000000000002</v>
      </c>
      <c r="O15" s="41">
        <f>VLOOKUP(N15,'Dataset-2'!C16:I626,2,)</f>
        <v>0.72</v>
      </c>
      <c r="P15" s="41">
        <f>VLOOKUP(O15,'Dataset-2'!D16:J626,2,)</f>
        <v>0.29849999999999999</v>
      </c>
      <c r="Q15" s="41">
        <f>VLOOKUP(P15,'Dataset-2'!E16:K626,2,)</f>
        <v>47</v>
      </c>
      <c r="R15" s="41">
        <f>VLOOKUP(Q15,'Dataset-2'!F16:L626,2,)</f>
        <v>47</v>
      </c>
      <c r="S15" s="41">
        <f>VLOOKUP(R15,'Dataset-2'!G16:M626,2,)</f>
        <v>94</v>
      </c>
    </row>
    <row r="16" spans="1:19" x14ac:dyDescent="0.35">
      <c r="A16" s="40">
        <v>15</v>
      </c>
      <c r="B16" s="62">
        <f>VLOOKUP(A16,'Dataset-1'!A17:M627,2,)</f>
        <v>40544</v>
      </c>
      <c r="C16" s="41">
        <f>VLOOKUP(B16,'Dataset-1'!B17:N627,2,)</f>
        <v>1</v>
      </c>
      <c r="D16" s="41">
        <f>VLOOKUP(C16,'Dataset-1'!C17:O627,2,)</f>
        <v>0</v>
      </c>
      <c r="E16" s="41">
        <f>VLOOKUP(D16,'Dataset-1'!D17:P627,2,)</f>
        <v>1</v>
      </c>
      <c r="F16" s="41">
        <f>VLOOKUP(E16,'Dataset-1'!E17:Q627,2,)</f>
        <v>14</v>
      </c>
      <c r="G16" s="71" t="str">
        <f>VLOOKUP(F16,'Dataset-1'!F17:R627,2,)</f>
        <v>AfterNoon</v>
      </c>
      <c r="H16" s="41" t="b">
        <f>VLOOKUP(G16,'Dataset-1'!G17:S627,2,)</f>
        <v>0</v>
      </c>
      <c r="I16" s="41">
        <f>VLOOKUP(H16,'Dataset-1'!H17:T627,2,)</f>
        <v>6</v>
      </c>
      <c r="J16" s="71" t="str">
        <f>VLOOKUP(I16,'Dataset-1'!I17:U627,2,)</f>
        <v>Friday</v>
      </c>
      <c r="K16" s="41">
        <f>VLOOKUP(J16,'Dataset-1'!J17:V627,2,)</f>
        <v>2</v>
      </c>
      <c r="L16" s="41">
        <f>VLOOKUP(K16,'Dataset-1'!K17:W627,2,)</f>
        <v>0.46</v>
      </c>
      <c r="M16" s="71" t="str">
        <f>VLOOKUP(L16,'Dataset-1'!L17:X627,2,)</f>
        <v>Sunny</v>
      </c>
      <c r="N16" s="41">
        <f>VLOOKUP(A16,'Dataset-2'!B17:H627,2,)</f>
        <v>0.45450000000000002</v>
      </c>
      <c r="O16" s="41">
        <f>VLOOKUP(N16,'Dataset-2'!C17:I627,2,)</f>
        <v>0.72</v>
      </c>
      <c r="P16" s="41">
        <f>VLOOKUP(O16,'Dataset-2'!D17:J627,2,)</f>
        <v>0.28360000000000002</v>
      </c>
      <c r="Q16" s="41">
        <f>VLOOKUP(P16,'Dataset-2'!E17:K627,2,)</f>
        <v>35</v>
      </c>
      <c r="R16" s="41">
        <f>VLOOKUP(Q16,'Dataset-2'!F17:L627,2,)</f>
        <v>71</v>
      </c>
      <c r="S16" s="41">
        <f>VLOOKUP(R16,'Dataset-2'!G17:M627,2,)</f>
        <v>106</v>
      </c>
    </row>
    <row r="17" spans="1:19" x14ac:dyDescent="0.35">
      <c r="A17" s="40">
        <v>16</v>
      </c>
      <c r="B17" s="62">
        <f>VLOOKUP(A17,'Dataset-1'!A18:M628,2,)</f>
        <v>40544</v>
      </c>
      <c r="C17" s="41">
        <f>VLOOKUP(B17,'Dataset-1'!B18:N628,2,)</f>
        <v>1</v>
      </c>
      <c r="D17" s="41">
        <f>VLOOKUP(C17,'Dataset-1'!C18:O628,2,)</f>
        <v>0</v>
      </c>
      <c r="E17" s="41">
        <f>VLOOKUP(D17,'Dataset-1'!D18:P628,2,)</f>
        <v>1</v>
      </c>
      <c r="F17" s="41">
        <f>VLOOKUP(E17,'Dataset-1'!E18:Q628,2,)</f>
        <v>15</v>
      </c>
      <c r="G17" s="71" t="str">
        <f>VLOOKUP(F17,'Dataset-1'!F18:R628,2,)</f>
        <v>AfterNoon</v>
      </c>
      <c r="H17" s="41" t="b">
        <f>VLOOKUP(G17,'Dataset-1'!G18:S628,2,)</f>
        <v>0</v>
      </c>
      <c r="I17" s="41">
        <f>VLOOKUP(H17,'Dataset-1'!H18:T628,2,)</f>
        <v>6</v>
      </c>
      <c r="J17" s="71" t="str">
        <f>VLOOKUP(I17,'Dataset-1'!I18:U628,2,)</f>
        <v>Friday</v>
      </c>
      <c r="K17" s="41">
        <f>VLOOKUP(J17,'Dataset-1'!J18:V628,2,)</f>
        <v>2</v>
      </c>
      <c r="L17" s="41">
        <f>VLOOKUP(K17,'Dataset-1'!K18:W628,2,)</f>
        <v>0.44</v>
      </c>
      <c r="M17" s="71" t="str">
        <f>VLOOKUP(L17,'Dataset-1'!L18:X628,2,)</f>
        <v>Sunny</v>
      </c>
      <c r="N17" s="41">
        <f>VLOOKUP(A17,'Dataset-2'!B18:H628,2,)</f>
        <v>0.43940000000000001</v>
      </c>
      <c r="O17" s="41">
        <f>VLOOKUP(N17,'Dataset-2'!C18:I628,2,)</f>
        <v>0.77</v>
      </c>
      <c r="P17" s="41">
        <f>VLOOKUP(O17,'Dataset-2'!D18:J628,2,)</f>
        <v>0.29849999999999999</v>
      </c>
      <c r="Q17" s="41">
        <f>VLOOKUP(P17,'Dataset-2'!E18:K628,2,)</f>
        <v>40</v>
      </c>
      <c r="R17" s="41">
        <f>VLOOKUP(Q17,'Dataset-2'!F18:L628,2,)</f>
        <v>70</v>
      </c>
      <c r="S17" s="41">
        <f>VLOOKUP(R17,'Dataset-2'!G18:M628,2,)</f>
        <v>110</v>
      </c>
    </row>
    <row r="18" spans="1:19" x14ac:dyDescent="0.35">
      <c r="A18" s="40">
        <v>17</v>
      </c>
      <c r="B18" s="62">
        <f>VLOOKUP(A18,'Dataset-1'!A19:M629,2,)</f>
        <v>40544</v>
      </c>
      <c r="C18" s="41">
        <f>VLOOKUP(B18,'Dataset-1'!B19:N629,2,)</f>
        <v>1</v>
      </c>
      <c r="D18" s="41">
        <f>VLOOKUP(C18,'Dataset-1'!C19:O629,2,)</f>
        <v>0</v>
      </c>
      <c r="E18" s="41">
        <f>VLOOKUP(D18,'Dataset-1'!D19:P629,2,)</f>
        <v>1</v>
      </c>
      <c r="F18" s="41">
        <f>VLOOKUP(E18,'Dataset-1'!E19:Q629,2,)</f>
        <v>16</v>
      </c>
      <c r="G18" s="71" t="str">
        <f>VLOOKUP(F18,'Dataset-1'!F19:R629,2,)</f>
        <v>AfterNoon</v>
      </c>
      <c r="H18" s="41" t="b">
        <f>VLOOKUP(G18,'Dataset-1'!G19:S629,2,)</f>
        <v>0</v>
      </c>
      <c r="I18" s="41">
        <f>VLOOKUP(H18,'Dataset-1'!H19:T629,2,)</f>
        <v>6</v>
      </c>
      <c r="J18" s="71" t="str">
        <f>VLOOKUP(I18,'Dataset-1'!I19:U629,2,)</f>
        <v>Friday</v>
      </c>
      <c r="K18" s="41">
        <f>VLOOKUP(J18,'Dataset-1'!J19:V629,2,)</f>
        <v>2</v>
      </c>
      <c r="L18" s="41">
        <f>VLOOKUP(K18,'Dataset-1'!K19:W629,2,)</f>
        <v>0.42</v>
      </c>
      <c r="M18" s="71" t="str">
        <f>VLOOKUP(L18,'Dataset-1'!L19:X629,2,)</f>
        <v>Sunny</v>
      </c>
      <c r="N18" s="41">
        <f>VLOOKUP(A18,'Dataset-2'!B19:H629,2,)</f>
        <v>0.42420000000000002</v>
      </c>
      <c r="O18" s="41">
        <f>VLOOKUP(N18,'Dataset-2'!C19:I629,2,)</f>
        <v>0.82</v>
      </c>
      <c r="P18" s="41">
        <f>VLOOKUP(O18,'Dataset-2'!D19:J629,2,)</f>
        <v>0.29849999999999999</v>
      </c>
      <c r="Q18" s="41">
        <f>VLOOKUP(P18,'Dataset-2'!E19:K629,2,)</f>
        <v>41</v>
      </c>
      <c r="R18" s="41">
        <f>VLOOKUP(Q18,'Dataset-2'!F19:L629,2,)</f>
        <v>52</v>
      </c>
      <c r="S18" s="41">
        <f>VLOOKUP(R18,'Dataset-2'!G19:M629,2,)</f>
        <v>93</v>
      </c>
    </row>
    <row r="19" spans="1:19" x14ac:dyDescent="0.35">
      <c r="A19" s="40">
        <v>18</v>
      </c>
      <c r="B19" s="62">
        <f>VLOOKUP(A19,'Dataset-1'!A20:M630,2,)</f>
        <v>40544</v>
      </c>
      <c r="C19" s="41">
        <f>VLOOKUP(B19,'Dataset-1'!B20:N630,2,)</f>
        <v>1</v>
      </c>
      <c r="D19" s="41">
        <f>VLOOKUP(C19,'Dataset-1'!C20:O630,2,)</f>
        <v>0</v>
      </c>
      <c r="E19" s="41">
        <f>VLOOKUP(D19,'Dataset-1'!D20:P630,2,)</f>
        <v>1</v>
      </c>
      <c r="F19" s="41">
        <f>VLOOKUP(E19,'Dataset-1'!E20:Q630,2,)</f>
        <v>17</v>
      </c>
      <c r="G19" s="71" t="str">
        <f>VLOOKUP(F19,'Dataset-1'!F20:R630,2,)</f>
        <v>Evening</v>
      </c>
      <c r="H19" s="41" t="b">
        <f>VLOOKUP(G19,'Dataset-1'!G20:S630,2,)</f>
        <v>0</v>
      </c>
      <c r="I19" s="41">
        <f>VLOOKUP(H19,'Dataset-1'!H20:T630,2,)</f>
        <v>6</v>
      </c>
      <c r="J19" s="71" t="str">
        <f>VLOOKUP(I19,'Dataset-1'!I20:U630,2,)</f>
        <v>Friday</v>
      </c>
      <c r="K19" s="41">
        <f>VLOOKUP(J19,'Dataset-1'!J20:V630,2,)</f>
        <v>2</v>
      </c>
      <c r="L19" s="41">
        <f>VLOOKUP(K19,'Dataset-1'!K20:W630,2,)</f>
        <v>0.44</v>
      </c>
      <c r="M19" s="71" t="str">
        <f>VLOOKUP(L19,'Dataset-1'!L20:X630,2,)</f>
        <v>Sunny</v>
      </c>
      <c r="N19" s="41">
        <f>VLOOKUP(A19,'Dataset-2'!B20:H630,2,)</f>
        <v>0.42420000000000002</v>
      </c>
      <c r="O19" s="41">
        <f>VLOOKUP(N19,'Dataset-2'!C20:I630,2,)</f>
        <v>0.82</v>
      </c>
      <c r="P19" s="41">
        <f>VLOOKUP(O19,'Dataset-2'!D20:J630,2,)</f>
        <v>0.28360000000000002</v>
      </c>
      <c r="Q19" s="41">
        <f>VLOOKUP(P19,'Dataset-2'!E20:K630,2,)</f>
        <v>15</v>
      </c>
      <c r="R19" s="41">
        <f>VLOOKUP(Q19,'Dataset-2'!F20:L630,2,)</f>
        <v>52</v>
      </c>
      <c r="S19" s="41">
        <f>VLOOKUP(R19,'Dataset-2'!G20:M630,2,)</f>
        <v>67</v>
      </c>
    </row>
    <row r="20" spans="1:19" x14ac:dyDescent="0.35">
      <c r="A20" s="40">
        <v>19</v>
      </c>
      <c r="B20" s="62">
        <f>VLOOKUP(A20,'Dataset-1'!A21:M631,2,)</f>
        <v>40544</v>
      </c>
      <c r="C20" s="41">
        <f>VLOOKUP(B20,'Dataset-1'!B21:N631,2,)</f>
        <v>1</v>
      </c>
      <c r="D20" s="41">
        <f>VLOOKUP(C20,'Dataset-1'!C21:O631,2,)</f>
        <v>0</v>
      </c>
      <c r="E20" s="41">
        <f>VLOOKUP(D20,'Dataset-1'!D21:P631,2,)</f>
        <v>1</v>
      </c>
      <c r="F20" s="41">
        <f>VLOOKUP(E20,'Dataset-1'!E21:Q631,2,)</f>
        <v>18</v>
      </c>
      <c r="G20" s="71" t="str">
        <f>VLOOKUP(F20,'Dataset-1'!F21:R631,2,)</f>
        <v>Evening</v>
      </c>
      <c r="H20" s="41" t="b">
        <f>VLOOKUP(G20,'Dataset-1'!G21:S631,2,)</f>
        <v>0</v>
      </c>
      <c r="I20" s="41">
        <f>VLOOKUP(H20,'Dataset-1'!H21:T631,2,)</f>
        <v>6</v>
      </c>
      <c r="J20" s="71" t="str">
        <f>VLOOKUP(I20,'Dataset-1'!I21:U631,2,)</f>
        <v>Friday</v>
      </c>
      <c r="K20" s="41">
        <f>VLOOKUP(J20,'Dataset-1'!J21:V631,2,)</f>
        <v>3</v>
      </c>
      <c r="L20" s="41">
        <f>VLOOKUP(K20,'Dataset-1'!K21:W631,2,)</f>
        <v>0.42</v>
      </c>
      <c r="M20" s="71" t="str">
        <f>VLOOKUP(L20,'Dataset-1'!L21:X631,2,)</f>
        <v>Sunny</v>
      </c>
      <c r="N20" s="41">
        <f>VLOOKUP(A20,'Dataset-2'!B21:H631,2,)</f>
        <v>0.42420000000000002</v>
      </c>
      <c r="O20" s="41">
        <f>VLOOKUP(N20,'Dataset-2'!C21:I631,2,)</f>
        <v>0.88</v>
      </c>
      <c r="P20" s="41">
        <f>VLOOKUP(O20,'Dataset-2'!D21:J631,2,)</f>
        <v>0.25369999999999998</v>
      </c>
      <c r="Q20" s="41">
        <f>VLOOKUP(P20,'Dataset-2'!E21:K631,2,)</f>
        <v>9</v>
      </c>
      <c r="R20" s="41">
        <f>VLOOKUP(Q20,'Dataset-2'!F21:L631,2,)</f>
        <v>26</v>
      </c>
      <c r="S20" s="41">
        <f>VLOOKUP(R20,'Dataset-2'!G21:M631,2,)</f>
        <v>35</v>
      </c>
    </row>
    <row r="21" spans="1:19" x14ac:dyDescent="0.35">
      <c r="A21" s="40">
        <v>20</v>
      </c>
      <c r="B21" s="62">
        <f>VLOOKUP(A21,'Dataset-1'!A22:M632,2,)</f>
        <v>40544</v>
      </c>
      <c r="C21" s="41">
        <f>VLOOKUP(B21,'Dataset-1'!B22:N632,2,)</f>
        <v>1</v>
      </c>
      <c r="D21" s="41">
        <f>VLOOKUP(C21,'Dataset-1'!C22:O632,2,)</f>
        <v>0</v>
      </c>
      <c r="E21" s="41">
        <f>VLOOKUP(D21,'Dataset-1'!D22:P632,2,)</f>
        <v>1</v>
      </c>
      <c r="F21" s="41">
        <f>VLOOKUP(E21,'Dataset-1'!E22:Q632,2,)</f>
        <v>19</v>
      </c>
      <c r="G21" s="71" t="str">
        <f>VLOOKUP(F21,'Dataset-1'!F22:R632,2,)</f>
        <v>Evening</v>
      </c>
      <c r="H21" s="41" t="b">
        <f>VLOOKUP(G21,'Dataset-1'!G22:S632,2,)</f>
        <v>0</v>
      </c>
      <c r="I21" s="41">
        <f>VLOOKUP(H21,'Dataset-1'!H22:T632,2,)</f>
        <v>6</v>
      </c>
      <c r="J21" s="71" t="str">
        <f>VLOOKUP(I21,'Dataset-1'!I22:U632,2,)</f>
        <v>Friday</v>
      </c>
      <c r="K21" s="41">
        <f>VLOOKUP(J21,'Dataset-1'!J22:V632,2,)</f>
        <v>3</v>
      </c>
      <c r="L21" s="41">
        <f>VLOOKUP(K21,'Dataset-1'!K22:W632,2,)</f>
        <v>0.42</v>
      </c>
      <c r="M21" s="71" t="str">
        <f>VLOOKUP(L21,'Dataset-1'!L22:X632,2,)</f>
        <v>Sunny</v>
      </c>
      <c r="N21" s="41">
        <f>VLOOKUP(A21,'Dataset-2'!B22:H632,2,)</f>
        <v>0.42420000000000002</v>
      </c>
      <c r="O21" s="41">
        <f>VLOOKUP(N21,'Dataset-2'!C22:I632,2,)</f>
        <v>0.88</v>
      </c>
      <c r="P21" s="41">
        <f>VLOOKUP(O21,'Dataset-2'!D22:J632,2,)</f>
        <v>0.25369999999999998</v>
      </c>
      <c r="Q21" s="41">
        <f>VLOOKUP(P21,'Dataset-2'!E22:K632,2,)</f>
        <v>6</v>
      </c>
      <c r="R21" s="41">
        <f>VLOOKUP(Q21,'Dataset-2'!F22:L632,2,)</f>
        <v>31</v>
      </c>
      <c r="S21" s="41">
        <f>VLOOKUP(R21,'Dataset-2'!G22:M632,2,)</f>
        <v>37</v>
      </c>
    </row>
    <row r="22" spans="1:19" x14ac:dyDescent="0.35">
      <c r="A22" s="40">
        <v>21</v>
      </c>
      <c r="B22" s="62">
        <f>VLOOKUP(A22,'Dataset-1'!A23:M633,2,)</f>
        <v>40544</v>
      </c>
      <c r="C22" s="41">
        <f>VLOOKUP(B22,'Dataset-1'!B23:N633,2,)</f>
        <v>1</v>
      </c>
      <c r="D22" s="41">
        <f>VLOOKUP(C22,'Dataset-1'!C23:O633,2,)</f>
        <v>0</v>
      </c>
      <c r="E22" s="41">
        <f>VLOOKUP(D22,'Dataset-1'!D23:P633,2,)</f>
        <v>1</v>
      </c>
      <c r="F22" s="41">
        <f>VLOOKUP(E22,'Dataset-1'!E23:Q633,2,)</f>
        <v>20</v>
      </c>
      <c r="G22" s="71" t="str">
        <f>VLOOKUP(F22,'Dataset-1'!F23:R633,2,)</f>
        <v>Night</v>
      </c>
      <c r="H22" s="41" t="b">
        <f>VLOOKUP(G22,'Dataset-1'!G23:S633,2,)</f>
        <v>0</v>
      </c>
      <c r="I22" s="41">
        <f>VLOOKUP(H22,'Dataset-1'!H23:T633,2,)</f>
        <v>6</v>
      </c>
      <c r="J22" s="71" t="str">
        <f>VLOOKUP(I22,'Dataset-1'!I23:U633,2,)</f>
        <v>Friday</v>
      </c>
      <c r="K22" s="41">
        <f>VLOOKUP(J22,'Dataset-1'!J23:V633,2,)</f>
        <v>2</v>
      </c>
      <c r="L22" s="41">
        <f>VLOOKUP(K22,'Dataset-1'!K23:W633,2,)</f>
        <v>0.4</v>
      </c>
      <c r="M22" s="71" t="str">
        <f>VLOOKUP(L22,'Dataset-1'!L23:X633,2,)</f>
        <v>Sunny</v>
      </c>
      <c r="N22" s="41">
        <f>VLOOKUP(A22,'Dataset-2'!B23:H633,2,)</f>
        <v>0.40910000000000002</v>
      </c>
      <c r="O22" s="41">
        <f>VLOOKUP(N22,'Dataset-2'!C23:I633,2,)</f>
        <v>0.87</v>
      </c>
      <c r="P22" s="41">
        <f>VLOOKUP(O22,'Dataset-2'!D23:J633,2,)</f>
        <v>0.25369999999999998</v>
      </c>
      <c r="Q22" s="41">
        <f>VLOOKUP(P22,'Dataset-2'!E23:K633,2,)</f>
        <v>11</v>
      </c>
      <c r="R22" s="41">
        <f>VLOOKUP(Q22,'Dataset-2'!F23:L633,2,)</f>
        <v>25</v>
      </c>
      <c r="S22" s="41">
        <f>VLOOKUP(R22,'Dataset-2'!G23:M633,2,)</f>
        <v>36</v>
      </c>
    </row>
    <row r="23" spans="1:19" x14ac:dyDescent="0.35">
      <c r="A23" s="40">
        <v>22</v>
      </c>
      <c r="B23" s="62">
        <f>VLOOKUP(A23,'Dataset-1'!A24:M634,2,)</f>
        <v>40544</v>
      </c>
      <c r="C23" s="41">
        <f>VLOOKUP(B23,'Dataset-1'!B24:N634,2,)</f>
        <v>1</v>
      </c>
      <c r="D23" s="41">
        <f>VLOOKUP(C23,'Dataset-1'!C24:O634,2,)</f>
        <v>0</v>
      </c>
      <c r="E23" s="41">
        <f>VLOOKUP(D23,'Dataset-1'!D24:P634,2,)</f>
        <v>1</v>
      </c>
      <c r="F23" s="41">
        <f>VLOOKUP(E23,'Dataset-1'!E24:Q634,2,)</f>
        <v>21</v>
      </c>
      <c r="G23" s="71" t="str">
        <f>VLOOKUP(F23,'Dataset-1'!F24:R634,2,)</f>
        <v>Night</v>
      </c>
      <c r="H23" s="41" t="b">
        <f>VLOOKUP(G23,'Dataset-1'!G24:S634,2,)</f>
        <v>0</v>
      </c>
      <c r="I23" s="41">
        <f>VLOOKUP(H23,'Dataset-1'!H24:T634,2,)</f>
        <v>6</v>
      </c>
      <c r="J23" s="71" t="str">
        <f>VLOOKUP(I23,'Dataset-1'!I24:U634,2,)</f>
        <v>Friday</v>
      </c>
      <c r="K23" s="41">
        <f>VLOOKUP(J23,'Dataset-1'!J24:V634,2,)</f>
        <v>2</v>
      </c>
      <c r="L23" s="41">
        <f>VLOOKUP(K23,'Dataset-1'!K24:W634,2,)</f>
        <v>0.4</v>
      </c>
      <c r="M23" s="71" t="str">
        <f>VLOOKUP(L23,'Dataset-1'!L24:X634,2,)</f>
        <v>Sunny</v>
      </c>
      <c r="N23" s="41">
        <f>VLOOKUP(A23,'Dataset-2'!B24:H634,2,)</f>
        <v>0.40910000000000002</v>
      </c>
      <c r="O23" s="41">
        <f>VLOOKUP(N23,'Dataset-2'!C24:I634,2,)</f>
        <v>0.87</v>
      </c>
      <c r="P23" s="41">
        <f>VLOOKUP(O23,'Dataset-2'!D24:J634,2,)</f>
        <v>0.19400000000000001</v>
      </c>
      <c r="Q23" s="41">
        <f>VLOOKUP(P23,'Dataset-2'!E24:K634,2,)</f>
        <v>3</v>
      </c>
      <c r="R23" s="41">
        <f>VLOOKUP(Q23,'Dataset-2'!F24:L634,2,)</f>
        <v>31</v>
      </c>
      <c r="S23" s="41">
        <f>VLOOKUP(R23,'Dataset-2'!G24:M634,2,)</f>
        <v>34</v>
      </c>
    </row>
    <row r="24" spans="1:19" x14ac:dyDescent="0.35">
      <c r="A24" s="40">
        <v>23</v>
      </c>
      <c r="B24" s="62">
        <f>VLOOKUP(A24,'Dataset-1'!A25:M635,2,)</f>
        <v>40544</v>
      </c>
      <c r="C24" s="41">
        <f>VLOOKUP(B24,'Dataset-1'!B25:N635,2,)</f>
        <v>1</v>
      </c>
      <c r="D24" s="41">
        <f>VLOOKUP(C24,'Dataset-1'!C25:O635,2,)</f>
        <v>0</v>
      </c>
      <c r="E24" s="41">
        <f>VLOOKUP(D24,'Dataset-1'!D25:P635,2,)</f>
        <v>1</v>
      </c>
      <c r="F24" s="41">
        <f>VLOOKUP(E24,'Dataset-1'!E25:Q635,2,)</f>
        <v>22</v>
      </c>
      <c r="G24" s="71" t="str">
        <f>VLOOKUP(F24,'Dataset-1'!F25:R635,2,)</f>
        <v>Night</v>
      </c>
      <c r="H24" s="41" t="b">
        <f>VLOOKUP(G24,'Dataset-1'!G25:S635,2,)</f>
        <v>0</v>
      </c>
      <c r="I24" s="41">
        <f>VLOOKUP(H24,'Dataset-1'!H25:T635,2,)</f>
        <v>6</v>
      </c>
      <c r="J24" s="71" t="str">
        <f>VLOOKUP(I24,'Dataset-1'!I25:U635,2,)</f>
        <v>Friday</v>
      </c>
      <c r="K24" s="41">
        <f>VLOOKUP(J24,'Dataset-1'!J25:V635,2,)</f>
        <v>2</v>
      </c>
      <c r="L24" s="41">
        <f>VLOOKUP(K24,'Dataset-1'!K25:W635,2,)</f>
        <v>0.4</v>
      </c>
      <c r="M24" s="71" t="str">
        <f>VLOOKUP(L24,'Dataset-1'!L25:X635,2,)</f>
        <v>Sunny</v>
      </c>
      <c r="N24" s="41">
        <f>VLOOKUP(A24,'Dataset-2'!B25:H635,2,)</f>
        <v>0.40910000000000002</v>
      </c>
      <c r="O24" s="41">
        <f>VLOOKUP(N24,'Dataset-2'!C25:I635,2,)</f>
        <v>0.94</v>
      </c>
      <c r="P24" s="41">
        <f>VLOOKUP(O24,'Dataset-2'!D25:J635,2,)</f>
        <v>0.22389999999999999</v>
      </c>
      <c r="Q24" s="41">
        <f>VLOOKUP(P24,'Dataset-2'!E25:K635,2,)</f>
        <v>11</v>
      </c>
      <c r="R24" s="41">
        <f>VLOOKUP(Q24,'Dataset-2'!F25:L635,2,)</f>
        <v>17</v>
      </c>
      <c r="S24" s="41">
        <f>VLOOKUP(R24,'Dataset-2'!G25:M635,2,)</f>
        <v>28</v>
      </c>
    </row>
    <row r="25" spans="1:19" x14ac:dyDescent="0.35">
      <c r="A25" s="40">
        <v>24</v>
      </c>
      <c r="B25" s="62">
        <f>VLOOKUP(A25,'Dataset-1'!A26:M636,2,)</f>
        <v>40544</v>
      </c>
      <c r="C25" s="41">
        <f>VLOOKUP(B25,'Dataset-1'!B26:N636,2,)</f>
        <v>1</v>
      </c>
      <c r="D25" s="41">
        <f>VLOOKUP(C25,'Dataset-1'!C26:O636,2,)</f>
        <v>0</v>
      </c>
      <c r="E25" s="41">
        <f>VLOOKUP(D25,'Dataset-1'!D26:P636,2,)</f>
        <v>1</v>
      </c>
      <c r="F25" s="41">
        <f>VLOOKUP(E25,'Dataset-1'!E26:Q636,2,)</f>
        <v>23</v>
      </c>
      <c r="G25" s="71" t="str">
        <f>VLOOKUP(F25,'Dataset-1'!F26:R636,2,)</f>
        <v>Night</v>
      </c>
      <c r="H25" s="41" t="b">
        <f>VLOOKUP(G25,'Dataset-1'!G26:S636,2,)</f>
        <v>0</v>
      </c>
      <c r="I25" s="41">
        <f>VLOOKUP(H25,'Dataset-1'!H26:T636,2,)</f>
        <v>6</v>
      </c>
      <c r="J25" s="71" t="str">
        <f>VLOOKUP(I25,'Dataset-1'!I26:U636,2,)</f>
        <v>Friday</v>
      </c>
      <c r="K25" s="41">
        <f>VLOOKUP(J25,'Dataset-1'!J26:V636,2,)</f>
        <v>2</v>
      </c>
      <c r="L25" s="41">
        <f>VLOOKUP(K25,'Dataset-1'!K26:W636,2,)</f>
        <v>0.46</v>
      </c>
      <c r="M25" s="71" t="str">
        <f>VLOOKUP(L25,'Dataset-1'!L26:X636,2,)</f>
        <v>Sunny</v>
      </c>
      <c r="N25" s="41">
        <f>VLOOKUP(A25,'Dataset-2'!B26:H636,2,)</f>
        <v>0.43180000000000002</v>
      </c>
      <c r="O25" s="41">
        <f>VLOOKUP(N25,'Dataset-2'!C26:I636,2,)</f>
        <v>0.88</v>
      </c>
      <c r="P25" s="41">
        <f>VLOOKUP(O25,'Dataset-2'!D26:J636,2,)</f>
        <v>0.29849999999999999</v>
      </c>
      <c r="Q25" s="41">
        <f>VLOOKUP(P25,'Dataset-2'!E26:K636,2,)</f>
        <v>15</v>
      </c>
      <c r="R25" s="41">
        <f>VLOOKUP(Q25,'Dataset-2'!F26:L636,2,)</f>
        <v>24</v>
      </c>
      <c r="S25" s="41">
        <f>VLOOKUP(R25,'Dataset-2'!G26:M636,2,)</f>
        <v>39</v>
      </c>
    </row>
    <row r="26" spans="1:19" x14ac:dyDescent="0.35">
      <c r="A26" s="40">
        <v>25</v>
      </c>
      <c r="B26" s="62">
        <f>VLOOKUP(A26,'Dataset-1'!A27:M637,2,)</f>
        <v>40545</v>
      </c>
      <c r="C26" s="41">
        <f>VLOOKUP(B26,'Dataset-1'!B27:N637,2,)</f>
        <v>1</v>
      </c>
      <c r="D26" s="41">
        <f>VLOOKUP(C26,'Dataset-1'!C27:O637,2,)</f>
        <v>0</v>
      </c>
      <c r="E26" s="41">
        <f>VLOOKUP(D26,'Dataset-1'!D27:P637,2,)</f>
        <v>1</v>
      </c>
      <c r="F26" s="41">
        <f>VLOOKUP(E26,'Dataset-1'!E27:Q637,2,)</f>
        <v>0</v>
      </c>
      <c r="G26" s="71" t="str">
        <f>VLOOKUP(F26,'Dataset-1'!F27:R637,2,)</f>
        <v>Night</v>
      </c>
      <c r="H26" s="41" t="b">
        <f>VLOOKUP(G26,'Dataset-1'!G27:S637,2,)</f>
        <v>0</v>
      </c>
      <c r="I26" s="41">
        <f>VLOOKUP(H26,'Dataset-1'!H27:T637,2,)</f>
        <v>0</v>
      </c>
      <c r="J26" s="71" t="str">
        <f>VLOOKUP(I26,'Dataset-1'!I27:U637,2,)</f>
        <v>Saturday</v>
      </c>
      <c r="K26" s="41">
        <f>VLOOKUP(J26,'Dataset-1'!J27:V637,2,)</f>
        <v>2</v>
      </c>
      <c r="L26" s="41">
        <f>VLOOKUP(K26,'Dataset-1'!K27:W637,2,)</f>
        <v>0.46</v>
      </c>
      <c r="M26" s="71" t="str">
        <f>VLOOKUP(L26,'Dataset-1'!L27:X637,2,)</f>
        <v>Sunny</v>
      </c>
      <c r="N26" s="41">
        <f>VLOOKUP(A26,'Dataset-2'!B27:H637,2,)</f>
        <v>0.45450000000000002</v>
      </c>
      <c r="O26" s="41">
        <f>VLOOKUP(N26,'Dataset-2'!C27:I637,2,)</f>
        <v>0.88</v>
      </c>
      <c r="P26" s="41">
        <f>VLOOKUP(O26,'Dataset-2'!D27:J637,2,)</f>
        <v>0.29849999999999999</v>
      </c>
      <c r="Q26" s="41">
        <f>VLOOKUP(P26,'Dataset-2'!E27:K637,2,)</f>
        <v>4</v>
      </c>
      <c r="R26" s="41">
        <f>VLOOKUP(Q26,'Dataset-2'!F27:L637,2,)</f>
        <v>13</v>
      </c>
      <c r="S26" s="41">
        <f>VLOOKUP(R26,'Dataset-2'!G27:M637,2,)</f>
        <v>17</v>
      </c>
    </row>
    <row r="27" spans="1:19" x14ac:dyDescent="0.35">
      <c r="A27" s="40">
        <v>26</v>
      </c>
      <c r="B27" s="62">
        <f>VLOOKUP(A27,'Dataset-1'!A28:M638,2,)</f>
        <v>40545</v>
      </c>
      <c r="C27" s="41">
        <f>VLOOKUP(B27,'Dataset-1'!B28:N638,2,)</f>
        <v>1</v>
      </c>
      <c r="D27" s="41">
        <f>VLOOKUP(C27,'Dataset-1'!C28:O638,2,)</f>
        <v>0</v>
      </c>
      <c r="E27" s="41">
        <f>VLOOKUP(D27,'Dataset-1'!D28:P638,2,)</f>
        <v>1</v>
      </c>
      <c r="F27" s="41">
        <f>VLOOKUP(E27,'Dataset-1'!E28:Q638,2,)</f>
        <v>1</v>
      </c>
      <c r="G27" s="71" t="str">
        <f>VLOOKUP(F27,'Dataset-1'!F28:R638,2,)</f>
        <v>Night</v>
      </c>
      <c r="H27" s="41" t="b">
        <f>VLOOKUP(G27,'Dataset-1'!G28:S638,2,)</f>
        <v>0</v>
      </c>
      <c r="I27" s="41">
        <f>VLOOKUP(H27,'Dataset-1'!H28:T638,2,)</f>
        <v>0</v>
      </c>
      <c r="J27" s="71" t="str">
        <f>VLOOKUP(I27,'Dataset-1'!I28:U638,2,)</f>
        <v>Saturday</v>
      </c>
      <c r="K27" s="41">
        <f>VLOOKUP(J27,'Dataset-1'!J28:V638,2,)</f>
        <v>2</v>
      </c>
      <c r="L27" s="41">
        <f>VLOOKUP(K27,'Dataset-1'!K28:W638,2,)</f>
        <v>0.44</v>
      </c>
      <c r="M27" s="71" t="str">
        <f>VLOOKUP(L27,'Dataset-1'!L28:X638,2,)</f>
        <v>Sunny</v>
      </c>
      <c r="N27" s="41">
        <f>VLOOKUP(A27,'Dataset-2'!B28:H638,2,)</f>
        <v>0.43940000000000001</v>
      </c>
      <c r="O27" s="41">
        <f>VLOOKUP(N27,'Dataset-2'!C28:I638,2,)</f>
        <v>0.94</v>
      </c>
      <c r="P27" s="41">
        <f>VLOOKUP(O27,'Dataset-2'!D28:J638,2,)</f>
        <v>0.25369999999999998</v>
      </c>
      <c r="Q27" s="41">
        <f>VLOOKUP(P27,'Dataset-2'!E28:K638,2,)</f>
        <v>1</v>
      </c>
      <c r="R27" s="41">
        <f>VLOOKUP(Q27,'Dataset-2'!F28:L638,2,)</f>
        <v>16</v>
      </c>
      <c r="S27" s="41">
        <f>VLOOKUP(R27,'Dataset-2'!G28:M638,2,)</f>
        <v>17</v>
      </c>
    </row>
    <row r="28" spans="1:19" x14ac:dyDescent="0.35">
      <c r="A28" s="40">
        <v>27</v>
      </c>
      <c r="B28" s="62">
        <f>VLOOKUP(A28,'Dataset-1'!A29:M639,2,)</f>
        <v>40545</v>
      </c>
      <c r="C28" s="41">
        <f>VLOOKUP(B28,'Dataset-1'!B29:N639,2,)</f>
        <v>1</v>
      </c>
      <c r="D28" s="41">
        <f>VLOOKUP(C28,'Dataset-1'!C29:O639,2,)</f>
        <v>0</v>
      </c>
      <c r="E28" s="41">
        <f>VLOOKUP(D28,'Dataset-1'!D29:P639,2,)</f>
        <v>1</v>
      </c>
      <c r="F28" s="41">
        <f>VLOOKUP(E28,'Dataset-1'!E29:Q639,2,)</f>
        <v>2</v>
      </c>
      <c r="G28" s="71" t="str">
        <f>VLOOKUP(F28,'Dataset-1'!F29:R639,2,)</f>
        <v>Night</v>
      </c>
      <c r="H28" s="41" t="b">
        <f>VLOOKUP(G28,'Dataset-1'!G29:S639,2,)</f>
        <v>0</v>
      </c>
      <c r="I28" s="41">
        <f>VLOOKUP(H28,'Dataset-1'!H29:T639,2,)</f>
        <v>0</v>
      </c>
      <c r="J28" s="71" t="str">
        <f>VLOOKUP(I28,'Dataset-1'!I29:U639,2,)</f>
        <v>Saturday</v>
      </c>
      <c r="K28" s="41">
        <f>VLOOKUP(J28,'Dataset-1'!J29:V639,2,)</f>
        <v>2</v>
      </c>
      <c r="L28" s="41">
        <f>VLOOKUP(K28,'Dataset-1'!K29:W639,2,)</f>
        <v>0.42</v>
      </c>
      <c r="M28" s="71" t="str">
        <f>VLOOKUP(L28,'Dataset-1'!L29:X639,2,)</f>
        <v>Sunny</v>
      </c>
      <c r="N28" s="41">
        <f>VLOOKUP(A28,'Dataset-2'!B29:H639,2,)</f>
        <v>0.42420000000000002</v>
      </c>
      <c r="O28" s="41">
        <f>VLOOKUP(N28,'Dataset-2'!C29:I639,2,)</f>
        <v>1</v>
      </c>
      <c r="P28" s="41">
        <f>VLOOKUP(O28,'Dataset-2'!D29:J639,2,)</f>
        <v>0.28360000000000002</v>
      </c>
      <c r="Q28" s="41">
        <f>VLOOKUP(P28,'Dataset-2'!E29:K639,2,)</f>
        <v>1</v>
      </c>
      <c r="R28" s="41">
        <f>VLOOKUP(Q28,'Dataset-2'!F29:L639,2,)</f>
        <v>8</v>
      </c>
      <c r="S28" s="41">
        <f>VLOOKUP(R28,'Dataset-2'!G29:M639,2,)</f>
        <v>9</v>
      </c>
    </row>
    <row r="29" spans="1:19" x14ac:dyDescent="0.35">
      <c r="A29" s="40">
        <v>28</v>
      </c>
      <c r="B29" s="62">
        <f>VLOOKUP(A29,'Dataset-1'!A30:M640,2,)</f>
        <v>40545</v>
      </c>
      <c r="C29" s="41">
        <f>VLOOKUP(B29,'Dataset-1'!B30:N640,2,)</f>
        <v>1</v>
      </c>
      <c r="D29" s="41">
        <f>VLOOKUP(C29,'Dataset-1'!C30:O640,2,)</f>
        <v>0</v>
      </c>
      <c r="E29" s="41">
        <f>VLOOKUP(D29,'Dataset-1'!D30:P640,2,)</f>
        <v>1</v>
      </c>
      <c r="F29" s="41">
        <f>VLOOKUP(E29,'Dataset-1'!E30:Q640,2,)</f>
        <v>3</v>
      </c>
      <c r="G29" s="71" t="str">
        <f>VLOOKUP(F29,'Dataset-1'!F30:R640,2,)</f>
        <v>Night</v>
      </c>
      <c r="H29" s="41" t="b">
        <f>VLOOKUP(G29,'Dataset-1'!G30:S640,2,)</f>
        <v>0</v>
      </c>
      <c r="I29" s="41">
        <f>VLOOKUP(H29,'Dataset-1'!H30:T640,2,)</f>
        <v>0</v>
      </c>
      <c r="J29" s="71" t="str">
        <f>VLOOKUP(I29,'Dataset-1'!I30:U640,2,)</f>
        <v>Saturday</v>
      </c>
      <c r="K29" s="41">
        <f>VLOOKUP(J29,'Dataset-1'!J30:V640,2,)</f>
        <v>2</v>
      </c>
      <c r="L29" s="41">
        <f>VLOOKUP(K29,'Dataset-1'!K30:W640,2,)</f>
        <v>0.46</v>
      </c>
      <c r="M29" s="71" t="str">
        <f>VLOOKUP(L29,'Dataset-1'!L30:X640,2,)</f>
        <v>Sunny</v>
      </c>
      <c r="N29" s="41">
        <f>VLOOKUP(A29,'Dataset-2'!B30:H640,2,)</f>
        <v>0.45450000000000002</v>
      </c>
      <c r="O29" s="41">
        <f>VLOOKUP(N29,'Dataset-2'!C30:I640,2,)</f>
        <v>0.94</v>
      </c>
      <c r="P29" s="41">
        <f>VLOOKUP(O29,'Dataset-2'!D30:J640,2,)</f>
        <v>0.19400000000000001</v>
      </c>
      <c r="Q29" s="41">
        <f>VLOOKUP(P29,'Dataset-2'!E30:K640,2,)</f>
        <v>2</v>
      </c>
      <c r="R29" s="41">
        <f>VLOOKUP(Q29,'Dataset-2'!F30:L640,2,)</f>
        <v>4</v>
      </c>
      <c r="S29" s="41">
        <f>VLOOKUP(R29,'Dataset-2'!G30:M640,2,)</f>
        <v>6</v>
      </c>
    </row>
    <row r="30" spans="1:19" x14ac:dyDescent="0.35">
      <c r="A30" s="40">
        <v>29</v>
      </c>
      <c r="B30" s="62">
        <f>VLOOKUP(A30,'Dataset-1'!A31:M641,2,)</f>
        <v>40545</v>
      </c>
      <c r="C30" s="41">
        <f>VLOOKUP(B30,'Dataset-1'!B31:N641,2,)</f>
        <v>1</v>
      </c>
      <c r="D30" s="41">
        <f>VLOOKUP(C30,'Dataset-1'!C31:O641,2,)</f>
        <v>0</v>
      </c>
      <c r="E30" s="41">
        <f>VLOOKUP(D30,'Dataset-1'!D31:P641,2,)</f>
        <v>1</v>
      </c>
      <c r="F30" s="41">
        <f>VLOOKUP(E30,'Dataset-1'!E31:Q641,2,)</f>
        <v>4</v>
      </c>
      <c r="G30" s="71" t="str">
        <f>VLOOKUP(F30,'Dataset-1'!F31:R641,2,)</f>
        <v>Night</v>
      </c>
      <c r="H30" s="41" t="b">
        <f>VLOOKUP(G30,'Dataset-1'!G31:S641,2,)</f>
        <v>0</v>
      </c>
      <c r="I30" s="41">
        <f>VLOOKUP(H30,'Dataset-1'!H31:T641,2,)</f>
        <v>0</v>
      </c>
      <c r="J30" s="71" t="str">
        <f>VLOOKUP(I30,'Dataset-1'!I31:U641,2,)</f>
        <v>Saturday</v>
      </c>
      <c r="K30" s="41">
        <f>VLOOKUP(J30,'Dataset-1'!J31:V641,2,)</f>
        <v>2</v>
      </c>
      <c r="L30" s="41">
        <f>VLOOKUP(K30,'Dataset-1'!K31:W641,2,)</f>
        <v>0.46</v>
      </c>
      <c r="M30" s="71" t="str">
        <f>VLOOKUP(L30,'Dataset-1'!L31:X641,2,)</f>
        <v>Sunny</v>
      </c>
      <c r="N30" s="41">
        <f>VLOOKUP(A30,'Dataset-2'!B31:H641,2,)</f>
        <v>0.43935000000000002</v>
      </c>
      <c r="O30" s="41">
        <f>VLOOKUP(N30,'Dataset-2'!C31:I641,2,)</f>
        <v>0.94</v>
      </c>
      <c r="P30" s="41">
        <f>VLOOKUP(O30,'Dataset-2'!D31:J641,2,)</f>
        <v>0.19400000000000001</v>
      </c>
      <c r="Q30" s="41">
        <f>VLOOKUP(P30,'Dataset-2'!E31:K641,2,)</f>
        <v>2</v>
      </c>
      <c r="R30" s="41">
        <f>VLOOKUP(Q30,'Dataset-2'!F31:L641,2,)</f>
        <v>1</v>
      </c>
      <c r="S30" s="41">
        <f>VLOOKUP(R30,'Dataset-2'!G31:M641,2,)</f>
        <v>3</v>
      </c>
    </row>
    <row r="31" spans="1:19" x14ac:dyDescent="0.35">
      <c r="A31" s="40">
        <v>30</v>
      </c>
      <c r="B31" s="62">
        <f>VLOOKUP(A31,'Dataset-1'!A32:M642,2,)</f>
        <v>40545</v>
      </c>
      <c r="C31" s="41">
        <f>VLOOKUP(B31,'Dataset-1'!B32:N642,2,)</f>
        <v>1</v>
      </c>
      <c r="D31" s="41">
        <f>VLOOKUP(C31,'Dataset-1'!C32:O642,2,)</f>
        <v>0</v>
      </c>
      <c r="E31" s="41">
        <f>VLOOKUP(D31,'Dataset-1'!D32:P642,2,)</f>
        <v>1</v>
      </c>
      <c r="F31" s="41">
        <f>VLOOKUP(E31,'Dataset-1'!E32:Q642,2,)</f>
        <v>6</v>
      </c>
      <c r="G31" s="71" t="str">
        <f>VLOOKUP(F31,'Dataset-1'!F32:R642,2,)</f>
        <v>Morning</v>
      </c>
      <c r="H31" s="41" t="b">
        <f>VLOOKUP(G31,'Dataset-1'!G32:S642,2,)</f>
        <v>0</v>
      </c>
      <c r="I31" s="41">
        <f>VLOOKUP(H31,'Dataset-1'!H32:T642,2,)</f>
        <v>0</v>
      </c>
      <c r="J31" s="71" t="str">
        <f>VLOOKUP(I31,'Dataset-1'!I32:U642,2,)</f>
        <v>Saturday</v>
      </c>
      <c r="K31" s="41">
        <f>VLOOKUP(J31,'Dataset-1'!J32:V642,2,)</f>
        <v>3</v>
      </c>
      <c r="L31" s="41">
        <f>VLOOKUP(K31,'Dataset-1'!K32:W642,2,)</f>
        <v>0.42</v>
      </c>
      <c r="M31" s="71" t="str">
        <f>VLOOKUP(L31,'Dataset-1'!L32:X642,2,)</f>
        <v>Sunny</v>
      </c>
      <c r="N31" s="41">
        <f>VLOOKUP(A31,'Dataset-2'!B32:H642,2,)</f>
        <v>0.42420000000000002</v>
      </c>
      <c r="O31" s="41">
        <f>VLOOKUP(N31,'Dataset-2'!C32:I642,2,)</f>
        <v>0.77</v>
      </c>
      <c r="P31" s="41">
        <f>VLOOKUP(O31,'Dataset-2'!D32:J642,2,)</f>
        <v>0.29849999999999999</v>
      </c>
      <c r="Q31" s="41">
        <f>VLOOKUP(P31,'Dataset-2'!E32:K642,2,)</f>
        <v>0</v>
      </c>
      <c r="R31" s="41">
        <f>VLOOKUP(Q31,'Dataset-2'!F32:L642,2,)</f>
        <v>2</v>
      </c>
      <c r="S31" s="41">
        <f>VLOOKUP(R31,'Dataset-2'!G32:M642,2,)</f>
        <v>2</v>
      </c>
    </row>
    <row r="32" spans="1:19" x14ac:dyDescent="0.35">
      <c r="A32" s="40">
        <v>31</v>
      </c>
      <c r="B32" s="62">
        <f>VLOOKUP(A32,'Dataset-1'!A33:M643,2,)</f>
        <v>40545</v>
      </c>
      <c r="C32" s="41">
        <f>VLOOKUP(B32,'Dataset-1'!B33:N643,2,)</f>
        <v>1</v>
      </c>
      <c r="D32" s="41">
        <f>VLOOKUP(C32,'Dataset-1'!C33:O643,2,)</f>
        <v>0</v>
      </c>
      <c r="E32" s="41">
        <f>VLOOKUP(D32,'Dataset-1'!D33:P643,2,)</f>
        <v>1</v>
      </c>
      <c r="F32" s="41">
        <f>VLOOKUP(E32,'Dataset-1'!E33:Q643,2,)</f>
        <v>7</v>
      </c>
      <c r="G32" s="71" t="str">
        <f>VLOOKUP(F32,'Dataset-1'!F33:R643,2,)</f>
        <v>Morning</v>
      </c>
      <c r="H32" s="41" t="b">
        <f>VLOOKUP(G32,'Dataset-1'!G33:S643,2,)</f>
        <v>0</v>
      </c>
      <c r="I32" s="41">
        <f>VLOOKUP(H32,'Dataset-1'!H33:T643,2,)</f>
        <v>0</v>
      </c>
      <c r="J32" s="71" t="str">
        <f>VLOOKUP(I32,'Dataset-1'!I33:U643,2,)</f>
        <v>Saturday</v>
      </c>
      <c r="K32" s="41">
        <f>VLOOKUP(J32,'Dataset-1'!J33:V643,2,)</f>
        <v>2</v>
      </c>
      <c r="L32" s="41">
        <f>VLOOKUP(K32,'Dataset-1'!K33:W643,2,)</f>
        <v>0.4</v>
      </c>
      <c r="M32" s="71" t="str">
        <f>VLOOKUP(L32,'Dataset-1'!L33:X643,2,)</f>
        <v>Sunny</v>
      </c>
      <c r="N32" s="41">
        <f>VLOOKUP(A32,'Dataset-2'!B33:H643,2,)</f>
        <v>0.40910000000000002</v>
      </c>
      <c r="O32" s="41">
        <f>VLOOKUP(N32,'Dataset-2'!C33:I643,2,)</f>
        <v>0.76</v>
      </c>
      <c r="P32" s="41">
        <f>VLOOKUP(O32,'Dataset-2'!D33:J643,2,)</f>
        <v>0.19400000000000001</v>
      </c>
      <c r="Q32" s="41">
        <f>VLOOKUP(P32,'Dataset-2'!E33:K643,2,)</f>
        <v>0</v>
      </c>
      <c r="R32" s="41">
        <f>VLOOKUP(Q32,'Dataset-2'!F33:L643,2,)</f>
        <v>1</v>
      </c>
      <c r="S32" s="41">
        <f>VLOOKUP(R32,'Dataset-2'!G33:M643,2,)</f>
        <v>1</v>
      </c>
    </row>
    <row r="33" spans="1:19" x14ac:dyDescent="0.35">
      <c r="A33" s="40">
        <v>32</v>
      </c>
      <c r="B33" s="62">
        <f>VLOOKUP(A33,'Dataset-1'!A34:M644,2,)</f>
        <v>40545</v>
      </c>
      <c r="C33" s="41">
        <f>VLOOKUP(B33,'Dataset-1'!B34:N644,2,)</f>
        <v>1</v>
      </c>
      <c r="D33" s="41">
        <f>VLOOKUP(C33,'Dataset-1'!C34:O644,2,)</f>
        <v>0</v>
      </c>
      <c r="E33" s="41">
        <f>VLOOKUP(D33,'Dataset-1'!D34:P644,2,)</f>
        <v>1</v>
      </c>
      <c r="F33" s="41">
        <f>VLOOKUP(E33,'Dataset-1'!E34:Q644,2,)</f>
        <v>8</v>
      </c>
      <c r="G33" s="71" t="str">
        <f>VLOOKUP(F33,'Dataset-1'!F34:R644,2,)</f>
        <v>Morning</v>
      </c>
      <c r="H33" s="41" t="b">
        <f>VLOOKUP(G33,'Dataset-1'!G34:S644,2,)</f>
        <v>0</v>
      </c>
      <c r="I33" s="41">
        <f>VLOOKUP(H33,'Dataset-1'!H34:T644,2,)</f>
        <v>0</v>
      </c>
      <c r="J33" s="71" t="str">
        <f>VLOOKUP(I33,'Dataset-1'!I34:U644,2,)</f>
        <v>Saturday</v>
      </c>
      <c r="K33" s="41">
        <f>VLOOKUP(J33,'Dataset-1'!J34:V644,2,)</f>
        <v>3</v>
      </c>
      <c r="L33" s="41">
        <f>VLOOKUP(K33,'Dataset-1'!K34:W644,2,)</f>
        <v>0.4</v>
      </c>
      <c r="M33" s="71" t="str">
        <f>VLOOKUP(L33,'Dataset-1'!L34:X644,2,)</f>
        <v>Sunny</v>
      </c>
      <c r="N33" s="41">
        <f>VLOOKUP(A33,'Dataset-2'!B34:H644,2,)</f>
        <v>0.40910000000000002</v>
      </c>
      <c r="O33" s="41">
        <f>VLOOKUP(N33,'Dataset-2'!C34:I644,2,)</f>
        <v>0.71</v>
      </c>
      <c r="P33" s="41">
        <f>VLOOKUP(O33,'Dataset-2'!D34:J644,2,)</f>
        <v>0.22389999999999999</v>
      </c>
      <c r="Q33" s="41">
        <f>VLOOKUP(P33,'Dataset-2'!E34:K644,2,)</f>
        <v>0</v>
      </c>
      <c r="R33" s="41">
        <f>VLOOKUP(Q33,'Dataset-2'!F34:L644,2,)</f>
        <v>8</v>
      </c>
      <c r="S33" s="41">
        <f>VLOOKUP(R33,'Dataset-2'!G34:M644,2,)</f>
        <v>8</v>
      </c>
    </row>
    <row r="34" spans="1:19" x14ac:dyDescent="0.35">
      <c r="A34" s="40">
        <v>33</v>
      </c>
      <c r="B34" s="62">
        <f>VLOOKUP(A34,'Dataset-1'!A35:M645,2,)</f>
        <v>40545</v>
      </c>
      <c r="C34" s="41">
        <f>VLOOKUP(B34,'Dataset-1'!B35:N645,2,)</f>
        <v>1</v>
      </c>
      <c r="D34" s="41">
        <f>VLOOKUP(C34,'Dataset-1'!C35:O645,2,)</f>
        <v>0</v>
      </c>
      <c r="E34" s="41">
        <f>VLOOKUP(D34,'Dataset-1'!D35:P645,2,)</f>
        <v>1</v>
      </c>
      <c r="F34" s="41">
        <f>VLOOKUP(E34,'Dataset-1'!E35:Q645,2,)</f>
        <v>9</v>
      </c>
      <c r="G34" s="71" t="str">
        <f>VLOOKUP(F34,'Dataset-1'!F35:R645,2,)</f>
        <v>Morning</v>
      </c>
      <c r="H34" s="41" t="b">
        <f>VLOOKUP(G34,'Dataset-1'!G35:S645,2,)</f>
        <v>0</v>
      </c>
      <c r="I34" s="41">
        <f>VLOOKUP(H34,'Dataset-1'!H35:T645,2,)</f>
        <v>0</v>
      </c>
      <c r="J34" s="71" t="str">
        <f>VLOOKUP(I34,'Dataset-1'!I35:U645,2,)</f>
        <v>Saturday</v>
      </c>
      <c r="K34" s="41">
        <f>VLOOKUP(J34,'Dataset-1'!J35:V645,2,)</f>
        <v>2</v>
      </c>
      <c r="L34" s="41">
        <f>VLOOKUP(K34,'Dataset-1'!K35:W645,2,)</f>
        <v>0.38</v>
      </c>
      <c r="M34" s="71" t="str">
        <f>VLOOKUP(L34,'Dataset-1'!L35:X645,2,)</f>
        <v>Sunny</v>
      </c>
      <c r="N34" s="41">
        <f>VLOOKUP(A34,'Dataset-2'!B35:H645,2,)</f>
        <v>0.37880000000000003</v>
      </c>
      <c r="O34" s="41">
        <f>VLOOKUP(N34,'Dataset-2'!C35:I645,2,)</f>
        <v>0.76</v>
      </c>
      <c r="P34" s="41">
        <f>VLOOKUP(O34,'Dataset-2'!D35:J645,2,)</f>
        <v>0.22389999999999999</v>
      </c>
      <c r="Q34" s="41">
        <f>VLOOKUP(P34,'Dataset-2'!E35:K645,2,)</f>
        <v>1</v>
      </c>
      <c r="R34" s="41">
        <f>VLOOKUP(Q34,'Dataset-2'!F35:L645,2,)</f>
        <v>19</v>
      </c>
      <c r="S34" s="41">
        <f>VLOOKUP(R34,'Dataset-2'!G35:M645,2,)</f>
        <v>20</v>
      </c>
    </row>
    <row r="35" spans="1:19" x14ac:dyDescent="0.35">
      <c r="A35" s="40">
        <v>34</v>
      </c>
      <c r="B35" s="62">
        <f>VLOOKUP(A35,'Dataset-1'!A36:M646,2,)</f>
        <v>40545</v>
      </c>
      <c r="C35" s="41">
        <f>VLOOKUP(B35,'Dataset-1'!B36:N646,2,)</f>
        <v>1</v>
      </c>
      <c r="D35" s="41">
        <f>VLOOKUP(C35,'Dataset-1'!C36:O646,2,)</f>
        <v>0</v>
      </c>
      <c r="E35" s="41">
        <f>VLOOKUP(D35,'Dataset-1'!D36:P646,2,)</f>
        <v>1</v>
      </c>
      <c r="F35" s="41">
        <f>VLOOKUP(E35,'Dataset-1'!E36:Q646,2,)</f>
        <v>10</v>
      </c>
      <c r="G35" s="71" t="str">
        <f>VLOOKUP(F35,'Dataset-1'!F36:R646,2,)</f>
        <v>Morning</v>
      </c>
      <c r="H35" s="41" t="b">
        <f>VLOOKUP(G35,'Dataset-1'!G36:S646,2,)</f>
        <v>0</v>
      </c>
      <c r="I35" s="41">
        <f>VLOOKUP(H35,'Dataset-1'!H36:T646,2,)</f>
        <v>0</v>
      </c>
      <c r="J35" s="71" t="str">
        <f>VLOOKUP(I35,'Dataset-1'!I36:U646,2,)</f>
        <v>Saturday</v>
      </c>
      <c r="K35" s="41">
        <f>VLOOKUP(J35,'Dataset-1'!J36:V646,2,)</f>
        <v>2</v>
      </c>
      <c r="L35" s="41">
        <f>VLOOKUP(K35,'Dataset-1'!K36:W646,2,)</f>
        <v>0.36</v>
      </c>
      <c r="M35" s="71" t="str">
        <f>VLOOKUP(L35,'Dataset-1'!L36:X646,2,)</f>
        <v>Sunny</v>
      </c>
      <c r="N35" s="41">
        <f>VLOOKUP(A35,'Dataset-2'!B36:H646,2,)</f>
        <v>0.34849999999999998</v>
      </c>
      <c r="O35" s="41">
        <f>VLOOKUP(N35,'Dataset-2'!C36:I646,2,)</f>
        <v>0.81</v>
      </c>
      <c r="P35" s="41">
        <f>VLOOKUP(O35,'Dataset-2'!D36:J646,2,)</f>
        <v>0.22389999999999999</v>
      </c>
      <c r="Q35" s="41">
        <f>VLOOKUP(P35,'Dataset-2'!E36:K646,2,)</f>
        <v>7</v>
      </c>
      <c r="R35" s="41">
        <f>VLOOKUP(Q35,'Dataset-2'!F36:L646,2,)</f>
        <v>46</v>
      </c>
      <c r="S35" s="41">
        <f>VLOOKUP(R35,'Dataset-2'!G36:M646,2,)</f>
        <v>53</v>
      </c>
    </row>
    <row r="36" spans="1:19" x14ac:dyDescent="0.35">
      <c r="A36" s="40">
        <v>35</v>
      </c>
      <c r="B36" s="62">
        <f>VLOOKUP(A36,'Dataset-1'!A37:M647,2,)</f>
        <v>40545</v>
      </c>
      <c r="C36" s="41">
        <f>VLOOKUP(B36,'Dataset-1'!B37:N647,2,)</f>
        <v>1</v>
      </c>
      <c r="D36" s="41">
        <f>VLOOKUP(C36,'Dataset-1'!C37:O647,2,)</f>
        <v>0</v>
      </c>
      <c r="E36" s="41">
        <f>VLOOKUP(D36,'Dataset-1'!D37:P647,2,)</f>
        <v>1</v>
      </c>
      <c r="F36" s="41">
        <f>VLOOKUP(E36,'Dataset-1'!E37:Q647,2,)</f>
        <v>11</v>
      </c>
      <c r="G36" s="71" t="str">
        <f>VLOOKUP(F36,'Dataset-1'!F37:R647,2,)</f>
        <v>Morning</v>
      </c>
      <c r="H36" s="41" t="b">
        <f>VLOOKUP(G36,'Dataset-1'!G37:S647,2,)</f>
        <v>0</v>
      </c>
      <c r="I36" s="41">
        <f>VLOOKUP(H36,'Dataset-1'!H37:T647,2,)</f>
        <v>0</v>
      </c>
      <c r="J36" s="71" t="str">
        <f>VLOOKUP(I36,'Dataset-1'!I37:U647,2,)</f>
        <v>Saturday</v>
      </c>
      <c r="K36" s="41">
        <f>VLOOKUP(J36,'Dataset-1'!J37:V647,2,)</f>
        <v>2</v>
      </c>
      <c r="L36" s="41">
        <f>VLOOKUP(K36,'Dataset-1'!K37:W647,2,)</f>
        <v>0.36</v>
      </c>
      <c r="M36" s="71" t="str">
        <f>VLOOKUP(L36,'Dataset-1'!L37:X647,2,)</f>
        <v>Sunny</v>
      </c>
      <c r="N36" s="41">
        <f>VLOOKUP(A36,'Dataset-2'!B37:H647,2,)</f>
        <v>0.33329999999999999</v>
      </c>
      <c r="O36" s="41">
        <f>VLOOKUP(N36,'Dataset-2'!C37:I647,2,)</f>
        <v>0.71</v>
      </c>
      <c r="P36" s="41">
        <f>VLOOKUP(O36,'Dataset-2'!D37:J647,2,)</f>
        <v>0.25369999999999998</v>
      </c>
      <c r="Q36" s="41">
        <f>VLOOKUP(P36,'Dataset-2'!E37:K647,2,)</f>
        <v>16</v>
      </c>
      <c r="R36" s="41">
        <f>VLOOKUP(Q36,'Dataset-2'!F37:L647,2,)</f>
        <v>54</v>
      </c>
      <c r="S36" s="41">
        <f>VLOOKUP(R36,'Dataset-2'!G37:M647,2,)</f>
        <v>70</v>
      </c>
    </row>
    <row r="37" spans="1:19" x14ac:dyDescent="0.35">
      <c r="A37" s="40">
        <v>36</v>
      </c>
      <c r="B37" s="62">
        <f>VLOOKUP(A37,'Dataset-1'!A38:M648,2,)</f>
        <v>40545</v>
      </c>
      <c r="C37" s="41">
        <f>VLOOKUP(B37,'Dataset-1'!B38:N648,2,)</f>
        <v>1</v>
      </c>
      <c r="D37" s="41">
        <f>VLOOKUP(C37,'Dataset-1'!C38:O648,2,)</f>
        <v>0</v>
      </c>
      <c r="E37" s="41">
        <f>VLOOKUP(D37,'Dataset-1'!D38:P648,2,)</f>
        <v>1</v>
      </c>
      <c r="F37" s="41">
        <f>VLOOKUP(E37,'Dataset-1'!E38:Q648,2,)</f>
        <v>12</v>
      </c>
      <c r="G37" s="71" t="str">
        <f>VLOOKUP(F37,'Dataset-1'!F38:R648,2,)</f>
        <v>AfterNoon</v>
      </c>
      <c r="H37" s="41" t="b">
        <f>VLOOKUP(G37,'Dataset-1'!G38:S648,2,)</f>
        <v>0</v>
      </c>
      <c r="I37" s="41">
        <f>VLOOKUP(H37,'Dataset-1'!H38:T648,2,)</f>
        <v>0</v>
      </c>
      <c r="J37" s="71" t="str">
        <f>VLOOKUP(I37,'Dataset-1'!I38:U648,2,)</f>
        <v>Saturday</v>
      </c>
      <c r="K37" s="41">
        <f>VLOOKUP(J37,'Dataset-1'!J38:V648,2,)</f>
        <v>2</v>
      </c>
      <c r="L37" s="41">
        <f>VLOOKUP(K37,'Dataset-1'!K38:W648,2,)</f>
        <v>0.36</v>
      </c>
      <c r="M37" s="71" t="str">
        <f>VLOOKUP(L37,'Dataset-1'!L38:X648,2,)</f>
        <v>Sunny</v>
      </c>
      <c r="N37" s="41">
        <f>VLOOKUP(A37,'Dataset-2'!B38:H648,2,)</f>
        <v>0.33329999999999999</v>
      </c>
      <c r="O37" s="41">
        <f>VLOOKUP(N37,'Dataset-2'!C38:I648,2,)</f>
        <v>0.66</v>
      </c>
      <c r="P37" s="41">
        <f>VLOOKUP(O37,'Dataset-2'!D38:J648,2,)</f>
        <v>0.29849999999999999</v>
      </c>
      <c r="Q37" s="41">
        <f>VLOOKUP(P37,'Dataset-2'!E38:K648,2,)</f>
        <v>20</v>
      </c>
      <c r="R37" s="41">
        <f>VLOOKUP(Q37,'Dataset-2'!F38:L648,2,)</f>
        <v>73</v>
      </c>
      <c r="S37" s="41">
        <f>VLOOKUP(R37,'Dataset-2'!G38:M648,2,)</f>
        <v>93</v>
      </c>
    </row>
    <row r="38" spans="1:19" x14ac:dyDescent="0.35">
      <c r="A38" s="40">
        <v>37</v>
      </c>
      <c r="B38" s="62">
        <f>VLOOKUP(A38,'Dataset-1'!A39:M649,2,)</f>
        <v>40545</v>
      </c>
      <c r="C38" s="41">
        <f>VLOOKUP(B38,'Dataset-1'!B39:N649,2,)</f>
        <v>1</v>
      </c>
      <c r="D38" s="41">
        <f>VLOOKUP(C38,'Dataset-1'!C39:O649,2,)</f>
        <v>0</v>
      </c>
      <c r="E38" s="41">
        <f>VLOOKUP(D38,'Dataset-1'!D39:P649,2,)</f>
        <v>1</v>
      </c>
      <c r="F38" s="41">
        <f>VLOOKUP(E38,'Dataset-1'!E39:Q649,2,)</f>
        <v>13</v>
      </c>
      <c r="G38" s="71" t="str">
        <f>VLOOKUP(F38,'Dataset-1'!F39:R649,2,)</f>
        <v>AfterNoon</v>
      </c>
      <c r="H38" s="41" t="b">
        <f>VLOOKUP(G38,'Dataset-1'!G39:S649,2,)</f>
        <v>0</v>
      </c>
      <c r="I38" s="41">
        <f>VLOOKUP(H38,'Dataset-1'!H39:T649,2,)</f>
        <v>0</v>
      </c>
      <c r="J38" s="71" t="str">
        <f>VLOOKUP(I38,'Dataset-1'!I39:U649,2,)</f>
        <v>Saturday</v>
      </c>
      <c r="K38" s="41">
        <f>VLOOKUP(J38,'Dataset-1'!J39:V649,2,)</f>
        <v>2</v>
      </c>
      <c r="L38" s="41">
        <f>VLOOKUP(K38,'Dataset-1'!K39:W649,2,)</f>
        <v>0.36</v>
      </c>
      <c r="M38" s="71" t="str">
        <f>VLOOKUP(L38,'Dataset-1'!L39:X649,2,)</f>
        <v>Sunny</v>
      </c>
      <c r="N38" s="41">
        <f>VLOOKUP(A38,'Dataset-2'!B39:H649,2,)</f>
        <v>0.34849999999999998</v>
      </c>
      <c r="O38" s="41">
        <f>VLOOKUP(N38,'Dataset-2'!C39:I649,2,)</f>
        <v>0.66</v>
      </c>
      <c r="P38" s="41">
        <f>VLOOKUP(O38,'Dataset-2'!D39:J649,2,)</f>
        <v>0.1343</v>
      </c>
      <c r="Q38" s="41">
        <f>VLOOKUP(P38,'Dataset-2'!E39:K649,2,)</f>
        <v>11</v>
      </c>
      <c r="R38" s="41">
        <f>VLOOKUP(Q38,'Dataset-2'!F39:L649,2,)</f>
        <v>64</v>
      </c>
      <c r="S38" s="41">
        <f>VLOOKUP(R38,'Dataset-2'!G39:M649,2,)</f>
        <v>75</v>
      </c>
    </row>
    <row r="39" spans="1:19" x14ac:dyDescent="0.35">
      <c r="A39" s="40">
        <v>38</v>
      </c>
      <c r="B39" s="62">
        <f>VLOOKUP(A39,'Dataset-1'!A40:M650,2,)</f>
        <v>40545</v>
      </c>
      <c r="C39" s="41">
        <f>VLOOKUP(B39,'Dataset-1'!B40:N650,2,)</f>
        <v>1</v>
      </c>
      <c r="D39" s="41">
        <f>VLOOKUP(C39,'Dataset-1'!C40:O650,2,)</f>
        <v>0</v>
      </c>
      <c r="E39" s="41">
        <f>VLOOKUP(D39,'Dataset-1'!D40:P650,2,)</f>
        <v>1</v>
      </c>
      <c r="F39" s="41">
        <f>VLOOKUP(E39,'Dataset-1'!E40:Q650,2,)</f>
        <v>14</v>
      </c>
      <c r="G39" s="71" t="str">
        <f>VLOOKUP(F39,'Dataset-1'!F40:R650,2,)</f>
        <v>AfterNoon</v>
      </c>
      <c r="H39" s="41" t="b">
        <f>VLOOKUP(G39,'Dataset-1'!G40:S650,2,)</f>
        <v>0</v>
      </c>
      <c r="I39" s="41">
        <f>VLOOKUP(H39,'Dataset-1'!H40:T650,2,)</f>
        <v>0</v>
      </c>
      <c r="J39" s="71" t="str">
        <f>VLOOKUP(I39,'Dataset-1'!I40:U650,2,)</f>
        <v>Saturday</v>
      </c>
      <c r="K39" s="41">
        <f>VLOOKUP(J39,'Dataset-1'!J40:V650,2,)</f>
        <v>3</v>
      </c>
      <c r="L39" s="41">
        <f>VLOOKUP(K39,'Dataset-1'!K40:W650,2,)</f>
        <v>0.36</v>
      </c>
      <c r="M39" s="71" t="str">
        <f>VLOOKUP(L39,'Dataset-1'!L40:X650,2,)</f>
        <v>Sunny</v>
      </c>
      <c r="N39" s="41">
        <f>VLOOKUP(A39,'Dataset-2'!B40:H650,2,)</f>
        <v>0.34089999999999998</v>
      </c>
      <c r="O39" s="41">
        <f>VLOOKUP(N39,'Dataset-2'!C40:I650,2,)</f>
        <v>0.76</v>
      </c>
      <c r="P39" s="41">
        <f>VLOOKUP(O39,'Dataset-2'!D40:J650,2,)</f>
        <v>0.19400000000000001</v>
      </c>
      <c r="Q39" s="41">
        <f>VLOOKUP(P39,'Dataset-2'!E40:K650,2,)</f>
        <v>4</v>
      </c>
      <c r="R39" s="41">
        <f>VLOOKUP(Q39,'Dataset-2'!F40:L650,2,)</f>
        <v>55</v>
      </c>
      <c r="S39" s="41">
        <f>VLOOKUP(R39,'Dataset-2'!G40:M650,2,)</f>
        <v>59</v>
      </c>
    </row>
    <row r="40" spans="1:19" x14ac:dyDescent="0.35">
      <c r="A40" s="40">
        <v>39</v>
      </c>
      <c r="B40" s="62">
        <f>VLOOKUP(A40,'Dataset-1'!A41:M651,2,)</f>
        <v>40545</v>
      </c>
      <c r="C40" s="41">
        <f>VLOOKUP(B40,'Dataset-1'!B41:N651,2,)</f>
        <v>1</v>
      </c>
      <c r="D40" s="41">
        <f>VLOOKUP(C40,'Dataset-1'!C41:O651,2,)</f>
        <v>0</v>
      </c>
      <c r="E40" s="41">
        <f>VLOOKUP(D40,'Dataset-1'!D41:P651,2,)</f>
        <v>1</v>
      </c>
      <c r="F40" s="41">
        <f>VLOOKUP(E40,'Dataset-1'!E41:Q651,2,)</f>
        <v>15</v>
      </c>
      <c r="G40" s="71" t="str">
        <f>VLOOKUP(F40,'Dataset-1'!F41:R651,2,)</f>
        <v>AfterNoon</v>
      </c>
      <c r="H40" s="41" t="b">
        <f>VLOOKUP(G40,'Dataset-1'!G41:S651,2,)</f>
        <v>0</v>
      </c>
      <c r="I40" s="41">
        <f>VLOOKUP(H40,'Dataset-1'!H41:T651,2,)</f>
        <v>0</v>
      </c>
      <c r="J40" s="71" t="str">
        <f>VLOOKUP(I40,'Dataset-1'!I41:U651,2,)</f>
        <v>Saturday</v>
      </c>
      <c r="K40" s="41">
        <f>VLOOKUP(J40,'Dataset-1'!J41:V651,2,)</f>
        <v>3</v>
      </c>
      <c r="L40" s="41">
        <f>VLOOKUP(K40,'Dataset-1'!K41:W651,2,)</f>
        <v>0.34</v>
      </c>
      <c r="M40" s="71" t="str">
        <f>VLOOKUP(L40,'Dataset-1'!L41:X651,2,)</f>
        <v>Sunny</v>
      </c>
      <c r="N40" s="41">
        <f>VLOOKUP(A40,'Dataset-2'!B41:H651,2,)</f>
        <v>0.33329999999999999</v>
      </c>
      <c r="O40" s="41">
        <f>VLOOKUP(N40,'Dataset-2'!C41:I651,2,)</f>
        <v>0.81</v>
      </c>
      <c r="P40" s="41">
        <f>VLOOKUP(O40,'Dataset-2'!D41:J651,2,)</f>
        <v>0.16420000000000001</v>
      </c>
      <c r="Q40" s="41">
        <f>VLOOKUP(P40,'Dataset-2'!E41:K651,2,)</f>
        <v>19</v>
      </c>
      <c r="R40" s="41">
        <f>VLOOKUP(Q40,'Dataset-2'!F41:L651,2,)</f>
        <v>55</v>
      </c>
      <c r="S40" s="41">
        <f>VLOOKUP(R40,'Dataset-2'!G41:M651,2,)</f>
        <v>74</v>
      </c>
    </row>
    <row r="41" spans="1:19" x14ac:dyDescent="0.35">
      <c r="A41" s="40">
        <v>40</v>
      </c>
      <c r="B41" s="62">
        <f>VLOOKUP(A41,'Dataset-1'!A42:M652,2,)</f>
        <v>40545</v>
      </c>
      <c r="C41" s="41">
        <f>VLOOKUP(B41,'Dataset-1'!B42:N652,2,)</f>
        <v>1</v>
      </c>
      <c r="D41" s="41">
        <f>VLOOKUP(C41,'Dataset-1'!C42:O652,2,)</f>
        <v>0</v>
      </c>
      <c r="E41" s="41">
        <f>VLOOKUP(D41,'Dataset-1'!D42:P652,2,)</f>
        <v>1</v>
      </c>
      <c r="F41" s="41">
        <f>VLOOKUP(E41,'Dataset-1'!E42:Q652,2,)</f>
        <v>16</v>
      </c>
      <c r="G41" s="71" t="str">
        <f>VLOOKUP(F41,'Dataset-1'!F42:R652,2,)</f>
        <v>AfterNoon</v>
      </c>
      <c r="H41" s="41" t="b">
        <f>VLOOKUP(G41,'Dataset-1'!G42:S652,2,)</f>
        <v>0</v>
      </c>
      <c r="I41" s="41">
        <f>VLOOKUP(H41,'Dataset-1'!H42:T652,2,)</f>
        <v>0</v>
      </c>
      <c r="J41" s="71" t="str">
        <f>VLOOKUP(I41,'Dataset-1'!I42:U652,2,)</f>
        <v>Saturday</v>
      </c>
      <c r="K41" s="41">
        <f>VLOOKUP(J41,'Dataset-1'!J42:V652,2,)</f>
        <v>3</v>
      </c>
      <c r="L41" s="41">
        <f>VLOOKUP(K41,'Dataset-1'!K42:W652,2,)</f>
        <v>0.34</v>
      </c>
      <c r="M41" s="71" t="str">
        <f>VLOOKUP(L41,'Dataset-1'!L42:X652,2,)</f>
        <v>Sunny</v>
      </c>
      <c r="N41" s="41">
        <f>VLOOKUP(A41,'Dataset-2'!B42:H652,2,)</f>
        <v>0.33329999999999999</v>
      </c>
      <c r="O41" s="41">
        <f>VLOOKUP(N41,'Dataset-2'!C42:I652,2,)</f>
        <v>0.71</v>
      </c>
      <c r="P41" s="41">
        <f>VLOOKUP(O41,'Dataset-2'!D42:J652,2,)</f>
        <v>0.16420000000000001</v>
      </c>
      <c r="Q41" s="41">
        <f>VLOOKUP(P41,'Dataset-2'!E42:K652,2,)</f>
        <v>9</v>
      </c>
      <c r="R41" s="41">
        <f>VLOOKUP(Q41,'Dataset-2'!F42:L652,2,)</f>
        <v>67</v>
      </c>
      <c r="S41" s="41">
        <f>VLOOKUP(R41,'Dataset-2'!G42:M652,2,)</f>
        <v>76</v>
      </c>
    </row>
    <row r="42" spans="1:19" x14ac:dyDescent="0.35">
      <c r="A42" s="40">
        <v>41</v>
      </c>
      <c r="B42" s="62">
        <f>VLOOKUP(A42,'Dataset-1'!A43:M653,2,)</f>
        <v>40545</v>
      </c>
      <c r="C42" s="41">
        <f>VLOOKUP(B42,'Dataset-1'!B43:N653,2,)</f>
        <v>1</v>
      </c>
      <c r="D42" s="41">
        <f>VLOOKUP(C42,'Dataset-1'!C43:O653,2,)</f>
        <v>0</v>
      </c>
      <c r="E42" s="41">
        <f>VLOOKUP(D42,'Dataset-1'!D43:P653,2,)</f>
        <v>1</v>
      </c>
      <c r="F42" s="41">
        <f>VLOOKUP(E42,'Dataset-1'!E43:Q653,2,)</f>
        <v>17</v>
      </c>
      <c r="G42" s="71" t="str">
        <f>VLOOKUP(F42,'Dataset-1'!F43:R653,2,)</f>
        <v>Evening</v>
      </c>
      <c r="H42" s="41" t="b">
        <f>VLOOKUP(G42,'Dataset-1'!G43:S653,2,)</f>
        <v>0</v>
      </c>
      <c r="I42" s="41">
        <f>VLOOKUP(H42,'Dataset-1'!H43:T653,2,)</f>
        <v>0</v>
      </c>
      <c r="J42" s="71" t="str">
        <f>VLOOKUP(I42,'Dataset-1'!I43:U653,2,)</f>
        <v>Saturday</v>
      </c>
      <c r="K42" s="41">
        <f>VLOOKUP(J42,'Dataset-1'!J43:V653,2,)</f>
        <v>1</v>
      </c>
      <c r="L42" s="41">
        <f>VLOOKUP(K42,'Dataset-1'!K43:W653,2,)</f>
        <v>0.34</v>
      </c>
      <c r="M42" s="71" t="str">
        <f>VLOOKUP(L42,'Dataset-1'!L43:X653,2,)</f>
        <v>Sunny</v>
      </c>
      <c r="N42" s="41">
        <f>VLOOKUP(A42,'Dataset-2'!B43:H653,2,)</f>
        <v>0.33329999999999999</v>
      </c>
      <c r="O42" s="41">
        <f>VLOOKUP(N42,'Dataset-2'!C43:I653,2,)</f>
        <v>0.56999999999999995</v>
      </c>
      <c r="P42" s="41">
        <f>VLOOKUP(O42,'Dataset-2'!D43:J653,2,)</f>
        <v>0.19400000000000001</v>
      </c>
      <c r="Q42" s="41">
        <f>VLOOKUP(P42,'Dataset-2'!E43:K653,2,)</f>
        <v>7</v>
      </c>
      <c r="R42" s="41">
        <f>VLOOKUP(Q42,'Dataset-2'!F43:L653,2,)</f>
        <v>58</v>
      </c>
      <c r="S42" s="41">
        <f>VLOOKUP(R42,'Dataset-2'!G43:M653,2,)</f>
        <v>65</v>
      </c>
    </row>
    <row r="43" spans="1:19" x14ac:dyDescent="0.35">
      <c r="A43" s="40">
        <v>42</v>
      </c>
      <c r="B43" s="62">
        <f>VLOOKUP(A43,'Dataset-1'!A44:M654,2,)</f>
        <v>40545</v>
      </c>
      <c r="C43" s="41">
        <f>VLOOKUP(B43,'Dataset-1'!B44:N654,2,)</f>
        <v>1</v>
      </c>
      <c r="D43" s="41">
        <f>VLOOKUP(C43,'Dataset-1'!C44:O654,2,)</f>
        <v>0</v>
      </c>
      <c r="E43" s="41">
        <f>VLOOKUP(D43,'Dataset-1'!D44:P654,2,)</f>
        <v>1</v>
      </c>
      <c r="F43" s="41">
        <f>VLOOKUP(E43,'Dataset-1'!E44:Q654,2,)</f>
        <v>18</v>
      </c>
      <c r="G43" s="71" t="str">
        <f>VLOOKUP(F43,'Dataset-1'!F44:R654,2,)</f>
        <v>Evening</v>
      </c>
      <c r="H43" s="41" t="b">
        <f>VLOOKUP(G43,'Dataset-1'!G44:S654,2,)</f>
        <v>0</v>
      </c>
      <c r="I43" s="41">
        <f>VLOOKUP(H43,'Dataset-1'!H44:T654,2,)</f>
        <v>0</v>
      </c>
      <c r="J43" s="71" t="str">
        <f>VLOOKUP(I43,'Dataset-1'!I44:U654,2,)</f>
        <v>Saturday</v>
      </c>
      <c r="K43" s="41">
        <f>VLOOKUP(J43,'Dataset-1'!J44:V654,2,)</f>
        <v>2</v>
      </c>
      <c r="L43" s="41">
        <f>VLOOKUP(K43,'Dataset-1'!K44:W654,2,)</f>
        <v>0.36</v>
      </c>
      <c r="M43" s="71" t="str">
        <f>VLOOKUP(L43,'Dataset-1'!L44:X654,2,)</f>
        <v>Sunny</v>
      </c>
      <c r="N43" s="41">
        <f>VLOOKUP(A43,'Dataset-2'!B44:H654,2,)</f>
        <v>0.33329999999999999</v>
      </c>
      <c r="O43" s="41">
        <f>VLOOKUP(N43,'Dataset-2'!C44:I654,2,)</f>
        <v>0.46</v>
      </c>
      <c r="P43" s="41">
        <f>VLOOKUP(O43,'Dataset-2'!D44:J654,2,)</f>
        <v>0.32840000000000003</v>
      </c>
      <c r="Q43" s="41">
        <f>VLOOKUP(P43,'Dataset-2'!E44:K654,2,)</f>
        <v>10</v>
      </c>
      <c r="R43" s="41">
        <f>VLOOKUP(Q43,'Dataset-2'!F44:L654,2,)</f>
        <v>43</v>
      </c>
      <c r="S43" s="41">
        <f>VLOOKUP(R43,'Dataset-2'!G44:M654,2,)</f>
        <v>53</v>
      </c>
    </row>
    <row r="44" spans="1:19" x14ac:dyDescent="0.35">
      <c r="A44" s="40">
        <v>43</v>
      </c>
      <c r="B44" s="62">
        <f>VLOOKUP(A44,'Dataset-1'!A45:M655,2,)</f>
        <v>40545</v>
      </c>
      <c r="C44" s="41">
        <f>VLOOKUP(B44,'Dataset-1'!B45:N655,2,)</f>
        <v>1</v>
      </c>
      <c r="D44" s="41">
        <f>VLOOKUP(C44,'Dataset-1'!C45:O655,2,)</f>
        <v>0</v>
      </c>
      <c r="E44" s="41">
        <f>VLOOKUP(D44,'Dataset-1'!D45:P655,2,)</f>
        <v>1</v>
      </c>
      <c r="F44" s="41">
        <f>VLOOKUP(E44,'Dataset-1'!E45:Q655,2,)</f>
        <v>19</v>
      </c>
      <c r="G44" s="71" t="str">
        <f>VLOOKUP(F44,'Dataset-1'!F45:R655,2,)</f>
        <v>Evening</v>
      </c>
      <c r="H44" s="41" t="b">
        <f>VLOOKUP(G44,'Dataset-1'!G45:S655,2,)</f>
        <v>0</v>
      </c>
      <c r="I44" s="41">
        <f>VLOOKUP(H44,'Dataset-1'!H45:T655,2,)</f>
        <v>0</v>
      </c>
      <c r="J44" s="71" t="str">
        <f>VLOOKUP(I44,'Dataset-1'!I45:U655,2,)</f>
        <v>Saturday</v>
      </c>
      <c r="K44" s="41">
        <f>VLOOKUP(J44,'Dataset-1'!J45:V655,2,)</f>
        <v>1</v>
      </c>
      <c r="L44" s="41">
        <f>VLOOKUP(K44,'Dataset-1'!K45:W655,2,)</f>
        <v>0.32</v>
      </c>
      <c r="M44" s="71" t="str">
        <f>VLOOKUP(L44,'Dataset-1'!L45:X655,2,)</f>
        <v>Sunny</v>
      </c>
      <c r="N44" s="41">
        <f>VLOOKUP(A44,'Dataset-2'!B45:H655,2,)</f>
        <v>0.28789999999999999</v>
      </c>
      <c r="O44" s="41">
        <f>VLOOKUP(N44,'Dataset-2'!C45:I655,2,)</f>
        <v>0.42</v>
      </c>
      <c r="P44" s="41">
        <f>VLOOKUP(O44,'Dataset-2'!D45:J655,2,)</f>
        <v>0.44779999999999998</v>
      </c>
      <c r="Q44" s="41">
        <f>VLOOKUP(P44,'Dataset-2'!E45:K655,2,)</f>
        <v>1</v>
      </c>
      <c r="R44" s="41">
        <f>VLOOKUP(Q44,'Dataset-2'!F45:L655,2,)</f>
        <v>29</v>
      </c>
      <c r="S44" s="41">
        <f>VLOOKUP(R44,'Dataset-2'!G45:M655,2,)</f>
        <v>30</v>
      </c>
    </row>
    <row r="45" spans="1:19" x14ac:dyDescent="0.35">
      <c r="A45" s="40">
        <v>44</v>
      </c>
      <c r="B45" s="62">
        <f>VLOOKUP(A45,'Dataset-1'!A46:M656,2,)</f>
        <v>40545</v>
      </c>
      <c r="C45" s="41">
        <f>VLOOKUP(B45,'Dataset-1'!B46:N656,2,)</f>
        <v>1</v>
      </c>
      <c r="D45" s="41">
        <f>VLOOKUP(C45,'Dataset-1'!C46:O656,2,)</f>
        <v>0</v>
      </c>
      <c r="E45" s="41">
        <f>VLOOKUP(D45,'Dataset-1'!D46:P656,2,)</f>
        <v>1</v>
      </c>
      <c r="F45" s="41">
        <f>VLOOKUP(E45,'Dataset-1'!E46:Q656,2,)</f>
        <v>20</v>
      </c>
      <c r="G45" s="71" t="str">
        <f>VLOOKUP(F45,'Dataset-1'!F46:R656,2,)</f>
        <v>Night</v>
      </c>
      <c r="H45" s="41" t="b">
        <f>VLOOKUP(G45,'Dataset-1'!G46:S656,2,)</f>
        <v>0</v>
      </c>
      <c r="I45" s="41">
        <f>VLOOKUP(H45,'Dataset-1'!H46:T656,2,)</f>
        <v>0</v>
      </c>
      <c r="J45" s="71" t="str">
        <f>VLOOKUP(I45,'Dataset-1'!I46:U656,2,)</f>
        <v>Saturday</v>
      </c>
      <c r="K45" s="41">
        <f>VLOOKUP(J45,'Dataset-1'!J46:V656,2,)</f>
        <v>1</v>
      </c>
      <c r="L45" s="41">
        <f>VLOOKUP(K45,'Dataset-1'!K46:W656,2,)</f>
        <v>0.3</v>
      </c>
      <c r="M45" s="71" t="str">
        <f>VLOOKUP(L45,'Dataset-1'!L46:X656,2,)</f>
        <v>Cloudy</v>
      </c>
      <c r="N45" s="41">
        <f>VLOOKUP(A45,'Dataset-2'!B46:H656,2,)</f>
        <v>0.2576</v>
      </c>
      <c r="O45" s="41">
        <f>VLOOKUP(N45,'Dataset-2'!C46:I656,2,)</f>
        <v>0.39</v>
      </c>
      <c r="P45" s="41">
        <f>VLOOKUP(O45,'Dataset-2'!D46:J656,2,)</f>
        <v>0.35820000000000002</v>
      </c>
      <c r="Q45" s="41">
        <f>VLOOKUP(P45,'Dataset-2'!E46:K656,2,)</f>
        <v>5</v>
      </c>
      <c r="R45" s="41">
        <f>VLOOKUP(Q45,'Dataset-2'!F46:L656,2,)</f>
        <v>17</v>
      </c>
      <c r="S45" s="41">
        <f>VLOOKUP(R45,'Dataset-2'!G46:M656,2,)</f>
        <v>22</v>
      </c>
    </row>
    <row r="46" spans="1:19" x14ac:dyDescent="0.35">
      <c r="A46" s="40">
        <v>45</v>
      </c>
      <c r="B46" s="62">
        <f>VLOOKUP(A46,'Dataset-1'!A47:M657,2,)</f>
        <v>40545</v>
      </c>
      <c r="C46" s="41">
        <f>VLOOKUP(B46,'Dataset-1'!B47:N657,2,)</f>
        <v>1</v>
      </c>
      <c r="D46" s="41">
        <f>VLOOKUP(C46,'Dataset-1'!C47:O657,2,)</f>
        <v>0</v>
      </c>
      <c r="E46" s="41">
        <f>VLOOKUP(D46,'Dataset-1'!D47:P657,2,)</f>
        <v>1</v>
      </c>
      <c r="F46" s="41">
        <f>VLOOKUP(E46,'Dataset-1'!E47:Q657,2,)</f>
        <v>21</v>
      </c>
      <c r="G46" s="71" t="str">
        <f>VLOOKUP(F46,'Dataset-1'!F47:R657,2,)</f>
        <v>Night</v>
      </c>
      <c r="H46" s="41" t="b">
        <f>VLOOKUP(G46,'Dataset-1'!G47:S657,2,)</f>
        <v>0</v>
      </c>
      <c r="I46" s="41">
        <f>VLOOKUP(H46,'Dataset-1'!H47:T657,2,)</f>
        <v>0</v>
      </c>
      <c r="J46" s="71" t="str">
        <f>VLOOKUP(I46,'Dataset-1'!I47:U657,2,)</f>
        <v>Saturday</v>
      </c>
      <c r="K46" s="41">
        <f>VLOOKUP(J46,'Dataset-1'!J47:V657,2,)</f>
        <v>1</v>
      </c>
      <c r="L46" s="41">
        <f>VLOOKUP(K46,'Dataset-1'!K47:W657,2,)</f>
        <v>0.26</v>
      </c>
      <c r="M46" s="71" t="str">
        <f>VLOOKUP(L46,'Dataset-1'!L47:X657,2,)</f>
        <v>Cloudy</v>
      </c>
      <c r="N46" s="41">
        <f>VLOOKUP(A46,'Dataset-2'!B47:H657,2,)</f>
        <v>0.2273</v>
      </c>
      <c r="O46" s="41">
        <f>VLOOKUP(N46,'Dataset-2'!C47:I657,2,)</f>
        <v>0.44</v>
      </c>
      <c r="P46" s="41">
        <f>VLOOKUP(O46,'Dataset-2'!D47:J657,2,)</f>
        <v>0.32840000000000003</v>
      </c>
      <c r="Q46" s="41">
        <f>VLOOKUP(P46,'Dataset-2'!E47:K657,2,)</f>
        <v>11</v>
      </c>
      <c r="R46" s="41">
        <f>VLOOKUP(Q46,'Dataset-2'!F47:L657,2,)</f>
        <v>20</v>
      </c>
      <c r="S46" s="41">
        <f>VLOOKUP(R46,'Dataset-2'!G47:M657,2,)</f>
        <v>31</v>
      </c>
    </row>
    <row r="47" spans="1:19" x14ac:dyDescent="0.35">
      <c r="A47" s="40">
        <v>46</v>
      </c>
      <c r="B47" s="62">
        <f>VLOOKUP(A47,'Dataset-1'!A48:M658,2,)</f>
        <v>40545</v>
      </c>
      <c r="C47" s="41">
        <f>VLOOKUP(B47,'Dataset-1'!B48:N658,2,)</f>
        <v>1</v>
      </c>
      <c r="D47" s="41">
        <f>VLOOKUP(C47,'Dataset-1'!C48:O658,2,)</f>
        <v>0</v>
      </c>
      <c r="E47" s="41">
        <f>VLOOKUP(D47,'Dataset-1'!D48:P658,2,)</f>
        <v>1</v>
      </c>
      <c r="F47" s="41">
        <f>VLOOKUP(E47,'Dataset-1'!E48:Q658,2,)</f>
        <v>22</v>
      </c>
      <c r="G47" s="71" t="str">
        <f>VLOOKUP(F47,'Dataset-1'!F48:R658,2,)</f>
        <v>Night</v>
      </c>
      <c r="H47" s="41" t="b">
        <f>VLOOKUP(G47,'Dataset-1'!G48:S658,2,)</f>
        <v>0</v>
      </c>
      <c r="I47" s="41">
        <f>VLOOKUP(H47,'Dataset-1'!H48:T658,2,)</f>
        <v>0</v>
      </c>
      <c r="J47" s="71" t="str">
        <f>VLOOKUP(I47,'Dataset-1'!I48:U658,2,)</f>
        <v>Saturday</v>
      </c>
      <c r="K47" s="41">
        <f>VLOOKUP(J47,'Dataset-1'!J48:V658,2,)</f>
        <v>1</v>
      </c>
      <c r="L47" s="41">
        <f>VLOOKUP(K47,'Dataset-1'!K48:W658,2,)</f>
        <v>0.24</v>
      </c>
      <c r="M47" s="71" t="str">
        <f>VLOOKUP(L47,'Dataset-1'!L48:X658,2,)</f>
        <v>Cloudy</v>
      </c>
      <c r="N47" s="41">
        <f>VLOOKUP(A47,'Dataset-2'!B48:H658,2,)</f>
        <v>0.21210000000000001</v>
      </c>
      <c r="O47" s="41">
        <f>VLOOKUP(N47,'Dataset-2'!C48:I658,2,)</f>
        <v>0.44</v>
      </c>
      <c r="P47" s="41">
        <f>VLOOKUP(O47,'Dataset-2'!D48:J658,2,)</f>
        <v>0.29849999999999999</v>
      </c>
      <c r="Q47" s="41">
        <f>VLOOKUP(P47,'Dataset-2'!E48:K658,2,)</f>
        <v>0</v>
      </c>
      <c r="R47" s="41">
        <f>VLOOKUP(Q47,'Dataset-2'!F48:L658,2,)</f>
        <v>9</v>
      </c>
      <c r="S47" s="41">
        <f>VLOOKUP(R47,'Dataset-2'!G48:M658,2,)</f>
        <v>9</v>
      </c>
    </row>
    <row r="48" spans="1:19" x14ac:dyDescent="0.35">
      <c r="A48" s="40">
        <v>47</v>
      </c>
      <c r="B48" s="62">
        <f>VLOOKUP(A48,'Dataset-1'!A49:M659,2,)</f>
        <v>40545</v>
      </c>
      <c r="C48" s="41">
        <f>VLOOKUP(B48,'Dataset-1'!B49:N659,2,)</f>
        <v>1</v>
      </c>
      <c r="D48" s="41">
        <f>VLOOKUP(C48,'Dataset-1'!C49:O659,2,)</f>
        <v>0</v>
      </c>
      <c r="E48" s="41">
        <f>VLOOKUP(D48,'Dataset-1'!D49:P659,2,)</f>
        <v>1</v>
      </c>
      <c r="F48" s="41">
        <f>VLOOKUP(E48,'Dataset-1'!E49:Q659,2,)</f>
        <v>23</v>
      </c>
      <c r="G48" s="71" t="str">
        <f>VLOOKUP(F48,'Dataset-1'!F49:R659,2,)</f>
        <v>Night</v>
      </c>
      <c r="H48" s="41" t="b">
        <f>VLOOKUP(G48,'Dataset-1'!G49:S659,2,)</f>
        <v>0</v>
      </c>
      <c r="I48" s="41">
        <f>VLOOKUP(H48,'Dataset-1'!H49:T659,2,)</f>
        <v>0</v>
      </c>
      <c r="J48" s="71" t="str">
        <f>VLOOKUP(I48,'Dataset-1'!I49:U659,2,)</f>
        <v>Saturday</v>
      </c>
      <c r="K48" s="41">
        <f>VLOOKUP(J48,'Dataset-1'!J49:V659,2,)</f>
        <v>1</v>
      </c>
      <c r="L48" s="41">
        <f>VLOOKUP(K48,'Dataset-1'!K49:W659,2,)</f>
        <v>0.22</v>
      </c>
      <c r="M48" s="71" t="str">
        <f>VLOOKUP(L48,'Dataset-1'!L49:X659,2,)</f>
        <v>Cloudy</v>
      </c>
      <c r="N48" s="41">
        <f>VLOOKUP(A48,'Dataset-2'!B49:H659,2,)</f>
        <v>0.2273</v>
      </c>
      <c r="O48" s="41">
        <f>VLOOKUP(N48,'Dataset-2'!C49:I659,2,)</f>
        <v>0.47</v>
      </c>
      <c r="P48" s="41">
        <f>VLOOKUP(O48,'Dataset-2'!D49:J659,2,)</f>
        <v>0.16420000000000001</v>
      </c>
      <c r="Q48" s="41">
        <f>VLOOKUP(P48,'Dataset-2'!E49:K659,2,)</f>
        <v>0</v>
      </c>
      <c r="R48" s="41">
        <f>VLOOKUP(Q48,'Dataset-2'!F49:L659,2,)</f>
        <v>8</v>
      </c>
      <c r="S48" s="41">
        <f>VLOOKUP(R48,'Dataset-2'!G49:M659,2,)</f>
        <v>8</v>
      </c>
    </row>
    <row r="49" spans="1:19" x14ac:dyDescent="0.35">
      <c r="A49" s="40">
        <v>48</v>
      </c>
      <c r="B49" s="62">
        <f>VLOOKUP(A49,'Dataset-1'!A50:M660,2,)</f>
        <v>40546</v>
      </c>
      <c r="C49" s="41">
        <f>VLOOKUP(B49,'Dataset-1'!B50:N660,2,)</f>
        <v>1</v>
      </c>
      <c r="D49" s="41">
        <f>VLOOKUP(C49,'Dataset-1'!C50:O660,2,)</f>
        <v>0</v>
      </c>
      <c r="E49" s="41">
        <f>VLOOKUP(D49,'Dataset-1'!D50:P660,2,)</f>
        <v>1</v>
      </c>
      <c r="F49" s="41">
        <f>VLOOKUP(E49,'Dataset-1'!E50:Q660,2,)</f>
        <v>0</v>
      </c>
      <c r="G49" s="71" t="str">
        <f>VLOOKUP(F49,'Dataset-1'!F50:R660,2,)</f>
        <v>Night</v>
      </c>
      <c r="H49" s="41" t="b">
        <f>VLOOKUP(G49,'Dataset-1'!G50:S660,2,)</f>
        <v>0</v>
      </c>
      <c r="I49" s="41">
        <f>VLOOKUP(H49,'Dataset-1'!H50:T660,2,)</f>
        <v>1</v>
      </c>
      <c r="J49" s="71" t="str">
        <f>VLOOKUP(I49,'Dataset-1'!I50:U660,2,)</f>
        <v>Sunday</v>
      </c>
      <c r="K49" s="41">
        <f>VLOOKUP(J49,'Dataset-1'!J50:V660,2,)</f>
        <v>1</v>
      </c>
      <c r="L49" s="41">
        <f>VLOOKUP(K49,'Dataset-1'!K50:W660,2,)</f>
        <v>0.22</v>
      </c>
      <c r="M49" s="71" t="str">
        <f>VLOOKUP(L49,'Dataset-1'!L50:X660,2,)</f>
        <v>Cloudy</v>
      </c>
      <c r="N49" s="41">
        <f>VLOOKUP(A49,'Dataset-2'!B50:H660,2,)</f>
        <v>0.19700000000000001</v>
      </c>
      <c r="O49" s="41">
        <f>VLOOKUP(N49,'Dataset-2'!C50:I660,2,)</f>
        <v>0.44</v>
      </c>
      <c r="P49" s="41">
        <f>VLOOKUP(O49,'Dataset-2'!D50:J660,2,)</f>
        <v>0.35820000000000002</v>
      </c>
      <c r="Q49" s="41">
        <f>VLOOKUP(P49,'Dataset-2'!E50:K660,2,)</f>
        <v>0</v>
      </c>
      <c r="R49" s="41">
        <f>VLOOKUP(Q49,'Dataset-2'!F50:L660,2,)</f>
        <v>5</v>
      </c>
      <c r="S49" s="41">
        <f>VLOOKUP(R49,'Dataset-2'!G50:M660,2,)</f>
        <v>5</v>
      </c>
    </row>
    <row r="50" spans="1:19" x14ac:dyDescent="0.35">
      <c r="A50" s="40">
        <v>49</v>
      </c>
      <c r="B50" s="62">
        <f>VLOOKUP(A50,'Dataset-1'!A51:M661,2,)</f>
        <v>40546</v>
      </c>
      <c r="C50" s="41">
        <f>VLOOKUP(B50,'Dataset-1'!B51:N661,2,)</f>
        <v>1</v>
      </c>
      <c r="D50" s="41">
        <f>VLOOKUP(C50,'Dataset-1'!C51:O661,2,)</f>
        <v>0</v>
      </c>
      <c r="E50" s="41">
        <f>VLOOKUP(D50,'Dataset-1'!D51:P661,2,)</f>
        <v>1</v>
      </c>
      <c r="F50" s="41">
        <f>VLOOKUP(E50,'Dataset-1'!E51:Q661,2,)</f>
        <v>1</v>
      </c>
      <c r="G50" s="71" t="str">
        <f>VLOOKUP(F50,'Dataset-1'!F51:R661,2,)</f>
        <v>Night</v>
      </c>
      <c r="H50" s="41" t="b">
        <f>VLOOKUP(G50,'Dataset-1'!G51:S661,2,)</f>
        <v>0</v>
      </c>
      <c r="I50" s="41">
        <f>VLOOKUP(H50,'Dataset-1'!H51:T661,2,)</f>
        <v>1</v>
      </c>
      <c r="J50" s="71" t="str">
        <f>VLOOKUP(I50,'Dataset-1'!I51:U661,2,)</f>
        <v>Sunday</v>
      </c>
      <c r="K50" s="41">
        <f>VLOOKUP(J50,'Dataset-1'!J51:V661,2,)</f>
        <v>1</v>
      </c>
      <c r="L50" s="41">
        <f>VLOOKUP(K50,'Dataset-1'!K51:W661,2,)</f>
        <v>0.2</v>
      </c>
      <c r="M50" s="71" t="str">
        <f>VLOOKUP(L50,'Dataset-1'!L51:X661,2,)</f>
        <v>Rainy</v>
      </c>
      <c r="N50" s="41">
        <f>VLOOKUP(A50,'Dataset-2'!B51:H661,2,)</f>
        <v>0.16670000000000001</v>
      </c>
      <c r="O50" s="41">
        <f>VLOOKUP(N50,'Dataset-2'!C51:I661,2,)</f>
        <v>0.44</v>
      </c>
      <c r="P50" s="41">
        <f>VLOOKUP(O50,'Dataset-2'!D51:J661,2,)</f>
        <v>0.41789999999999999</v>
      </c>
      <c r="Q50" s="41">
        <f>VLOOKUP(P50,'Dataset-2'!E51:K661,2,)</f>
        <v>0</v>
      </c>
      <c r="R50" s="41">
        <f>VLOOKUP(Q50,'Dataset-2'!F51:L661,2,)</f>
        <v>2</v>
      </c>
      <c r="S50" s="41">
        <f>VLOOKUP(R50,'Dataset-2'!G51:M661,2,)</f>
        <v>2</v>
      </c>
    </row>
    <row r="51" spans="1:19" x14ac:dyDescent="0.35">
      <c r="A51" s="40">
        <v>50</v>
      </c>
      <c r="B51" s="62">
        <f>VLOOKUP(A51,'Dataset-1'!A52:M662,2,)</f>
        <v>40546</v>
      </c>
      <c r="C51" s="41">
        <f>VLOOKUP(B51,'Dataset-1'!B52:N662,2,)</f>
        <v>1</v>
      </c>
      <c r="D51" s="41">
        <f>VLOOKUP(C51,'Dataset-1'!C52:O662,2,)</f>
        <v>0</v>
      </c>
      <c r="E51" s="41">
        <f>VLOOKUP(D51,'Dataset-1'!D52:P662,2,)</f>
        <v>1</v>
      </c>
      <c r="F51" s="41">
        <f>VLOOKUP(E51,'Dataset-1'!E52:Q662,2,)</f>
        <v>4</v>
      </c>
      <c r="G51" s="71" t="str">
        <f>VLOOKUP(F51,'Dataset-1'!F52:R662,2,)</f>
        <v>Night</v>
      </c>
      <c r="H51" s="41" t="b">
        <f>VLOOKUP(G51,'Dataset-1'!G52:S662,2,)</f>
        <v>0</v>
      </c>
      <c r="I51" s="41">
        <f>VLOOKUP(H51,'Dataset-1'!H52:T662,2,)</f>
        <v>1</v>
      </c>
      <c r="J51" s="71" t="str">
        <f>VLOOKUP(I51,'Dataset-1'!I52:U662,2,)</f>
        <v>Sunday</v>
      </c>
      <c r="K51" s="41">
        <f>VLOOKUP(J51,'Dataset-1'!J52:V662,2,)</f>
        <v>1</v>
      </c>
      <c r="L51" s="41">
        <f>VLOOKUP(K51,'Dataset-1'!K52:W662,2,)</f>
        <v>0.16</v>
      </c>
      <c r="M51" s="71" t="str">
        <f>VLOOKUP(L51,'Dataset-1'!L52:X662,2,)</f>
        <v>Rainy</v>
      </c>
      <c r="N51" s="41">
        <f>VLOOKUP(A51,'Dataset-2'!B52:H662,2,)</f>
        <v>0.13639999999999999</v>
      </c>
      <c r="O51" s="41">
        <f>VLOOKUP(N51,'Dataset-2'!C52:I662,2,)</f>
        <v>0.47</v>
      </c>
      <c r="P51" s="41">
        <f>VLOOKUP(O51,'Dataset-2'!D52:J662,2,)</f>
        <v>0.3881</v>
      </c>
      <c r="Q51" s="41">
        <f>VLOOKUP(P51,'Dataset-2'!E52:K662,2,)</f>
        <v>0</v>
      </c>
      <c r="R51" s="41">
        <f>VLOOKUP(Q51,'Dataset-2'!F52:L662,2,)</f>
        <v>1</v>
      </c>
      <c r="S51" s="41">
        <f>VLOOKUP(R51,'Dataset-2'!G52:M662,2,)</f>
        <v>1</v>
      </c>
    </row>
    <row r="52" spans="1:19" x14ac:dyDescent="0.35">
      <c r="A52" s="40">
        <v>51</v>
      </c>
      <c r="B52" s="62">
        <f>VLOOKUP(A52,'Dataset-1'!A53:M663,2,)</f>
        <v>40546</v>
      </c>
      <c r="C52" s="41">
        <f>VLOOKUP(B52,'Dataset-1'!B53:N663,2,)</f>
        <v>1</v>
      </c>
      <c r="D52" s="41">
        <f>VLOOKUP(C52,'Dataset-1'!C53:O663,2,)</f>
        <v>0</v>
      </c>
      <c r="E52" s="41">
        <f>VLOOKUP(D52,'Dataset-1'!D53:P663,2,)</f>
        <v>1</v>
      </c>
      <c r="F52" s="41">
        <f>VLOOKUP(E52,'Dataset-1'!E53:Q663,2,)</f>
        <v>5</v>
      </c>
      <c r="G52" s="71" t="str">
        <f>VLOOKUP(F52,'Dataset-1'!F53:R663,2,)</f>
        <v>Morning</v>
      </c>
      <c r="H52" s="41" t="b">
        <f>VLOOKUP(G52,'Dataset-1'!G53:S663,2,)</f>
        <v>0</v>
      </c>
      <c r="I52" s="41">
        <f>VLOOKUP(H52,'Dataset-1'!H53:T663,2,)</f>
        <v>1</v>
      </c>
      <c r="J52" s="71" t="str">
        <f>VLOOKUP(I52,'Dataset-1'!I53:U663,2,)</f>
        <v>Sunday</v>
      </c>
      <c r="K52" s="41">
        <f>VLOOKUP(J52,'Dataset-1'!J53:V663,2,)</f>
        <v>1</v>
      </c>
      <c r="L52" s="41">
        <f>VLOOKUP(K52,'Dataset-1'!K53:W663,2,)</f>
        <v>0.16</v>
      </c>
      <c r="M52" s="71" t="str">
        <f>VLOOKUP(L52,'Dataset-1'!L53:X663,2,)</f>
        <v>Rainy</v>
      </c>
      <c r="N52" s="41">
        <f>VLOOKUP(A52,'Dataset-2'!B53:H663,2,)</f>
        <v>0.13639999999999999</v>
      </c>
      <c r="O52" s="41">
        <f>VLOOKUP(N52,'Dataset-2'!C53:I663,2,)</f>
        <v>0.47</v>
      </c>
      <c r="P52" s="41">
        <f>VLOOKUP(O52,'Dataset-2'!D53:J663,2,)</f>
        <v>0.28360000000000002</v>
      </c>
      <c r="Q52" s="41">
        <f>VLOOKUP(P52,'Dataset-2'!E53:K663,2,)</f>
        <v>0</v>
      </c>
      <c r="R52" s="41">
        <f>VLOOKUP(Q52,'Dataset-2'!F53:L663,2,)</f>
        <v>3</v>
      </c>
      <c r="S52" s="41">
        <f>VLOOKUP(R52,'Dataset-2'!G53:M663,2,)</f>
        <v>3</v>
      </c>
    </row>
    <row r="53" spans="1:19" x14ac:dyDescent="0.35">
      <c r="A53" s="40">
        <v>52</v>
      </c>
      <c r="B53" s="62">
        <f>VLOOKUP(A53,'Dataset-1'!A54:M664,2,)</f>
        <v>40546</v>
      </c>
      <c r="C53" s="41">
        <f>VLOOKUP(B53,'Dataset-1'!B54:N664,2,)</f>
        <v>1</v>
      </c>
      <c r="D53" s="41">
        <f>VLOOKUP(C53,'Dataset-1'!C54:O664,2,)</f>
        <v>0</v>
      </c>
      <c r="E53" s="41">
        <f>VLOOKUP(D53,'Dataset-1'!D54:P664,2,)</f>
        <v>1</v>
      </c>
      <c r="F53" s="41">
        <f>VLOOKUP(E53,'Dataset-1'!E54:Q664,2,)</f>
        <v>6</v>
      </c>
      <c r="G53" s="71" t="str">
        <f>VLOOKUP(F53,'Dataset-1'!F54:R664,2,)</f>
        <v>Morning</v>
      </c>
      <c r="H53" s="41" t="b">
        <f>VLOOKUP(G53,'Dataset-1'!G54:S664,2,)</f>
        <v>0</v>
      </c>
      <c r="I53" s="41">
        <f>VLOOKUP(H53,'Dataset-1'!H54:T664,2,)</f>
        <v>1</v>
      </c>
      <c r="J53" s="71" t="str">
        <f>VLOOKUP(I53,'Dataset-1'!I54:U664,2,)</f>
        <v>Sunday</v>
      </c>
      <c r="K53" s="41">
        <f>VLOOKUP(J53,'Dataset-1'!J54:V664,2,)</f>
        <v>1</v>
      </c>
      <c r="L53" s="41">
        <f>VLOOKUP(K53,'Dataset-1'!K54:W664,2,)</f>
        <v>0.14000000000000001</v>
      </c>
      <c r="M53" s="71" t="str">
        <f>VLOOKUP(L53,'Dataset-1'!L54:X664,2,)</f>
        <v>Rainy</v>
      </c>
      <c r="N53" s="41">
        <f>VLOOKUP(A53,'Dataset-2'!B54:H664,2,)</f>
        <v>0.1061</v>
      </c>
      <c r="O53" s="41">
        <f>VLOOKUP(N53,'Dataset-2'!C54:I664,2,)</f>
        <v>0.5</v>
      </c>
      <c r="P53" s="41">
        <f>VLOOKUP(O53,'Dataset-2'!D54:J664,2,)</f>
        <v>0.3881</v>
      </c>
      <c r="Q53" s="41">
        <f>VLOOKUP(P53,'Dataset-2'!E54:K664,2,)</f>
        <v>0</v>
      </c>
      <c r="R53" s="41">
        <f>VLOOKUP(Q53,'Dataset-2'!F54:L664,2,)</f>
        <v>30</v>
      </c>
      <c r="S53" s="41">
        <f>VLOOKUP(R53,'Dataset-2'!G54:M664,2,)</f>
        <v>30</v>
      </c>
    </row>
    <row r="54" spans="1:19" x14ac:dyDescent="0.35">
      <c r="A54" s="40">
        <v>53</v>
      </c>
      <c r="B54" s="62">
        <f>VLOOKUP(A54,'Dataset-1'!A55:M665,2,)</f>
        <v>40546</v>
      </c>
      <c r="C54" s="41">
        <f>VLOOKUP(B54,'Dataset-1'!B55:N665,2,)</f>
        <v>1</v>
      </c>
      <c r="D54" s="41">
        <f>VLOOKUP(C54,'Dataset-1'!C55:O665,2,)</f>
        <v>0</v>
      </c>
      <c r="E54" s="41">
        <f>VLOOKUP(D54,'Dataset-1'!D55:P665,2,)</f>
        <v>1</v>
      </c>
      <c r="F54" s="41">
        <f>VLOOKUP(E54,'Dataset-1'!E55:Q665,2,)</f>
        <v>7</v>
      </c>
      <c r="G54" s="71" t="str">
        <f>VLOOKUP(F54,'Dataset-1'!F55:R665,2,)</f>
        <v>Morning</v>
      </c>
      <c r="H54" s="41" t="b">
        <f>VLOOKUP(G54,'Dataset-1'!G55:S665,2,)</f>
        <v>0</v>
      </c>
      <c r="I54" s="41">
        <f>VLOOKUP(H54,'Dataset-1'!H55:T665,2,)</f>
        <v>1</v>
      </c>
      <c r="J54" s="71" t="str">
        <f>VLOOKUP(I54,'Dataset-1'!I55:U665,2,)</f>
        <v>Sunday</v>
      </c>
      <c r="K54" s="41">
        <f>VLOOKUP(J54,'Dataset-1'!J55:V665,2,)</f>
        <v>1</v>
      </c>
      <c r="L54" s="41">
        <f>VLOOKUP(K54,'Dataset-1'!K55:W665,2,)</f>
        <v>0.14000000000000001</v>
      </c>
      <c r="M54" s="71" t="str">
        <f>VLOOKUP(L54,'Dataset-1'!L55:X665,2,)</f>
        <v>Rainy</v>
      </c>
      <c r="N54" s="41">
        <f>VLOOKUP(A54,'Dataset-2'!B55:H665,2,)</f>
        <v>0.13639999999999999</v>
      </c>
      <c r="O54" s="41">
        <f>VLOOKUP(N54,'Dataset-2'!C55:I665,2,)</f>
        <v>0.5</v>
      </c>
      <c r="P54" s="41">
        <f>VLOOKUP(O54,'Dataset-2'!D55:J665,2,)</f>
        <v>0.19400000000000001</v>
      </c>
      <c r="Q54" s="41">
        <f>VLOOKUP(P54,'Dataset-2'!E55:K665,2,)</f>
        <v>1</v>
      </c>
      <c r="R54" s="41">
        <f>VLOOKUP(Q54,'Dataset-2'!F55:L665,2,)</f>
        <v>63</v>
      </c>
      <c r="S54" s="41">
        <f>VLOOKUP(R54,'Dataset-2'!G55:M665,2,)</f>
        <v>64</v>
      </c>
    </row>
    <row r="55" spans="1:19" x14ac:dyDescent="0.35">
      <c r="A55" s="40">
        <v>54</v>
      </c>
      <c r="B55" s="62">
        <f>VLOOKUP(A55,'Dataset-1'!A56:M666,2,)</f>
        <v>40546</v>
      </c>
      <c r="C55" s="41">
        <f>VLOOKUP(B55,'Dataset-1'!B56:N666,2,)</f>
        <v>1</v>
      </c>
      <c r="D55" s="41">
        <f>VLOOKUP(C55,'Dataset-1'!C56:O666,2,)</f>
        <v>0</v>
      </c>
      <c r="E55" s="41">
        <f>VLOOKUP(D55,'Dataset-1'!D56:P666,2,)</f>
        <v>1</v>
      </c>
      <c r="F55" s="41">
        <f>VLOOKUP(E55,'Dataset-1'!E56:Q666,2,)</f>
        <v>8</v>
      </c>
      <c r="G55" s="71" t="str">
        <f>VLOOKUP(F55,'Dataset-1'!F56:R666,2,)</f>
        <v>Morning</v>
      </c>
      <c r="H55" s="41" t="b">
        <f>VLOOKUP(G55,'Dataset-1'!G56:S666,2,)</f>
        <v>0</v>
      </c>
      <c r="I55" s="41">
        <f>VLOOKUP(H55,'Dataset-1'!H56:T666,2,)</f>
        <v>1</v>
      </c>
      <c r="J55" s="71" t="str">
        <f>VLOOKUP(I55,'Dataset-1'!I56:U666,2,)</f>
        <v>Sunday</v>
      </c>
      <c r="K55" s="41">
        <f>VLOOKUP(J55,'Dataset-1'!J56:V666,2,)</f>
        <v>1</v>
      </c>
      <c r="L55" s="41">
        <f>VLOOKUP(K55,'Dataset-1'!K56:W666,2,)</f>
        <v>0.14000000000000001</v>
      </c>
      <c r="M55" s="71" t="str">
        <f>VLOOKUP(L55,'Dataset-1'!L56:X666,2,)</f>
        <v>Rainy</v>
      </c>
      <c r="N55" s="41">
        <f>VLOOKUP(A55,'Dataset-2'!B56:H666,2,)</f>
        <v>0.1212</v>
      </c>
      <c r="O55" s="41">
        <f>VLOOKUP(N55,'Dataset-2'!C56:I666,2,)</f>
        <v>0.5</v>
      </c>
      <c r="P55" s="41">
        <f>VLOOKUP(O55,'Dataset-2'!D56:J666,2,)</f>
        <v>0.28360000000000002</v>
      </c>
      <c r="Q55" s="41">
        <f>VLOOKUP(P55,'Dataset-2'!E56:K666,2,)</f>
        <v>1</v>
      </c>
      <c r="R55" s="41">
        <f>VLOOKUP(Q55,'Dataset-2'!F56:L666,2,)</f>
        <v>153</v>
      </c>
      <c r="S55" s="41">
        <f>VLOOKUP(R55,'Dataset-2'!G56:M666,2,)</f>
        <v>154</v>
      </c>
    </row>
    <row r="56" spans="1:19" x14ac:dyDescent="0.35">
      <c r="A56" s="40">
        <v>55</v>
      </c>
      <c r="B56" s="62">
        <f>VLOOKUP(A56,'Dataset-1'!A57:M667,2,)</f>
        <v>40546</v>
      </c>
      <c r="C56" s="41">
        <f>VLOOKUP(B56,'Dataset-1'!B57:N667,2,)</f>
        <v>1</v>
      </c>
      <c r="D56" s="41">
        <f>VLOOKUP(C56,'Dataset-1'!C57:O667,2,)</f>
        <v>0</v>
      </c>
      <c r="E56" s="41">
        <f>VLOOKUP(D56,'Dataset-1'!D57:P667,2,)</f>
        <v>1</v>
      </c>
      <c r="F56" s="41">
        <f>VLOOKUP(E56,'Dataset-1'!E57:Q667,2,)</f>
        <v>9</v>
      </c>
      <c r="G56" s="71" t="str">
        <f>VLOOKUP(F56,'Dataset-1'!F57:R667,2,)</f>
        <v>Morning</v>
      </c>
      <c r="H56" s="41" t="b">
        <f>VLOOKUP(G56,'Dataset-1'!G57:S667,2,)</f>
        <v>0</v>
      </c>
      <c r="I56" s="41">
        <f>VLOOKUP(H56,'Dataset-1'!H57:T667,2,)</f>
        <v>1</v>
      </c>
      <c r="J56" s="71" t="str">
        <f>VLOOKUP(I56,'Dataset-1'!I57:U667,2,)</f>
        <v>Sunday</v>
      </c>
      <c r="K56" s="41">
        <f>VLOOKUP(J56,'Dataset-1'!J57:V667,2,)</f>
        <v>1</v>
      </c>
      <c r="L56" s="41">
        <f>VLOOKUP(K56,'Dataset-1'!K57:W667,2,)</f>
        <v>0.16</v>
      </c>
      <c r="M56" s="71" t="str">
        <f>VLOOKUP(L56,'Dataset-1'!L57:X667,2,)</f>
        <v>Rainy</v>
      </c>
      <c r="N56" s="41">
        <f>VLOOKUP(A56,'Dataset-2'!B57:H667,2,)</f>
        <v>0.13639999999999999</v>
      </c>
      <c r="O56" s="41">
        <f>VLOOKUP(N56,'Dataset-2'!C57:I667,2,)</f>
        <v>0.43</v>
      </c>
      <c r="P56" s="41">
        <f>VLOOKUP(O56,'Dataset-2'!D57:J667,2,)</f>
        <v>0.3881</v>
      </c>
      <c r="Q56" s="41">
        <f>VLOOKUP(P56,'Dataset-2'!E57:K667,2,)</f>
        <v>7</v>
      </c>
      <c r="R56" s="41">
        <f>VLOOKUP(Q56,'Dataset-2'!F57:L667,2,)</f>
        <v>81</v>
      </c>
      <c r="S56" s="41">
        <f>VLOOKUP(R56,'Dataset-2'!G57:M667,2,)</f>
        <v>88</v>
      </c>
    </row>
    <row r="57" spans="1:19" x14ac:dyDescent="0.35">
      <c r="A57" s="40">
        <v>56</v>
      </c>
      <c r="B57" s="62">
        <f>VLOOKUP(A57,'Dataset-1'!A58:M668,2,)</f>
        <v>40546</v>
      </c>
      <c r="C57" s="41">
        <f>VLOOKUP(B57,'Dataset-1'!B58:N668,2,)</f>
        <v>1</v>
      </c>
      <c r="D57" s="41">
        <f>VLOOKUP(C57,'Dataset-1'!C58:O668,2,)</f>
        <v>0</v>
      </c>
      <c r="E57" s="41">
        <f>VLOOKUP(D57,'Dataset-1'!D58:P668,2,)</f>
        <v>1</v>
      </c>
      <c r="F57" s="41">
        <f>VLOOKUP(E57,'Dataset-1'!E58:Q668,2,)</f>
        <v>10</v>
      </c>
      <c r="G57" s="71" t="str">
        <f>VLOOKUP(F57,'Dataset-1'!F58:R668,2,)</f>
        <v>Morning</v>
      </c>
      <c r="H57" s="41" t="b">
        <f>VLOOKUP(G57,'Dataset-1'!G58:S668,2,)</f>
        <v>0</v>
      </c>
      <c r="I57" s="41">
        <f>VLOOKUP(H57,'Dataset-1'!H58:T668,2,)</f>
        <v>1</v>
      </c>
      <c r="J57" s="71" t="str">
        <f>VLOOKUP(I57,'Dataset-1'!I58:U668,2,)</f>
        <v>Sunday</v>
      </c>
      <c r="K57" s="41">
        <f>VLOOKUP(J57,'Dataset-1'!J58:V668,2,)</f>
        <v>1</v>
      </c>
      <c r="L57" s="41">
        <f>VLOOKUP(K57,'Dataset-1'!K58:W668,2,)</f>
        <v>0.18</v>
      </c>
      <c r="M57" s="71" t="str">
        <f>VLOOKUP(L57,'Dataset-1'!L58:X668,2,)</f>
        <v>Rainy</v>
      </c>
      <c r="N57" s="41">
        <f>VLOOKUP(A57,'Dataset-2'!B58:H668,2,)</f>
        <v>0.16669999999999999</v>
      </c>
      <c r="O57" s="41">
        <f>VLOOKUP(N57,'Dataset-2'!C58:I668,2,)</f>
        <v>0.43</v>
      </c>
      <c r="P57" s="41">
        <f>VLOOKUP(O57,'Dataset-2'!D58:J668,2,)</f>
        <v>0.25369999999999998</v>
      </c>
      <c r="Q57" s="41">
        <f>VLOOKUP(P57,'Dataset-2'!E58:K668,2,)</f>
        <v>11</v>
      </c>
      <c r="R57" s="41">
        <f>VLOOKUP(Q57,'Dataset-2'!F58:L668,2,)</f>
        <v>33</v>
      </c>
      <c r="S57" s="41">
        <f>VLOOKUP(R57,'Dataset-2'!G58:M668,2,)</f>
        <v>44</v>
      </c>
    </row>
    <row r="58" spans="1:19" x14ac:dyDescent="0.35">
      <c r="A58" s="40">
        <v>57</v>
      </c>
      <c r="B58" s="62">
        <f>VLOOKUP(A58,'Dataset-1'!A59:M669,2,)</f>
        <v>40546</v>
      </c>
      <c r="C58" s="41">
        <f>VLOOKUP(B58,'Dataset-1'!B59:N669,2,)</f>
        <v>1</v>
      </c>
      <c r="D58" s="41">
        <f>VLOOKUP(C58,'Dataset-1'!C59:O669,2,)</f>
        <v>0</v>
      </c>
      <c r="E58" s="41">
        <f>VLOOKUP(D58,'Dataset-1'!D59:P669,2,)</f>
        <v>1</v>
      </c>
      <c r="F58" s="41">
        <f>VLOOKUP(E58,'Dataset-1'!E59:Q669,2,)</f>
        <v>11</v>
      </c>
      <c r="G58" s="71" t="str">
        <f>VLOOKUP(F58,'Dataset-1'!F59:R669,2,)</f>
        <v>Morning</v>
      </c>
      <c r="H58" s="41" t="b">
        <f>VLOOKUP(G58,'Dataset-1'!G59:S669,2,)</f>
        <v>0</v>
      </c>
      <c r="I58" s="41">
        <f>VLOOKUP(H58,'Dataset-1'!H59:T669,2,)</f>
        <v>1</v>
      </c>
      <c r="J58" s="71" t="str">
        <f>VLOOKUP(I58,'Dataset-1'!I59:U669,2,)</f>
        <v>Sunday</v>
      </c>
      <c r="K58" s="41">
        <f>VLOOKUP(J58,'Dataset-1'!J59:V669,2,)</f>
        <v>1</v>
      </c>
      <c r="L58" s="41">
        <f>VLOOKUP(K58,'Dataset-1'!K59:W669,2,)</f>
        <v>0.2</v>
      </c>
      <c r="M58" s="71" t="str">
        <f>VLOOKUP(L58,'Dataset-1'!L59:X669,2,)</f>
        <v>Rainy</v>
      </c>
      <c r="N58" s="41">
        <f>VLOOKUP(A58,'Dataset-2'!B59:H669,2,)</f>
        <v>0.18179999999999999</v>
      </c>
      <c r="O58" s="41">
        <f>VLOOKUP(N58,'Dataset-2'!C59:I669,2,)</f>
        <v>0.4</v>
      </c>
      <c r="P58" s="41">
        <f>VLOOKUP(O58,'Dataset-2'!D59:J669,2,)</f>
        <v>0.32840000000000003</v>
      </c>
      <c r="Q58" s="41">
        <f>VLOOKUP(P58,'Dataset-2'!E59:K669,2,)</f>
        <v>10</v>
      </c>
      <c r="R58" s="41">
        <f>VLOOKUP(Q58,'Dataset-2'!F59:L669,2,)</f>
        <v>41</v>
      </c>
      <c r="S58" s="41">
        <f>VLOOKUP(R58,'Dataset-2'!G59:M669,2,)</f>
        <v>51</v>
      </c>
    </row>
    <row r="59" spans="1:19" x14ac:dyDescent="0.35">
      <c r="A59" s="40">
        <v>58</v>
      </c>
      <c r="B59" s="62">
        <f>VLOOKUP(A59,'Dataset-1'!A60:M670,2,)</f>
        <v>40546</v>
      </c>
      <c r="C59" s="41">
        <f>VLOOKUP(B59,'Dataset-1'!B60:N670,2,)</f>
        <v>1</v>
      </c>
      <c r="D59" s="41">
        <f>VLOOKUP(C59,'Dataset-1'!C60:O670,2,)</f>
        <v>0</v>
      </c>
      <c r="E59" s="41">
        <f>VLOOKUP(D59,'Dataset-1'!D60:P670,2,)</f>
        <v>1</v>
      </c>
      <c r="F59" s="41">
        <f>VLOOKUP(E59,'Dataset-1'!E60:Q670,2,)</f>
        <v>12</v>
      </c>
      <c r="G59" s="71" t="str">
        <f>VLOOKUP(F59,'Dataset-1'!F60:R670,2,)</f>
        <v>AfterNoon</v>
      </c>
      <c r="H59" s="41" t="b">
        <f>VLOOKUP(G59,'Dataset-1'!G60:S670,2,)</f>
        <v>0</v>
      </c>
      <c r="I59" s="41">
        <f>VLOOKUP(H59,'Dataset-1'!H60:T670,2,)</f>
        <v>1</v>
      </c>
      <c r="J59" s="71" t="str">
        <f>VLOOKUP(I59,'Dataset-1'!I60:U670,2,)</f>
        <v>Sunday</v>
      </c>
      <c r="K59" s="41">
        <f>VLOOKUP(J59,'Dataset-1'!J60:V670,2,)</f>
        <v>1</v>
      </c>
      <c r="L59" s="41">
        <f>VLOOKUP(K59,'Dataset-1'!K60:W670,2,)</f>
        <v>0.22</v>
      </c>
      <c r="M59" s="71" t="str">
        <f>VLOOKUP(L59,'Dataset-1'!L60:X670,2,)</f>
        <v>Cloudy</v>
      </c>
      <c r="N59" s="41">
        <f>VLOOKUP(A59,'Dataset-2'!B60:H670,2,)</f>
        <v>0.21210000000000001</v>
      </c>
      <c r="O59" s="41">
        <f>VLOOKUP(N59,'Dataset-2'!C60:I670,2,)</f>
        <v>0.35</v>
      </c>
      <c r="P59" s="41">
        <f>VLOOKUP(O59,'Dataset-2'!D60:J670,2,)</f>
        <v>0.29849999999999999</v>
      </c>
      <c r="Q59" s="41">
        <f>VLOOKUP(P59,'Dataset-2'!E60:K670,2,)</f>
        <v>13</v>
      </c>
      <c r="R59" s="41">
        <f>VLOOKUP(Q59,'Dataset-2'!F60:L670,2,)</f>
        <v>48</v>
      </c>
      <c r="S59" s="41">
        <f>VLOOKUP(R59,'Dataset-2'!G60:M670,2,)</f>
        <v>61</v>
      </c>
    </row>
    <row r="60" spans="1:19" x14ac:dyDescent="0.35">
      <c r="A60" s="40">
        <v>59</v>
      </c>
      <c r="B60" s="62">
        <f>VLOOKUP(A60,'Dataset-1'!A61:M671,2,)</f>
        <v>40546</v>
      </c>
      <c r="C60" s="41">
        <f>VLOOKUP(B60,'Dataset-1'!B61:N671,2,)</f>
        <v>1</v>
      </c>
      <c r="D60" s="41">
        <f>VLOOKUP(C60,'Dataset-1'!C61:O671,2,)</f>
        <v>0</v>
      </c>
      <c r="E60" s="41">
        <f>VLOOKUP(D60,'Dataset-1'!D61:P671,2,)</f>
        <v>1</v>
      </c>
      <c r="F60" s="41">
        <f>VLOOKUP(E60,'Dataset-1'!E61:Q671,2,)</f>
        <v>13</v>
      </c>
      <c r="G60" s="71" t="str">
        <f>VLOOKUP(F60,'Dataset-1'!F61:R671,2,)</f>
        <v>AfterNoon</v>
      </c>
      <c r="H60" s="41" t="b">
        <f>VLOOKUP(G60,'Dataset-1'!G61:S671,2,)</f>
        <v>0</v>
      </c>
      <c r="I60" s="41">
        <f>VLOOKUP(H60,'Dataset-1'!H61:T671,2,)</f>
        <v>1</v>
      </c>
      <c r="J60" s="71" t="str">
        <f>VLOOKUP(I60,'Dataset-1'!I61:U671,2,)</f>
        <v>Sunday</v>
      </c>
      <c r="K60" s="41">
        <f>VLOOKUP(J60,'Dataset-1'!J61:V671,2,)</f>
        <v>1</v>
      </c>
      <c r="L60" s="41">
        <f>VLOOKUP(K60,'Dataset-1'!K61:W671,2,)</f>
        <v>0.24</v>
      </c>
      <c r="M60" s="71" t="str">
        <f>VLOOKUP(L60,'Dataset-1'!L61:X671,2,)</f>
        <v>Cloudy</v>
      </c>
      <c r="N60" s="41">
        <f>VLOOKUP(A60,'Dataset-2'!B61:H671,2,)</f>
        <v>0.22725000000000001</v>
      </c>
      <c r="O60" s="41">
        <f>VLOOKUP(N60,'Dataset-2'!C61:I671,2,)</f>
        <v>0.35</v>
      </c>
      <c r="P60" s="41">
        <f>VLOOKUP(O60,'Dataset-2'!D61:J671,2,)</f>
        <v>0.28360000000000002</v>
      </c>
      <c r="Q60" s="41">
        <f>VLOOKUP(P60,'Dataset-2'!E61:K671,2,)</f>
        <v>8</v>
      </c>
      <c r="R60" s="41">
        <f>VLOOKUP(Q60,'Dataset-2'!F61:L671,2,)</f>
        <v>53</v>
      </c>
      <c r="S60" s="41">
        <f>VLOOKUP(R60,'Dataset-2'!G61:M671,2,)</f>
        <v>61</v>
      </c>
    </row>
    <row r="61" spans="1:19" x14ac:dyDescent="0.35">
      <c r="A61" s="40">
        <v>60</v>
      </c>
      <c r="B61" s="62">
        <f>VLOOKUP(A61,'Dataset-1'!A62:M672,2,)</f>
        <v>40546</v>
      </c>
      <c r="C61" s="41">
        <f>VLOOKUP(B61,'Dataset-1'!B62:N672,2,)</f>
        <v>1</v>
      </c>
      <c r="D61" s="41">
        <f>VLOOKUP(C61,'Dataset-1'!C62:O672,2,)</f>
        <v>0</v>
      </c>
      <c r="E61" s="41">
        <f>VLOOKUP(D61,'Dataset-1'!D62:P672,2,)</f>
        <v>1</v>
      </c>
      <c r="F61" s="41">
        <f>VLOOKUP(E61,'Dataset-1'!E62:Q672,2,)</f>
        <v>14</v>
      </c>
      <c r="G61" s="71" t="str">
        <f>VLOOKUP(F61,'Dataset-1'!F62:R672,2,)</f>
        <v>AfterNoon</v>
      </c>
      <c r="H61" s="41" t="b">
        <f>VLOOKUP(G61,'Dataset-1'!G62:S672,2,)</f>
        <v>0</v>
      </c>
      <c r="I61" s="41">
        <f>VLOOKUP(H61,'Dataset-1'!H62:T672,2,)</f>
        <v>1</v>
      </c>
      <c r="J61" s="71" t="str">
        <f>VLOOKUP(I61,'Dataset-1'!I62:U672,2,)</f>
        <v>Sunday</v>
      </c>
      <c r="K61" s="41">
        <f>VLOOKUP(J61,'Dataset-1'!J62:V672,2,)</f>
        <v>1</v>
      </c>
      <c r="L61" s="41">
        <f>VLOOKUP(K61,'Dataset-1'!K62:W672,2,)</f>
        <v>0.26</v>
      </c>
      <c r="M61" s="71" t="str">
        <f>VLOOKUP(L61,'Dataset-1'!L62:X672,2,)</f>
        <v>Cloudy</v>
      </c>
      <c r="N61" s="41">
        <f>VLOOKUP(A61,'Dataset-2'!B62:H672,2,)</f>
        <v>0.2424</v>
      </c>
      <c r="O61" s="41">
        <f>VLOOKUP(N61,'Dataset-2'!C62:I672,2,)</f>
        <v>0.3</v>
      </c>
      <c r="P61" s="41">
        <f>VLOOKUP(O61,'Dataset-2'!D62:J672,2,)</f>
        <v>0.28360000000000002</v>
      </c>
      <c r="Q61" s="41">
        <f>VLOOKUP(P61,'Dataset-2'!E62:K672,2,)</f>
        <v>11</v>
      </c>
      <c r="R61" s="41">
        <f>VLOOKUP(Q61,'Dataset-2'!F62:L672,2,)</f>
        <v>66</v>
      </c>
      <c r="S61" s="41">
        <f>VLOOKUP(R61,'Dataset-2'!G62:M672,2,)</f>
        <v>77</v>
      </c>
    </row>
    <row r="62" spans="1:19" x14ac:dyDescent="0.35">
      <c r="A62" s="40">
        <v>61</v>
      </c>
      <c r="B62" s="62">
        <f>VLOOKUP(A62,'Dataset-1'!A63:M673,2,)</f>
        <v>40546</v>
      </c>
      <c r="C62" s="41">
        <f>VLOOKUP(B62,'Dataset-1'!B63:N673,2,)</f>
        <v>1</v>
      </c>
      <c r="D62" s="41">
        <f>VLOOKUP(C62,'Dataset-1'!C63:O673,2,)</f>
        <v>0</v>
      </c>
      <c r="E62" s="41">
        <f>VLOOKUP(D62,'Dataset-1'!D63:P673,2,)</f>
        <v>1</v>
      </c>
      <c r="F62" s="41">
        <f>VLOOKUP(E62,'Dataset-1'!E63:Q673,2,)</f>
        <v>15</v>
      </c>
      <c r="G62" s="71" t="str">
        <f>VLOOKUP(F62,'Dataset-1'!F63:R673,2,)</f>
        <v>AfterNoon</v>
      </c>
      <c r="H62" s="41" t="b">
        <f>VLOOKUP(G62,'Dataset-1'!G63:S673,2,)</f>
        <v>0</v>
      </c>
      <c r="I62" s="41">
        <f>VLOOKUP(H62,'Dataset-1'!H63:T673,2,)</f>
        <v>1</v>
      </c>
      <c r="J62" s="71" t="str">
        <f>VLOOKUP(I62,'Dataset-1'!I63:U673,2,)</f>
        <v>Sunday</v>
      </c>
      <c r="K62" s="41">
        <f>VLOOKUP(J62,'Dataset-1'!J63:V673,2,)</f>
        <v>1</v>
      </c>
      <c r="L62" s="41">
        <f>VLOOKUP(K62,'Dataset-1'!K63:W673,2,)</f>
        <v>0.26</v>
      </c>
      <c r="M62" s="71" t="str">
        <f>VLOOKUP(L62,'Dataset-1'!L63:X673,2,)</f>
        <v>Cloudy</v>
      </c>
      <c r="N62" s="41">
        <f>VLOOKUP(A62,'Dataset-2'!B63:H673,2,)</f>
        <v>0.2424</v>
      </c>
      <c r="O62" s="41">
        <f>VLOOKUP(N62,'Dataset-2'!C63:I673,2,)</f>
        <v>0.3</v>
      </c>
      <c r="P62" s="41">
        <f>VLOOKUP(O62,'Dataset-2'!D63:J673,2,)</f>
        <v>0.25369999999999998</v>
      </c>
      <c r="Q62" s="41">
        <f>VLOOKUP(P62,'Dataset-2'!E63:K673,2,)</f>
        <v>14</v>
      </c>
      <c r="R62" s="41">
        <f>VLOOKUP(Q62,'Dataset-2'!F63:L673,2,)</f>
        <v>58</v>
      </c>
      <c r="S62" s="41">
        <f>VLOOKUP(R62,'Dataset-2'!G63:M673,2,)</f>
        <v>72</v>
      </c>
    </row>
    <row r="63" spans="1:19" x14ac:dyDescent="0.35">
      <c r="A63" s="40">
        <v>62</v>
      </c>
      <c r="B63" s="62">
        <f>VLOOKUP(A63,'Dataset-1'!A64:M674,2,)</f>
        <v>40546</v>
      </c>
      <c r="C63" s="41">
        <f>VLOOKUP(B63,'Dataset-1'!B64:N674,2,)</f>
        <v>1</v>
      </c>
      <c r="D63" s="41">
        <f>VLOOKUP(C63,'Dataset-1'!C64:O674,2,)</f>
        <v>0</v>
      </c>
      <c r="E63" s="41">
        <f>VLOOKUP(D63,'Dataset-1'!D64:P674,2,)</f>
        <v>1</v>
      </c>
      <c r="F63" s="41">
        <f>VLOOKUP(E63,'Dataset-1'!E64:Q674,2,)</f>
        <v>16</v>
      </c>
      <c r="G63" s="71" t="str">
        <f>VLOOKUP(F63,'Dataset-1'!F64:R674,2,)</f>
        <v>AfterNoon</v>
      </c>
      <c r="H63" s="41" t="b">
        <f>VLOOKUP(G63,'Dataset-1'!G64:S674,2,)</f>
        <v>0</v>
      </c>
      <c r="I63" s="41">
        <f>VLOOKUP(H63,'Dataset-1'!H64:T674,2,)</f>
        <v>1</v>
      </c>
      <c r="J63" s="71" t="str">
        <f>VLOOKUP(I63,'Dataset-1'!I64:U674,2,)</f>
        <v>Sunday</v>
      </c>
      <c r="K63" s="41">
        <f>VLOOKUP(J63,'Dataset-1'!J64:V674,2,)</f>
        <v>1</v>
      </c>
      <c r="L63" s="41">
        <f>VLOOKUP(K63,'Dataset-1'!K64:W674,2,)</f>
        <v>0.26</v>
      </c>
      <c r="M63" s="71" t="str">
        <f>VLOOKUP(L63,'Dataset-1'!L64:X674,2,)</f>
        <v>Cloudy</v>
      </c>
      <c r="N63" s="41">
        <f>VLOOKUP(A63,'Dataset-2'!B64:H674,2,)</f>
        <v>0.2424</v>
      </c>
      <c r="O63" s="41">
        <f>VLOOKUP(N63,'Dataset-2'!C64:I674,2,)</f>
        <v>0.3</v>
      </c>
      <c r="P63" s="41">
        <f>VLOOKUP(O63,'Dataset-2'!D64:J674,2,)</f>
        <v>0.25369999999999998</v>
      </c>
      <c r="Q63" s="41">
        <f>VLOOKUP(P63,'Dataset-2'!E64:K674,2,)</f>
        <v>9</v>
      </c>
      <c r="R63" s="41">
        <f>VLOOKUP(Q63,'Dataset-2'!F64:L674,2,)</f>
        <v>67</v>
      </c>
      <c r="S63" s="41">
        <f>VLOOKUP(R63,'Dataset-2'!G64:M674,2,)</f>
        <v>76</v>
      </c>
    </row>
    <row r="64" spans="1:19" x14ac:dyDescent="0.35">
      <c r="A64" s="40">
        <v>63</v>
      </c>
      <c r="B64" s="62">
        <f>VLOOKUP(A64,'Dataset-1'!A65:M675,2,)</f>
        <v>40546</v>
      </c>
      <c r="C64" s="41">
        <f>VLOOKUP(B64,'Dataset-1'!B65:N675,2,)</f>
        <v>1</v>
      </c>
      <c r="D64" s="41">
        <f>VLOOKUP(C64,'Dataset-1'!C65:O675,2,)</f>
        <v>0</v>
      </c>
      <c r="E64" s="41">
        <f>VLOOKUP(D64,'Dataset-1'!D65:P675,2,)</f>
        <v>1</v>
      </c>
      <c r="F64" s="41">
        <f>VLOOKUP(E64,'Dataset-1'!E65:Q675,2,)</f>
        <v>17</v>
      </c>
      <c r="G64" s="71" t="str">
        <f>VLOOKUP(F64,'Dataset-1'!F65:R675,2,)</f>
        <v>Evening</v>
      </c>
      <c r="H64" s="41" t="b">
        <f>VLOOKUP(G64,'Dataset-1'!G65:S675,2,)</f>
        <v>0</v>
      </c>
      <c r="I64" s="41">
        <f>VLOOKUP(H64,'Dataset-1'!H65:T675,2,)</f>
        <v>1</v>
      </c>
      <c r="J64" s="71" t="str">
        <f>VLOOKUP(I64,'Dataset-1'!I65:U675,2,)</f>
        <v>Sunday</v>
      </c>
      <c r="K64" s="41">
        <f>VLOOKUP(J64,'Dataset-1'!J65:V675,2,)</f>
        <v>1</v>
      </c>
      <c r="L64" s="41">
        <f>VLOOKUP(K64,'Dataset-1'!K65:W675,2,)</f>
        <v>0.24</v>
      </c>
      <c r="M64" s="71" t="str">
        <f>VLOOKUP(L64,'Dataset-1'!L65:X675,2,)</f>
        <v>Cloudy</v>
      </c>
      <c r="N64" s="41">
        <f>VLOOKUP(A64,'Dataset-2'!B65:H675,2,)</f>
        <v>0.2273</v>
      </c>
      <c r="O64" s="41">
        <f>VLOOKUP(N64,'Dataset-2'!C65:I675,2,)</f>
        <v>0.3</v>
      </c>
      <c r="P64" s="41">
        <f>VLOOKUP(O64,'Dataset-2'!D65:J675,2,)</f>
        <v>0.22389999999999999</v>
      </c>
      <c r="Q64" s="41">
        <f>VLOOKUP(P64,'Dataset-2'!E65:K675,2,)</f>
        <v>11</v>
      </c>
      <c r="R64" s="41">
        <f>VLOOKUP(Q64,'Dataset-2'!F65:L675,2,)</f>
        <v>146</v>
      </c>
      <c r="S64" s="41">
        <f>VLOOKUP(R64,'Dataset-2'!G65:M675,2,)</f>
        <v>157</v>
      </c>
    </row>
    <row r="65" spans="1:19" x14ac:dyDescent="0.35">
      <c r="A65" s="40">
        <v>64</v>
      </c>
      <c r="B65" s="62">
        <f>VLOOKUP(A65,'Dataset-1'!A66:M676,2,)</f>
        <v>40546</v>
      </c>
      <c r="C65" s="41">
        <f>VLOOKUP(B65,'Dataset-1'!B66:N676,2,)</f>
        <v>1</v>
      </c>
      <c r="D65" s="41">
        <f>VLOOKUP(C65,'Dataset-1'!C66:O676,2,)</f>
        <v>0</v>
      </c>
      <c r="E65" s="41">
        <f>VLOOKUP(D65,'Dataset-1'!D66:P676,2,)</f>
        <v>1</v>
      </c>
      <c r="F65" s="41">
        <f>VLOOKUP(E65,'Dataset-1'!E66:Q676,2,)</f>
        <v>18</v>
      </c>
      <c r="G65" s="71" t="str">
        <f>VLOOKUP(F65,'Dataset-1'!F66:R676,2,)</f>
        <v>Evening</v>
      </c>
      <c r="H65" s="41" t="b">
        <f>VLOOKUP(G65,'Dataset-1'!G66:S676,2,)</f>
        <v>0</v>
      </c>
      <c r="I65" s="41">
        <f>VLOOKUP(H65,'Dataset-1'!H66:T676,2,)</f>
        <v>1</v>
      </c>
      <c r="J65" s="71" t="str">
        <f>VLOOKUP(I65,'Dataset-1'!I66:U676,2,)</f>
        <v>Sunday</v>
      </c>
      <c r="K65" s="41">
        <f>VLOOKUP(J65,'Dataset-1'!J66:V676,2,)</f>
        <v>1</v>
      </c>
      <c r="L65" s="41">
        <f>VLOOKUP(K65,'Dataset-1'!K66:W676,2,)</f>
        <v>0.24</v>
      </c>
      <c r="M65" s="71" t="str">
        <f>VLOOKUP(L65,'Dataset-1'!L66:X676,2,)</f>
        <v>Cloudy</v>
      </c>
      <c r="N65" s="41">
        <f>VLOOKUP(A65,'Dataset-2'!B66:H676,2,)</f>
        <v>0.2576</v>
      </c>
      <c r="O65" s="41">
        <f>VLOOKUP(N65,'Dataset-2'!C66:I676,2,)</f>
        <v>0.32</v>
      </c>
      <c r="P65" s="41">
        <f>VLOOKUP(O65,'Dataset-2'!D66:J676,2,)</f>
        <v>0.1045</v>
      </c>
      <c r="Q65" s="41">
        <f>VLOOKUP(P65,'Dataset-2'!E66:K676,2,)</f>
        <v>9</v>
      </c>
      <c r="R65" s="41">
        <f>VLOOKUP(Q65,'Dataset-2'!F66:L676,2,)</f>
        <v>148</v>
      </c>
      <c r="S65" s="41">
        <f>VLOOKUP(R65,'Dataset-2'!G66:M676,2,)</f>
        <v>157</v>
      </c>
    </row>
    <row r="66" spans="1:19" x14ac:dyDescent="0.35">
      <c r="A66" s="40">
        <v>65</v>
      </c>
      <c r="B66" s="62">
        <f>VLOOKUP(A66,'Dataset-1'!A67:M677,2,)</f>
        <v>40546</v>
      </c>
      <c r="C66" s="41">
        <f>VLOOKUP(B66,'Dataset-1'!B67:N677,2,)</f>
        <v>1</v>
      </c>
      <c r="D66" s="41">
        <f>VLOOKUP(C66,'Dataset-1'!C67:O677,2,)</f>
        <v>0</v>
      </c>
      <c r="E66" s="41">
        <f>VLOOKUP(D66,'Dataset-1'!D67:P677,2,)</f>
        <v>1</v>
      </c>
      <c r="F66" s="41">
        <f>VLOOKUP(E66,'Dataset-1'!E67:Q677,2,)</f>
        <v>19</v>
      </c>
      <c r="G66" s="71" t="str">
        <f>VLOOKUP(F66,'Dataset-1'!F67:R677,2,)</f>
        <v>Evening</v>
      </c>
      <c r="H66" s="41" t="b">
        <f>VLOOKUP(G66,'Dataset-1'!G67:S677,2,)</f>
        <v>0</v>
      </c>
      <c r="I66" s="41">
        <f>VLOOKUP(H66,'Dataset-1'!H67:T677,2,)</f>
        <v>1</v>
      </c>
      <c r="J66" s="71" t="str">
        <f>VLOOKUP(I66,'Dataset-1'!I67:U677,2,)</f>
        <v>Sunday</v>
      </c>
      <c r="K66" s="41">
        <f>VLOOKUP(J66,'Dataset-1'!J67:V677,2,)</f>
        <v>1</v>
      </c>
      <c r="L66" s="41">
        <f>VLOOKUP(K66,'Dataset-1'!K67:W677,2,)</f>
        <v>0.2</v>
      </c>
      <c r="M66" s="71" t="str">
        <f>VLOOKUP(L66,'Dataset-1'!L67:X677,2,)</f>
        <v>Rainy</v>
      </c>
      <c r="N66" s="41">
        <f>VLOOKUP(A66,'Dataset-2'!B67:H677,2,)</f>
        <v>0.2576</v>
      </c>
      <c r="O66" s="41">
        <f>VLOOKUP(N66,'Dataset-2'!C67:I677,2,)</f>
        <v>0.47</v>
      </c>
      <c r="P66" s="41">
        <f>VLOOKUP(O66,'Dataset-2'!D67:J677,2,)</f>
        <v>0</v>
      </c>
      <c r="Q66" s="41">
        <f>VLOOKUP(P66,'Dataset-2'!E67:K677,2,)</f>
        <v>8</v>
      </c>
      <c r="R66" s="41">
        <f>VLOOKUP(Q66,'Dataset-2'!F67:L677,2,)</f>
        <v>102</v>
      </c>
      <c r="S66" s="41">
        <f>VLOOKUP(R66,'Dataset-2'!G67:M677,2,)</f>
        <v>110</v>
      </c>
    </row>
    <row r="67" spans="1:19" x14ac:dyDescent="0.35">
      <c r="A67" s="40">
        <v>66</v>
      </c>
      <c r="B67" s="62">
        <f>VLOOKUP(A67,'Dataset-1'!A68:M678,2,)</f>
        <v>40546</v>
      </c>
      <c r="C67" s="41">
        <f>VLOOKUP(B67,'Dataset-1'!B68:N678,2,)</f>
        <v>1</v>
      </c>
      <c r="D67" s="41">
        <f>VLOOKUP(C67,'Dataset-1'!C68:O678,2,)</f>
        <v>0</v>
      </c>
      <c r="E67" s="41">
        <f>VLOOKUP(D67,'Dataset-1'!D68:P678,2,)</f>
        <v>1</v>
      </c>
      <c r="F67" s="41">
        <f>VLOOKUP(E67,'Dataset-1'!E68:Q678,2,)</f>
        <v>20</v>
      </c>
      <c r="G67" s="71" t="str">
        <f>VLOOKUP(F67,'Dataset-1'!F68:R678,2,)</f>
        <v>Night</v>
      </c>
      <c r="H67" s="41" t="b">
        <f>VLOOKUP(G67,'Dataset-1'!G68:S678,2,)</f>
        <v>0</v>
      </c>
      <c r="I67" s="41">
        <f>VLOOKUP(H67,'Dataset-1'!H68:T678,2,)</f>
        <v>1</v>
      </c>
      <c r="J67" s="71" t="str">
        <f>VLOOKUP(I67,'Dataset-1'!I68:U678,2,)</f>
        <v>Sunday</v>
      </c>
      <c r="K67" s="41">
        <f>VLOOKUP(J67,'Dataset-1'!J68:V678,2,)</f>
        <v>1</v>
      </c>
      <c r="L67" s="41">
        <f>VLOOKUP(K67,'Dataset-1'!K68:W678,2,)</f>
        <v>0.2</v>
      </c>
      <c r="M67" s="71" t="str">
        <f>VLOOKUP(L67,'Dataset-1'!L68:X678,2,)</f>
        <v>Rainy</v>
      </c>
      <c r="N67" s="41">
        <f>VLOOKUP(A67,'Dataset-2'!B68:H678,2,)</f>
        <v>0.2273</v>
      </c>
      <c r="O67" s="41">
        <f>VLOOKUP(N67,'Dataset-2'!C68:I678,2,)</f>
        <v>0.47</v>
      </c>
      <c r="P67" s="41">
        <f>VLOOKUP(O67,'Dataset-2'!D68:J678,2,)</f>
        <v>0.1045</v>
      </c>
      <c r="Q67" s="41">
        <f>VLOOKUP(P67,'Dataset-2'!E68:K678,2,)</f>
        <v>3</v>
      </c>
      <c r="R67" s="41">
        <f>VLOOKUP(Q67,'Dataset-2'!F68:L678,2,)</f>
        <v>49</v>
      </c>
      <c r="S67" s="41">
        <f>VLOOKUP(R67,'Dataset-2'!G68:M678,2,)</f>
        <v>52</v>
      </c>
    </row>
    <row r="68" spans="1:19" x14ac:dyDescent="0.35">
      <c r="A68" s="40">
        <v>67</v>
      </c>
      <c r="B68" s="62">
        <f>VLOOKUP(A68,'Dataset-1'!A69:M679,2,)</f>
        <v>40546</v>
      </c>
      <c r="C68" s="41">
        <f>VLOOKUP(B68,'Dataset-1'!B69:N679,2,)</f>
        <v>1</v>
      </c>
      <c r="D68" s="41">
        <f>VLOOKUP(C68,'Dataset-1'!C69:O679,2,)</f>
        <v>0</v>
      </c>
      <c r="E68" s="41">
        <f>VLOOKUP(D68,'Dataset-1'!D69:P679,2,)</f>
        <v>1</v>
      </c>
      <c r="F68" s="41">
        <f>VLOOKUP(E68,'Dataset-1'!E69:Q679,2,)</f>
        <v>21</v>
      </c>
      <c r="G68" s="71" t="str">
        <f>VLOOKUP(F68,'Dataset-1'!F69:R679,2,)</f>
        <v>Night</v>
      </c>
      <c r="H68" s="41" t="b">
        <f>VLOOKUP(G68,'Dataset-1'!G69:S679,2,)</f>
        <v>0</v>
      </c>
      <c r="I68" s="41">
        <f>VLOOKUP(H68,'Dataset-1'!H69:T679,2,)</f>
        <v>1</v>
      </c>
      <c r="J68" s="71" t="str">
        <f>VLOOKUP(I68,'Dataset-1'!I69:U679,2,)</f>
        <v>Sunday</v>
      </c>
      <c r="K68" s="41">
        <f>VLOOKUP(J68,'Dataset-1'!J69:V679,2,)</f>
        <v>1</v>
      </c>
      <c r="L68" s="41">
        <f>VLOOKUP(K68,'Dataset-1'!K69:W679,2,)</f>
        <v>0.18</v>
      </c>
      <c r="M68" s="71" t="str">
        <f>VLOOKUP(L68,'Dataset-1'!L69:X679,2,)</f>
        <v>Rainy</v>
      </c>
      <c r="N68" s="41">
        <f>VLOOKUP(A68,'Dataset-2'!B69:H679,2,)</f>
        <v>0.19700000000000001</v>
      </c>
      <c r="O68" s="41">
        <f>VLOOKUP(N68,'Dataset-2'!C69:I679,2,)</f>
        <v>0.64</v>
      </c>
      <c r="P68" s="41">
        <f>VLOOKUP(O68,'Dataset-2'!D69:J679,2,)</f>
        <v>0.1343</v>
      </c>
      <c r="Q68" s="41">
        <f>VLOOKUP(P68,'Dataset-2'!E69:K679,2,)</f>
        <v>3</v>
      </c>
      <c r="R68" s="41">
        <f>VLOOKUP(Q68,'Dataset-2'!F69:L679,2,)</f>
        <v>49</v>
      </c>
      <c r="S68" s="41">
        <f>VLOOKUP(R68,'Dataset-2'!G69:M679,2,)</f>
        <v>52</v>
      </c>
    </row>
    <row r="69" spans="1:19" x14ac:dyDescent="0.35">
      <c r="A69" s="40">
        <v>68</v>
      </c>
      <c r="B69" s="62">
        <f>VLOOKUP(A69,'Dataset-1'!A70:M680,2,)</f>
        <v>40546</v>
      </c>
      <c r="C69" s="41">
        <f>VLOOKUP(B69,'Dataset-1'!B70:N680,2,)</f>
        <v>1</v>
      </c>
      <c r="D69" s="41">
        <f>VLOOKUP(C69,'Dataset-1'!C70:O680,2,)</f>
        <v>0</v>
      </c>
      <c r="E69" s="41">
        <f>VLOOKUP(D69,'Dataset-1'!D70:P680,2,)</f>
        <v>1</v>
      </c>
      <c r="F69" s="41">
        <f>VLOOKUP(E69,'Dataset-1'!E70:Q680,2,)</f>
        <v>22</v>
      </c>
      <c r="G69" s="71" t="str">
        <f>VLOOKUP(F69,'Dataset-1'!F70:R680,2,)</f>
        <v>Night</v>
      </c>
      <c r="H69" s="41" t="b">
        <f>VLOOKUP(G69,'Dataset-1'!G70:S680,2,)</f>
        <v>0</v>
      </c>
      <c r="I69" s="41">
        <f>VLOOKUP(H69,'Dataset-1'!H70:T680,2,)</f>
        <v>1</v>
      </c>
      <c r="J69" s="71" t="str">
        <f>VLOOKUP(I69,'Dataset-1'!I70:U680,2,)</f>
        <v>Sunday</v>
      </c>
      <c r="K69" s="41">
        <f>VLOOKUP(J69,'Dataset-1'!J70:V680,2,)</f>
        <v>1</v>
      </c>
      <c r="L69" s="41">
        <f>VLOOKUP(K69,'Dataset-1'!K70:W680,2,)</f>
        <v>0.14000000000000001</v>
      </c>
      <c r="M69" s="71" t="str">
        <f>VLOOKUP(L69,'Dataset-1'!L70:X680,2,)</f>
        <v>Rainy</v>
      </c>
      <c r="N69" s="41">
        <f>VLOOKUP(A69,'Dataset-2'!B70:H680,2,)</f>
        <v>0.1515</v>
      </c>
      <c r="O69" s="41">
        <f>VLOOKUP(N69,'Dataset-2'!C70:I680,2,)</f>
        <v>0.69</v>
      </c>
      <c r="P69" s="41">
        <f>VLOOKUP(O69,'Dataset-2'!D70:J680,2,)</f>
        <v>0.1343</v>
      </c>
      <c r="Q69" s="41">
        <f>VLOOKUP(P69,'Dataset-2'!E70:K680,2,)</f>
        <v>0</v>
      </c>
      <c r="R69" s="41">
        <f>VLOOKUP(Q69,'Dataset-2'!F70:L680,2,)</f>
        <v>20</v>
      </c>
      <c r="S69" s="41">
        <f>VLOOKUP(R69,'Dataset-2'!G70:M680,2,)</f>
        <v>20</v>
      </c>
    </row>
    <row r="70" spans="1:19" x14ac:dyDescent="0.35">
      <c r="A70" s="40">
        <v>69</v>
      </c>
      <c r="B70" s="62">
        <f>VLOOKUP(A70,'Dataset-1'!A71:M681,2,)</f>
        <v>40546</v>
      </c>
      <c r="C70" s="41">
        <f>VLOOKUP(B70,'Dataset-1'!B71:N681,2,)</f>
        <v>1</v>
      </c>
      <c r="D70" s="41">
        <f>VLOOKUP(C70,'Dataset-1'!C71:O681,2,)</f>
        <v>0</v>
      </c>
      <c r="E70" s="41">
        <f>VLOOKUP(D70,'Dataset-1'!D71:P681,2,)</f>
        <v>1</v>
      </c>
      <c r="F70" s="41">
        <f>VLOOKUP(E70,'Dataset-1'!E71:Q681,2,)</f>
        <v>23</v>
      </c>
      <c r="G70" s="71" t="str">
        <f>VLOOKUP(F70,'Dataset-1'!F71:R681,2,)</f>
        <v>Night</v>
      </c>
      <c r="H70" s="41" t="b">
        <f>VLOOKUP(G70,'Dataset-1'!G71:S681,2,)</f>
        <v>0</v>
      </c>
      <c r="I70" s="41">
        <f>VLOOKUP(H70,'Dataset-1'!H71:T681,2,)</f>
        <v>1</v>
      </c>
      <c r="J70" s="71" t="str">
        <f>VLOOKUP(I70,'Dataset-1'!I71:U681,2,)</f>
        <v>Sunday</v>
      </c>
      <c r="K70" s="41">
        <f>VLOOKUP(J70,'Dataset-1'!J71:V681,2,)</f>
        <v>1</v>
      </c>
      <c r="L70" s="41">
        <f>VLOOKUP(K70,'Dataset-1'!K71:W681,2,)</f>
        <v>0.18</v>
      </c>
      <c r="M70" s="71" t="str">
        <f>VLOOKUP(L70,'Dataset-1'!L71:X681,2,)</f>
        <v>Rainy</v>
      </c>
      <c r="N70" s="41">
        <f>VLOOKUP(A70,'Dataset-2'!B71:H681,2,)</f>
        <v>0.21210000000000001</v>
      </c>
      <c r="O70" s="41">
        <f>VLOOKUP(N70,'Dataset-2'!C71:I681,2,)</f>
        <v>0.55000000000000004</v>
      </c>
      <c r="P70" s="41">
        <f>VLOOKUP(O70,'Dataset-2'!D71:J681,2,)</f>
        <v>0.1045</v>
      </c>
      <c r="Q70" s="41">
        <f>VLOOKUP(P70,'Dataset-2'!E71:K681,2,)</f>
        <v>1</v>
      </c>
      <c r="R70" s="41">
        <f>VLOOKUP(Q70,'Dataset-2'!F71:L681,2,)</f>
        <v>11</v>
      </c>
      <c r="S70" s="41">
        <f>VLOOKUP(R70,'Dataset-2'!G71:M681,2,)</f>
        <v>12</v>
      </c>
    </row>
    <row r="71" spans="1:19" x14ac:dyDescent="0.35">
      <c r="A71" s="40">
        <v>70</v>
      </c>
      <c r="B71" s="62">
        <f>VLOOKUP(A71,'Dataset-1'!A72:M682,2,)</f>
        <v>40547</v>
      </c>
      <c r="C71" s="41">
        <f>VLOOKUP(B71,'Dataset-1'!B72:N682,2,)</f>
        <v>1</v>
      </c>
      <c r="D71" s="41">
        <f>VLOOKUP(C71,'Dataset-1'!C72:O682,2,)</f>
        <v>0</v>
      </c>
      <c r="E71" s="41">
        <f>VLOOKUP(D71,'Dataset-1'!D72:P682,2,)</f>
        <v>1</v>
      </c>
      <c r="F71" s="41">
        <f>VLOOKUP(E71,'Dataset-1'!E72:Q682,2,)</f>
        <v>0</v>
      </c>
      <c r="G71" s="71" t="str">
        <f>VLOOKUP(F71,'Dataset-1'!F72:R682,2,)</f>
        <v>Night</v>
      </c>
      <c r="H71" s="41" t="b">
        <f>VLOOKUP(G71,'Dataset-1'!G72:S682,2,)</f>
        <v>0</v>
      </c>
      <c r="I71" s="41">
        <f>VLOOKUP(H71,'Dataset-1'!H72:T682,2,)</f>
        <v>2</v>
      </c>
      <c r="J71" s="71" t="str">
        <f>VLOOKUP(I71,'Dataset-1'!I72:U682,2,)</f>
        <v>Monday</v>
      </c>
      <c r="K71" s="41">
        <f>VLOOKUP(J71,'Dataset-1'!J72:V682,2,)</f>
        <v>1</v>
      </c>
      <c r="L71" s="41">
        <f>VLOOKUP(K71,'Dataset-1'!K72:W682,2,)</f>
        <v>0.16</v>
      </c>
      <c r="M71" s="71" t="str">
        <f>VLOOKUP(L71,'Dataset-1'!L72:X682,2,)</f>
        <v>Rainy</v>
      </c>
      <c r="N71" s="41">
        <f>VLOOKUP(A71,'Dataset-2'!B72:H682,2,)</f>
        <v>0.19695000000000001</v>
      </c>
      <c r="O71" s="41">
        <f>VLOOKUP(N71,'Dataset-2'!C72:I682,2,)</f>
        <v>0.55000000000000004</v>
      </c>
      <c r="P71" s="41">
        <f>VLOOKUP(O71,'Dataset-2'!D72:J682,2,)</f>
        <v>0.1045</v>
      </c>
      <c r="Q71" s="41">
        <f>VLOOKUP(P71,'Dataset-2'!E72:K682,2,)</f>
        <v>0</v>
      </c>
      <c r="R71" s="41">
        <f>VLOOKUP(Q71,'Dataset-2'!F72:L682,2,)</f>
        <v>5</v>
      </c>
      <c r="S71" s="41">
        <f>VLOOKUP(R71,'Dataset-2'!G72:M682,2,)</f>
        <v>5</v>
      </c>
    </row>
    <row r="72" spans="1:19" x14ac:dyDescent="0.35">
      <c r="A72" s="40">
        <v>71</v>
      </c>
      <c r="B72" s="62">
        <f>VLOOKUP(A72,'Dataset-1'!A73:M683,2,)</f>
        <v>40547</v>
      </c>
      <c r="C72" s="41">
        <f>VLOOKUP(B72,'Dataset-1'!B73:N683,2,)</f>
        <v>1</v>
      </c>
      <c r="D72" s="41">
        <f>VLOOKUP(C72,'Dataset-1'!C73:O683,2,)</f>
        <v>0</v>
      </c>
      <c r="E72" s="41">
        <f>VLOOKUP(D72,'Dataset-1'!D73:P683,2,)</f>
        <v>1</v>
      </c>
      <c r="F72" s="41">
        <f>VLOOKUP(E72,'Dataset-1'!E73:Q683,2,)</f>
        <v>1</v>
      </c>
      <c r="G72" s="71" t="str">
        <f>VLOOKUP(F72,'Dataset-1'!F73:R683,2,)</f>
        <v>Night</v>
      </c>
      <c r="H72" s="41" t="b">
        <f>VLOOKUP(G72,'Dataset-1'!G73:S683,2,)</f>
        <v>0</v>
      </c>
      <c r="I72" s="41">
        <f>VLOOKUP(H72,'Dataset-1'!H73:T683,2,)</f>
        <v>2</v>
      </c>
      <c r="J72" s="71" t="str">
        <f>VLOOKUP(I72,'Dataset-1'!I73:U683,2,)</f>
        <v>Monday</v>
      </c>
      <c r="K72" s="41">
        <f>VLOOKUP(J72,'Dataset-1'!J73:V683,2,)</f>
        <v>1</v>
      </c>
      <c r="L72" s="41">
        <f>VLOOKUP(K72,'Dataset-1'!K73:W683,2,)</f>
        <v>0.16</v>
      </c>
      <c r="M72" s="71" t="str">
        <f>VLOOKUP(L72,'Dataset-1'!L73:X683,2,)</f>
        <v>Rainy</v>
      </c>
      <c r="N72" s="41">
        <f>VLOOKUP(A72,'Dataset-2'!B73:H683,2,)</f>
        <v>0.18179999999999999</v>
      </c>
      <c r="O72" s="41">
        <f>VLOOKUP(N72,'Dataset-2'!C73:I683,2,)</f>
        <v>0.59</v>
      </c>
      <c r="P72" s="41">
        <f>VLOOKUP(O72,'Dataset-2'!D73:J683,2,)</f>
        <v>0.1045</v>
      </c>
      <c r="Q72" s="41">
        <f>VLOOKUP(P72,'Dataset-2'!E73:K683,2,)</f>
        <v>0</v>
      </c>
      <c r="R72" s="41">
        <f>VLOOKUP(Q72,'Dataset-2'!F73:L683,2,)</f>
        <v>2</v>
      </c>
      <c r="S72" s="41">
        <f>VLOOKUP(R72,'Dataset-2'!G73:M683,2,)</f>
        <v>2</v>
      </c>
    </row>
    <row r="73" spans="1:19" x14ac:dyDescent="0.35">
      <c r="A73" s="40">
        <v>72</v>
      </c>
      <c r="B73" s="62">
        <f>VLOOKUP(A73,'Dataset-1'!A74:M684,2,)</f>
        <v>40547</v>
      </c>
      <c r="C73" s="41">
        <f>VLOOKUP(B73,'Dataset-1'!B74:N684,2,)</f>
        <v>1</v>
      </c>
      <c r="D73" s="41">
        <f>VLOOKUP(C73,'Dataset-1'!C74:O684,2,)</f>
        <v>0</v>
      </c>
      <c r="E73" s="41">
        <f>VLOOKUP(D73,'Dataset-1'!D74:P684,2,)</f>
        <v>1</v>
      </c>
      <c r="F73" s="41">
        <f>VLOOKUP(E73,'Dataset-1'!E74:Q684,2,)</f>
        <v>2</v>
      </c>
      <c r="G73" s="71" t="str">
        <f>VLOOKUP(F73,'Dataset-1'!F74:R684,2,)</f>
        <v>Night</v>
      </c>
      <c r="H73" s="41" t="b">
        <f>VLOOKUP(G73,'Dataset-1'!G74:S684,2,)</f>
        <v>0</v>
      </c>
      <c r="I73" s="41">
        <f>VLOOKUP(H73,'Dataset-1'!H74:T684,2,)</f>
        <v>2</v>
      </c>
      <c r="J73" s="71" t="str">
        <f>VLOOKUP(I73,'Dataset-1'!I74:U684,2,)</f>
        <v>Monday</v>
      </c>
      <c r="K73" s="41">
        <f>VLOOKUP(J73,'Dataset-1'!J74:V684,2,)</f>
        <v>1</v>
      </c>
      <c r="L73" s="41">
        <f>VLOOKUP(K73,'Dataset-1'!K74:W684,2,)</f>
        <v>0.14000000000000001</v>
      </c>
      <c r="M73" s="71" t="str">
        <f>VLOOKUP(L73,'Dataset-1'!L74:X684,2,)</f>
        <v>Rainy</v>
      </c>
      <c r="N73" s="41">
        <f>VLOOKUP(A73,'Dataset-2'!B74:H684,2,)</f>
        <v>0.1515</v>
      </c>
      <c r="O73" s="41">
        <f>VLOOKUP(N73,'Dataset-2'!C74:I684,2,)</f>
        <v>0.63</v>
      </c>
      <c r="P73" s="41">
        <f>VLOOKUP(O73,'Dataset-2'!D74:J684,2,)</f>
        <v>0.1343</v>
      </c>
      <c r="Q73" s="41">
        <f>VLOOKUP(P73,'Dataset-2'!E74:K684,2,)</f>
        <v>0</v>
      </c>
      <c r="R73" s="41">
        <f>VLOOKUP(Q73,'Dataset-2'!F74:L684,2,)</f>
        <v>1</v>
      </c>
      <c r="S73" s="41">
        <f>VLOOKUP(R73,'Dataset-2'!G74:M684,2,)</f>
        <v>1</v>
      </c>
    </row>
    <row r="74" spans="1:19" x14ac:dyDescent="0.35">
      <c r="A74" s="40">
        <v>73</v>
      </c>
      <c r="B74" s="62">
        <f>VLOOKUP(A74,'Dataset-1'!A75:M685,2,)</f>
        <v>40547</v>
      </c>
      <c r="C74" s="41">
        <f>VLOOKUP(B74,'Dataset-1'!B75:N685,2,)</f>
        <v>1</v>
      </c>
      <c r="D74" s="41">
        <f>VLOOKUP(C74,'Dataset-1'!C75:O685,2,)</f>
        <v>0</v>
      </c>
      <c r="E74" s="41">
        <f>VLOOKUP(D74,'Dataset-1'!D75:P685,2,)</f>
        <v>1</v>
      </c>
      <c r="F74" s="41">
        <f>VLOOKUP(E74,'Dataset-1'!E75:Q685,2,)</f>
        <v>4</v>
      </c>
      <c r="G74" s="71" t="str">
        <f>VLOOKUP(F74,'Dataset-1'!F75:R685,2,)</f>
        <v>Night</v>
      </c>
      <c r="H74" s="41" t="b">
        <f>VLOOKUP(G74,'Dataset-1'!G75:S685,2,)</f>
        <v>0</v>
      </c>
      <c r="I74" s="41">
        <f>VLOOKUP(H74,'Dataset-1'!H75:T685,2,)</f>
        <v>2</v>
      </c>
      <c r="J74" s="71" t="str">
        <f>VLOOKUP(I74,'Dataset-1'!I75:U685,2,)</f>
        <v>Monday</v>
      </c>
      <c r="K74" s="41">
        <f>VLOOKUP(J74,'Dataset-1'!J75:V685,2,)</f>
        <v>1</v>
      </c>
      <c r="L74" s="41">
        <f>VLOOKUP(K74,'Dataset-1'!K75:W685,2,)</f>
        <v>0.14000000000000001</v>
      </c>
      <c r="M74" s="71" t="str">
        <f>VLOOKUP(L74,'Dataset-1'!L75:X685,2,)</f>
        <v>Rainy</v>
      </c>
      <c r="N74" s="41">
        <f>VLOOKUP(A74,'Dataset-2'!B75:H685,2,)</f>
        <v>0.18179999999999999</v>
      </c>
      <c r="O74" s="41">
        <f>VLOOKUP(N74,'Dataset-2'!C75:I685,2,)</f>
        <v>0.63</v>
      </c>
      <c r="P74" s="41">
        <f>VLOOKUP(O74,'Dataset-2'!D75:J685,2,)</f>
        <v>8.9599999999999999E-2</v>
      </c>
      <c r="Q74" s="41">
        <f>VLOOKUP(P74,'Dataset-2'!E75:K685,2,)</f>
        <v>0</v>
      </c>
      <c r="R74" s="41">
        <f>VLOOKUP(Q74,'Dataset-2'!F75:L685,2,)</f>
        <v>2</v>
      </c>
      <c r="S74" s="41">
        <f>VLOOKUP(R74,'Dataset-2'!G75:M685,2,)</f>
        <v>2</v>
      </c>
    </row>
    <row r="75" spans="1:19" x14ac:dyDescent="0.35">
      <c r="A75" s="40">
        <v>74</v>
      </c>
      <c r="B75" s="62">
        <f>VLOOKUP(A75,'Dataset-1'!A76:M686,2,)</f>
        <v>40547</v>
      </c>
      <c r="C75" s="41">
        <f>VLOOKUP(B75,'Dataset-1'!B76:N686,2,)</f>
        <v>1</v>
      </c>
      <c r="D75" s="41">
        <f>VLOOKUP(C75,'Dataset-1'!C76:O686,2,)</f>
        <v>0</v>
      </c>
      <c r="E75" s="41">
        <f>VLOOKUP(D75,'Dataset-1'!D76:P686,2,)</f>
        <v>1</v>
      </c>
      <c r="F75" s="41">
        <f>VLOOKUP(E75,'Dataset-1'!E76:Q686,2,)</f>
        <v>5</v>
      </c>
      <c r="G75" s="71" t="str">
        <f>VLOOKUP(F75,'Dataset-1'!F76:R686,2,)</f>
        <v>Morning</v>
      </c>
      <c r="H75" s="41" t="b">
        <f>VLOOKUP(G75,'Dataset-1'!G76:S686,2,)</f>
        <v>0</v>
      </c>
      <c r="I75" s="41">
        <f>VLOOKUP(H75,'Dataset-1'!H76:T686,2,)</f>
        <v>2</v>
      </c>
      <c r="J75" s="71" t="str">
        <f>VLOOKUP(I75,'Dataset-1'!I76:U686,2,)</f>
        <v>Monday</v>
      </c>
      <c r="K75" s="41">
        <f>VLOOKUP(J75,'Dataset-1'!J76:V686,2,)</f>
        <v>1</v>
      </c>
      <c r="L75" s="41">
        <f>VLOOKUP(K75,'Dataset-1'!K76:W686,2,)</f>
        <v>0.12</v>
      </c>
      <c r="M75" s="71" t="str">
        <f>VLOOKUP(L75,'Dataset-1'!L76:X686,2,)</f>
        <v>Rainy</v>
      </c>
      <c r="N75" s="41">
        <f>VLOOKUP(A75,'Dataset-2'!B76:H686,2,)</f>
        <v>0.1515</v>
      </c>
      <c r="O75" s="41">
        <f>VLOOKUP(N75,'Dataset-2'!C76:I686,2,)</f>
        <v>0.68</v>
      </c>
      <c r="P75" s="41">
        <f>VLOOKUP(O75,'Dataset-2'!D76:J686,2,)</f>
        <v>0.1045</v>
      </c>
      <c r="Q75" s="41">
        <f>VLOOKUP(P75,'Dataset-2'!E76:K686,2,)</f>
        <v>0</v>
      </c>
      <c r="R75" s="41">
        <f>VLOOKUP(Q75,'Dataset-2'!F76:L686,2,)</f>
        <v>4</v>
      </c>
      <c r="S75" s="41">
        <f>VLOOKUP(R75,'Dataset-2'!G76:M686,2,)</f>
        <v>4</v>
      </c>
    </row>
    <row r="76" spans="1:19" x14ac:dyDescent="0.35">
      <c r="A76" s="40">
        <v>75</v>
      </c>
      <c r="B76" s="62">
        <f>VLOOKUP(A76,'Dataset-1'!A77:M687,2,)</f>
        <v>40547</v>
      </c>
      <c r="C76" s="41">
        <f>VLOOKUP(B76,'Dataset-1'!B77:N687,2,)</f>
        <v>1</v>
      </c>
      <c r="D76" s="41">
        <f>VLOOKUP(C76,'Dataset-1'!C77:O687,2,)</f>
        <v>0</v>
      </c>
      <c r="E76" s="41">
        <f>VLOOKUP(D76,'Dataset-1'!D77:P687,2,)</f>
        <v>1</v>
      </c>
      <c r="F76" s="41">
        <f>VLOOKUP(E76,'Dataset-1'!E77:Q687,2,)</f>
        <v>6</v>
      </c>
      <c r="G76" s="71" t="str">
        <f>VLOOKUP(F76,'Dataset-1'!F77:R687,2,)</f>
        <v>Morning</v>
      </c>
      <c r="H76" s="41" t="b">
        <f>VLOOKUP(G76,'Dataset-1'!G77:S687,2,)</f>
        <v>0</v>
      </c>
      <c r="I76" s="41">
        <f>VLOOKUP(H76,'Dataset-1'!H77:T687,2,)</f>
        <v>2</v>
      </c>
      <c r="J76" s="71" t="str">
        <f>VLOOKUP(I76,'Dataset-1'!I77:U687,2,)</f>
        <v>Monday</v>
      </c>
      <c r="K76" s="41">
        <f>VLOOKUP(J76,'Dataset-1'!J77:V687,2,)</f>
        <v>1</v>
      </c>
      <c r="L76" s="41">
        <f>VLOOKUP(K76,'Dataset-1'!K77:W687,2,)</f>
        <v>0.12</v>
      </c>
      <c r="M76" s="71" t="str">
        <f>VLOOKUP(L76,'Dataset-1'!L77:X687,2,)</f>
        <v>Rainy</v>
      </c>
      <c r="N76" s="41">
        <f>VLOOKUP(A76,'Dataset-2'!B77:H687,2,)</f>
        <v>0.1515</v>
      </c>
      <c r="O76" s="41">
        <f>VLOOKUP(N76,'Dataset-2'!C77:I687,2,)</f>
        <v>0.74</v>
      </c>
      <c r="P76" s="41">
        <f>VLOOKUP(O76,'Dataset-2'!D77:J687,2,)</f>
        <v>0.1045</v>
      </c>
      <c r="Q76" s="41">
        <f>VLOOKUP(P76,'Dataset-2'!E77:K687,2,)</f>
        <v>0</v>
      </c>
      <c r="R76" s="41">
        <f>VLOOKUP(Q76,'Dataset-2'!F77:L687,2,)</f>
        <v>36</v>
      </c>
      <c r="S76" s="41">
        <f>VLOOKUP(R76,'Dataset-2'!G77:M687,2,)</f>
        <v>36</v>
      </c>
    </row>
    <row r="77" spans="1:19" x14ac:dyDescent="0.35">
      <c r="A77" s="40">
        <v>76</v>
      </c>
      <c r="B77" s="62">
        <f>VLOOKUP(A77,'Dataset-1'!A78:M688,2,)</f>
        <v>40547</v>
      </c>
      <c r="C77" s="41">
        <f>VLOOKUP(B77,'Dataset-1'!B78:N688,2,)</f>
        <v>1</v>
      </c>
      <c r="D77" s="41">
        <f>VLOOKUP(C77,'Dataset-1'!C78:O688,2,)</f>
        <v>0</v>
      </c>
      <c r="E77" s="41">
        <f>VLOOKUP(D77,'Dataset-1'!D78:P688,2,)</f>
        <v>1</v>
      </c>
      <c r="F77" s="41">
        <f>VLOOKUP(E77,'Dataset-1'!E78:Q688,2,)</f>
        <v>7</v>
      </c>
      <c r="G77" s="71" t="str">
        <f>VLOOKUP(F77,'Dataset-1'!F78:R688,2,)</f>
        <v>Morning</v>
      </c>
      <c r="H77" s="41" t="b">
        <f>VLOOKUP(G77,'Dataset-1'!G78:S688,2,)</f>
        <v>0</v>
      </c>
      <c r="I77" s="41">
        <f>VLOOKUP(H77,'Dataset-1'!H78:T688,2,)</f>
        <v>2</v>
      </c>
      <c r="J77" s="71" t="str">
        <f>VLOOKUP(I77,'Dataset-1'!I78:U688,2,)</f>
        <v>Monday</v>
      </c>
      <c r="K77" s="41">
        <f>VLOOKUP(J77,'Dataset-1'!J78:V688,2,)</f>
        <v>1</v>
      </c>
      <c r="L77" s="41">
        <f>VLOOKUP(K77,'Dataset-1'!K78:W688,2,)</f>
        <v>0.12</v>
      </c>
      <c r="M77" s="71" t="str">
        <f>VLOOKUP(L77,'Dataset-1'!L78:X688,2,)</f>
        <v>Rainy</v>
      </c>
      <c r="N77" s="41">
        <f>VLOOKUP(A77,'Dataset-2'!B78:H688,2,)</f>
        <v>0.1515</v>
      </c>
      <c r="O77" s="41">
        <f>VLOOKUP(N77,'Dataset-2'!C78:I688,2,)</f>
        <v>0.74</v>
      </c>
      <c r="P77" s="41">
        <f>VLOOKUP(O77,'Dataset-2'!D78:J688,2,)</f>
        <v>0.1343</v>
      </c>
      <c r="Q77" s="41">
        <f>VLOOKUP(P77,'Dataset-2'!E78:K688,2,)</f>
        <v>2</v>
      </c>
      <c r="R77" s="41">
        <f>VLOOKUP(Q77,'Dataset-2'!F78:L688,2,)</f>
        <v>92</v>
      </c>
      <c r="S77" s="41">
        <f>VLOOKUP(R77,'Dataset-2'!G78:M688,2,)</f>
        <v>94</v>
      </c>
    </row>
    <row r="78" spans="1:19" x14ac:dyDescent="0.35">
      <c r="A78" s="40">
        <v>77</v>
      </c>
      <c r="B78" s="62">
        <f>VLOOKUP(A78,'Dataset-1'!A79:M689,2,)</f>
        <v>40547</v>
      </c>
      <c r="C78" s="41">
        <f>VLOOKUP(B78,'Dataset-1'!B79:N689,2,)</f>
        <v>1</v>
      </c>
      <c r="D78" s="41">
        <f>VLOOKUP(C78,'Dataset-1'!C79:O689,2,)</f>
        <v>0</v>
      </c>
      <c r="E78" s="41">
        <f>VLOOKUP(D78,'Dataset-1'!D79:P689,2,)</f>
        <v>1</v>
      </c>
      <c r="F78" s="41">
        <f>VLOOKUP(E78,'Dataset-1'!E79:Q689,2,)</f>
        <v>8</v>
      </c>
      <c r="G78" s="71" t="str">
        <f>VLOOKUP(F78,'Dataset-1'!F79:R689,2,)</f>
        <v>Morning</v>
      </c>
      <c r="H78" s="41" t="b">
        <f>VLOOKUP(G78,'Dataset-1'!G79:S689,2,)</f>
        <v>0</v>
      </c>
      <c r="I78" s="41">
        <f>VLOOKUP(H78,'Dataset-1'!H79:T689,2,)</f>
        <v>2</v>
      </c>
      <c r="J78" s="71" t="str">
        <f>VLOOKUP(I78,'Dataset-1'!I79:U689,2,)</f>
        <v>Monday</v>
      </c>
      <c r="K78" s="41">
        <f>VLOOKUP(J78,'Dataset-1'!J79:V689,2,)</f>
        <v>1</v>
      </c>
      <c r="L78" s="41">
        <f>VLOOKUP(K78,'Dataset-1'!K79:W689,2,)</f>
        <v>0.14000000000000001</v>
      </c>
      <c r="M78" s="71" t="str">
        <f>VLOOKUP(L78,'Dataset-1'!L79:X689,2,)</f>
        <v>Rainy</v>
      </c>
      <c r="N78" s="41">
        <f>VLOOKUP(A78,'Dataset-2'!B79:H689,2,)</f>
        <v>0.1515</v>
      </c>
      <c r="O78" s="41">
        <f>VLOOKUP(N78,'Dataset-2'!C79:I689,2,)</f>
        <v>0.69</v>
      </c>
      <c r="P78" s="41">
        <f>VLOOKUP(O78,'Dataset-2'!D79:J689,2,)</f>
        <v>0.16420000000000001</v>
      </c>
      <c r="Q78" s="41">
        <f>VLOOKUP(P78,'Dataset-2'!E79:K689,2,)</f>
        <v>2</v>
      </c>
      <c r="R78" s="41">
        <f>VLOOKUP(Q78,'Dataset-2'!F79:L689,2,)</f>
        <v>177</v>
      </c>
      <c r="S78" s="41">
        <f>VLOOKUP(R78,'Dataset-2'!G79:M689,2,)</f>
        <v>179</v>
      </c>
    </row>
    <row r="79" spans="1:19" x14ac:dyDescent="0.35">
      <c r="A79" s="40">
        <v>78</v>
      </c>
      <c r="B79" s="62">
        <f>VLOOKUP(A79,'Dataset-1'!A80:M690,2,)</f>
        <v>40547</v>
      </c>
      <c r="C79" s="41">
        <f>VLOOKUP(B79,'Dataset-1'!B80:N690,2,)</f>
        <v>1</v>
      </c>
      <c r="D79" s="41">
        <f>VLOOKUP(C79,'Dataset-1'!C80:O690,2,)</f>
        <v>0</v>
      </c>
      <c r="E79" s="41">
        <f>VLOOKUP(D79,'Dataset-1'!D80:P690,2,)</f>
        <v>1</v>
      </c>
      <c r="F79" s="41">
        <f>VLOOKUP(E79,'Dataset-1'!E80:Q690,2,)</f>
        <v>9</v>
      </c>
      <c r="G79" s="71" t="str">
        <f>VLOOKUP(F79,'Dataset-1'!F80:R690,2,)</f>
        <v>Morning</v>
      </c>
      <c r="H79" s="41" t="b">
        <f>VLOOKUP(G79,'Dataset-1'!G80:S690,2,)</f>
        <v>0</v>
      </c>
      <c r="I79" s="41">
        <f>VLOOKUP(H79,'Dataset-1'!H80:T690,2,)</f>
        <v>2</v>
      </c>
      <c r="J79" s="71" t="str">
        <f>VLOOKUP(I79,'Dataset-1'!I80:U690,2,)</f>
        <v>Monday</v>
      </c>
      <c r="K79" s="41">
        <f>VLOOKUP(J79,'Dataset-1'!J80:V690,2,)</f>
        <v>1</v>
      </c>
      <c r="L79" s="41">
        <f>VLOOKUP(K79,'Dataset-1'!K80:W690,2,)</f>
        <v>0.16</v>
      </c>
      <c r="M79" s="71" t="str">
        <f>VLOOKUP(L79,'Dataset-1'!L80:X690,2,)</f>
        <v>Rainy</v>
      </c>
      <c r="N79" s="41">
        <f>VLOOKUP(A79,'Dataset-2'!B80:H690,2,)</f>
        <v>0.1515</v>
      </c>
      <c r="O79" s="41">
        <f>VLOOKUP(N79,'Dataset-2'!C80:I690,2,)</f>
        <v>0.64</v>
      </c>
      <c r="P79" s="41">
        <f>VLOOKUP(O79,'Dataset-2'!D80:J690,2,)</f>
        <v>0.22389999999999999</v>
      </c>
      <c r="Q79" s="41">
        <f>VLOOKUP(P79,'Dataset-2'!E80:K690,2,)</f>
        <v>2</v>
      </c>
      <c r="R79" s="41">
        <f>VLOOKUP(Q79,'Dataset-2'!F80:L690,2,)</f>
        <v>98</v>
      </c>
      <c r="S79" s="41">
        <f>VLOOKUP(R79,'Dataset-2'!G80:M690,2,)</f>
        <v>100</v>
      </c>
    </row>
    <row r="80" spans="1:19" x14ac:dyDescent="0.35">
      <c r="A80" s="40">
        <v>79</v>
      </c>
      <c r="B80" s="62">
        <f>VLOOKUP(A80,'Dataset-1'!A81:M691,2,)</f>
        <v>40547</v>
      </c>
      <c r="C80" s="41">
        <f>VLOOKUP(B80,'Dataset-1'!B81:N691,2,)</f>
        <v>1</v>
      </c>
      <c r="D80" s="41">
        <f>VLOOKUP(C80,'Dataset-1'!C81:O691,2,)</f>
        <v>0</v>
      </c>
      <c r="E80" s="41">
        <f>VLOOKUP(D80,'Dataset-1'!D81:P691,2,)</f>
        <v>1</v>
      </c>
      <c r="F80" s="41">
        <f>VLOOKUP(E80,'Dataset-1'!E81:Q691,2,)</f>
        <v>10</v>
      </c>
      <c r="G80" s="71" t="str">
        <f>VLOOKUP(F80,'Dataset-1'!F81:R691,2,)</f>
        <v>Morning</v>
      </c>
      <c r="H80" s="41" t="b">
        <f>VLOOKUP(G80,'Dataset-1'!G81:S691,2,)</f>
        <v>0</v>
      </c>
      <c r="I80" s="41">
        <f>VLOOKUP(H80,'Dataset-1'!H81:T691,2,)</f>
        <v>2</v>
      </c>
      <c r="J80" s="71" t="str">
        <f>VLOOKUP(I80,'Dataset-1'!I81:U691,2,)</f>
        <v>Monday</v>
      </c>
      <c r="K80" s="41">
        <f>VLOOKUP(J80,'Dataset-1'!J81:V691,2,)</f>
        <v>2</v>
      </c>
      <c r="L80" s="41">
        <f>VLOOKUP(K80,'Dataset-1'!K81:W691,2,)</f>
        <v>0.16</v>
      </c>
      <c r="M80" s="71" t="str">
        <f>VLOOKUP(L80,'Dataset-1'!L81:X691,2,)</f>
        <v>Rainy</v>
      </c>
      <c r="N80" s="41">
        <f>VLOOKUP(A80,'Dataset-2'!B81:H691,2,)</f>
        <v>0.13639999999999999</v>
      </c>
      <c r="O80" s="41">
        <f>VLOOKUP(N80,'Dataset-2'!C81:I691,2,)</f>
        <v>0.69</v>
      </c>
      <c r="P80" s="41">
        <f>VLOOKUP(O80,'Dataset-2'!D81:J691,2,)</f>
        <v>0.32840000000000003</v>
      </c>
      <c r="Q80" s="41">
        <f>VLOOKUP(P80,'Dataset-2'!E81:K691,2,)</f>
        <v>5</v>
      </c>
      <c r="R80" s="41">
        <f>VLOOKUP(Q80,'Dataset-2'!F81:L691,2,)</f>
        <v>37</v>
      </c>
      <c r="S80" s="41">
        <f>VLOOKUP(R80,'Dataset-2'!G81:M691,2,)</f>
        <v>42</v>
      </c>
    </row>
    <row r="81" spans="1:19" x14ac:dyDescent="0.35">
      <c r="A81" s="40">
        <v>80</v>
      </c>
      <c r="B81" s="62">
        <f>VLOOKUP(A81,'Dataset-1'!A82:M692,2,)</f>
        <v>40547</v>
      </c>
      <c r="C81" s="41">
        <f>VLOOKUP(B81,'Dataset-1'!B82:N692,2,)</f>
        <v>1</v>
      </c>
      <c r="D81" s="41">
        <f>VLOOKUP(C81,'Dataset-1'!C82:O692,2,)</f>
        <v>0</v>
      </c>
      <c r="E81" s="41">
        <f>VLOOKUP(D81,'Dataset-1'!D82:P692,2,)</f>
        <v>1</v>
      </c>
      <c r="F81" s="41">
        <f>VLOOKUP(E81,'Dataset-1'!E82:Q692,2,)</f>
        <v>11</v>
      </c>
      <c r="G81" s="71" t="str">
        <f>VLOOKUP(F81,'Dataset-1'!F82:R692,2,)</f>
        <v>Morning</v>
      </c>
      <c r="H81" s="41" t="b">
        <f>VLOOKUP(G81,'Dataset-1'!G82:S692,2,)</f>
        <v>0</v>
      </c>
      <c r="I81" s="41">
        <f>VLOOKUP(H81,'Dataset-1'!H82:T692,2,)</f>
        <v>2</v>
      </c>
      <c r="J81" s="71" t="str">
        <f>VLOOKUP(I81,'Dataset-1'!I82:U692,2,)</f>
        <v>Monday</v>
      </c>
      <c r="K81" s="41">
        <f>VLOOKUP(J81,'Dataset-1'!J82:V692,2,)</f>
        <v>1</v>
      </c>
      <c r="L81" s="41">
        <f>VLOOKUP(K81,'Dataset-1'!K82:W692,2,)</f>
        <v>0.22</v>
      </c>
      <c r="M81" s="71" t="str">
        <f>VLOOKUP(L81,'Dataset-1'!L82:X692,2,)</f>
        <v>Cloudy</v>
      </c>
      <c r="N81" s="41">
        <f>VLOOKUP(A81,'Dataset-2'!B82:H692,2,)</f>
        <v>0.21210000000000001</v>
      </c>
      <c r="O81" s="41">
        <f>VLOOKUP(N81,'Dataset-2'!C82:I692,2,)</f>
        <v>0.51</v>
      </c>
      <c r="P81" s="41">
        <f>VLOOKUP(O81,'Dataset-2'!D82:J692,2,)</f>
        <v>0.29849999999999999</v>
      </c>
      <c r="Q81" s="41">
        <f>VLOOKUP(P81,'Dataset-2'!E82:K692,2,)</f>
        <v>7</v>
      </c>
      <c r="R81" s="41">
        <f>VLOOKUP(Q81,'Dataset-2'!F82:L692,2,)</f>
        <v>50</v>
      </c>
      <c r="S81" s="41">
        <f>VLOOKUP(R81,'Dataset-2'!G82:M692,2,)</f>
        <v>57</v>
      </c>
    </row>
    <row r="82" spans="1:19" x14ac:dyDescent="0.35">
      <c r="A82" s="40">
        <v>81</v>
      </c>
      <c r="B82" s="62">
        <f>VLOOKUP(A82,'Dataset-1'!A83:M693,2,)</f>
        <v>40547</v>
      </c>
      <c r="C82" s="41">
        <f>VLOOKUP(B82,'Dataset-1'!B83:N693,2,)</f>
        <v>1</v>
      </c>
      <c r="D82" s="41">
        <f>VLOOKUP(C82,'Dataset-1'!C83:O693,2,)</f>
        <v>0</v>
      </c>
      <c r="E82" s="41">
        <f>VLOOKUP(D82,'Dataset-1'!D83:P693,2,)</f>
        <v>1</v>
      </c>
      <c r="F82" s="41">
        <f>VLOOKUP(E82,'Dataset-1'!E83:Q693,2,)</f>
        <v>12</v>
      </c>
      <c r="G82" s="71" t="str">
        <f>VLOOKUP(F82,'Dataset-1'!F83:R693,2,)</f>
        <v>AfterNoon</v>
      </c>
      <c r="H82" s="41" t="b">
        <f>VLOOKUP(G82,'Dataset-1'!G83:S693,2,)</f>
        <v>0</v>
      </c>
      <c r="I82" s="41">
        <f>VLOOKUP(H82,'Dataset-1'!H83:T693,2,)</f>
        <v>2</v>
      </c>
      <c r="J82" s="71" t="str">
        <f>VLOOKUP(I82,'Dataset-1'!I83:U693,2,)</f>
        <v>Monday</v>
      </c>
      <c r="K82" s="41">
        <f>VLOOKUP(J82,'Dataset-1'!J83:V693,2,)</f>
        <v>1</v>
      </c>
      <c r="L82" s="41">
        <f>VLOOKUP(K82,'Dataset-1'!K83:W693,2,)</f>
        <v>0.22</v>
      </c>
      <c r="M82" s="71" t="str">
        <f>VLOOKUP(L82,'Dataset-1'!L83:X693,2,)</f>
        <v>Cloudy</v>
      </c>
      <c r="N82" s="41">
        <f>VLOOKUP(A82,'Dataset-2'!B83:H693,2,)</f>
        <v>0.2273</v>
      </c>
      <c r="O82" s="41">
        <f>VLOOKUP(N82,'Dataset-2'!C83:I693,2,)</f>
        <v>0.51</v>
      </c>
      <c r="P82" s="41">
        <f>VLOOKUP(O82,'Dataset-2'!D83:J693,2,)</f>
        <v>0.16420000000000001</v>
      </c>
      <c r="Q82" s="41">
        <f>VLOOKUP(P82,'Dataset-2'!E83:K693,2,)</f>
        <v>12</v>
      </c>
      <c r="R82" s="41">
        <f>VLOOKUP(Q82,'Dataset-2'!F83:L693,2,)</f>
        <v>66</v>
      </c>
      <c r="S82" s="41">
        <f>VLOOKUP(R82,'Dataset-2'!G83:M693,2,)</f>
        <v>78</v>
      </c>
    </row>
    <row r="83" spans="1:19" x14ac:dyDescent="0.35">
      <c r="A83" s="40">
        <v>82</v>
      </c>
      <c r="B83" s="62">
        <f>VLOOKUP(A83,'Dataset-1'!A84:M694,2,)</f>
        <v>40547</v>
      </c>
      <c r="C83" s="41">
        <f>VLOOKUP(B83,'Dataset-1'!B84:N694,2,)</f>
        <v>1</v>
      </c>
      <c r="D83" s="41">
        <f>VLOOKUP(C83,'Dataset-1'!C84:O694,2,)</f>
        <v>0</v>
      </c>
      <c r="E83" s="41">
        <f>VLOOKUP(D83,'Dataset-1'!D84:P694,2,)</f>
        <v>1</v>
      </c>
      <c r="F83" s="41">
        <f>VLOOKUP(E83,'Dataset-1'!E84:Q694,2,)</f>
        <v>13</v>
      </c>
      <c r="G83" s="71" t="str">
        <f>VLOOKUP(F83,'Dataset-1'!F84:R694,2,)</f>
        <v>AfterNoon</v>
      </c>
      <c r="H83" s="41" t="b">
        <f>VLOOKUP(G83,'Dataset-1'!G84:S694,2,)</f>
        <v>0</v>
      </c>
      <c r="I83" s="41">
        <f>VLOOKUP(H83,'Dataset-1'!H84:T694,2,)</f>
        <v>2</v>
      </c>
      <c r="J83" s="71" t="str">
        <f>VLOOKUP(I83,'Dataset-1'!I84:U694,2,)</f>
        <v>Monday</v>
      </c>
      <c r="K83" s="41">
        <f>VLOOKUP(J83,'Dataset-1'!J84:V694,2,)</f>
        <v>1</v>
      </c>
      <c r="L83" s="41">
        <f>VLOOKUP(K83,'Dataset-1'!K84:W694,2,)</f>
        <v>0.24</v>
      </c>
      <c r="M83" s="71" t="str">
        <f>VLOOKUP(L83,'Dataset-1'!L84:X694,2,)</f>
        <v>Cloudy</v>
      </c>
      <c r="N83" s="41">
        <f>VLOOKUP(A83,'Dataset-2'!B84:H694,2,)</f>
        <v>0.2273</v>
      </c>
      <c r="O83" s="41">
        <f>VLOOKUP(N83,'Dataset-2'!C84:I694,2,)</f>
        <v>0.56000000000000005</v>
      </c>
      <c r="P83" s="41">
        <f>VLOOKUP(O83,'Dataset-2'!D84:J694,2,)</f>
        <v>0.19400000000000001</v>
      </c>
      <c r="Q83" s="41">
        <f>VLOOKUP(P83,'Dataset-2'!E84:K694,2,)</f>
        <v>18</v>
      </c>
      <c r="R83" s="41">
        <f>VLOOKUP(Q83,'Dataset-2'!F84:L694,2,)</f>
        <v>79</v>
      </c>
      <c r="S83" s="41">
        <f>VLOOKUP(R83,'Dataset-2'!G84:M694,2,)</f>
        <v>97</v>
      </c>
    </row>
    <row r="84" spans="1:19" x14ac:dyDescent="0.35">
      <c r="A84" s="40">
        <v>83</v>
      </c>
      <c r="B84" s="62">
        <f>VLOOKUP(A84,'Dataset-1'!A85:M695,2,)</f>
        <v>40547</v>
      </c>
      <c r="C84" s="41">
        <f>VLOOKUP(B84,'Dataset-1'!B85:N695,2,)</f>
        <v>1</v>
      </c>
      <c r="D84" s="41">
        <f>VLOOKUP(C84,'Dataset-1'!C85:O695,2,)</f>
        <v>0</v>
      </c>
      <c r="E84" s="41">
        <f>VLOOKUP(D84,'Dataset-1'!D85:P695,2,)</f>
        <v>1</v>
      </c>
      <c r="F84" s="41">
        <f>VLOOKUP(E84,'Dataset-1'!E85:Q695,2,)</f>
        <v>14</v>
      </c>
      <c r="G84" s="71" t="str">
        <f>VLOOKUP(F84,'Dataset-1'!F85:R695,2,)</f>
        <v>AfterNoon</v>
      </c>
      <c r="H84" s="41" t="b">
        <f>VLOOKUP(G84,'Dataset-1'!G85:S695,2,)</f>
        <v>0</v>
      </c>
      <c r="I84" s="41">
        <f>VLOOKUP(H84,'Dataset-1'!H85:T695,2,)</f>
        <v>2</v>
      </c>
      <c r="J84" s="71" t="str">
        <f>VLOOKUP(I84,'Dataset-1'!I85:U695,2,)</f>
        <v>Monday</v>
      </c>
      <c r="K84" s="41">
        <f>VLOOKUP(J84,'Dataset-1'!J85:V695,2,)</f>
        <v>1</v>
      </c>
      <c r="L84" s="41">
        <f>VLOOKUP(K84,'Dataset-1'!K85:W695,2,)</f>
        <v>0.26</v>
      </c>
      <c r="M84" s="71" t="str">
        <f>VLOOKUP(L84,'Dataset-1'!L85:X695,2,)</f>
        <v>Cloudy</v>
      </c>
      <c r="N84" s="41">
        <f>VLOOKUP(A84,'Dataset-2'!B85:H695,2,)</f>
        <v>0.2576</v>
      </c>
      <c r="O84" s="41">
        <f>VLOOKUP(N84,'Dataset-2'!C85:I695,2,)</f>
        <v>0.52</v>
      </c>
      <c r="P84" s="41">
        <f>VLOOKUP(O84,'Dataset-2'!D85:J695,2,)</f>
        <v>0.22389999999999999</v>
      </c>
      <c r="Q84" s="41">
        <f>VLOOKUP(P84,'Dataset-2'!E85:K695,2,)</f>
        <v>9</v>
      </c>
      <c r="R84" s="41">
        <f>VLOOKUP(Q84,'Dataset-2'!F85:L695,2,)</f>
        <v>54</v>
      </c>
      <c r="S84" s="41">
        <f>VLOOKUP(R84,'Dataset-2'!G85:M695,2,)</f>
        <v>63</v>
      </c>
    </row>
    <row r="85" spans="1:19" x14ac:dyDescent="0.35">
      <c r="A85" s="40">
        <v>84</v>
      </c>
      <c r="B85" s="62">
        <f>VLOOKUP(A85,'Dataset-1'!A86:M696,2,)</f>
        <v>40547</v>
      </c>
      <c r="C85" s="41">
        <f>VLOOKUP(B85,'Dataset-1'!B86:N696,2,)</f>
        <v>1</v>
      </c>
      <c r="D85" s="41">
        <f>VLOOKUP(C85,'Dataset-1'!C86:O696,2,)</f>
        <v>0</v>
      </c>
      <c r="E85" s="41">
        <f>VLOOKUP(D85,'Dataset-1'!D86:P696,2,)</f>
        <v>1</v>
      </c>
      <c r="F85" s="41">
        <f>VLOOKUP(E85,'Dataset-1'!E86:Q696,2,)</f>
        <v>15</v>
      </c>
      <c r="G85" s="71" t="str">
        <f>VLOOKUP(F85,'Dataset-1'!F86:R696,2,)</f>
        <v>AfterNoon</v>
      </c>
      <c r="H85" s="41" t="b">
        <f>VLOOKUP(G85,'Dataset-1'!G86:S696,2,)</f>
        <v>0</v>
      </c>
      <c r="I85" s="41">
        <f>VLOOKUP(H85,'Dataset-1'!H86:T696,2,)</f>
        <v>2</v>
      </c>
      <c r="J85" s="71" t="str">
        <f>VLOOKUP(I85,'Dataset-1'!I86:U696,2,)</f>
        <v>Monday</v>
      </c>
      <c r="K85" s="41">
        <f>VLOOKUP(J85,'Dataset-1'!J86:V696,2,)</f>
        <v>1</v>
      </c>
      <c r="L85" s="41">
        <f>VLOOKUP(K85,'Dataset-1'!K86:W696,2,)</f>
        <v>0.28000000000000003</v>
      </c>
      <c r="M85" s="71" t="str">
        <f>VLOOKUP(L85,'Dataset-1'!L86:X696,2,)</f>
        <v>Cloudy</v>
      </c>
      <c r="N85" s="41">
        <f>VLOOKUP(A85,'Dataset-2'!B86:H696,2,)</f>
        <v>0.2727</v>
      </c>
      <c r="O85" s="41">
        <f>VLOOKUP(N85,'Dataset-2'!C86:I696,2,)</f>
        <v>0.52</v>
      </c>
      <c r="P85" s="41">
        <f>VLOOKUP(O85,'Dataset-2'!D86:J696,2,)</f>
        <v>0.25369999999999998</v>
      </c>
      <c r="Q85" s="41">
        <f>VLOOKUP(P85,'Dataset-2'!E86:K696,2,)</f>
        <v>17</v>
      </c>
      <c r="R85" s="41">
        <f>VLOOKUP(Q85,'Dataset-2'!F86:L696,2,)</f>
        <v>48</v>
      </c>
      <c r="S85" s="41">
        <f>VLOOKUP(R85,'Dataset-2'!G86:M696,2,)</f>
        <v>65</v>
      </c>
    </row>
    <row r="86" spans="1:19" x14ac:dyDescent="0.35">
      <c r="A86" s="40">
        <v>85</v>
      </c>
      <c r="B86" s="62">
        <f>VLOOKUP(A86,'Dataset-1'!A87:M697,2,)</f>
        <v>40547</v>
      </c>
      <c r="C86" s="41">
        <f>VLOOKUP(B86,'Dataset-1'!B87:N697,2,)</f>
        <v>1</v>
      </c>
      <c r="D86" s="41">
        <f>VLOOKUP(C86,'Dataset-1'!C87:O697,2,)</f>
        <v>0</v>
      </c>
      <c r="E86" s="41">
        <f>VLOOKUP(D86,'Dataset-1'!D87:P697,2,)</f>
        <v>1</v>
      </c>
      <c r="F86" s="41">
        <f>VLOOKUP(E86,'Dataset-1'!E87:Q697,2,)</f>
        <v>16</v>
      </c>
      <c r="G86" s="71" t="str">
        <f>VLOOKUP(F86,'Dataset-1'!F87:R697,2,)</f>
        <v>AfterNoon</v>
      </c>
      <c r="H86" s="41" t="b">
        <f>VLOOKUP(G86,'Dataset-1'!G87:S697,2,)</f>
        <v>0</v>
      </c>
      <c r="I86" s="41">
        <f>VLOOKUP(H86,'Dataset-1'!H87:T697,2,)</f>
        <v>2</v>
      </c>
      <c r="J86" s="71" t="str">
        <f>VLOOKUP(I86,'Dataset-1'!I87:U697,2,)</f>
        <v>Monday</v>
      </c>
      <c r="K86" s="41">
        <f>VLOOKUP(J86,'Dataset-1'!J87:V697,2,)</f>
        <v>1</v>
      </c>
      <c r="L86" s="41">
        <f>VLOOKUP(K86,'Dataset-1'!K87:W697,2,)</f>
        <v>0.3</v>
      </c>
      <c r="M86" s="71" t="str">
        <f>VLOOKUP(L86,'Dataset-1'!L87:X697,2,)</f>
        <v>Cloudy</v>
      </c>
      <c r="N86" s="41">
        <f>VLOOKUP(A86,'Dataset-2'!B87:H697,2,)</f>
        <v>0.28789999999999999</v>
      </c>
      <c r="O86" s="41">
        <f>VLOOKUP(N86,'Dataset-2'!C87:I697,2,)</f>
        <v>0.49</v>
      </c>
      <c r="P86" s="41">
        <f>VLOOKUP(O86,'Dataset-2'!D87:J697,2,)</f>
        <v>0.25369999999999998</v>
      </c>
      <c r="Q86" s="41">
        <f>VLOOKUP(P86,'Dataset-2'!E87:K697,2,)</f>
        <v>15</v>
      </c>
      <c r="R86" s="41">
        <f>VLOOKUP(Q86,'Dataset-2'!F87:L697,2,)</f>
        <v>68</v>
      </c>
      <c r="S86" s="41">
        <f>VLOOKUP(R86,'Dataset-2'!G87:M697,2,)</f>
        <v>83</v>
      </c>
    </row>
    <row r="87" spans="1:19" x14ac:dyDescent="0.35">
      <c r="A87" s="40">
        <v>86</v>
      </c>
      <c r="B87" s="62">
        <f>VLOOKUP(A87,'Dataset-1'!A88:M698,2,)</f>
        <v>40547</v>
      </c>
      <c r="C87" s="41">
        <f>VLOOKUP(B87,'Dataset-1'!B88:N698,2,)</f>
        <v>1</v>
      </c>
      <c r="D87" s="41">
        <f>VLOOKUP(C87,'Dataset-1'!C88:O698,2,)</f>
        <v>0</v>
      </c>
      <c r="E87" s="41">
        <f>VLOOKUP(D87,'Dataset-1'!D88:P698,2,)</f>
        <v>1</v>
      </c>
      <c r="F87" s="41">
        <f>VLOOKUP(E87,'Dataset-1'!E88:Q698,2,)</f>
        <v>17</v>
      </c>
      <c r="G87" s="71" t="str">
        <f>VLOOKUP(F87,'Dataset-1'!F88:R698,2,)</f>
        <v>Evening</v>
      </c>
      <c r="H87" s="41" t="b">
        <f>VLOOKUP(G87,'Dataset-1'!G88:S698,2,)</f>
        <v>0</v>
      </c>
      <c r="I87" s="41">
        <f>VLOOKUP(H87,'Dataset-1'!H88:T698,2,)</f>
        <v>2</v>
      </c>
      <c r="J87" s="71" t="str">
        <f>VLOOKUP(I87,'Dataset-1'!I88:U698,2,)</f>
        <v>Monday</v>
      </c>
      <c r="K87" s="41">
        <f>VLOOKUP(J87,'Dataset-1'!J88:V698,2,)</f>
        <v>1</v>
      </c>
      <c r="L87" s="41">
        <f>VLOOKUP(K87,'Dataset-1'!K88:W698,2,)</f>
        <v>0.28000000000000003</v>
      </c>
      <c r="M87" s="71" t="str">
        <f>VLOOKUP(L87,'Dataset-1'!L88:X698,2,)</f>
        <v>Cloudy</v>
      </c>
      <c r="N87" s="41">
        <f>VLOOKUP(A87,'Dataset-2'!B88:H698,2,)</f>
        <v>0.2727</v>
      </c>
      <c r="O87" s="41">
        <f>VLOOKUP(N87,'Dataset-2'!C88:I698,2,)</f>
        <v>0.48</v>
      </c>
      <c r="P87" s="41">
        <f>VLOOKUP(O87,'Dataset-2'!D88:J698,2,)</f>
        <v>0.22389999999999999</v>
      </c>
      <c r="Q87" s="41">
        <f>VLOOKUP(P87,'Dataset-2'!E88:K698,2,)</f>
        <v>10</v>
      </c>
      <c r="R87" s="41">
        <f>VLOOKUP(Q87,'Dataset-2'!F88:L698,2,)</f>
        <v>202</v>
      </c>
      <c r="S87" s="41">
        <f>VLOOKUP(R87,'Dataset-2'!G88:M698,2,)</f>
        <v>212</v>
      </c>
    </row>
    <row r="88" spans="1:19" x14ac:dyDescent="0.35">
      <c r="A88" s="40">
        <v>87</v>
      </c>
      <c r="B88" s="62">
        <f>VLOOKUP(A88,'Dataset-1'!A89:M699,2,)</f>
        <v>40547</v>
      </c>
      <c r="C88" s="41">
        <f>VLOOKUP(B88,'Dataset-1'!B89:N699,2,)</f>
        <v>1</v>
      </c>
      <c r="D88" s="41">
        <f>VLOOKUP(C88,'Dataset-1'!C89:O699,2,)</f>
        <v>0</v>
      </c>
      <c r="E88" s="41">
        <f>VLOOKUP(D88,'Dataset-1'!D89:P699,2,)</f>
        <v>1</v>
      </c>
      <c r="F88" s="41">
        <f>VLOOKUP(E88,'Dataset-1'!E89:Q699,2,)</f>
        <v>18</v>
      </c>
      <c r="G88" s="71" t="str">
        <f>VLOOKUP(F88,'Dataset-1'!F89:R699,2,)</f>
        <v>Evening</v>
      </c>
      <c r="H88" s="41" t="b">
        <f>VLOOKUP(G88,'Dataset-1'!G89:S699,2,)</f>
        <v>0</v>
      </c>
      <c r="I88" s="41">
        <f>VLOOKUP(H88,'Dataset-1'!H89:T699,2,)</f>
        <v>2</v>
      </c>
      <c r="J88" s="71" t="str">
        <f>VLOOKUP(I88,'Dataset-1'!I89:U699,2,)</f>
        <v>Monday</v>
      </c>
      <c r="K88" s="41">
        <f>VLOOKUP(J88,'Dataset-1'!J89:V699,2,)</f>
        <v>1</v>
      </c>
      <c r="L88" s="41">
        <f>VLOOKUP(K88,'Dataset-1'!K89:W699,2,)</f>
        <v>0.26</v>
      </c>
      <c r="M88" s="71" t="str">
        <f>VLOOKUP(L88,'Dataset-1'!L89:X699,2,)</f>
        <v>Cloudy</v>
      </c>
      <c r="N88" s="41">
        <f>VLOOKUP(A88,'Dataset-2'!B89:H699,2,)</f>
        <v>0.2576</v>
      </c>
      <c r="O88" s="41">
        <f>VLOOKUP(N88,'Dataset-2'!C89:I699,2,)</f>
        <v>0.48</v>
      </c>
      <c r="P88" s="41">
        <f>VLOOKUP(O88,'Dataset-2'!D89:J699,2,)</f>
        <v>0.19400000000000001</v>
      </c>
      <c r="Q88" s="41">
        <f>VLOOKUP(P88,'Dataset-2'!E89:K699,2,)</f>
        <v>3</v>
      </c>
      <c r="R88" s="41">
        <f>VLOOKUP(Q88,'Dataset-2'!F89:L699,2,)</f>
        <v>179</v>
      </c>
      <c r="S88" s="41">
        <f>VLOOKUP(R88,'Dataset-2'!G89:M699,2,)</f>
        <v>182</v>
      </c>
    </row>
    <row r="89" spans="1:19" x14ac:dyDescent="0.35">
      <c r="A89" s="40">
        <v>88</v>
      </c>
      <c r="B89" s="62">
        <f>VLOOKUP(A89,'Dataset-1'!A90:M700,2,)</f>
        <v>40547</v>
      </c>
      <c r="C89" s="41">
        <f>VLOOKUP(B89,'Dataset-1'!B90:N700,2,)</f>
        <v>1</v>
      </c>
      <c r="D89" s="41">
        <f>VLOOKUP(C89,'Dataset-1'!C90:O700,2,)</f>
        <v>0</v>
      </c>
      <c r="E89" s="41">
        <f>VLOOKUP(D89,'Dataset-1'!D90:P700,2,)</f>
        <v>1</v>
      </c>
      <c r="F89" s="41">
        <f>VLOOKUP(E89,'Dataset-1'!E90:Q700,2,)</f>
        <v>19</v>
      </c>
      <c r="G89" s="71" t="str">
        <f>VLOOKUP(F89,'Dataset-1'!F90:R700,2,)</f>
        <v>Evening</v>
      </c>
      <c r="H89" s="41" t="b">
        <f>VLOOKUP(G89,'Dataset-1'!G90:S700,2,)</f>
        <v>0</v>
      </c>
      <c r="I89" s="41">
        <f>VLOOKUP(H89,'Dataset-1'!H90:T700,2,)</f>
        <v>2</v>
      </c>
      <c r="J89" s="71" t="str">
        <f>VLOOKUP(I89,'Dataset-1'!I90:U700,2,)</f>
        <v>Monday</v>
      </c>
      <c r="K89" s="41">
        <f>VLOOKUP(J89,'Dataset-1'!J90:V700,2,)</f>
        <v>1</v>
      </c>
      <c r="L89" s="41">
        <f>VLOOKUP(K89,'Dataset-1'!K90:W700,2,)</f>
        <v>0.24</v>
      </c>
      <c r="M89" s="71" t="str">
        <f>VLOOKUP(L89,'Dataset-1'!L90:X700,2,)</f>
        <v>Cloudy</v>
      </c>
      <c r="N89" s="41">
        <f>VLOOKUP(A89,'Dataset-2'!B90:H700,2,)</f>
        <v>0.2576</v>
      </c>
      <c r="O89" s="41">
        <f>VLOOKUP(N89,'Dataset-2'!C90:I700,2,)</f>
        <v>0.48</v>
      </c>
      <c r="P89" s="41">
        <f>VLOOKUP(O89,'Dataset-2'!D90:J700,2,)</f>
        <v>0.1045</v>
      </c>
      <c r="Q89" s="41">
        <f>VLOOKUP(P89,'Dataset-2'!E90:K700,2,)</f>
        <v>2</v>
      </c>
      <c r="R89" s="41">
        <f>VLOOKUP(Q89,'Dataset-2'!F90:L700,2,)</f>
        <v>110</v>
      </c>
      <c r="S89" s="41">
        <f>VLOOKUP(R89,'Dataset-2'!G90:M700,2,)</f>
        <v>112</v>
      </c>
    </row>
    <row r="90" spans="1:19" x14ac:dyDescent="0.35">
      <c r="A90" s="40">
        <v>89</v>
      </c>
      <c r="B90" s="62">
        <f>VLOOKUP(A90,'Dataset-1'!A91:M701,2,)</f>
        <v>40547</v>
      </c>
      <c r="C90" s="41">
        <f>VLOOKUP(B90,'Dataset-1'!B91:N701,2,)</f>
        <v>1</v>
      </c>
      <c r="D90" s="41">
        <f>VLOOKUP(C90,'Dataset-1'!C91:O701,2,)</f>
        <v>0</v>
      </c>
      <c r="E90" s="41">
        <f>VLOOKUP(D90,'Dataset-1'!D91:P701,2,)</f>
        <v>1</v>
      </c>
      <c r="F90" s="41">
        <f>VLOOKUP(E90,'Dataset-1'!E91:Q701,2,)</f>
        <v>20</v>
      </c>
      <c r="G90" s="71" t="str">
        <f>VLOOKUP(F90,'Dataset-1'!F91:R701,2,)</f>
        <v>Night</v>
      </c>
      <c r="H90" s="41" t="b">
        <f>VLOOKUP(G90,'Dataset-1'!G91:S701,2,)</f>
        <v>0</v>
      </c>
      <c r="I90" s="41">
        <f>VLOOKUP(H90,'Dataset-1'!H91:T701,2,)</f>
        <v>2</v>
      </c>
      <c r="J90" s="71" t="str">
        <f>VLOOKUP(I90,'Dataset-1'!I91:U701,2,)</f>
        <v>Monday</v>
      </c>
      <c r="K90" s="41">
        <f>VLOOKUP(J90,'Dataset-1'!J91:V701,2,)</f>
        <v>1</v>
      </c>
      <c r="L90" s="41">
        <f>VLOOKUP(K90,'Dataset-1'!K91:W701,2,)</f>
        <v>0.24</v>
      </c>
      <c r="M90" s="71" t="str">
        <f>VLOOKUP(L90,'Dataset-1'!L91:X701,2,)</f>
        <v>Cloudy</v>
      </c>
      <c r="N90" s="41">
        <f>VLOOKUP(A90,'Dataset-2'!B91:H701,2,)</f>
        <v>0.2576</v>
      </c>
      <c r="O90" s="41">
        <f>VLOOKUP(N90,'Dataset-2'!C91:I701,2,)</f>
        <v>0.48</v>
      </c>
      <c r="P90" s="41">
        <f>VLOOKUP(O90,'Dataset-2'!D91:J701,2,)</f>
        <v>0.1045</v>
      </c>
      <c r="Q90" s="41">
        <f>VLOOKUP(P90,'Dataset-2'!E91:K701,2,)</f>
        <v>1</v>
      </c>
      <c r="R90" s="41">
        <f>VLOOKUP(Q90,'Dataset-2'!F91:L701,2,)</f>
        <v>53</v>
      </c>
      <c r="S90" s="41">
        <f>VLOOKUP(R90,'Dataset-2'!G91:M701,2,)</f>
        <v>54</v>
      </c>
    </row>
    <row r="91" spans="1:19" x14ac:dyDescent="0.35">
      <c r="A91" s="40">
        <v>90</v>
      </c>
      <c r="B91" s="62">
        <f>VLOOKUP(A91,'Dataset-1'!A92:M702,2,)</f>
        <v>40547</v>
      </c>
      <c r="C91" s="41">
        <f>VLOOKUP(B91,'Dataset-1'!B92:N702,2,)</f>
        <v>1</v>
      </c>
      <c r="D91" s="41">
        <f>VLOOKUP(C91,'Dataset-1'!C92:O702,2,)</f>
        <v>0</v>
      </c>
      <c r="E91" s="41">
        <f>VLOOKUP(D91,'Dataset-1'!D92:P702,2,)</f>
        <v>1</v>
      </c>
      <c r="F91" s="41">
        <f>VLOOKUP(E91,'Dataset-1'!E92:Q702,2,)</f>
        <v>21</v>
      </c>
      <c r="G91" s="71" t="str">
        <f>VLOOKUP(F91,'Dataset-1'!F92:R702,2,)</f>
        <v>Night</v>
      </c>
      <c r="H91" s="41" t="b">
        <f>VLOOKUP(G91,'Dataset-1'!G92:S702,2,)</f>
        <v>0</v>
      </c>
      <c r="I91" s="41">
        <f>VLOOKUP(H91,'Dataset-1'!H92:T702,2,)</f>
        <v>2</v>
      </c>
      <c r="J91" s="71" t="str">
        <f>VLOOKUP(I91,'Dataset-1'!I92:U702,2,)</f>
        <v>Monday</v>
      </c>
      <c r="K91" s="41">
        <f>VLOOKUP(J91,'Dataset-1'!J92:V702,2,)</f>
        <v>1</v>
      </c>
      <c r="L91" s="41">
        <f>VLOOKUP(K91,'Dataset-1'!K92:W702,2,)</f>
        <v>0.22</v>
      </c>
      <c r="M91" s="71" t="str">
        <f>VLOOKUP(L91,'Dataset-1'!L92:X702,2,)</f>
        <v>Cloudy</v>
      </c>
      <c r="N91" s="41">
        <f>VLOOKUP(A91,'Dataset-2'!B92:H702,2,)</f>
        <v>0.2727</v>
      </c>
      <c r="O91" s="41">
        <f>VLOOKUP(N91,'Dataset-2'!C92:I702,2,)</f>
        <v>0.64</v>
      </c>
      <c r="P91" s="41">
        <f>VLOOKUP(O91,'Dataset-2'!D92:J702,2,)</f>
        <v>0</v>
      </c>
      <c r="Q91" s="41">
        <f>VLOOKUP(P91,'Dataset-2'!E92:K702,2,)</f>
        <v>0</v>
      </c>
      <c r="R91" s="41">
        <f>VLOOKUP(Q91,'Dataset-2'!F92:L702,2,)</f>
        <v>48</v>
      </c>
      <c r="S91" s="41">
        <f>VLOOKUP(R91,'Dataset-2'!G92:M702,2,)</f>
        <v>48</v>
      </c>
    </row>
    <row r="92" spans="1:19" x14ac:dyDescent="0.35">
      <c r="A92" s="40">
        <v>91</v>
      </c>
      <c r="B92" s="62">
        <f>VLOOKUP(A92,'Dataset-1'!A93:M703,2,)</f>
        <v>40547</v>
      </c>
      <c r="C92" s="41">
        <f>VLOOKUP(B92,'Dataset-1'!B93:N703,2,)</f>
        <v>1</v>
      </c>
      <c r="D92" s="41">
        <f>VLOOKUP(C92,'Dataset-1'!C93:O703,2,)</f>
        <v>0</v>
      </c>
      <c r="E92" s="41">
        <f>VLOOKUP(D92,'Dataset-1'!D93:P703,2,)</f>
        <v>1</v>
      </c>
      <c r="F92" s="41">
        <f>VLOOKUP(E92,'Dataset-1'!E93:Q703,2,)</f>
        <v>22</v>
      </c>
      <c r="G92" s="71" t="str">
        <f>VLOOKUP(F92,'Dataset-1'!F93:R703,2,)</f>
        <v>Night</v>
      </c>
      <c r="H92" s="41" t="b">
        <f>VLOOKUP(G92,'Dataset-1'!G93:S703,2,)</f>
        <v>0</v>
      </c>
      <c r="I92" s="41">
        <f>VLOOKUP(H92,'Dataset-1'!H93:T703,2,)</f>
        <v>2</v>
      </c>
      <c r="J92" s="71" t="str">
        <f>VLOOKUP(I92,'Dataset-1'!I93:U703,2,)</f>
        <v>Monday</v>
      </c>
      <c r="K92" s="41">
        <f>VLOOKUP(J92,'Dataset-1'!J93:V703,2,)</f>
        <v>1</v>
      </c>
      <c r="L92" s="41">
        <f>VLOOKUP(K92,'Dataset-1'!K93:W703,2,)</f>
        <v>0.22</v>
      </c>
      <c r="M92" s="71" t="str">
        <f>VLOOKUP(L92,'Dataset-1'!L93:X703,2,)</f>
        <v>Cloudy</v>
      </c>
      <c r="N92" s="41">
        <f>VLOOKUP(A92,'Dataset-2'!B93:H703,2,)</f>
        <v>0.2576</v>
      </c>
      <c r="O92" s="41">
        <f>VLOOKUP(N92,'Dataset-2'!C93:I703,2,)</f>
        <v>0.64</v>
      </c>
      <c r="P92" s="41">
        <f>VLOOKUP(O92,'Dataset-2'!D93:J703,2,)</f>
        <v>8.9599999999999999E-2</v>
      </c>
      <c r="Q92" s="41">
        <f>VLOOKUP(P92,'Dataset-2'!E93:K703,2,)</f>
        <v>1</v>
      </c>
      <c r="R92" s="41">
        <f>VLOOKUP(Q92,'Dataset-2'!F93:L703,2,)</f>
        <v>34</v>
      </c>
      <c r="S92" s="41">
        <f>VLOOKUP(R92,'Dataset-2'!G93:M703,2,)</f>
        <v>35</v>
      </c>
    </row>
    <row r="93" spans="1:19" x14ac:dyDescent="0.35">
      <c r="A93" s="40">
        <v>92</v>
      </c>
      <c r="B93" s="62">
        <f>VLOOKUP(A93,'Dataset-1'!A94:M704,2,)</f>
        <v>40547</v>
      </c>
      <c r="C93" s="41">
        <f>VLOOKUP(B93,'Dataset-1'!B94:N704,2,)</f>
        <v>1</v>
      </c>
      <c r="D93" s="41">
        <f>VLOOKUP(C93,'Dataset-1'!C94:O704,2,)</f>
        <v>0</v>
      </c>
      <c r="E93" s="41">
        <f>VLOOKUP(D93,'Dataset-1'!D94:P704,2,)</f>
        <v>1</v>
      </c>
      <c r="F93" s="41">
        <f>VLOOKUP(E93,'Dataset-1'!E94:Q704,2,)</f>
        <v>23</v>
      </c>
      <c r="G93" s="71" t="str">
        <f>VLOOKUP(F93,'Dataset-1'!F94:R704,2,)</f>
        <v>Night</v>
      </c>
      <c r="H93" s="41" t="b">
        <f>VLOOKUP(G93,'Dataset-1'!G94:S704,2,)</f>
        <v>0</v>
      </c>
      <c r="I93" s="41">
        <f>VLOOKUP(H93,'Dataset-1'!H94:T704,2,)</f>
        <v>2</v>
      </c>
      <c r="J93" s="71" t="str">
        <f>VLOOKUP(I93,'Dataset-1'!I94:U704,2,)</f>
        <v>Monday</v>
      </c>
      <c r="K93" s="41">
        <f>VLOOKUP(J93,'Dataset-1'!J94:V704,2,)</f>
        <v>1</v>
      </c>
      <c r="L93" s="41">
        <f>VLOOKUP(K93,'Dataset-1'!K94:W704,2,)</f>
        <v>0.2</v>
      </c>
      <c r="M93" s="71" t="str">
        <f>VLOOKUP(L93,'Dataset-1'!L94:X704,2,)</f>
        <v>Rainy</v>
      </c>
      <c r="N93" s="41">
        <f>VLOOKUP(A93,'Dataset-2'!B94:H704,2,)</f>
        <v>0.2273</v>
      </c>
      <c r="O93" s="41">
        <f>VLOOKUP(N93,'Dataset-2'!C94:I704,2,)</f>
        <v>0.69</v>
      </c>
      <c r="P93" s="41">
        <f>VLOOKUP(O93,'Dataset-2'!D94:J704,2,)</f>
        <v>8.9599999999999999E-2</v>
      </c>
      <c r="Q93" s="41">
        <f>VLOOKUP(P93,'Dataset-2'!E94:K704,2,)</f>
        <v>2</v>
      </c>
      <c r="R93" s="41">
        <f>VLOOKUP(Q93,'Dataset-2'!F94:L704,2,)</f>
        <v>9</v>
      </c>
      <c r="S93" s="41">
        <f>VLOOKUP(R93,'Dataset-2'!G94:M704,2,)</f>
        <v>11</v>
      </c>
    </row>
    <row r="94" spans="1:19" x14ac:dyDescent="0.35">
      <c r="A94" s="40">
        <v>93</v>
      </c>
      <c r="B94" s="62">
        <f>VLOOKUP(A94,'Dataset-1'!A95:M705,2,)</f>
        <v>40548</v>
      </c>
      <c r="C94" s="41">
        <f>VLOOKUP(B94,'Dataset-1'!B95:N705,2,)</f>
        <v>1</v>
      </c>
      <c r="D94" s="41">
        <f>VLOOKUP(C94,'Dataset-1'!C95:O705,2,)</f>
        <v>0</v>
      </c>
      <c r="E94" s="41">
        <f>VLOOKUP(D94,'Dataset-1'!D95:P705,2,)</f>
        <v>1</v>
      </c>
      <c r="F94" s="41">
        <f>VLOOKUP(E94,'Dataset-1'!E95:Q705,2,)</f>
        <v>0</v>
      </c>
      <c r="G94" s="71" t="str">
        <f>VLOOKUP(F94,'Dataset-1'!F95:R705,2,)</f>
        <v>Night</v>
      </c>
      <c r="H94" s="41" t="b">
        <f>VLOOKUP(G94,'Dataset-1'!G95:S705,2,)</f>
        <v>0</v>
      </c>
      <c r="I94" s="41">
        <f>VLOOKUP(H94,'Dataset-1'!H95:T705,2,)</f>
        <v>3</v>
      </c>
      <c r="J94" s="71" t="str">
        <f>VLOOKUP(I94,'Dataset-1'!I95:U705,2,)</f>
        <v>Tuesday</v>
      </c>
      <c r="K94" s="41">
        <f>VLOOKUP(J94,'Dataset-1'!J95:V705,2,)</f>
        <v>1</v>
      </c>
      <c r="L94" s="41">
        <f>VLOOKUP(K94,'Dataset-1'!K95:W705,2,)</f>
        <v>0.2</v>
      </c>
      <c r="M94" s="71" t="str">
        <f>VLOOKUP(L94,'Dataset-1'!L95:X705,2,)</f>
        <v>Rainy</v>
      </c>
      <c r="N94" s="41">
        <f>VLOOKUP(A94,'Dataset-2'!B95:H705,2,)</f>
        <v>0.2576</v>
      </c>
      <c r="O94" s="41">
        <f>VLOOKUP(N94,'Dataset-2'!C95:I705,2,)</f>
        <v>0.64</v>
      </c>
      <c r="P94" s="41">
        <f>VLOOKUP(O94,'Dataset-2'!D95:J705,2,)</f>
        <v>0</v>
      </c>
      <c r="Q94" s="41">
        <f>VLOOKUP(P94,'Dataset-2'!E95:K705,2,)</f>
        <v>0</v>
      </c>
      <c r="R94" s="41">
        <f>VLOOKUP(Q94,'Dataset-2'!F95:L705,2,)</f>
        <v>6</v>
      </c>
      <c r="S94" s="41">
        <f>VLOOKUP(R94,'Dataset-2'!G95:M705,2,)</f>
        <v>6</v>
      </c>
    </row>
    <row r="95" spans="1:19" x14ac:dyDescent="0.35">
      <c r="A95" s="40">
        <v>94</v>
      </c>
      <c r="B95" s="62">
        <f>VLOOKUP(A95,'Dataset-1'!A96:M706,2,)</f>
        <v>40548</v>
      </c>
      <c r="C95" s="41">
        <f>VLOOKUP(B95,'Dataset-1'!B96:N706,2,)</f>
        <v>1</v>
      </c>
      <c r="D95" s="41">
        <f>VLOOKUP(C95,'Dataset-1'!C96:O706,2,)</f>
        <v>0</v>
      </c>
      <c r="E95" s="41">
        <f>VLOOKUP(D95,'Dataset-1'!D96:P706,2,)</f>
        <v>1</v>
      </c>
      <c r="F95" s="41">
        <f>VLOOKUP(E95,'Dataset-1'!E96:Q706,2,)</f>
        <v>1</v>
      </c>
      <c r="G95" s="71" t="str">
        <f>VLOOKUP(F95,'Dataset-1'!F96:R706,2,)</f>
        <v>Night</v>
      </c>
      <c r="H95" s="41" t="b">
        <f>VLOOKUP(G95,'Dataset-1'!G96:S706,2,)</f>
        <v>0</v>
      </c>
      <c r="I95" s="41">
        <f>VLOOKUP(H95,'Dataset-1'!H96:T706,2,)</f>
        <v>3</v>
      </c>
      <c r="J95" s="71" t="str">
        <f>VLOOKUP(I95,'Dataset-1'!I96:U706,2,)</f>
        <v>Tuesday</v>
      </c>
      <c r="K95" s="41">
        <f>VLOOKUP(J95,'Dataset-1'!J96:V706,2,)</f>
        <v>1</v>
      </c>
      <c r="L95" s="41">
        <f>VLOOKUP(K95,'Dataset-1'!K96:W706,2,)</f>
        <v>0.16</v>
      </c>
      <c r="M95" s="71" t="str">
        <f>VLOOKUP(L95,'Dataset-1'!L96:X706,2,)</f>
        <v>Rainy</v>
      </c>
      <c r="N95" s="41">
        <f>VLOOKUP(A95,'Dataset-2'!B96:H706,2,)</f>
        <v>0.19700000000000001</v>
      </c>
      <c r="O95" s="41">
        <f>VLOOKUP(N95,'Dataset-2'!C96:I706,2,)</f>
        <v>0.74</v>
      </c>
      <c r="P95" s="41">
        <f>VLOOKUP(O95,'Dataset-2'!D96:J706,2,)</f>
        <v>8.9599999999999999E-2</v>
      </c>
      <c r="Q95" s="41">
        <f>VLOOKUP(P95,'Dataset-2'!E96:K706,2,)</f>
        <v>0</v>
      </c>
      <c r="R95" s="41">
        <f>VLOOKUP(Q95,'Dataset-2'!F96:L706,2,)</f>
        <v>6</v>
      </c>
      <c r="S95" s="41">
        <f>VLOOKUP(R95,'Dataset-2'!G96:M706,2,)</f>
        <v>6</v>
      </c>
    </row>
    <row r="96" spans="1:19" x14ac:dyDescent="0.35">
      <c r="A96" s="40">
        <v>95</v>
      </c>
      <c r="B96" s="62">
        <f>VLOOKUP(A96,'Dataset-1'!A97:M707,2,)</f>
        <v>40548</v>
      </c>
      <c r="C96" s="41">
        <f>VLOOKUP(B96,'Dataset-1'!B97:N707,2,)</f>
        <v>1</v>
      </c>
      <c r="D96" s="41">
        <f>VLOOKUP(C96,'Dataset-1'!C97:O707,2,)</f>
        <v>0</v>
      </c>
      <c r="E96" s="41">
        <f>VLOOKUP(D96,'Dataset-1'!D97:P707,2,)</f>
        <v>1</v>
      </c>
      <c r="F96" s="41">
        <f>VLOOKUP(E96,'Dataset-1'!E97:Q707,2,)</f>
        <v>2</v>
      </c>
      <c r="G96" s="71" t="str">
        <f>VLOOKUP(F96,'Dataset-1'!F97:R707,2,)</f>
        <v>Night</v>
      </c>
      <c r="H96" s="41" t="b">
        <f>VLOOKUP(G96,'Dataset-1'!G97:S707,2,)</f>
        <v>0</v>
      </c>
      <c r="I96" s="41">
        <f>VLOOKUP(H96,'Dataset-1'!H97:T707,2,)</f>
        <v>3</v>
      </c>
      <c r="J96" s="71" t="str">
        <f>VLOOKUP(I96,'Dataset-1'!I97:U707,2,)</f>
        <v>Tuesday</v>
      </c>
      <c r="K96" s="41">
        <f>VLOOKUP(J96,'Dataset-1'!J97:V707,2,)</f>
        <v>1</v>
      </c>
      <c r="L96" s="41">
        <f>VLOOKUP(K96,'Dataset-1'!K97:W707,2,)</f>
        <v>0.16</v>
      </c>
      <c r="M96" s="71" t="str">
        <f>VLOOKUP(L96,'Dataset-1'!L97:X707,2,)</f>
        <v>Rainy</v>
      </c>
      <c r="N96" s="41">
        <f>VLOOKUP(A96,'Dataset-2'!B97:H707,2,)</f>
        <v>0.19700000000000001</v>
      </c>
      <c r="O96" s="41">
        <f>VLOOKUP(N96,'Dataset-2'!C97:I707,2,)</f>
        <v>0.74</v>
      </c>
      <c r="P96" s="41">
        <f>VLOOKUP(O96,'Dataset-2'!D97:J707,2,)</f>
        <v>8.9599999999999999E-2</v>
      </c>
      <c r="Q96" s="41">
        <f>VLOOKUP(P96,'Dataset-2'!E97:K707,2,)</f>
        <v>0</v>
      </c>
      <c r="R96" s="41">
        <f>VLOOKUP(Q96,'Dataset-2'!F97:L707,2,)</f>
        <v>2</v>
      </c>
      <c r="S96" s="41">
        <f>VLOOKUP(R96,'Dataset-2'!G97:M707,2,)</f>
        <v>2</v>
      </c>
    </row>
    <row r="97" spans="1:19" x14ac:dyDescent="0.35">
      <c r="A97" s="40">
        <v>96</v>
      </c>
      <c r="B97" s="62">
        <f>VLOOKUP(A97,'Dataset-1'!A98:M708,2,)</f>
        <v>40548</v>
      </c>
      <c r="C97" s="41">
        <f>VLOOKUP(B97,'Dataset-1'!B98:N708,2,)</f>
        <v>1</v>
      </c>
      <c r="D97" s="41">
        <f>VLOOKUP(C97,'Dataset-1'!C98:O708,2,)</f>
        <v>0</v>
      </c>
      <c r="E97" s="41">
        <f>VLOOKUP(D97,'Dataset-1'!D98:P708,2,)</f>
        <v>1</v>
      </c>
      <c r="F97" s="41">
        <f>VLOOKUP(E97,'Dataset-1'!E98:Q708,2,)</f>
        <v>4</v>
      </c>
      <c r="G97" s="71" t="str">
        <f>VLOOKUP(F97,'Dataset-1'!F98:R708,2,)</f>
        <v>Night</v>
      </c>
      <c r="H97" s="41" t="b">
        <f>VLOOKUP(G97,'Dataset-1'!G98:S708,2,)</f>
        <v>0</v>
      </c>
      <c r="I97" s="41">
        <f>VLOOKUP(H97,'Dataset-1'!H98:T708,2,)</f>
        <v>3</v>
      </c>
      <c r="J97" s="71" t="str">
        <f>VLOOKUP(I97,'Dataset-1'!I98:U708,2,)</f>
        <v>Tuesday</v>
      </c>
      <c r="K97" s="41">
        <f>VLOOKUP(J97,'Dataset-1'!J98:V708,2,)</f>
        <v>1</v>
      </c>
      <c r="L97" s="41">
        <f>VLOOKUP(K97,'Dataset-1'!K98:W708,2,)</f>
        <v>0.24</v>
      </c>
      <c r="M97" s="71" t="str">
        <f>VLOOKUP(L97,'Dataset-1'!L98:X708,2,)</f>
        <v>Cloudy</v>
      </c>
      <c r="N97" s="41">
        <f>VLOOKUP(A97,'Dataset-2'!B98:H708,2,)</f>
        <v>0.2273</v>
      </c>
      <c r="O97" s="41">
        <f>VLOOKUP(N97,'Dataset-2'!C98:I708,2,)</f>
        <v>0.48</v>
      </c>
      <c r="P97" s="41">
        <f>VLOOKUP(O97,'Dataset-2'!D98:J708,2,)</f>
        <v>0.22389999999999999</v>
      </c>
      <c r="Q97" s="41">
        <f>VLOOKUP(P97,'Dataset-2'!E98:K708,2,)</f>
        <v>0</v>
      </c>
      <c r="R97" s="41">
        <f>VLOOKUP(Q97,'Dataset-2'!F98:L708,2,)</f>
        <v>2</v>
      </c>
      <c r="S97" s="41">
        <f>VLOOKUP(R97,'Dataset-2'!G98:M708,2,)</f>
        <v>2</v>
      </c>
    </row>
    <row r="98" spans="1:19" x14ac:dyDescent="0.35">
      <c r="A98" s="40">
        <v>97</v>
      </c>
      <c r="B98" s="62">
        <f>VLOOKUP(A98,'Dataset-1'!A99:M709,2,)</f>
        <v>40548</v>
      </c>
      <c r="C98" s="41">
        <f>VLOOKUP(B98,'Dataset-1'!B99:N709,2,)</f>
        <v>1</v>
      </c>
      <c r="D98" s="41">
        <f>VLOOKUP(C98,'Dataset-1'!C99:O709,2,)</f>
        <v>0</v>
      </c>
      <c r="E98" s="41">
        <f>VLOOKUP(D98,'Dataset-1'!D99:P709,2,)</f>
        <v>1</v>
      </c>
      <c r="F98" s="41">
        <f>VLOOKUP(E98,'Dataset-1'!E99:Q709,2,)</f>
        <v>5</v>
      </c>
      <c r="G98" s="71" t="str">
        <f>VLOOKUP(F98,'Dataset-1'!F99:R709,2,)</f>
        <v>Morning</v>
      </c>
      <c r="H98" s="41" t="b">
        <f>VLOOKUP(G98,'Dataset-1'!G99:S709,2,)</f>
        <v>0</v>
      </c>
      <c r="I98" s="41">
        <f>VLOOKUP(H98,'Dataset-1'!H99:T709,2,)</f>
        <v>3</v>
      </c>
      <c r="J98" s="71" t="str">
        <f>VLOOKUP(I98,'Dataset-1'!I99:U709,2,)</f>
        <v>Tuesday</v>
      </c>
      <c r="K98" s="41">
        <f>VLOOKUP(J98,'Dataset-1'!J99:V709,2,)</f>
        <v>1</v>
      </c>
      <c r="L98" s="41">
        <f>VLOOKUP(K98,'Dataset-1'!K99:W709,2,)</f>
        <v>0.22</v>
      </c>
      <c r="M98" s="71" t="str">
        <f>VLOOKUP(L98,'Dataset-1'!L99:X709,2,)</f>
        <v>Cloudy</v>
      </c>
      <c r="N98" s="41">
        <f>VLOOKUP(A98,'Dataset-2'!B99:H709,2,)</f>
        <v>0.2273</v>
      </c>
      <c r="O98" s="41">
        <f>VLOOKUP(N98,'Dataset-2'!C99:I709,2,)</f>
        <v>0.47</v>
      </c>
      <c r="P98" s="41">
        <f>VLOOKUP(O98,'Dataset-2'!D99:J709,2,)</f>
        <v>0.16420000000000001</v>
      </c>
      <c r="Q98" s="41">
        <f>VLOOKUP(P98,'Dataset-2'!E99:K709,2,)</f>
        <v>0</v>
      </c>
      <c r="R98" s="41">
        <f>VLOOKUP(Q98,'Dataset-2'!F99:L709,2,)</f>
        <v>3</v>
      </c>
      <c r="S98" s="41">
        <f>VLOOKUP(R98,'Dataset-2'!G99:M709,2,)</f>
        <v>3</v>
      </c>
    </row>
    <row r="99" spans="1:19" x14ac:dyDescent="0.35">
      <c r="A99" s="40">
        <v>98</v>
      </c>
      <c r="B99" s="62">
        <f>VLOOKUP(A99,'Dataset-1'!A100:M710,2,)</f>
        <v>40548</v>
      </c>
      <c r="C99" s="41">
        <f>VLOOKUP(B99,'Dataset-1'!B100:N710,2,)</f>
        <v>1</v>
      </c>
      <c r="D99" s="41">
        <f>VLOOKUP(C99,'Dataset-1'!C100:O710,2,)</f>
        <v>0</v>
      </c>
      <c r="E99" s="41">
        <f>VLOOKUP(D99,'Dataset-1'!D100:P710,2,)</f>
        <v>1</v>
      </c>
      <c r="F99" s="41">
        <f>VLOOKUP(E99,'Dataset-1'!E100:Q710,2,)</f>
        <v>6</v>
      </c>
      <c r="G99" s="71" t="str">
        <f>VLOOKUP(F99,'Dataset-1'!F100:R710,2,)</f>
        <v>Morning</v>
      </c>
      <c r="H99" s="41" t="b">
        <f>VLOOKUP(G99,'Dataset-1'!G100:S710,2,)</f>
        <v>0</v>
      </c>
      <c r="I99" s="41">
        <f>VLOOKUP(H99,'Dataset-1'!H100:T710,2,)</f>
        <v>3</v>
      </c>
      <c r="J99" s="71" t="str">
        <f>VLOOKUP(I99,'Dataset-1'!I100:U710,2,)</f>
        <v>Tuesday</v>
      </c>
      <c r="K99" s="41">
        <f>VLOOKUP(J99,'Dataset-1'!J100:V710,2,)</f>
        <v>1</v>
      </c>
      <c r="L99" s="41">
        <f>VLOOKUP(K99,'Dataset-1'!K100:W710,2,)</f>
        <v>0.2</v>
      </c>
      <c r="M99" s="71" t="str">
        <f>VLOOKUP(L99,'Dataset-1'!L100:X710,2,)</f>
        <v>Rainy</v>
      </c>
      <c r="N99" s="41">
        <f>VLOOKUP(A99,'Dataset-2'!B100:H710,2,)</f>
        <v>0.19700000000000001</v>
      </c>
      <c r="O99" s="41">
        <f>VLOOKUP(N99,'Dataset-2'!C100:I710,2,)</f>
        <v>0.47</v>
      </c>
      <c r="P99" s="41">
        <f>VLOOKUP(O99,'Dataset-2'!D100:J710,2,)</f>
        <v>0.22389999999999999</v>
      </c>
      <c r="Q99" s="41">
        <f>VLOOKUP(P99,'Dataset-2'!E100:K710,2,)</f>
        <v>0</v>
      </c>
      <c r="R99" s="41">
        <f>VLOOKUP(Q99,'Dataset-2'!F100:L710,2,)</f>
        <v>33</v>
      </c>
      <c r="S99" s="41">
        <f>VLOOKUP(R99,'Dataset-2'!G100:M710,2,)</f>
        <v>33</v>
      </c>
    </row>
    <row r="100" spans="1:19" x14ac:dyDescent="0.35">
      <c r="A100" s="40">
        <v>99</v>
      </c>
      <c r="B100" s="62">
        <f>VLOOKUP(A100,'Dataset-1'!A101:M711,2,)</f>
        <v>40548</v>
      </c>
      <c r="C100" s="41">
        <f>VLOOKUP(B100,'Dataset-1'!B101:N711,2,)</f>
        <v>1</v>
      </c>
      <c r="D100" s="41">
        <f>VLOOKUP(C100,'Dataset-1'!C101:O711,2,)</f>
        <v>0</v>
      </c>
      <c r="E100" s="41">
        <f>VLOOKUP(D100,'Dataset-1'!D101:P711,2,)</f>
        <v>1</v>
      </c>
      <c r="F100" s="41">
        <f>VLOOKUP(E100,'Dataset-1'!E101:Q711,2,)</f>
        <v>7</v>
      </c>
      <c r="G100" s="71" t="str">
        <f>VLOOKUP(F100,'Dataset-1'!F101:R711,2,)</f>
        <v>Morning</v>
      </c>
      <c r="H100" s="41" t="b">
        <f>VLOOKUP(G100,'Dataset-1'!G101:S711,2,)</f>
        <v>0</v>
      </c>
      <c r="I100" s="41">
        <f>VLOOKUP(H100,'Dataset-1'!H101:T711,2,)</f>
        <v>3</v>
      </c>
      <c r="J100" s="71" t="str">
        <f>VLOOKUP(I100,'Dataset-1'!I101:U711,2,)</f>
        <v>Tuesday</v>
      </c>
      <c r="K100" s="41">
        <f>VLOOKUP(J100,'Dataset-1'!J101:V711,2,)</f>
        <v>1</v>
      </c>
      <c r="L100" s="41">
        <f>VLOOKUP(K100,'Dataset-1'!K101:W711,2,)</f>
        <v>0.18</v>
      </c>
      <c r="M100" s="71" t="str">
        <f>VLOOKUP(L100,'Dataset-1'!L101:X711,2,)</f>
        <v>Rainy</v>
      </c>
      <c r="N100" s="41">
        <f>VLOOKUP(A100,'Dataset-2'!B101:H711,2,)</f>
        <v>0.18179999999999999</v>
      </c>
      <c r="O100" s="41">
        <f>VLOOKUP(N100,'Dataset-2'!C101:I711,2,)</f>
        <v>0.43</v>
      </c>
      <c r="P100" s="41">
        <f>VLOOKUP(O100,'Dataset-2'!D101:J711,2,)</f>
        <v>0.19400000000000001</v>
      </c>
      <c r="Q100" s="41">
        <f>VLOOKUP(P100,'Dataset-2'!E101:K711,2,)</f>
        <v>1</v>
      </c>
      <c r="R100" s="41">
        <f>VLOOKUP(Q100,'Dataset-2'!F101:L711,2,)</f>
        <v>87</v>
      </c>
      <c r="S100" s="41">
        <f>VLOOKUP(R100,'Dataset-2'!G101:M711,2,)</f>
        <v>88</v>
      </c>
    </row>
    <row r="101" spans="1:19" x14ac:dyDescent="0.35">
      <c r="A101" s="40">
        <v>100</v>
      </c>
      <c r="B101" s="62">
        <f>VLOOKUP(A101,'Dataset-1'!A102:M712,2,)</f>
        <v>40548</v>
      </c>
      <c r="C101" s="41">
        <f>VLOOKUP(B101,'Dataset-1'!B102:N712,2,)</f>
        <v>1</v>
      </c>
      <c r="D101" s="41">
        <f>VLOOKUP(C101,'Dataset-1'!C102:O712,2,)</f>
        <v>0</v>
      </c>
      <c r="E101" s="41">
        <f>VLOOKUP(D101,'Dataset-1'!D102:P712,2,)</f>
        <v>1</v>
      </c>
      <c r="F101" s="41">
        <f>VLOOKUP(E101,'Dataset-1'!E102:Q712,2,)</f>
        <v>8</v>
      </c>
      <c r="G101" s="71" t="str">
        <f>VLOOKUP(F101,'Dataset-1'!F102:R712,2,)</f>
        <v>Morning</v>
      </c>
      <c r="H101" s="41" t="b">
        <f>VLOOKUP(G101,'Dataset-1'!G102:S712,2,)</f>
        <v>0</v>
      </c>
      <c r="I101" s="41">
        <f>VLOOKUP(H101,'Dataset-1'!H102:T712,2,)</f>
        <v>3</v>
      </c>
      <c r="J101" s="71" t="str">
        <f>VLOOKUP(I101,'Dataset-1'!I102:U712,2,)</f>
        <v>Tuesday</v>
      </c>
      <c r="K101" s="41">
        <f>VLOOKUP(J101,'Dataset-1'!J102:V712,2,)</f>
        <v>1</v>
      </c>
      <c r="L101" s="41">
        <f>VLOOKUP(K101,'Dataset-1'!K102:W712,2,)</f>
        <v>0.2</v>
      </c>
      <c r="M101" s="71" t="str">
        <f>VLOOKUP(L101,'Dataset-1'!L102:X712,2,)</f>
        <v>Rainy</v>
      </c>
      <c r="N101" s="41">
        <f>VLOOKUP(A101,'Dataset-2'!B102:H712,2,)</f>
        <v>0.18179999999999999</v>
      </c>
      <c r="O101" s="41">
        <f>VLOOKUP(N101,'Dataset-2'!C102:I712,2,)</f>
        <v>0.4</v>
      </c>
      <c r="P101" s="41">
        <f>VLOOKUP(O101,'Dataset-2'!D102:J712,2,)</f>
        <v>0.29849999999999999</v>
      </c>
      <c r="Q101" s="41">
        <f>VLOOKUP(P101,'Dataset-2'!E102:K712,2,)</f>
        <v>3</v>
      </c>
      <c r="R101" s="41">
        <f>VLOOKUP(Q101,'Dataset-2'!F102:L712,2,)</f>
        <v>192</v>
      </c>
      <c r="S101" s="41">
        <f>VLOOKUP(R101,'Dataset-2'!G102:M712,2,)</f>
        <v>195</v>
      </c>
    </row>
    <row r="102" spans="1:19" x14ac:dyDescent="0.35">
      <c r="A102" s="40">
        <v>101</v>
      </c>
      <c r="B102" s="62">
        <f>VLOOKUP(A102,'Dataset-1'!A103:M713,2,)</f>
        <v>40548</v>
      </c>
      <c r="C102" s="41">
        <f>VLOOKUP(B102,'Dataset-1'!B103:N713,2,)</f>
        <v>1</v>
      </c>
      <c r="D102" s="41">
        <f>VLOOKUP(C102,'Dataset-1'!C103:O713,2,)</f>
        <v>0</v>
      </c>
      <c r="E102" s="41">
        <f>VLOOKUP(D102,'Dataset-1'!D103:P713,2,)</f>
        <v>1</v>
      </c>
      <c r="F102" s="41">
        <f>VLOOKUP(E102,'Dataset-1'!E103:Q713,2,)</f>
        <v>9</v>
      </c>
      <c r="G102" s="71" t="str">
        <f>VLOOKUP(F102,'Dataset-1'!F103:R713,2,)</f>
        <v>Morning</v>
      </c>
      <c r="H102" s="41" t="b">
        <f>VLOOKUP(G102,'Dataset-1'!G103:S713,2,)</f>
        <v>0</v>
      </c>
      <c r="I102" s="41">
        <f>VLOOKUP(H102,'Dataset-1'!H103:T713,2,)</f>
        <v>3</v>
      </c>
      <c r="J102" s="71" t="str">
        <f>VLOOKUP(I102,'Dataset-1'!I103:U713,2,)</f>
        <v>Tuesday</v>
      </c>
      <c r="K102" s="41">
        <f>VLOOKUP(J102,'Dataset-1'!J103:V713,2,)</f>
        <v>1</v>
      </c>
      <c r="L102" s="41">
        <f>VLOOKUP(K102,'Dataset-1'!K103:W713,2,)</f>
        <v>0.22</v>
      </c>
      <c r="M102" s="71" t="str">
        <f>VLOOKUP(L102,'Dataset-1'!L103:X713,2,)</f>
        <v>Cloudy</v>
      </c>
      <c r="N102" s="41">
        <f>VLOOKUP(A102,'Dataset-2'!B103:H713,2,)</f>
        <v>0.19700000000000001</v>
      </c>
      <c r="O102" s="41">
        <f>VLOOKUP(N102,'Dataset-2'!C103:I713,2,)</f>
        <v>0.37</v>
      </c>
      <c r="P102" s="41">
        <f>VLOOKUP(O102,'Dataset-2'!D103:J713,2,)</f>
        <v>0.32840000000000003</v>
      </c>
      <c r="Q102" s="41">
        <f>VLOOKUP(P102,'Dataset-2'!E103:K713,2,)</f>
        <v>6</v>
      </c>
      <c r="R102" s="41">
        <f>VLOOKUP(Q102,'Dataset-2'!F103:L713,2,)</f>
        <v>109</v>
      </c>
      <c r="S102" s="41">
        <f>VLOOKUP(R102,'Dataset-2'!G103:M713,2,)</f>
        <v>115</v>
      </c>
    </row>
    <row r="103" spans="1:19" x14ac:dyDescent="0.35">
      <c r="A103" s="40">
        <v>102</v>
      </c>
      <c r="B103" s="62">
        <f>VLOOKUP(A103,'Dataset-1'!A104:M714,2,)</f>
        <v>40548</v>
      </c>
      <c r="C103" s="41">
        <f>VLOOKUP(B103,'Dataset-1'!B104:N714,2,)</f>
        <v>1</v>
      </c>
      <c r="D103" s="41">
        <f>VLOOKUP(C103,'Dataset-1'!C104:O714,2,)</f>
        <v>0</v>
      </c>
      <c r="E103" s="41">
        <f>VLOOKUP(D103,'Dataset-1'!D104:P714,2,)</f>
        <v>1</v>
      </c>
      <c r="F103" s="41">
        <f>VLOOKUP(E103,'Dataset-1'!E104:Q714,2,)</f>
        <v>10</v>
      </c>
      <c r="G103" s="71" t="str">
        <f>VLOOKUP(F103,'Dataset-1'!F104:R714,2,)</f>
        <v>Morning</v>
      </c>
      <c r="H103" s="41" t="b">
        <f>VLOOKUP(G103,'Dataset-1'!G104:S714,2,)</f>
        <v>0</v>
      </c>
      <c r="I103" s="41">
        <f>VLOOKUP(H103,'Dataset-1'!H104:T714,2,)</f>
        <v>3</v>
      </c>
      <c r="J103" s="71" t="str">
        <f>VLOOKUP(I103,'Dataset-1'!I104:U714,2,)</f>
        <v>Tuesday</v>
      </c>
      <c r="K103" s="41">
        <f>VLOOKUP(J103,'Dataset-1'!J104:V714,2,)</f>
        <v>1</v>
      </c>
      <c r="L103" s="41">
        <f>VLOOKUP(K103,'Dataset-1'!K104:W714,2,)</f>
        <v>0.22</v>
      </c>
      <c r="M103" s="71" t="str">
        <f>VLOOKUP(L103,'Dataset-1'!L104:X714,2,)</f>
        <v>Cloudy</v>
      </c>
      <c r="N103" s="41">
        <f>VLOOKUP(A103,'Dataset-2'!B104:H714,2,)</f>
        <v>0.19700000000000001</v>
      </c>
      <c r="O103" s="41">
        <f>VLOOKUP(N103,'Dataset-2'!C104:I714,2,)</f>
        <v>0.37</v>
      </c>
      <c r="P103" s="41">
        <f>VLOOKUP(O103,'Dataset-2'!D104:J714,2,)</f>
        <v>0.32840000000000003</v>
      </c>
      <c r="Q103" s="41">
        <f>VLOOKUP(P103,'Dataset-2'!E104:K714,2,)</f>
        <v>4</v>
      </c>
      <c r="R103" s="41">
        <f>VLOOKUP(Q103,'Dataset-2'!F104:L714,2,)</f>
        <v>53</v>
      </c>
      <c r="S103" s="41">
        <f>VLOOKUP(R103,'Dataset-2'!G104:M714,2,)</f>
        <v>57</v>
      </c>
    </row>
    <row r="104" spans="1:19" x14ac:dyDescent="0.35">
      <c r="A104" s="40">
        <v>103</v>
      </c>
      <c r="B104" s="62">
        <f>VLOOKUP(A104,'Dataset-1'!A105:M715,2,)</f>
        <v>40548</v>
      </c>
      <c r="C104" s="41">
        <f>VLOOKUP(B104,'Dataset-1'!B105:N715,2,)</f>
        <v>1</v>
      </c>
      <c r="D104" s="41">
        <f>VLOOKUP(C104,'Dataset-1'!C105:O715,2,)</f>
        <v>0</v>
      </c>
      <c r="E104" s="41">
        <f>VLOOKUP(D104,'Dataset-1'!D105:P715,2,)</f>
        <v>1</v>
      </c>
      <c r="F104" s="41">
        <f>VLOOKUP(E104,'Dataset-1'!E105:Q715,2,)</f>
        <v>11</v>
      </c>
      <c r="G104" s="71" t="str">
        <f>VLOOKUP(F104,'Dataset-1'!F105:R715,2,)</f>
        <v>Morning</v>
      </c>
      <c r="H104" s="41" t="b">
        <f>VLOOKUP(G104,'Dataset-1'!G105:S715,2,)</f>
        <v>0</v>
      </c>
      <c r="I104" s="41">
        <f>VLOOKUP(H104,'Dataset-1'!H105:T715,2,)</f>
        <v>3</v>
      </c>
      <c r="J104" s="71" t="str">
        <f>VLOOKUP(I104,'Dataset-1'!I105:U715,2,)</f>
        <v>Tuesday</v>
      </c>
      <c r="K104" s="41">
        <f>VLOOKUP(J104,'Dataset-1'!J105:V715,2,)</f>
        <v>1</v>
      </c>
      <c r="L104" s="41">
        <f>VLOOKUP(K104,'Dataset-1'!K105:W715,2,)</f>
        <v>0.26</v>
      </c>
      <c r="M104" s="71" t="str">
        <f>VLOOKUP(L104,'Dataset-1'!L105:X715,2,)</f>
        <v>Cloudy</v>
      </c>
      <c r="N104" s="41">
        <f>VLOOKUP(A104,'Dataset-2'!B105:H715,2,)</f>
        <v>0.2273</v>
      </c>
      <c r="O104" s="41">
        <f>VLOOKUP(N104,'Dataset-2'!C105:I715,2,)</f>
        <v>0.33</v>
      </c>
      <c r="P104" s="41">
        <f>VLOOKUP(O104,'Dataset-2'!D105:J715,2,)</f>
        <v>0.32840000000000003</v>
      </c>
      <c r="Q104" s="41">
        <f>VLOOKUP(P104,'Dataset-2'!E105:K715,2,)</f>
        <v>12</v>
      </c>
      <c r="R104" s="41">
        <f>VLOOKUP(Q104,'Dataset-2'!F105:L715,2,)</f>
        <v>34</v>
      </c>
      <c r="S104" s="41">
        <f>VLOOKUP(R104,'Dataset-2'!G105:M715,2,)</f>
        <v>46</v>
      </c>
    </row>
    <row r="105" spans="1:19" x14ac:dyDescent="0.35">
      <c r="A105" s="40">
        <v>104</v>
      </c>
      <c r="B105" s="62">
        <f>VLOOKUP(A105,'Dataset-1'!A106:M716,2,)</f>
        <v>40548</v>
      </c>
      <c r="C105" s="41">
        <f>VLOOKUP(B105,'Dataset-1'!B106:N716,2,)</f>
        <v>1</v>
      </c>
      <c r="D105" s="41">
        <f>VLOOKUP(C105,'Dataset-1'!C106:O716,2,)</f>
        <v>0</v>
      </c>
      <c r="E105" s="41">
        <f>VLOOKUP(D105,'Dataset-1'!D106:P716,2,)</f>
        <v>1</v>
      </c>
      <c r="F105" s="41">
        <f>VLOOKUP(E105,'Dataset-1'!E106:Q716,2,)</f>
        <v>12</v>
      </c>
      <c r="G105" s="71" t="str">
        <f>VLOOKUP(F105,'Dataset-1'!F106:R716,2,)</f>
        <v>AfterNoon</v>
      </c>
      <c r="H105" s="41" t="b">
        <f>VLOOKUP(G105,'Dataset-1'!G106:S716,2,)</f>
        <v>0</v>
      </c>
      <c r="I105" s="41">
        <f>VLOOKUP(H105,'Dataset-1'!H106:T716,2,)</f>
        <v>3</v>
      </c>
      <c r="J105" s="71" t="str">
        <f>VLOOKUP(I105,'Dataset-1'!I106:U716,2,)</f>
        <v>Tuesday</v>
      </c>
      <c r="K105" s="41">
        <f>VLOOKUP(J105,'Dataset-1'!J106:V716,2,)</f>
        <v>1</v>
      </c>
      <c r="L105" s="41">
        <f>VLOOKUP(K105,'Dataset-1'!K106:W716,2,)</f>
        <v>0.26</v>
      </c>
      <c r="M105" s="71" t="str">
        <f>VLOOKUP(L105,'Dataset-1'!L106:X716,2,)</f>
        <v>Cloudy</v>
      </c>
      <c r="N105" s="41">
        <f>VLOOKUP(A105,'Dataset-2'!B106:H716,2,)</f>
        <v>0.2273</v>
      </c>
      <c r="O105" s="41">
        <f>VLOOKUP(N105,'Dataset-2'!C106:I716,2,)</f>
        <v>0.33</v>
      </c>
      <c r="P105" s="41">
        <f>VLOOKUP(O105,'Dataset-2'!D106:J716,2,)</f>
        <v>0.32840000000000003</v>
      </c>
      <c r="Q105" s="41">
        <f>VLOOKUP(P105,'Dataset-2'!E106:K716,2,)</f>
        <v>5</v>
      </c>
      <c r="R105" s="41">
        <f>VLOOKUP(Q105,'Dataset-2'!F106:L716,2,)</f>
        <v>74</v>
      </c>
      <c r="S105" s="41">
        <f>VLOOKUP(R105,'Dataset-2'!G106:M716,2,)</f>
        <v>79</v>
      </c>
    </row>
    <row r="106" spans="1:19" x14ac:dyDescent="0.35">
      <c r="A106" s="40">
        <v>105</v>
      </c>
      <c r="B106" s="62">
        <f>VLOOKUP(A106,'Dataset-1'!A107:M717,2,)</f>
        <v>40548</v>
      </c>
      <c r="C106" s="41">
        <f>VLOOKUP(B106,'Dataset-1'!B107:N717,2,)</f>
        <v>1</v>
      </c>
      <c r="D106" s="41">
        <f>VLOOKUP(C106,'Dataset-1'!C107:O717,2,)</f>
        <v>0</v>
      </c>
      <c r="E106" s="41">
        <f>VLOOKUP(D106,'Dataset-1'!D107:P717,2,)</f>
        <v>1</v>
      </c>
      <c r="F106" s="41">
        <f>VLOOKUP(E106,'Dataset-1'!E107:Q717,2,)</f>
        <v>13</v>
      </c>
      <c r="G106" s="71" t="str">
        <f>VLOOKUP(F106,'Dataset-1'!F107:R717,2,)</f>
        <v>AfterNoon</v>
      </c>
      <c r="H106" s="41" t="b">
        <f>VLOOKUP(G106,'Dataset-1'!G107:S717,2,)</f>
        <v>0</v>
      </c>
      <c r="I106" s="41">
        <f>VLOOKUP(H106,'Dataset-1'!H107:T717,2,)</f>
        <v>3</v>
      </c>
      <c r="J106" s="71" t="str">
        <f>VLOOKUP(I106,'Dataset-1'!I107:U717,2,)</f>
        <v>Tuesday</v>
      </c>
      <c r="K106" s="41">
        <f>VLOOKUP(J106,'Dataset-1'!J107:V717,2,)</f>
        <v>1</v>
      </c>
      <c r="L106" s="41">
        <f>VLOOKUP(K106,'Dataset-1'!K107:W717,2,)</f>
        <v>0.28000000000000003</v>
      </c>
      <c r="M106" s="71" t="str">
        <f>VLOOKUP(L106,'Dataset-1'!L107:X717,2,)</f>
        <v>Cloudy</v>
      </c>
      <c r="N106" s="41">
        <f>VLOOKUP(A106,'Dataset-2'!B107:H717,2,)</f>
        <v>0.2576</v>
      </c>
      <c r="O106" s="41">
        <f>VLOOKUP(N106,'Dataset-2'!C107:I717,2,)</f>
        <v>0.3</v>
      </c>
      <c r="P106" s="41">
        <f>VLOOKUP(O106,'Dataset-2'!D107:J717,2,)</f>
        <v>0.29849999999999999</v>
      </c>
      <c r="Q106" s="41">
        <f>VLOOKUP(P106,'Dataset-2'!E107:K717,2,)</f>
        <v>6</v>
      </c>
      <c r="R106" s="41">
        <f>VLOOKUP(Q106,'Dataset-2'!F107:L717,2,)</f>
        <v>65</v>
      </c>
      <c r="S106" s="41">
        <f>VLOOKUP(R106,'Dataset-2'!G107:M717,2,)</f>
        <v>71</v>
      </c>
    </row>
    <row r="107" spans="1:19" x14ac:dyDescent="0.35">
      <c r="A107" s="40">
        <v>106</v>
      </c>
      <c r="B107" s="62">
        <f>VLOOKUP(A107,'Dataset-1'!A108:M718,2,)</f>
        <v>40548</v>
      </c>
      <c r="C107" s="41">
        <f>VLOOKUP(B107,'Dataset-1'!B108:N718,2,)</f>
        <v>1</v>
      </c>
      <c r="D107" s="41">
        <f>VLOOKUP(C107,'Dataset-1'!C108:O718,2,)</f>
        <v>0</v>
      </c>
      <c r="E107" s="41">
        <f>VLOOKUP(D107,'Dataset-1'!D108:P718,2,)</f>
        <v>1</v>
      </c>
      <c r="F107" s="41">
        <f>VLOOKUP(E107,'Dataset-1'!E108:Q718,2,)</f>
        <v>14</v>
      </c>
      <c r="G107" s="71" t="str">
        <f>VLOOKUP(F107,'Dataset-1'!F108:R718,2,)</f>
        <v>AfterNoon</v>
      </c>
      <c r="H107" s="41" t="b">
        <f>VLOOKUP(G107,'Dataset-1'!G108:S718,2,)</f>
        <v>0</v>
      </c>
      <c r="I107" s="41">
        <f>VLOOKUP(H107,'Dataset-1'!H108:T718,2,)</f>
        <v>3</v>
      </c>
      <c r="J107" s="71" t="str">
        <f>VLOOKUP(I107,'Dataset-1'!I108:U718,2,)</f>
        <v>Tuesday</v>
      </c>
      <c r="K107" s="41">
        <f>VLOOKUP(J107,'Dataset-1'!J108:V718,2,)</f>
        <v>1</v>
      </c>
      <c r="L107" s="41">
        <f>VLOOKUP(K107,'Dataset-1'!K108:W718,2,)</f>
        <v>0.3</v>
      </c>
      <c r="M107" s="71" t="str">
        <f>VLOOKUP(L107,'Dataset-1'!L108:X718,2,)</f>
        <v>Cloudy</v>
      </c>
      <c r="N107" s="41">
        <f>VLOOKUP(A107,'Dataset-2'!B108:H718,2,)</f>
        <v>0.28789999999999999</v>
      </c>
      <c r="O107" s="41">
        <f>VLOOKUP(N107,'Dataset-2'!C108:I718,2,)</f>
        <v>0.28000000000000003</v>
      </c>
      <c r="P107" s="41">
        <f>VLOOKUP(O107,'Dataset-2'!D108:J718,2,)</f>
        <v>0.19400000000000001</v>
      </c>
      <c r="Q107" s="41">
        <f>VLOOKUP(P107,'Dataset-2'!E108:K718,2,)</f>
        <v>10</v>
      </c>
      <c r="R107" s="41">
        <f>VLOOKUP(Q107,'Dataset-2'!F108:L718,2,)</f>
        <v>52</v>
      </c>
      <c r="S107" s="41">
        <f>VLOOKUP(R107,'Dataset-2'!G108:M718,2,)</f>
        <v>62</v>
      </c>
    </row>
    <row r="108" spans="1:19" x14ac:dyDescent="0.35">
      <c r="A108" s="40">
        <v>107</v>
      </c>
      <c r="B108" s="62">
        <f>VLOOKUP(A108,'Dataset-1'!A109:M719,2,)</f>
        <v>40548</v>
      </c>
      <c r="C108" s="41">
        <f>VLOOKUP(B108,'Dataset-1'!B109:N719,2,)</f>
        <v>1</v>
      </c>
      <c r="D108" s="41">
        <f>VLOOKUP(C108,'Dataset-1'!C109:O719,2,)</f>
        <v>0</v>
      </c>
      <c r="E108" s="41">
        <f>VLOOKUP(D108,'Dataset-1'!D109:P719,2,)</f>
        <v>1</v>
      </c>
      <c r="F108" s="41">
        <f>VLOOKUP(E108,'Dataset-1'!E109:Q719,2,)</f>
        <v>15</v>
      </c>
      <c r="G108" s="71" t="str">
        <f>VLOOKUP(F108,'Dataset-1'!F109:R719,2,)</f>
        <v>AfterNoon</v>
      </c>
      <c r="H108" s="41" t="b">
        <f>VLOOKUP(G108,'Dataset-1'!G109:S719,2,)</f>
        <v>0</v>
      </c>
      <c r="I108" s="41">
        <f>VLOOKUP(H108,'Dataset-1'!H109:T719,2,)</f>
        <v>3</v>
      </c>
      <c r="J108" s="71" t="str">
        <f>VLOOKUP(I108,'Dataset-1'!I109:U719,2,)</f>
        <v>Tuesday</v>
      </c>
      <c r="K108" s="41">
        <f>VLOOKUP(J108,'Dataset-1'!J109:V719,2,)</f>
        <v>1</v>
      </c>
      <c r="L108" s="41">
        <f>VLOOKUP(K108,'Dataset-1'!K109:W719,2,)</f>
        <v>0.3</v>
      </c>
      <c r="M108" s="71" t="str">
        <f>VLOOKUP(L108,'Dataset-1'!L109:X719,2,)</f>
        <v>Cloudy</v>
      </c>
      <c r="N108" s="41">
        <f>VLOOKUP(A108,'Dataset-2'!B109:H719,2,)</f>
        <v>0.28789999999999999</v>
      </c>
      <c r="O108" s="41">
        <f>VLOOKUP(N108,'Dataset-2'!C109:I719,2,)</f>
        <v>0.28000000000000003</v>
      </c>
      <c r="P108" s="41">
        <f>VLOOKUP(O108,'Dataset-2'!D109:J719,2,)</f>
        <v>0.19400000000000001</v>
      </c>
      <c r="Q108" s="41">
        <f>VLOOKUP(P108,'Dataset-2'!E109:K719,2,)</f>
        <v>7</v>
      </c>
      <c r="R108" s="41">
        <f>VLOOKUP(Q108,'Dataset-2'!F109:L719,2,)</f>
        <v>55</v>
      </c>
      <c r="S108" s="41">
        <f>VLOOKUP(R108,'Dataset-2'!G109:M719,2,)</f>
        <v>62</v>
      </c>
    </row>
    <row r="109" spans="1:19" x14ac:dyDescent="0.35">
      <c r="A109" s="40">
        <v>108</v>
      </c>
      <c r="B109" s="62">
        <f>VLOOKUP(A109,'Dataset-1'!A110:M720,2,)</f>
        <v>40548</v>
      </c>
      <c r="C109" s="41">
        <f>VLOOKUP(B109,'Dataset-1'!B110:N720,2,)</f>
        <v>1</v>
      </c>
      <c r="D109" s="41">
        <f>VLOOKUP(C109,'Dataset-1'!C110:O720,2,)</f>
        <v>0</v>
      </c>
      <c r="E109" s="41">
        <f>VLOOKUP(D109,'Dataset-1'!D110:P720,2,)</f>
        <v>1</v>
      </c>
      <c r="F109" s="41">
        <f>VLOOKUP(E109,'Dataset-1'!E110:Q720,2,)</f>
        <v>16</v>
      </c>
      <c r="G109" s="71" t="str">
        <f>VLOOKUP(F109,'Dataset-1'!F110:R720,2,)</f>
        <v>AfterNoon</v>
      </c>
      <c r="H109" s="41" t="b">
        <f>VLOOKUP(G109,'Dataset-1'!G110:S720,2,)</f>
        <v>0</v>
      </c>
      <c r="I109" s="41">
        <f>VLOOKUP(H109,'Dataset-1'!H110:T720,2,)</f>
        <v>3</v>
      </c>
      <c r="J109" s="71" t="str">
        <f>VLOOKUP(I109,'Dataset-1'!I110:U720,2,)</f>
        <v>Tuesday</v>
      </c>
      <c r="K109" s="41">
        <f>VLOOKUP(J109,'Dataset-1'!J110:V720,2,)</f>
        <v>1</v>
      </c>
      <c r="L109" s="41">
        <f>VLOOKUP(K109,'Dataset-1'!K110:W720,2,)</f>
        <v>0.3</v>
      </c>
      <c r="M109" s="71" t="str">
        <f>VLOOKUP(L109,'Dataset-1'!L110:X720,2,)</f>
        <v>Cloudy</v>
      </c>
      <c r="N109" s="41">
        <f>VLOOKUP(A109,'Dataset-2'!B110:H720,2,)</f>
        <v>0.31819999999999998</v>
      </c>
      <c r="O109" s="41">
        <f>VLOOKUP(N109,'Dataset-2'!C110:I720,2,)</f>
        <v>0.28000000000000003</v>
      </c>
      <c r="P109" s="41">
        <f>VLOOKUP(O109,'Dataset-2'!D110:J720,2,)</f>
        <v>8.9599999999999999E-2</v>
      </c>
      <c r="Q109" s="41">
        <f>VLOOKUP(P109,'Dataset-2'!E110:K720,2,)</f>
        <v>4</v>
      </c>
      <c r="R109" s="41">
        <f>VLOOKUP(Q109,'Dataset-2'!F110:L720,2,)</f>
        <v>85</v>
      </c>
      <c r="S109" s="41">
        <f>VLOOKUP(R109,'Dataset-2'!G110:M720,2,)</f>
        <v>89</v>
      </c>
    </row>
    <row r="110" spans="1:19" x14ac:dyDescent="0.35">
      <c r="A110" s="40">
        <v>109</v>
      </c>
      <c r="B110" s="62">
        <f>VLOOKUP(A110,'Dataset-1'!A111:M721,2,)</f>
        <v>40548</v>
      </c>
      <c r="C110" s="41">
        <f>VLOOKUP(B110,'Dataset-1'!B111:N721,2,)</f>
        <v>1</v>
      </c>
      <c r="D110" s="41">
        <f>VLOOKUP(C110,'Dataset-1'!C111:O721,2,)</f>
        <v>0</v>
      </c>
      <c r="E110" s="41">
        <f>VLOOKUP(D110,'Dataset-1'!D111:P721,2,)</f>
        <v>1</v>
      </c>
      <c r="F110" s="41">
        <f>VLOOKUP(E110,'Dataset-1'!E111:Q721,2,)</f>
        <v>17</v>
      </c>
      <c r="G110" s="71" t="str">
        <f>VLOOKUP(F110,'Dataset-1'!F111:R721,2,)</f>
        <v>Evening</v>
      </c>
      <c r="H110" s="41" t="b">
        <f>VLOOKUP(G110,'Dataset-1'!G111:S721,2,)</f>
        <v>0</v>
      </c>
      <c r="I110" s="41">
        <f>VLOOKUP(H110,'Dataset-1'!H111:T721,2,)</f>
        <v>3</v>
      </c>
      <c r="J110" s="71" t="str">
        <f>VLOOKUP(I110,'Dataset-1'!I111:U721,2,)</f>
        <v>Tuesday</v>
      </c>
      <c r="K110" s="41">
        <f>VLOOKUP(J110,'Dataset-1'!J111:V721,2,)</f>
        <v>1</v>
      </c>
      <c r="L110" s="41">
        <f>VLOOKUP(K110,'Dataset-1'!K111:W721,2,)</f>
        <v>0.24</v>
      </c>
      <c r="M110" s="71" t="str">
        <f>VLOOKUP(L110,'Dataset-1'!L111:X721,2,)</f>
        <v>Cloudy</v>
      </c>
      <c r="N110" s="41">
        <f>VLOOKUP(A110,'Dataset-2'!B111:H721,2,)</f>
        <v>0.2273</v>
      </c>
      <c r="O110" s="41">
        <f>VLOOKUP(N110,'Dataset-2'!C111:I721,2,)</f>
        <v>0.38</v>
      </c>
      <c r="P110" s="41">
        <f>VLOOKUP(O110,'Dataset-2'!D111:J721,2,)</f>
        <v>0.19400000000000001</v>
      </c>
      <c r="Q110" s="41">
        <f>VLOOKUP(P110,'Dataset-2'!E111:K721,2,)</f>
        <v>4</v>
      </c>
      <c r="R110" s="41">
        <f>VLOOKUP(Q110,'Dataset-2'!F111:L721,2,)</f>
        <v>186</v>
      </c>
      <c r="S110" s="41">
        <f>VLOOKUP(R110,'Dataset-2'!G111:M721,2,)</f>
        <v>190</v>
      </c>
    </row>
    <row r="111" spans="1:19" x14ac:dyDescent="0.35">
      <c r="A111" s="40">
        <v>110</v>
      </c>
      <c r="B111" s="62">
        <f>VLOOKUP(A111,'Dataset-1'!A112:M722,2,)</f>
        <v>40548</v>
      </c>
      <c r="C111" s="41">
        <f>VLOOKUP(B111,'Dataset-1'!B112:N722,2,)</f>
        <v>1</v>
      </c>
      <c r="D111" s="41">
        <f>VLOOKUP(C111,'Dataset-1'!C112:O722,2,)</f>
        <v>0</v>
      </c>
      <c r="E111" s="41">
        <f>VLOOKUP(D111,'Dataset-1'!D112:P722,2,)</f>
        <v>1</v>
      </c>
      <c r="F111" s="41">
        <f>VLOOKUP(E111,'Dataset-1'!E112:Q722,2,)</f>
        <v>18</v>
      </c>
      <c r="G111" s="71" t="str">
        <f>VLOOKUP(F111,'Dataset-1'!F112:R722,2,)</f>
        <v>Evening</v>
      </c>
      <c r="H111" s="41" t="b">
        <f>VLOOKUP(G111,'Dataset-1'!G112:S722,2,)</f>
        <v>0</v>
      </c>
      <c r="I111" s="41">
        <f>VLOOKUP(H111,'Dataset-1'!H112:T722,2,)</f>
        <v>3</v>
      </c>
      <c r="J111" s="71" t="str">
        <f>VLOOKUP(I111,'Dataset-1'!I112:U722,2,)</f>
        <v>Tuesday</v>
      </c>
      <c r="K111" s="41">
        <f>VLOOKUP(J111,'Dataset-1'!J112:V722,2,)</f>
        <v>1</v>
      </c>
      <c r="L111" s="41">
        <f>VLOOKUP(K111,'Dataset-1'!K112:W722,2,)</f>
        <v>0.24</v>
      </c>
      <c r="M111" s="71" t="str">
        <f>VLOOKUP(L111,'Dataset-1'!L112:X722,2,)</f>
        <v>Cloudy</v>
      </c>
      <c r="N111" s="41">
        <f>VLOOKUP(A111,'Dataset-2'!B112:H722,2,)</f>
        <v>0.2424</v>
      </c>
      <c r="O111" s="41">
        <f>VLOOKUP(N111,'Dataset-2'!C112:I722,2,)</f>
        <v>0.38</v>
      </c>
      <c r="P111" s="41">
        <f>VLOOKUP(O111,'Dataset-2'!D112:J722,2,)</f>
        <v>0.1343</v>
      </c>
      <c r="Q111" s="41">
        <f>VLOOKUP(P111,'Dataset-2'!E112:K722,2,)</f>
        <v>3</v>
      </c>
      <c r="R111" s="41">
        <f>VLOOKUP(Q111,'Dataset-2'!F112:L722,2,)</f>
        <v>166</v>
      </c>
      <c r="S111" s="41">
        <f>VLOOKUP(R111,'Dataset-2'!G112:M722,2,)</f>
        <v>169</v>
      </c>
    </row>
    <row r="112" spans="1:19" x14ac:dyDescent="0.35">
      <c r="A112" s="40">
        <v>111</v>
      </c>
      <c r="B112" s="62">
        <f>VLOOKUP(A112,'Dataset-1'!A113:M723,2,)</f>
        <v>40548</v>
      </c>
      <c r="C112" s="41">
        <f>VLOOKUP(B112,'Dataset-1'!B113:N723,2,)</f>
        <v>1</v>
      </c>
      <c r="D112" s="41">
        <f>VLOOKUP(C112,'Dataset-1'!C113:O723,2,)</f>
        <v>0</v>
      </c>
      <c r="E112" s="41">
        <f>VLOOKUP(D112,'Dataset-1'!D113:P723,2,)</f>
        <v>1</v>
      </c>
      <c r="F112" s="41">
        <f>VLOOKUP(E112,'Dataset-1'!E113:Q723,2,)</f>
        <v>19</v>
      </c>
      <c r="G112" s="71" t="str">
        <f>VLOOKUP(F112,'Dataset-1'!F113:R723,2,)</f>
        <v>Evening</v>
      </c>
      <c r="H112" s="41" t="b">
        <f>VLOOKUP(G112,'Dataset-1'!G113:S723,2,)</f>
        <v>0</v>
      </c>
      <c r="I112" s="41">
        <f>VLOOKUP(H112,'Dataset-1'!H113:T723,2,)</f>
        <v>3</v>
      </c>
      <c r="J112" s="71" t="str">
        <f>VLOOKUP(I112,'Dataset-1'!I113:U723,2,)</f>
        <v>Tuesday</v>
      </c>
      <c r="K112" s="41">
        <f>VLOOKUP(J112,'Dataset-1'!J113:V723,2,)</f>
        <v>1</v>
      </c>
      <c r="L112" s="41">
        <f>VLOOKUP(K112,'Dataset-1'!K113:W723,2,)</f>
        <v>0.24</v>
      </c>
      <c r="M112" s="71" t="str">
        <f>VLOOKUP(L112,'Dataset-1'!L113:X723,2,)</f>
        <v>Cloudy</v>
      </c>
      <c r="N112" s="41">
        <f>VLOOKUP(A112,'Dataset-2'!B113:H723,2,)</f>
        <v>0.2576</v>
      </c>
      <c r="O112" s="41">
        <f>VLOOKUP(N112,'Dataset-2'!C113:I723,2,)</f>
        <v>0.38</v>
      </c>
      <c r="P112" s="41">
        <f>VLOOKUP(O112,'Dataset-2'!D113:J723,2,)</f>
        <v>0.1045</v>
      </c>
      <c r="Q112" s="41">
        <f>VLOOKUP(P112,'Dataset-2'!E113:K723,2,)</f>
        <v>5</v>
      </c>
      <c r="R112" s="41">
        <f>VLOOKUP(Q112,'Dataset-2'!F113:L723,2,)</f>
        <v>127</v>
      </c>
      <c r="S112" s="41">
        <f>VLOOKUP(R112,'Dataset-2'!G113:M723,2,)</f>
        <v>132</v>
      </c>
    </row>
    <row r="113" spans="1:19" x14ac:dyDescent="0.35">
      <c r="A113" s="40">
        <v>112</v>
      </c>
      <c r="B113" s="62">
        <f>VLOOKUP(A113,'Dataset-1'!A114:M724,2,)</f>
        <v>40548</v>
      </c>
      <c r="C113" s="41">
        <f>VLOOKUP(B113,'Dataset-1'!B114:N724,2,)</f>
        <v>1</v>
      </c>
      <c r="D113" s="41">
        <f>VLOOKUP(C113,'Dataset-1'!C114:O724,2,)</f>
        <v>0</v>
      </c>
      <c r="E113" s="41">
        <f>VLOOKUP(D113,'Dataset-1'!D114:P724,2,)</f>
        <v>1</v>
      </c>
      <c r="F113" s="41">
        <f>VLOOKUP(E113,'Dataset-1'!E114:Q724,2,)</f>
        <v>20</v>
      </c>
      <c r="G113" s="71" t="str">
        <f>VLOOKUP(F113,'Dataset-1'!F114:R724,2,)</f>
        <v>Night</v>
      </c>
      <c r="H113" s="41" t="b">
        <f>VLOOKUP(G113,'Dataset-1'!G114:S724,2,)</f>
        <v>0</v>
      </c>
      <c r="I113" s="41">
        <f>VLOOKUP(H113,'Dataset-1'!H114:T724,2,)</f>
        <v>3</v>
      </c>
      <c r="J113" s="71" t="str">
        <f>VLOOKUP(I113,'Dataset-1'!I114:U724,2,)</f>
        <v>Tuesday</v>
      </c>
      <c r="K113" s="41">
        <f>VLOOKUP(J113,'Dataset-1'!J114:V724,2,)</f>
        <v>1</v>
      </c>
      <c r="L113" s="41">
        <f>VLOOKUP(K113,'Dataset-1'!K114:W724,2,)</f>
        <v>0.22</v>
      </c>
      <c r="M113" s="71" t="str">
        <f>VLOOKUP(L113,'Dataset-1'!L114:X724,2,)</f>
        <v>Cloudy</v>
      </c>
      <c r="N113" s="41">
        <f>VLOOKUP(A113,'Dataset-2'!B114:H724,2,)</f>
        <v>0.2273</v>
      </c>
      <c r="O113" s="41">
        <f>VLOOKUP(N113,'Dataset-2'!C114:I724,2,)</f>
        <v>0.47</v>
      </c>
      <c r="P113" s="41">
        <f>VLOOKUP(O113,'Dataset-2'!D114:J724,2,)</f>
        <v>0.16420000000000001</v>
      </c>
      <c r="Q113" s="41">
        <f>VLOOKUP(P113,'Dataset-2'!E114:K724,2,)</f>
        <v>7</v>
      </c>
      <c r="R113" s="41">
        <f>VLOOKUP(Q113,'Dataset-2'!F114:L724,2,)</f>
        <v>82</v>
      </c>
      <c r="S113" s="41">
        <f>VLOOKUP(R113,'Dataset-2'!G114:M724,2,)</f>
        <v>89</v>
      </c>
    </row>
    <row r="114" spans="1:19" x14ac:dyDescent="0.35">
      <c r="A114" s="40">
        <v>113</v>
      </c>
      <c r="B114" s="62">
        <f>VLOOKUP(A114,'Dataset-1'!A115:M725,2,)</f>
        <v>40548</v>
      </c>
      <c r="C114" s="41">
        <f>VLOOKUP(B114,'Dataset-1'!B115:N725,2,)</f>
        <v>1</v>
      </c>
      <c r="D114" s="41">
        <f>VLOOKUP(C114,'Dataset-1'!C115:O725,2,)</f>
        <v>0</v>
      </c>
      <c r="E114" s="41">
        <f>VLOOKUP(D114,'Dataset-1'!D115:P725,2,)</f>
        <v>1</v>
      </c>
      <c r="F114" s="41">
        <f>VLOOKUP(E114,'Dataset-1'!E115:Q725,2,)</f>
        <v>21</v>
      </c>
      <c r="G114" s="71" t="str">
        <f>VLOOKUP(F114,'Dataset-1'!F115:R725,2,)</f>
        <v>Night</v>
      </c>
      <c r="H114" s="41" t="b">
        <f>VLOOKUP(G114,'Dataset-1'!G115:S725,2,)</f>
        <v>0</v>
      </c>
      <c r="I114" s="41">
        <f>VLOOKUP(H114,'Dataset-1'!H115:T725,2,)</f>
        <v>3</v>
      </c>
      <c r="J114" s="71" t="str">
        <f>VLOOKUP(I114,'Dataset-1'!I115:U725,2,)</f>
        <v>Tuesday</v>
      </c>
      <c r="K114" s="41">
        <f>VLOOKUP(J114,'Dataset-1'!J115:V725,2,)</f>
        <v>1</v>
      </c>
      <c r="L114" s="41">
        <f>VLOOKUP(K114,'Dataset-1'!K115:W725,2,)</f>
        <v>0.2</v>
      </c>
      <c r="M114" s="71" t="str">
        <f>VLOOKUP(L114,'Dataset-1'!L115:X725,2,)</f>
        <v>Rainy</v>
      </c>
      <c r="N114" s="41">
        <f>VLOOKUP(A114,'Dataset-2'!B115:H725,2,)</f>
        <v>0.19700000000000001</v>
      </c>
      <c r="O114" s="41">
        <f>VLOOKUP(N114,'Dataset-2'!C115:I725,2,)</f>
        <v>0.51</v>
      </c>
      <c r="P114" s="41">
        <f>VLOOKUP(O114,'Dataset-2'!D115:J725,2,)</f>
        <v>0.19400000000000001</v>
      </c>
      <c r="Q114" s="41">
        <f>VLOOKUP(P114,'Dataset-2'!E115:K725,2,)</f>
        <v>3</v>
      </c>
      <c r="R114" s="41">
        <f>VLOOKUP(Q114,'Dataset-2'!F115:L725,2,)</f>
        <v>40</v>
      </c>
      <c r="S114" s="41">
        <f>VLOOKUP(R114,'Dataset-2'!G115:M725,2,)</f>
        <v>43</v>
      </c>
    </row>
    <row r="115" spans="1:19" x14ac:dyDescent="0.35">
      <c r="A115" s="40">
        <v>114</v>
      </c>
      <c r="B115" s="62">
        <f>VLOOKUP(A115,'Dataset-1'!A116:M726,2,)</f>
        <v>40548</v>
      </c>
      <c r="C115" s="41">
        <f>VLOOKUP(B115,'Dataset-1'!B116:N726,2,)</f>
        <v>1</v>
      </c>
      <c r="D115" s="41">
        <f>VLOOKUP(C115,'Dataset-1'!C116:O726,2,)</f>
        <v>0</v>
      </c>
      <c r="E115" s="41">
        <f>VLOOKUP(D115,'Dataset-1'!D116:P726,2,)</f>
        <v>1</v>
      </c>
      <c r="F115" s="41">
        <f>VLOOKUP(E115,'Dataset-1'!E116:Q726,2,)</f>
        <v>22</v>
      </c>
      <c r="G115" s="71" t="str">
        <f>VLOOKUP(F115,'Dataset-1'!F116:R726,2,)</f>
        <v>Night</v>
      </c>
      <c r="H115" s="41" t="b">
        <f>VLOOKUP(G115,'Dataset-1'!G116:S726,2,)</f>
        <v>0</v>
      </c>
      <c r="I115" s="41">
        <f>VLOOKUP(H115,'Dataset-1'!H116:T726,2,)</f>
        <v>3</v>
      </c>
      <c r="J115" s="71" t="str">
        <f>VLOOKUP(I115,'Dataset-1'!I116:U726,2,)</f>
        <v>Tuesday</v>
      </c>
      <c r="K115" s="41">
        <f>VLOOKUP(J115,'Dataset-1'!J116:V726,2,)</f>
        <v>1</v>
      </c>
      <c r="L115" s="41">
        <f>VLOOKUP(K115,'Dataset-1'!K116:W726,2,)</f>
        <v>0.18</v>
      </c>
      <c r="M115" s="71" t="str">
        <f>VLOOKUP(L115,'Dataset-1'!L116:X726,2,)</f>
        <v>Rainy</v>
      </c>
      <c r="N115" s="41">
        <f>VLOOKUP(A115,'Dataset-2'!B116:H726,2,)</f>
        <v>0.19700000000000001</v>
      </c>
      <c r="O115" s="41">
        <f>VLOOKUP(N115,'Dataset-2'!C116:I726,2,)</f>
        <v>0.55000000000000004</v>
      </c>
      <c r="P115" s="41">
        <f>VLOOKUP(O115,'Dataset-2'!D116:J726,2,)</f>
        <v>0.1343</v>
      </c>
      <c r="Q115" s="41">
        <f>VLOOKUP(P115,'Dataset-2'!E116:K726,2,)</f>
        <v>1</v>
      </c>
      <c r="R115" s="41">
        <f>VLOOKUP(Q115,'Dataset-2'!F116:L726,2,)</f>
        <v>41</v>
      </c>
      <c r="S115" s="41">
        <f>VLOOKUP(R115,'Dataset-2'!G116:M726,2,)</f>
        <v>42</v>
      </c>
    </row>
    <row r="116" spans="1:19" x14ac:dyDescent="0.35">
      <c r="A116" s="40">
        <v>115</v>
      </c>
      <c r="B116" s="62">
        <f>VLOOKUP(A116,'Dataset-1'!A117:M727,2,)</f>
        <v>40548</v>
      </c>
      <c r="C116" s="41">
        <f>VLOOKUP(B116,'Dataset-1'!B117:N727,2,)</f>
        <v>1</v>
      </c>
      <c r="D116" s="41">
        <f>VLOOKUP(C116,'Dataset-1'!C117:O727,2,)</f>
        <v>0</v>
      </c>
      <c r="E116" s="41">
        <f>VLOOKUP(D116,'Dataset-1'!D117:P727,2,)</f>
        <v>1</v>
      </c>
      <c r="F116" s="41">
        <f>VLOOKUP(E116,'Dataset-1'!E117:Q727,2,)</f>
        <v>23</v>
      </c>
      <c r="G116" s="71" t="str">
        <f>VLOOKUP(F116,'Dataset-1'!F117:R727,2,)</f>
        <v>Night</v>
      </c>
      <c r="H116" s="41" t="b">
        <f>VLOOKUP(G116,'Dataset-1'!G117:S727,2,)</f>
        <v>0</v>
      </c>
      <c r="I116" s="41">
        <f>VLOOKUP(H116,'Dataset-1'!H117:T727,2,)</f>
        <v>3</v>
      </c>
      <c r="J116" s="71" t="str">
        <f>VLOOKUP(I116,'Dataset-1'!I117:U727,2,)</f>
        <v>Tuesday</v>
      </c>
      <c r="K116" s="41">
        <f>VLOOKUP(J116,'Dataset-1'!J117:V727,2,)</f>
        <v>1</v>
      </c>
      <c r="L116" s="41">
        <f>VLOOKUP(K116,'Dataset-1'!K117:W727,2,)</f>
        <v>0.2</v>
      </c>
      <c r="M116" s="71" t="str">
        <f>VLOOKUP(L116,'Dataset-1'!L117:X727,2,)</f>
        <v>Rainy</v>
      </c>
      <c r="N116" s="41">
        <f>VLOOKUP(A116,'Dataset-2'!B117:H727,2,)</f>
        <v>0.2576</v>
      </c>
      <c r="O116" s="41">
        <f>VLOOKUP(N116,'Dataset-2'!C117:I727,2,)</f>
        <v>0.47</v>
      </c>
      <c r="P116" s="41">
        <f>VLOOKUP(O116,'Dataset-2'!D117:J727,2,)</f>
        <v>0</v>
      </c>
      <c r="Q116" s="41">
        <f>VLOOKUP(P116,'Dataset-2'!E117:K727,2,)</f>
        <v>1</v>
      </c>
      <c r="R116" s="41">
        <f>VLOOKUP(Q116,'Dataset-2'!F117:L727,2,)</f>
        <v>18</v>
      </c>
      <c r="S116" s="41">
        <f>VLOOKUP(R116,'Dataset-2'!G117:M727,2,)</f>
        <v>19</v>
      </c>
    </row>
    <row r="117" spans="1:19" x14ac:dyDescent="0.35">
      <c r="A117" s="40">
        <v>116</v>
      </c>
      <c r="B117" s="62">
        <f>VLOOKUP(A117,'Dataset-1'!A118:M728,2,)</f>
        <v>40549</v>
      </c>
      <c r="C117" s="41">
        <f>VLOOKUP(B117,'Dataset-1'!B118:N728,2,)</f>
        <v>1</v>
      </c>
      <c r="D117" s="41">
        <f>VLOOKUP(C117,'Dataset-1'!C118:O728,2,)</f>
        <v>0</v>
      </c>
      <c r="E117" s="41">
        <f>VLOOKUP(D117,'Dataset-1'!D118:P728,2,)</f>
        <v>1</v>
      </c>
      <c r="F117" s="41">
        <f>VLOOKUP(E117,'Dataset-1'!E118:Q728,2,)</f>
        <v>0</v>
      </c>
      <c r="G117" s="71" t="str">
        <f>VLOOKUP(F117,'Dataset-1'!F118:R728,2,)</f>
        <v>Night</v>
      </c>
      <c r="H117" s="41" t="b">
        <f>VLOOKUP(G117,'Dataset-1'!G118:S728,2,)</f>
        <v>0</v>
      </c>
      <c r="I117" s="41">
        <f>VLOOKUP(H117,'Dataset-1'!H118:T728,2,)</f>
        <v>4</v>
      </c>
      <c r="J117" s="71" t="str">
        <f>VLOOKUP(I117,'Dataset-1'!I118:U728,2,)</f>
        <v>Wednesday</v>
      </c>
      <c r="K117" s="41">
        <f>VLOOKUP(J117,'Dataset-1'!J118:V728,2,)</f>
        <v>1</v>
      </c>
      <c r="L117" s="41">
        <f>VLOOKUP(K117,'Dataset-1'!K118:W728,2,)</f>
        <v>0.18</v>
      </c>
      <c r="M117" s="71" t="str">
        <f>VLOOKUP(L117,'Dataset-1'!L118:X728,2,)</f>
        <v>Rainy</v>
      </c>
      <c r="N117" s="41">
        <f>VLOOKUP(A117,'Dataset-2'!B118:H728,2,)</f>
        <v>0.2424</v>
      </c>
      <c r="O117" s="41">
        <f>VLOOKUP(N117,'Dataset-2'!C118:I728,2,)</f>
        <v>0.55000000000000004</v>
      </c>
      <c r="P117" s="41">
        <f>VLOOKUP(O117,'Dataset-2'!D118:J728,2,)</f>
        <v>0</v>
      </c>
      <c r="Q117" s="41">
        <f>VLOOKUP(P117,'Dataset-2'!E118:K728,2,)</f>
        <v>0</v>
      </c>
      <c r="R117" s="41">
        <f>VLOOKUP(Q117,'Dataset-2'!F118:L728,2,)</f>
        <v>11</v>
      </c>
      <c r="S117" s="41">
        <f>VLOOKUP(R117,'Dataset-2'!G118:M728,2,)</f>
        <v>11</v>
      </c>
    </row>
    <row r="118" spans="1:19" x14ac:dyDescent="0.35">
      <c r="A118" s="40">
        <v>117</v>
      </c>
      <c r="B118" s="62">
        <f>VLOOKUP(A118,'Dataset-1'!A119:M729,2,)</f>
        <v>40549</v>
      </c>
      <c r="C118" s="41">
        <f>VLOOKUP(B118,'Dataset-1'!B119:N729,2,)</f>
        <v>1</v>
      </c>
      <c r="D118" s="41">
        <f>VLOOKUP(C118,'Dataset-1'!C119:O729,2,)</f>
        <v>0</v>
      </c>
      <c r="E118" s="41">
        <f>VLOOKUP(D118,'Dataset-1'!D119:P729,2,)</f>
        <v>1</v>
      </c>
      <c r="F118" s="41">
        <f>VLOOKUP(E118,'Dataset-1'!E119:Q729,2,)</f>
        <v>1</v>
      </c>
      <c r="G118" s="71" t="str">
        <f>VLOOKUP(F118,'Dataset-1'!F119:R729,2,)</f>
        <v>Night</v>
      </c>
      <c r="H118" s="41" t="b">
        <f>VLOOKUP(G118,'Dataset-1'!G119:S729,2,)</f>
        <v>0</v>
      </c>
      <c r="I118" s="41">
        <f>VLOOKUP(H118,'Dataset-1'!H119:T729,2,)</f>
        <v>4</v>
      </c>
      <c r="J118" s="71" t="str">
        <f>VLOOKUP(I118,'Dataset-1'!I119:U729,2,)</f>
        <v>Wednesday</v>
      </c>
      <c r="K118" s="41">
        <f>VLOOKUP(J118,'Dataset-1'!J119:V729,2,)</f>
        <v>1</v>
      </c>
      <c r="L118" s="41">
        <f>VLOOKUP(K118,'Dataset-1'!K119:W729,2,)</f>
        <v>0.16</v>
      </c>
      <c r="M118" s="71" t="str">
        <f>VLOOKUP(L118,'Dataset-1'!L119:X729,2,)</f>
        <v>Rainy</v>
      </c>
      <c r="N118" s="41">
        <f>VLOOKUP(A118,'Dataset-2'!B119:H729,2,)</f>
        <v>0.2273</v>
      </c>
      <c r="O118" s="41">
        <f>VLOOKUP(N118,'Dataset-2'!C119:I729,2,)</f>
        <v>0.64</v>
      </c>
      <c r="P118" s="41">
        <f>VLOOKUP(O118,'Dataset-2'!D119:J729,2,)</f>
        <v>0</v>
      </c>
      <c r="Q118" s="41">
        <f>VLOOKUP(P118,'Dataset-2'!E119:K729,2,)</f>
        <v>0</v>
      </c>
      <c r="R118" s="41">
        <f>VLOOKUP(Q118,'Dataset-2'!F119:L729,2,)</f>
        <v>4</v>
      </c>
      <c r="S118" s="41">
        <f>VLOOKUP(R118,'Dataset-2'!G119:M729,2,)</f>
        <v>4</v>
      </c>
    </row>
    <row r="119" spans="1:19" x14ac:dyDescent="0.35">
      <c r="A119" s="40">
        <v>118</v>
      </c>
      <c r="B119" s="62">
        <f>VLOOKUP(A119,'Dataset-1'!A120:M730,2,)</f>
        <v>40549</v>
      </c>
      <c r="C119" s="41">
        <f>VLOOKUP(B119,'Dataset-1'!B120:N730,2,)</f>
        <v>1</v>
      </c>
      <c r="D119" s="41">
        <f>VLOOKUP(C119,'Dataset-1'!C120:O730,2,)</f>
        <v>0</v>
      </c>
      <c r="E119" s="41">
        <f>VLOOKUP(D119,'Dataset-1'!D120:P730,2,)</f>
        <v>1</v>
      </c>
      <c r="F119" s="41">
        <f>VLOOKUP(E119,'Dataset-1'!E120:Q730,2,)</f>
        <v>2</v>
      </c>
      <c r="G119" s="71" t="str">
        <f>VLOOKUP(F119,'Dataset-1'!F120:R730,2,)</f>
        <v>Night</v>
      </c>
      <c r="H119" s="41" t="b">
        <f>VLOOKUP(G119,'Dataset-1'!G120:S730,2,)</f>
        <v>0</v>
      </c>
      <c r="I119" s="41">
        <f>VLOOKUP(H119,'Dataset-1'!H120:T730,2,)</f>
        <v>4</v>
      </c>
      <c r="J119" s="71" t="str">
        <f>VLOOKUP(I119,'Dataset-1'!I120:U730,2,)</f>
        <v>Wednesday</v>
      </c>
      <c r="K119" s="41">
        <f>VLOOKUP(J119,'Dataset-1'!J120:V730,2,)</f>
        <v>1</v>
      </c>
      <c r="L119" s="41">
        <f>VLOOKUP(K119,'Dataset-1'!K120:W730,2,)</f>
        <v>0.16</v>
      </c>
      <c r="M119" s="71" t="str">
        <f>VLOOKUP(L119,'Dataset-1'!L120:X730,2,)</f>
        <v>Rainy</v>
      </c>
      <c r="N119" s="41">
        <f>VLOOKUP(A119,'Dataset-2'!B120:H730,2,)</f>
        <v>0.2273</v>
      </c>
      <c r="O119" s="41">
        <f>VLOOKUP(N119,'Dataset-2'!C120:I730,2,)</f>
        <v>0.64</v>
      </c>
      <c r="P119" s="41">
        <f>VLOOKUP(O119,'Dataset-2'!D120:J730,2,)</f>
        <v>0</v>
      </c>
      <c r="Q119" s="41">
        <f>VLOOKUP(P119,'Dataset-2'!E120:K730,2,)</f>
        <v>0</v>
      </c>
      <c r="R119" s="41">
        <f>VLOOKUP(Q119,'Dataset-2'!F120:L730,2,)</f>
        <v>2</v>
      </c>
      <c r="S119" s="41">
        <f>VLOOKUP(R119,'Dataset-2'!G120:M730,2,)</f>
        <v>2</v>
      </c>
    </row>
    <row r="120" spans="1:19" x14ac:dyDescent="0.35">
      <c r="A120" s="40">
        <v>119</v>
      </c>
      <c r="B120" s="62">
        <f>VLOOKUP(A120,'Dataset-1'!A121:M731,2,)</f>
        <v>40549</v>
      </c>
      <c r="C120" s="41">
        <f>VLOOKUP(B120,'Dataset-1'!B121:N731,2,)</f>
        <v>1</v>
      </c>
      <c r="D120" s="41">
        <f>VLOOKUP(C120,'Dataset-1'!C121:O731,2,)</f>
        <v>0</v>
      </c>
      <c r="E120" s="41">
        <f>VLOOKUP(D120,'Dataset-1'!D121:P731,2,)</f>
        <v>1</v>
      </c>
      <c r="F120" s="41">
        <f>VLOOKUP(E120,'Dataset-1'!E121:Q731,2,)</f>
        <v>4</v>
      </c>
      <c r="G120" s="71" t="str">
        <f>VLOOKUP(F120,'Dataset-1'!F121:R731,2,)</f>
        <v>Night</v>
      </c>
      <c r="H120" s="41" t="b">
        <f>VLOOKUP(G120,'Dataset-1'!G121:S731,2,)</f>
        <v>0</v>
      </c>
      <c r="I120" s="41">
        <f>VLOOKUP(H120,'Dataset-1'!H121:T731,2,)</f>
        <v>4</v>
      </c>
      <c r="J120" s="71" t="str">
        <f>VLOOKUP(I120,'Dataset-1'!I121:U731,2,)</f>
        <v>Wednesday</v>
      </c>
      <c r="K120" s="41">
        <f>VLOOKUP(J120,'Dataset-1'!J121:V731,2,)</f>
        <v>2</v>
      </c>
      <c r="L120" s="41">
        <f>VLOOKUP(K120,'Dataset-1'!K121:W731,2,)</f>
        <v>0.16</v>
      </c>
      <c r="M120" s="71" t="str">
        <f>VLOOKUP(L120,'Dataset-1'!L121:X731,2,)</f>
        <v>Rainy</v>
      </c>
      <c r="N120" s="41">
        <f>VLOOKUP(A120,'Dataset-2'!B121:H731,2,)</f>
        <v>0.19700000000000001</v>
      </c>
      <c r="O120" s="41">
        <f>VLOOKUP(N120,'Dataset-2'!C121:I731,2,)</f>
        <v>0.64</v>
      </c>
      <c r="P120" s="41">
        <f>VLOOKUP(O120,'Dataset-2'!D121:J731,2,)</f>
        <v>8.9599999999999999E-2</v>
      </c>
      <c r="Q120" s="41">
        <f>VLOOKUP(P120,'Dataset-2'!E121:K731,2,)</f>
        <v>0</v>
      </c>
      <c r="R120" s="41">
        <f>VLOOKUP(Q120,'Dataset-2'!F121:L731,2,)</f>
        <v>1</v>
      </c>
      <c r="S120" s="41">
        <f>VLOOKUP(R120,'Dataset-2'!G121:M731,2,)</f>
        <v>1</v>
      </c>
    </row>
    <row r="121" spans="1:19" x14ac:dyDescent="0.35">
      <c r="A121" s="40">
        <v>120</v>
      </c>
      <c r="B121" s="62">
        <f>VLOOKUP(A121,'Dataset-1'!A122:M732,2,)</f>
        <v>40549</v>
      </c>
      <c r="C121" s="41">
        <f>VLOOKUP(B121,'Dataset-1'!B122:N732,2,)</f>
        <v>1</v>
      </c>
      <c r="D121" s="41">
        <f>VLOOKUP(C121,'Dataset-1'!C122:O732,2,)</f>
        <v>0</v>
      </c>
      <c r="E121" s="41">
        <f>VLOOKUP(D121,'Dataset-1'!D122:P732,2,)</f>
        <v>1</v>
      </c>
      <c r="F121" s="41">
        <f>VLOOKUP(E121,'Dataset-1'!E122:Q732,2,)</f>
        <v>5</v>
      </c>
      <c r="G121" s="71" t="str">
        <f>VLOOKUP(F121,'Dataset-1'!F122:R732,2,)</f>
        <v>Morning</v>
      </c>
      <c r="H121" s="41" t="b">
        <f>VLOOKUP(G121,'Dataset-1'!G122:S732,2,)</f>
        <v>0</v>
      </c>
      <c r="I121" s="41">
        <f>VLOOKUP(H121,'Dataset-1'!H122:T732,2,)</f>
        <v>4</v>
      </c>
      <c r="J121" s="71" t="str">
        <f>VLOOKUP(I121,'Dataset-1'!I122:U732,2,)</f>
        <v>Wednesday</v>
      </c>
      <c r="K121" s="41">
        <f>VLOOKUP(J121,'Dataset-1'!J122:V732,2,)</f>
        <v>2</v>
      </c>
      <c r="L121" s="41">
        <f>VLOOKUP(K121,'Dataset-1'!K122:W732,2,)</f>
        <v>0.14000000000000001</v>
      </c>
      <c r="M121" s="71" t="str">
        <f>VLOOKUP(L121,'Dataset-1'!L122:X732,2,)</f>
        <v>Rainy</v>
      </c>
      <c r="N121" s="41">
        <f>VLOOKUP(A121,'Dataset-2'!B122:H732,2,)</f>
        <v>0.18179999999999999</v>
      </c>
      <c r="O121" s="41">
        <f>VLOOKUP(N121,'Dataset-2'!C122:I732,2,)</f>
        <v>0.69</v>
      </c>
      <c r="P121" s="41">
        <f>VLOOKUP(O121,'Dataset-2'!D122:J732,2,)</f>
        <v>8.9599999999999999E-2</v>
      </c>
      <c r="Q121" s="41">
        <f>VLOOKUP(P121,'Dataset-2'!E122:K732,2,)</f>
        <v>0</v>
      </c>
      <c r="R121" s="41">
        <f>VLOOKUP(Q121,'Dataset-2'!F122:L732,2,)</f>
        <v>4</v>
      </c>
      <c r="S121" s="41">
        <f>VLOOKUP(R121,'Dataset-2'!G122:M732,2,)</f>
        <v>4</v>
      </c>
    </row>
    <row r="122" spans="1:19" x14ac:dyDescent="0.35">
      <c r="A122" s="40">
        <v>121</v>
      </c>
      <c r="B122" s="62">
        <f>VLOOKUP(A122,'Dataset-1'!A123:M733,2,)</f>
        <v>40549</v>
      </c>
      <c r="C122" s="41">
        <f>VLOOKUP(B122,'Dataset-1'!B123:N733,2,)</f>
        <v>1</v>
      </c>
      <c r="D122" s="41">
        <f>VLOOKUP(C122,'Dataset-1'!C123:O733,2,)</f>
        <v>0</v>
      </c>
      <c r="E122" s="41">
        <f>VLOOKUP(D122,'Dataset-1'!D123:P733,2,)</f>
        <v>1</v>
      </c>
      <c r="F122" s="41">
        <f>VLOOKUP(E122,'Dataset-1'!E123:Q733,2,)</f>
        <v>6</v>
      </c>
      <c r="G122" s="71" t="str">
        <f>VLOOKUP(F122,'Dataset-1'!F123:R733,2,)</f>
        <v>Morning</v>
      </c>
      <c r="H122" s="41" t="b">
        <f>VLOOKUP(G122,'Dataset-1'!G123:S733,2,)</f>
        <v>0</v>
      </c>
      <c r="I122" s="41">
        <f>VLOOKUP(H122,'Dataset-1'!H123:T733,2,)</f>
        <v>4</v>
      </c>
      <c r="J122" s="71" t="str">
        <f>VLOOKUP(I122,'Dataset-1'!I123:U733,2,)</f>
        <v>Wednesday</v>
      </c>
      <c r="K122" s="41">
        <f>VLOOKUP(J122,'Dataset-1'!J123:V733,2,)</f>
        <v>2</v>
      </c>
      <c r="L122" s="41">
        <f>VLOOKUP(K122,'Dataset-1'!K123:W733,2,)</f>
        <v>0.14000000000000001</v>
      </c>
      <c r="M122" s="71" t="str">
        <f>VLOOKUP(L122,'Dataset-1'!L123:X733,2,)</f>
        <v>Rainy</v>
      </c>
      <c r="N122" s="41">
        <f>VLOOKUP(A122,'Dataset-2'!B123:H733,2,)</f>
        <v>0.16669999999999999</v>
      </c>
      <c r="O122" s="41">
        <f>VLOOKUP(N122,'Dataset-2'!C123:I733,2,)</f>
        <v>0.63</v>
      </c>
      <c r="P122" s="41">
        <f>VLOOKUP(O122,'Dataset-2'!D123:J733,2,)</f>
        <v>0.1045</v>
      </c>
      <c r="Q122" s="41">
        <f>VLOOKUP(P122,'Dataset-2'!E123:K733,2,)</f>
        <v>0</v>
      </c>
      <c r="R122" s="41">
        <f>VLOOKUP(Q122,'Dataset-2'!F123:L733,2,)</f>
        <v>36</v>
      </c>
      <c r="S122" s="41">
        <f>VLOOKUP(R122,'Dataset-2'!G123:M733,2,)</f>
        <v>36</v>
      </c>
    </row>
    <row r="123" spans="1:19" x14ac:dyDescent="0.35">
      <c r="A123" s="40">
        <v>122</v>
      </c>
      <c r="B123" s="62">
        <f>VLOOKUP(A123,'Dataset-1'!A124:M734,2,)</f>
        <v>40549</v>
      </c>
      <c r="C123" s="41">
        <f>VLOOKUP(B123,'Dataset-1'!B124:N734,2,)</f>
        <v>1</v>
      </c>
      <c r="D123" s="41">
        <f>VLOOKUP(C123,'Dataset-1'!C124:O734,2,)</f>
        <v>0</v>
      </c>
      <c r="E123" s="41">
        <f>VLOOKUP(D123,'Dataset-1'!D124:P734,2,)</f>
        <v>1</v>
      </c>
      <c r="F123" s="41">
        <f>VLOOKUP(E123,'Dataset-1'!E124:Q734,2,)</f>
        <v>7</v>
      </c>
      <c r="G123" s="71" t="str">
        <f>VLOOKUP(F123,'Dataset-1'!F124:R734,2,)</f>
        <v>Morning</v>
      </c>
      <c r="H123" s="41" t="b">
        <f>VLOOKUP(G123,'Dataset-1'!G124:S734,2,)</f>
        <v>0</v>
      </c>
      <c r="I123" s="41">
        <f>VLOOKUP(H123,'Dataset-1'!H124:T734,2,)</f>
        <v>4</v>
      </c>
      <c r="J123" s="71" t="str">
        <f>VLOOKUP(I123,'Dataset-1'!I124:U734,2,)</f>
        <v>Wednesday</v>
      </c>
      <c r="K123" s="41">
        <f>VLOOKUP(J123,'Dataset-1'!J124:V734,2,)</f>
        <v>2</v>
      </c>
      <c r="L123" s="41">
        <f>VLOOKUP(K123,'Dataset-1'!K124:W734,2,)</f>
        <v>0.16</v>
      </c>
      <c r="M123" s="71" t="str">
        <f>VLOOKUP(L123,'Dataset-1'!L124:X734,2,)</f>
        <v>Rainy</v>
      </c>
      <c r="N123" s="41">
        <f>VLOOKUP(A123,'Dataset-2'!B124:H734,2,)</f>
        <v>0.2273</v>
      </c>
      <c r="O123" s="41">
        <f>VLOOKUP(N123,'Dataset-2'!C124:I734,2,)</f>
        <v>0.59</v>
      </c>
      <c r="P123" s="41">
        <f>VLOOKUP(O123,'Dataset-2'!D124:J734,2,)</f>
        <v>0</v>
      </c>
      <c r="Q123" s="41">
        <f>VLOOKUP(P123,'Dataset-2'!E124:K734,2,)</f>
        <v>0</v>
      </c>
      <c r="R123" s="41">
        <f>VLOOKUP(Q123,'Dataset-2'!F124:L734,2,)</f>
        <v>95</v>
      </c>
      <c r="S123" s="41">
        <f>VLOOKUP(R123,'Dataset-2'!G124:M734,2,)</f>
        <v>95</v>
      </c>
    </row>
    <row r="124" spans="1:19" x14ac:dyDescent="0.35">
      <c r="A124" s="40">
        <v>123</v>
      </c>
      <c r="B124" s="62">
        <f>VLOOKUP(A124,'Dataset-1'!A125:M735,2,)</f>
        <v>40549</v>
      </c>
      <c r="C124" s="41">
        <f>VLOOKUP(B124,'Dataset-1'!B125:N735,2,)</f>
        <v>1</v>
      </c>
      <c r="D124" s="41">
        <f>VLOOKUP(C124,'Dataset-1'!C125:O735,2,)</f>
        <v>0</v>
      </c>
      <c r="E124" s="41">
        <f>VLOOKUP(D124,'Dataset-1'!D125:P735,2,)</f>
        <v>1</v>
      </c>
      <c r="F124" s="41">
        <f>VLOOKUP(E124,'Dataset-1'!E125:Q735,2,)</f>
        <v>8</v>
      </c>
      <c r="G124" s="71" t="str">
        <f>VLOOKUP(F124,'Dataset-1'!F125:R735,2,)</f>
        <v>Morning</v>
      </c>
      <c r="H124" s="41" t="b">
        <f>VLOOKUP(G124,'Dataset-1'!G125:S735,2,)</f>
        <v>0</v>
      </c>
      <c r="I124" s="41">
        <f>VLOOKUP(H124,'Dataset-1'!H125:T735,2,)</f>
        <v>4</v>
      </c>
      <c r="J124" s="71" t="str">
        <f>VLOOKUP(I124,'Dataset-1'!I125:U735,2,)</f>
        <v>Wednesday</v>
      </c>
      <c r="K124" s="41">
        <f>VLOOKUP(J124,'Dataset-1'!J125:V735,2,)</f>
        <v>1</v>
      </c>
      <c r="L124" s="41">
        <f>VLOOKUP(K124,'Dataset-1'!K125:W735,2,)</f>
        <v>0.16</v>
      </c>
      <c r="M124" s="71" t="str">
        <f>VLOOKUP(L124,'Dataset-1'!L125:X735,2,)</f>
        <v>Rainy</v>
      </c>
      <c r="N124" s="41">
        <f>VLOOKUP(A124,'Dataset-2'!B125:H735,2,)</f>
        <v>0.2273</v>
      </c>
      <c r="O124" s="41">
        <f>VLOOKUP(N124,'Dataset-2'!C125:I735,2,)</f>
        <v>0.59</v>
      </c>
      <c r="P124" s="41">
        <f>VLOOKUP(O124,'Dataset-2'!D125:J735,2,)</f>
        <v>0</v>
      </c>
      <c r="Q124" s="41">
        <f>VLOOKUP(P124,'Dataset-2'!E125:K735,2,)</f>
        <v>3</v>
      </c>
      <c r="R124" s="41">
        <f>VLOOKUP(Q124,'Dataset-2'!F125:L735,2,)</f>
        <v>216</v>
      </c>
      <c r="S124" s="41">
        <f>VLOOKUP(R124,'Dataset-2'!G125:M735,2,)</f>
        <v>219</v>
      </c>
    </row>
    <row r="125" spans="1:19" x14ac:dyDescent="0.35">
      <c r="A125" s="40">
        <v>124</v>
      </c>
      <c r="B125" s="62">
        <f>VLOOKUP(A125,'Dataset-1'!A126:M736,2,)</f>
        <v>40549</v>
      </c>
      <c r="C125" s="41">
        <f>VLOOKUP(B125,'Dataset-1'!B126:N736,2,)</f>
        <v>1</v>
      </c>
      <c r="D125" s="41">
        <f>VLOOKUP(C125,'Dataset-1'!C126:O736,2,)</f>
        <v>0</v>
      </c>
      <c r="E125" s="41">
        <f>VLOOKUP(D125,'Dataset-1'!D126:P736,2,)</f>
        <v>1</v>
      </c>
      <c r="F125" s="41">
        <f>VLOOKUP(E125,'Dataset-1'!E126:Q736,2,)</f>
        <v>9</v>
      </c>
      <c r="G125" s="71" t="str">
        <f>VLOOKUP(F125,'Dataset-1'!F126:R736,2,)</f>
        <v>Morning</v>
      </c>
      <c r="H125" s="41" t="b">
        <f>VLOOKUP(G125,'Dataset-1'!G126:S736,2,)</f>
        <v>0</v>
      </c>
      <c r="I125" s="41">
        <f>VLOOKUP(H125,'Dataset-1'!H126:T736,2,)</f>
        <v>4</v>
      </c>
      <c r="J125" s="71" t="str">
        <f>VLOOKUP(I125,'Dataset-1'!I126:U736,2,)</f>
        <v>Wednesday</v>
      </c>
      <c r="K125" s="41">
        <f>VLOOKUP(J125,'Dataset-1'!J126:V736,2,)</f>
        <v>2</v>
      </c>
      <c r="L125" s="41">
        <f>VLOOKUP(K125,'Dataset-1'!K126:W736,2,)</f>
        <v>0.18</v>
      </c>
      <c r="M125" s="71" t="str">
        <f>VLOOKUP(L125,'Dataset-1'!L126:X736,2,)</f>
        <v>Rainy</v>
      </c>
      <c r="N125" s="41">
        <f>VLOOKUP(A125,'Dataset-2'!B126:H736,2,)</f>
        <v>0.2424</v>
      </c>
      <c r="O125" s="41">
        <f>VLOOKUP(N125,'Dataset-2'!C126:I736,2,)</f>
        <v>0.51</v>
      </c>
      <c r="P125" s="41">
        <f>VLOOKUP(O125,'Dataset-2'!D126:J736,2,)</f>
        <v>0</v>
      </c>
      <c r="Q125" s="41">
        <f>VLOOKUP(P125,'Dataset-2'!E126:K736,2,)</f>
        <v>6</v>
      </c>
      <c r="R125" s="41">
        <f>VLOOKUP(Q125,'Dataset-2'!F126:L736,2,)</f>
        <v>116</v>
      </c>
      <c r="S125" s="41">
        <f>VLOOKUP(R125,'Dataset-2'!G126:M736,2,)</f>
        <v>122</v>
      </c>
    </row>
    <row r="126" spans="1:19" x14ac:dyDescent="0.35">
      <c r="A126" s="40">
        <v>125</v>
      </c>
      <c r="B126" s="62">
        <f>VLOOKUP(A126,'Dataset-1'!A127:M737,2,)</f>
        <v>40549</v>
      </c>
      <c r="C126" s="41">
        <f>VLOOKUP(B126,'Dataset-1'!B127:N737,2,)</f>
        <v>1</v>
      </c>
      <c r="D126" s="41">
        <f>VLOOKUP(C126,'Dataset-1'!C127:O737,2,)</f>
        <v>0</v>
      </c>
      <c r="E126" s="41">
        <f>VLOOKUP(D126,'Dataset-1'!D127:P737,2,)</f>
        <v>1</v>
      </c>
      <c r="F126" s="41">
        <f>VLOOKUP(E126,'Dataset-1'!E127:Q737,2,)</f>
        <v>10</v>
      </c>
      <c r="G126" s="71" t="str">
        <f>VLOOKUP(F126,'Dataset-1'!F127:R737,2,)</f>
        <v>Morning</v>
      </c>
      <c r="H126" s="41" t="b">
        <f>VLOOKUP(G126,'Dataset-1'!G127:S737,2,)</f>
        <v>0</v>
      </c>
      <c r="I126" s="41">
        <f>VLOOKUP(H126,'Dataset-1'!H127:T737,2,)</f>
        <v>4</v>
      </c>
      <c r="J126" s="71" t="str">
        <f>VLOOKUP(I126,'Dataset-1'!I127:U737,2,)</f>
        <v>Wednesday</v>
      </c>
      <c r="K126" s="41">
        <f>VLOOKUP(J126,'Dataset-1'!J127:V737,2,)</f>
        <v>1</v>
      </c>
      <c r="L126" s="41">
        <f>VLOOKUP(K126,'Dataset-1'!K127:W737,2,)</f>
        <v>0.2</v>
      </c>
      <c r="M126" s="71" t="str">
        <f>VLOOKUP(L126,'Dataset-1'!L127:X737,2,)</f>
        <v>Rainy</v>
      </c>
      <c r="N126" s="41">
        <f>VLOOKUP(A126,'Dataset-2'!B127:H737,2,)</f>
        <v>0.2576</v>
      </c>
      <c r="O126" s="41">
        <f>VLOOKUP(N126,'Dataset-2'!C127:I737,2,)</f>
        <v>0.47</v>
      </c>
      <c r="P126" s="41">
        <f>VLOOKUP(O126,'Dataset-2'!D127:J737,2,)</f>
        <v>0</v>
      </c>
      <c r="Q126" s="41">
        <f>VLOOKUP(P126,'Dataset-2'!E127:K737,2,)</f>
        <v>3</v>
      </c>
      <c r="R126" s="41">
        <f>VLOOKUP(Q126,'Dataset-2'!F127:L737,2,)</f>
        <v>42</v>
      </c>
      <c r="S126" s="41">
        <f>VLOOKUP(R126,'Dataset-2'!G127:M737,2,)</f>
        <v>45</v>
      </c>
    </row>
    <row r="127" spans="1:19" x14ac:dyDescent="0.35">
      <c r="A127" s="40">
        <v>126</v>
      </c>
      <c r="B127" s="62">
        <f>VLOOKUP(A127,'Dataset-1'!A128:M738,2,)</f>
        <v>40549</v>
      </c>
      <c r="C127" s="41">
        <f>VLOOKUP(B127,'Dataset-1'!B128:N738,2,)</f>
        <v>1</v>
      </c>
      <c r="D127" s="41">
        <f>VLOOKUP(C127,'Dataset-1'!C128:O738,2,)</f>
        <v>0</v>
      </c>
      <c r="E127" s="41">
        <f>VLOOKUP(D127,'Dataset-1'!D128:P738,2,)</f>
        <v>1</v>
      </c>
      <c r="F127" s="41">
        <f>VLOOKUP(E127,'Dataset-1'!E128:Q738,2,)</f>
        <v>11</v>
      </c>
      <c r="G127" s="71" t="str">
        <f>VLOOKUP(F127,'Dataset-1'!F128:R738,2,)</f>
        <v>Morning</v>
      </c>
      <c r="H127" s="41" t="b">
        <f>VLOOKUP(G127,'Dataset-1'!G128:S738,2,)</f>
        <v>0</v>
      </c>
      <c r="I127" s="41">
        <f>VLOOKUP(H127,'Dataset-1'!H128:T738,2,)</f>
        <v>4</v>
      </c>
      <c r="J127" s="71" t="str">
        <f>VLOOKUP(I127,'Dataset-1'!I128:U738,2,)</f>
        <v>Wednesday</v>
      </c>
      <c r="K127" s="41">
        <f>VLOOKUP(J127,'Dataset-1'!J128:V738,2,)</f>
        <v>1</v>
      </c>
      <c r="L127" s="41">
        <f>VLOOKUP(K127,'Dataset-1'!K128:W738,2,)</f>
        <v>0.22</v>
      </c>
      <c r="M127" s="71" t="str">
        <f>VLOOKUP(L127,'Dataset-1'!L128:X738,2,)</f>
        <v>Cloudy</v>
      </c>
      <c r="N127" s="41">
        <f>VLOOKUP(A127,'Dataset-2'!B128:H738,2,)</f>
        <v>0.2576</v>
      </c>
      <c r="O127" s="41">
        <f>VLOOKUP(N127,'Dataset-2'!C128:I738,2,)</f>
        <v>0.44</v>
      </c>
      <c r="P127" s="41">
        <f>VLOOKUP(O127,'Dataset-2'!D128:J738,2,)</f>
        <v>8.9599999999999999E-2</v>
      </c>
      <c r="Q127" s="41">
        <f>VLOOKUP(P127,'Dataset-2'!E128:K738,2,)</f>
        <v>2</v>
      </c>
      <c r="R127" s="41">
        <f>VLOOKUP(Q127,'Dataset-2'!F128:L738,2,)</f>
        <v>57</v>
      </c>
      <c r="S127" s="41">
        <f>VLOOKUP(R127,'Dataset-2'!G128:M738,2,)</f>
        <v>59</v>
      </c>
    </row>
    <row r="128" spans="1:19" x14ac:dyDescent="0.35">
      <c r="A128" s="40">
        <v>127</v>
      </c>
      <c r="B128" s="62">
        <f>VLOOKUP(A128,'Dataset-1'!A129:M739,2,)</f>
        <v>40549</v>
      </c>
      <c r="C128" s="41">
        <f>VLOOKUP(B128,'Dataset-1'!B129:N739,2,)</f>
        <v>1</v>
      </c>
      <c r="D128" s="41">
        <f>VLOOKUP(C128,'Dataset-1'!C129:O739,2,)</f>
        <v>0</v>
      </c>
      <c r="E128" s="41">
        <f>VLOOKUP(D128,'Dataset-1'!D129:P739,2,)</f>
        <v>1</v>
      </c>
      <c r="F128" s="41">
        <f>VLOOKUP(E128,'Dataset-1'!E129:Q739,2,)</f>
        <v>12</v>
      </c>
      <c r="G128" s="71" t="str">
        <f>VLOOKUP(F128,'Dataset-1'!F129:R739,2,)</f>
        <v>AfterNoon</v>
      </c>
      <c r="H128" s="41" t="b">
        <f>VLOOKUP(G128,'Dataset-1'!G129:S739,2,)</f>
        <v>0</v>
      </c>
      <c r="I128" s="41">
        <f>VLOOKUP(H128,'Dataset-1'!H129:T739,2,)</f>
        <v>4</v>
      </c>
      <c r="J128" s="71" t="str">
        <f>VLOOKUP(I128,'Dataset-1'!I129:U739,2,)</f>
        <v>Wednesday</v>
      </c>
      <c r="K128" s="41">
        <f>VLOOKUP(J128,'Dataset-1'!J129:V739,2,)</f>
        <v>1</v>
      </c>
      <c r="L128" s="41">
        <f>VLOOKUP(K128,'Dataset-1'!K129:W739,2,)</f>
        <v>0.26</v>
      </c>
      <c r="M128" s="71" t="str">
        <f>VLOOKUP(L128,'Dataset-1'!L129:X739,2,)</f>
        <v>Cloudy</v>
      </c>
      <c r="N128" s="41">
        <f>VLOOKUP(A128,'Dataset-2'!B129:H739,2,)</f>
        <v>0.28789999999999999</v>
      </c>
      <c r="O128" s="41">
        <f>VLOOKUP(N128,'Dataset-2'!C129:I739,2,)</f>
        <v>0.35</v>
      </c>
      <c r="P128" s="41">
        <f>VLOOKUP(O128,'Dataset-2'!D129:J739,2,)</f>
        <v>0</v>
      </c>
      <c r="Q128" s="41">
        <f>VLOOKUP(P128,'Dataset-2'!E129:K739,2,)</f>
        <v>6</v>
      </c>
      <c r="R128" s="41">
        <f>VLOOKUP(Q128,'Dataset-2'!F129:L739,2,)</f>
        <v>78</v>
      </c>
      <c r="S128" s="41">
        <f>VLOOKUP(R128,'Dataset-2'!G129:M739,2,)</f>
        <v>84</v>
      </c>
    </row>
    <row r="129" spans="1:19" x14ac:dyDescent="0.35">
      <c r="A129" s="40">
        <v>128</v>
      </c>
      <c r="B129" s="62">
        <f>VLOOKUP(A129,'Dataset-1'!A130:M740,2,)</f>
        <v>40549</v>
      </c>
      <c r="C129" s="41">
        <f>VLOOKUP(B129,'Dataset-1'!B130:N740,2,)</f>
        <v>1</v>
      </c>
      <c r="D129" s="41">
        <f>VLOOKUP(C129,'Dataset-1'!C130:O740,2,)</f>
        <v>0</v>
      </c>
      <c r="E129" s="41">
        <f>VLOOKUP(D129,'Dataset-1'!D130:P740,2,)</f>
        <v>1</v>
      </c>
      <c r="F129" s="41">
        <f>VLOOKUP(E129,'Dataset-1'!E130:Q740,2,)</f>
        <v>13</v>
      </c>
      <c r="G129" s="71" t="str">
        <f>VLOOKUP(F129,'Dataset-1'!F130:R740,2,)</f>
        <v>AfterNoon</v>
      </c>
      <c r="H129" s="41" t="b">
        <f>VLOOKUP(G129,'Dataset-1'!G130:S740,2,)</f>
        <v>0</v>
      </c>
      <c r="I129" s="41">
        <f>VLOOKUP(H129,'Dataset-1'!H130:T740,2,)</f>
        <v>4</v>
      </c>
      <c r="J129" s="71" t="str">
        <f>VLOOKUP(I129,'Dataset-1'!I130:U740,2,)</f>
        <v>Wednesday</v>
      </c>
      <c r="K129" s="41">
        <f>VLOOKUP(J129,'Dataset-1'!J130:V740,2,)</f>
        <v>1</v>
      </c>
      <c r="L129" s="41">
        <f>VLOOKUP(K129,'Dataset-1'!K130:W740,2,)</f>
        <v>0.26</v>
      </c>
      <c r="M129" s="71" t="str">
        <f>VLOOKUP(L129,'Dataset-1'!L130:X740,2,)</f>
        <v>Cloudy</v>
      </c>
      <c r="N129" s="41">
        <f>VLOOKUP(A129,'Dataset-2'!B130:H740,2,)</f>
        <v>0.2727</v>
      </c>
      <c r="O129" s="41">
        <f>VLOOKUP(N129,'Dataset-2'!C130:I740,2,)</f>
        <v>0.35</v>
      </c>
      <c r="P129" s="41">
        <f>VLOOKUP(O129,'Dataset-2'!D130:J740,2,)</f>
        <v>0.1045</v>
      </c>
      <c r="Q129" s="41">
        <f>VLOOKUP(P129,'Dataset-2'!E130:K740,2,)</f>
        <v>12</v>
      </c>
      <c r="R129" s="41">
        <f>VLOOKUP(Q129,'Dataset-2'!F130:L740,2,)</f>
        <v>55</v>
      </c>
      <c r="S129" s="41">
        <f>VLOOKUP(R129,'Dataset-2'!G130:M740,2,)</f>
        <v>67</v>
      </c>
    </row>
    <row r="130" spans="1:19" x14ac:dyDescent="0.35">
      <c r="A130" s="40">
        <v>129</v>
      </c>
      <c r="B130" s="62">
        <f>VLOOKUP(A130,'Dataset-1'!A131:M741,2,)</f>
        <v>40549</v>
      </c>
      <c r="C130" s="41">
        <f>VLOOKUP(B130,'Dataset-1'!B131:N741,2,)</f>
        <v>1</v>
      </c>
      <c r="D130" s="41">
        <f>VLOOKUP(C130,'Dataset-1'!C131:O741,2,)</f>
        <v>0</v>
      </c>
      <c r="E130" s="41">
        <f>VLOOKUP(D130,'Dataset-1'!D131:P741,2,)</f>
        <v>1</v>
      </c>
      <c r="F130" s="41">
        <f>VLOOKUP(E130,'Dataset-1'!E131:Q741,2,)</f>
        <v>14</v>
      </c>
      <c r="G130" s="71" t="str">
        <f>VLOOKUP(F130,'Dataset-1'!F131:R741,2,)</f>
        <v>AfterNoon</v>
      </c>
      <c r="H130" s="41" t="b">
        <f>VLOOKUP(G130,'Dataset-1'!G131:S741,2,)</f>
        <v>0</v>
      </c>
      <c r="I130" s="41">
        <f>VLOOKUP(H130,'Dataset-1'!H131:T741,2,)</f>
        <v>4</v>
      </c>
      <c r="J130" s="71" t="str">
        <f>VLOOKUP(I130,'Dataset-1'!I131:U741,2,)</f>
        <v>Wednesday</v>
      </c>
      <c r="K130" s="41">
        <f>VLOOKUP(J130,'Dataset-1'!J131:V741,2,)</f>
        <v>1</v>
      </c>
      <c r="L130" s="41">
        <f>VLOOKUP(K130,'Dataset-1'!K131:W741,2,)</f>
        <v>0.28000000000000003</v>
      </c>
      <c r="M130" s="71" t="str">
        <f>VLOOKUP(L130,'Dataset-1'!L131:X741,2,)</f>
        <v>Cloudy</v>
      </c>
      <c r="N130" s="41">
        <f>VLOOKUP(A130,'Dataset-2'!B131:H741,2,)</f>
        <v>0.2727</v>
      </c>
      <c r="O130" s="41">
        <f>VLOOKUP(N130,'Dataset-2'!C131:I741,2,)</f>
        <v>0.36</v>
      </c>
      <c r="P130" s="41">
        <f>VLOOKUP(O130,'Dataset-2'!D131:J741,2,)</f>
        <v>0.16420000000000001</v>
      </c>
      <c r="Q130" s="41">
        <f>VLOOKUP(P130,'Dataset-2'!E131:K741,2,)</f>
        <v>11</v>
      </c>
      <c r="R130" s="41">
        <f>VLOOKUP(Q130,'Dataset-2'!F131:L741,2,)</f>
        <v>59</v>
      </c>
      <c r="S130" s="41">
        <f>VLOOKUP(R130,'Dataset-2'!G131:M741,2,)</f>
        <v>70</v>
      </c>
    </row>
    <row r="131" spans="1:19" x14ac:dyDescent="0.35">
      <c r="A131" s="40">
        <v>130</v>
      </c>
      <c r="B131" s="62">
        <f>VLOOKUP(A131,'Dataset-1'!A132:M742,2,)</f>
        <v>40549</v>
      </c>
      <c r="C131" s="41">
        <f>VLOOKUP(B131,'Dataset-1'!B132:N742,2,)</f>
        <v>1</v>
      </c>
      <c r="D131" s="41">
        <f>VLOOKUP(C131,'Dataset-1'!C132:O742,2,)</f>
        <v>0</v>
      </c>
      <c r="E131" s="41">
        <f>VLOOKUP(D131,'Dataset-1'!D132:P742,2,)</f>
        <v>1</v>
      </c>
      <c r="F131" s="41">
        <f>VLOOKUP(E131,'Dataset-1'!E132:Q742,2,)</f>
        <v>15</v>
      </c>
      <c r="G131" s="71" t="str">
        <f>VLOOKUP(F131,'Dataset-1'!F132:R742,2,)</f>
        <v>AfterNoon</v>
      </c>
      <c r="H131" s="41" t="b">
        <f>VLOOKUP(G131,'Dataset-1'!G132:S742,2,)</f>
        <v>0</v>
      </c>
      <c r="I131" s="41">
        <f>VLOOKUP(H131,'Dataset-1'!H132:T742,2,)</f>
        <v>4</v>
      </c>
      <c r="J131" s="71" t="str">
        <f>VLOOKUP(I131,'Dataset-1'!I132:U742,2,)</f>
        <v>Wednesday</v>
      </c>
      <c r="K131" s="41">
        <f>VLOOKUP(J131,'Dataset-1'!J132:V742,2,)</f>
        <v>1</v>
      </c>
      <c r="L131" s="41">
        <f>VLOOKUP(K131,'Dataset-1'!K132:W742,2,)</f>
        <v>0.28000000000000003</v>
      </c>
      <c r="M131" s="71" t="str">
        <f>VLOOKUP(L131,'Dataset-1'!L132:X742,2,)</f>
        <v>Cloudy</v>
      </c>
      <c r="N131" s="41">
        <f>VLOOKUP(A131,'Dataset-2'!B132:H742,2,)</f>
        <v>0.2727</v>
      </c>
      <c r="O131" s="41">
        <f>VLOOKUP(N131,'Dataset-2'!C132:I742,2,)</f>
        <v>0.36</v>
      </c>
      <c r="P131" s="41">
        <f>VLOOKUP(O131,'Dataset-2'!D132:J742,2,)</f>
        <v>0</v>
      </c>
      <c r="Q131" s="41">
        <f>VLOOKUP(P131,'Dataset-2'!E132:K742,2,)</f>
        <v>8</v>
      </c>
      <c r="R131" s="41">
        <f>VLOOKUP(Q131,'Dataset-2'!F132:L742,2,)</f>
        <v>54</v>
      </c>
      <c r="S131" s="41">
        <f>VLOOKUP(R131,'Dataset-2'!G132:M742,2,)</f>
        <v>62</v>
      </c>
    </row>
    <row r="132" spans="1:19" x14ac:dyDescent="0.35">
      <c r="A132" s="40">
        <v>131</v>
      </c>
      <c r="B132" s="62">
        <f>VLOOKUP(A132,'Dataset-1'!A133:M743,2,)</f>
        <v>40549</v>
      </c>
      <c r="C132" s="41">
        <f>VLOOKUP(B132,'Dataset-1'!B133:N743,2,)</f>
        <v>1</v>
      </c>
      <c r="D132" s="41">
        <f>VLOOKUP(C132,'Dataset-1'!C133:O743,2,)</f>
        <v>0</v>
      </c>
      <c r="E132" s="41">
        <f>VLOOKUP(D132,'Dataset-1'!D133:P743,2,)</f>
        <v>1</v>
      </c>
      <c r="F132" s="41">
        <f>VLOOKUP(E132,'Dataset-1'!E133:Q743,2,)</f>
        <v>16</v>
      </c>
      <c r="G132" s="71" t="str">
        <f>VLOOKUP(F132,'Dataset-1'!F133:R743,2,)</f>
        <v>AfterNoon</v>
      </c>
      <c r="H132" s="41" t="b">
        <f>VLOOKUP(G132,'Dataset-1'!G133:S743,2,)</f>
        <v>0</v>
      </c>
      <c r="I132" s="41">
        <f>VLOOKUP(H132,'Dataset-1'!H133:T743,2,)</f>
        <v>4</v>
      </c>
      <c r="J132" s="71" t="str">
        <f>VLOOKUP(I132,'Dataset-1'!I133:U743,2,)</f>
        <v>Wednesday</v>
      </c>
      <c r="K132" s="41">
        <f>VLOOKUP(J132,'Dataset-1'!J133:V743,2,)</f>
        <v>1</v>
      </c>
      <c r="L132" s="41">
        <f>VLOOKUP(K132,'Dataset-1'!K133:W743,2,)</f>
        <v>0.26</v>
      </c>
      <c r="M132" s="71" t="str">
        <f>VLOOKUP(L132,'Dataset-1'!L133:X743,2,)</f>
        <v>Cloudy</v>
      </c>
      <c r="N132" s="41">
        <f>VLOOKUP(A132,'Dataset-2'!B133:H743,2,)</f>
        <v>0.2576</v>
      </c>
      <c r="O132" s="41">
        <f>VLOOKUP(N132,'Dataset-2'!C133:I743,2,)</f>
        <v>0.38</v>
      </c>
      <c r="P132" s="41">
        <f>VLOOKUP(O132,'Dataset-2'!D133:J743,2,)</f>
        <v>0.16420000000000001</v>
      </c>
      <c r="Q132" s="41">
        <f>VLOOKUP(P132,'Dataset-2'!E133:K743,2,)</f>
        <v>12</v>
      </c>
      <c r="R132" s="41">
        <f>VLOOKUP(Q132,'Dataset-2'!F133:L743,2,)</f>
        <v>74</v>
      </c>
      <c r="S132" s="41">
        <f>VLOOKUP(R132,'Dataset-2'!G133:M743,2,)</f>
        <v>86</v>
      </c>
    </row>
    <row r="133" spans="1:19" x14ac:dyDescent="0.35">
      <c r="A133" s="40">
        <v>132</v>
      </c>
      <c r="B133" s="62">
        <f>VLOOKUP(A133,'Dataset-1'!A134:M744,2,)</f>
        <v>40549</v>
      </c>
      <c r="C133" s="41">
        <f>VLOOKUP(B133,'Dataset-1'!B134:N744,2,)</f>
        <v>1</v>
      </c>
      <c r="D133" s="41">
        <f>VLOOKUP(C133,'Dataset-1'!C134:O744,2,)</f>
        <v>0</v>
      </c>
      <c r="E133" s="41">
        <f>VLOOKUP(D133,'Dataset-1'!D134:P744,2,)</f>
        <v>1</v>
      </c>
      <c r="F133" s="41">
        <f>VLOOKUP(E133,'Dataset-1'!E134:Q744,2,)</f>
        <v>17</v>
      </c>
      <c r="G133" s="71" t="str">
        <f>VLOOKUP(F133,'Dataset-1'!F134:R744,2,)</f>
        <v>Evening</v>
      </c>
      <c r="H133" s="41" t="b">
        <f>VLOOKUP(G133,'Dataset-1'!G134:S744,2,)</f>
        <v>0</v>
      </c>
      <c r="I133" s="41">
        <f>VLOOKUP(H133,'Dataset-1'!H134:T744,2,)</f>
        <v>4</v>
      </c>
      <c r="J133" s="71" t="str">
        <f>VLOOKUP(I133,'Dataset-1'!I134:U744,2,)</f>
        <v>Wednesday</v>
      </c>
      <c r="K133" s="41">
        <f>VLOOKUP(J133,'Dataset-1'!J134:V744,2,)</f>
        <v>1</v>
      </c>
      <c r="L133" s="41">
        <f>VLOOKUP(K133,'Dataset-1'!K134:W744,2,)</f>
        <v>0.22</v>
      </c>
      <c r="M133" s="71" t="str">
        <f>VLOOKUP(L133,'Dataset-1'!L134:X744,2,)</f>
        <v>Cloudy</v>
      </c>
      <c r="N133" s="41">
        <f>VLOOKUP(A133,'Dataset-2'!B134:H744,2,)</f>
        <v>0.2273</v>
      </c>
      <c r="O133" s="41">
        <f>VLOOKUP(N133,'Dataset-2'!C134:I744,2,)</f>
        <v>0.51</v>
      </c>
      <c r="P133" s="41">
        <f>VLOOKUP(O133,'Dataset-2'!D134:J744,2,)</f>
        <v>0.16420000000000001</v>
      </c>
      <c r="Q133" s="41">
        <f>VLOOKUP(P133,'Dataset-2'!E134:K744,2,)</f>
        <v>9</v>
      </c>
      <c r="R133" s="41">
        <f>VLOOKUP(Q133,'Dataset-2'!F134:L744,2,)</f>
        <v>163</v>
      </c>
      <c r="S133" s="41">
        <f>VLOOKUP(R133,'Dataset-2'!G134:M744,2,)</f>
        <v>172</v>
      </c>
    </row>
    <row r="134" spans="1:19" x14ac:dyDescent="0.35">
      <c r="A134" s="40">
        <v>133</v>
      </c>
      <c r="B134" s="62">
        <f>VLOOKUP(A134,'Dataset-1'!A135:M745,2,)</f>
        <v>40549</v>
      </c>
      <c r="C134" s="41">
        <f>VLOOKUP(B134,'Dataset-1'!B135:N745,2,)</f>
        <v>1</v>
      </c>
      <c r="D134" s="41">
        <f>VLOOKUP(C134,'Dataset-1'!C135:O745,2,)</f>
        <v>0</v>
      </c>
      <c r="E134" s="41">
        <f>VLOOKUP(D134,'Dataset-1'!D135:P745,2,)</f>
        <v>1</v>
      </c>
      <c r="F134" s="41">
        <f>VLOOKUP(E134,'Dataset-1'!E135:Q745,2,)</f>
        <v>18</v>
      </c>
      <c r="G134" s="71" t="str">
        <f>VLOOKUP(F134,'Dataset-1'!F135:R745,2,)</f>
        <v>Evening</v>
      </c>
      <c r="H134" s="41" t="b">
        <f>VLOOKUP(G134,'Dataset-1'!G135:S745,2,)</f>
        <v>0</v>
      </c>
      <c r="I134" s="41">
        <f>VLOOKUP(H134,'Dataset-1'!H135:T745,2,)</f>
        <v>4</v>
      </c>
      <c r="J134" s="71" t="str">
        <f>VLOOKUP(I134,'Dataset-1'!I135:U745,2,)</f>
        <v>Wednesday</v>
      </c>
      <c r="K134" s="41">
        <f>VLOOKUP(J134,'Dataset-1'!J135:V745,2,)</f>
        <v>1</v>
      </c>
      <c r="L134" s="41">
        <f>VLOOKUP(K134,'Dataset-1'!K135:W745,2,)</f>
        <v>0.22</v>
      </c>
      <c r="M134" s="71" t="str">
        <f>VLOOKUP(L134,'Dataset-1'!L135:X745,2,)</f>
        <v>Cloudy</v>
      </c>
      <c r="N134" s="41">
        <f>VLOOKUP(A134,'Dataset-2'!B135:H745,2,)</f>
        <v>0.2273</v>
      </c>
      <c r="O134" s="41">
        <f>VLOOKUP(N134,'Dataset-2'!C135:I745,2,)</f>
        <v>0.51</v>
      </c>
      <c r="P134" s="41">
        <f>VLOOKUP(O134,'Dataset-2'!D135:J745,2,)</f>
        <v>0.1343</v>
      </c>
      <c r="Q134" s="41">
        <f>VLOOKUP(P134,'Dataset-2'!E135:K745,2,)</f>
        <v>5</v>
      </c>
      <c r="R134" s="41">
        <f>VLOOKUP(Q134,'Dataset-2'!F135:L745,2,)</f>
        <v>158</v>
      </c>
      <c r="S134" s="41">
        <f>VLOOKUP(R134,'Dataset-2'!G135:M745,2,)</f>
        <v>163</v>
      </c>
    </row>
    <row r="135" spans="1:19" x14ac:dyDescent="0.35">
      <c r="A135" s="40">
        <v>134</v>
      </c>
      <c r="B135" s="62">
        <f>VLOOKUP(A135,'Dataset-1'!A136:M746,2,)</f>
        <v>40549</v>
      </c>
      <c r="C135" s="41">
        <f>VLOOKUP(B135,'Dataset-1'!B136:N746,2,)</f>
        <v>1</v>
      </c>
      <c r="D135" s="41">
        <f>VLOOKUP(C135,'Dataset-1'!C136:O746,2,)</f>
        <v>0</v>
      </c>
      <c r="E135" s="41">
        <f>VLOOKUP(D135,'Dataset-1'!D136:P746,2,)</f>
        <v>1</v>
      </c>
      <c r="F135" s="41">
        <f>VLOOKUP(E135,'Dataset-1'!E136:Q746,2,)</f>
        <v>19</v>
      </c>
      <c r="G135" s="71" t="str">
        <f>VLOOKUP(F135,'Dataset-1'!F136:R746,2,)</f>
        <v>Evening</v>
      </c>
      <c r="H135" s="41" t="b">
        <f>VLOOKUP(G135,'Dataset-1'!G136:S746,2,)</f>
        <v>0</v>
      </c>
      <c r="I135" s="41">
        <f>VLOOKUP(H135,'Dataset-1'!H136:T746,2,)</f>
        <v>4</v>
      </c>
      <c r="J135" s="71" t="str">
        <f>VLOOKUP(I135,'Dataset-1'!I136:U746,2,)</f>
        <v>Wednesday</v>
      </c>
      <c r="K135" s="41">
        <f>VLOOKUP(J135,'Dataset-1'!J136:V746,2,)</f>
        <v>1</v>
      </c>
      <c r="L135" s="41">
        <f>VLOOKUP(K135,'Dataset-1'!K136:W746,2,)</f>
        <v>0.22</v>
      </c>
      <c r="M135" s="71" t="str">
        <f>VLOOKUP(L135,'Dataset-1'!L136:X746,2,)</f>
        <v>Cloudy</v>
      </c>
      <c r="N135" s="41">
        <f>VLOOKUP(A135,'Dataset-2'!B136:H746,2,)</f>
        <v>0.2576</v>
      </c>
      <c r="O135" s="41">
        <f>VLOOKUP(N135,'Dataset-2'!C136:I746,2,)</f>
        <v>0.55000000000000004</v>
      </c>
      <c r="P135" s="41">
        <f>VLOOKUP(O135,'Dataset-2'!D136:J746,2,)</f>
        <v>8.9599999999999999E-2</v>
      </c>
      <c r="Q135" s="41">
        <f>VLOOKUP(P135,'Dataset-2'!E136:K746,2,)</f>
        <v>3</v>
      </c>
      <c r="R135" s="41">
        <f>VLOOKUP(Q135,'Dataset-2'!F136:L746,2,)</f>
        <v>109</v>
      </c>
      <c r="S135" s="41">
        <f>VLOOKUP(R135,'Dataset-2'!G136:M746,2,)</f>
        <v>112</v>
      </c>
    </row>
    <row r="136" spans="1:19" x14ac:dyDescent="0.35">
      <c r="A136" s="40">
        <v>135</v>
      </c>
      <c r="B136" s="62">
        <f>VLOOKUP(A136,'Dataset-1'!A137:M747,2,)</f>
        <v>40549</v>
      </c>
      <c r="C136" s="41">
        <f>VLOOKUP(B136,'Dataset-1'!B137:N747,2,)</f>
        <v>1</v>
      </c>
      <c r="D136" s="41">
        <f>VLOOKUP(C136,'Dataset-1'!C137:O747,2,)</f>
        <v>0</v>
      </c>
      <c r="E136" s="41">
        <f>VLOOKUP(D136,'Dataset-1'!D137:P747,2,)</f>
        <v>1</v>
      </c>
      <c r="F136" s="41">
        <f>VLOOKUP(E136,'Dataset-1'!E137:Q747,2,)</f>
        <v>20</v>
      </c>
      <c r="G136" s="71" t="str">
        <f>VLOOKUP(F136,'Dataset-1'!F137:R747,2,)</f>
        <v>Night</v>
      </c>
      <c r="H136" s="41" t="b">
        <f>VLOOKUP(G136,'Dataset-1'!G137:S747,2,)</f>
        <v>0</v>
      </c>
      <c r="I136" s="41">
        <f>VLOOKUP(H136,'Dataset-1'!H137:T747,2,)</f>
        <v>4</v>
      </c>
      <c r="J136" s="71" t="str">
        <f>VLOOKUP(I136,'Dataset-1'!I137:U747,2,)</f>
        <v>Wednesday</v>
      </c>
      <c r="K136" s="41">
        <f>VLOOKUP(J136,'Dataset-1'!J137:V747,2,)</f>
        <v>1</v>
      </c>
      <c r="L136" s="41">
        <f>VLOOKUP(K136,'Dataset-1'!K137:W747,2,)</f>
        <v>0.2</v>
      </c>
      <c r="M136" s="71" t="str">
        <f>VLOOKUP(L136,'Dataset-1'!L137:X747,2,)</f>
        <v>Rainy</v>
      </c>
      <c r="N136" s="41">
        <f>VLOOKUP(A136,'Dataset-2'!B137:H747,2,)</f>
        <v>0.21210000000000001</v>
      </c>
      <c r="O136" s="41">
        <f>VLOOKUP(N136,'Dataset-2'!C137:I747,2,)</f>
        <v>0.51</v>
      </c>
      <c r="P136" s="41">
        <f>VLOOKUP(O136,'Dataset-2'!D137:J747,2,)</f>
        <v>0.16420000000000001</v>
      </c>
      <c r="Q136" s="41">
        <f>VLOOKUP(P136,'Dataset-2'!E137:K747,2,)</f>
        <v>3</v>
      </c>
      <c r="R136" s="41">
        <f>VLOOKUP(Q136,'Dataset-2'!F137:L747,2,)</f>
        <v>66</v>
      </c>
      <c r="S136" s="41">
        <f>VLOOKUP(R136,'Dataset-2'!G137:M747,2,)</f>
        <v>69</v>
      </c>
    </row>
    <row r="137" spans="1:19" x14ac:dyDescent="0.35">
      <c r="A137" s="40">
        <v>136</v>
      </c>
      <c r="B137" s="62">
        <f>VLOOKUP(A137,'Dataset-1'!A138:M748,2,)</f>
        <v>40549</v>
      </c>
      <c r="C137" s="41">
        <f>VLOOKUP(B137,'Dataset-1'!B138:N748,2,)</f>
        <v>1</v>
      </c>
      <c r="D137" s="41">
        <f>VLOOKUP(C137,'Dataset-1'!C138:O748,2,)</f>
        <v>0</v>
      </c>
      <c r="E137" s="41">
        <f>VLOOKUP(D137,'Dataset-1'!D138:P748,2,)</f>
        <v>1</v>
      </c>
      <c r="F137" s="41">
        <f>VLOOKUP(E137,'Dataset-1'!E138:Q748,2,)</f>
        <v>21</v>
      </c>
      <c r="G137" s="71" t="str">
        <f>VLOOKUP(F137,'Dataset-1'!F138:R748,2,)</f>
        <v>Night</v>
      </c>
      <c r="H137" s="41" t="b">
        <f>VLOOKUP(G137,'Dataset-1'!G138:S748,2,)</f>
        <v>0</v>
      </c>
      <c r="I137" s="41">
        <f>VLOOKUP(H137,'Dataset-1'!H138:T748,2,)</f>
        <v>4</v>
      </c>
      <c r="J137" s="71" t="str">
        <f>VLOOKUP(I137,'Dataset-1'!I138:U748,2,)</f>
        <v>Wednesday</v>
      </c>
      <c r="K137" s="41">
        <f>VLOOKUP(J137,'Dataset-1'!J138:V748,2,)</f>
        <v>2</v>
      </c>
      <c r="L137" s="41">
        <f>VLOOKUP(K137,'Dataset-1'!K138:W748,2,)</f>
        <v>0.22</v>
      </c>
      <c r="M137" s="71" t="str">
        <f>VLOOKUP(L137,'Dataset-1'!L138:X748,2,)</f>
        <v>Cloudy</v>
      </c>
      <c r="N137" s="41">
        <f>VLOOKUP(A137,'Dataset-2'!B138:H748,2,)</f>
        <v>0.21210000000000001</v>
      </c>
      <c r="O137" s="41">
        <f>VLOOKUP(N137,'Dataset-2'!C138:I748,2,)</f>
        <v>0.55000000000000004</v>
      </c>
      <c r="P137" s="41">
        <f>VLOOKUP(O137,'Dataset-2'!D138:J748,2,)</f>
        <v>0.22389999999999999</v>
      </c>
      <c r="Q137" s="41">
        <f>VLOOKUP(P137,'Dataset-2'!E138:K748,2,)</f>
        <v>0</v>
      </c>
      <c r="R137" s="41">
        <f>VLOOKUP(Q137,'Dataset-2'!F138:L748,2,)</f>
        <v>48</v>
      </c>
      <c r="S137" s="41">
        <f>VLOOKUP(R137,'Dataset-2'!G138:M748,2,)</f>
        <v>48</v>
      </c>
    </row>
    <row r="138" spans="1:19" x14ac:dyDescent="0.35">
      <c r="A138" s="40">
        <v>137</v>
      </c>
      <c r="B138" s="62">
        <f>VLOOKUP(A138,'Dataset-1'!A139:M749,2,)</f>
        <v>40549</v>
      </c>
      <c r="C138" s="41">
        <f>VLOOKUP(B138,'Dataset-1'!B139:N749,2,)</f>
        <v>1</v>
      </c>
      <c r="D138" s="41">
        <f>VLOOKUP(C138,'Dataset-1'!C139:O749,2,)</f>
        <v>0</v>
      </c>
      <c r="E138" s="41">
        <f>VLOOKUP(D138,'Dataset-1'!D139:P749,2,)</f>
        <v>1</v>
      </c>
      <c r="F138" s="41">
        <f>VLOOKUP(E138,'Dataset-1'!E139:Q749,2,)</f>
        <v>22</v>
      </c>
      <c r="G138" s="71" t="str">
        <f>VLOOKUP(F138,'Dataset-1'!F139:R749,2,)</f>
        <v>Night</v>
      </c>
      <c r="H138" s="41" t="b">
        <f>VLOOKUP(G138,'Dataset-1'!G139:S749,2,)</f>
        <v>0</v>
      </c>
      <c r="I138" s="41">
        <f>VLOOKUP(H138,'Dataset-1'!H139:T749,2,)</f>
        <v>4</v>
      </c>
      <c r="J138" s="71" t="str">
        <f>VLOOKUP(I138,'Dataset-1'!I139:U749,2,)</f>
        <v>Wednesday</v>
      </c>
      <c r="K138" s="41">
        <f>VLOOKUP(J138,'Dataset-1'!J139:V749,2,)</f>
        <v>2</v>
      </c>
      <c r="L138" s="41">
        <f>VLOOKUP(K138,'Dataset-1'!K139:W749,2,)</f>
        <v>0.22</v>
      </c>
      <c r="M138" s="71" t="str">
        <f>VLOOKUP(L138,'Dataset-1'!L139:X749,2,)</f>
        <v>Cloudy</v>
      </c>
      <c r="N138" s="41">
        <f>VLOOKUP(A138,'Dataset-2'!B139:H749,2,)</f>
        <v>0.21210000000000001</v>
      </c>
      <c r="O138" s="41">
        <f>VLOOKUP(N138,'Dataset-2'!C139:I749,2,)</f>
        <v>0.51</v>
      </c>
      <c r="P138" s="41">
        <f>VLOOKUP(O138,'Dataset-2'!D139:J749,2,)</f>
        <v>0.28360000000000002</v>
      </c>
      <c r="Q138" s="41">
        <f>VLOOKUP(P138,'Dataset-2'!E139:K749,2,)</f>
        <v>1</v>
      </c>
      <c r="R138" s="41">
        <f>VLOOKUP(Q138,'Dataset-2'!F139:L749,2,)</f>
        <v>51</v>
      </c>
      <c r="S138" s="41">
        <f>VLOOKUP(R138,'Dataset-2'!G139:M749,2,)</f>
        <v>52</v>
      </c>
    </row>
    <row r="139" spans="1:19" x14ac:dyDescent="0.35">
      <c r="A139" s="40">
        <v>138</v>
      </c>
      <c r="B139" s="62">
        <f>VLOOKUP(A139,'Dataset-1'!A140:M750,2,)</f>
        <v>40549</v>
      </c>
      <c r="C139" s="41">
        <f>VLOOKUP(B139,'Dataset-1'!B140:N750,2,)</f>
        <v>1</v>
      </c>
      <c r="D139" s="41">
        <f>VLOOKUP(C139,'Dataset-1'!C140:O750,2,)</f>
        <v>0</v>
      </c>
      <c r="E139" s="41">
        <f>VLOOKUP(D139,'Dataset-1'!D140:P750,2,)</f>
        <v>1</v>
      </c>
      <c r="F139" s="41">
        <f>VLOOKUP(E139,'Dataset-1'!E140:Q750,2,)</f>
        <v>23</v>
      </c>
      <c r="G139" s="71" t="str">
        <f>VLOOKUP(F139,'Dataset-1'!F140:R750,2,)</f>
        <v>Night</v>
      </c>
      <c r="H139" s="41" t="b">
        <f>VLOOKUP(G139,'Dataset-1'!G140:S750,2,)</f>
        <v>0</v>
      </c>
      <c r="I139" s="41">
        <f>VLOOKUP(H139,'Dataset-1'!H140:T750,2,)</f>
        <v>4</v>
      </c>
      <c r="J139" s="71" t="str">
        <f>VLOOKUP(I139,'Dataset-1'!I140:U750,2,)</f>
        <v>Wednesday</v>
      </c>
      <c r="K139" s="41">
        <f>VLOOKUP(J139,'Dataset-1'!J140:V750,2,)</f>
        <v>2</v>
      </c>
      <c r="L139" s="41">
        <f>VLOOKUP(K139,'Dataset-1'!K140:W750,2,)</f>
        <v>0.2</v>
      </c>
      <c r="M139" s="71" t="str">
        <f>VLOOKUP(L139,'Dataset-1'!L140:X750,2,)</f>
        <v>Rainy</v>
      </c>
      <c r="N139" s="41">
        <f>VLOOKUP(A139,'Dataset-2'!B140:H750,2,)</f>
        <v>0.19700000000000001</v>
      </c>
      <c r="O139" s="41">
        <f>VLOOKUP(N139,'Dataset-2'!C140:I750,2,)</f>
        <v>0.59</v>
      </c>
      <c r="P139" s="41">
        <f>VLOOKUP(O139,'Dataset-2'!D140:J750,2,)</f>
        <v>0.19400000000000001</v>
      </c>
      <c r="Q139" s="41">
        <f>VLOOKUP(P139,'Dataset-2'!E140:K750,2,)</f>
        <v>4</v>
      </c>
      <c r="R139" s="41">
        <f>VLOOKUP(Q139,'Dataset-2'!F140:L750,2,)</f>
        <v>19</v>
      </c>
      <c r="S139" s="41">
        <f>VLOOKUP(R139,'Dataset-2'!G140:M750,2,)</f>
        <v>23</v>
      </c>
    </row>
    <row r="140" spans="1:19" x14ac:dyDescent="0.35">
      <c r="A140" s="40">
        <v>139</v>
      </c>
      <c r="B140" s="62">
        <f>VLOOKUP(A140,'Dataset-1'!A141:M751,2,)</f>
        <v>40550</v>
      </c>
      <c r="C140" s="41">
        <f>VLOOKUP(B140,'Dataset-1'!B141:N751,2,)</f>
        <v>1</v>
      </c>
      <c r="D140" s="41">
        <f>VLOOKUP(C140,'Dataset-1'!C141:O751,2,)</f>
        <v>0</v>
      </c>
      <c r="E140" s="41">
        <f>VLOOKUP(D140,'Dataset-1'!D141:P751,2,)</f>
        <v>1</v>
      </c>
      <c r="F140" s="41">
        <f>VLOOKUP(E140,'Dataset-1'!E141:Q751,2,)</f>
        <v>0</v>
      </c>
      <c r="G140" s="71" t="str">
        <f>VLOOKUP(F140,'Dataset-1'!F141:R751,2,)</f>
        <v>Night</v>
      </c>
      <c r="H140" s="41" t="b">
        <f>VLOOKUP(G140,'Dataset-1'!G141:S751,2,)</f>
        <v>0</v>
      </c>
      <c r="I140" s="41">
        <f>VLOOKUP(H140,'Dataset-1'!H141:T751,2,)</f>
        <v>5</v>
      </c>
      <c r="J140" s="71" t="str">
        <f>VLOOKUP(I140,'Dataset-1'!I141:U751,2,)</f>
        <v>Thusday</v>
      </c>
      <c r="K140" s="41">
        <f>VLOOKUP(J140,'Dataset-1'!J141:V751,2,)</f>
        <v>2</v>
      </c>
      <c r="L140" s="41">
        <f>VLOOKUP(K140,'Dataset-1'!K141:W751,2,)</f>
        <v>0.2</v>
      </c>
      <c r="M140" s="71" t="str">
        <f>VLOOKUP(L140,'Dataset-1'!L141:X751,2,)</f>
        <v>Rainy</v>
      </c>
      <c r="N140" s="41">
        <f>VLOOKUP(A140,'Dataset-2'!B141:H751,2,)</f>
        <v>0.19700000000000001</v>
      </c>
      <c r="O140" s="41">
        <f>VLOOKUP(N140,'Dataset-2'!C141:I751,2,)</f>
        <v>0.64</v>
      </c>
      <c r="P140" s="41">
        <f>VLOOKUP(O140,'Dataset-2'!D141:J751,2,)</f>
        <v>0.19400000000000001</v>
      </c>
      <c r="Q140" s="41">
        <f>VLOOKUP(P140,'Dataset-2'!E141:K751,2,)</f>
        <v>4</v>
      </c>
      <c r="R140" s="41">
        <f>VLOOKUP(Q140,'Dataset-2'!F141:L751,2,)</f>
        <v>13</v>
      </c>
      <c r="S140" s="41">
        <f>VLOOKUP(R140,'Dataset-2'!G141:M751,2,)</f>
        <v>17</v>
      </c>
    </row>
    <row r="141" spans="1:19" x14ac:dyDescent="0.35">
      <c r="A141" s="40">
        <v>140</v>
      </c>
      <c r="B141" s="62">
        <f>VLOOKUP(A141,'Dataset-1'!A142:M752,2,)</f>
        <v>40550</v>
      </c>
      <c r="C141" s="41">
        <f>VLOOKUP(B141,'Dataset-1'!B142:N752,2,)</f>
        <v>1</v>
      </c>
      <c r="D141" s="41">
        <f>VLOOKUP(C141,'Dataset-1'!C142:O752,2,)</f>
        <v>0</v>
      </c>
      <c r="E141" s="41">
        <f>VLOOKUP(D141,'Dataset-1'!D142:P752,2,)</f>
        <v>1</v>
      </c>
      <c r="F141" s="41">
        <f>VLOOKUP(E141,'Dataset-1'!E142:Q752,2,)</f>
        <v>1</v>
      </c>
      <c r="G141" s="71" t="str">
        <f>VLOOKUP(F141,'Dataset-1'!F142:R752,2,)</f>
        <v>Night</v>
      </c>
      <c r="H141" s="41" t="b">
        <f>VLOOKUP(G141,'Dataset-1'!G142:S752,2,)</f>
        <v>0</v>
      </c>
      <c r="I141" s="41">
        <f>VLOOKUP(H141,'Dataset-1'!H142:T752,2,)</f>
        <v>5</v>
      </c>
      <c r="J141" s="71" t="str">
        <f>VLOOKUP(I141,'Dataset-1'!I142:U752,2,)</f>
        <v>Thusday</v>
      </c>
      <c r="K141" s="41">
        <f>VLOOKUP(J141,'Dataset-1'!J142:V752,2,)</f>
        <v>2</v>
      </c>
      <c r="L141" s="41">
        <f>VLOOKUP(K141,'Dataset-1'!K142:W752,2,)</f>
        <v>0.2</v>
      </c>
      <c r="M141" s="71" t="str">
        <f>VLOOKUP(L141,'Dataset-1'!L142:X752,2,)</f>
        <v>Rainy</v>
      </c>
      <c r="N141" s="41">
        <f>VLOOKUP(A141,'Dataset-2'!B142:H752,2,)</f>
        <v>0.19700000000000001</v>
      </c>
      <c r="O141" s="41">
        <f>VLOOKUP(N141,'Dataset-2'!C142:I752,2,)</f>
        <v>0.69</v>
      </c>
      <c r="P141" s="41">
        <f>VLOOKUP(O141,'Dataset-2'!D142:J752,2,)</f>
        <v>0.22389999999999999</v>
      </c>
      <c r="Q141" s="41">
        <f>VLOOKUP(P141,'Dataset-2'!E142:K752,2,)</f>
        <v>2</v>
      </c>
      <c r="R141" s="41">
        <f>VLOOKUP(Q141,'Dataset-2'!F142:L752,2,)</f>
        <v>5</v>
      </c>
      <c r="S141" s="41">
        <f>VLOOKUP(R141,'Dataset-2'!G142:M752,2,)</f>
        <v>7</v>
      </c>
    </row>
    <row r="142" spans="1:19" x14ac:dyDescent="0.35">
      <c r="A142" s="40">
        <v>141</v>
      </c>
      <c r="B142" s="62">
        <f>VLOOKUP(A142,'Dataset-1'!A143:M753,2,)</f>
        <v>40550</v>
      </c>
      <c r="C142" s="41">
        <f>VLOOKUP(B142,'Dataset-1'!B143:N753,2,)</f>
        <v>1</v>
      </c>
      <c r="D142" s="41">
        <f>VLOOKUP(C142,'Dataset-1'!C143:O753,2,)</f>
        <v>0</v>
      </c>
      <c r="E142" s="41">
        <f>VLOOKUP(D142,'Dataset-1'!D143:P753,2,)</f>
        <v>1</v>
      </c>
      <c r="F142" s="41">
        <f>VLOOKUP(E142,'Dataset-1'!E143:Q753,2,)</f>
        <v>2</v>
      </c>
      <c r="G142" s="71" t="str">
        <f>VLOOKUP(F142,'Dataset-1'!F143:R753,2,)</f>
        <v>Night</v>
      </c>
      <c r="H142" s="41" t="b">
        <f>VLOOKUP(G142,'Dataset-1'!G143:S753,2,)</f>
        <v>0</v>
      </c>
      <c r="I142" s="41">
        <f>VLOOKUP(H142,'Dataset-1'!H143:T753,2,)</f>
        <v>5</v>
      </c>
      <c r="J142" s="71" t="str">
        <f>VLOOKUP(I142,'Dataset-1'!I143:U753,2,)</f>
        <v>Thusday</v>
      </c>
      <c r="K142" s="41">
        <f>VLOOKUP(J142,'Dataset-1'!J143:V753,2,)</f>
        <v>2</v>
      </c>
      <c r="L142" s="41">
        <f>VLOOKUP(K142,'Dataset-1'!K143:W753,2,)</f>
        <v>0.2</v>
      </c>
      <c r="M142" s="71" t="str">
        <f>VLOOKUP(L142,'Dataset-1'!L143:X753,2,)</f>
        <v>Rainy</v>
      </c>
      <c r="N142" s="41">
        <f>VLOOKUP(A142,'Dataset-2'!B143:H753,2,)</f>
        <v>0.19700000000000001</v>
      </c>
      <c r="O142" s="41">
        <f>VLOOKUP(N142,'Dataset-2'!C143:I753,2,)</f>
        <v>0.69</v>
      </c>
      <c r="P142" s="41">
        <f>VLOOKUP(O142,'Dataset-2'!D143:J753,2,)</f>
        <v>0.22389999999999999</v>
      </c>
      <c r="Q142" s="41">
        <f>VLOOKUP(P142,'Dataset-2'!E143:K753,2,)</f>
        <v>0</v>
      </c>
      <c r="R142" s="41">
        <f>VLOOKUP(Q142,'Dataset-2'!F143:L753,2,)</f>
        <v>1</v>
      </c>
      <c r="S142" s="41">
        <f>VLOOKUP(R142,'Dataset-2'!G143:M753,2,)</f>
        <v>1</v>
      </c>
    </row>
    <row r="143" spans="1:19" x14ac:dyDescent="0.35">
      <c r="A143" s="40">
        <v>142</v>
      </c>
      <c r="B143" s="62">
        <f>VLOOKUP(A143,'Dataset-1'!A144:M754,2,)</f>
        <v>40550</v>
      </c>
      <c r="C143" s="41">
        <f>VLOOKUP(B143,'Dataset-1'!B144:N754,2,)</f>
        <v>1</v>
      </c>
      <c r="D143" s="41">
        <f>VLOOKUP(C143,'Dataset-1'!C144:O754,2,)</f>
        <v>0</v>
      </c>
      <c r="E143" s="41">
        <f>VLOOKUP(D143,'Dataset-1'!D144:P754,2,)</f>
        <v>1</v>
      </c>
      <c r="F143" s="41">
        <f>VLOOKUP(E143,'Dataset-1'!E144:Q754,2,)</f>
        <v>4</v>
      </c>
      <c r="G143" s="71" t="str">
        <f>VLOOKUP(F143,'Dataset-1'!F144:R754,2,)</f>
        <v>Night</v>
      </c>
      <c r="H143" s="41" t="b">
        <f>VLOOKUP(G143,'Dataset-1'!G144:S754,2,)</f>
        <v>0</v>
      </c>
      <c r="I143" s="41">
        <f>VLOOKUP(H143,'Dataset-1'!H144:T754,2,)</f>
        <v>5</v>
      </c>
      <c r="J143" s="71" t="str">
        <f>VLOOKUP(I143,'Dataset-1'!I144:U754,2,)</f>
        <v>Thusday</v>
      </c>
      <c r="K143" s="41">
        <f>VLOOKUP(J143,'Dataset-1'!J144:V754,2,)</f>
        <v>2</v>
      </c>
      <c r="L143" s="41">
        <f>VLOOKUP(K143,'Dataset-1'!K144:W754,2,)</f>
        <v>0.2</v>
      </c>
      <c r="M143" s="71" t="str">
        <f>VLOOKUP(L143,'Dataset-1'!L144:X754,2,)</f>
        <v>Rainy</v>
      </c>
      <c r="N143" s="41">
        <f>VLOOKUP(A143,'Dataset-2'!B144:H754,2,)</f>
        <v>0.21210000000000001</v>
      </c>
      <c r="O143" s="41">
        <f>VLOOKUP(N143,'Dataset-2'!C144:I754,2,)</f>
        <v>0.69</v>
      </c>
      <c r="P143" s="41">
        <f>VLOOKUP(O143,'Dataset-2'!D144:J754,2,)</f>
        <v>0.1343</v>
      </c>
      <c r="Q143" s="41">
        <f>VLOOKUP(P143,'Dataset-2'!E144:K754,2,)</f>
        <v>0</v>
      </c>
      <c r="R143" s="41">
        <f>VLOOKUP(Q143,'Dataset-2'!F144:L754,2,)</f>
        <v>1</v>
      </c>
      <c r="S143" s="41">
        <f>VLOOKUP(R143,'Dataset-2'!G144:M754,2,)</f>
        <v>1</v>
      </c>
    </row>
    <row r="144" spans="1:19" x14ac:dyDescent="0.35">
      <c r="A144" s="40">
        <v>143</v>
      </c>
      <c r="B144" s="62">
        <f>VLOOKUP(A144,'Dataset-1'!A145:M755,2,)</f>
        <v>40550</v>
      </c>
      <c r="C144" s="41">
        <f>VLOOKUP(B144,'Dataset-1'!B145:N755,2,)</f>
        <v>1</v>
      </c>
      <c r="D144" s="41">
        <f>VLOOKUP(C144,'Dataset-1'!C145:O755,2,)</f>
        <v>0</v>
      </c>
      <c r="E144" s="41">
        <f>VLOOKUP(D144,'Dataset-1'!D145:P755,2,)</f>
        <v>1</v>
      </c>
      <c r="F144" s="41">
        <f>VLOOKUP(E144,'Dataset-1'!E145:Q755,2,)</f>
        <v>5</v>
      </c>
      <c r="G144" s="71" t="str">
        <f>VLOOKUP(F144,'Dataset-1'!F145:R755,2,)</f>
        <v>Morning</v>
      </c>
      <c r="H144" s="41" t="b">
        <f>VLOOKUP(G144,'Dataset-1'!G145:S755,2,)</f>
        <v>0</v>
      </c>
      <c r="I144" s="41">
        <f>VLOOKUP(H144,'Dataset-1'!H145:T755,2,)</f>
        <v>5</v>
      </c>
      <c r="J144" s="71" t="str">
        <f>VLOOKUP(I144,'Dataset-1'!I145:U755,2,)</f>
        <v>Thusday</v>
      </c>
      <c r="K144" s="41">
        <f>VLOOKUP(J144,'Dataset-1'!J145:V755,2,)</f>
        <v>3</v>
      </c>
      <c r="L144" s="41">
        <f>VLOOKUP(K144,'Dataset-1'!K145:W755,2,)</f>
        <v>0.22</v>
      </c>
      <c r="M144" s="71" t="str">
        <f>VLOOKUP(L144,'Dataset-1'!L145:X755,2,)</f>
        <v>Cloudy</v>
      </c>
      <c r="N144" s="41">
        <f>VLOOKUP(A144,'Dataset-2'!B145:H755,2,)</f>
        <v>0.2727</v>
      </c>
      <c r="O144" s="41">
        <f>VLOOKUP(N144,'Dataset-2'!C145:I755,2,)</f>
        <v>0.55000000000000004</v>
      </c>
      <c r="P144" s="41">
        <f>VLOOKUP(O144,'Dataset-2'!D145:J755,2,)</f>
        <v>0</v>
      </c>
      <c r="Q144" s="41">
        <f>VLOOKUP(P144,'Dataset-2'!E145:K755,2,)</f>
        <v>0</v>
      </c>
      <c r="R144" s="41">
        <f>VLOOKUP(Q144,'Dataset-2'!F145:L755,2,)</f>
        <v>5</v>
      </c>
      <c r="S144" s="41">
        <f>VLOOKUP(R144,'Dataset-2'!G145:M755,2,)</f>
        <v>5</v>
      </c>
    </row>
    <row r="145" spans="1:19" x14ac:dyDescent="0.35">
      <c r="A145" s="40">
        <v>144</v>
      </c>
      <c r="B145" s="62">
        <f>VLOOKUP(A145,'Dataset-1'!A146:M756,2,)</f>
        <v>40550</v>
      </c>
      <c r="C145" s="41">
        <f>VLOOKUP(B145,'Dataset-1'!B146:N756,2,)</f>
        <v>1</v>
      </c>
      <c r="D145" s="41">
        <f>VLOOKUP(C145,'Dataset-1'!C146:O756,2,)</f>
        <v>0</v>
      </c>
      <c r="E145" s="41">
        <f>VLOOKUP(D145,'Dataset-1'!D146:P756,2,)</f>
        <v>1</v>
      </c>
      <c r="F145" s="41">
        <f>VLOOKUP(E145,'Dataset-1'!E146:Q756,2,)</f>
        <v>6</v>
      </c>
      <c r="G145" s="71" t="str">
        <f>VLOOKUP(F145,'Dataset-1'!F146:R756,2,)</f>
        <v>Morning</v>
      </c>
      <c r="H145" s="41" t="b">
        <f>VLOOKUP(G145,'Dataset-1'!G146:S756,2,)</f>
        <v>0</v>
      </c>
      <c r="I145" s="41">
        <f>VLOOKUP(H145,'Dataset-1'!H146:T756,2,)</f>
        <v>5</v>
      </c>
      <c r="J145" s="71" t="str">
        <f>VLOOKUP(I145,'Dataset-1'!I146:U756,2,)</f>
        <v>Thusday</v>
      </c>
      <c r="K145" s="41">
        <f>VLOOKUP(J145,'Dataset-1'!J146:V756,2,)</f>
        <v>2</v>
      </c>
      <c r="L145" s="41">
        <f>VLOOKUP(K145,'Dataset-1'!K146:W756,2,)</f>
        <v>0.2</v>
      </c>
      <c r="M145" s="71" t="str">
        <f>VLOOKUP(L145,'Dataset-1'!L146:X756,2,)</f>
        <v>Rainy</v>
      </c>
      <c r="N145" s="41">
        <f>VLOOKUP(A145,'Dataset-2'!B146:H756,2,)</f>
        <v>0.2576</v>
      </c>
      <c r="O145" s="41">
        <f>VLOOKUP(N145,'Dataset-2'!C146:I756,2,)</f>
        <v>0.69</v>
      </c>
      <c r="P145" s="41">
        <f>VLOOKUP(O145,'Dataset-2'!D146:J756,2,)</f>
        <v>0</v>
      </c>
      <c r="Q145" s="41">
        <f>VLOOKUP(P145,'Dataset-2'!E146:K756,2,)</f>
        <v>8</v>
      </c>
      <c r="R145" s="41">
        <f>VLOOKUP(Q145,'Dataset-2'!F146:L756,2,)</f>
        <v>26</v>
      </c>
      <c r="S145" s="41">
        <f>VLOOKUP(R145,'Dataset-2'!G146:M756,2,)</f>
        <v>34</v>
      </c>
    </row>
    <row r="146" spans="1:19" x14ac:dyDescent="0.35">
      <c r="A146" s="40">
        <v>145</v>
      </c>
      <c r="B146" s="62">
        <f>VLOOKUP(A146,'Dataset-1'!A147:M757,2,)</f>
        <v>40550</v>
      </c>
      <c r="C146" s="41">
        <f>VLOOKUP(B146,'Dataset-1'!B147:N757,2,)</f>
        <v>1</v>
      </c>
      <c r="D146" s="41">
        <f>VLOOKUP(C146,'Dataset-1'!C147:O757,2,)</f>
        <v>0</v>
      </c>
      <c r="E146" s="41">
        <f>VLOOKUP(D146,'Dataset-1'!D147:P757,2,)</f>
        <v>1</v>
      </c>
      <c r="F146" s="41">
        <f>VLOOKUP(E146,'Dataset-1'!E147:Q757,2,)</f>
        <v>7</v>
      </c>
      <c r="G146" s="71" t="str">
        <f>VLOOKUP(F146,'Dataset-1'!F147:R757,2,)</f>
        <v>Morning</v>
      </c>
      <c r="H146" s="41" t="b">
        <f>VLOOKUP(G146,'Dataset-1'!G147:S757,2,)</f>
        <v>0</v>
      </c>
      <c r="I146" s="41">
        <f>VLOOKUP(H146,'Dataset-1'!H147:T757,2,)</f>
        <v>5</v>
      </c>
      <c r="J146" s="71" t="str">
        <f>VLOOKUP(I146,'Dataset-1'!I147:U757,2,)</f>
        <v>Thusday</v>
      </c>
      <c r="K146" s="41">
        <f>VLOOKUP(J146,'Dataset-1'!J147:V757,2,)</f>
        <v>1</v>
      </c>
      <c r="L146" s="41">
        <f>VLOOKUP(K146,'Dataset-1'!K147:W757,2,)</f>
        <v>0.2</v>
      </c>
      <c r="M146" s="71" t="str">
        <f>VLOOKUP(L146,'Dataset-1'!L147:X757,2,)</f>
        <v>Rainy</v>
      </c>
      <c r="N146" s="41">
        <f>VLOOKUP(A146,'Dataset-2'!B147:H757,2,)</f>
        <v>0.21210000000000001</v>
      </c>
      <c r="O146" s="41">
        <f>VLOOKUP(N146,'Dataset-2'!C147:I757,2,)</f>
        <v>0.69</v>
      </c>
      <c r="P146" s="41">
        <f>VLOOKUP(O146,'Dataset-2'!D147:J757,2,)</f>
        <v>0.1343</v>
      </c>
      <c r="Q146" s="41">
        <f>VLOOKUP(P146,'Dataset-2'!E147:K757,2,)</f>
        <v>8</v>
      </c>
      <c r="R146" s="41">
        <f>VLOOKUP(Q146,'Dataset-2'!F147:L757,2,)</f>
        <v>76</v>
      </c>
      <c r="S146" s="41">
        <f>VLOOKUP(R146,'Dataset-2'!G147:M757,2,)</f>
        <v>84</v>
      </c>
    </row>
    <row r="147" spans="1:19" x14ac:dyDescent="0.35">
      <c r="A147" s="40">
        <v>146</v>
      </c>
      <c r="B147" s="62">
        <f>VLOOKUP(A147,'Dataset-1'!A148:M758,2,)</f>
        <v>40550</v>
      </c>
      <c r="C147" s="41">
        <f>VLOOKUP(B147,'Dataset-1'!B148:N758,2,)</f>
        <v>1</v>
      </c>
      <c r="D147" s="41">
        <f>VLOOKUP(C147,'Dataset-1'!C148:O758,2,)</f>
        <v>0</v>
      </c>
      <c r="E147" s="41">
        <f>VLOOKUP(D147,'Dataset-1'!D148:P758,2,)</f>
        <v>1</v>
      </c>
      <c r="F147" s="41">
        <f>VLOOKUP(E147,'Dataset-1'!E148:Q758,2,)</f>
        <v>8</v>
      </c>
      <c r="G147" s="71" t="str">
        <f>VLOOKUP(F147,'Dataset-1'!F148:R758,2,)</f>
        <v>Morning</v>
      </c>
      <c r="H147" s="41" t="b">
        <f>VLOOKUP(G147,'Dataset-1'!G148:S758,2,)</f>
        <v>0</v>
      </c>
      <c r="I147" s="41">
        <f>VLOOKUP(H147,'Dataset-1'!H148:T758,2,)</f>
        <v>5</v>
      </c>
      <c r="J147" s="71" t="str">
        <f>VLOOKUP(I147,'Dataset-1'!I148:U758,2,)</f>
        <v>Thusday</v>
      </c>
      <c r="K147" s="41">
        <f>VLOOKUP(J147,'Dataset-1'!J148:V758,2,)</f>
        <v>1</v>
      </c>
      <c r="L147" s="41">
        <f>VLOOKUP(K147,'Dataset-1'!K148:W758,2,)</f>
        <v>0.2</v>
      </c>
      <c r="M147" s="71" t="str">
        <f>VLOOKUP(L147,'Dataset-1'!L148:X758,2,)</f>
        <v>Rainy</v>
      </c>
      <c r="N147" s="41">
        <f>VLOOKUP(A147,'Dataset-2'!B148:H758,2,)</f>
        <v>0.19700000000000001</v>
      </c>
      <c r="O147" s="41">
        <f>VLOOKUP(N147,'Dataset-2'!C148:I758,2,)</f>
        <v>0.51</v>
      </c>
      <c r="P147" s="41">
        <f>VLOOKUP(O147,'Dataset-2'!D148:J758,2,)</f>
        <v>0.25369999999999998</v>
      </c>
      <c r="Q147" s="41">
        <f>VLOOKUP(P147,'Dataset-2'!E148:K758,2,)</f>
        <v>20</v>
      </c>
      <c r="R147" s="41">
        <f>VLOOKUP(Q147,'Dataset-2'!F148:L758,2,)</f>
        <v>190</v>
      </c>
      <c r="S147" s="41">
        <f>VLOOKUP(R147,'Dataset-2'!G148:M758,2,)</f>
        <v>210</v>
      </c>
    </row>
    <row r="148" spans="1:19" x14ac:dyDescent="0.35">
      <c r="A148" s="40">
        <v>147</v>
      </c>
      <c r="B148" s="62">
        <f>VLOOKUP(A148,'Dataset-1'!A149:M759,2,)</f>
        <v>40550</v>
      </c>
      <c r="C148" s="41">
        <f>VLOOKUP(B148,'Dataset-1'!B149:N759,2,)</f>
        <v>1</v>
      </c>
      <c r="D148" s="41">
        <f>VLOOKUP(C148,'Dataset-1'!C149:O759,2,)</f>
        <v>0</v>
      </c>
      <c r="E148" s="41">
        <f>VLOOKUP(D148,'Dataset-1'!D149:P759,2,)</f>
        <v>1</v>
      </c>
      <c r="F148" s="41">
        <f>VLOOKUP(E148,'Dataset-1'!E149:Q759,2,)</f>
        <v>9</v>
      </c>
      <c r="G148" s="71" t="str">
        <f>VLOOKUP(F148,'Dataset-1'!F149:R759,2,)</f>
        <v>Morning</v>
      </c>
      <c r="H148" s="41" t="b">
        <f>VLOOKUP(G148,'Dataset-1'!G149:S759,2,)</f>
        <v>0</v>
      </c>
      <c r="I148" s="41">
        <f>VLOOKUP(H148,'Dataset-1'!H149:T759,2,)</f>
        <v>5</v>
      </c>
      <c r="J148" s="71" t="str">
        <f>VLOOKUP(I148,'Dataset-1'!I149:U759,2,)</f>
        <v>Thusday</v>
      </c>
      <c r="K148" s="41">
        <f>VLOOKUP(J148,'Dataset-1'!J149:V759,2,)</f>
        <v>1</v>
      </c>
      <c r="L148" s="41">
        <f>VLOOKUP(K148,'Dataset-1'!K149:W759,2,)</f>
        <v>0.2</v>
      </c>
      <c r="M148" s="71" t="str">
        <f>VLOOKUP(L148,'Dataset-1'!L149:X759,2,)</f>
        <v>Rainy</v>
      </c>
      <c r="N148" s="41">
        <f>VLOOKUP(A148,'Dataset-2'!B149:H759,2,)</f>
        <v>0.18179999999999999</v>
      </c>
      <c r="O148" s="41">
        <f>VLOOKUP(N148,'Dataset-2'!C149:I759,2,)</f>
        <v>0.47</v>
      </c>
      <c r="P148" s="41">
        <f>VLOOKUP(O148,'Dataset-2'!D149:J759,2,)</f>
        <v>0.29849999999999999</v>
      </c>
      <c r="Q148" s="41">
        <f>VLOOKUP(P148,'Dataset-2'!E149:K759,2,)</f>
        <v>9</v>
      </c>
      <c r="R148" s="41">
        <f>VLOOKUP(Q148,'Dataset-2'!F149:L759,2,)</f>
        <v>125</v>
      </c>
      <c r="S148" s="41">
        <f>VLOOKUP(R148,'Dataset-2'!G149:M759,2,)</f>
        <v>134</v>
      </c>
    </row>
    <row r="149" spans="1:19" x14ac:dyDescent="0.35">
      <c r="A149" s="40">
        <v>148</v>
      </c>
      <c r="B149" s="62">
        <f>VLOOKUP(A149,'Dataset-1'!A150:M760,2,)</f>
        <v>40550</v>
      </c>
      <c r="C149" s="41">
        <f>VLOOKUP(B149,'Dataset-1'!B150:N760,2,)</f>
        <v>1</v>
      </c>
      <c r="D149" s="41">
        <f>VLOOKUP(C149,'Dataset-1'!C150:O760,2,)</f>
        <v>0</v>
      </c>
      <c r="E149" s="41">
        <f>VLOOKUP(D149,'Dataset-1'!D150:P760,2,)</f>
        <v>1</v>
      </c>
      <c r="F149" s="41">
        <f>VLOOKUP(E149,'Dataset-1'!E150:Q760,2,)</f>
        <v>10</v>
      </c>
      <c r="G149" s="71" t="str">
        <f>VLOOKUP(F149,'Dataset-1'!F150:R760,2,)</f>
        <v>Morning</v>
      </c>
      <c r="H149" s="41" t="b">
        <f>VLOOKUP(G149,'Dataset-1'!G150:S760,2,)</f>
        <v>0</v>
      </c>
      <c r="I149" s="41">
        <f>VLOOKUP(H149,'Dataset-1'!H150:T760,2,)</f>
        <v>5</v>
      </c>
      <c r="J149" s="71" t="str">
        <f>VLOOKUP(I149,'Dataset-1'!I150:U760,2,)</f>
        <v>Thusday</v>
      </c>
      <c r="K149" s="41">
        <f>VLOOKUP(J149,'Dataset-1'!J150:V760,2,)</f>
        <v>1</v>
      </c>
      <c r="L149" s="41">
        <f>VLOOKUP(K149,'Dataset-1'!K150:W760,2,)</f>
        <v>0.22</v>
      </c>
      <c r="M149" s="71" t="str">
        <f>VLOOKUP(L149,'Dataset-1'!L150:X760,2,)</f>
        <v>Cloudy</v>
      </c>
      <c r="N149" s="41">
        <f>VLOOKUP(A149,'Dataset-2'!B150:H760,2,)</f>
        <v>0.19700000000000001</v>
      </c>
      <c r="O149" s="41">
        <f>VLOOKUP(N149,'Dataset-2'!C150:I760,2,)</f>
        <v>0.37</v>
      </c>
      <c r="P149" s="41">
        <f>VLOOKUP(O149,'Dataset-2'!D150:J760,2,)</f>
        <v>0.32840000000000003</v>
      </c>
      <c r="Q149" s="41">
        <f>VLOOKUP(P149,'Dataset-2'!E150:K760,2,)</f>
        <v>16</v>
      </c>
      <c r="R149" s="41">
        <f>VLOOKUP(Q149,'Dataset-2'!F150:L760,2,)</f>
        <v>47</v>
      </c>
      <c r="S149" s="41">
        <f>VLOOKUP(R149,'Dataset-2'!G150:M760,2,)</f>
        <v>63</v>
      </c>
    </row>
    <row r="150" spans="1:19" x14ac:dyDescent="0.35">
      <c r="A150" s="40">
        <v>149</v>
      </c>
      <c r="B150" s="62">
        <f>VLOOKUP(A150,'Dataset-1'!A151:M761,2,)</f>
        <v>40550</v>
      </c>
      <c r="C150" s="41">
        <f>VLOOKUP(B150,'Dataset-1'!B151:N761,2,)</f>
        <v>1</v>
      </c>
      <c r="D150" s="41">
        <f>VLOOKUP(C150,'Dataset-1'!C151:O761,2,)</f>
        <v>0</v>
      </c>
      <c r="E150" s="41">
        <f>VLOOKUP(D150,'Dataset-1'!D151:P761,2,)</f>
        <v>1</v>
      </c>
      <c r="F150" s="41">
        <f>VLOOKUP(E150,'Dataset-1'!E151:Q761,2,)</f>
        <v>11</v>
      </c>
      <c r="G150" s="71" t="str">
        <f>VLOOKUP(F150,'Dataset-1'!F151:R761,2,)</f>
        <v>Morning</v>
      </c>
      <c r="H150" s="41" t="b">
        <f>VLOOKUP(G150,'Dataset-1'!G151:S761,2,)</f>
        <v>0</v>
      </c>
      <c r="I150" s="41">
        <f>VLOOKUP(H150,'Dataset-1'!H151:T761,2,)</f>
        <v>5</v>
      </c>
      <c r="J150" s="71" t="str">
        <f>VLOOKUP(I150,'Dataset-1'!I151:U761,2,)</f>
        <v>Thusday</v>
      </c>
      <c r="K150" s="41">
        <f>VLOOKUP(J150,'Dataset-1'!J151:V761,2,)</f>
        <v>2</v>
      </c>
      <c r="L150" s="41">
        <f>VLOOKUP(K150,'Dataset-1'!K151:W761,2,)</f>
        <v>0.2</v>
      </c>
      <c r="M150" s="71" t="str">
        <f>VLOOKUP(L150,'Dataset-1'!L151:X761,2,)</f>
        <v>Rainy</v>
      </c>
      <c r="N150" s="41">
        <f>VLOOKUP(A150,'Dataset-2'!B151:H761,2,)</f>
        <v>0.19700000000000001</v>
      </c>
      <c r="O150" s="41">
        <f>VLOOKUP(N150,'Dataset-2'!C151:I761,2,)</f>
        <v>0.4</v>
      </c>
      <c r="P150" s="41">
        <f>VLOOKUP(O150,'Dataset-2'!D151:J761,2,)</f>
        <v>0.22389999999999999</v>
      </c>
      <c r="Q150" s="41">
        <f>VLOOKUP(P150,'Dataset-2'!E151:K761,2,)</f>
        <v>19</v>
      </c>
      <c r="R150" s="41">
        <f>VLOOKUP(Q150,'Dataset-2'!F151:L761,2,)</f>
        <v>48</v>
      </c>
      <c r="S150" s="41">
        <f>VLOOKUP(R150,'Dataset-2'!G151:M761,2,)</f>
        <v>67</v>
      </c>
    </row>
    <row r="151" spans="1:19" x14ac:dyDescent="0.35">
      <c r="A151" s="40">
        <v>150</v>
      </c>
      <c r="B151" s="62">
        <f>VLOOKUP(A151,'Dataset-1'!A152:M762,2,)</f>
        <v>40550</v>
      </c>
      <c r="C151" s="41">
        <f>VLOOKUP(B151,'Dataset-1'!B152:N762,2,)</f>
        <v>1</v>
      </c>
      <c r="D151" s="41">
        <f>VLOOKUP(C151,'Dataset-1'!C152:O762,2,)</f>
        <v>0</v>
      </c>
      <c r="E151" s="41">
        <f>VLOOKUP(D151,'Dataset-1'!D152:P762,2,)</f>
        <v>1</v>
      </c>
      <c r="F151" s="41">
        <f>VLOOKUP(E151,'Dataset-1'!E152:Q762,2,)</f>
        <v>12</v>
      </c>
      <c r="G151" s="71" t="str">
        <f>VLOOKUP(F151,'Dataset-1'!F152:R762,2,)</f>
        <v>AfterNoon</v>
      </c>
      <c r="H151" s="41" t="b">
        <f>VLOOKUP(G151,'Dataset-1'!G152:S762,2,)</f>
        <v>0</v>
      </c>
      <c r="I151" s="41">
        <f>VLOOKUP(H151,'Dataset-1'!H152:T762,2,)</f>
        <v>5</v>
      </c>
      <c r="J151" s="71" t="str">
        <f>VLOOKUP(I151,'Dataset-1'!I152:U762,2,)</f>
        <v>Thusday</v>
      </c>
      <c r="K151" s="41">
        <f>VLOOKUP(J151,'Dataset-1'!J152:V762,2,)</f>
        <v>2</v>
      </c>
      <c r="L151" s="41">
        <f>VLOOKUP(K151,'Dataset-1'!K152:W762,2,)</f>
        <v>0.2</v>
      </c>
      <c r="M151" s="71" t="str">
        <f>VLOOKUP(L151,'Dataset-1'!L152:X762,2,)</f>
        <v>Rainy</v>
      </c>
      <c r="N151" s="41">
        <f>VLOOKUP(A151,'Dataset-2'!B152:H762,2,)</f>
        <v>0.19700000000000001</v>
      </c>
      <c r="O151" s="41">
        <f>VLOOKUP(N151,'Dataset-2'!C152:I762,2,)</f>
        <v>0.37</v>
      </c>
      <c r="P151" s="41">
        <f>VLOOKUP(O151,'Dataset-2'!D152:J762,2,)</f>
        <v>0.25369999999999998</v>
      </c>
      <c r="Q151" s="41">
        <f>VLOOKUP(P151,'Dataset-2'!E152:K762,2,)</f>
        <v>9</v>
      </c>
      <c r="R151" s="41">
        <f>VLOOKUP(Q151,'Dataset-2'!F152:L762,2,)</f>
        <v>50</v>
      </c>
      <c r="S151" s="41">
        <f>VLOOKUP(R151,'Dataset-2'!G152:M762,2,)</f>
        <v>59</v>
      </c>
    </row>
    <row r="152" spans="1:19" x14ac:dyDescent="0.35">
      <c r="A152" s="40">
        <v>151</v>
      </c>
      <c r="B152" s="62">
        <f>VLOOKUP(A152,'Dataset-1'!A153:M763,2,)</f>
        <v>40550</v>
      </c>
      <c r="C152" s="41">
        <f>VLOOKUP(B152,'Dataset-1'!B153:N763,2,)</f>
        <v>1</v>
      </c>
      <c r="D152" s="41">
        <f>VLOOKUP(C152,'Dataset-1'!C153:O763,2,)</f>
        <v>0</v>
      </c>
      <c r="E152" s="41">
        <f>VLOOKUP(D152,'Dataset-1'!D153:P763,2,)</f>
        <v>1</v>
      </c>
      <c r="F152" s="41">
        <f>VLOOKUP(E152,'Dataset-1'!E153:Q763,2,)</f>
        <v>13</v>
      </c>
      <c r="G152" s="71" t="str">
        <f>VLOOKUP(F152,'Dataset-1'!F153:R763,2,)</f>
        <v>AfterNoon</v>
      </c>
      <c r="H152" s="41" t="b">
        <f>VLOOKUP(G152,'Dataset-1'!G153:S763,2,)</f>
        <v>0</v>
      </c>
      <c r="I152" s="41">
        <f>VLOOKUP(H152,'Dataset-1'!H153:T763,2,)</f>
        <v>5</v>
      </c>
      <c r="J152" s="71" t="str">
        <f>VLOOKUP(I152,'Dataset-1'!I153:U763,2,)</f>
        <v>Thusday</v>
      </c>
      <c r="K152" s="41">
        <f>VLOOKUP(J152,'Dataset-1'!J153:V763,2,)</f>
        <v>2</v>
      </c>
      <c r="L152" s="41">
        <f>VLOOKUP(K152,'Dataset-1'!K153:W763,2,)</f>
        <v>0.2</v>
      </c>
      <c r="M152" s="71" t="str">
        <f>VLOOKUP(L152,'Dataset-1'!L153:X763,2,)</f>
        <v>Rainy</v>
      </c>
      <c r="N152" s="41">
        <f>VLOOKUP(A152,'Dataset-2'!B153:H763,2,)</f>
        <v>0.18179999999999999</v>
      </c>
      <c r="O152" s="41">
        <f>VLOOKUP(N152,'Dataset-2'!C153:I763,2,)</f>
        <v>0.37</v>
      </c>
      <c r="P152" s="41">
        <f>VLOOKUP(O152,'Dataset-2'!D153:J763,2,)</f>
        <v>0.28360000000000002</v>
      </c>
      <c r="Q152" s="41">
        <f>VLOOKUP(P152,'Dataset-2'!E153:K763,2,)</f>
        <v>9</v>
      </c>
      <c r="R152" s="41">
        <f>VLOOKUP(Q152,'Dataset-2'!F153:L763,2,)</f>
        <v>64</v>
      </c>
      <c r="S152" s="41">
        <f>VLOOKUP(R152,'Dataset-2'!G153:M763,2,)</f>
        <v>73</v>
      </c>
    </row>
    <row r="153" spans="1:19" x14ac:dyDescent="0.35">
      <c r="A153" s="40">
        <v>152</v>
      </c>
      <c r="B153" s="62">
        <f>VLOOKUP(A153,'Dataset-1'!A154:M764,2,)</f>
        <v>40550</v>
      </c>
      <c r="C153" s="41">
        <f>VLOOKUP(B153,'Dataset-1'!B154:N764,2,)</f>
        <v>1</v>
      </c>
      <c r="D153" s="41">
        <f>VLOOKUP(C153,'Dataset-1'!C154:O764,2,)</f>
        <v>0</v>
      </c>
      <c r="E153" s="41">
        <f>VLOOKUP(D153,'Dataset-1'!D154:P764,2,)</f>
        <v>1</v>
      </c>
      <c r="F153" s="41">
        <f>VLOOKUP(E153,'Dataset-1'!E154:Q764,2,)</f>
        <v>14</v>
      </c>
      <c r="G153" s="71" t="str">
        <f>VLOOKUP(F153,'Dataset-1'!F154:R764,2,)</f>
        <v>AfterNoon</v>
      </c>
      <c r="H153" s="41" t="b">
        <f>VLOOKUP(G153,'Dataset-1'!G154:S764,2,)</f>
        <v>0</v>
      </c>
      <c r="I153" s="41">
        <f>VLOOKUP(H153,'Dataset-1'!H154:T764,2,)</f>
        <v>5</v>
      </c>
      <c r="J153" s="71" t="str">
        <f>VLOOKUP(I153,'Dataset-1'!I154:U764,2,)</f>
        <v>Thusday</v>
      </c>
      <c r="K153" s="41">
        <f>VLOOKUP(J153,'Dataset-1'!J154:V764,2,)</f>
        <v>2</v>
      </c>
      <c r="L153" s="41">
        <f>VLOOKUP(K153,'Dataset-1'!K154:W764,2,)</f>
        <v>0.2</v>
      </c>
      <c r="M153" s="71" t="str">
        <f>VLOOKUP(L153,'Dataset-1'!L154:X764,2,)</f>
        <v>Rainy</v>
      </c>
      <c r="N153" s="41">
        <f>VLOOKUP(A153,'Dataset-2'!B154:H764,2,)</f>
        <v>0.19700000000000001</v>
      </c>
      <c r="O153" s="41">
        <f>VLOOKUP(N153,'Dataset-2'!C154:I764,2,)</f>
        <v>0.4</v>
      </c>
      <c r="P153" s="41">
        <f>VLOOKUP(O153,'Dataset-2'!D154:J764,2,)</f>
        <v>0.25369999999999998</v>
      </c>
      <c r="Q153" s="41">
        <f>VLOOKUP(P153,'Dataset-2'!E154:K764,2,)</f>
        <v>7</v>
      </c>
      <c r="R153" s="41">
        <f>VLOOKUP(Q153,'Dataset-2'!F154:L764,2,)</f>
        <v>43</v>
      </c>
      <c r="S153" s="41">
        <f>VLOOKUP(R153,'Dataset-2'!G154:M764,2,)</f>
        <v>50</v>
      </c>
    </row>
    <row r="154" spans="1:19" x14ac:dyDescent="0.35">
      <c r="A154" s="40">
        <v>153</v>
      </c>
      <c r="B154" s="62">
        <f>VLOOKUP(A154,'Dataset-1'!A155:M765,2,)</f>
        <v>40550</v>
      </c>
      <c r="C154" s="41">
        <f>VLOOKUP(B154,'Dataset-1'!B155:N765,2,)</f>
        <v>1</v>
      </c>
      <c r="D154" s="41">
        <f>VLOOKUP(C154,'Dataset-1'!C155:O765,2,)</f>
        <v>0</v>
      </c>
      <c r="E154" s="41">
        <f>VLOOKUP(D154,'Dataset-1'!D155:P765,2,)</f>
        <v>1</v>
      </c>
      <c r="F154" s="41">
        <f>VLOOKUP(E154,'Dataset-1'!E155:Q765,2,)</f>
        <v>15</v>
      </c>
      <c r="G154" s="71" t="str">
        <f>VLOOKUP(F154,'Dataset-1'!F155:R765,2,)</f>
        <v>AfterNoon</v>
      </c>
      <c r="H154" s="41" t="b">
        <f>VLOOKUP(G154,'Dataset-1'!G155:S765,2,)</f>
        <v>0</v>
      </c>
      <c r="I154" s="41">
        <f>VLOOKUP(H154,'Dataset-1'!H155:T765,2,)</f>
        <v>5</v>
      </c>
      <c r="J154" s="71" t="str">
        <f>VLOOKUP(I154,'Dataset-1'!I155:U765,2,)</f>
        <v>Thusday</v>
      </c>
      <c r="K154" s="41">
        <f>VLOOKUP(J154,'Dataset-1'!J155:V765,2,)</f>
        <v>2</v>
      </c>
      <c r="L154" s="41">
        <f>VLOOKUP(K154,'Dataset-1'!K155:W765,2,)</f>
        <v>0.2</v>
      </c>
      <c r="M154" s="71" t="str">
        <f>VLOOKUP(L154,'Dataset-1'!L155:X765,2,)</f>
        <v>Rainy</v>
      </c>
      <c r="N154" s="41">
        <f>VLOOKUP(A154,'Dataset-2'!B155:H765,2,)</f>
        <v>0.21210000000000001</v>
      </c>
      <c r="O154" s="41">
        <f>VLOOKUP(N154,'Dataset-2'!C155:I765,2,)</f>
        <v>0.37</v>
      </c>
      <c r="P154" s="41">
        <f>VLOOKUP(O154,'Dataset-2'!D155:J765,2,)</f>
        <v>0.16420000000000001</v>
      </c>
      <c r="Q154" s="41">
        <f>VLOOKUP(P154,'Dataset-2'!E155:K765,2,)</f>
        <v>9</v>
      </c>
      <c r="R154" s="41">
        <f>VLOOKUP(Q154,'Dataset-2'!F155:L765,2,)</f>
        <v>63</v>
      </c>
      <c r="S154" s="41">
        <f>VLOOKUP(R154,'Dataset-2'!G155:M765,2,)</f>
        <v>72</v>
      </c>
    </row>
    <row r="155" spans="1:19" x14ac:dyDescent="0.35">
      <c r="A155" s="40">
        <v>154</v>
      </c>
      <c r="B155" s="62">
        <f>VLOOKUP(A155,'Dataset-1'!A156:M766,2,)</f>
        <v>40550</v>
      </c>
      <c r="C155" s="41">
        <f>VLOOKUP(B155,'Dataset-1'!B156:N766,2,)</f>
        <v>1</v>
      </c>
      <c r="D155" s="41">
        <f>VLOOKUP(C155,'Dataset-1'!C156:O766,2,)</f>
        <v>0</v>
      </c>
      <c r="E155" s="41">
        <f>VLOOKUP(D155,'Dataset-1'!D156:P766,2,)</f>
        <v>1</v>
      </c>
      <c r="F155" s="41">
        <f>VLOOKUP(E155,'Dataset-1'!E156:Q766,2,)</f>
        <v>16</v>
      </c>
      <c r="G155" s="71" t="str">
        <f>VLOOKUP(F155,'Dataset-1'!F156:R766,2,)</f>
        <v>AfterNoon</v>
      </c>
      <c r="H155" s="41" t="b">
        <f>VLOOKUP(G155,'Dataset-1'!G156:S766,2,)</f>
        <v>0</v>
      </c>
      <c r="I155" s="41">
        <f>VLOOKUP(H155,'Dataset-1'!H156:T766,2,)</f>
        <v>5</v>
      </c>
      <c r="J155" s="71" t="str">
        <f>VLOOKUP(I155,'Dataset-1'!I156:U766,2,)</f>
        <v>Thusday</v>
      </c>
      <c r="K155" s="41">
        <f>VLOOKUP(J155,'Dataset-1'!J156:V766,2,)</f>
        <v>2</v>
      </c>
      <c r="L155" s="41">
        <f>VLOOKUP(K155,'Dataset-1'!K156:W766,2,)</f>
        <v>0.2</v>
      </c>
      <c r="M155" s="71" t="str">
        <f>VLOOKUP(L155,'Dataset-1'!L156:X766,2,)</f>
        <v>Rainy</v>
      </c>
      <c r="N155" s="41">
        <f>VLOOKUP(A155,'Dataset-2'!B156:H766,2,)</f>
        <v>0.21210000000000001</v>
      </c>
      <c r="O155" s="41">
        <f>VLOOKUP(N155,'Dataset-2'!C156:I766,2,)</f>
        <v>0.37</v>
      </c>
      <c r="P155" s="41">
        <f>VLOOKUP(O155,'Dataset-2'!D156:J766,2,)</f>
        <v>0.16420000000000001</v>
      </c>
      <c r="Q155" s="41">
        <f>VLOOKUP(P155,'Dataset-2'!E156:K766,2,)</f>
        <v>5</v>
      </c>
      <c r="R155" s="41">
        <f>VLOOKUP(Q155,'Dataset-2'!F156:L766,2,)</f>
        <v>82</v>
      </c>
      <c r="S155" s="41">
        <f>VLOOKUP(R155,'Dataset-2'!G156:M766,2,)</f>
        <v>87</v>
      </c>
    </row>
    <row r="156" spans="1:19" x14ac:dyDescent="0.35">
      <c r="A156" s="40">
        <v>155</v>
      </c>
      <c r="B156" s="62">
        <f>VLOOKUP(A156,'Dataset-1'!A157:M767,2,)</f>
        <v>40550</v>
      </c>
      <c r="C156" s="41">
        <f>VLOOKUP(B156,'Dataset-1'!B157:N767,2,)</f>
        <v>1</v>
      </c>
      <c r="D156" s="41">
        <f>VLOOKUP(C156,'Dataset-1'!C157:O767,2,)</f>
        <v>0</v>
      </c>
      <c r="E156" s="41">
        <f>VLOOKUP(D156,'Dataset-1'!D157:P767,2,)</f>
        <v>1</v>
      </c>
      <c r="F156" s="41">
        <f>VLOOKUP(E156,'Dataset-1'!E157:Q767,2,)</f>
        <v>17</v>
      </c>
      <c r="G156" s="71" t="str">
        <f>VLOOKUP(F156,'Dataset-1'!F157:R767,2,)</f>
        <v>Evening</v>
      </c>
      <c r="H156" s="41" t="b">
        <f>VLOOKUP(G156,'Dataset-1'!G157:S767,2,)</f>
        <v>0</v>
      </c>
      <c r="I156" s="41">
        <f>VLOOKUP(H156,'Dataset-1'!H157:T767,2,)</f>
        <v>5</v>
      </c>
      <c r="J156" s="71" t="str">
        <f>VLOOKUP(I156,'Dataset-1'!I157:U767,2,)</f>
        <v>Thusday</v>
      </c>
      <c r="K156" s="41">
        <f>VLOOKUP(J156,'Dataset-1'!J157:V767,2,)</f>
        <v>2</v>
      </c>
      <c r="L156" s="41">
        <f>VLOOKUP(K156,'Dataset-1'!K157:W767,2,)</f>
        <v>0.2</v>
      </c>
      <c r="M156" s="71" t="str">
        <f>VLOOKUP(L156,'Dataset-1'!L157:X767,2,)</f>
        <v>Rainy</v>
      </c>
      <c r="N156" s="41">
        <f>VLOOKUP(A156,'Dataset-2'!B157:H767,2,)</f>
        <v>0.2576</v>
      </c>
      <c r="O156" s="41">
        <f>VLOOKUP(N156,'Dataset-2'!C157:I767,2,)</f>
        <v>0.37</v>
      </c>
      <c r="P156" s="41">
        <f>VLOOKUP(O156,'Dataset-2'!D157:J767,2,)</f>
        <v>0</v>
      </c>
      <c r="Q156" s="41">
        <f>VLOOKUP(P156,'Dataset-2'!E157:K767,2,)</f>
        <v>9</v>
      </c>
      <c r="R156" s="41">
        <f>VLOOKUP(Q156,'Dataset-2'!F157:L767,2,)</f>
        <v>178</v>
      </c>
      <c r="S156" s="41">
        <f>VLOOKUP(R156,'Dataset-2'!G157:M767,2,)</f>
        <v>187</v>
      </c>
    </row>
    <row r="157" spans="1:19" x14ac:dyDescent="0.35">
      <c r="A157" s="40">
        <v>156</v>
      </c>
      <c r="B157" s="62">
        <f>VLOOKUP(A157,'Dataset-1'!A158:M768,2,)</f>
        <v>40550</v>
      </c>
      <c r="C157" s="41">
        <f>VLOOKUP(B157,'Dataset-1'!B158:N768,2,)</f>
        <v>1</v>
      </c>
      <c r="D157" s="41">
        <f>VLOOKUP(C157,'Dataset-1'!C158:O768,2,)</f>
        <v>0</v>
      </c>
      <c r="E157" s="41">
        <f>VLOOKUP(D157,'Dataset-1'!D158:P768,2,)</f>
        <v>1</v>
      </c>
      <c r="F157" s="41">
        <f>VLOOKUP(E157,'Dataset-1'!E158:Q768,2,)</f>
        <v>18</v>
      </c>
      <c r="G157" s="71" t="str">
        <f>VLOOKUP(F157,'Dataset-1'!F158:R768,2,)</f>
        <v>Evening</v>
      </c>
      <c r="H157" s="41" t="b">
        <f>VLOOKUP(G157,'Dataset-1'!G158:S768,2,)</f>
        <v>0</v>
      </c>
      <c r="I157" s="41">
        <f>VLOOKUP(H157,'Dataset-1'!H158:T768,2,)</f>
        <v>5</v>
      </c>
      <c r="J157" s="71" t="str">
        <f>VLOOKUP(I157,'Dataset-1'!I158:U768,2,)</f>
        <v>Thusday</v>
      </c>
      <c r="K157" s="41">
        <f>VLOOKUP(J157,'Dataset-1'!J158:V768,2,)</f>
        <v>1</v>
      </c>
      <c r="L157" s="41">
        <f>VLOOKUP(K157,'Dataset-1'!K158:W768,2,)</f>
        <v>0.2</v>
      </c>
      <c r="M157" s="71" t="str">
        <f>VLOOKUP(L157,'Dataset-1'!L158:X768,2,)</f>
        <v>Rainy</v>
      </c>
      <c r="N157" s="41">
        <f>VLOOKUP(A157,'Dataset-2'!B158:H768,2,)</f>
        <v>0.2273</v>
      </c>
      <c r="O157" s="41">
        <f>VLOOKUP(N157,'Dataset-2'!C158:I768,2,)</f>
        <v>0.4</v>
      </c>
      <c r="P157" s="41">
        <f>VLOOKUP(O157,'Dataset-2'!D158:J768,2,)</f>
        <v>8.9599999999999999E-2</v>
      </c>
      <c r="Q157" s="41">
        <f>VLOOKUP(P157,'Dataset-2'!E158:K768,2,)</f>
        <v>7</v>
      </c>
      <c r="R157" s="41">
        <f>VLOOKUP(Q157,'Dataset-2'!F158:L768,2,)</f>
        <v>116</v>
      </c>
      <c r="S157" s="41">
        <f>VLOOKUP(R157,'Dataset-2'!G158:M768,2,)</f>
        <v>123</v>
      </c>
    </row>
    <row r="158" spans="1:19" x14ac:dyDescent="0.35">
      <c r="A158" s="40">
        <v>157</v>
      </c>
      <c r="B158" s="62">
        <f>VLOOKUP(A158,'Dataset-1'!A159:M769,2,)</f>
        <v>40550</v>
      </c>
      <c r="C158" s="41">
        <f>VLOOKUP(B158,'Dataset-1'!B159:N769,2,)</f>
        <v>1</v>
      </c>
      <c r="D158" s="41">
        <f>VLOOKUP(C158,'Dataset-1'!C159:O769,2,)</f>
        <v>0</v>
      </c>
      <c r="E158" s="41">
        <f>VLOOKUP(D158,'Dataset-1'!D159:P769,2,)</f>
        <v>1</v>
      </c>
      <c r="F158" s="41">
        <f>VLOOKUP(E158,'Dataset-1'!E159:Q769,2,)</f>
        <v>19</v>
      </c>
      <c r="G158" s="71" t="str">
        <f>VLOOKUP(F158,'Dataset-1'!F159:R769,2,)</f>
        <v>Evening</v>
      </c>
      <c r="H158" s="41" t="b">
        <f>VLOOKUP(G158,'Dataset-1'!G159:S769,2,)</f>
        <v>0</v>
      </c>
      <c r="I158" s="41">
        <f>VLOOKUP(H158,'Dataset-1'!H159:T769,2,)</f>
        <v>5</v>
      </c>
      <c r="J158" s="71" t="str">
        <f>VLOOKUP(I158,'Dataset-1'!I159:U769,2,)</f>
        <v>Thusday</v>
      </c>
      <c r="K158" s="41">
        <f>VLOOKUP(J158,'Dataset-1'!J159:V769,2,)</f>
        <v>1</v>
      </c>
      <c r="L158" s="41">
        <f>VLOOKUP(K158,'Dataset-1'!K159:W769,2,)</f>
        <v>0.16</v>
      </c>
      <c r="M158" s="71" t="str">
        <f>VLOOKUP(L158,'Dataset-1'!L159:X769,2,)</f>
        <v>Rainy</v>
      </c>
      <c r="N158" s="41">
        <f>VLOOKUP(A158,'Dataset-2'!B159:H769,2,)</f>
        <v>0.19700000000000001</v>
      </c>
      <c r="O158" s="41">
        <f>VLOOKUP(N158,'Dataset-2'!C159:I769,2,)</f>
        <v>0.55000000000000004</v>
      </c>
      <c r="P158" s="41">
        <f>VLOOKUP(O158,'Dataset-2'!D159:J769,2,)</f>
        <v>8.9599999999999999E-2</v>
      </c>
      <c r="Q158" s="41">
        <f>VLOOKUP(P158,'Dataset-2'!E159:K769,2,)</f>
        <v>3</v>
      </c>
      <c r="R158" s="41">
        <f>VLOOKUP(Q158,'Dataset-2'!F159:L769,2,)</f>
        <v>92</v>
      </c>
      <c r="S158" s="41">
        <f>VLOOKUP(R158,'Dataset-2'!G159:M769,2,)</f>
        <v>95</v>
      </c>
    </row>
    <row r="159" spans="1:19" x14ac:dyDescent="0.35">
      <c r="A159" s="40">
        <v>158</v>
      </c>
      <c r="B159" s="62">
        <f>VLOOKUP(A159,'Dataset-1'!A160:M770,2,)</f>
        <v>40550</v>
      </c>
      <c r="C159" s="41">
        <f>VLOOKUP(B159,'Dataset-1'!B160:N770,2,)</f>
        <v>1</v>
      </c>
      <c r="D159" s="41">
        <f>VLOOKUP(C159,'Dataset-1'!C160:O770,2,)</f>
        <v>0</v>
      </c>
      <c r="E159" s="41">
        <f>VLOOKUP(D159,'Dataset-1'!D160:P770,2,)</f>
        <v>1</v>
      </c>
      <c r="F159" s="41">
        <f>VLOOKUP(E159,'Dataset-1'!E160:Q770,2,)</f>
        <v>20</v>
      </c>
      <c r="G159" s="71" t="str">
        <f>VLOOKUP(F159,'Dataset-1'!F160:R770,2,)</f>
        <v>Night</v>
      </c>
      <c r="H159" s="41" t="b">
        <f>VLOOKUP(G159,'Dataset-1'!G160:S770,2,)</f>
        <v>0</v>
      </c>
      <c r="I159" s="41">
        <f>VLOOKUP(H159,'Dataset-1'!H160:T770,2,)</f>
        <v>5</v>
      </c>
      <c r="J159" s="71" t="str">
        <f>VLOOKUP(I159,'Dataset-1'!I160:U770,2,)</f>
        <v>Thusday</v>
      </c>
      <c r="K159" s="41">
        <f>VLOOKUP(J159,'Dataset-1'!J160:V770,2,)</f>
        <v>1</v>
      </c>
      <c r="L159" s="41">
        <f>VLOOKUP(K159,'Dataset-1'!K160:W770,2,)</f>
        <v>0.18</v>
      </c>
      <c r="M159" s="71" t="str">
        <f>VLOOKUP(L159,'Dataset-1'!L160:X770,2,)</f>
        <v>Rainy</v>
      </c>
      <c r="N159" s="41">
        <f>VLOOKUP(A159,'Dataset-2'!B160:H770,2,)</f>
        <v>0.21210000000000001</v>
      </c>
      <c r="O159" s="41">
        <f>VLOOKUP(N159,'Dataset-2'!C160:I770,2,)</f>
        <v>0.47</v>
      </c>
      <c r="P159" s="41">
        <f>VLOOKUP(O159,'Dataset-2'!D160:J770,2,)</f>
        <v>0.1045</v>
      </c>
      <c r="Q159" s="41">
        <f>VLOOKUP(P159,'Dataset-2'!E160:K770,2,)</f>
        <v>1</v>
      </c>
      <c r="R159" s="41">
        <f>VLOOKUP(Q159,'Dataset-2'!F160:L770,2,)</f>
        <v>50</v>
      </c>
      <c r="S159" s="41">
        <f>VLOOKUP(R159,'Dataset-2'!G160:M770,2,)</f>
        <v>51</v>
      </c>
    </row>
    <row r="160" spans="1:19" x14ac:dyDescent="0.35">
      <c r="A160" s="40">
        <v>159</v>
      </c>
      <c r="B160" s="62">
        <f>VLOOKUP(A160,'Dataset-1'!A161:M771,2,)</f>
        <v>40550</v>
      </c>
      <c r="C160" s="41">
        <f>VLOOKUP(B160,'Dataset-1'!B161:N771,2,)</f>
        <v>1</v>
      </c>
      <c r="D160" s="41">
        <f>VLOOKUP(C160,'Dataset-1'!C161:O771,2,)</f>
        <v>0</v>
      </c>
      <c r="E160" s="41">
        <f>VLOOKUP(D160,'Dataset-1'!D161:P771,2,)</f>
        <v>1</v>
      </c>
      <c r="F160" s="41">
        <f>VLOOKUP(E160,'Dataset-1'!E161:Q771,2,)</f>
        <v>21</v>
      </c>
      <c r="G160" s="71" t="str">
        <f>VLOOKUP(F160,'Dataset-1'!F161:R771,2,)</f>
        <v>Night</v>
      </c>
      <c r="H160" s="41" t="b">
        <f>VLOOKUP(G160,'Dataset-1'!G161:S771,2,)</f>
        <v>0</v>
      </c>
      <c r="I160" s="41">
        <f>VLOOKUP(H160,'Dataset-1'!H161:T771,2,)</f>
        <v>5</v>
      </c>
      <c r="J160" s="71" t="str">
        <f>VLOOKUP(I160,'Dataset-1'!I161:U771,2,)</f>
        <v>Thusday</v>
      </c>
      <c r="K160" s="41">
        <f>VLOOKUP(J160,'Dataset-1'!J161:V771,2,)</f>
        <v>1</v>
      </c>
      <c r="L160" s="41">
        <f>VLOOKUP(K160,'Dataset-1'!K161:W771,2,)</f>
        <v>0.18</v>
      </c>
      <c r="M160" s="71" t="str">
        <f>VLOOKUP(L160,'Dataset-1'!L161:X771,2,)</f>
        <v>Rainy</v>
      </c>
      <c r="N160" s="41">
        <f>VLOOKUP(A160,'Dataset-2'!B161:H771,2,)</f>
        <v>0.19700000000000001</v>
      </c>
      <c r="O160" s="41">
        <f>VLOOKUP(N160,'Dataset-2'!C161:I771,2,)</f>
        <v>0.47</v>
      </c>
      <c r="P160" s="41">
        <f>VLOOKUP(O160,'Dataset-2'!D161:J771,2,)</f>
        <v>0.1343</v>
      </c>
      <c r="Q160" s="41">
        <f>VLOOKUP(P160,'Dataset-2'!E161:K771,2,)</f>
        <v>0</v>
      </c>
      <c r="R160" s="41">
        <f>VLOOKUP(Q160,'Dataset-2'!F161:L771,2,)</f>
        <v>39</v>
      </c>
      <c r="S160" s="41">
        <f>VLOOKUP(R160,'Dataset-2'!G161:M771,2,)</f>
        <v>39</v>
      </c>
    </row>
    <row r="161" spans="1:19" x14ac:dyDescent="0.35">
      <c r="A161" s="40">
        <v>160</v>
      </c>
      <c r="B161" s="62">
        <f>VLOOKUP(A161,'Dataset-1'!A162:M772,2,)</f>
        <v>40550</v>
      </c>
      <c r="C161" s="41">
        <f>VLOOKUP(B161,'Dataset-1'!B162:N772,2,)</f>
        <v>1</v>
      </c>
      <c r="D161" s="41">
        <f>VLOOKUP(C161,'Dataset-1'!C162:O772,2,)</f>
        <v>0</v>
      </c>
      <c r="E161" s="41">
        <f>VLOOKUP(D161,'Dataset-1'!D162:P772,2,)</f>
        <v>1</v>
      </c>
      <c r="F161" s="41">
        <f>VLOOKUP(E161,'Dataset-1'!E162:Q772,2,)</f>
        <v>22</v>
      </c>
      <c r="G161" s="71" t="str">
        <f>VLOOKUP(F161,'Dataset-1'!F162:R772,2,)</f>
        <v>Night</v>
      </c>
      <c r="H161" s="41" t="b">
        <f>VLOOKUP(G161,'Dataset-1'!G162:S772,2,)</f>
        <v>0</v>
      </c>
      <c r="I161" s="41">
        <f>VLOOKUP(H161,'Dataset-1'!H162:T772,2,)</f>
        <v>5</v>
      </c>
      <c r="J161" s="71" t="str">
        <f>VLOOKUP(I161,'Dataset-1'!I162:U772,2,)</f>
        <v>Thusday</v>
      </c>
      <c r="K161" s="41">
        <f>VLOOKUP(J161,'Dataset-1'!J162:V772,2,)</f>
        <v>2</v>
      </c>
      <c r="L161" s="41">
        <f>VLOOKUP(K161,'Dataset-1'!K162:W772,2,)</f>
        <v>0.18</v>
      </c>
      <c r="M161" s="71" t="str">
        <f>VLOOKUP(L161,'Dataset-1'!L162:X772,2,)</f>
        <v>Rainy</v>
      </c>
      <c r="N161" s="41">
        <f>VLOOKUP(A161,'Dataset-2'!B162:H772,2,)</f>
        <v>0.19700000000000001</v>
      </c>
      <c r="O161" s="41">
        <f>VLOOKUP(N161,'Dataset-2'!C162:I772,2,)</f>
        <v>0.43</v>
      </c>
      <c r="P161" s="41">
        <f>VLOOKUP(O161,'Dataset-2'!D162:J772,2,)</f>
        <v>0.16420000000000001</v>
      </c>
      <c r="Q161" s="41">
        <f>VLOOKUP(P161,'Dataset-2'!E162:K772,2,)</f>
        <v>2</v>
      </c>
      <c r="R161" s="41">
        <f>VLOOKUP(Q161,'Dataset-2'!F162:L772,2,)</f>
        <v>34</v>
      </c>
      <c r="S161" s="41">
        <f>VLOOKUP(R161,'Dataset-2'!G162:M772,2,)</f>
        <v>36</v>
      </c>
    </row>
    <row r="162" spans="1:19" x14ac:dyDescent="0.35">
      <c r="A162" s="40">
        <v>161</v>
      </c>
      <c r="B162" s="62">
        <f>VLOOKUP(A162,'Dataset-1'!A163:M773,2,)</f>
        <v>40550</v>
      </c>
      <c r="C162" s="41">
        <f>VLOOKUP(B162,'Dataset-1'!B163:N773,2,)</f>
        <v>1</v>
      </c>
      <c r="D162" s="41">
        <f>VLOOKUP(C162,'Dataset-1'!C163:O773,2,)</f>
        <v>0</v>
      </c>
      <c r="E162" s="41">
        <f>VLOOKUP(D162,'Dataset-1'!D163:P773,2,)</f>
        <v>1</v>
      </c>
      <c r="F162" s="41">
        <f>VLOOKUP(E162,'Dataset-1'!E163:Q773,2,)</f>
        <v>23</v>
      </c>
      <c r="G162" s="71" t="str">
        <f>VLOOKUP(F162,'Dataset-1'!F163:R773,2,)</f>
        <v>Night</v>
      </c>
      <c r="H162" s="41" t="b">
        <f>VLOOKUP(G162,'Dataset-1'!G163:S773,2,)</f>
        <v>0</v>
      </c>
      <c r="I162" s="41">
        <f>VLOOKUP(H162,'Dataset-1'!H163:T773,2,)</f>
        <v>5</v>
      </c>
      <c r="J162" s="71" t="str">
        <f>VLOOKUP(I162,'Dataset-1'!I163:U773,2,)</f>
        <v>Thusday</v>
      </c>
      <c r="K162" s="41">
        <f>VLOOKUP(J162,'Dataset-1'!J163:V773,2,)</f>
        <v>2</v>
      </c>
      <c r="L162" s="41">
        <f>VLOOKUP(K162,'Dataset-1'!K163:W773,2,)</f>
        <v>0.18</v>
      </c>
      <c r="M162" s="71" t="str">
        <f>VLOOKUP(L162,'Dataset-1'!L163:X773,2,)</f>
        <v>Rainy</v>
      </c>
      <c r="N162" s="41">
        <f>VLOOKUP(A162,'Dataset-2'!B163:H773,2,)</f>
        <v>0.19700000000000001</v>
      </c>
      <c r="O162" s="41">
        <f>VLOOKUP(N162,'Dataset-2'!C163:I773,2,)</f>
        <v>0.51</v>
      </c>
      <c r="P162" s="41">
        <f>VLOOKUP(O162,'Dataset-2'!D163:J773,2,)</f>
        <v>0.16420000000000001</v>
      </c>
      <c r="Q162" s="41">
        <f>VLOOKUP(P162,'Dataset-2'!E163:K773,2,)</f>
        <v>1</v>
      </c>
      <c r="R162" s="41">
        <f>VLOOKUP(Q162,'Dataset-2'!F163:L773,2,)</f>
        <v>14</v>
      </c>
      <c r="S162" s="41">
        <f>VLOOKUP(R162,'Dataset-2'!G163:M773,2,)</f>
        <v>15</v>
      </c>
    </row>
    <row r="163" spans="1:19" x14ac:dyDescent="0.35">
      <c r="A163" s="40">
        <v>162</v>
      </c>
      <c r="B163" s="62">
        <f>VLOOKUP(A163,'Dataset-1'!A164:M774,2,)</f>
        <v>40551</v>
      </c>
      <c r="C163" s="41">
        <f>VLOOKUP(B163,'Dataset-1'!B164:N774,2,)</f>
        <v>1</v>
      </c>
      <c r="D163" s="41">
        <f>VLOOKUP(C163,'Dataset-1'!C164:O774,2,)</f>
        <v>0</v>
      </c>
      <c r="E163" s="41">
        <f>VLOOKUP(D163,'Dataset-1'!D164:P774,2,)</f>
        <v>1</v>
      </c>
      <c r="F163" s="41">
        <f>VLOOKUP(E163,'Dataset-1'!E164:Q774,2,)</f>
        <v>0</v>
      </c>
      <c r="G163" s="71" t="str">
        <f>VLOOKUP(F163,'Dataset-1'!F164:R774,2,)</f>
        <v>Night</v>
      </c>
      <c r="H163" s="41" t="b">
        <f>VLOOKUP(G163,'Dataset-1'!G164:S774,2,)</f>
        <v>0</v>
      </c>
      <c r="I163" s="41">
        <f>VLOOKUP(H163,'Dataset-1'!H164:T774,2,)</f>
        <v>6</v>
      </c>
      <c r="J163" s="71" t="str">
        <f>VLOOKUP(I163,'Dataset-1'!I164:U774,2,)</f>
        <v>Friday</v>
      </c>
      <c r="K163" s="41">
        <f>VLOOKUP(J163,'Dataset-1'!J164:V774,2,)</f>
        <v>2</v>
      </c>
      <c r="L163" s="41">
        <f>VLOOKUP(K163,'Dataset-1'!K164:W774,2,)</f>
        <v>0.18</v>
      </c>
      <c r="M163" s="71" t="str">
        <f>VLOOKUP(L163,'Dataset-1'!L164:X774,2,)</f>
        <v>Rainy</v>
      </c>
      <c r="N163" s="41">
        <f>VLOOKUP(A163,'Dataset-2'!B164:H774,2,)</f>
        <v>0.19700000000000001</v>
      </c>
      <c r="O163" s="41">
        <f>VLOOKUP(N163,'Dataset-2'!C164:I774,2,)</f>
        <v>0.51</v>
      </c>
      <c r="P163" s="41">
        <f>VLOOKUP(O163,'Dataset-2'!D164:J774,2,)</f>
        <v>0.16420000000000001</v>
      </c>
      <c r="Q163" s="41">
        <f>VLOOKUP(P163,'Dataset-2'!E164:K774,2,)</f>
        <v>1</v>
      </c>
      <c r="R163" s="41">
        <f>VLOOKUP(Q163,'Dataset-2'!F164:L774,2,)</f>
        <v>24</v>
      </c>
      <c r="S163" s="41">
        <f>VLOOKUP(R163,'Dataset-2'!G164:M774,2,)</f>
        <v>25</v>
      </c>
    </row>
    <row r="164" spans="1:19" x14ac:dyDescent="0.35">
      <c r="A164" s="40">
        <v>163</v>
      </c>
      <c r="B164" s="62">
        <f>VLOOKUP(A164,'Dataset-1'!A165:M775,2,)</f>
        <v>40551</v>
      </c>
      <c r="C164" s="41">
        <f>VLOOKUP(B164,'Dataset-1'!B165:N775,2,)</f>
        <v>1</v>
      </c>
      <c r="D164" s="41">
        <f>VLOOKUP(C164,'Dataset-1'!C165:O775,2,)</f>
        <v>0</v>
      </c>
      <c r="E164" s="41">
        <f>VLOOKUP(D164,'Dataset-1'!D165:P775,2,)</f>
        <v>1</v>
      </c>
      <c r="F164" s="41">
        <f>VLOOKUP(E164,'Dataset-1'!E165:Q775,2,)</f>
        <v>1</v>
      </c>
      <c r="G164" s="71" t="str">
        <f>VLOOKUP(F164,'Dataset-1'!F165:R775,2,)</f>
        <v>Night</v>
      </c>
      <c r="H164" s="41" t="b">
        <f>VLOOKUP(G164,'Dataset-1'!G165:S775,2,)</f>
        <v>0</v>
      </c>
      <c r="I164" s="41">
        <f>VLOOKUP(H164,'Dataset-1'!H165:T775,2,)</f>
        <v>6</v>
      </c>
      <c r="J164" s="71" t="str">
        <f>VLOOKUP(I164,'Dataset-1'!I165:U775,2,)</f>
        <v>Friday</v>
      </c>
      <c r="K164" s="41">
        <f>VLOOKUP(J164,'Dataset-1'!J165:V775,2,)</f>
        <v>2</v>
      </c>
      <c r="L164" s="41">
        <f>VLOOKUP(K164,'Dataset-1'!K165:W775,2,)</f>
        <v>0.18</v>
      </c>
      <c r="M164" s="71" t="str">
        <f>VLOOKUP(L164,'Dataset-1'!L165:X775,2,)</f>
        <v>Rainy</v>
      </c>
      <c r="N164" s="41">
        <f>VLOOKUP(A164,'Dataset-2'!B165:H775,2,)</f>
        <v>0.21210000000000001</v>
      </c>
      <c r="O164" s="41">
        <f>VLOOKUP(N164,'Dataset-2'!C165:I775,2,)</f>
        <v>0.55000000000000004</v>
      </c>
      <c r="P164" s="41">
        <f>VLOOKUP(O164,'Dataset-2'!D165:J775,2,)</f>
        <v>8.9599999999999999E-2</v>
      </c>
      <c r="Q164" s="41">
        <f>VLOOKUP(P164,'Dataset-2'!E165:K775,2,)</f>
        <v>1</v>
      </c>
      <c r="R164" s="41">
        <f>VLOOKUP(Q164,'Dataset-2'!F165:L775,2,)</f>
        <v>15</v>
      </c>
      <c r="S164" s="41">
        <f>VLOOKUP(R164,'Dataset-2'!G165:M775,2,)</f>
        <v>16</v>
      </c>
    </row>
    <row r="165" spans="1:19" x14ac:dyDescent="0.35">
      <c r="A165" s="40">
        <v>164</v>
      </c>
      <c r="B165" s="62">
        <f>VLOOKUP(A165,'Dataset-1'!A166:M776,2,)</f>
        <v>40551</v>
      </c>
      <c r="C165" s="41">
        <f>VLOOKUP(B165,'Dataset-1'!B166:N776,2,)</f>
        <v>1</v>
      </c>
      <c r="D165" s="41">
        <f>VLOOKUP(C165,'Dataset-1'!C166:O776,2,)</f>
        <v>0</v>
      </c>
      <c r="E165" s="41">
        <f>VLOOKUP(D165,'Dataset-1'!D166:P776,2,)</f>
        <v>1</v>
      </c>
      <c r="F165" s="41">
        <f>VLOOKUP(E165,'Dataset-1'!E166:Q776,2,)</f>
        <v>2</v>
      </c>
      <c r="G165" s="71" t="str">
        <f>VLOOKUP(F165,'Dataset-1'!F166:R776,2,)</f>
        <v>Night</v>
      </c>
      <c r="H165" s="41" t="b">
        <f>VLOOKUP(G165,'Dataset-1'!G166:S776,2,)</f>
        <v>0</v>
      </c>
      <c r="I165" s="41">
        <f>VLOOKUP(H165,'Dataset-1'!H166:T776,2,)</f>
        <v>6</v>
      </c>
      <c r="J165" s="71" t="str">
        <f>VLOOKUP(I165,'Dataset-1'!I166:U776,2,)</f>
        <v>Friday</v>
      </c>
      <c r="K165" s="41">
        <f>VLOOKUP(J165,'Dataset-1'!J166:V776,2,)</f>
        <v>2</v>
      </c>
      <c r="L165" s="41">
        <f>VLOOKUP(K165,'Dataset-1'!K166:W776,2,)</f>
        <v>0.18</v>
      </c>
      <c r="M165" s="71" t="str">
        <f>VLOOKUP(L165,'Dataset-1'!L166:X776,2,)</f>
        <v>Rainy</v>
      </c>
      <c r="N165" s="41">
        <f>VLOOKUP(A165,'Dataset-2'!B166:H776,2,)</f>
        <v>0.2424</v>
      </c>
      <c r="O165" s="41">
        <f>VLOOKUP(N165,'Dataset-2'!C166:I776,2,)</f>
        <v>0.55000000000000004</v>
      </c>
      <c r="P165" s="41">
        <f>VLOOKUP(O165,'Dataset-2'!D166:J776,2,)</f>
        <v>0</v>
      </c>
      <c r="Q165" s="41">
        <f>VLOOKUP(P165,'Dataset-2'!E166:K776,2,)</f>
        <v>3</v>
      </c>
      <c r="R165" s="41">
        <f>VLOOKUP(Q165,'Dataset-2'!F166:L776,2,)</f>
        <v>13</v>
      </c>
      <c r="S165" s="41">
        <f>VLOOKUP(R165,'Dataset-2'!G166:M776,2,)</f>
        <v>16</v>
      </c>
    </row>
    <row r="166" spans="1:19" x14ac:dyDescent="0.35">
      <c r="A166" s="40">
        <v>165</v>
      </c>
      <c r="B166" s="62">
        <f>VLOOKUP(A166,'Dataset-1'!A167:M777,2,)</f>
        <v>40551</v>
      </c>
      <c r="C166" s="41">
        <f>VLOOKUP(B166,'Dataset-1'!B167:N777,2,)</f>
        <v>1</v>
      </c>
      <c r="D166" s="41">
        <f>VLOOKUP(C166,'Dataset-1'!C167:O777,2,)</f>
        <v>0</v>
      </c>
      <c r="E166" s="41">
        <f>VLOOKUP(D166,'Dataset-1'!D167:P777,2,)</f>
        <v>1</v>
      </c>
      <c r="F166" s="41">
        <f>VLOOKUP(E166,'Dataset-1'!E167:Q777,2,)</f>
        <v>3</v>
      </c>
      <c r="G166" s="71" t="str">
        <f>VLOOKUP(F166,'Dataset-1'!F167:R777,2,)</f>
        <v>Night</v>
      </c>
      <c r="H166" s="41" t="b">
        <f>VLOOKUP(G166,'Dataset-1'!G167:S777,2,)</f>
        <v>0</v>
      </c>
      <c r="I166" s="41">
        <f>VLOOKUP(H166,'Dataset-1'!H167:T777,2,)</f>
        <v>6</v>
      </c>
      <c r="J166" s="71" t="str">
        <f>VLOOKUP(I166,'Dataset-1'!I167:U777,2,)</f>
        <v>Friday</v>
      </c>
      <c r="K166" s="41">
        <f>VLOOKUP(J166,'Dataset-1'!J167:V777,2,)</f>
        <v>3</v>
      </c>
      <c r="L166" s="41">
        <f>VLOOKUP(K166,'Dataset-1'!K167:W777,2,)</f>
        <v>0.18</v>
      </c>
      <c r="M166" s="71" t="str">
        <f>VLOOKUP(L166,'Dataset-1'!L167:X777,2,)</f>
        <v>Rainy</v>
      </c>
      <c r="N166" s="41">
        <f>VLOOKUP(A166,'Dataset-2'!B167:H777,2,)</f>
        <v>0.19700000000000001</v>
      </c>
      <c r="O166" s="41">
        <f>VLOOKUP(N166,'Dataset-2'!C167:I777,2,)</f>
        <v>0.55000000000000004</v>
      </c>
      <c r="P166" s="41">
        <f>VLOOKUP(O166,'Dataset-2'!D167:J777,2,)</f>
        <v>0.16420000000000001</v>
      </c>
      <c r="Q166" s="41">
        <f>VLOOKUP(P166,'Dataset-2'!E167:K777,2,)</f>
        <v>0</v>
      </c>
      <c r="R166" s="41">
        <f>VLOOKUP(Q166,'Dataset-2'!F167:L777,2,)</f>
        <v>7</v>
      </c>
      <c r="S166" s="41">
        <f>VLOOKUP(R166,'Dataset-2'!G167:M777,2,)</f>
        <v>7</v>
      </c>
    </row>
    <row r="167" spans="1:19" x14ac:dyDescent="0.35">
      <c r="A167" s="40">
        <v>166</v>
      </c>
      <c r="B167" s="62">
        <f>VLOOKUP(A167,'Dataset-1'!A168:M778,2,)</f>
        <v>40551</v>
      </c>
      <c r="C167" s="41">
        <f>VLOOKUP(B167,'Dataset-1'!B168:N778,2,)</f>
        <v>1</v>
      </c>
      <c r="D167" s="41">
        <f>VLOOKUP(C167,'Dataset-1'!C168:O778,2,)</f>
        <v>0</v>
      </c>
      <c r="E167" s="41">
        <f>VLOOKUP(D167,'Dataset-1'!D168:P778,2,)</f>
        <v>1</v>
      </c>
      <c r="F167" s="41">
        <f>VLOOKUP(E167,'Dataset-1'!E168:Q778,2,)</f>
        <v>4</v>
      </c>
      <c r="G167" s="71" t="str">
        <f>VLOOKUP(F167,'Dataset-1'!F168:R778,2,)</f>
        <v>Night</v>
      </c>
      <c r="H167" s="41" t="b">
        <f>VLOOKUP(G167,'Dataset-1'!G168:S778,2,)</f>
        <v>0</v>
      </c>
      <c r="I167" s="41">
        <f>VLOOKUP(H167,'Dataset-1'!H168:T778,2,)</f>
        <v>6</v>
      </c>
      <c r="J167" s="71" t="str">
        <f>VLOOKUP(I167,'Dataset-1'!I168:U778,2,)</f>
        <v>Friday</v>
      </c>
      <c r="K167" s="41">
        <f>VLOOKUP(J167,'Dataset-1'!J168:V778,2,)</f>
        <v>3</v>
      </c>
      <c r="L167" s="41">
        <f>VLOOKUP(K167,'Dataset-1'!K168:W778,2,)</f>
        <v>0.18</v>
      </c>
      <c r="M167" s="71" t="str">
        <f>VLOOKUP(L167,'Dataset-1'!L168:X778,2,)</f>
        <v>Rainy</v>
      </c>
      <c r="N167" s="41">
        <f>VLOOKUP(A167,'Dataset-2'!B168:H778,2,)</f>
        <v>0.19700000000000001</v>
      </c>
      <c r="O167" s="41">
        <f>VLOOKUP(N167,'Dataset-2'!C168:I778,2,)</f>
        <v>0.55000000000000004</v>
      </c>
      <c r="P167" s="41">
        <f>VLOOKUP(O167,'Dataset-2'!D168:J778,2,)</f>
        <v>0.16420000000000001</v>
      </c>
      <c r="Q167" s="41">
        <f>VLOOKUP(P167,'Dataset-2'!E168:K778,2,)</f>
        <v>0</v>
      </c>
      <c r="R167" s="41">
        <f>VLOOKUP(Q167,'Dataset-2'!F168:L778,2,)</f>
        <v>1</v>
      </c>
      <c r="S167" s="41">
        <f>VLOOKUP(R167,'Dataset-2'!G168:M778,2,)</f>
        <v>1</v>
      </c>
    </row>
    <row r="168" spans="1:19" x14ac:dyDescent="0.35">
      <c r="A168" s="40">
        <v>167</v>
      </c>
      <c r="B168" s="62">
        <f>VLOOKUP(A168,'Dataset-1'!A169:M779,2,)</f>
        <v>40551</v>
      </c>
      <c r="C168" s="41">
        <f>VLOOKUP(B168,'Dataset-1'!B169:N779,2,)</f>
        <v>1</v>
      </c>
      <c r="D168" s="41">
        <f>VLOOKUP(C168,'Dataset-1'!C169:O779,2,)</f>
        <v>0</v>
      </c>
      <c r="E168" s="41">
        <f>VLOOKUP(D168,'Dataset-1'!D169:P779,2,)</f>
        <v>1</v>
      </c>
      <c r="F168" s="41">
        <f>VLOOKUP(E168,'Dataset-1'!E169:Q779,2,)</f>
        <v>5</v>
      </c>
      <c r="G168" s="71" t="str">
        <f>VLOOKUP(F168,'Dataset-1'!F169:R779,2,)</f>
        <v>Morning</v>
      </c>
      <c r="H168" s="41" t="b">
        <f>VLOOKUP(G168,'Dataset-1'!G169:S779,2,)</f>
        <v>0</v>
      </c>
      <c r="I168" s="41">
        <f>VLOOKUP(H168,'Dataset-1'!H169:T779,2,)</f>
        <v>6</v>
      </c>
      <c r="J168" s="71" t="str">
        <f>VLOOKUP(I168,'Dataset-1'!I169:U779,2,)</f>
        <v>Friday</v>
      </c>
      <c r="K168" s="41">
        <f>VLOOKUP(J168,'Dataset-1'!J169:V779,2,)</f>
        <v>2</v>
      </c>
      <c r="L168" s="41">
        <f>VLOOKUP(K168,'Dataset-1'!K169:W779,2,)</f>
        <v>0.16</v>
      </c>
      <c r="M168" s="71" t="str">
        <f>VLOOKUP(L168,'Dataset-1'!L169:X779,2,)</f>
        <v>Rainy</v>
      </c>
      <c r="N168" s="41">
        <f>VLOOKUP(A168,'Dataset-2'!B169:H779,2,)</f>
        <v>0.16669999999999999</v>
      </c>
      <c r="O168" s="41">
        <f>VLOOKUP(N168,'Dataset-2'!C169:I779,2,)</f>
        <v>0.74</v>
      </c>
      <c r="P168" s="41">
        <f>VLOOKUP(O168,'Dataset-2'!D169:J779,2,)</f>
        <v>0.16420000000000001</v>
      </c>
      <c r="Q168" s="41">
        <f>VLOOKUP(P168,'Dataset-2'!E169:K779,2,)</f>
        <v>0</v>
      </c>
      <c r="R168" s="41">
        <f>VLOOKUP(Q168,'Dataset-2'!F169:L779,2,)</f>
        <v>5</v>
      </c>
      <c r="S168" s="41">
        <f>VLOOKUP(R168,'Dataset-2'!G169:M779,2,)</f>
        <v>5</v>
      </c>
    </row>
    <row r="169" spans="1:19" x14ac:dyDescent="0.35">
      <c r="A169" s="40">
        <v>168</v>
      </c>
      <c r="B169" s="62">
        <f>VLOOKUP(A169,'Dataset-1'!A170:M780,2,)</f>
        <v>40551</v>
      </c>
      <c r="C169" s="41">
        <f>VLOOKUP(B169,'Dataset-1'!B170:N780,2,)</f>
        <v>1</v>
      </c>
      <c r="D169" s="41">
        <f>VLOOKUP(C169,'Dataset-1'!C170:O780,2,)</f>
        <v>0</v>
      </c>
      <c r="E169" s="41">
        <f>VLOOKUP(D169,'Dataset-1'!D170:P780,2,)</f>
        <v>1</v>
      </c>
      <c r="F169" s="41">
        <f>VLOOKUP(E169,'Dataset-1'!E170:Q780,2,)</f>
        <v>6</v>
      </c>
      <c r="G169" s="71" t="str">
        <f>VLOOKUP(F169,'Dataset-1'!F170:R780,2,)</f>
        <v>Morning</v>
      </c>
      <c r="H169" s="41" t="b">
        <f>VLOOKUP(G169,'Dataset-1'!G170:S780,2,)</f>
        <v>0</v>
      </c>
      <c r="I169" s="41">
        <f>VLOOKUP(H169,'Dataset-1'!H170:T780,2,)</f>
        <v>6</v>
      </c>
      <c r="J169" s="71" t="str">
        <f>VLOOKUP(I169,'Dataset-1'!I170:U780,2,)</f>
        <v>Friday</v>
      </c>
      <c r="K169" s="41">
        <f>VLOOKUP(J169,'Dataset-1'!J170:V780,2,)</f>
        <v>2</v>
      </c>
      <c r="L169" s="41">
        <f>VLOOKUP(K169,'Dataset-1'!K170:W780,2,)</f>
        <v>0.16</v>
      </c>
      <c r="M169" s="71" t="str">
        <f>VLOOKUP(L169,'Dataset-1'!L170:X780,2,)</f>
        <v>Rainy</v>
      </c>
      <c r="N169" s="41">
        <f>VLOOKUP(A169,'Dataset-2'!B170:H780,2,)</f>
        <v>0.16669999999999999</v>
      </c>
      <c r="O169" s="41">
        <f>VLOOKUP(N169,'Dataset-2'!C170:I780,2,)</f>
        <v>0.74</v>
      </c>
      <c r="P169" s="41">
        <f>VLOOKUP(O169,'Dataset-2'!D170:J780,2,)</f>
        <v>0.16420000000000001</v>
      </c>
      <c r="Q169" s="41">
        <f>VLOOKUP(P169,'Dataset-2'!E170:K780,2,)</f>
        <v>0</v>
      </c>
      <c r="R169" s="41">
        <f>VLOOKUP(Q169,'Dataset-2'!F170:L780,2,)</f>
        <v>2</v>
      </c>
      <c r="S169" s="41">
        <f>VLOOKUP(R169,'Dataset-2'!G170:M780,2,)</f>
        <v>2</v>
      </c>
    </row>
    <row r="170" spans="1:19" x14ac:dyDescent="0.35">
      <c r="A170" s="40">
        <v>169</v>
      </c>
      <c r="B170" s="62">
        <f>VLOOKUP(A170,'Dataset-1'!A171:M781,2,)</f>
        <v>40551</v>
      </c>
      <c r="C170" s="41">
        <f>VLOOKUP(B170,'Dataset-1'!B171:N781,2,)</f>
        <v>1</v>
      </c>
      <c r="D170" s="41">
        <f>VLOOKUP(C170,'Dataset-1'!C171:O781,2,)</f>
        <v>0</v>
      </c>
      <c r="E170" s="41">
        <f>VLOOKUP(D170,'Dataset-1'!D171:P781,2,)</f>
        <v>1</v>
      </c>
      <c r="F170" s="41">
        <f>VLOOKUP(E170,'Dataset-1'!E171:Q781,2,)</f>
        <v>7</v>
      </c>
      <c r="G170" s="71" t="str">
        <f>VLOOKUP(F170,'Dataset-1'!F171:R781,2,)</f>
        <v>Morning</v>
      </c>
      <c r="H170" s="41" t="b">
        <f>VLOOKUP(G170,'Dataset-1'!G171:S781,2,)</f>
        <v>0</v>
      </c>
      <c r="I170" s="41">
        <f>VLOOKUP(H170,'Dataset-1'!H171:T781,2,)</f>
        <v>6</v>
      </c>
      <c r="J170" s="71" t="str">
        <f>VLOOKUP(I170,'Dataset-1'!I171:U781,2,)</f>
        <v>Friday</v>
      </c>
      <c r="K170" s="41">
        <f>VLOOKUP(J170,'Dataset-1'!J171:V781,2,)</f>
        <v>2</v>
      </c>
      <c r="L170" s="41">
        <f>VLOOKUP(K170,'Dataset-1'!K171:W781,2,)</f>
        <v>0.16</v>
      </c>
      <c r="M170" s="71" t="str">
        <f>VLOOKUP(L170,'Dataset-1'!L171:X781,2,)</f>
        <v>Rainy</v>
      </c>
      <c r="N170" s="41">
        <f>VLOOKUP(A170,'Dataset-2'!B171:H781,2,)</f>
        <v>0.18179999999999999</v>
      </c>
      <c r="O170" s="41">
        <f>VLOOKUP(N170,'Dataset-2'!C171:I781,2,)</f>
        <v>0.74</v>
      </c>
      <c r="P170" s="41">
        <f>VLOOKUP(O170,'Dataset-2'!D171:J781,2,)</f>
        <v>0.1045</v>
      </c>
      <c r="Q170" s="41">
        <f>VLOOKUP(P170,'Dataset-2'!E171:K781,2,)</f>
        <v>1</v>
      </c>
      <c r="R170" s="41">
        <f>VLOOKUP(Q170,'Dataset-2'!F171:L781,2,)</f>
        <v>8</v>
      </c>
      <c r="S170" s="41">
        <f>VLOOKUP(R170,'Dataset-2'!G171:M781,2,)</f>
        <v>9</v>
      </c>
    </row>
    <row r="171" spans="1:19" x14ac:dyDescent="0.35">
      <c r="A171" s="40">
        <v>170</v>
      </c>
      <c r="B171" s="62">
        <f>VLOOKUP(A171,'Dataset-1'!A172:M782,2,)</f>
        <v>40551</v>
      </c>
      <c r="C171" s="41">
        <f>VLOOKUP(B171,'Dataset-1'!B172:N782,2,)</f>
        <v>1</v>
      </c>
      <c r="D171" s="41">
        <f>VLOOKUP(C171,'Dataset-1'!C172:O782,2,)</f>
        <v>0</v>
      </c>
      <c r="E171" s="41">
        <f>VLOOKUP(D171,'Dataset-1'!D172:P782,2,)</f>
        <v>1</v>
      </c>
      <c r="F171" s="41">
        <f>VLOOKUP(E171,'Dataset-1'!E172:Q782,2,)</f>
        <v>8</v>
      </c>
      <c r="G171" s="71" t="str">
        <f>VLOOKUP(F171,'Dataset-1'!F172:R782,2,)</f>
        <v>Morning</v>
      </c>
      <c r="H171" s="41" t="b">
        <f>VLOOKUP(G171,'Dataset-1'!G172:S782,2,)</f>
        <v>0</v>
      </c>
      <c r="I171" s="41">
        <f>VLOOKUP(H171,'Dataset-1'!H172:T782,2,)</f>
        <v>6</v>
      </c>
      <c r="J171" s="71" t="str">
        <f>VLOOKUP(I171,'Dataset-1'!I172:U782,2,)</f>
        <v>Friday</v>
      </c>
      <c r="K171" s="41">
        <f>VLOOKUP(J171,'Dataset-1'!J172:V782,2,)</f>
        <v>3</v>
      </c>
      <c r="L171" s="41">
        <f>VLOOKUP(K171,'Dataset-1'!K172:W782,2,)</f>
        <v>0.16</v>
      </c>
      <c r="M171" s="71" t="str">
        <f>VLOOKUP(L171,'Dataset-1'!L172:X782,2,)</f>
        <v>Rainy</v>
      </c>
      <c r="N171" s="41">
        <f>VLOOKUP(A171,'Dataset-2'!B172:H782,2,)</f>
        <v>0.18179999999999999</v>
      </c>
      <c r="O171" s="41">
        <f>VLOOKUP(N171,'Dataset-2'!C172:I782,2,)</f>
        <v>0.93</v>
      </c>
      <c r="P171" s="41">
        <f>VLOOKUP(O171,'Dataset-2'!D172:J782,2,)</f>
        <v>0.1045</v>
      </c>
      <c r="Q171" s="41">
        <f>VLOOKUP(P171,'Dataset-2'!E172:K782,2,)</f>
        <v>0</v>
      </c>
      <c r="R171" s="41">
        <f>VLOOKUP(Q171,'Dataset-2'!F172:L782,2,)</f>
        <v>15</v>
      </c>
      <c r="S171" s="41">
        <f>VLOOKUP(R171,'Dataset-2'!G172:M782,2,)</f>
        <v>15</v>
      </c>
    </row>
    <row r="172" spans="1:19" x14ac:dyDescent="0.35">
      <c r="A172" s="40">
        <v>171</v>
      </c>
      <c r="B172" s="62">
        <f>VLOOKUP(A172,'Dataset-1'!A173:M783,2,)</f>
        <v>40551</v>
      </c>
      <c r="C172" s="41">
        <f>VLOOKUP(B172,'Dataset-1'!B173:N783,2,)</f>
        <v>1</v>
      </c>
      <c r="D172" s="41">
        <f>VLOOKUP(C172,'Dataset-1'!C173:O783,2,)</f>
        <v>0</v>
      </c>
      <c r="E172" s="41">
        <f>VLOOKUP(D172,'Dataset-1'!D173:P783,2,)</f>
        <v>1</v>
      </c>
      <c r="F172" s="41">
        <f>VLOOKUP(E172,'Dataset-1'!E173:Q783,2,)</f>
        <v>9</v>
      </c>
      <c r="G172" s="71" t="str">
        <f>VLOOKUP(F172,'Dataset-1'!F173:R783,2,)</f>
        <v>Morning</v>
      </c>
      <c r="H172" s="41" t="b">
        <f>VLOOKUP(G172,'Dataset-1'!G173:S783,2,)</f>
        <v>0</v>
      </c>
      <c r="I172" s="41">
        <f>VLOOKUP(H172,'Dataset-1'!H173:T783,2,)</f>
        <v>6</v>
      </c>
      <c r="J172" s="71" t="str">
        <f>VLOOKUP(I172,'Dataset-1'!I173:U783,2,)</f>
        <v>Friday</v>
      </c>
      <c r="K172" s="41">
        <f>VLOOKUP(J172,'Dataset-1'!J173:V783,2,)</f>
        <v>3</v>
      </c>
      <c r="L172" s="41">
        <f>VLOOKUP(K172,'Dataset-1'!K173:W783,2,)</f>
        <v>0.16</v>
      </c>
      <c r="M172" s="71" t="str">
        <f>VLOOKUP(L172,'Dataset-1'!L173:X783,2,)</f>
        <v>Rainy</v>
      </c>
      <c r="N172" s="41">
        <f>VLOOKUP(A172,'Dataset-2'!B173:H783,2,)</f>
        <v>0.18179999999999999</v>
      </c>
      <c r="O172" s="41">
        <f>VLOOKUP(N172,'Dataset-2'!C173:I783,2,)</f>
        <v>0.93</v>
      </c>
      <c r="P172" s="41">
        <f>VLOOKUP(O172,'Dataset-2'!D173:J783,2,)</f>
        <v>0.1045</v>
      </c>
      <c r="Q172" s="41">
        <f>VLOOKUP(P172,'Dataset-2'!E173:K783,2,)</f>
        <v>0</v>
      </c>
      <c r="R172" s="41">
        <f>VLOOKUP(Q172,'Dataset-2'!F173:L783,2,)</f>
        <v>20</v>
      </c>
      <c r="S172" s="41">
        <f>VLOOKUP(R172,'Dataset-2'!G173:M783,2,)</f>
        <v>20</v>
      </c>
    </row>
    <row r="173" spans="1:19" x14ac:dyDescent="0.35">
      <c r="A173" s="40">
        <v>172</v>
      </c>
      <c r="B173" s="62">
        <f>VLOOKUP(A173,'Dataset-1'!A174:M784,2,)</f>
        <v>40551</v>
      </c>
      <c r="C173" s="41">
        <f>VLOOKUP(B173,'Dataset-1'!B174:N784,2,)</f>
        <v>1</v>
      </c>
      <c r="D173" s="41">
        <f>VLOOKUP(C173,'Dataset-1'!C174:O784,2,)</f>
        <v>0</v>
      </c>
      <c r="E173" s="41">
        <f>VLOOKUP(D173,'Dataset-1'!D174:P784,2,)</f>
        <v>1</v>
      </c>
      <c r="F173" s="41">
        <f>VLOOKUP(E173,'Dataset-1'!E174:Q784,2,)</f>
        <v>10</v>
      </c>
      <c r="G173" s="71" t="str">
        <f>VLOOKUP(F173,'Dataset-1'!F174:R784,2,)</f>
        <v>Morning</v>
      </c>
      <c r="H173" s="41" t="b">
        <f>VLOOKUP(G173,'Dataset-1'!G174:S784,2,)</f>
        <v>0</v>
      </c>
      <c r="I173" s="41">
        <f>VLOOKUP(H173,'Dataset-1'!H174:T784,2,)</f>
        <v>6</v>
      </c>
      <c r="J173" s="71" t="str">
        <f>VLOOKUP(I173,'Dataset-1'!I174:U784,2,)</f>
        <v>Friday</v>
      </c>
      <c r="K173" s="41">
        <f>VLOOKUP(J173,'Dataset-1'!J174:V784,2,)</f>
        <v>2</v>
      </c>
      <c r="L173" s="41">
        <f>VLOOKUP(K173,'Dataset-1'!K174:W784,2,)</f>
        <v>0.18</v>
      </c>
      <c r="M173" s="71" t="str">
        <f>VLOOKUP(L173,'Dataset-1'!L174:X784,2,)</f>
        <v>Rainy</v>
      </c>
      <c r="N173" s="41">
        <f>VLOOKUP(A173,'Dataset-2'!B174:H784,2,)</f>
        <v>0.19700000000000001</v>
      </c>
      <c r="O173" s="41">
        <f>VLOOKUP(N173,'Dataset-2'!C174:I784,2,)</f>
        <v>0.8</v>
      </c>
      <c r="P173" s="41">
        <f>VLOOKUP(O173,'Dataset-2'!D174:J784,2,)</f>
        <v>0.16420000000000001</v>
      </c>
      <c r="Q173" s="41">
        <f>VLOOKUP(P173,'Dataset-2'!E174:K784,2,)</f>
        <v>5</v>
      </c>
      <c r="R173" s="41">
        <f>VLOOKUP(Q173,'Dataset-2'!F174:L784,2,)</f>
        <v>56</v>
      </c>
      <c r="S173" s="41">
        <f>VLOOKUP(R173,'Dataset-2'!G174:M784,2,)</f>
        <v>61</v>
      </c>
    </row>
    <row r="174" spans="1:19" x14ac:dyDescent="0.35">
      <c r="A174" s="40">
        <v>173</v>
      </c>
      <c r="B174" s="62">
        <f>VLOOKUP(A174,'Dataset-1'!A175:M785,2,)</f>
        <v>40551</v>
      </c>
      <c r="C174" s="41">
        <f>VLOOKUP(B174,'Dataset-1'!B175:N785,2,)</f>
        <v>1</v>
      </c>
      <c r="D174" s="41">
        <f>VLOOKUP(C174,'Dataset-1'!C175:O785,2,)</f>
        <v>0</v>
      </c>
      <c r="E174" s="41">
        <f>VLOOKUP(D174,'Dataset-1'!D175:P785,2,)</f>
        <v>1</v>
      </c>
      <c r="F174" s="41">
        <f>VLOOKUP(E174,'Dataset-1'!E175:Q785,2,)</f>
        <v>11</v>
      </c>
      <c r="G174" s="71" t="str">
        <f>VLOOKUP(F174,'Dataset-1'!F175:R785,2,)</f>
        <v>Morning</v>
      </c>
      <c r="H174" s="41" t="b">
        <f>VLOOKUP(G174,'Dataset-1'!G175:S785,2,)</f>
        <v>0</v>
      </c>
      <c r="I174" s="41">
        <f>VLOOKUP(H174,'Dataset-1'!H175:T785,2,)</f>
        <v>6</v>
      </c>
      <c r="J174" s="71" t="str">
        <f>VLOOKUP(I174,'Dataset-1'!I175:U785,2,)</f>
        <v>Friday</v>
      </c>
      <c r="K174" s="41">
        <f>VLOOKUP(J174,'Dataset-1'!J175:V785,2,)</f>
        <v>2</v>
      </c>
      <c r="L174" s="41">
        <f>VLOOKUP(K174,'Dataset-1'!K175:W785,2,)</f>
        <v>0.2</v>
      </c>
      <c r="M174" s="71" t="str">
        <f>VLOOKUP(L174,'Dataset-1'!L175:X785,2,)</f>
        <v>Rainy</v>
      </c>
      <c r="N174" s="41">
        <f>VLOOKUP(A174,'Dataset-2'!B175:H785,2,)</f>
        <v>0.18179999999999999</v>
      </c>
      <c r="O174" s="41">
        <f>VLOOKUP(N174,'Dataset-2'!C175:I785,2,)</f>
        <v>0.69</v>
      </c>
      <c r="P174" s="41">
        <f>VLOOKUP(O174,'Dataset-2'!D175:J785,2,)</f>
        <v>0.3881</v>
      </c>
      <c r="Q174" s="41">
        <f>VLOOKUP(P174,'Dataset-2'!E175:K785,2,)</f>
        <v>2</v>
      </c>
      <c r="R174" s="41">
        <f>VLOOKUP(Q174,'Dataset-2'!F175:L785,2,)</f>
        <v>60</v>
      </c>
      <c r="S174" s="41">
        <f>VLOOKUP(R174,'Dataset-2'!G175:M785,2,)</f>
        <v>62</v>
      </c>
    </row>
    <row r="175" spans="1:19" x14ac:dyDescent="0.35">
      <c r="A175" s="40">
        <v>174</v>
      </c>
      <c r="B175" s="62">
        <f>VLOOKUP(A175,'Dataset-1'!A176:M786,2,)</f>
        <v>40551</v>
      </c>
      <c r="C175" s="41">
        <f>VLOOKUP(B175,'Dataset-1'!B176:N786,2,)</f>
        <v>1</v>
      </c>
      <c r="D175" s="41">
        <f>VLOOKUP(C175,'Dataset-1'!C176:O786,2,)</f>
        <v>0</v>
      </c>
      <c r="E175" s="41">
        <f>VLOOKUP(D175,'Dataset-1'!D176:P786,2,)</f>
        <v>1</v>
      </c>
      <c r="F175" s="41">
        <f>VLOOKUP(E175,'Dataset-1'!E176:Q786,2,)</f>
        <v>12</v>
      </c>
      <c r="G175" s="71" t="str">
        <f>VLOOKUP(F175,'Dataset-1'!F176:R786,2,)</f>
        <v>AfterNoon</v>
      </c>
      <c r="H175" s="41" t="b">
        <f>VLOOKUP(G175,'Dataset-1'!G176:S786,2,)</f>
        <v>0</v>
      </c>
      <c r="I175" s="41">
        <f>VLOOKUP(H175,'Dataset-1'!H176:T786,2,)</f>
        <v>6</v>
      </c>
      <c r="J175" s="71" t="str">
        <f>VLOOKUP(I175,'Dataset-1'!I176:U786,2,)</f>
        <v>Friday</v>
      </c>
      <c r="K175" s="41">
        <f>VLOOKUP(J175,'Dataset-1'!J176:V786,2,)</f>
        <v>2</v>
      </c>
      <c r="L175" s="41">
        <f>VLOOKUP(K175,'Dataset-1'!K176:W786,2,)</f>
        <v>0.2</v>
      </c>
      <c r="M175" s="71" t="str">
        <f>VLOOKUP(L175,'Dataset-1'!L176:X786,2,)</f>
        <v>Rainy</v>
      </c>
      <c r="N175" s="41">
        <f>VLOOKUP(A175,'Dataset-2'!B176:H786,2,)</f>
        <v>0.18179999999999999</v>
      </c>
      <c r="O175" s="41">
        <f>VLOOKUP(N175,'Dataset-2'!C176:I786,2,)</f>
        <v>0.59</v>
      </c>
      <c r="P175" s="41">
        <f>VLOOKUP(O175,'Dataset-2'!D176:J786,2,)</f>
        <v>0.35820000000000002</v>
      </c>
      <c r="Q175" s="41">
        <f>VLOOKUP(P175,'Dataset-2'!E176:K786,2,)</f>
        <v>8</v>
      </c>
      <c r="R175" s="41">
        <f>VLOOKUP(Q175,'Dataset-2'!F176:L786,2,)</f>
        <v>90</v>
      </c>
      <c r="S175" s="41">
        <f>VLOOKUP(R175,'Dataset-2'!G176:M786,2,)</f>
        <v>98</v>
      </c>
    </row>
    <row r="176" spans="1:19" x14ac:dyDescent="0.35">
      <c r="A176" s="40">
        <v>175</v>
      </c>
      <c r="B176" s="62">
        <f>VLOOKUP(A176,'Dataset-1'!A177:M787,2,)</f>
        <v>40551</v>
      </c>
      <c r="C176" s="41">
        <f>VLOOKUP(B176,'Dataset-1'!B177:N787,2,)</f>
        <v>1</v>
      </c>
      <c r="D176" s="41">
        <f>VLOOKUP(C176,'Dataset-1'!C177:O787,2,)</f>
        <v>0</v>
      </c>
      <c r="E176" s="41">
        <f>VLOOKUP(D176,'Dataset-1'!D177:P787,2,)</f>
        <v>1</v>
      </c>
      <c r="F176" s="41">
        <f>VLOOKUP(E176,'Dataset-1'!E177:Q787,2,)</f>
        <v>13</v>
      </c>
      <c r="G176" s="71" t="str">
        <f>VLOOKUP(F176,'Dataset-1'!F177:R787,2,)</f>
        <v>AfterNoon</v>
      </c>
      <c r="H176" s="41" t="b">
        <f>VLOOKUP(G176,'Dataset-1'!G177:S787,2,)</f>
        <v>0</v>
      </c>
      <c r="I176" s="41">
        <f>VLOOKUP(H176,'Dataset-1'!H177:T787,2,)</f>
        <v>6</v>
      </c>
      <c r="J176" s="71" t="str">
        <f>VLOOKUP(I176,'Dataset-1'!I177:U787,2,)</f>
        <v>Friday</v>
      </c>
      <c r="K176" s="41">
        <f>VLOOKUP(J176,'Dataset-1'!J177:V787,2,)</f>
        <v>1</v>
      </c>
      <c r="L176" s="41">
        <f>VLOOKUP(K176,'Dataset-1'!K177:W787,2,)</f>
        <v>0.2</v>
      </c>
      <c r="M176" s="71" t="str">
        <f>VLOOKUP(L176,'Dataset-1'!L177:X787,2,)</f>
        <v>Rainy</v>
      </c>
      <c r="N176" s="41">
        <f>VLOOKUP(A176,'Dataset-2'!B177:H787,2,)</f>
        <v>0.18179999999999999</v>
      </c>
      <c r="O176" s="41">
        <f>VLOOKUP(N176,'Dataset-2'!C177:I787,2,)</f>
        <v>0.44</v>
      </c>
      <c r="P176" s="41">
        <f>VLOOKUP(O176,'Dataset-2'!D177:J787,2,)</f>
        <v>0.32840000000000003</v>
      </c>
      <c r="Q176" s="41">
        <f>VLOOKUP(P176,'Dataset-2'!E177:K787,2,)</f>
        <v>7</v>
      </c>
      <c r="R176" s="41">
        <f>VLOOKUP(Q176,'Dataset-2'!F177:L787,2,)</f>
        <v>95</v>
      </c>
      <c r="S176" s="41">
        <f>VLOOKUP(R176,'Dataset-2'!G177:M787,2,)</f>
        <v>102</v>
      </c>
    </row>
    <row r="177" spans="1:19" x14ac:dyDescent="0.35">
      <c r="A177" s="40">
        <v>176</v>
      </c>
      <c r="B177" s="62">
        <f>VLOOKUP(A177,'Dataset-1'!A178:M788,2,)</f>
        <v>40551</v>
      </c>
      <c r="C177" s="41">
        <f>VLOOKUP(B177,'Dataset-1'!B178:N788,2,)</f>
        <v>1</v>
      </c>
      <c r="D177" s="41">
        <f>VLOOKUP(C177,'Dataset-1'!C178:O788,2,)</f>
        <v>0</v>
      </c>
      <c r="E177" s="41">
        <f>VLOOKUP(D177,'Dataset-1'!D178:P788,2,)</f>
        <v>1</v>
      </c>
      <c r="F177" s="41">
        <f>VLOOKUP(E177,'Dataset-1'!E178:Q788,2,)</f>
        <v>14</v>
      </c>
      <c r="G177" s="71" t="str">
        <f>VLOOKUP(F177,'Dataset-1'!F178:R788,2,)</f>
        <v>AfterNoon</v>
      </c>
      <c r="H177" s="41" t="b">
        <f>VLOOKUP(G177,'Dataset-1'!G178:S788,2,)</f>
        <v>0</v>
      </c>
      <c r="I177" s="41">
        <f>VLOOKUP(H177,'Dataset-1'!H178:T788,2,)</f>
        <v>6</v>
      </c>
      <c r="J177" s="71" t="str">
        <f>VLOOKUP(I177,'Dataset-1'!I178:U788,2,)</f>
        <v>Friday</v>
      </c>
      <c r="K177" s="41">
        <f>VLOOKUP(J177,'Dataset-1'!J178:V788,2,)</f>
        <v>1</v>
      </c>
      <c r="L177" s="41">
        <f>VLOOKUP(K177,'Dataset-1'!K178:W788,2,)</f>
        <v>0.2</v>
      </c>
      <c r="M177" s="71" t="str">
        <f>VLOOKUP(L177,'Dataset-1'!L178:X788,2,)</f>
        <v>Rainy</v>
      </c>
      <c r="N177" s="41">
        <f>VLOOKUP(A177,'Dataset-2'!B178:H788,2,)</f>
        <v>0.16669999999999999</v>
      </c>
      <c r="O177" s="41">
        <f>VLOOKUP(N177,'Dataset-2'!C178:I788,2,)</f>
        <v>0.32</v>
      </c>
      <c r="P177" s="41">
        <f>VLOOKUP(O177,'Dataset-2'!D178:J788,2,)</f>
        <v>0.49249999999999999</v>
      </c>
      <c r="Q177" s="41">
        <f>VLOOKUP(P177,'Dataset-2'!E178:K788,2,)</f>
        <v>12</v>
      </c>
      <c r="R177" s="41">
        <f>VLOOKUP(Q177,'Dataset-2'!F178:L788,2,)</f>
        <v>83</v>
      </c>
      <c r="S177" s="41">
        <f>VLOOKUP(R177,'Dataset-2'!G178:M788,2,)</f>
        <v>95</v>
      </c>
    </row>
    <row r="178" spans="1:19" x14ac:dyDescent="0.35">
      <c r="A178" s="40">
        <v>177</v>
      </c>
      <c r="B178" s="62">
        <f>VLOOKUP(A178,'Dataset-1'!A179:M789,2,)</f>
        <v>40551</v>
      </c>
      <c r="C178" s="41">
        <f>VLOOKUP(B178,'Dataset-1'!B179:N789,2,)</f>
        <v>1</v>
      </c>
      <c r="D178" s="41">
        <f>VLOOKUP(C178,'Dataset-1'!C179:O789,2,)</f>
        <v>0</v>
      </c>
      <c r="E178" s="41">
        <f>VLOOKUP(D178,'Dataset-1'!D179:P789,2,)</f>
        <v>1</v>
      </c>
      <c r="F178" s="41">
        <f>VLOOKUP(E178,'Dataset-1'!E179:Q789,2,)</f>
        <v>15</v>
      </c>
      <c r="G178" s="71" t="str">
        <f>VLOOKUP(F178,'Dataset-1'!F179:R789,2,)</f>
        <v>AfterNoon</v>
      </c>
      <c r="H178" s="41" t="b">
        <f>VLOOKUP(G178,'Dataset-1'!G179:S789,2,)</f>
        <v>0</v>
      </c>
      <c r="I178" s="41">
        <f>VLOOKUP(H178,'Dataset-1'!H179:T789,2,)</f>
        <v>6</v>
      </c>
      <c r="J178" s="71" t="str">
        <f>VLOOKUP(I178,'Dataset-1'!I179:U789,2,)</f>
        <v>Friday</v>
      </c>
      <c r="K178" s="41">
        <f>VLOOKUP(J178,'Dataset-1'!J179:V789,2,)</f>
        <v>1</v>
      </c>
      <c r="L178" s="41">
        <f>VLOOKUP(K178,'Dataset-1'!K179:W789,2,)</f>
        <v>0.2</v>
      </c>
      <c r="M178" s="71" t="str">
        <f>VLOOKUP(L178,'Dataset-1'!L179:X789,2,)</f>
        <v>Rainy</v>
      </c>
      <c r="N178" s="41">
        <f>VLOOKUP(A178,'Dataset-2'!B179:H789,2,)</f>
        <v>0.16669999999999999</v>
      </c>
      <c r="O178" s="41">
        <f>VLOOKUP(N178,'Dataset-2'!C179:I789,2,)</f>
        <v>0.32</v>
      </c>
      <c r="P178" s="41">
        <f>VLOOKUP(O178,'Dataset-2'!D179:J789,2,)</f>
        <v>0.44779999999999998</v>
      </c>
      <c r="Q178" s="41">
        <f>VLOOKUP(P178,'Dataset-2'!E179:K789,2,)</f>
        <v>5</v>
      </c>
      <c r="R178" s="41">
        <f>VLOOKUP(Q178,'Dataset-2'!F179:L789,2,)</f>
        <v>69</v>
      </c>
      <c r="S178" s="41">
        <f>VLOOKUP(R178,'Dataset-2'!G179:M789,2,)</f>
        <v>74</v>
      </c>
    </row>
    <row r="179" spans="1:19" x14ac:dyDescent="0.35">
      <c r="A179" s="40">
        <v>178</v>
      </c>
      <c r="B179" s="62">
        <f>VLOOKUP(A179,'Dataset-1'!A180:M790,2,)</f>
        <v>40551</v>
      </c>
      <c r="C179" s="41">
        <f>VLOOKUP(B179,'Dataset-1'!B180:N790,2,)</f>
        <v>1</v>
      </c>
      <c r="D179" s="41">
        <f>VLOOKUP(C179,'Dataset-1'!C180:O790,2,)</f>
        <v>0</v>
      </c>
      <c r="E179" s="41">
        <f>VLOOKUP(D179,'Dataset-1'!D180:P790,2,)</f>
        <v>1</v>
      </c>
      <c r="F179" s="41">
        <f>VLOOKUP(E179,'Dataset-1'!E180:Q790,2,)</f>
        <v>16</v>
      </c>
      <c r="G179" s="71" t="str">
        <f>VLOOKUP(F179,'Dataset-1'!F180:R790,2,)</f>
        <v>AfterNoon</v>
      </c>
      <c r="H179" s="41" t="b">
        <f>VLOOKUP(G179,'Dataset-1'!G180:S790,2,)</f>
        <v>0</v>
      </c>
      <c r="I179" s="41">
        <f>VLOOKUP(H179,'Dataset-1'!H180:T790,2,)</f>
        <v>6</v>
      </c>
      <c r="J179" s="71" t="str">
        <f>VLOOKUP(I179,'Dataset-1'!I180:U790,2,)</f>
        <v>Friday</v>
      </c>
      <c r="K179" s="41">
        <f>VLOOKUP(J179,'Dataset-1'!J180:V790,2,)</f>
        <v>1</v>
      </c>
      <c r="L179" s="41">
        <f>VLOOKUP(K179,'Dataset-1'!K180:W790,2,)</f>
        <v>0.18</v>
      </c>
      <c r="M179" s="71" t="str">
        <f>VLOOKUP(L179,'Dataset-1'!L180:X790,2,)</f>
        <v>Rainy</v>
      </c>
      <c r="N179" s="41">
        <f>VLOOKUP(A179,'Dataset-2'!B180:H790,2,)</f>
        <v>0.13639999999999999</v>
      </c>
      <c r="O179" s="41">
        <f>VLOOKUP(N179,'Dataset-2'!C180:I790,2,)</f>
        <v>0.28999999999999998</v>
      </c>
      <c r="P179" s="41">
        <f>VLOOKUP(O179,'Dataset-2'!D180:J790,2,)</f>
        <v>0.44779999999999998</v>
      </c>
      <c r="Q179" s="41">
        <f>VLOOKUP(P179,'Dataset-2'!E180:K790,2,)</f>
        <v>8</v>
      </c>
      <c r="R179" s="41">
        <f>VLOOKUP(Q179,'Dataset-2'!F180:L790,2,)</f>
        <v>68</v>
      </c>
      <c r="S179" s="41">
        <f>VLOOKUP(R179,'Dataset-2'!G180:M790,2,)</f>
        <v>76</v>
      </c>
    </row>
    <row r="180" spans="1:19" x14ac:dyDescent="0.35">
      <c r="A180" s="40">
        <v>179</v>
      </c>
      <c r="B180" s="62">
        <f>VLOOKUP(A180,'Dataset-1'!A181:M791,2,)</f>
        <v>40551</v>
      </c>
      <c r="C180" s="41">
        <f>VLOOKUP(B180,'Dataset-1'!B181:N791,2,)</f>
        <v>1</v>
      </c>
      <c r="D180" s="41">
        <f>VLOOKUP(C180,'Dataset-1'!C181:O791,2,)</f>
        <v>0</v>
      </c>
      <c r="E180" s="41">
        <f>VLOOKUP(D180,'Dataset-1'!D181:P791,2,)</f>
        <v>1</v>
      </c>
      <c r="F180" s="41">
        <f>VLOOKUP(E180,'Dataset-1'!E181:Q791,2,)</f>
        <v>17</v>
      </c>
      <c r="G180" s="71" t="str">
        <f>VLOOKUP(F180,'Dataset-1'!F181:R791,2,)</f>
        <v>Evening</v>
      </c>
      <c r="H180" s="41" t="b">
        <f>VLOOKUP(G180,'Dataset-1'!G181:S791,2,)</f>
        <v>0</v>
      </c>
      <c r="I180" s="41">
        <f>VLOOKUP(H180,'Dataset-1'!H181:T791,2,)</f>
        <v>6</v>
      </c>
      <c r="J180" s="71" t="str">
        <f>VLOOKUP(I180,'Dataset-1'!I181:U791,2,)</f>
        <v>Friday</v>
      </c>
      <c r="K180" s="41">
        <f>VLOOKUP(J180,'Dataset-1'!J181:V791,2,)</f>
        <v>1</v>
      </c>
      <c r="L180" s="41">
        <f>VLOOKUP(K180,'Dataset-1'!K181:W791,2,)</f>
        <v>0.16</v>
      </c>
      <c r="M180" s="71" t="str">
        <f>VLOOKUP(L180,'Dataset-1'!L181:X791,2,)</f>
        <v>Rainy</v>
      </c>
      <c r="N180" s="41">
        <f>VLOOKUP(A180,'Dataset-2'!B181:H791,2,)</f>
        <v>0.1212</v>
      </c>
      <c r="O180" s="41">
        <f>VLOOKUP(N180,'Dataset-2'!C181:I791,2,)</f>
        <v>0.37</v>
      </c>
      <c r="P180" s="41">
        <f>VLOOKUP(O180,'Dataset-2'!D181:J791,2,)</f>
        <v>0.55220000000000002</v>
      </c>
      <c r="Q180" s="41">
        <f>VLOOKUP(P180,'Dataset-2'!E181:K791,2,)</f>
        <v>5</v>
      </c>
      <c r="R180" s="41">
        <f>VLOOKUP(Q180,'Dataset-2'!F181:L791,2,)</f>
        <v>64</v>
      </c>
      <c r="S180" s="41">
        <f>VLOOKUP(R180,'Dataset-2'!G181:M791,2,)</f>
        <v>69</v>
      </c>
    </row>
    <row r="181" spans="1:19" x14ac:dyDescent="0.35">
      <c r="A181" s="40">
        <v>180</v>
      </c>
      <c r="B181" s="62">
        <f>VLOOKUP(A181,'Dataset-1'!A182:M792,2,)</f>
        <v>40551</v>
      </c>
      <c r="C181" s="41">
        <f>VLOOKUP(B181,'Dataset-1'!B182:N792,2,)</f>
        <v>1</v>
      </c>
      <c r="D181" s="41">
        <f>VLOOKUP(C181,'Dataset-1'!C182:O792,2,)</f>
        <v>0</v>
      </c>
      <c r="E181" s="41">
        <f>VLOOKUP(D181,'Dataset-1'!D182:P792,2,)</f>
        <v>1</v>
      </c>
      <c r="F181" s="41">
        <f>VLOOKUP(E181,'Dataset-1'!E182:Q792,2,)</f>
        <v>18</v>
      </c>
      <c r="G181" s="71" t="str">
        <f>VLOOKUP(F181,'Dataset-1'!F182:R792,2,)</f>
        <v>Evening</v>
      </c>
      <c r="H181" s="41" t="b">
        <f>VLOOKUP(G181,'Dataset-1'!G182:S792,2,)</f>
        <v>0</v>
      </c>
      <c r="I181" s="41">
        <f>VLOOKUP(H181,'Dataset-1'!H182:T792,2,)</f>
        <v>6</v>
      </c>
      <c r="J181" s="71" t="str">
        <f>VLOOKUP(I181,'Dataset-1'!I182:U792,2,)</f>
        <v>Friday</v>
      </c>
      <c r="K181" s="41">
        <f>VLOOKUP(J181,'Dataset-1'!J182:V792,2,)</f>
        <v>1</v>
      </c>
      <c r="L181" s="41">
        <f>VLOOKUP(K181,'Dataset-1'!K182:W792,2,)</f>
        <v>0.14000000000000001</v>
      </c>
      <c r="M181" s="71" t="str">
        <f>VLOOKUP(L181,'Dataset-1'!L182:X792,2,)</f>
        <v>Rainy</v>
      </c>
      <c r="N181" s="41">
        <f>VLOOKUP(A181,'Dataset-2'!B182:H792,2,)</f>
        <v>0.1212</v>
      </c>
      <c r="O181" s="41">
        <f>VLOOKUP(N181,'Dataset-2'!C182:I792,2,)</f>
        <v>0.39</v>
      </c>
      <c r="P181" s="41">
        <f>VLOOKUP(O181,'Dataset-2'!D182:J792,2,)</f>
        <v>0.29849999999999999</v>
      </c>
      <c r="Q181" s="41">
        <f>VLOOKUP(P181,'Dataset-2'!E182:K792,2,)</f>
        <v>3</v>
      </c>
      <c r="R181" s="41">
        <f>VLOOKUP(Q181,'Dataset-2'!F182:L792,2,)</f>
        <v>52</v>
      </c>
      <c r="S181" s="41">
        <f>VLOOKUP(R181,'Dataset-2'!G182:M792,2,)</f>
        <v>55</v>
      </c>
    </row>
    <row r="182" spans="1:19" x14ac:dyDescent="0.35">
      <c r="A182" s="40">
        <v>181</v>
      </c>
      <c r="B182" s="62">
        <f>VLOOKUP(A182,'Dataset-1'!A183:M793,2,)</f>
        <v>40551</v>
      </c>
      <c r="C182" s="41">
        <f>VLOOKUP(B182,'Dataset-1'!B183:N793,2,)</f>
        <v>1</v>
      </c>
      <c r="D182" s="41">
        <f>VLOOKUP(C182,'Dataset-1'!C183:O793,2,)</f>
        <v>0</v>
      </c>
      <c r="E182" s="41">
        <f>VLOOKUP(D182,'Dataset-1'!D183:P793,2,)</f>
        <v>1</v>
      </c>
      <c r="F182" s="41">
        <f>VLOOKUP(E182,'Dataset-1'!E183:Q793,2,)</f>
        <v>19</v>
      </c>
      <c r="G182" s="71" t="str">
        <f>VLOOKUP(F182,'Dataset-1'!F183:R793,2,)</f>
        <v>Evening</v>
      </c>
      <c r="H182" s="41" t="b">
        <f>VLOOKUP(G182,'Dataset-1'!G183:S793,2,)</f>
        <v>0</v>
      </c>
      <c r="I182" s="41">
        <f>VLOOKUP(H182,'Dataset-1'!H183:T793,2,)</f>
        <v>6</v>
      </c>
      <c r="J182" s="71" t="str">
        <f>VLOOKUP(I182,'Dataset-1'!I183:U793,2,)</f>
        <v>Friday</v>
      </c>
      <c r="K182" s="41">
        <f>VLOOKUP(J182,'Dataset-1'!J183:V793,2,)</f>
        <v>1</v>
      </c>
      <c r="L182" s="41">
        <f>VLOOKUP(K182,'Dataset-1'!K183:W793,2,)</f>
        <v>0.14000000000000001</v>
      </c>
      <c r="M182" s="71" t="str">
        <f>VLOOKUP(L182,'Dataset-1'!L183:X793,2,)</f>
        <v>Rainy</v>
      </c>
      <c r="N182" s="41">
        <f>VLOOKUP(A182,'Dataset-2'!B183:H793,2,)</f>
        <v>0.1212</v>
      </c>
      <c r="O182" s="41">
        <f>VLOOKUP(N182,'Dataset-2'!C183:I793,2,)</f>
        <v>0.36</v>
      </c>
      <c r="P182" s="41">
        <f>VLOOKUP(O182,'Dataset-2'!D183:J793,2,)</f>
        <v>0.25369999999999998</v>
      </c>
      <c r="Q182" s="41">
        <f>VLOOKUP(P182,'Dataset-2'!E183:K793,2,)</f>
        <v>4</v>
      </c>
      <c r="R182" s="41">
        <f>VLOOKUP(Q182,'Dataset-2'!F183:L793,2,)</f>
        <v>26</v>
      </c>
      <c r="S182" s="41">
        <f>VLOOKUP(R182,'Dataset-2'!G183:M793,2,)</f>
        <v>30</v>
      </c>
    </row>
    <row r="183" spans="1:19" x14ac:dyDescent="0.35">
      <c r="A183" s="40">
        <v>182</v>
      </c>
      <c r="B183" s="62">
        <f>VLOOKUP(A183,'Dataset-1'!A184:M794,2,)</f>
        <v>40551</v>
      </c>
      <c r="C183" s="41">
        <f>VLOOKUP(B183,'Dataset-1'!B184:N794,2,)</f>
        <v>1</v>
      </c>
      <c r="D183" s="41">
        <f>VLOOKUP(C183,'Dataset-1'!C184:O794,2,)</f>
        <v>0</v>
      </c>
      <c r="E183" s="41">
        <f>VLOOKUP(D183,'Dataset-1'!D184:P794,2,)</f>
        <v>1</v>
      </c>
      <c r="F183" s="41">
        <f>VLOOKUP(E183,'Dataset-1'!E184:Q794,2,)</f>
        <v>20</v>
      </c>
      <c r="G183" s="71" t="str">
        <f>VLOOKUP(F183,'Dataset-1'!F184:R794,2,)</f>
        <v>Night</v>
      </c>
      <c r="H183" s="41" t="b">
        <f>VLOOKUP(G183,'Dataset-1'!G184:S794,2,)</f>
        <v>0</v>
      </c>
      <c r="I183" s="41">
        <f>VLOOKUP(H183,'Dataset-1'!H184:T794,2,)</f>
        <v>6</v>
      </c>
      <c r="J183" s="71" t="str">
        <f>VLOOKUP(I183,'Dataset-1'!I184:U794,2,)</f>
        <v>Friday</v>
      </c>
      <c r="K183" s="41">
        <f>VLOOKUP(J183,'Dataset-1'!J184:V794,2,)</f>
        <v>1</v>
      </c>
      <c r="L183" s="41">
        <f>VLOOKUP(K183,'Dataset-1'!K184:W794,2,)</f>
        <v>0.12</v>
      </c>
      <c r="M183" s="71" t="str">
        <f>VLOOKUP(L183,'Dataset-1'!L184:X794,2,)</f>
        <v>Rainy</v>
      </c>
      <c r="N183" s="41">
        <f>VLOOKUP(A183,'Dataset-2'!B184:H794,2,)</f>
        <v>0.1212</v>
      </c>
      <c r="O183" s="41">
        <f>VLOOKUP(N183,'Dataset-2'!C184:I794,2,)</f>
        <v>0.36</v>
      </c>
      <c r="P183" s="41">
        <f>VLOOKUP(O183,'Dataset-2'!D184:J794,2,)</f>
        <v>0.25369999999999998</v>
      </c>
      <c r="Q183" s="41">
        <f>VLOOKUP(P183,'Dataset-2'!E184:K794,2,)</f>
        <v>0</v>
      </c>
      <c r="R183" s="41">
        <f>VLOOKUP(Q183,'Dataset-2'!F184:L794,2,)</f>
        <v>28</v>
      </c>
      <c r="S183" s="41">
        <f>VLOOKUP(R183,'Dataset-2'!G184:M794,2,)</f>
        <v>28</v>
      </c>
    </row>
    <row r="184" spans="1:19" x14ac:dyDescent="0.35">
      <c r="A184" s="40">
        <v>183</v>
      </c>
      <c r="B184" s="62">
        <f>VLOOKUP(A184,'Dataset-1'!A185:M795,2,)</f>
        <v>40551</v>
      </c>
      <c r="C184" s="41">
        <f>VLOOKUP(B184,'Dataset-1'!B185:N795,2,)</f>
        <v>1</v>
      </c>
      <c r="D184" s="41">
        <f>VLOOKUP(C184,'Dataset-1'!C185:O795,2,)</f>
        <v>0</v>
      </c>
      <c r="E184" s="41">
        <f>VLOOKUP(D184,'Dataset-1'!D185:P795,2,)</f>
        <v>1</v>
      </c>
      <c r="F184" s="41">
        <f>VLOOKUP(E184,'Dataset-1'!E185:Q795,2,)</f>
        <v>21</v>
      </c>
      <c r="G184" s="71" t="str">
        <f>VLOOKUP(F184,'Dataset-1'!F185:R795,2,)</f>
        <v>Night</v>
      </c>
      <c r="H184" s="41" t="b">
        <f>VLOOKUP(G184,'Dataset-1'!G185:S795,2,)</f>
        <v>0</v>
      </c>
      <c r="I184" s="41">
        <f>VLOOKUP(H184,'Dataset-1'!H185:T795,2,)</f>
        <v>6</v>
      </c>
      <c r="J184" s="71" t="str">
        <f>VLOOKUP(I184,'Dataset-1'!I185:U795,2,)</f>
        <v>Friday</v>
      </c>
      <c r="K184" s="41">
        <f>VLOOKUP(J184,'Dataset-1'!J185:V795,2,)</f>
        <v>1</v>
      </c>
      <c r="L184" s="41">
        <f>VLOOKUP(K184,'Dataset-1'!K185:W795,2,)</f>
        <v>0.12</v>
      </c>
      <c r="M184" s="71" t="str">
        <f>VLOOKUP(L184,'Dataset-1'!L185:X795,2,)</f>
        <v>Rainy</v>
      </c>
      <c r="N184" s="41">
        <f>VLOOKUP(A184,'Dataset-2'!B185:H795,2,)</f>
        <v>0.1061</v>
      </c>
      <c r="O184" s="41">
        <f>VLOOKUP(N184,'Dataset-2'!C185:I795,2,)</f>
        <v>0.39</v>
      </c>
      <c r="P184" s="41">
        <f>VLOOKUP(O184,'Dataset-2'!D185:J795,2,)</f>
        <v>0.35820000000000002</v>
      </c>
      <c r="Q184" s="41">
        <f>VLOOKUP(P184,'Dataset-2'!E185:K795,2,)</f>
        <v>2</v>
      </c>
      <c r="R184" s="41">
        <f>VLOOKUP(Q184,'Dataset-2'!F185:L795,2,)</f>
        <v>35</v>
      </c>
      <c r="S184" s="41">
        <f>VLOOKUP(R184,'Dataset-2'!G185:M795,2,)</f>
        <v>37</v>
      </c>
    </row>
    <row r="185" spans="1:19" x14ac:dyDescent="0.35">
      <c r="A185" s="40">
        <v>184</v>
      </c>
      <c r="B185" s="62">
        <f>VLOOKUP(A185,'Dataset-1'!A186:M796,2,)</f>
        <v>40551</v>
      </c>
      <c r="C185" s="41">
        <f>VLOOKUP(B185,'Dataset-1'!B186:N796,2,)</f>
        <v>1</v>
      </c>
      <c r="D185" s="41">
        <f>VLOOKUP(C185,'Dataset-1'!C186:O796,2,)</f>
        <v>0</v>
      </c>
      <c r="E185" s="41">
        <f>VLOOKUP(D185,'Dataset-1'!D186:P796,2,)</f>
        <v>1</v>
      </c>
      <c r="F185" s="41">
        <f>VLOOKUP(E185,'Dataset-1'!E186:Q796,2,)</f>
        <v>22</v>
      </c>
      <c r="G185" s="71" t="str">
        <f>VLOOKUP(F185,'Dataset-1'!F186:R796,2,)</f>
        <v>Night</v>
      </c>
      <c r="H185" s="41" t="b">
        <f>VLOOKUP(G185,'Dataset-1'!G186:S796,2,)</f>
        <v>0</v>
      </c>
      <c r="I185" s="41">
        <f>VLOOKUP(H185,'Dataset-1'!H186:T796,2,)</f>
        <v>6</v>
      </c>
      <c r="J185" s="71" t="str">
        <f>VLOOKUP(I185,'Dataset-1'!I186:U796,2,)</f>
        <v>Friday</v>
      </c>
      <c r="K185" s="41">
        <f>VLOOKUP(J185,'Dataset-1'!J186:V796,2,)</f>
        <v>1</v>
      </c>
      <c r="L185" s="41">
        <f>VLOOKUP(K185,'Dataset-1'!K186:W796,2,)</f>
        <v>0.12</v>
      </c>
      <c r="M185" s="71" t="str">
        <f>VLOOKUP(L185,'Dataset-1'!L186:X796,2,)</f>
        <v>Rainy</v>
      </c>
      <c r="N185" s="41">
        <f>VLOOKUP(A185,'Dataset-2'!B186:H796,2,)</f>
        <v>0.1061</v>
      </c>
      <c r="O185" s="41">
        <f>VLOOKUP(N185,'Dataset-2'!C186:I796,2,)</f>
        <v>0.36</v>
      </c>
      <c r="P185" s="41">
        <f>VLOOKUP(O185,'Dataset-2'!D186:J796,2,)</f>
        <v>0.3881</v>
      </c>
      <c r="Q185" s="41">
        <f>VLOOKUP(P185,'Dataset-2'!E186:K796,2,)</f>
        <v>1</v>
      </c>
      <c r="R185" s="41">
        <f>VLOOKUP(Q185,'Dataset-2'!F186:L796,2,)</f>
        <v>33</v>
      </c>
      <c r="S185" s="41">
        <f>VLOOKUP(R185,'Dataset-2'!G186:M796,2,)</f>
        <v>34</v>
      </c>
    </row>
    <row r="186" spans="1:19" x14ac:dyDescent="0.35">
      <c r="A186" s="40">
        <v>185</v>
      </c>
      <c r="B186" s="62">
        <f>VLOOKUP(A186,'Dataset-1'!A187:M797,2,)</f>
        <v>40551</v>
      </c>
      <c r="C186" s="41">
        <f>VLOOKUP(B186,'Dataset-1'!B187:N797,2,)</f>
        <v>1</v>
      </c>
      <c r="D186" s="41">
        <f>VLOOKUP(C186,'Dataset-1'!C187:O797,2,)</f>
        <v>0</v>
      </c>
      <c r="E186" s="41">
        <f>VLOOKUP(D186,'Dataset-1'!D187:P797,2,)</f>
        <v>1</v>
      </c>
      <c r="F186" s="41">
        <f>VLOOKUP(E186,'Dataset-1'!E187:Q797,2,)</f>
        <v>23</v>
      </c>
      <c r="G186" s="71" t="str">
        <f>VLOOKUP(F186,'Dataset-1'!F187:R797,2,)</f>
        <v>Night</v>
      </c>
      <c r="H186" s="41" t="b">
        <f>VLOOKUP(G186,'Dataset-1'!G187:S797,2,)</f>
        <v>0</v>
      </c>
      <c r="I186" s="41">
        <f>VLOOKUP(H186,'Dataset-1'!H187:T797,2,)</f>
        <v>6</v>
      </c>
      <c r="J186" s="71" t="str">
        <f>VLOOKUP(I186,'Dataset-1'!I187:U797,2,)</f>
        <v>Friday</v>
      </c>
      <c r="K186" s="41">
        <f>VLOOKUP(J186,'Dataset-1'!J187:V797,2,)</f>
        <v>1</v>
      </c>
      <c r="L186" s="41">
        <f>VLOOKUP(K186,'Dataset-1'!K187:W797,2,)</f>
        <v>0.1</v>
      </c>
      <c r="M186" s="71" t="str">
        <f>VLOOKUP(L186,'Dataset-1'!L187:X797,2,)</f>
        <v>Stromy</v>
      </c>
      <c r="N186" s="41">
        <f>VLOOKUP(A186,'Dataset-2'!B187:H797,2,)</f>
        <v>6.0600000000000001E-2</v>
      </c>
      <c r="O186" s="41">
        <f>VLOOKUP(N186,'Dataset-2'!C187:I797,2,)</f>
        <v>0.39</v>
      </c>
      <c r="P186" s="41">
        <f>VLOOKUP(O186,'Dataset-2'!D187:J797,2,)</f>
        <v>0.44779999999999998</v>
      </c>
      <c r="Q186" s="41">
        <f>VLOOKUP(P186,'Dataset-2'!E187:K797,2,)</f>
        <v>0</v>
      </c>
      <c r="R186" s="41">
        <f>VLOOKUP(Q186,'Dataset-2'!F187:L797,2,)</f>
        <v>22</v>
      </c>
      <c r="S186" s="41">
        <f>VLOOKUP(R186,'Dataset-2'!G187:M797,2,)</f>
        <v>22</v>
      </c>
    </row>
    <row r="187" spans="1:19" x14ac:dyDescent="0.35">
      <c r="A187" s="40">
        <v>186</v>
      </c>
      <c r="B187" s="62">
        <f>VLOOKUP(A187,'Dataset-1'!A188:M798,2,)</f>
        <v>40552</v>
      </c>
      <c r="C187" s="41">
        <f>VLOOKUP(B187,'Dataset-1'!B188:N798,2,)</f>
        <v>1</v>
      </c>
      <c r="D187" s="41">
        <f>VLOOKUP(C187,'Dataset-1'!C188:O798,2,)</f>
        <v>0</v>
      </c>
      <c r="E187" s="41">
        <f>VLOOKUP(D187,'Dataset-1'!D188:P798,2,)</f>
        <v>1</v>
      </c>
      <c r="F187" s="41">
        <f>VLOOKUP(E187,'Dataset-1'!E188:Q798,2,)</f>
        <v>0</v>
      </c>
      <c r="G187" s="71" t="str">
        <f>VLOOKUP(F187,'Dataset-1'!F188:R798,2,)</f>
        <v>Night</v>
      </c>
      <c r="H187" s="41" t="b">
        <f>VLOOKUP(G187,'Dataset-1'!G188:S798,2,)</f>
        <v>0</v>
      </c>
      <c r="I187" s="41">
        <f>VLOOKUP(H187,'Dataset-1'!H188:T798,2,)</f>
        <v>0</v>
      </c>
      <c r="J187" s="71" t="str">
        <f>VLOOKUP(I187,'Dataset-1'!I188:U798,2,)</f>
        <v>Saturday</v>
      </c>
      <c r="K187" s="41">
        <f>VLOOKUP(J187,'Dataset-1'!J188:V798,2,)</f>
        <v>1</v>
      </c>
      <c r="L187" s="41">
        <f>VLOOKUP(K187,'Dataset-1'!K188:W798,2,)</f>
        <v>0.1</v>
      </c>
      <c r="M187" s="71" t="str">
        <f>VLOOKUP(L187,'Dataset-1'!L188:X798,2,)</f>
        <v>Stromy</v>
      </c>
      <c r="N187" s="41">
        <f>VLOOKUP(A187,'Dataset-2'!B188:H798,2,)</f>
        <v>7.5800000000000006E-2</v>
      </c>
      <c r="O187" s="41">
        <f>VLOOKUP(N187,'Dataset-2'!C188:I798,2,)</f>
        <v>0.42</v>
      </c>
      <c r="P187" s="41">
        <f>VLOOKUP(O187,'Dataset-2'!D188:J798,2,)</f>
        <v>0.3881</v>
      </c>
      <c r="Q187" s="41">
        <f>VLOOKUP(P187,'Dataset-2'!E188:K798,2,)</f>
        <v>1</v>
      </c>
      <c r="R187" s="41">
        <f>VLOOKUP(Q187,'Dataset-2'!F188:L798,2,)</f>
        <v>24</v>
      </c>
      <c r="S187" s="41">
        <f>VLOOKUP(R187,'Dataset-2'!G188:M798,2,)</f>
        <v>25</v>
      </c>
    </row>
    <row r="188" spans="1:19" x14ac:dyDescent="0.35">
      <c r="A188" s="40">
        <v>187</v>
      </c>
      <c r="B188" s="62">
        <f>VLOOKUP(A188,'Dataset-1'!A189:M799,2,)</f>
        <v>40552</v>
      </c>
      <c r="C188" s="41">
        <f>VLOOKUP(B188,'Dataset-1'!B189:N799,2,)</f>
        <v>1</v>
      </c>
      <c r="D188" s="41">
        <f>VLOOKUP(C188,'Dataset-1'!C189:O799,2,)</f>
        <v>0</v>
      </c>
      <c r="E188" s="41">
        <f>VLOOKUP(D188,'Dataset-1'!D189:P799,2,)</f>
        <v>1</v>
      </c>
      <c r="F188" s="41">
        <f>VLOOKUP(E188,'Dataset-1'!E189:Q799,2,)</f>
        <v>1</v>
      </c>
      <c r="G188" s="71" t="str">
        <f>VLOOKUP(F188,'Dataset-1'!F189:R799,2,)</f>
        <v>Night</v>
      </c>
      <c r="H188" s="41" t="b">
        <f>VLOOKUP(G188,'Dataset-1'!G189:S799,2,)</f>
        <v>0</v>
      </c>
      <c r="I188" s="41">
        <f>VLOOKUP(H188,'Dataset-1'!H189:T799,2,)</f>
        <v>0</v>
      </c>
      <c r="J188" s="71" t="str">
        <f>VLOOKUP(I188,'Dataset-1'!I189:U799,2,)</f>
        <v>Saturday</v>
      </c>
      <c r="K188" s="41">
        <f>VLOOKUP(J188,'Dataset-1'!J189:V799,2,)</f>
        <v>1</v>
      </c>
      <c r="L188" s="41">
        <f>VLOOKUP(K188,'Dataset-1'!K189:W799,2,)</f>
        <v>0.1</v>
      </c>
      <c r="M188" s="71" t="str">
        <f>VLOOKUP(L188,'Dataset-1'!L189:X799,2,)</f>
        <v>Stromy</v>
      </c>
      <c r="N188" s="41">
        <f>VLOOKUP(A188,'Dataset-2'!B189:H799,2,)</f>
        <v>6.0600000000000001E-2</v>
      </c>
      <c r="O188" s="41">
        <f>VLOOKUP(N188,'Dataset-2'!C189:I799,2,)</f>
        <v>0.42</v>
      </c>
      <c r="P188" s="41">
        <f>VLOOKUP(O188,'Dataset-2'!D189:J799,2,)</f>
        <v>0.4627</v>
      </c>
      <c r="Q188" s="41">
        <f>VLOOKUP(P188,'Dataset-2'!E189:K799,2,)</f>
        <v>0</v>
      </c>
      <c r="R188" s="41">
        <f>VLOOKUP(Q188,'Dataset-2'!F189:L799,2,)</f>
        <v>12</v>
      </c>
      <c r="S188" s="41">
        <f>VLOOKUP(R188,'Dataset-2'!G189:M799,2,)</f>
        <v>12</v>
      </c>
    </row>
    <row r="189" spans="1:19" x14ac:dyDescent="0.35">
      <c r="A189" s="40">
        <v>188</v>
      </c>
      <c r="B189" s="62">
        <f>VLOOKUP(A189,'Dataset-1'!A190:M800,2,)</f>
        <v>40552</v>
      </c>
      <c r="C189" s="41">
        <f>VLOOKUP(B189,'Dataset-1'!B190:N800,2,)</f>
        <v>1</v>
      </c>
      <c r="D189" s="41">
        <f>VLOOKUP(C189,'Dataset-1'!C190:O800,2,)</f>
        <v>0</v>
      </c>
      <c r="E189" s="41">
        <f>VLOOKUP(D189,'Dataset-1'!D190:P800,2,)</f>
        <v>1</v>
      </c>
      <c r="F189" s="41">
        <f>VLOOKUP(E189,'Dataset-1'!E190:Q800,2,)</f>
        <v>2</v>
      </c>
      <c r="G189" s="71" t="str">
        <f>VLOOKUP(F189,'Dataset-1'!F190:R800,2,)</f>
        <v>Night</v>
      </c>
      <c r="H189" s="41" t="b">
        <f>VLOOKUP(G189,'Dataset-1'!G190:S800,2,)</f>
        <v>0</v>
      </c>
      <c r="I189" s="41">
        <f>VLOOKUP(H189,'Dataset-1'!H190:T800,2,)</f>
        <v>0</v>
      </c>
      <c r="J189" s="71" t="str">
        <f>VLOOKUP(I189,'Dataset-1'!I190:U800,2,)</f>
        <v>Saturday</v>
      </c>
      <c r="K189" s="41">
        <f>VLOOKUP(J189,'Dataset-1'!J190:V800,2,)</f>
        <v>1</v>
      </c>
      <c r="L189" s="41">
        <f>VLOOKUP(K189,'Dataset-1'!K190:W800,2,)</f>
        <v>0.1</v>
      </c>
      <c r="M189" s="71" t="str">
        <f>VLOOKUP(L189,'Dataset-1'!L190:X800,2,)</f>
        <v>Stromy</v>
      </c>
      <c r="N189" s="41">
        <f>VLOOKUP(A189,'Dataset-2'!B190:H800,2,)</f>
        <v>6.0600000000000001E-2</v>
      </c>
      <c r="O189" s="41">
        <f>VLOOKUP(N189,'Dataset-2'!C190:I800,2,)</f>
        <v>0.46</v>
      </c>
      <c r="P189" s="41">
        <f>VLOOKUP(O189,'Dataset-2'!D190:J800,2,)</f>
        <v>0.4627</v>
      </c>
      <c r="Q189" s="41">
        <f>VLOOKUP(P189,'Dataset-2'!E190:K800,2,)</f>
        <v>0</v>
      </c>
      <c r="R189" s="41">
        <f>VLOOKUP(Q189,'Dataset-2'!F190:L800,2,)</f>
        <v>11</v>
      </c>
      <c r="S189" s="41">
        <f>VLOOKUP(R189,'Dataset-2'!G190:M800,2,)</f>
        <v>11</v>
      </c>
    </row>
    <row r="190" spans="1:19" x14ac:dyDescent="0.35">
      <c r="A190" s="40">
        <v>189</v>
      </c>
      <c r="B190" s="62">
        <f>VLOOKUP(A190,'Dataset-1'!A191:M801,2,)</f>
        <v>40552</v>
      </c>
      <c r="C190" s="41">
        <f>VLOOKUP(B190,'Dataset-1'!B191:N801,2,)</f>
        <v>1</v>
      </c>
      <c r="D190" s="41">
        <f>VLOOKUP(C190,'Dataset-1'!C191:O801,2,)</f>
        <v>0</v>
      </c>
      <c r="E190" s="41">
        <f>VLOOKUP(D190,'Dataset-1'!D191:P801,2,)</f>
        <v>1</v>
      </c>
      <c r="F190" s="41">
        <f>VLOOKUP(E190,'Dataset-1'!E191:Q801,2,)</f>
        <v>3</v>
      </c>
      <c r="G190" s="71" t="str">
        <f>VLOOKUP(F190,'Dataset-1'!F191:R801,2,)</f>
        <v>Night</v>
      </c>
      <c r="H190" s="41" t="b">
        <f>VLOOKUP(G190,'Dataset-1'!G191:S801,2,)</f>
        <v>0</v>
      </c>
      <c r="I190" s="41">
        <f>VLOOKUP(H190,'Dataset-1'!H191:T801,2,)</f>
        <v>0</v>
      </c>
      <c r="J190" s="71" t="str">
        <f>VLOOKUP(I190,'Dataset-1'!I191:U801,2,)</f>
        <v>Saturday</v>
      </c>
      <c r="K190" s="41">
        <f>VLOOKUP(J190,'Dataset-1'!J191:V801,2,)</f>
        <v>1</v>
      </c>
      <c r="L190" s="41">
        <f>VLOOKUP(K190,'Dataset-1'!K191:W801,2,)</f>
        <v>0.1</v>
      </c>
      <c r="M190" s="71" t="str">
        <f>VLOOKUP(L190,'Dataset-1'!L191:X801,2,)</f>
        <v>Stromy</v>
      </c>
      <c r="N190" s="41">
        <f>VLOOKUP(A190,'Dataset-2'!B191:H801,2,)</f>
        <v>7.5800000000000006E-2</v>
      </c>
      <c r="O190" s="41">
        <f>VLOOKUP(N190,'Dataset-2'!C191:I801,2,)</f>
        <v>0.46</v>
      </c>
      <c r="P190" s="41">
        <f>VLOOKUP(O190,'Dataset-2'!D191:J801,2,)</f>
        <v>0.41789999999999999</v>
      </c>
      <c r="Q190" s="41">
        <f>VLOOKUP(P190,'Dataset-2'!E191:K801,2,)</f>
        <v>0</v>
      </c>
      <c r="R190" s="41">
        <f>VLOOKUP(Q190,'Dataset-2'!F191:L801,2,)</f>
        <v>4</v>
      </c>
      <c r="S190" s="41">
        <f>VLOOKUP(R190,'Dataset-2'!G191:M801,2,)</f>
        <v>4</v>
      </c>
    </row>
    <row r="191" spans="1:19" x14ac:dyDescent="0.35">
      <c r="A191" s="40">
        <v>190</v>
      </c>
      <c r="B191" s="62">
        <f>VLOOKUP(A191,'Dataset-1'!A192:M802,2,)</f>
        <v>40552</v>
      </c>
      <c r="C191" s="41">
        <f>VLOOKUP(B191,'Dataset-1'!B192:N802,2,)</f>
        <v>1</v>
      </c>
      <c r="D191" s="41">
        <f>VLOOKUP(C191,'Dataset-1'!C192:O802,2,)</f>
        <v>0</v>
      </c>
      <c r="E191" s="41">
        <f>VLOOKUP(D191,'Dataset-1'!D192:P802,2,)</f>
        <v>1</v>
      </c>
      <c r="F191" s="41">
        <f>VLOOKUP(E191,'Dataset-1'!E192:Q802,2,)</f>
        <v>4</v>
      </c>
      <c r="G191" s="71" t="str">
        <f>VLOOKUP(F191,'Dataset-1'!F192:R802,2,)</f>
        <v>Night</v>
      </c>
      <c r="H191" s="41" t="b">
        <f>VLOOKUP(G191,'Dataset-1'!G192:S802,2,)</f>
        <v>0</v>
      </c>
      <c r="I191" s="41">
        <f>VLOOKUP(H191,'Dataset-1'!H192:T802,2,)</f>
        <v>0</v>
      </c>
      <c r="J191" s="71" t="str">
        <f>VLOOKUP(I191,'Dataset-1'!I192:U802,2,)</f>
        <v>Saturday</v>
      </c>
      <c r="K191" s="41">
        <f>VLOOKUP(J191,'Dataset-1'!J192:V802,2,)</f>
        <v>1</v>
      </c>
      <c r="L191" s="41">
        <f>VLOOKUP(K191,'Dataset-1'!K192:W802,2,)</f>
        <v>0.08</v>
      </c>
      <c r="M191" s="71" t="str">
        <f>VLOOKUP(L191,'Dataset-1'!L192:X802,2,)</f>
        <v>Stromy</v>
      </c>
      <c r="N191" s="41">
        <f>VLOOKUP(A191,'Dataset-2'!B192:H802,2,)</f>
        <v>9.0899999999999995E-2</v>
      </c>
      <c r="O191" s="41">
        <f>VLOOKUP(N191,'Dataset-2'!C192:I802,2,)</f>
        <v>0.53</v>
      </c>
      <c r="P191" s="41">
        <f>VLOOKUP(O191,'Dataset-2'!D192:J802,2,)</f>
        <v>0.19400000000000001</v>
      </c>
      <c r="Q191" s="41">
        <f>VLOOKUP(P191,'Dataset-2'!E192:K802,2,)</f>
        <v>0</v>
      </c>
      <c r="R191" s="41">
        <f>VLOOKUP(Q191,'Dataset-2'!F192:L802,2,)</f>
        <v>1</v>
      </c>
      <c r="S191" s="41">
        <f>VLOOKUP(R191,'Dataset-2'!G192:M802,2,)</f>
        <v>1</v>
      </c>
    </row>
    <row r="192" spans="1:19" x14ac:dyDescent="0.35">
      <c r="A192" s="40">
        <v>191</v>
      </c>
      <c r="B192" s="62">
        <f>VLOOKUP(A192,'Dataset-1'!A193:M803,2,)</f>
        <v>40552</v>
      </c>
      <c r="C192" s="41">
        <f>VLOOKUP(B192,'Dataset-1'!B193:N803,2,)</f>
        <v>1</v>
      </c>
      <c r="D192" s="41">
        <f>VLOOKUP(C192,'Dataset-1'!C193:O803,2,)</f>
        <v>0</v>
      </c>
      <c r="E192" s="41">
        <f>VLOOKUP(D192,'Dataset-1'!D193:P803,2,)</f>
        <v>1</v>
      </c>
      <c r="F192" s="41">
        <f>VLOOKUP(E192,'Dataset-1'!E193:Q803,2,)</f>
        <v>5</v>
      </c>
      <c r="G192" s="71" t="str">
        <f>VLOOKUP(F192,'Dataset-1'!F193:R803,2,)</f>
        <v>Morning</v>
      </c>
      <c r="H192" s="41" t="b">
        <f>VLOOKUP(G192,'Dataset-1'!G193:S803,2,)</f>
        <v>0</v>
      </c>
      <c r="I192" s="41">
        <f>VLOOKUP(H192,'Dataset-1'!H193:T803,2,)</f>
        <v>0</v>
      </c>
      <c r="J192" s="71" t="str">
        <f>VLOOKUP(I192,'Dataset-1'!I193:U803,2,)</f>
        <v>Saturday</v>
      </c>
      <c r="K192" s="41">
        <f>VLOOKUP(J192,'Dataset-1'!J193:V803,2,)</f>
        <v>1</v>
      </c>
      <c r="L192" s="41">
        <f>VLOOKUP(K192,'Dataset-1'!K193:W803,2,)</f>
        <v>0.08</v>
      </c>
      <c r="M192" s="71" t="str">
        <f>VLOOKUP(L192,'Dataset-1'!L193:X803,2,)</f>
        <v>Stromy</v>
      </c>
      <c r="N192" s="41">
        <f>VLOOKUP(A192,'Dataset-2'!B193:H803,2,)</f>
        <v>9.0899999999999995E-2</v>
      </c>
      <c r="O192" s="41">
        <f>VLOOKUP(N192,'Dataset-2'!C193:I803,2,)</f>
        <v>0.53</v>
      </c>
      <c r="P192" s="41">
        <f>VLOOKUP(O192,'Dataset-2'!D193:J803,2,)</f>
        <v>0.19400000000000001</v>
      </c>
      <c r="Q192" s="41">
        <f>VLOOKUP(P192,'Dataset-2'!E193:K803,2,)</f>
        <v>0</v>
      </c>
      <c r="R192" s="41">
        <f>VLOOKUP(Q192,'Dataset-2'!F193:L803,2,)</f>
        <v>1</v>
      </c>
      <c r="S192" s="41">
        <f>VLOOKUP(R192,'Dataset-2'!G193:M803,2,)</f>
        <v>1</v>
      </c>
    </row>
    <row r="193" spans="1:19" x14ac:dyDescent="0.35">
      <c r="A193" s="40">
        <v>192</v>
      </c>
      <c r="B193" s="62">
        <f>VLOOKUP(A193,'Dataset-1'!A194:M804,2,)</f>
        <v>40552</v>
      </c>
      <c r="C193" s="41">
        <f>VLOOKUP(B193,'Dataset-1'!B194:N804,2,)</f>
        <v>1</v>
      </c>
      <c r="D193" s="41">
        <f>VLOOKUP(C193,'Dataset-1'!C194:O804,2,)</f>
        <v>0</v>
      </c>
      <c r="E193" s="41">
        <f>VLOOKUP(D193,'Dataset-1'!D194:P804,2,)</f>
        <v>1</v>
      </c>
      <c r="F193" s="41">
        <f>VLOOKUP(E193,'Dataset-1'!E194:Q804,2,)</f>
        <v>6</v>
      </c>
      <c r="G193" s="71" t="str">
        <f>VLOOKUP(F193,'Dataset-1'!F194:R804,2,)</f>
        <v>Morning</v>
      </c>
      <c r="H193" s="41" t="b">
        <f>VLOOKUP(G193,'Dataset-1'!G194:S804,2,)</f>
        <v>0</v>
      </c>
      <c r="I193" s="41">
        <f>VLOOKUP(H193,'Dataset-1'!H194:T804,2,)</f>
        <v>0</v>
      </c>
      <c r="J193" s="71" t="str">
        <f>VLOOKUP(I193,'Dataset-1'!I194:U804,2,)</f>
        <v>Saturday</v>
      </c>
      <c r="K193" s="41">
        <f>VLOOKUP(J193,'Dataset-1'!J194:V804,2,)</f>
        <v>1</v>
      </c>
      <c r="L193" s="41">
        <f>VLOOKUP(K193,'Dataset-1'!K194:W804,2,)</f>
        <v>0.1</v>
      </c>
      <c r="M193" s="71" t="str">
        <f>VLOOKUP(L193,'Dataset-1'!L194:X804,2,)</f>
        <v>Stromy</v>
      </c>
      <c r="N193" s="41">
        <f>VLOOKUP(A193,'Dataset-2'!B194:H804,2,)</f>
        <v>9.0899999999999995E-2</v>
      </c>
      <c r="O193" s="41">
        <f>VLOOKUP(N193,'Dataset-2'!C194:I804,2,)</f>
        <v>0.49</v>
      </c>
      <c r="P193" s="41">
        <f>VLOOKUP(O193,'Dataset-2'!D194:J804,2,)</f>
        <v>0.28360000000000002</v>
      </c>
      <c r="Q193" s="41">
        <f>VLOOKUP(P193,'Dataset-2'!E194:K804,2,)</f>
        <v>0</v>
      </c>
      <c r="R193" s="41">
        <f>VLOOKUP(Q193,'Dataset-2'!F194:L804,2,)</f>
        <v>1</v>
      </c>
      <c r="S193" s="41">
        <f>VLOOKUP(R193,'Dataset-2'!G194:M804,2,)</f>
        <v>1</v>
      </c>
    </row>
    <row r="194" spans="1:19" x14ac:dyDescent="0.35">
      <c r="A194" s="40">
        <v>193</v>
      </c>
      <c r="B194" s="62">
        <f>VLOOKUP(A194,'Dataset-1'!A195:M805,2,)</f>
        <v>40552</v>
      </c>
      <c r="C194" s="41">
        <f>VLOOKUP(B194,'Dataset-1'!B195:N805,2,)</f>
        <v>1</v>
      </c>
      <c r="D194" s="41">
        <f>VLOOKUP(C194,'Dataset-1'!C195:O805,2,)</f>
        <v>0</v>
      </c>
      <c r="E194" s="41">
        <f>VLOOKUP(D194,'Dataset-1'!D195:P805,2,)</f>
        <v>1</v>
      </c>
      <c r="F194" s="41">
        <f>VLOOKUP(E194,'Dataset-1'!E195:Q805,2,)</f>
        <v>7</v>
      </c>
      <c r="G194" s="71" t="str">
        <f>VLOOKUP(F194,'Dataset-1'!F195:R805,2,)</f>
        <v>Morning</v>
      </c>
      <c r="H194" s="41" t="b">
        <f>VLOOKUP(G194,'Dataset-1'!G195:S805,2,)</f>
        <v>0</v>
      </c>
      <c r="I194" s="41">
        <f>VLOOKUP(H194,'Dataset-1'!H195:T805,2,)</f>
        <v>0</v>
      </c>
      <c r="J194" s="71" t="str">
        <f>VLOOKUP(I194,'Dataset-1'!I195:U805,2,)</f>
        <v>Saturday</v>
      </c>
      <c r="K194" s="41">
        <f>VLOOKUP(J194,'Dataset-1'!J195:V805,2,)</f>
        <v>1</v>
      </c>
      <c r="L194" s="41">
        <f>VLOOKUP(K194,'Dataset-1'!K195:W805,2,)</f>
        <v>0.08</v>
      </c>
      <c r="M194" s="71" t="str">
        <f>VLOOKUP(L194,'Dataset-1'!L195:X805,2,)</f>
        <v>Stromy</v>
      </c>
      <c r="N194" s="41">
        <f>VLOOKUP(A194,'Dataset-2'!B195:H805,2,)</f>
        <v>9.0899999999999995E-2</v>
      </c>
      <c r="O194" s="41">
        <f>VLOOKUP(N194,'Dataset-2'!C195:I805,2,)</f>
        <v>0.53</v>
      </c>
      <c r="P194" s="41">
        <f>VLOOKUP(O194,'Dataset-2'!D195:J805,2,)</f>
        <v>0.19400000000000001</v>
      </c>
      <c r="Q194" s="41">
        <f>VLOOKUP(P194,'Dataset-2'!E195:K805,2,)</f>
        <v>1</v>
      </c>
      <c r="R194" s="41">
        <f>VLOOKUP(Q194,'Dataset-2'!F195:L805,2,)</f>
        <v>5</v>
      </c>
      <c r="S194" s="41">
        <f>VLOOKUP(R194,'Dataset-2'!G195:M805,2,)</f>
        <v>6</v>
      </c>
    </row>
    <row r="195" spans="1:19" x14ac:dyDescent="0.35">
      <c r="A195" s="40">
        <v>194</v>
      </c>
      <c r="B195" s="62">
        <f>VLOOKUP(A195,'Dataset-1'!A196:M806,2,)</f>
        <v>40552</v>
      </c>
      <c r="C195" s="41">
        <f>VLOOKUP(B195,'Dataset-1'!B196:N806,2,)</f>
        <v>1</v>
      </c>
      <c r="D195" s="41">
        <f>VLOOKUP(C195,'Dataset-1'!C196:O806,2,)</f>
        <v>0</v>
      </c>
      <c r="E195" s="41">
        <f>VLOOKUP(D195,'Dataset-1'!D196:P806,2,)</f>
        <v>1</v>
      </c>
      <c r="F195" s="41">
        <f>VLOOKUP(E195,'Dataset-1'!E196:Q806,2,)</f>
        <v>8</v>
      </c>
      <c r="G195" s="71" t="str">
        <f>VLOOKUP(F195,'Dataset-1'!F196:R806,2,)</f>
        <v>Morning</v>
      </c>
      <c r="H195" s="41" t="b">
        <f>VLOOKUP(G195,'Dataset-1'!G196:S806,2,)</f>
        <v>0</v>
      </c>
      <c r="I195" s="41">
        <f>VLOOKUP(H195,'Dataset-1'!H196:T806,2,)</f>
        <v>0</v>
      </c>
      <c r="J195" s="71" t="str">
        <f>VLOOKUP(I195,'Dataset-1'!I196:U806,2,)</f>
        <v>Saturday</v>
      </c>
      <c r="K195" s="41">
        <f>VLOOKUP(J195,'Dataset-1'!J196:V806,2,)</f>
        <v>1</v>
      </c>
      <c r="L195" s="41">
        <f>VLOOKUP(K195,'Dataset-1'!K196:W806,2,)</f>
        <v>0.1</v>
      </c>
      <c r="M195" s="71" t="str">
        <f>VLOOKUP(L195,'Dataset-1'!L196:X806,2,)</f>
        <v>Stromy</v>
      </c>
      <c r="N195" s="41">
        <f>VLOOKUP(A195,'Dataset-2'!B196:H806,2,)</f>
        <v>9.0899999999999995E-2</v>
      </c>
      <c r="O195" s="41">
        <f>VLOOKUP(N195,'Dataset-2'!C196:I806,2,)</f>
        <v>0.49</v>
      </c>
      <c r="P195" s="41">
        <f>VLOOKUP(O195,'Dataset-2'!D196:J806,2,)</f>
        <v>0.28360000000000002</v>
      </c>
      <c r="Q195" s="41">
        <f>VLOOKUP(P195,'Dataset-2'!E196:K806,2,)</f>
        <v>0</v>
      </c>
      <c r="R195" s="41">
        <f>VLOOKUP(Q195,'Dataset-2'!F196:L806,2,)</f>
        <v>10</v>
      </c>
      <c r="S195" s="41">
        <f>VLOOKUP(R195,'Dataset-2'!G196:M806,2,)</f>
        <v>10</v>
      </c>
    </row>
    <row r="196" spans="1:19" x14ac:dyDescent="0.35">
      <c r="A196" s="40">
        <v>195</v>
      </c>
      <c r="B196" s="62">
        <f>VLOOKUP(A196,'Dataset-1'!A197:M807,2,)</f>
        <v>40552</v>
      </c>
      <c r="C196" s="41">
        <f>VLOOKUP(B196,'Dataset-1'!B197:N807,2,)</f>
        <v>1</v>
      </c>
      <c r="D196" s="41">
        <f>VLOOKUP(C196,'Dataset-1'!C197:O807,2,)</f>
        <v>0</v>
      </c>
      <c r="E196" s="41">
        <f>VLOOKUP(D196,'Dataset-1'!D197:P807,2,)</f>
        <v>1</v>
      </c>
      <c r="F196" s="41">
        <f>VLOOKUP(E196,'Dataset-1'!E197:Q807,2,)</f>
        <v>9</v>
      </c>
      <c r="G196" s="71" t="str">
        <f>VLOOKUP(F196,'Dataset-1'!F197:R807,2,)</f>
        <v>Morning</v>
      </c>
      <c r="H196" s="41" t="b">
        <f>VLOOKUP(G196,'Dataset-1'!G197:S807,2,)</f>
        <v>0</v>
      </c>
      <c r="I196" s="41">
        <f>VLOOKUP(H196,'Dataset-1'!H197:T807,2,)</f>
        <v>0</v>
      </c>
      <c r="J196" s="71" t="str">
        <f>VLOOKUP(I196,'Dataset-1'!I197:U807,2,)</f>
        <v>Saturday</v>
      </c>
      <c r="K196" s="41">
        <f>VLOOKUP(J196,'Dataset-1'!J197:V807,2,)</f>
        <v>1</v>
      </c>
      <c r="L196" s="41">
        <f>VLOOKUP(K196,'Dataset-1'!K197:W807,2,)</f>
        <v>0.12</v>
      </c>
      <c r="M196" s="71" t="str">
        <f>VLOOKUP(L196,'Dataset-1'!L197:X807,2,)</f>
        <v>Rainy</v>
      </c>
      <c r="N196" s="41">
        <f>VLOOKUP(A196,'Dataset-2'!B197:H807,2,)</f>
        <v>7.5800000000000006E-2</v>
      </c>
      <c r="O196" s="41">
        <f>VLOOKUP(N196,'Dataset-2'!C197:I807,2,)</f>
        <v>0.46</v>
      </c>
      <c r="P196" s="41">
        <f>VLOOKUP(O196,'Dataset-2'!D197:J807,2,)</f>
        <v>0.52239999999999998</v>
      </c>
      <c r="Q196" s="41">
        <f>VLOOKUP(P196,'Dataset-2'!E197:K807,2,)</f>
        <v>0</v>
      </c>
      <c r="R196" s="41">
        <f>VLOOKUP(Q196,'Dataset-2'!F197:L807,2,)</f>
        <v>19</v>
      </c>
      <c r="S196" s="41">
        <f>VLOOKUP(R196,'Dataset-2'!G197:M807,2,)</f>
        <v>19</v>
      </c>
    </row>
    <row r="197" spans="1:19" x14ac:dyDescent="0.35">
      <c r="A197" s="40">
        <v>196</v>
      </c>
      <c r="B197" s="62">
        <f>VLOOKUP(A197,'Dataset-1'!A198:M808,2,)</f>
        <v>40552</v>
      </c>
      <c r="C197" s="41">
        <f>VLOOKUP(B197,'Dataset-1'!B198:N808,2,)</f>
        <v>1</v>
      </c>
      <c r="D197" s="41">
        <f>VLOOKUP(C197,'Dataset-1'!C198:O808,2,)</f>
        <v>0</v>
      </c>
      <c r="E197" s="41">
        <f>VLOOKUP(D197,'Dataset-1'!D198:P808,2,)</f>
        <v>1</v>
      </c>
      <c r="F197" s="41">
        <f>VLOOKUP(E197,'Dataset-1'!E198:Q808,2,)</f>
        <v>10</v>
      </c>
      <c r="G197" s="71" t="str">
        <f>VLOOKUP(F197,'Dataset-1'!F198:R808,2,)</f>
        <v>Morning</v>
      </c>
      <c r="H197" s="41" t="b">
        <f>VLOOKUP(G197,'Dataset-1'!G198:S808,2,)</f>
        <v>0</v>
      </c>
      <c r="I197" s="41">
        <f>VLOOKUP(H197,'Dataset-1'!H198:T808,2,)</f>
        <v>0</v>
      </c>
      <c r="J197" s="71" t="str">
        <f>VLOOKUP(I197,'Dataset-1'!I198:U808,2,)</f>
        <v>Saturday</v>
      </c>
      <c r="K197" s="41">
        <f>VLOOKUP(J197,'Dataset-1'!J198:V808,2,)</f>
        <v>1</v>
      </c>
      <c r="L197" s="41">
        <f>VLOOKUP(K197,'Dataset-1'!K198:W808,2,)</f>
        <v>0.14000000000000001</v>
      </c>
      <c r="M197" s="71" t="str">
        <f>VLOOKUP(L197,'Dataset-1'!L198:X808,2,)</f>
        <v>Rainy</v>
      </c>
      <c r="N197" s="41">
        <f>VLOOKUP(A197,'Dataset-2'!B198:H808,2,)</f>
        <v>0.1061</v>
      </c>
      <c r="O197" s="41">
        <f>VLOOKUP(N197,'Dataset-2'!C198:I808,2,)</f>
        <v>0.43</v>
      </c>
      <c r="P197" s="41">
        <f>VLOOKUP(O197,'Dataset-2'!D198:J808,2,)</f>
        <v>0.3881</v>
      </c>
      <c r="Q197" s="41">
        <f>VLOOKUP(P197,'Dataset-2'!E198:K808,2,)</f>
        <v>0</v>
      </c>
      <c r="R197" s="41">
        <f>VLOOKUP(Q197,'Dataset-2'!F198:L808,2,)</f>
        <v>49</v>
      </c>
      <c r="S197" s="41">
        <f>VLOOKUP(R197,'Dataset-2'!G198:M808,2,)</f>
        <v>49</v>
      </c>
    </row>
    <row r="198" spans="1:19" x14ac:dyDescent="0.35">
      <c r="A198" s="40">
        <v>197</v>
      </c>
      <c r="B198" s="62">
        <f>VLOOKUP(A198,'Dataset-1'!A199:M809,2,)</f>
        <v>40552</v>
      </c>
      <c r="C198" s="41">
        <f>VLOOKUP(B198,'Dataset-1'!B199:N809,2,)</f>
        <v>1</v>
      </c>
      <c r="D198" s="41">
        <f>VLOOKUP(C198,'Dataset-1'!C199:O809,2,)</f>
        <v>0</v>
      </c>
      <c r="E198" s="41">
        <f>VLOOKUP(D198,'Dataset-1'!D199:P809,2,)</f>
        <v>1</v>
      </c>
      <c r="F198" s="41">
        <f>VLOOKUP(E198,'Dataset-1'!E199:Q809,2,)</f>
        <v>11</v>
      </c>
      <c r="G198" s="71" t="str">
        <f>VLOOKUP(F198,'Dataset-1'!F199:R809,2,)</f>
        <v>Morning</v>
      </c>
      <c r="H198" s="41" t="b">
        <f>VLOOKUP(G198,'Dataset-1'!G199:S809,2,)</f>
        <v>0</v>
      </c>
      <c r="I198" s="41">
        <f>VLOOKUP(H198,'Dataset-1'!H199:T809,2,)</f>
        <v>0</v>
      </c>
      <c r="J198" s="71" t="str">
        <f>VLOOKUP(I198,'Dataset-1'!I199:U809,2,)</f>
        <v>Saturday</v>
      </c>
      <c r="K198" s="41">
        <f>VLOOKUP(J198,'Dataset-1'!J199:V809,2,)</f>
        <v>1</v>
      </c>
      <c r="L198" s="41">
        <f>VLOOKUP(K198,'Dataset-1'!K199:W809,2,)</f>
        <v>0.16</v>
      </c>
      <c r="M198" s="71" t="str">
        <f>VLOOKUP(L198,'Dataset-1'!L199:X809,2,)</f>
        <v>Rainy</v>
      </c>
      <c r="N198" s="41">
        <f>VLOOKUP(A198,'Dataset-2'!B199:H809,2,)</f>
        <v>0.1212</v>
      </c>
      <c r="O198" s="41">
        <f>VLOOKUP(N198,'Dataset-2'!C199:I809,2,)</f>
        <v>0.4</v>
      </c>
      <c r="P198" s="41">
        <f>VLOOKUP(O198,'Dataset-2'!D199:J809,2,)</f>
        <v>0.52239999999999998</v>
      </c>
      <c r="Q198" s="41">
        <f>VLOOKUP(P198,'Dataset-2'!E199:K809,2,)</f>
        <v>2</v>
      </c>
      <c r="R198" s="41">
        <f>VLOOKUP(Q198,'Dataset-2'!F199:L809,2,)</f>
        <v>47</v>
      </c>
      <c r="S198" s="41">
        <f>VLOOKUP(R198,'Dataset-2'!G199:M809,2,)</f>
        <v>49</v>
      </c>
    </row>
    <row r="199" spans="1:19" x14ac:dyDescent="0.35">
      <c r="A199" s="40">
        <v>198</v>
      </c>
      <c r="B199" s="62">
        <f>VLOOKUP(A199,'Dataset-1'!A200:M810,2,)</f>
        <v>40552</v>
      </c>
      <c r="C199" s="41">
        <f>VLOOKUP(B199,'Dataset-1'!B200:N810,2,)</f>
        <v>1</v>
      </c>
      <c r="D199" s="41">
        <f>VLOOKUP(C199,'Dataset-1'!C200:O810,2,)</f>
        <v>0</v>
      </c>
      <c r="E199" s="41">
        <f>VLOOKUP(D199,'Dataset-1'!D200:P810,2,)</f>
        <v>1</v>
      </c>
      <c r="F199" s="41">
        <f>VLOOKUP(E199,'Dataset-1'!E200:Q810,2,)</f>
        <v>12</v>
      </c>
      <c r="G199" s="71" t="str">
        <f>VLOOKUP(F199,'Dataset-1'!F200:R810,2,)</f>
        <v>AfterNoon</v>
      </c>
      <c r="H199" s="41" t="b">
        <f>VLOOKUP(G199,'Dataset-1'!G200:S810,2,)</f>
        <v>0</v>
      </c>
      <c r="I199" s="41">
        <f>VLOOKUP(H199,'Dataset-1'!H200:T810,2,)</f>
        <v>0</v>
      </c>
      <c r="J199" s="71" t="str">
        <f>VLOOKUP(I199,'Dataset-1'!I200:U810,2,)</f>
        <v>Saturday</v>
      </c>
      <c r="K199" s="41">
        <f>VLOOKUP(J199,'Dataset-1'!J200:V810,2,)</f>
        <v>1</v>
      </c>
      <c r="L199" s="41">
        <f>VLOOKUP(K199,'Dataset-1'!K200:W810,2,)</f>
        <v>0.18</v>
      </c>
      <c r="M199" s="71" t="str">
        <f>VLOOKUP(L199,'Dataset-1'!L200:X810,2,)</f>
        <v>Rainy</v>
      </c>
      <c r="N199" s="41">
        <f>VLOOKUP(A199,'Dataset-2'!B200:H810,2,)</f>
        <v>0.13639999999999999</v>
      </c>
      <c r="O199" s="41">
        <f>VLOOKUP(N199,'Dataset-2'!C200:I810,2,)</f>
        <v>0.37</v>
      </c>
      <c r="P199" s="41">
        <f>VLOOKUP(O199,'Dataset-2'!D200:J810,2,)</f>
        <v>0.44779999999999998</v>
      </c>
      <c r="Q199" s="41">
        <f>VLOOKUP(P199,'Dataset-2'!E200:K810,2,)</f>
        <v>4</v>
      </c>
      <c r="R199" s="41">
        <f>VLOOKUP(Q199,'Dataset-2'!F200:L810,2,)</f>
        <v>79</v>
      </c>
      <c r="S199" s="41">
        <f>VLOOKUP(R199,'Dataset-2'!G200:M810,2,)</f>
        <v>83</v>
      </c>
    </row>
    <row r="200" spans="1:19" x14ac:dyDescent="0.35">
      <c r="A200" s="40">
        <v>199</v>
      </c>
      <c r="B200" s="62">
        <f>VLOOKUP(A200,'Dataset-1'!A201:M811,2,)</f>
        <v>40552</v>
      </c>
      <c r="C200" s="41">
        <f>VLOOKUP(B200,'Dataset-1'!B201:N811,2,)</f>
        <v>1</v>
      </c>
      <c r="D200" s="41">
        <f>VLOOKUP(C200,'Dataset-1'!C201:O811,2,)</f>
        <v>0</v>
      </c>
      <c r="E200" s="41">
        <f>VLOOKUP(D200,'Dataset-1'!D201:P811,2,)</f>
        <v>1</v>
      </c>
      <c r="F200" s="41">
        <f>VLOOKUP(E200,'Dataset-1'!E201:Q811,2,)</f>
        <v>13</v>
      </c>
      <c r="G200" s="71" t="str">
        <f>VLOOKUP(F200,'Dataset-1'!F201:R811,2,)</f>
        <v>AfterNoon</v>
      </c>
      <c r="H200" s="41" t="b">
        <f>VLOOKUP(G200,'Dataset-1'!G201:S811,2,)</f>
        <v>0</v>
      </c>
      <c r="I200" s="41">
        <f>VLOOKUP(H200,'Dataset-1'!H201:T811,2,)</f>
        <v>0</v>
      </c>
      <c r="J200" s="71" t="str">
        <f>VLOOKUP(I200,'Dataset-1'!I201:U811,2,)</f>
        <v>Saturday</v>
      </c>
      <c r="K200" s="41">
        <f>VLOOKUP(J200,'Dataset-1'!J201:V811,2,)</f>
        <v>1</v>
      </c>
      <c r="L200" s="41">
        <f>VLOOKUP(K200,'Dataset-1'!K201:W811,2,)</f>
        <v>0.2</v>
      </c>
      <c r="M200" s="71" t="str">
        <f>VLOOKUP(L200,'Dataset-1'!L201:X811,2,)</f>
        <v>Rainy</v>
      </c>
      <c r="N200" s="41">
        <f>VLOOKUP(A200,'Dataset-2'!B201:H811,2,)</f>
        <v>0.16669999999999999</v>
      </c>
      <c r="O200" s="41">
        <f>VLOOKUP(N200,'Dataset-2'!C201:I811,2,)</f>
        <v>0.34</v>
      </c>
      <c r="P200" s="41">
        <f>VLOOKUP(O200,'Dataset-2'!D201:J811,2,)</f>
        <v>0.44779999999999998</v>
      </c>
      <c r="Q200" s="41">
        <f>VLOOKUP(P200,'Dataset-2'!E201:K811,2,)</f>
        <v>6</v>
      </c>
      <c r="R200" s="41">
        <f>VLOOKUP(Q200,'Dataset-2'!F201:L811,2,)</f>
        <v>69</v>
      </c>
      <c r="S200" s="41">
        <f>VLOOKUP(R200,'Dataset-2'!G201:M811,2,)</f>
        <v>75</v>
      </c>
    </row>
    <row r="201" spans="1:19" x14ac:dyDescent="0.35">
      <c r="A201" s="40">
        <v>200</v>
      </c>
      <c r="B201" s="62">
        <f>VLOOKUP(A201,'Dataset-1'!A202:M812,2,)</f>
        <v>40552</v>
      </c>
      <c r="C201" s="41">
        <f>VLOOKUP(B201,'Dataset-1'!B202:N812,2,)</f>
        <v>1</v>
      </c>
      <c r="D201" s="41">
        <f>VLOOKUP(C201,'Dataset-1'!C202:O812,2,)</f>
        <v>0</v>
      </c>
      <c r="E201" s="41">
        <f>VLOOKUP(D201,'Dataset-1'!D202:P812,2,)</f>
        <v>1</v>
      </c>
      <c r="F201" s="41">
        <f>VLOOKUP(E201,'Dataset-1'!E202:Q812,2,)</f>
        <v>14</v>
      </c>
      <c r="G201" s="71" t="str">
        <f>VLOOKUP(F201,'Dataset-1'!F202:R812,2,)</f>
        <v>AfterNoon</v>
      </c>
      <c r="H201" s="41" t="b">
        <f>VLOOKUP(G201,'Dataset-1'!G202:S812,2,)</f>
        <v>0</v>
      </c>
      <c r="I201" s="41">
        <f>VLOOKUP(H201,'Dataset-1'!H202:T812,2,)</f>
        <v>0</v>
      </c>
      <c r="J201" s="71" t="str">
        <f>VLOOKUP(I201,'Dataset-1'!I202:U812,2,)</f>
        <v>Saturday</v>
      </c>
      <c r="K201" s="41">
        <f>VLOOKUP(J201,'Dataset-1'!J202:V812,2,)</f>
        <v>1</v>
      </c>
      <c r="L201" s="41">
        <f>VLOOKUP(K201,'Dataset-1'!K202:W812,2,)</f>
        <v>0.22</v>
      </c>
      <c r="M201" s="71" t="str">
        <f>VLOOKUP(L201,'Dataset-1'!L202:X812,2,)</f>
        <v>Cloudy</v>
      </c>
      <c r="N201" s="41">
        <f>VLOOKUP(A201,'Dataset-2'!B202:H812,2,)</f>
        <v>0.18179999999999999</v>
      </c>
      <c r="O201" s="41">
        <f>VLOOKUP(N201,'Dataset-2'!C202:I812,2,)</f>
        <v>0.32</v>
      </c>
      <c r="P201" s="41">
        <f>VLOOKUP(O201,'Dataset-2'!D202:J812,2,)</f>
        <v>0.4627</v>
      </c>
      <c r="Q201" s="41">
        <f>VLOOKUP(P201,'Dataset-2'!E202:K812,2,)</f>
        <v>8</v>
      </c>
      <c r="R201" s="41">
        <f>VLOOKUP(Q201,'Dataset-2'!F202:L812,2,)</f>
        <v>64</v>
      </c>
      <c r="S201" s="41">
        <f>VLOOKUP(R201,'Dataset-2'!G202:M812,2,)</f>
        <v>72</v>
      </c>
    </row>
    <row r="202" spans="1:19" x14ac:dyDescent="0.35">
      <c r="A202" s="40">
        <v>201</v>
      </c>
      <c r="B202" s="62">
        <f>VLOOKUP(A202,'Dataset-1'!A203:M813,2,)</f>
        <v>40552</v>
      </c>
      <c r="C202" s="41">
        <f>VLOOKUP(B202,'Dataset-1'!B203:N813,2,)</f>
        <v>1</v>
      </c>
      <c r="D202" s="41">
        <f>VLOOKUP(C202,'Dataset-1'!C203:O813,2,)</f>
        <v>0</v>
      </c>
      <c r="E202" s="41">
        <f>VLOOKUP(D202,'Dataset-1'!D203:P813,2,)</f>
        <v>1</v>
      </c>
      <c r="F202" s="41">
        <f>VLOOKUP(E202,'Dataset-1'!E203:Q813,2,)</f>
        <v>15</v>
      </c>
      <c r="G202" s="71" t="str">
        <f>VLOOKUP(F202,'Dataset-1'!F203:R813,2,)</f>
        <v>AfterNoon</v>
      </c>
      <c r="H202" s="41" t="b">
        <f>VLOOKUP(G202,'Dataset-1'!G203:S813,2,)</f>
        <v>0</v>
      </c>
      <c r="I202" s="41">
        <f>VLOOKUP(H202,'Dataset-1'!H203:T813,2,)</f>
        <v>0</v>
      </c>
      <c r="J202" s="71" t="str">
        <f>VLOOKUP(I202,'Dataset-1'!I203:U813,2,)</f>
        <v>Saturday</v>
      </c>
      <c r="K202" s="41">
        <f>VLOOKUP(J202,'Dataset-1'!J203:V813,2,)</f>
        <v>1</v>
      </c>
      <c r="L202" s="41">
        <f>VLOOKUP(K202,'Dataset-1'!K203:W813,2,)</f>
        <v>0.22</v>
      </c>
      <c r="M202" s="71" t="str">
        <f>VLOOKUP(L202,'Dataset-1'!L203:X813,2,)</f>
        <v>Cloudy</v>
      </c>
      <c r="N202" s="41">
        <f>VLOOKUP(A202,'Dataset-2'!B203:H813,2,)</f>
        <v>0.19700000000000001</v>
      </c>
      <c r="O202" s="41">
        <f>VLOOKUP(N202,'Dataset-2'!C203:I813,2,)</f>
        <v>0.35</v>
      </c>
      <c r="P202" s="41">
        <f>VLOOKUP(O202,'Dataset-2'!D203:J813,2,)</f>
        <v>0.35820000000000002</v>
      </c>
      <c r="Q202" s="41">
        <f>VLOOKUP(P202,'Dataset-2'!E203:K813,2,)</f>
        <v>5</v>
      </c>
      <c r="R202" s="41">
        <f>VLOOKUP(Q202,'Dataset-2'!F203:L813,2,)</f>
        <v>77</v>
      </c>
      <c r="S202" s="41">
        <f>VLOOKUP(R202,'Dataset-2'!G203:M813,2,)</f>
        <v>82</v>
      </c>
    </row>
    <row r="203" spans="1:19" x14ac:dyDescent="0.35">
      <c r="A203" s="40">
        <v>202</v>
      </c>
      <c r="B203" s="62">
        <f>VLOOKUP(A203,'Dataset-1'!A204:M814,2,)</f>
        <v>40552</v>
      </c>
      <c r="C203" s="41">
        <f>VLOOKUP(B203,'Dataset-1'!B204:N814,2,)</f>
        <v>1</v>
      </c>
      <c r="D203" s="41">
        <f>VLOOKUP(C203,'Dataset-1'!C204:O814,2,)</f>
        <v>0</v>
      </c>
      <c r="E203" s="41">
        <f>VLOOKUP(D203,'Dataset-1'!D204:P814,2,)</f>
        <v>1</v>
      </c>
      <c r="F203" s="41">
        <f>VLOOKUP(E203,'Dataset-1'!E204:Q814,2,)</f>
        <v>16</v>
      </c>
      <c r="G203" s="71" t="str">
        <f>VLOOKUP(F203,'Dataset-1'!F204:R814,2,)</f>
        <v>AfterNoon</v>
      </c>
      <c r="H203" s="41" t="b">
        <f>VLOOKUP(G203,'Dataset-1'!G204:S814,2,)</f>
        <v>0</v>
      </c>
      <c r="I203" s="41">
        <f>VLOOKUP(H203,'Dataset-1'!H204:T814,2,)</f>
        <v>0</v>
      </c>
      <c r="J203" s="71" t="str">
        <f>VLOOKUP(I203,'Dataset-1'!I204:U814,2,)</f>
        <v>Saturday</v>
      </c>
      <c r="K203" s="41">
        <f>VLOOKUP(J203,'Dataset-1'!J204:V814,2,)</f>
        <v>1</v>
      </c>
      <c r="L203" s="41">
        <f>VLOOKUP(K203,'Dataset-1'!K204:W814,2,)</f>
        <v>0.2</v>
      </c>
      <c r="M203" s="71" t="str">
        <f>VLOOKUP(L203,'Dataset-1'!L204:X814,2,)</f>
        <v>Rainy</v>
      </c>
      <c r="N203" s="41">
        <f>VLOOKUP(A203,'Dataset-2'!B204:H814,2,)</f>
        <v>0.16669999999999999</v>
      </c>
      <c r="O203" s="41">
        <f>VLOOKUP(N203,'Dataset-2'!C204:I814,2,)</f>
        <v>0.34</v>
      </c>
      <c r="P203" s="41">
        <f>VLOOKUP(O203,'Dataset-2'!D204:J814,2,)</f>
        <v>0.44779999999999998</v>
      </c>
      <c r="Q203" s="41">
        <f>VLOOKUP(P203,'Dataset-2'!E204:K814,2,)</f>
        <v>13</v>
      </c>
      <c r="R203" s="41">
        <f>VLOOKUP(Q203,'Dataset-2'!F204:L814,2,)</f>
        <v>79</v>
      </c>
      <c r="S203" s="41">
        <f>VLOOKUP(R203,'Dataset-2'!G204:M814,2,)</f>
        <v>92</v>
      </c>
    </row>
    <row r="204" spans="1:19" x14ac:dyDescent="0.35">
      <c r="A204" s="40">
        <v>203</v>
      </c>
      <c r="B204" s="62">
        <f>VLOOKUP(A204,'Dataset-1'!A205:M815,2,)</f>
        <v>40552</v>
      </c>
      <c r="C204" s="41">
        <f>VLOOKUP(B204,'Dataset-1'!B205:N815,2,)</f>
        <v>1</v>
      </c>
      <c r="D204" s="41">
        <f>VLOOKUP(C204,'Dataset-1'!C205:O815,2,)</f>
        <v>0</v>
      </c>
      <c r="E204" s="41">
        <f>VLOOKUP(D204,'Dataset-1'!D205:P815,2,)</f>
        <v>1</v>
      </c>
      <c r="F204" s="41">
        <f>VLOOKUP(E204,'Dataset-1'!E205:Q815,2,)</f>
        <v>17</v>
      </c>
      <c r="G204" s="71" t="str">
        <f>VLOOKUP(F204,'Dataset-1'!F205:R815,2,)</f>
        <v>Evening</v>
      </c>
      <c r="H204" s="41" t="b">
        <f>VLOOKUP(G204,'Dataset-1'!G205:S815,2,)</f>
        <v>0</v>
      </c>
      <c r="I204" s="41">
        <f>VLOOKUP(H204,'Dataset-1'!H205:T815,2,)</f>
        <v>0</v>
      </c>
      <c r="J204" s="71" t="str">
        <f>VLOOKUP(I204,'Dataset-1'!I205:U815,2,)</f>
        <v>Saturday</v>
      </c>
      <c r="K204" s="41">
        <f>VLOOKUP(J204,'Dataset-1'!J205:V815,2,)</f>
        <v>1</v>
      </c>
      <c r="L204" s="41">
        <f>VLOOKUP(K204,'Dataset-1'!K205:W815,2,)</f>
        <v>0.18</v>
      </c>
      <c r="M204" s="71" t="str">
        <f>VLOOKUP(L204,'Dataset-1'!L205:X815,2,)</f>
        <v>Rainy</v>
      </c>
      <c r="N204" s="41">
        <f>VLOOKUP(A204,'Dataset-2'!B205:H815,2,)</f>
        <v>0.1515</v>
      </c>
      <c r="O204" s="41">
        <f>VLOOKUP(N204,'Dataset-2'!C205:I815,2,)</f>
        <v>0.37</v>
      </c>
      <c r="P204" s="41">
        <f>VLOOKUP(O204,'Dataset-2'!D205:J815,2,)</f>
        <v>0.3881</v>
      </c>
      <c r="Q204" s="41">
        <f>VLOOKUP(P204,'Dataset-2'!E205:K815,2,)</f>
        <v>3</v>
      </c>
      <c r="R204" s="41">
        <f>VLOOKUP(Q204,'Dataset-2'!F205:L815,2,)</f>
        <v>59</v>
      </c>
      <c r="S204" s="41">
        <f>VLOOKUP(R204,'Dataset-2'!G205:M815,2,)</f>
        <v>62</v>
      </c>
    </row>
    <row r="205" spans="1:19" x14ac:dyDescent="0.35">
      <c r="A205" s="40">
        <v>204</v>
      </c>
      <c r="B205" s="62">
        <f>VLOOKUP(A205,'Dataset-1'!A206:M816,2,)</f>
        <v>40552</v>
      </c>
      <c r="C205" s="41">
        <f>VLOOKUP(B205,'Dataset-1'!B206:N816,2,)</f>
        <v>1</v>
      </c>
      <c r="D205" s="41">
        <f>VLOOKUP(C205,'Dataset-1'!C206:O816,2,)</f>
        <v>0</v>
      </c>
      <c r="E205" s="41">
        <f>VLOOKUP(D205,'Dataset-1'!D206:P816,2,)</f>
        <v>1</v>
      </c>
      <c r="F205" s="41">
        <f>VLOOKUP(E205,'Dataset-1'!E206:Q816,2,)</f>
        <v>18</v>
      </c>
      <c r="G205" s="71" t="str">
        <f>VLOOKUP(F205,'Dataset-1'!F206:R816,2,)</f>
        <v>Evening</v>
      </c>
      <c r="H205" s="41" t="b">
        <f>VLOOKUP(G205,'Dataset-1'!G206:S816,2,)</f>
        <v>0</v>
      </c>
      <c r="I205" s="41">
        <f>VLOOKUP(H205,'Dataset-1'!H206:T816,2,)</f>
        <v>0</v>
      </c>
      <c r="J205" s="71" t="str">
        <f>VLOOKUP(I205,'Dataset-1'!I206:U816,2,)</f>
        <v>Saturday</v>
      </c>
      <c r="K205" s="41">
        <f>VLOOKUP(J205,'Dataset-1'!J206:V816,2,)</f>
        <v>1</v>
      </c>
      <c r="L205" s="41">
        <f>VLOOKUP(K205,'Dataset-1'!K206:W816,2,)</f>
        <v>0.16</v>
      </c>
      <c r="M205" s="71" t="str">
        <f>VLOOKUP(L205,'Dataset-1'!L206:X816,2,)</f>
        <v>Rainy</v>
      </c>
      <c r="N205" s="41">
        <f>VLOOKUP(A205,'Dataset-2'!B206:H816,2,)</f>
        <v>0.13639999999999999</v>
      </c>
      <c r="O205" s="41">
        <f>VLOOKUP(N205,'Dataset-2'!C206:I816,2,)</f>
        <v>0.4</v>
      </c>
      <c r="P205" s="41">
        <f>VLOOKUP(O205,'Dataset-2'!D206:J816,2,)</f>
        <v>0.32840000000000003</v>
      </c>
      <c r="Q205" s="41">
        <f>VLOOKUP(P205,'Dataset-2'!E206:K816,2,)</f>
        <v>4</v>
      </c>
      <c r="R205" s="41">
        <f>VLOOKUP(Q205,'Dataset-2'!F206:L816,2,)</f>
        <v>44</v>
      </c>
      <c r="S205" s="41">
        <f>VLOOKUP(R205,'Dataset-2'!G206:M816,2,)</f>
        <v>48</v>
      </c>
    </row>
    <row r="206" spans="1:19" x14ac:dyDescent="0.35">
      <c r="A206" s="40">
        <v>205</v>
      </c>
      <c r="B206" s="62">
        <f>VLOOKUP(A206,'Dataset-1'!A207:M817,2,)</f>
        <v>40552</v>
      </c>
      <c r="C206" s="41">
        <f>VLOOKUP(B206,'Dataset-1'!B207:N817,2,)</f>
        <v>1</v>
      </c>
      <c r="D206" s="41">
        <f>VLOOKUP(C206,'Dataset-1'!C207:O817,2,)</f>
        <v>0</v>
      </c>
      <c r="E206" s="41">
        <f>VLOOKUP(D206,'Dataset-1'!D207:P817,2,)</f>
        <v>1</v>
      </c>
      <c r="F206" s="41">
        <f>VLOOKUP(E206,'Dataset-1'!E207:Q817,2,)</f>
        <v>19</v>
      </c>
      <c r="G206" s="71" t="str">
        <f>VLOOKUP(F206,'Dataset-1'!F207:R817,2,)</f>
        <v>Evening</v>
      </c>
      <c r="H206" s="41" t="b">
        <f>VLOOKUP(G206,'Dataset-1'!G207:S817,2,)</f>
        <v>0</v>
      </c>
      <c r="I206" s="41">
        <f>VLOOKUP(H206,'Dataset-1'!H207:T817,2,)</f>
        <v>0</v>
      </c>
      <c r="J206" s="71" t="str">
        <f>VLOOKUP(I206,'Dataset-1'!I207:U817,2,)</f>
        <v>Saturday</v>
      </c>
      <c r="K206" s="41">
        <f>VLOOKUP(J206,'Dataset-1'!J207:V817,2,)</f>
        <v>1</v>
      </c>
      <c r="L206" s="41">
        <f>VLOOKUP(K206,'Dataset-1'!K207:W817,2,)</f>
        <v>0.16</v>
      </c>
      <c r="M206" s="71" t="str">
        <f>VLOOKUP(L206,'Dataset-1'!L207:X817,2,)</f>
        <v>Rainy</v>
      </c>
      <c r="N206" s="41">
        <f>VLOOKUP(A206,'Dataset-2'!B207:H817,2,)</f>
        <v>0.13639999999999999</v>
      </c>
      <c r="O206" s="41">
        <f>VLOOKUP(N206,'Dataset-2'!C207:I817,2,)</f>
        <v>0.43</v>
      </c>
      <c r="P206" s="41">
        <f>VLOOKUP(O206,'Dataset-2'!D207:J817,2,)</f>
        <v>0.32840000000000003</v>
      </c>
      <c r="Q206" s="41">
        <f>VLOOKUP(P206,'Dataset-2'!E207:K817,2,)</f>
        <v>1</v>
      </c>
      <c r="R206" s="41">
        <f>VLOOKUP(Q206,'Dataset-2'!F207:L817,2,)</f>
        <v>40</v>
      </c>
      <c r="S206" s="41">
        <f>VLOOKUP(R206,'Dataset-2'!G207:M817,2,)</f>
        <v>41</v>
      </c>
    </row>
    <row r="207" spans="1:19" x14ac:dyDescent="0.35">
      <c r="A207" s="40">
        <v>206</v>
      </c>
      <c r="B207" s="62">
        <f>VLOOKUP(A207,'Dataset-1'!A208:M818,2,)</f>
        <v>40552</v>
      </c>
      <c r="C207" s="41">
        <f>VLOOKUP(B207,'Dataset-1'!B208:N818,2,)</f>
        <v>1</v>
      </c>
      <c r="D207" s="41">
        <f>VLOOKUP(C207,'Dataset-1'!C208:O818,2,)</f>
        <v>0</v>
      </c>
      <c r="E207" s="41">
        <f>VLOOKUP(D207,'Dataset-1'!D208:P818,2,)</f>
        <v>1</v>
      </c>
      <c r="F207" s="41">
        <f>VLOOKUP(E207,'Dataset-1'!E208:Q818,2,)</f>
        <v>20</v>
      </c>
      <c r="G207" s="71" t="str">
        <f>VLOOKUP(F207,'Dataset-1'!F208:R818,2,)</f>
        <v>Night</v>
      </c>
      <c r="H207" s="41" t="b">
        <f>VLOOKUP(G207,'Dataset-1'!G208:S818,2,)</f>
        <v>0</v>
      </c>
      <c r="I207" s="41">
        <f>VLOOKUP(H207,'Dataset-1'!H208:T818,2,)</f>
        <v>0</v>
      </c>
      <c r="J207" s="71" t="str">
        <f>VLOOKUP(I207,'Dataset-1'!I208:U818,2,)</f>
        <v>Saturday</v>
      </c>
      <c r="K207" s="41">
        <f>VLOOKUP(J207,'Dataset-1'!J208:V818,2,)</f>
        <v>1</v>
      </c>
      <c r="L207" s="41">
        <f>VLOOKUP(K207,'Dataset-1'!K208:W818,2,)</f>
        <v>0.14000000000000001</v>
      </c>
      <c r="M207" s="71" t="str">
        <f>VLOOKUP(L207,'Dataset-1'!L208:X818,2,)</f>
        <v>Rainy</v>
      </c>
      <c r="N207" s="41">
        <f>VLOOKUP(A207,'Dataset-2'!B208:H818,2,)</f>
        <v>0.1212</v>
      </c>
      <c r="O207" s="41">
        <f>VLOOKUP(N207,'Dataset-2'!C208:I818,2,)</f>
        <v>0.46</v>
      </c>
      <c r="P207" s="41">
        <f>VLOOKUP(O207,'Dataset-2'!D208:J818,2,)</f>
        <v>0.25369999999999998</v>
      </c>
      <c r="Q207" s="41">
        <f>VLOOKUP(P207,'Dataset-2'!E208:K818,2,)</f>
        <v>0</v>
      </c>
      <c r="R207" s="41">
        <f>VLOOKUP(Q207,'Dataset-2'!F208:L818,2,)</f>
        <v>38</v>
      </c>
      <c r="S207" s="41">
        <f>VLOOKUP(R207,'Dataset-2'!G208:M818,2,)</f>
        <v>38</v>
      </c>
    </row>
    <row r="208" spans="1:19" x14ac:dyDescent="0.35">
      <c r="A208" s="40">
        <v>207</v>
      </c>
      <c r="B208" s="62">
        <f>VLOOKUP(A208,'Dataset-1'!A209:M819,2,)</f>
        <v>40552</v>
      </c>
      <c r="C208" s="41">
        <f>VLOOKUP(B208,'Dataset-1'!B209:N819,2,)</f>
        <v>1</v>
      </c>
      <c r="D208" s="41">
        <f>VLOOKUP(C208,'Dataset-1'!C209:O819,2,)</f>
        <v>0</v>
      </c>
      <c r="E208" s="41">
        <f>VLOOKUP(D208,'Dataset-1'!D209:P819,2,)</f>
        <v>1</v>
      </c>
      <c r="F208" s="41">
        <f>VLOOKUP(E208,'Dataset-1'!E209:Q819,2,)</f>
        <v>21</v>
      </c>
      <c r="G208" s="71" t="str">
        <f>VLOOKUP(F208,'Dataset-1'!F209:R819,2,)</f>
        <v>Night</v>
      </c>
      <c r="H208" s="41" t="b">
        <f>VLOOKUP(G208,'Dataset-1'!G209:S819,2,)</f>
        <v>0</v>
      </c>
      <c r="I208" s="41">
        <f>VLOOKUP(H208,'Dataset-1'!H209:T819,2,)</f>
        <v>0</v>
      </c>
      <c r="J208" s="71" t="str">
        <f>VLOOKUP(I208,'Dataset-1'!I209:U819,2,)</f>
        <v>Saturday</v>
      </c>
      <c r="K208" s="41">
        <f>VLOOKUP(J208,'Dataset-1'!J209:V819,2,)</f>
        <v>1</v>
      </c>
      <c r="L208" s="41">
        <f>VLOOKUP(K208,'Dataset-1'!K209:W819,2,)</f>
        <v>0.14000000000000001</v>
      </c>
      <c r="M208" s="71" t="str">
        <f>VLOOKUP(L208,'Dataset-1'!L209:X819,2,)</f>
        <v>Rainy</v>
      </c>
      <c r="N208" s="41">
        <f>VLOOKUP(A208,'Dataset-2'!B209:H819,2,)</f>
        <v>0.1061</v>
      </c>
      <c r="O208" s="41">
        <f>VLOOKUP(N208,'Dataset-2'!C209:I819,2,)</f>
        <v>0.46</v>
      </c>
      <c r="P208" s="41">
        <f>VLOOKUP(O208,'Dataset-2'!D209:J819,2,)</f>
        <v>0.41789999999999999</v>
      </c>
      <c r="Q208" s="41">
        <f>VLOOKUP(P208,'Dataset-2'!E209:K819,2,)</f>
        <v>1</v>
      </c>
      <c r="R208" s="41">
        <f>VLOOKUP(Q208,'Dataset-2'!F209:L819,2,)</f>
        <v>19</v>
      </c>
      <c r="S208" s="41">
        <f>VLOOKUP(R208,'Dataset-2'!G209:M819,2,)</f>
        <v>20</v>
      </c>
    </row>
    <row r="209" spans="1:19" x14ac:dyDescent="0.35">
      <c r="A209" s="40">
        <v>208</v>
      </c>
      <c r="B209" s="62">
        <f>VLOOKUP(A209,'Dataset-1'!A210:M820,2,)</f>
        <v>40552</v>
      </c>
      <c r="C209" s="41">
        <f>VLOOKUP(B209,'Dataset-1'!B210:N820,2,)</f>
        <v>1</v>
      </c>
      <c r="D209" s="41">
        <f>VLOOKUP(C209,'Dataset-1'!C210:O820,2,)</f>
        <v>0</v>
      </c>
      <c r="E209" s="41">
        <f>VLOOKUP(D209,'Dataset-1'!D210:P820,2,)</f>
        <v>1</v>
      </c>
      <c r="F209" s="41">
        <f>VLOOKUP(E209,'Dataset-1'!E210:Q820,2,)</f>
        <v>22</v>
      </c>
      <c r="G209" s="71" t="str">
        <f>VLOOKUP(F209,'Dataset-1'!F210:R820,2,)</f>
        <v>Night</v>
      </c>
      <c r="H209" s="41" t="b">
        <f>VLOOKUP(G209,'Dataset-1'!G210:S820,2,)</f>
        <v>0</v>
      </c>
      <c r="I209" s="41">
        <f>VLOOKUP(H209,'Dataset-1'!H210:T820,2,)</f>
        <v>0</v>
      </c>
      <c r="J209" s="71" t="str">
        <f>VLOOKUP(I209,'Dataset-1'!I210:U820,2,)</f>
        <v>Saturday</v>
      </c>
      <c r="K209" s="41">
        <f>VLOOKUP(J209,'Dataset-1'!J210:V820,2,)</f>
        <v>1</v>
      </c>
      <c r="L209" s="41">
        <f>VLOOKUP(K209,'Dataset-1'!K210:W820,2,)</f>
        <v>0.14000000000000001</v>
      </c>
      <c r="M209" s="71" t="str">
        <f>VLOOKUP(L209,'Dataset-1'!L210:X820,2,)</f>
        <v>Rainy</v>
      </c>
      <c r="N209" s="41">
        <f>VLOOKUP(A209,'Dataset-2'!B210:H820,2,)</f>
        <v>0.1212</v>
      </c>
      <c r="O209" s="41">
        <f>VLOOKUP(N209,'Dataset-2'!C210:I820,2,)</f>
        <v>0.46</v>
      </c>
      <c r="P209" s="41">
        <f>VLOOKUP(O209,'Dataset-2'!D210:J820,2,)</f>
        <v>0.29849999999999999</v>
      </c>
      <c r="Q209" s="41">
        <f>VLOOKUP(P209,'Dataset-2'!E210:K820,2,)</f>
        <v>5</v>
      </c>
      <c r="R209" s="41">
        <f>VLOOKUP(Q209,'Dataset-2'!F210:L820,2,)</f>
        <v>10</v>
      </c>
      <c r="S209" s="41">
        <f>VLOOKUP(R209,'Dataset-2'!G210:M820,2,)</f>
        <v>15</v>
      </c>
    </row>
    <row r="210" spans="1:19" x14ac:dyDescent="0.35">
      <c r="A210" s="40">
        <v>209</v>
      </c>
      <c r="B210" s="62">
        <f>VLOOKUP(A210,'Dataset-1'!A211:M821,2,)</f>
        <v>40552</v>
      </c>
      <c r="C210" s="41">
        <f>VLOOKUP(B210,'Dataset-1'!B211:N821,2,)</f>
        <v>1</v>
      </c>
      <c r="D210" s="41">
        <f>VLOOKUP(C210,'Dataset-1'!C211:O821,2,)</f>
        <v>0</v>
      </c>
      <c r="E210" s="41">
        <f>VLOOKUP(D210,'Dataset-1'!D211:P821,2,)</f>
        <v>1</v>
      </c>
      <c r="F210" s="41">
        <f>VLOOKUP(E210,'Dataset-1'!E211:Q821,2,)</f>
        <v>23</v>
      </c>
      <c r="G210" s="71" t="str">
        <f>VLOOKUP(F210,'Dataset-1'!F211:R821,2,)</f>
        <v>Night</v>
      </c>
      <c r="H210" s="41" t="b">
        <f>VLOOKUP(G210,'Dataset-1'!G211:S821,2,)</f>
        <v>0</v>
      </c>
      <c r="I210" s="41">
        <f>VLOOKUP(H210,'Dataset-1'!H211:T821,2,)</f>
        <v>0</v>
      </c>
      <c r="J210" s="71" t="str">
        <f>VLOOKUP(I210,'Dataset-1'!I211:U821,2,)</f>
        <v>Saturday</v>
      </c>
      <c r="K210" s="41">
        <f>VLOOKUP(J210,'Dataset-1'!J211:V821,2,)</f>
        <v>1</v>
      </c>
      <c r="L210" s="41">
        <f>VLOOKUP(K210,'Dataset-1'!K211:W821,2,)</f>
        <v>0.12</v>
      </c>
      <c r="M210" s="71" t="str">
        <f>VLOOKUP(L210,'Dataset-1'!L211:X821,2,)</f>
        <v>Rainy</v>
      </c>
      <c r="N210" s="41">
        <f>VLOOKUP(A210,'Dataset-2'!B211:H821,2,)</f>
        <v>0.13639999999999999</v>
      </c>
      <c r="O210" s="41">
        <f>VLOOKUP(N210,'Dataset-2'!C211:I821,2,)</f>
        <v>0.5</v>
      </c>
      <c r="P210" s="41">
        <f>VLOOKUP(O210,'Dataset-2'!D211:J821,2,)</f>
        <v>0.19400000000000001</v>
      </c>
      <c r="Q210" s="41">
        <f>VLOOKUP(P210,'Dataset-2'!E211:K821,2,)</f>
        <v>0</v>
      </c>
      <c r="R210" s="41">
        <f>VLOOKUP(Q210,'Dataset-2'!F211:L821,2,)</f>
        <v>6</v>
      </c>
      <c r="S210" s="41">
        <f>VLOOKUP(R210,'Dataset-2'!G211:M821,2,)</f>
        <v>6</v>
      </c>
    </row>
    <row r="211" spans="1:19" x14ac:dyDescent="0.35">
      <c r="A211" s="40">
        <v>210</v>
      </c>
      <c r="B211" s="62">
        <f>VLOOKUP(A211,'Dataset-1'!A212:M822,2,)</f>
        <v>40553</v>
      </c>
      <c r="C211" s="41">
        <f>VLOOKUP(B211,'Dataset-1'!B212:N822,2,)</f>
        <v>1</v>
      </c>
      <c r="D211" s="41">
        <f>VLOOKUP(C211,'Dataset-1'!C212:O822,2,)</f>
        <v>0</v>
      </c>
      <c r="E211" s="41">
        <f>VLOOKUP(D211,'Dataset-1'!D212:P822,2,)</f>
        <v>1</v>
      </c>
      <c r="F211" s="41">
        <f>VLOOKUP(E211,'Dataset-1'!E212:Q822,2,)</f>
        <v>0</v>
      </c>
      <c r="G211" s="71" t="str">
        <f>VLOOKUP(F211,'Dataset-1'!F212:R822,2,)</f>
        <v>Night</v>
      </c>
      <c r="H211" s="41" t="b">
        <f>VLOOKUP(G211,'Dataset-1'!G212:S822,2,)</f>
        <v>0</v>
      </c>
      <c r="I211" s="41">
        <f>VLOOKUP(H211,'Dataset-1'!H212:T822,2,)</f>
        <v>1</v>
      </c>
      <c r="J211" s="71" t="str">
        <f>VLOOKUP(I211,'Dataset-1'!I212:U822,2,)</f>
        <v>Sunday</v>
      </c>
      <c r="K211" s="41">
        <f>VLOOKUP(J211,'Dataset-1'!J212:V822,2,)</f>
        <v>1</v>
      </c>
      <c r="L211" s="41">
        <f>VLOOKUP(K211,'Dataset-1'!K212:W822,2,)</f>
        <v>0.12</v>
      </c>
      <c r="M211" s="71" t="str">
        <f>VLOOKUP(L211,'Dataset-1'!L212:X822,2,)</f>
        <v>Rainy</v>
      </c>
      <c r="N211" s="41">
        <f>VLOOKUP(A211,'Dataset-2'!B212:H822,2,)</f>
        <v>0.1212</v>
      </c>
      <c r="O211" s="41">
        <f>VLOOKUP(N211,'Dataset-2'!C212:I822,2,)</f>
        <v>0.5</v>
      </c>
      <c r="P211" s="41">
        <f>VLOOKUP(O211,'Dataset-2'!D212:J822,2,)</f>
        <v>0.28360000000000002</v>
      </c>
      <c r="Q211" s="41">
        <f>VLOOKUP(P211,'Dataset-2'!E212:K822,2,)</f>
        <v>2</v>
      </c>
      <c r="R211" s="41">
        <f>VLOOKUP(Q211,'Dataset-2'!F212:L822,2,)</f>
        <v>3</v>
      </c>
      <c r="S211" s="41">
        <f>VLOOKUP(R211,'Dataset-2'!G212:M822,2,)</f>
        <v>5</v>
      </c>
    </row>
    <row r="212" spans="1:19" x14ac:dyDescent="0.35">
      <c r="A212" s="40">
        <v>211</v>
      </c>
      <c r="B212" s="62">
        <f>VLOOKUP(A212,'Dataset-1'!A213:M823,2,)</f>
        <v>40553</v>
      </c>
      <c r="C212" s="41">
        <f>VLOOKUP(B212,'Dataset-1'!B213:N823,2,)</f>
        <v>1</v>
      </c>
      <c r="D212" s="41">
        <f>VLOOKUP(C212,'Dataset-1'!C213:O823,2,)</f>
        <v>0</v>
      </c>
      <c r="E212" s="41">
        <f>VLOOKUP(D212,'Dataset-1'!D213:P823,2,)</f>
        <v>1</v>
      </c>
      <c r="F212" s="41">
        <f>VLOOKUP(E212,'Dataset-1'!E213:Q823,2,)</f>
        <v>1</v>
      </c>
      <c r="G212" s="71" t="str">
        <f>VLOOKUP(F212,'Dataset-1'!F213:R823,2,)</f>
        <v>Night</v>
      </c>
      <c r="H212" s="41" t="b">
        <f>VLOOKUP(G212,'Dataset-1'!G213:S823,2,)</f>
        <v>0</v>
      </c>
      <c r="I212" s="41">
        <f>VLOOKUP(H212,'Dataset-1'!H213:T823,2,)</f>
        <v>1</v>
      </c>
      <c r="J212" s="71" t="str">
        <f>VLOOKUP(I212,'Dataset-1'!I213:U823,2,)</f>
        <v>Sunday</v>
      </c>
      <c r="K212" s="41">
        <f>VLOOKUP(J212,'Dataset-1'!J213:V823,2,)</f>
        <v>1</v>
      </c>
      <c r="L212" s="41">
        <f>VLOOKUP(K212,'Dataset-1'!K213:W823,2,)</f>
        <v>0.12</v>
      </c>
      <c r="M212" s="71" t="str">
        <f>VLOOKUP(L212,'Dataset-1'!L213:X823,2,)</f>
        <v>Rainy</v>
      </c>
      <c r="N212" s="41">
        <f>VLOOKUP(A212,'Dataset-2'!B213:H823,2,)</f>
        <v>0.1212</v>
      </c>
      <c r="O212" s="41">
        <f>VLOOKUP(N212,'Dataset-2'!C213:I823,2,)</f>
        <v>0.5</v>
      </c>
      <c r="P212" s="41">
        <f>VLOOKUP(O212,'Dataset-2'!D213:J823,2,)</f>
        <v>0.28360000000000002</v>
      </c>
      <c r="Q212" s="41">
        <f>VLOOKUP(P212,'Dataset-2'!E213:K823,2,)</f>
        <v>1</v>
      </c>
      <c r="R212" s="41">
        <f>VLOOKUP(Q212,'Dataset-2'!F213:L823,2,)</f>
        <v>0</v>
      </c>
      <c r="S212" s="41">
        <f>VLOOKUP(R212,'Dataset-2'!G213:M823,2,)</f>
        <v>1</v>
      </c>
    </row>
    <row r="213" spans="1:19" x14ac:dyDescent="0.35">
      <c r="A213" s="40">
        <v>212</v>
      </c>
      <c r="B213" s="62">
        <f>VLOOKUP(A213,'Dataset-1'!A214:M824,2,)</f>
        <v>40553</v>
      </c>
      <c r="C213" s="41">
        <f>VLOOKUP(B213,'Dataset-1'!B214:N824,2,)</f>
        <v>1</v>
      </c>
      <c r="D213" s="41">
        <f>VLOOKUP(C213,'Dataset-1'!C214:O824,2,)</f>
        <v>0</v>
      </c>
      <c r="E213" s="41">
        <f>VLOOKUP(D213,'Dataset-1'!D214:P824,2,)</f>
        <v>1</v>
      </c>
      <c r="F213" s="41">
        <f>VLOOKUP(E213,'Dataset-1'!E214:Q824,2,)</f>
        <v>2</v>
      </c>
      <c r="G213" s="71" t="str">
        <f>VLOOKUP(F213,'Dataset-1'!F214:R824,2,)</f>
        <v>Night</v>
      </c>
      <c r="H213" s="41" t="b">
        <f>VLOOKUP(G213,'Dataset-1'!G214:S824,2,)</f>
        <v>0</v>
      </c>
      <c r="I213" s="41">
        <f>VLOOKUP(H213,'Dataset-1'!H214:T824,2,)</f>
        <v>1</v>
      </c>
      <c r="J213" s="71" t="str">
        <f>VLOOKUP(I213,'Dataset-1'!I214:U824,2,)</f>
        <v>Sunday</v>
      </c>
      <c r="K213" s="41">
        <f>VLOOKUP(J213,'Dataset-1'!J214:V824,2,)</f>
        <v>1</v>
      </c>
      <c r="L213" s="41">
        <f>VLOOKUP(K213,'Dataset-1'!K214:W824,2,)</f>
        <v>0.12</v>
      </c>
      <c r="M213" s="71" t="str">
        <f>VLOOKUP(L213,'Dataset-1'!L214:X824,2,)</f>
        <v>Rainy</v>
      </c>
      <c r="N213" s="41">
        <f>VLOOKUP(A213,'Dataset-2'!B214:H824,2,)</f>
        <v>0.1212</v>
      </c>
      <c r="O213" s="41">
        <f>VLOOKUP(N213,'Dataset-2'!C214:I824,2,)</f>
        <v>0.5</v>
      </c>
      <c r="P213" s="41">
        <f>VLOOKUP(O213,'Dataset-2'!D214:J824,2,)</f>
        <v>0.22389999999999999</v>
      </c>
      <c r="Q213" s="41">
        <f>VLOOKUP(P213,'Dataset-2'!E214:K824,2,)</f>
        <v>0</v>
      </c>
      <c r="R213" s="41">
        <f>VLOOKUP(Q213,'Dataset-2'!F214:L824,2,)</f>
        <v>3</v>
      </c>
      <c r="S213" s="41">
        <f>VLOOKUP(R213,'Dataset-2'!G214:M824,2,)</f>
        <v>3</v>
      </c>
    </row>
    <row r="214" spans="1:19" x14ac:dyDescent="0.35">
      <c r="A214" s="40">
        <v>213</v>
      </c>
      <c r="B214" s="62">
        <f>VLOOKUP(A214,'Dataset-1'!A215:M825,2,)</f>
        <v>40553</v>
      </c>
      <c r="C214" s="41">
        <f>VLOOKUP(B214,'Dataset-1'!B215:N825,2,)</f>
        <v>1</v>
      </c>
      <c r="D214" s="41">
        <f>VLOOKUP(C214,'Dataset-1'!C215:O825,2,)</f>
        <v>0</v>
      </c>
      <c r="E214" s="41">
        <f>VLOOKUP(D214,'Dataset-1'!D215:P825,2,)</f>
        <v>1</v>
      </c>
      <c r="F214" s="41">
        <f>VLOOKUP(E214,'Dataset-1'!E215:Q825,2,)</f>
        <v>3</v>
      </c>
      <c r="G214" s="71" t="str">
        <f>VLOOKUP(F214,'Dataset-1'!F215:R825,2,)</f>
        <v>Night</v>
      </c>
      <c r="H214" s="41" t="b">
        <f>VLOOKUP(G214,'Dataset-1'!G215:S825,2,)</f>
        <v>0</v>
      </c>
      <c r="I214" s="41">
        <f>VLOOKUP(H214,'Dataset-1'!H215:T825,2,)</f>
        <v>1</v>
      </c>
      <c r="J214" s="71" t="str">
        <f>VLOOKUP(I214,'Dataset-1'!I215:U825,2,)</f>
        <v>Sunday</v>
      </c>
      <c r="K214" s="41">
        <f>VLOOKUP(J214,'Dataset-1'!J215:V825,2,)</f>
        <v>1</v>
      </c>
      <c r="L214" s="41">
        <f>VLOOKUP(K214,'Dataset-1'!K215:W825,2,)</f>
        <v>0.12</v>
      </c>
      <c r="M214" s="71" t="str">
        <f>VLOOKUP(L214,'Dataset-1'!L215:X825,2,)</f>
        <v>Rainy</v>
      </c>
      <c r="N214" s="41">
        <f>VLOOKUP(A214,'Dataset-2'!B215:H825,2,)</f>
        <v>0.1212</v>
      </c>
      <c r="O214" s="41">
        <f>VLOOKUP(N214,'Dataset-2'!C215:I825,2,)</f>
        <v>0.5</v>
      </c>
      <c r="P214" s="41">
        <f>VLOOKUP(O214,'Dataset-2'!D215:J825,2,)</f>
        <v>0.22389999999999999</v>
      </c>
      <c r="Q214" s="41">
        <f>VLOOKUP(P214,'Dataset-2'!E215:K825,2,)</f>
        <v>0</v>
      </c>
      <c r="R214" s="41">
        <f>VLOOKUP(Q214,'Dataset-2'!F215:L825,2,)</f>
        <v>1</v>
      </c>
      <c r="S214" s="41">
        <f>VLOOKUP(R214,'Dataset-2'!G215:M825,2,)</f>
        <v>1</v>
      </c>
    </row>
    <row r="215" spans="1:19" x14ac:dyDescent="0.35">
      <c r="A215" s="40">
        <v>214</v>
      </c>
      <c r="B215" s="62">
        <f>VLOOKUP(A215,'Dataset-1'!A216:M826,2,)</f>
        <v>40553</v>
      </c>
      <c r="C215" s="41">
        <f>VLOOKUP(B215,'Dataset-1'!B216:N826,2,)</f>
        <v>1</v>
      </c>
      <c r="D215" s="41">
        <f>VLOOKUP(C215,'Dataset-1'!C216:O826,2,)</f>
        <v>0</v>
      </c>
      <c r="E215" s="41">
        <f>VLOOKUP(D215,'Dataset-1'!D216:P826,2,)</f>
        <v>1</v>
      </c>
      <c r="F215" s="41">
        <f>VLOOKUP(E215,'Dataset-1'!E216:Q826,2,)</f>
        <v>4</v>
      </c>
      <c r="G215" s="71" t="str">
        <f>VLOOKUP(F215,'Dataset-1'!F216:R826,2,)</f>
        <v>Night</v>
      </c>
      <c r="H215" s="41" t="b">
        <f>VLOOKUP(G215,'Dataset-1'!G216:S826,2,)</f>
        <v>0</v>
      </c>
      <c r="I215" s="41">
        <f>VLOOKUP(H215,'Dataset-1'!H216:T826,2,)</f>
        <v>1</v>
      </c>
      <c r="J215" s="71" t="str">
        <f>VLOOKUP(I215,'Dataset-1'!I216:U826,2,)</f>
        <v>Sunday</v>
      </c>
      <c r="K215" s="41">
        <f>VLOOKUP(J215,'Dataset-1'!J216:V826,2,)</f>
        <v>1</v>
      </c>
      <c r="L215" s="41">
        <f>VLOOKUP(K215,'Dataset-1'!K216:W826,2,)</f>
        <v>0.1</v>
      </c>
      <c r="M215" s="71" t="str">
        <f>VLOOKUP(L215,'Dataset-1'!L216:X826,2,)</f>
        <v>Stromy</v>
      </c>
      <c r="N215" s="41">
        <f>VLOOKUP(A215,'Dataset-2'!B216:H826,2,)</f>
        <v>0.1212</v>
      </c>
      <c r="O215" s="41">
        <f>VLOOKUP(N215,'Dataset-2'!C216:I826,2,)</f>
        <v>0.54</v>
      </c>
      <c r="P215" s="41">
        <f>VLOOKUP(O215,'Dataset-2'!D216:J826,2,)</f>
        <v>0.1343</v>
      </c>
      <c r="Q215" s="41">
        <f>VLOOKUP(P215,'Dataset-2'!E216:K826,2,)</f>
        <v>1</v>
      </c>
      <c r="R215" s="41">
        <f>VLOOKUP(Q215,'Dataset-2'!F216:L826,2,)</f>
        <v>2</v>
      </c>
      <c r="S215" s="41">
        <f>VLOOKUP(R215,'Dataset-2'!G216:M826,2,)</f>
        <v>3</v>
      </c>
    </row>
    <row r="216" spans="1:19" x14ac:dyDescent="0.35">
      <c r="A216" s="40">
        <v>215</v>
      </c>
      <c r="B216" s="62">
        <f>VLOOKUP(A216,'Dataset-1'!A217:M827,2,)</f>
        <v>40553</v>
      </c>
      <c r="C216" s="41">
        <f>VLOOKUP(B216,'Dataset-1'!B217:N827,2,)</f>
        <v>1</v>
      </c>
      <c r="D216" s="41">
        <f>VLOOKUP(C216,'Dataset-1'!C217:O827,2,)</f>
        <v>0</v>
      </c>
      <c r="E216" s="41">
        <f>VLOOKUP(D216,'Dataset-1'!D217:P827,2,)</f>
        <v>1</v>
      </c>
      <c r="F216" s="41">
        <f>VLOOKUP(E216,'Dataset-1'!E217:Q827,2,)</f>
        <v>5</v>
      </c>
      <c r="G216" s="71" t="str">
        <f>VLOOKUP(F216,'Dataset-1'!F217:R827,2,)</f>
        <v>Morning</v>
      </c>
      <c r="H216" s="41" t="b">
        <f>VLOOKUP(G216,'Dataset-1'!G217:S827,2,)</f>
        <v>0</v>
      </c>
      <c r="I216" s="41">
        <f>VLOOKUP(H216,'Dataset-1'!H217:T827,2,)</f>
        <v>1</v>
      </c>
      <c r="J216" s="71" t="str">
        <f>VLOOKUP(I216,'Dataset-1'!I217:U827,2,)</f>
        <v>Sunday</v>
      </c>
      <c r="K216" s="41">
        <f>VLOOKUP(J216,'Dataset-1'!J217:V827,2,)</f>
        <v>1</v>
      </c>
      <c r="L216" s="41">
        <f>VLOOKUP(K216,'Dataset-1'!K217:W827,2,)</f>
        <v>0.1</v>
      </c>
      <c r="M216" s="71" t="str">
        <f>VLOOKUP(L216,'Dataset-1'!L217:X827,2,)</f>
        <v>Stromy</v>
      </c>
      <c r="N216" s="41">
        <f>VLOOKUP(A216,'Dataset-2'!B217:H827,2,)</f>
        <v>0.1061</v>
      </c>
      <c r="O216" s="41">
        <f>VLOOKUP(N216,'Dataset-2'!C217:I827,2,)</f>
        <v>0.54</v>
      </c>
      <c r="P216" s="41">
        <f>VLOOKUP(O216,'Dataset-2'!D217:J827,2,)</f>
        <v>0.25369999999999998</v>
      </c>
      <c r="Q216" s="41">
        <f>VLOOKUP(P216,'Dataset-2'!E217:K827,2,)</f>
        <v>0</v>
      </c>
      <c r="R216" s="41">
        <f>VLOOKUP(Q216,'Dataset-2'!F217:L827,2,)</f>
        <v>3</v>
      </c>
      <c r="S216" s="41">
        <f>VLOOKUP(R216,'Dataset-2'!G217:M827,2,)</f>
        <v>3</v>
      </c>
    </row>
    <row r="217" spans="1:19" x14ac:dyDescent="0.35">
      <c r="A217" s="40">
        <v>216</v>
      </c>
      <c r="B217" s="62">
        <f>VLOOKUP(A217,'Dataset-1'!A218:M828,2,)</f>
        <v>40553</v>
      </c>
      <c r="C217" s="41">
        <f>VLOOKUP(B217,'Dataset-1'!B218:N828,2,)</f>
        <v>1</v>
      </c>
      <c r="D217" s="41">
        <f>VLOOKUP(C217,'Dataset-1'!C218:O828,2,)</f>
        <v>0</v>
      </c>
      <c r="E217" s="41">
        <f>VLOOKUP(D217,'Dataset-1'!D218:P828,2,)</f>
        <v>1</v>
      </c>
      <c r="F217" s="41">
        <f>VLOOKUP(E217,'Dataset-1'!E218:Q828,2,)</f>
        <v>6</v>
      </c>
      <c r="G217" s="71" t="str">
        <f>VLOOKUP(F217,'Dataset-1'!F218:R828,2,)</f>
        <v>Morning</v>
      </c>
      <c r="H217" s="41" t="b">
        <f>VLOOKUP(G217,'Dataset-1'!G218:S828,2,)</f>
        <v>0</v>
      </c>
      <c r="I217" s="41">
        <f>VLOOKUP(H217,'Dataset-1'!H218:T828,2,)</f>
        <v>1</v>
      </c>
      <c r="J217" s="71" t="str">
        <f>VLOOKUP(I217,'Dataset-1'!I218:U828,2,)</f>
        <v>Sunday</v>
      </c>
      <c r="K217" s="41">
        <f>VLOOKUP(J217,'Dataset-1'!J218:V828,2,)</f>
        <v>1</v>
      </c>
      <c r="L217" s="41">
        <f>VLOOKUP(K217,'Dataset-1'!K218:W828,2,)</f>
        <v>0.12</v>
      </c>
      <c r="M217" s="71" t="str">
        <f>VLOOKUP(L217,'Dataset-1'!L218:X828,2,)</f>
        <v>Rainy</v>
      </c>
      <c r="N217" s="41">
        <f>VLOOKUP(A217,'Dataset-2'!B218:H828,2,)</f>
        <v>0.1212</v>
      </c>
      <c r="O217" s="41">
        <f>VLOOKUP(N217,'Dataset-2'!C218:I828,2,)</f>
        <v>0.5</v>
      </c>
      <c r="P217" s="41">
        <f>VLOOKUP(O217,'Dataset-2'!D218:J828,2,)</f>
        <v>0.28360000000000002</v>
      </c>
      <c r="Q217" s="41">
        <f>VLOOKUP(P217,'Dataset-2'!E218:K828,2,)</f>
        <v>0</v>
      </c>
      <c r="R217" s="41">
        <f>VLOOKUP(Q217,'Dataset-2'!F218:L828,2,)</f>
        <v>31</v>
      </c>
      <c r="S217" s="41">
        <f>VLOOKUP(R217,'Dataset-2'!G218:M828,2,)</f>
        <v>31</v>
      </c>
    </row>
    <row r="218" spans="1:19" x14ac:dyDescent="0.35">
      <c r="A218" s="40">
        <v>217</v>
      </c>
      <c r="B218" s="62">
        <f>VLOOKUP(A218,'Dataset-1'!A219:M829,2,)</f>
        <v>40553</v>
      </c>
      <c r="C218" s="41">
        <f>VLOOKUP(B218,'Dataset-1'!B219:N829,2,)</f>
        <v>1</v>
      </c>
      <c r="D218" s="41">
        <f>VLOOKUP(C218,'Dataset-1'!C219:O829,2,)</f>
        <v>0</v>
      </c>
      <c r="E218" s="41">
        <f>VLOOKUP(D218,'Dataset-1'!D219:P829,2,)</f>
        <v>1</v>
      </c>
      <c r="F218" s="41">
        <f>VLOOKUP(E218,'Dataset-1'!E219:Q829,2,)</f>
        <v>7</v>
      </c>
      <c r="G218" s="71" t="str">
        <f>VLOOKUP(F218,'Dataset-1'!F219:R829,2,)</f>
        <v>Morning</v>
      </c>
      <c r="H218" s="41" t="b">
        <f>VLOOKUP(G218,'Dataset-1'!G219:S829,2,)</f>
        <v>0</v>
      </c>
      <c r="I218" s="41">
        <f>VLOOKUP(H218,'Dataset-1'!H219:T829,2,)</f>
        <v>1</v>
      </c>
      <c r="J218" s="71" t="str">
        <f>VLOOKUP(I218,'Dataset-1'!I219:U829,2,)</f>
        <v>Sunday</v>
      </c>
      <c r="K218" s="41">
        <f>VLOOKUP(J218,'Dataset-1'!J219:V829,2,)</f>
        <v>1</v>
      </c>
      <c r="L218" s="41">
        <f>VLOOKUP(K218,'Dataset-1'!K219:W829,2,)</f>
        <v>0.12</v>
      </c>
      <c r="M218" s="71" t="str">
        <f>VLOOKUP(L218,'Dataset-1'!L219:X829,2,)</f>
        <v>Rainy</v>
      </c>
      <c r="N218" s="41">
        <f>VLOOKUP(A218,'Dataset-2'!B219:H829,2,)</f>
        <v>0.1212</v>
      </c>
      <c r="O218" s="41">
        <f>VLOOKUP(N218,'Dataset-2'!C219:I829,2,)</f>
        <v>0.5</v>
      </c>
      <c r="P218" s="41">
        <f>VLOOKUP(O218,'Dataset-2'!D219:J829,2,)</f>
        <v>0.22389999999999999</v>
      </c>
      <c r="Q218" s="41">
        <f>VLOOKUP(P218,'Dataset-2'!E219:K829,2,)</f>
        <v>2</v>
      </c>
      <c r="R218" s="41">
        <f>VLOOKUP(Q218,'Dataset-2'!F219:L829,2,)</f>
        <v>75</v>
      </c>
      <c r="S218" s="41">
        <f>VLOOKUP(R218,'Dataset-2'!G219:M829,2,)</f>
        <v>77</v>
      </c>
    </row>
    <row r="219" spans="1:19" x14ac:dyDescent="0.35">
      <c r="A219" s="40">
        <v>218</v>
      </c>
      <c r="B219" s="62">
        <f>VLOOKUP(A219,'Dataset-1'!A220:M830,2,)</f>
        <v>40553</v>
      </c>
      <c r="C219" s="41">
        <f>VLOOKUP(B219,'Dataset-1'!B220:N830,2,)</f>
        <v>1</v>
      </c>
      <c r="D219" s="41">
        <f>VLOOKUP(C219,'Dataset-1'!C220:O830,2,)</f>
        <v>0</v>
      </c>
      <c r="E219" s="41">
        <f>VLOOKUP(D219,'Dataset-1'!D220:P830,2,)</f>
        <v>1</v>
      </c>
      <c r="F219" s="41">
        <f>VLOOKUP(E219,'Dataset-1'!E220:Q830,2,)</f>
        <v>8</v>
      </c>
      <c r="G219" s="71" t="str">
        <f>VLOOKUP(F219,'Dataset-1'!F220:R830,2,)</f>
        <v>Morning</v>
      </c>
      <c r="H219" s="41" t="b">
        <f>VLOOKUP(G219,'Dataset-1'!G220:S830,2,)</f>
        <v>0</v>
      </c>
      <c r="I219" s="41">
        <f>VLOOKUP(H219,'Dataset-1'!H220:T830,2,)</f>
        <v>1</v>
      </c>
      <c r="J219" s="71" t="str">
        <f>VLOOKUP(I219,'Dataset-1'!I220:U830,2,)</f>
        <v>Sunday</v>
      </c>
      <c r="K219" s="41">
        <f>VLOOKUP(J219,'Dataset-1'!J220:V830,2,)</f>
        <v>2</v>
      </c>
      <c r="L219" s="41">
        <f>VLOOKUP(K219,'Dataset-1'!K220:W830,2,)</f>
        <v>0.12</v>
      </c>
      <c r="M219" s="71" t="str">
        <f>VLOOKUP(L219,'Dataset-1'!L220:X830,2,)</f>
        <v>Rainy</v>
      </c>
      <c r="N219" s="41">
        <f>VLOOKUP(A219,'Dataset-2'!B220:H830,2,)</f>
        <v>0.1212</v>
      </c>
      <c r="O219" s="41">
        <f>VLOOKUP(N219,'Dataset-2'!C220:I830,2,)</f>
        <v>0.5</v>
      </c>
      <c r="P219" s="41">
        <f>VLOOKUP(O219,'Dataset-2'!D220:J830,2,)</f>
        <v>0.28360000000000002</v>
      </c>
      <c r="Q219" s="41">
        <f>VLOOKUP(P219,'Dataset-2'!E220:K830,2,)</f>
        <v>4</v>
      </c>
      <c r="R219" s="41">
        <f>VLOOKUP(Q219,'Dataset-2'!F220:L830,2,)</f>
        <v>184</v>
      </c>
      <c r="S219" s="41">
        <f>VLOOKUP(R219,'Dataset-2'!G220:M830,2,)</f>
        <v>188</v>
      </c>
    </row>
    <row r="220" spans="1:19" x14ac:dyDescent="0.35">
      <c r="A220" s="40">
        <v>219</v>
      </c>
      <c r="B220" s="62">
        <f>VLOOKUP(A220,'Dataset-1'!A221:M831,2,)</f>
        <v>40553</v>
      </c>
      <c r="C220" s="41">
        <f>VLOOKUP(B220,'Dataset-1'!B221:N831,2,)</f>
        <v>1</v>
      </c>
      <c r="D220" s="41">
        <f>VLOOKUP(C220,'Dataset-1'!C221:O831,2,)</f>
        <v>0</v>
      </c>
      <c r="E220" s="41">
        <f>VLOOKUP(D220,'Dataset-1'!D221:P831,2,)</f>
        <v>1</v>
      </c>
      <c r="F220" s="41">
        <f>VLOOKUP(E220,'Dataset-1'!E221:Q831,2,)</f>
        <v>9</v>
      </c>
      <c r="G220" s="71" t="str">
        <f>VLOOKUP(F220,'Dataset-1'!F221:R831,2,)</f>
        <v>Morning</v>
      </c>
      <c r="H220" s="41" t="b">
        <f>VLOOKUP(G220,'Dataset-1'!G221:S831,2,)</f>
        <v>0</v>
      </c>
      <c r="I220" s="41">
        <f>VLOOKUP(H220,'Dataset-1'!H221:T831,2,)</f>
        <v>1</v>
      </c>
      <c r="J220" s="71" t="str">
        <f>VLOOKUP(I220,'Dataset-1'!I221:U831,2,)</f>
        <v>Sunday</v>
      </c>
      <c r="K220" s="41">
        <f>VLOOKUP(J220,'Dataset-1'!J221:V831,2,)</f>
        <v>2</v>
      </c>
      <c r="L220" s="41">
        <f>VLOOKUP(K220,'Dataset-1'!K221:W831,2,)</f>
        <v>0.14000000000000001</v>
      </c>
      <c r="M220" s="71" t="str">
        <f>VLOOKUP(L220,'Dataset-1'!L221:X831,2,)</f>
        <v>Rainy</v>
      </c>
      <c r="N220" s="41">
        <f>VLOOKUP(A220,'Dataset-2'!B221:H831,2,)</f>
        <v>0.1212</v>
      </c>
      <c r="O220" s="41">
        <f>VLOOKUP(N220,'Dataset-2'!C221:I831,2,)</f>
        <v>0.5</v>
      </c>
      <c r="P220" s="41">
        <f>VLOOKUP(O220,'Dataset-2'!D221:J831,2,)</f>
        <v>0.25369999999999998</v>
      </c>
      <c r="Q220" s="41">
        <f>VLOOKUP(P220,'Dataset-2'!E221:K831,2,)</f>
        <v>2</v>
      </c>
      <c r="R220" s="41">
        <f>VLOOKUP(Q220,'Dataset-2'!F221:L831,2,)</f>
        <v>92</v>
      </c>
      <c r="S220" s="41">
        <f>VLOOKUP(R220,'Dataset-2'!G221:M831,2,)</f>
        <v>94</v>
      </c>
    </row>
    <row r="221" spans="1:19" x14ac:dyDescent="0.35">
      <c r="A221" s="40">
        <v>220</v>
      </c>
      <c r="B221" s="62">
        <f>VLOOKUP(A221,'Dataset-1'!A222:M832,2,)</f>
        <v>40553</v>
      </c>
      <c r="C221" s="41">
        <f>VLOOKUP(B221,'Dataset-1'!B222:N832,2,)</f>
        <v>1</v>
      </c>
      <c r="D221" s="41">
        <f>VLOOKUP(C221,'Dataset-1'!C222:O832,2,)</f>
        <v>0</v>
      </c>
      <c r="E221" s="41">
        <f>VLOOKUP(D221,'Dataset-1'!D222:P832,2,)</f>
        <v>1</v>
      </c>
      <c r="F221" s="41">
        <f>VLOOKUP(E221,'Dataset-1'!E222:Q832,2,)</f>
        <v>10</v>
      </c>
      <c r="G221" s="71" t="str">
        <f>VLOOKUP(F221,'Dataset-1'!F222:R832,2,)</f>
        <v>Morning</v>
      </c>
      <c r="H221" s="41" t="b">
        <f>VLOOKUP(G221,'Dataset-1'!G222:S832,2,)</f>
        <v>0</v>
      </c>
      <c r="I221" s="41">
        <f>VLOOKUP(H221,'Dataset-1'!H222:T832,2,)</f>
        <v>1</v>
      </c>
      <c r="J221" s="71" t="str">
        <f>VLOOKUP(I221,'Dataset-1'!I222:U832,2,)</f>
        <v>Sunday</v>
      </c>
      <c r="K221" s="41">
        <f>VLOOKUP(J221,'Dataset-1'!J222:V832,2,)</f>
        <v>2</v>
      </c>
      <c r="L221" s="41">
        <f>VLOOKUP(K221,'Dataset-1'!K222:W832,2,)</f>
        <v>0.14000000000000001</v>
      </c>
      <c r="M221" s="71" t="str">
        <f>VLOOKUP(L221,'Dataset-1'!L222:X832,2,)</f>
        <v>Rainy</v>
      </c>
      <c r="N221" s="41">
        <f>VLOOKUP(A221,'Dataset-2'!B222:H832,2,)</f>
        <v>0.1212</v>
      </c>
      <c r="O221" s="41">
        <f>VLOOKUP(N221,'Dataset-2'!C222:I832,2,)</f>
        <v>0.5</v>
      </c>
      <c r="P221" s="41">
        <f>VLOOKUP(O221,'Dataset-2'!D222:J832,2,)</f>
        <v>0.29849999999999999</v>
      </c>
      <c r="Q221" s="41">
        <f>VLOOKUP(P221,'Dataset-2'!E222:K832,2,)</f>
        <v>0</v>
      </c>
      <c r="R221" s="41">
        <f>VLOOKUP(Q221,'Dataset-2'!F222:L832,2,)</f>
        <v>31</v>
      </c>
      <c r="S221" s="41">
        <f>VLOOKUP(R221,'Dataset-2'!G222:M832,2,)</f>
        <v>31</v>
      </c>
    </row>
    <row r="222" spans="1:19" x14ac:dyDescent="0.35">
      <c r="A222" s="40">
        <v>221</v>
      </c>
      <c r="B222" s="62">
        <f>VLOOKUP(A222,'Dataset-1'!A223:M833,2,)</f>
        <v>40553</v>
      </c>
      <c r="C222" s="41">
        <f>VLOOKUP(B222,'Dataset-1'!B223:N833,2,)</f>
        <v>1</v>
      </c>
      <c r="D222" s="41">
        <f>VLOOKUP(C222,'Dataset-1'!C223:O833,2,)</f>
        <v>0</v>
      </c>
      <c r="E222" s="41">
        <f>VLOOKUP(D222,'Dataset-1'!D223:P833,2,)</f>
        <v>1</v>
      </c>
      <c r="F222" s="41">
        <f>VLOOKUP(E222,'Dataset-1'!E223:Q833,2,)</f>
        <v>11</v>
      </c>
      <c r="G222" s="71" t="str">
        <f>VLOOKUP(F222,'Dataset-1'!F223:R833,2,)</f>
        <v>Morning</v>
      </c>
      <c r="H222" s="41" t="b">
        <f>VLOOKUP(G222,'Dataset-1'!G223:S833,2,)</f>
        <v>0</v>
      </c>
      <c r="I222" s="41">
        <f>VLOOKUP(H222,'Dataset-1'!H223:T833,2,)</f>
        <v>1</v>
      </c>
      <c r="J222" s="71" t="str">
        <f>VLOOKUP(I222,'Dataset-1'!I223:U833,2,)</f>
        <v>Sunday</v>
      </c>
      <c r="K222" s="41">
        <f>VLOOKUP(J222,'Dataset-1'!J223:V833,2,)</f>
        <v>2</v>
      </c>
      <c r="L222" s="41">
        <f>VLOOKUP(K222,'Dataset-1'!K223:W833,2,)</f>
        <v>0.16</v>
      </c>
      <c r="M222" s="71" t="str">
        <f>VLOOKUP(L222,'Dataset-1'!L223:X833,2,)</f>
        <v>Rainy</v>
      </c>
      <c r="N222" s="41">
        <f>VLOOKUP(A222,'Dataset-2'!B223:H833,2,)</f>
        <v>0.13639999999999999</v>
      </c>
      <c r="O222" s="41">
        <f>VLOOKUP(N222,'Dataset-2'!C223:I833,2,)</f>
        <v>0.47</v>
      </c>
      <c r="P222" s="41">
        <f>VLOOKUP(O222,'Dataset-2'!D223:J833,2,)</f>
        <v>0.28360000000000002</v>
      </c>
      <c r="Q222" s="41">
        <f>VLOOKUP(P222,'Dataset-2'!E223:K833,2,)</f>
        <v>2</v>
      </c>
      <c r="R222" s="41">
        <f>VLOOKUP(Q222,'Dataset-2'!F223:L833,2,)</f>
        <v>28</v>
      </c>
      <c r="S222" s="41">
        <f>VLOOKUP(R222,'Dataset-2'!G223:M833,2,)</f>
        <v>30</v>
      </c>
    </row>
    <row r="223" spans="1:19" x14ac:dyDescent="0.35">
      <c r="A223" s="40">
        <v>222</v>
      </c>
      <c r="B223" s="62">
        <f>VLOOKUP(A223,'Dataset-1'!A224:M834,2,)</f>
        <v>40553</v>
      </c>
      <c r="C223" s="41">
        <f>VLOOKUP(B223,'Dataset-1'!B224:N834,2,)</f>
        <v>1</v>
      </c>
      <c r="D223" s="41">
        <f>VLOOKUP(C223,'Dataset-1'!C224:O834,2,)</f>
        <v>0</v>
      </c>
      <c r="E223" s="41">
        <f>VLOOKUP(D223,'Dataset-1'!D224:P834,2,)</f>
        <v>1</v>
      </c>
      <c r="F223" s="41">
        <f>VLOOKUP(E223,'Dataset-1'!E224:Q834,2,)</f>
        <v>12</v>
      </c>
      <c r="G223" s="71" t="str">
        <f>VLOOKUP(F223,'Dataset-1'!F224:R834,2,)</f>
        <v>AfterNoon</v>
      </c>
      <c r="H223" s="41" t="b">
        <f>VLOOKUP(G223,'Dataset-1'!G224:S834,2,)</f>
        <v>0</v>
      </c>
      <c r="I223" s="41">
        <f>VLOOKUP(H223,'Dataset-1'!H224:T834,2,)</f>
        <v>1</v>
      </c>
      <c r="J223" s="71" t="str">
        <f>VLOOKUP(I223,'Dataset-1'!I224:U834,2,)</f>
        <v>Sunday</v>
      </c>
      <c r="K223" s="41">
        <f>VLOOKUP(J223,'Dataset-1'!J224:V834,2,)</f>
        <v>2</v>
      </c>
      <c r="L223" s="41">
        <f>VLOOKUP(K223,'Dataset-1'!K224:W834,2,)</f>
        <v>0.2</v>
      </c>
      <c r="M223" s="71" t="str">
        <f>VLOOKUP(L223,'Dataset-1'!L224:X834,2,)</f>
        <v>Rainy</v>
      </c>
      <c r="N223" s="41">
        <f>VLOOKUP(A223,'Dataset-2'!B224:H834,2,)</f>
        <v>0.18179999999999999</v>
      </c>
      <c r="O223" s="41">
        <f>VLOOKUP(N223,'Dataset-2'!C224:I834,2,)</f>
        <v>0.4</v>
      </c>
      <c r="P223" s="41">
        <f>VLOOKUP(O223,'Dataset-2'!D224:J834,2,)</f>
        <v>0.28360000000000002</v>
      </c>
      <c r="Q223" s="41">
        <f>VLOOKUP(P223,'Dataset-2'!E224:K834,2,)</f>
        <v>5</v>
      </c>
      <c r="R223" s="41">
        <f>VLOOKUP(Q223,'Dataset-2'!F224:L834,2,)</f>
        <v>47</v>
      </c>
      <c r="S223" s="41">
        <f>VLOOKUP(R223,'Dataset-2'!G224:M834,2,)</f>
        <v>52</v>
      </c>
    </row>
    <row r="224" spans="1:19" x14ac:dyDescent="0.35">
      <c r="A224" s="40">
        <v>223</v>
      </c>
      <c r="B224" s="62">
        <f>VLOOKUP(A224,'Dataset-1'!A225:M835,2,)</f>
        <v>40553</v>
      </c>
      <c r="C224" s="41">
        <f>VLOOKUP(B224,'Dataset-1'!B225:N835,2,)</f>
        <v>1</v>
      </c>
      <c r="D224" s="41">
        <f>VLOOKUP(C224,'Dataset-1'!C225:O835,2,)</f>
        <v>0</v>
      </c>
      <c r="E224" s="41">
        <f>VLOOKUP(D224,'Dataset-1'!D225:P835,2,)</f>
        <v>1</v>
      </c>
      <c r="F224" s="41">
        <f>VLOOKUP(E224,'Dataset-1'!E225:Q835,2,)</f>
        <v>13</v>
      </c>
      <c r="G224" s="71" t="str">
        <f>VLOOKUP(F224,'Dataset-1'!F225:R835,2,)</f>
        <v>AfterNoon</v>
      </c>
      <c r="H224" s="41" t="b">
        <f>VLOOKUP(G224,'Dataset-1'!G225:S835,2,)</f>
        <v>0</v>
      </c>
      <c r="I224" s="41">
        <f>VLOOKUP(H224,'Dataset-1'!H225:T835,2,)</f>
        <v>1</v>
      </c>
      <c r="J224" s="71" t="str">
        <f>VLOOKUP(I224,'Dataset-1'!I225:U835,2,)</f>
        <v>Sunday</v>
      </c>
      <c r="K224" s="41">
        <f>VLOOKUP(J224,'Dataset-1'!J225:V835,2,)</f>
        <v>2</v>
      </c>
      <c r="L224" s="41">
        <f>VLOOKUP(K224,'Dataset-1'!K225:W835,2,)</f>
        <v>0.2</v>
      </c>
      <c r="M224" s="71" t="str">
        <f>VLOOKUP(L224,'Dataset-1'!L225:X835,2,)</f>
        <v>Rainy</v>
      </c>
      <c r="N224" s="41">
        <f>VLOOKUP(A224,'Dataset-2'!B225:H835,2,)</f>
        <v>0.18179999999999999</v>
      </c>
      <c r="O224" s="41">
        <f>VLOOKUP(N224,'Dataset-2'!C225:I835,2,)</f>
        <v>0.4</v>
      </c>
      <c r="P224" s="41">
        <f>VLOOKUP(O224,'Dataset-2'!D225:J835,2,)</f>
        <v>0.28360000000000002</v>
      </c>
      <c r="Q224" s="41">
        <f>VLOOKUP(P224,'Dataset-2'!E225:K835,2,)</f>
        <v>4</v>
      </c>
      <c r="R224" s="41">
        <f>VLOOKUP(Q224,'Dataset-2'!F225:L835,2,)</f>
        <v>50</v>
      </c>
      <c r="S224" s="41">
        <f>VLOOKUP(R224,'Dataset-2'!G225:M835,2,)</f>
        <v>54</v>
      </c>
    </row>
    <row r="225" spans="1:19" x14ac:dyDescent="0.35">
      <c r="A225" s="40">
        <v>224</v>
      </c>
      <c r="B225" s="62">
        <f>VLOOKUP(A225,'Dataset-1'!A226:M836,2,)</f>
        <v>40553</v>
      </c>
      <c r="C225" s="41">
        <f>VLOOKUP(B225,'Dataset-1'!B226:N836,2,)</f>
        <v>1</v>
      </c>
      <c r="D225" s="41">
        <f>VLOOKUP(C225,'Dataset-1'!C226:O836,2,)</f>
        <v>0</v>
      </c>
      <c r="E225" s="41">
        <f>VLOOKUP(D225,'Dataset-1'!D226:P836,2,)</f>
        <v>1</v>
      </c>
      <c r="F225" s="41">
        <f>VLOOKUP(E225,'Dataset-1'!E226:Q836,2,)</f>
        <v>14</v>
      </c>
      <c r="G225" s="71" t="str">
        <f>VLOOKUP(F225,'Dataset-1'!F226:R836,2,)</f>
        <v>AfterNoon</v>
      </c>
      <c r="H225" s="41" t="b">
        <f>VLOOKUP(G225,'Dataset-1'!G226:S836,2,)</f>
        <v>0</v>
      </c>
      <c r="I225" s="41">
        <f>VLOOKUP(H225,'Dataset-1'!H226:T836,2,)</f>
        <v>1</v>
      </c>
      <c r="J225" s="71" t="str">
        <f>VLOOKUP(I225,'Dataset-1'!I226:U836,2,)</f>
        <v>Sunday</v>
      </c>
      <c r="K225" s="41">
        <f>VLOOKUP(J225,'Dataset-1'!J226:V836,2,)</f>
        <v>2</v>
      </c>
      <c r="L225" s="41">
        <f>VLOOKUP(K225,'Dataset-1'!K226:W836,2,)</f>
        <v>0.2</v>
      </c>
      <c r="M225" s="71" t="str">
        <f>VLOOKUP(L225,'Dataset-1'!L226:X836,2,)</f>
        <v>Rainy</v>
      </c>
      <c r="N225" s="41">
        <f>VLOOKUP(A225,'Dataset-2'!B226:H836,2,)</f>
        <v>0.19700000000000001</v>
      </c>
      <c r="O225" s="41">
        <f>VLOOKUP(N225,'Dataset-2'!C226:I836,2,)</f>
        <v>0.4</v>
      </c>
      <c r="P225" s="41">
        <f>VLOOKUP(O225,'Dataset-2'!D226:J836,2,)</f>
        <v>0.22389999999999999</v>
      </c>
      <c r="Q225" s="41">
        <f>VLOOKUP(P225,'Dataset-2'!E226:K836,2,)</f>
        <v>0</v>
      </c>
      <c r="R225" s="41">
        <f>VLOOKUP(Q225,'Dataset-2'!F226:L836,2,)</f>
        <v>47</v>
      </c>
      <c r="S225" s="41">
        <f>VLOOKUP(R225,'Dataset-2'!G226:M836,2,)</f>
        <v>47</v>
      </c>
    </row>
    <row r="226" spans="1:19" x14ac:dyDescent="0.35">
      <c r="A226" s="40">
        <v>225</v>
      </c>
      <c r="B226" s="62">
        <f>VLOOKUP(A226,'Dataset-1'!A227:M837,2,)</f>
        <v>40553</v>
      </c>
      <c r="C226" s="41">
        <f>VLOOKUP(B226,'Dataset-1'!B227:N837,2,)</f>
        <v>1</v>
      </c>
      <c r="D226" s="41">
        <f>VLOOKUP(C226,'Dataset-1'!C227:O837,2,)</f>
        <v>0</v>
      </c>
      <c r="E226" s="41">
        <f>VLOOKUP(D226,'Dataset-1'!D227:P837,2,)</f>
        <v>1</v>
      </c>
      <c r="F226" s="41">
        <f>VLOOKUP(E226,'Dataset-1'!E227:Q837,2,)</f>
        <v>15</v>
      </c>
      <c r="G226" s="71" t="str">
        <f>VLOOKUP(F226,'Dataset-1'!F227:R837,2,)</f>
        <v>AfterNoon</v>
      </c>
      <c r="H226" s="41" t="b">
        <f>VLOOKUP(G226,'Dataset-1'!G227:S837,2,)</f>
        <v>0</v>
      </c>
      <c r="I226" s="41">
        <f>VLOOKUP(H226,'Dataset-1'!H227:T837,2,)</f>
        <v>1</v>
      </c>
      <c r="J226" s="71" t="str">
        <f>VLOOKUP(I226,'Dataset-1'!I227:U837,2,)</f>
        <v>Sunday</v>
      </c>
      <c r="K226" s="41">
        <f>VLOOKUP(J226,'Dataset-1'!J227:V837,2,)</f>
        <v>2</v>
      </c>
      <c r="L226" s="41">
        <f>VLOOKUP(K226,'Dataset-1'!K227:W837,2,)</f>
        <v>0.2</v>
      </c>
      <c r="M226" s="71" t="str">
        <f>VLOOKUP(L226,'Dataset-1'!L227:X837,2,)</f>
        <v>Rainy</v>
      </c>
      <c r="N226" s="41">
        <f>VLOOKUP(A226,'Dataset-2'!B227:H837,2,)</f>
        <v>0.19700000000000001</v>
      </c>
      <c r="O226" s="41">
        <f>VLOOKUP(N226,'Dataset-2'!C227:I837,2,)</f>
        <v>0.4</v>
      </c>
      <c r="P226" s="41">
        <f>VLOOKUP(O226,'Dataset-2'!D227:J837,2,)</f>
        <v>0.22389999999999999</v>
      </c>
      <c r="Q226" s="41">
        <f>VLOOKUP(P226,'Dataset-2'!E227:K837,2,)</f>
        <v>2</v>
      </c>
      <c r="R226" s="41">
        <f>VLOOKUP(Q226,'Dataset-2'!F227:L837,2,)</f>
        <v>43</v>
      </c>
      <c r="S226" s="41">
        <f>VLOOKUP(R226,'Dataset-2'!G227:M837,2,)</f>
        <v>45</v>
      </c>
    </row>
    <row r="227" spans="1:19" x14ac:dyDescent="0.35">
      <c r="A227" s="40">
        <v>226</v>
      </c>
      <c r="B227" s="62">
        <f>VLOOKUP(A227,'Dataset-1'!A228:M838,2,)</f>
        <v>40553</v>
      </c>
      <c r="C227" s="41">
        <f>VLOOKUP(B227,'Dataset-1'!B228:N838,2,)</f>
        <v>1</v>
      </c>
      <c r="D227" s="41">
        <f>VLOOKUP(C227,'Dataset-1'!C228:O838,2,)</f>
        <v>0</v>
      </c>
      <c r="E227" s="41">
        <f>VLOOKUP(D227,'Dataset-1'!D228:P838,2,)</f>
        <v>1</v>
      </c>
      <c r="F227" s="41">
        <f>VLOOKUP(E227,'Dataset-1'!E228:Q838,2,)</f>
        <v>16</v>
      </c>
      <c r="G227" s="71" t="str">
        <f>VLOOKUP(F227,'Dataset-1'!F228:R838,2,)</f>
        <v>AfterNoon</v>
      </c>
      <c r="H227" s="41" t="b">
        <f>VLOOKUP(G227,'Dataset-1'!G228:S838,2,)</f>
        <v>0</v>
      </c>
      <c r="I227" s="41">
        <f>VLOOKUP(H227,'Dataset-1'!H228:T838,2,)</f>
        <v>1</v>
      </c>
      <c r="J227" s="71" t="str">
        <f>VLOOKUP(I227,'Dataset-1'!I228:U838,2,)</f>
        <v>Sunday</v>
      </c>
      <c r="K227" s="41">
        <f>VLOOKUP(J227,'Dataset-1'!J228:V838,2,)</f>
        <v>1</v>
      </c>
      <c r="L227" s="41">
        <f>VLOOKUP(K227,'Dataset-1'!K228:W838,2,)</f>
        <v>0.2</v>
      </c>
      <c r="M227" s="71" t="str">
        <f>VLOOKUP(L227,'Dataset-1'!L228:X838,2,)</f>
        <v>Rainy</v>
      </c>
      <c r="N227" s="41">
        <f>VLOOKUP(A227,'Dataset-2'!B228:H838,2,)</f>
        <v>0.21210000000000001</v>
      </c>
      <c r="O227" s="41">
        <f>VLOOKUP(N227,'Dataset-2'!C228:I838,2,)</f>
        <v>0.4</v>
      </c>
      <c r="P227" s="41">
        <f>VLOOKUP(O227,'Dataset-2'!D228:J838,2,)</f>
        <v>0.1343</v>
      </c>
      <c r="Q227" s="41">
        <f>VLOOKUP(P227,'Dataset-2'!E228:K838,2,)</f>
        <v>4</v>
      </c>
      <c r="R227" s="41">
        <f>VLOOKUP(Q227,'Dataset-2'!F228:L838,2,)</f>
        <v>70</v>
      </c>
      <c r="S227" s="41">
        <f>VLOOKUP(R227,'Dataset-2'!G228:M838,2,)</f>
        <v>74</v>
      </c>
    </row>
    <row r="228" spans="1:19" x14ac:dyDescent="0.35">
      <c r="A228" s="40">
        <v>227</v>
      </c>
      <c r="B228" s="62">
        <f>VLOOKUP(A228,'Dataset-1'!A229:M839,2,)</f>
        <v>40553</v>
      </c>
      <c r="C228" s="41">
        <f>VLOOKUP(B228,'Dataset-1'!B229:N839,2,)</f>
        <v>1</v>
      </c>
      <c r="D228" s="41">
        <f>VLOOKUP(C228,'Dataset-1'!C229:O839,2,)</f>
        <v>0</v>
      </c>
      <c r="E228" s="41">
        <f>VLOOKUP(D228,'Dataset-1'!D229:P839,2,)</f>
        <v>1</v>
      </c>
      <c r="F228" s="41">
        <f>VLOOKUP(E228,'Dataset-1'!E229:Q839,2,)</f>
        <v>17</v>
      </c>
      <c r="G228" s="71" t="str">
        <f>VLOOKUP(F228,'Dataset-1'!F229:R839,2,)</f>
        <v>Evening</v>
      </c>
      <c r="H228" s="41" t="b">
        <f>VLOOKUP(G228,'Dataset-1'!G229:S839,2,)</f>
        <v>0</v>
      </c>
      <c r="I228" s="41">
        <f>VLOOKUP(H228,'Dataset-1'!H229:T839,2,)</f>
        <v>1</v>
      </c>
      <c r="J228" s="71" t="str">
        <f>VLOOKUP(I228,'Dataset-1'!I229:U839,2,)</f>
        <v>Sunday</v>
      </c>
      <c r="K228" s="41">
        <f>VLOOKUP(J228,'Dataset-1'!J229:V839,2,)</f>
        <v>1</v>
      </c>
      <c r="L228" s="41">
        <f>VLOOKUP(K228,'Dataset-1'!K229:W839,2,)</f>
        <v>0.2</v>
      </c>
      <c r="M228" s="71" t="str">
        <f>VLOOKUP(L228,'Dataset-1'!L229:X839,2,)</f>
        <v>Rainy</v>
      </c>
      <c r="N228" s="41">
        <f>VLOOKUP(A228,'Dataset-2'!B229:H839,2,)</f>
        <v>0.2273</v>
      </c>
      <c r="O228" s="41">
        <f>VLOOKUP(N228,'Dataset-2'!C229:I839,2,)</f>
        <v>0.4</v>
      </c>
      <c r="P228" s="41">
        <f>VLOOKUP(O228,'Dataset-2'!D229:J839,2,)</f>
        <v>0.1045</v>
      </c>
      <c r="Q228" s="41">
        <f>VLOOKUP(P228,'Dataset-2'!E229:K839,2,)</f>
        <v>4</v>
      </c>
      <c r="R228" s="41">
        <f>VLOOKUP(Q228,'Dataset-2'!F229:L839,2,)</f>
        <v>174</v>
      </c>
      <c r="S228" s="41">
        <f>VLOOKUP(R228,'Dataset-2'!G229:M839,2,)</f>
        <v>178</v>
      </c>
    </row>
    <row r="229" spans="1:19" x14ac:dyDescent="0.35">
      <c r="A229" s="40">
        <v>228</v>
      </c>
      <c r="B229" s="62">
        <f>VLOOKUP(A229,'Dataset-1'!A230:M840,2,)</f>
        <v>40553</v>
      </c>
      <c r="C229" s="41">
        <f>VLOOKUP(B229,'Dataset-1'!B230:N840,2,)</f>
        <v>1</v>
      </c>
      <c r="D229" s="41">
        <f>VLOOKUP(C229,'Dataset-1'!C230:O840,2,)</f>
        <v>0</v>
      </c>
      <c r="E229" s="41">
        <f>VLOOKUP(D229,'Dataset-1'!D230:P840,2,)</f>
        <v>1</v>
      </c>
      <c r="F229" s="41">
        <f>VLOOKUP(E229,'Dataset-1'!E230:Q840,2,)</f>
        <v>18</v>
      </c>
      <c r="G229" s="71" t="str">
        <f>VLOOKUP(F229,'Dataset-1'!F230:R840,2,)</f>
        <v>Evening</v>
      </c>
      <c r="H229" s="41" t="b">
        <f>VLOOKUP(G229,'Dataset-1'!G230:S840,2,)</f>
        <v>0</v>
      </c>
      <c r="I229" s="41">
        <f>VLOOKUP(H229,'Dataset-1'!H230:T840,2,)</f>
        <v>1</v>
      </c>
      <c r="J229" s="71" t="str">
        <f>VLOOKUP(I229,'Dataset-1'!I230:U840,2,)</f>
        <v>Sunday</v>
      </c>
      <c r="K229" s="41">
        <f>VLOOKUP(J229,'Dataset-1'!J230:V840,2,)</f>
        <v>1</v>
      </c>
      <c r="L229" s="41">
        <f>VLOOKUP(K229,'Dataset-1'!K230:W840,2,)</f>
        <v>0.2</v>
      </c>
      <c r="M229" s="71" t="str">
        <f>VLOOKUP(L229,'Dataset-1'!L230:X840,2,)</f>
        <v>Rainy</v>
      </c>
      <c r="N229" s="41">
        <f>VLOOKUP(A229,'Dataset-2'!B230:H840,2,)</f>
        <v>0.19700000000000001</v>
      </c>
      <c r="O229" s="41">
        <f>VLOOKUP(N229,'Dataset-2'!C230:I840,2,)</f>
        <v>0.4</v>
      </c>
      <c r="P229" s="41">
        <f>VLOOKUP(O229,'Dataset-2'!D230:J840,2,)</f>
        <v>0.22389999999999999</v>
      </c>
      <c r="Q229" s="41">
        <f>VLOOKUP(P229,'Dataset-2'!E230:K840,2,)</f>
        <v>1</v>
      </c>
      <c r="R229" s="41">
        <f>VLOOKUP(Q229,'Dataset-2'!F230:L840,2,)</f>
        <v>154</v>
      </c>
      <c r="S229" s="41">
        <f>VLOOKUP(R229,'Dataset-2'!G230:M840,2,)</f>
        <v>155</v>
      </c>
    </row>
    <row r="230" spans="1:19" x14ac:dyDescent="0.35">
      <c r="A230" s="40">
        <v>229</v>
      </c>
      <c r="B230" s="62">
        <f>VLOOKUP(A230,'Dataset-1'!A231:M841,2,)</f>
        <v>40553</v>
      </c>
      <c r="C230" s="41">
        <f>VLOOKUP(B230,'Dataset-1'!B231:N841,2,)</f>
        <v>1</v>
      </c>
      <c r="D230" s="41">
        <f>VLOOKUP(C230,'Dataset-1'!C231:O841,2,)</f>
        <v>0</v>
      </c>
      <c r="E230" s="41">
        <f>VLOOKUP(D230,'Dataset-1'!D231:P841,2,)</f>
        <v>1</v>
      </c>
      <c r="F230" s="41">
        <f>VLOOKUP(E230,'Dataset-1'!E231:Q841,2,)</f>
        <v>19</v>
      </c>
      <c r="G230" s="71" t="str">
        <f>VLOOKUP(F230,'Dataset-1'!F231:R841,2,)</f>
        <v>Evening</v>
      </c>
      <c r="H230" s="41" t="b">
        <f>VLOOKUP(G230,'Dataset-1'!G231:S841,2,)</f>
        <v>0</v>
      </c>
      <c r="I230" s="41">
        <f>VLOOKUP(H230,'Dataset-1'!H231:T841,2,)</f>
        <v>1</v>
      </c>
      <c r="J230" s="71" t="str">
        <f>VLOOKUP(I230,'Dataset-1'!I231:U841,2,)</f>
        <v>Sunday</v>
      </c>
      <c r="K230" s="41">
        <f>VLOOKUP(J230,'Dataset-1'!J231:V841,2,)</f>
        <v>1</v>
      </c>
      <c r="L230" s="41">
        <f>VLOOKUP(K230,'Dataset-1'!K231:W841,2,)</f>
        <v>0.16</v>
      </c>
      <c r="M230" s="71" t="str">
        <f>VLOOKUP(L230,'Dataset-1'!L231:X841,2,)</f>
        <v>Rainy</v>
      </c>
      <c r="N230" s="41">
        <f>VLOOKUP(A230,'Dataset-2'!B231:H841,2,)</f>
        <v>0.16669999999999999</v>
      </c>
      <c r="O230" s="41">
        <f>VLOOKUP(N230,'Dataset-2'!C231:I841,2,)</f>
        <v>0.47</v>
      </c>
      <c r="P230" s="41">
        <f>VLOOKUP(O230,'Dataset-2'!D231:J841,2,)</f>
        <v>0.16420000000000001</v>
      </c>
      <c r="Q230" s="41">
        <f>VLOOKUP(P230,'Dataset-2'!E231:K841,2,)</f>
        <v>3</v>
      </c>
      <c r="R230" s="41">
        <f>VLOOKUP(Q230,'Dataset-2'!F231:L841,2,)</f>
        <v>92</v>
      </c>
      <c r="S230" s="41">
        <f>VLOOKUP(R230,'Dataset-2'!G231:M841,2,)</f>
        <v>95</v>
      </c>
    </row>
    <row r="231" spans="1:19" x14ac:dyDescent="0.35">
      <c r="A231" s="40">
        <v>230</v>
      </c>
      <c r="B231" s="62">
        <f>VLOOKUP(A231,'Dataset-1'!A232:M842,2,)</f>
        <v>40553</v>
      </c>
      <c r="C231" s="41">
        <f>VLOOKUP(B231,'Dataset-1'!B232:N842,2,)</f>
        <v>1</v>
      </c>
      <c r="D231" s="41">
        <f>VLOOKUP(C231,'Dataset-1'!C232:O842,2,)</f>
        <v>0</v>
      </c>
      <c r="E231" s="41">
        <f>VLOOKUP(D231,'Dataset-1'!D232:P842,2,)</f>
        <v>1</v>
      </c>
      <c r="F231" s="41">
        <f>VLOOKUP(E231,'Dataset-1'!E232:Q842,2,)</f>
        <v>20</v>
      </c>
      <c r="G231" s="71" t="str">
        <f>VLOOKUP(F231,'Dataset-1'!F232:R842,2,)</f>
        <v>Night</v>
      </c>
      <c r="H231" s="41" t="b">
        <f>VLOOKUP(G231,'Dataset-1'!G232:S842,2,)</f>
        <v>0</v>
      </c>
      <c r="I231" s="41">
        <f>VLOOKUP(H231,'Dataset-1'!H232:T842,2,)</f>
        <v>1</v>
      </c>
      <c r="J231" s="71" t="str">
        <f>VLOOKUP(I231,'Dataset-1'!I232:U842,2,)</f>
        <v>Sunday</v>
      </c>
      <c r="K231" s="41">
        <f>VLOOKUP(J231,'Dataset-1'!J232:V842,2,)</f>
        <v>1</v>
      </c>
      <c r="L231" s="41">
        <f>VLOOKUP(K231,'Dataset-1'!K232:W842,2,)</f>
        <v>0.16</v>
      </c>
      <c r="M231" s="71" t="str">
        <f>VLOOKUP(L231,'Dataset-1'!L232:X842,2,)</f>
        <v>Rainy</v>
      </c>
      <c r="N231" s="41">
        <f>VLOOKUP(A231,'Dataset-2'!B232:H842,2,)</f>
        <v>0.16669999999999999</v>
      </c>
      <c r="O231" s="41">
        <f>VLOOKUP(N231,'Dataset-2'!C232:I842,2,)</f>
        <v>0.5</v>
      </c>
      <c r="P231" s="41">
        <f>VLOOKUP(O231,'Dataset-2'!D232:J842,2,)</f>
        <v>0.16420000000000001</v>
      </c>
      <c r="Q231" s="41">
        <f>VLOOKUP(P231,'Dataset-2'!E232:K842,2,)</f>
        <v>1</v>
      </c>
      <c r="R231" s="41">
        <f>VLOOKUP(Q231,'Dataset-2'!F232:L842,2,)</f>
        <v>73</v>
      </c>
      <c r="S231" s="41">
        <f>VLOOKUP(R231,'Dataset-2'!G232:M842,2,)</f>
        <v>74</v>
      </c>
    </row>
    <row r="232" spans="1:19" x14ac:dyDescent="0.35">
      <c r="A232" s="40">
        <v>231</v>
      </c>
      <c r="B232" s="62">
        <f>VLOOKUP(A232,'Dataset-1'!A233:M843,2,)</f>
        <v>40553</v>
      </c>
      <c r="C232" s="41">
        <f>VLOOKUP(B232,'Dataset-1'!B233:N843,2,)</f>
        <v>1</v>
      </c>
      <c r="D232" s="41">
        <f>VLOOKUP(C232,'Dataset-1'!C233:O843,2,)</f>
        <v>0</v>
      </c>
      <c r="E232" s="41">
        <f>VLOOKUP(D232,'Dataset-1'!D233:P843,2,)</f>
        <v>1</v>
      </c>
      <c r="F232" s="41">
        <f>VLOOKUP(E232,'Dataset-1'!E233:Q843,2,)</f>
        <v>21</v>
      </c>
      <c r="G232" s="71" t="str">
        <f>VLOOKUP(F232,'Dataset-1'!F233:R843,2,)</f>
        <v>Night</v>
      </c>
      <c r="H232" s="41" t="b">
        <f>VLOOKUP(G232,'Dataset-1'!G233:S843,2,)</f>
        <v>0</v>
      </c>
      <c r="I232" s="41">
        <f>VLOOKUP(H232,'Dataset-1'!H233:T843,2,)</f>
        <v>1</v>
      </c>
      <c r="J232" s="71" t="str">
        <f>VLOOKUP(I232,'Dataset-1'!I233:U843,2,)</f>
        <v>Sunday</v>
      </c>
      <c r="K232" s="41">
        <f>VLOOKUP(J232,'Dataset-1'!J233:V843,2,)</f>
        <v>1</v>
      </c>
      <c r="L232" s="41">
        <f>VLOOKUP(K232,'Dataset-1'!K233:W843,2,)</f>
        <v>0.14000000000000001</v>
      </c>
      <c r="M232" s="71" t="str">
        <f>VLOOKUP(L232,'Dataset-1'!L233:X843,2,)</f>
        <v>Rainy</v>
      </c>
      <c r="N232" s="41">
        <f>VLOOKUP(A232,'Dataset-2'!B233:H843,2,)</f>
        <v>0.13639999999999999</v>
      </c>
      <c r="O232" s="41">
        <f>VLOOKUP(N232,'Dataset-2'!C233:I843,2,)</f>
        <v>0.59</v>
      </c>
      <c r="P232" s="41">
        <f>VLOOKUP(O232,'Dataset-2'!D233:J843,2,)</f>
        <v>0.19400000000000001</v>
      </c>
      <c r="Q232" s="41">
        <f>VLOOKUP(P232,'Dataset-2'!E233:K843,2,)</f>
        <v>1</v>
      </c>
      <c r="R232" s="41">
        <f>VLOOKUP(Q232,'Dataset-2'!F233:L843,2,)</f>
        <v>37</v>
      </c>
      <c r="S232" s="41">
        <f>VLOOKUP(R232,'Dataset-2'!G233:M843,2,)</f>
        <v>38</v>
      </c>
    </row>
    <row r="233" spans="1:19" x14ac:dyDescent="0.35">
      <c r="A233" s="40">
        <v>232</v>
      </c>
      <c r="B233" s="62">
        <f>VLOOKUP(A233,'Dataset-1'!A234:M844,2,)</f>
        <v>40553</v>
      </c>
      <c r="C233" s="41">
        <f>VLOOKUP(B233,'Dataset-1'!B234:N844,2,)</f>
        <v>1</v>
      </c>
      <c r="D233" s="41">
        <f>VLOOKUP(C233,'Dataset-1'!C234:O844,2,)</f>
        <v>0</v>
      </c>
      <c r="E233" s="41">
        <f>VLOOKUP(D233,'Dataset-1'!D234:P844,2,)</f>
        <v>1</v>
      </c>
      <c r="F233" s="41">
        <f>VLOOKUP(E233,'Dataset-1'!E234:Q844,2,)</f>
        <v>22</v>
      </c>
      <c r="G233" s="71" t="str">
        <f>VLOOKUP(F233,'Dataset-1'!F234:R844,2,)</f>
        <v>Night</v>
      </c>
      <c r="H233" s="41" t="b">
        <f>VLOOKUP(G233,'Dataset-1'!G234:S844,2,)</f>
        <v>0</v>
      </c>
      <c r="I233" s="41">
        <f>VLOOKUP(H233,'Dataset-1'!H234:T844,2,)</f>
        <v>1</v>
      </c>
      <c r="J233" s="71" t="str">
        <f>VLOOKUP(I233,'Dataset-1'!I234:U844,2,)</f>
        <v>Sunday</v>
      </c>
      <c r="K233" s="41">
        <f>VLOOKUP(J233,'Dataset-1'!J234:V844,2,)</f>
        <v>1</v>
      </c>
      <c r="L233" s="41">
        <f>VLOOKUP(K233,'Dataset-1'!K234:W844,2,)</f>
        <v>0.14000000000000001</v>
      </c>
      <c r="M233" s="71" t="str">
        <f>VLOOKUP(L233,'Dataset-1'!L234:X844,2,)</f>
        <v>Rainy</v>
      </c>
      <c r="N233" s="41">
        <f>VLOOKUP(A233,'Dataset-2'!B234:H844,2,)</f>
        <v>0.1515</v>
      </c>
      <c r="O233" s="41">
        <f>VLOOKUP(N233,'Dataset-2'!C234:I844,2,)</f>
        <v>0.59</v>
      </c>
      <c r="P233" s="41">
        <f>VLOOKUP(O233,'Dataset-2'!D234:J844,2,)</f>
        <v>0.16420000000000001</v>
      </c>
      <c r="Q233" s="41">
        <f>VLOOKUP(P233,'Dataset-2'!E234:K844,2,)</f>
        <v>2</v>
      </c>
      <c r="R233" s="41">
        <f>VLOOKUP(Q233,'Dataset-2'!F234:L844,2,)</f>
        <v>22</v>
      </c>
      <c r="S233" s="41">
        <f>VLOOKUP(R233,'Dataset-2'!G234:M844,2,)</f>
        <v>24</v>
      </c>
    </row>
    <row r="234" spans="1:19" x14ac:dyDescent="0.35">
      <c r="A234" s="40">
        <v>233</v>
      </c>
      <c r="B234" s="62">
        <f>VLOOKUP(A234,'Dataset-1'!A235:M845,2,)</f>
        <v>40553</v>
      </c>
      <c r="C234" s="41">
        <f>VLOOKUP(B234,'Dataset-1'!B235:N845,2,)</f>
        <v>1</v>
      </c>
      <c r="D234" s="41">
        <f>VLOOKUP(C234,'Dataset-1'!C235:O845,2,)</f>
        <v>0</v>
      </c>
      <c r="E234" s="41">
        <f>VLOOKUP(D234,'Dataset-1'!D235:P845,2,)</f>
        <v>1</v>
      </c>
      <c r="F234" s="41">
        <f>VLOOKUP(E234,'Dataset-1'!E235:Q845,2,)</f>
        <v>23</v>
      </c>
      <c r="G234" s="71" t="str">
        <f>VLOOKUP(F234,'Dataset-1'!F235:R845,2,)</f>
        <v>Night</v>
      </c>
      <c r="H234" s="41" t="b">
        <f>VLOOKUP(G234,'Dataset-1'!G235:S845,2,)</f>
        <v>0</v>
      </c>
      <c r="I234" s="41">
        <f>VLOOKUP(H234,'Dataset-1'!H235:T845,2,)</f>
        <v>1</v>
      </c>
      <c r="J234" s="71" t="str">
        <f>VLOOKUP(I234,'Dataset-1'!I235:U845,2,)</f>
        <v>Sunday</v>
      </c>
      <c r="K234" s="41">
        <f>VLOOKUP(J234,'Dataset-1'!J235:V845,2,)</f>
        <v>1</v>
      </c>
      <c r="L234" s="41">
        <f>VLOOKUP(K234,'Dataset-1'!K235:W845,2,)</f>
        <v>0.14000000000000001</v>
      </c>
      <c r="M234" s="71" t="str">
        <f>VLOOKUP(L234,'Dataset-1'!L235:X845,2,)</f>
        <v>Rainy</v>
      </c>
      <c r="N234" s="41">
        <f>VLOOKUP(A234,'Dataset-2'!B235:H845,2,)</f>
        <v>0.1515</v>
      </c>
      <c r="O234" s="41">
        <f>VLOOKUP(N234,'Dataset-2'!C235:I845,2,)</f>
        <v>0.59</v>
      </c>
      <c r="P234" s="41">
        <f>VLOOKUP(O234,'Dataset-2'!D235:J845,2,)</f>
        <v>0.16420000000000001</v>
      </c>
      <c r="Q234" s="41">
        <f>VLOOKUP(P234,'Dataset-2'!E235:K845,2,)</f>
        <v>0</v>
      </c>
      <c r="R234" s="41">
        <f>VLOOKUP(Q234,'Dataset-2'!F235:L845,2,)</f>
        <v>18</v>
      </c>
      <c r="S234" s="41">
        <f>VLOOKUP(R234,'Dataset-2'!G235:M845,2,)</f>
        <v>18</v>
      </c>
    </row>
    <row r="235" spans="1:19" x14ac:dyDescent="0.35">
      <c r="A235" s="40">
        <v>234</v>
      </c>
      <c r="B235" s="62">
        <f>VLOOKUP(A235,'Dataset-1'!A236:M846,2,)</f>
        <v>40554</v>
      </c>
      <c r="C235" s="41">
        <f>VLOOKUP(B235,'Dataset-1'!B236:N846,2,)</f>
        <v>1</v>
      </c>
      <c r="D235" s="41">
        <f>VLOOKUP(C235,'Dataset-1'!C236:O846,2,)</f>
        <v>0</v>
      </c>
      <c r="E235" s="41">
        <f>VLOOKUP(D235,'Dataset-1'!D236:P846,2,)</f>
        <v>1</v>
      </c>
      <c r="F235" s="41">
        <f>VLOOKUP(E235,'Dataset-1'!E236:Q846,2,)</f>
        <v>0</v>
      </c>
      <c r="G235" s="71" t="str">
        <f>VLOOKUP(F235,'Dataset-1'!F236:R846,2,)</f>
        <v>Night</v>
      </c>
      <c r="H235" s="41" t="b">
        <f>VLOOKUP(G235,'Dataset-1'!G236:S846,2,)</f>
        <v>0</v>
      </c>
      <c r="I235" s="41">
        <f>VLOOKUP(H235,'Dataset-1'!H236:T846,2,)</f>
        <v>2</v>
      </c>
      <c r="J235" s="71" t="str">
        <f>VLOOKUP(I235,'Dataset-1'!I236:U846,2,)</f>
        <v>Monday</v>
      </c>
      <c r="K235" s="41">
        <f>VLOOKUP(J235,'Dataset-1'!J236:V846,2,)</f>
        <v>1</v>
      </c>
      <c r="L235" s="41">
        <f>VLOOKUP(K235,'Dataset-1'!K236:W846,2,)</f>
        <v>0.14000000000000001</v>
      </c>
      <c r="M235" s="71" t="str">
        <f>VLOOKUP(L235,'Dataset-1'!L236:X846,2,)</f>
        <v>Rainy</v>
      </c>
      <c r="N235" s="41">
        <f>VLOOKUP(A235,'Dataset-2'!B236:H846,2,)</f>
        <v>0.16669999999999999</v>
      </c>
      <c r="O235" s="41">
        <f>VLOOKUP(N235,'Dataset-2'!C236:I846,2,)</f>
        <v>0.59</v>
      </c>
      <c r="P235" s="41">
        <f>VLOOKUP(O235,'Dataset-2'!D236:J846,2,)</f>
        <v>0.1045</v>
      </c>
      <c r="Q235" s="41">
        <f>VLOOKUP(P235,'Dataset-2'!E236:K846,2,)</f>
        <v>2</v>
      </c>
      <c r="R235" s="41">
        <f>VLOOKUP(Q235,'Dataset-2'!F236:L846,2,)</f>
        <v>10</v>
      </c>
      <c r="S235" s="41">
        <f>VLOOKUP(R235,'Dataset-2'!G236:M846,2,)</f>
        <v>12</v>
      </c>
    </row>
    <row r="236" spans="1:19" x14ac:dyDescent="0.35">
      <c r="A236" s="40">
        <v>235</v>
      </c>
      <c r="B236" s="62">
        <f>VLOOKUP(A236,'Dataset-1'!A237:M847,2,)</f>
        <v>40554</v>
      </c>
      <c r="C236" s="41">
        <f>VLOOKUP(B236,'Dataset-1'!B237:N847,2,)</f>
        <v>1</v>
      </c>
      <c r="D236" s="41">
        <f>VLOOKUP(C236,'Dataset-1'!C237:O847,2,)</f>
        <v>0</v>
      </c>
      <c r="E236" s="41">
        <f>VLOOKUP(D236,'Dataset-1'!D237:P847,2,)</f>
        <v>1</v>
      </c>
      <c r="F236" s="41">
        <f>VLOOKUP(E236,'Dataset-1'!E237:Q847,2,)</f>
        <v>1</v>
      </c>
      <c r="G236" s="71" t="str">
        <f>VLOOKUP(F236,'Dataset-1'!F237:R847,2,)</f>
        <v>Night</v>
      </c>
      <c r="H236" s="41" t="b">
        <f>VLOOKUP(G236,'Dataset-1'!G237:S847,2,)</f>
        <v>0</v>
      </c>
      <c r="I236" s="41">
        <f>VLOOKUP(H236,'Dataset-1'!H237:T847,2,)</f>
        <v>2</v>
      </c>
      <c r="J236" s="71" t="str">
        <f>VLOOKUP(I236,'Dataset-1'!I237:U847,2,)</f>
        <v>Monday</v>
      </c>
      <c r="K236" s="41">
        <f>VLOOKUP(J236,'Dataset-1'!J237:V847,2,)</f>
        <v>1</v>
      </c>
      <c r="L236" s="41">
        <f>VLOOKUP(K236,'Dataset-1'!K237:W847,2,)</f>
        <v>0.14000000000000001</v>
      </c>
      <c r="M236" s="71" t="str">
        <f>VLOOKUP(L236,'Dataset-1'!L237:X847,2,)</f>
        <v>Rainy</v>
      </c>
      <c r="N236" s="41">
        <f>VLOOKUP(A236,'Dataset-2'!B237:H847,2,)</f>
        <v>0.1515</v>
      </c>
      <c r="O236" s="41">
        <f>VLOOKUP(N236,'Dataset-2'!C237:I847,2,)</f>
        <v>0.59</v>
      </c>
      <c r="P236" s="41">
        <f>VLOOKUP(O236,'Dataset-2'!D237:J847,2,)</f>
        <v>0.16420000000000001</v>
      </c>
      <c r="Q236" s="41">
        <f>VLOOKUP(P236,'Dataset-2'!E237:K847,2,)</f>
        <v>0</v>
      </c>
      <c r="R236" s="41">
        <f>VLOOKUP(Q236,'Dataset-2'!F237:L847,2,)</f>
        <v>3</v>
      </c>
      <c r="S236" s="41">
        <f>VLOOKUP(R236,'Dataset-2'!G237:M847,2,)</f>
        <v>3</v>
      </c>
    </row>
    <row r="237" spans="1:19" x14ac:dyDescent="0.35">
      <c r="A237" s="40">
        <v>236</v>
      </c>
      <c r="B237" s="62">
        <f>VLOOKUP(A237,'Dataset-1'!A238:M848,2,)</f>
        <v>40554</v>
      </c>
      <c r="C237" s="41">
        <f>VLOOKUP(B237,'Dataset-1'!B238:N848,2,)</f>
        <v>1</v>
      </c>
      <c r="D237" s="41">
        <f>VLOOKUP(C237,'Dataset-1'!C238:O848,2,)</f>
        <v>0</v>
      </c>
      <c r="E237" s="41">
        <f>VLOOKUP(D237,'Dataset-1'!D238:P848,2,)</f>
        <v>1</v>
      </c>
      <c r="F237" s="41">
        <f>VLOOKUP(E237,'Dataset-1'!E238:Q848,2,)</f>
        <v>2</v>
      </c>
      <c r="G237" s="71" t="str">
        <f>VLOOKUP(F237,'Dataset-1'!F238:R848,2,)</f>
        <v>Night</v>
      </c>
      <c r="H237" s="41" t="b">
        <f>VLOOKUP(G237,'Dataset-1'!G238:S848,2,)</f>
        <v>0</v>
      </c>
      <c r="I237" s="41">
        <f>VLOOKUP(H237,'Dataset-1'!H238:T848,2,)</f>
        <v>2</v>
      </c>
      <c r="J237" s="71" t="str">
        <f>VLOOKUP(I237,'Dataset-1'!I238:U848,2,)</f>
        <v>Monday</v>
      </c>
      <c r="K237" s="41">
        <f>VLOOKUP(J237,'Dataset-1'!J238:V848,2,)</f>
        <v>2</v>
      </c>
      <c r="L237" s="41">
        <f>VLOOKUP(K237,'Dataset-1'!K238:W848,2,)</f>
        <v>0.16</v>
      </c>
      <c r="M237" s="71" t="str">
        <f>VLOOKUP(L237,'Dataset-1'!L238:X848,2,)</f>
        <v>Rainy</v>
      </c>
      <c r="N237" s="41">
        <f>VLOOKUP(A237,'Dataset-2'!B238:H848,2,)</f>
        <v>0.1515</v>
      </c>
      <c r="O237" s="41">
        <f>VLOOKUP(N237,'Dataset-2'!C238:I848,2,)</f>
        <v>0.55000000000000004</v>
      </c>
      <c r="P237" s="41">
        <f>VLOOKUP(O237,'Dataset-2'!D238:J848,2,)</f>
        <v>0.19400000000000001</v>
      </c>
      <c r="Q237" s="41">
        <f>VLOOKUP(P237,'Dataset-2'!E238:K848,2,)</f>
        <v>0</v>
      </c>
      <c r="R237" s="41">
        <f>VLOOKUP(Q237,'Dataset-2'!F238:L848,2,)</f>
        <v>3</v>
      </c>
      <c r="S237" s="41">
        <f>VLOOKUP(R237,'Dataset-2'!G238:M848,2,)</f>
        <v>3</v>
      </c>
    </row>
    <row r="238" spans="1:19" x14ac:dyDescent="0.35">
      <c r="A238" s="40">
        <v>237</v>
      </c>
      <c r="B238" s="62">
        <f>VLOOKUP(A238,'Dataset-1'!A239:M849,2,)</f>
        <v>40554</v>
      </c>
      <c r="C238" s="41">
        <f>VLOOKUP(B238,'Dataset-1'!B239:N849,2,)</f>
        <v>1</v>
      </c>
      <c r="D238" s="41">
        <f>VLOOKUP(C238,'Dataset-1'!C239:O849,2,)</f>
        <v>0</v>
      </c>
      <c r="E238" s="41">
        <f>VLOOKUP(D238,'Dataset-1'!D239:P849,2,)</f>
        <v>1</v>
      </c>
      <c r="F238" s="41">
        <f>VLOOKUP(E238,'Dataset-1'!E239:Q849,2,)</f>
        <v>5</v>
      </c>
      <c r="G238" s="71" t="str">
        <f>VLOOKUP(F238,'Dataset-1'!F239:R849,2,)</f>
        <v>Morning</v>
      </c>
      <c r="H238" s="41" t="b">
        <f>VLOOKUP(G238,'Dataset-1'!G239:S849,2,)</f>
        <v>0</v>
      </c>
      <c r="I238" s="41">
        <f>VLOOKUP(H238,'Dataset-1'!H239:T849,2,)</f>
        <v>2</v>
      </c>
      <c r="J238" s="71" t="str">
        <f>VLOOKUP(I238,'Dataset-1'!I239:U849,2,)</f>
        <v>Monday</v>
      </c>
      <c r="K238" s="41">
        <f>VLOOKUP(J238,'Dataset-1'!J239:V849,2,)</f>
        <v>2</v>
      </c>
      <c r="L238" s="41">
        <f>VLOOKUP(K238,'Dataset-1'!K239:W849,2,)</f>
        <v>0.16</v>
      </c>
      <c r="M238" s="71" t="str">
        <f>VLOOKUP(L238,'Dataset-1'!L239:X849,2,)</f>
        <v>Rainy</v>
      </c>
      <c r="N238" s="41">
        <f>VLOOKUP(A238,'Dataset-2'!B239:H849,2,)</f>
        <v>0.18179999999999999</v>
      </c>
      <c r="O238" s="41">
        <f>VLOOKUP(N238,'Dataset-2'!C239:I849,2,)</f>
        <v>0.55000000000000004</v>
      </c>
      <c r="P238" s="41">
        <f>VLOOKUP(O238,'Dataset-2'!D239:J849,2,)</f>
        <v>0.1343</v>
      </c>
      <c r="Q238" s="41">
        <f>VLOOKUP(P238,'Dataset-2'!E239:K849,2,)</f>
        <v>0</v>
      </c>
      <c r="R238" s="41">
        <f>VLOOKUP(Q238,'Dataset-2'!F239:L849,2,)</f>
        <v>6</v>
      </c>
      <c r="S238" s="41">
        <f>VLOOKUP(R238,'Dataset-2'!G239:M849,2,)</f>
        <v>6</v>
      </c>
    </row>
    <row r="239" spans="1:19" x14ac:dyDescent="0.35">
      <c r="A239" s="40">
        <v>238</v>
      </c>
      <c r="B239" s="62">
        <f>VLOOKUP(A239,'Dataset-1'!A240:M850,2,)</f>
        <v>40554</v>
      </c>
      <c r="C239" s="41">
        <f>VLOOKUP(B239,'Dataset-1'!B240:N850,2,)</f>
        <v>1</v>
      </c>
      <c r="D239" s="41">
        <f>VLOOKUP(C239,'Dataset-1'!C240:O850,2,)</f>
        <v>0</v>
      </c>
      <c r="E239" s="41">
        <f>VLOOKUP(D239,'Dataset-1'!D240:P850,2,)</f>
        <v>1</v>
      </c>
      <c r="F239" s="41">
        <f>VLOOKUP(E239,'Dataset-1'!E240:Q850,2,)</f>
        <v>6</v>
      </c>
      <c r="G239" s="71" t="str">
        <f>VLOOKUP(F239,'Dataset-1'!F240:R850,2,)</f>
        <v>Morning</v>
      </c>
      <c r="H239" s="41" t="b">
        <f>VLOOKUP(G239,'Dataset-1'!G240:S850,2,)</f>
        <v>0</v>
      </c>
      <c r="I239" s="41">
        <f>VLOOKUP(H239,'Dataset-1'!H240:T850,2,)</f>
        <v>2</v>
      </c>
      <c r="J239" s="71" t="str">
        <f>VLOOKUP(I239,'Dataset-1'!I240:U850,2,)</f>
        <v>Monday</v>
      </c>
      <c r="K239" s="41">
        <f>VLOOKUP(J239,'Dataset-1'!J240:V850,2,)</f>
        <v>2</v>
      </c>
      <c r="L239" s="41">
        <f>VLOOKUP(K239,'Dataset-1'!K240:W850,2,)</f>
        <v>0.16</v>
      </c>
      <c r="M239" s="71" t="str">
        <f>VLOOKUP(L239,'Dataset-1'!L240:X850,2,)</f>
        <v>Rainy</v>
      </c>
      <c r="N239" s="41">
        <f>VLOOKUP(A239,'Dataset-2'!B240:H850,2,)</f>
        <v>0.18179999999999999</v>
      </c>
      <c r="O239" s="41">
        <f>VLOOKUP(N239,'Dataset-2'!C240:I850,2,)</f>
        <v>0.55000000000000004</v>
      </c>
      <c r="P239" s="41">
        <f>VLOOKUP(O239,'Dataset-2'!D240:J850,2,)</f>
        <v>0.1343</v>
      </c>
      <c r="Q239" s="41">
        <f>VLOOKUP(P239,'Dataset-2'!E240:K850,2,)</f>
        <v>0</v>
      </c>
      <c r="R239" s="41">
        <f>VLOOKUP(Q239,'Dataset-2'!F240:L850,2,)</f>
        <v>27</v>
      </c>
      <c r="S239" s="41">
        <f>VLOOKUP(R239,'Dataset-2'!G240:M850,2,)</f>
        <v>27</v>
      </c>
    </row>
    <row r="240" spans="1:19" x14ac:dyDescent="0.35">
      <c r="A240" s="40">
        <v>239</v>
      </c>
      <c r="B240" s="62">
        <f>VLOOKUP(A240,'Dataset-1'!A241:M851,2,)</f>
        <v>40554</v>
      </c>
      <c r="C240" s="41">
        <f>VLOOKUP(B240,'Dataset-1'!B241:N851,2,)</f>
        <v>1</v>
      </c>
      <c r="D240" s="41">
        <f>VLOOKUP(C240,'Dataset-1'!C241:O851,2,)</f>
        <v>0</v>
      </c>
      <c r="E240" s="41">
        <f>VLOOKUP(D240,'Dataset-1'!D241:P851,2,)</f>
        <v>1</v>
      </c>
      <c r="F240" s="41">
        <f>VLOOKUP(E240,'Dataset-1'!E241:Q851,2,)</f>
        <v>7</v>
      </c>
      <c r="G240" s="71" t="str">
        <f>VLOOKUP(F240,'Dataset-1'!F241:R851,2,)</f>
        <v>Morning</v>
      </c>
      <c r="H240" s="41" t="b">
        <f>VLOOKUP(G240,'Dataset-1'!G241:S851,2,)</f>
        <v>0</v>
      </c>
      <c r="I240" s="41">
        <f>VLOOKUP(H240,'Dataset-1'!H241:T851,2,)</f>
        <v>2</v>
      </c>
      <c r="J240" s="71" t="str">
        <f>VLOOKUP(I240,'Dataset-1'!I241:U851,2,)</f>
        <v>Monday</v>
      </c>
      <c r="K240" s="41">
        <f>VLOOKUP(J240,'Dataset-1'!J241:V851,2,)</f>
        <v>2</v>
      </c>
      <c r="L240" s="41">
        <f>VLOOKUP(K240,'Dataset-1'!K241:W851,2,)</f>
        <v>0.16</v>
      </c>
      <c r="M240" s="71" t="str">
        <f>VLOOKUP(L240,'Dataset-1'!L241:X851,2,)</f>
        <v>Rainy</v>
      </c>
      <c r="N240" s="41">
        <f>VLOOKUP(A240,'Dataset-2'!B241:H851,2,)</f>
        <v>0.2273</v>
      </c>
      <c r="O240" s="41">
        <f>VLOOKUP(N240,'Dataset-2'!C241:I851,2,)</f>
        <v>0.55000000000000004</v>
      </c>
      <c r="P240" s="41">
        <f>VLOOKUP(O240,'Dataset-2'!D241:J851,2,)</f>
        <v>0</v>
      </c>
      <c r="Q240" s="41">
        <f>VLOOKUP(P240,'Dataset-2'!E241:K851,2,)</f>
        <v>2</v>
      </c>
      <c r="R240" s="41">
        <f>VLOOKUP(Q240,'Dataset-2'!F241:L851,2,)</f>
        <v>97</v>
      </c>
      <c r="S240" s="41">
        <f>VLOOKUP(R240,'Dataset-2'!G241:M851,2,)</f>
        <v>99</v>
      </c>
    </row>
    <row r="241" spans="1:19" x14ac:dyDescent="0.35">
      <c r="A241" s="40">
        <v>240</v>
      </c>
      <c r="B241" s="62">
        <f>VLOOKUP(A241,'Dataset-1'!A242:M852,2,)</f>
        <v>40554</v>
      </c>
      <c r="C241" s="41">
        <f>VLOOKUP(B241,'Dataset-1'!B242:N852,2,)</f>
        <v>1</v>
      </c>
      <c r="D241" s="41">
        <f>VLOOKUP(C241,'Dataset-1'!C242:O852,2,)</f>
        <v>0</v>
      </c>
      <c r="E241" s="41">
        <f>VLOOKUP(D241,'Dataset-1'!D242:P852,2,)</f>
        <v>1</v>
      </c>
      <c r="F241" s="41">
        <f>VLOOKUP(E241,'Dataset-1'!E242:Q852,2,)</f>
        <v>8</v>
      </c>
      <c r="G241" s="71" t="str">
        <f>VLOOKUP(F241,'Dataset-1'!F242:R852,2,)</f>
        <v>Morning</v>
      </c>
      <c r="H241" s="41" t="b">
        <f>VLOOKUP(G241,'Dataset-1'!G242:S852,2,)</f>
        <v>0</v>
      </c>
      <c r="I241" s="41">
        <f>VLOOKUP(H241,'Dataset-1'!H242:T852,2,)</f>
        <v>2</v>
      </c>
      <c r="J241" s="71" t="str">
        <f>VLOOKUP(I241,'Dataset-1'!I242:U852,2,)</f>
        <v>Monday</v>
      </c>
      <c r="K241" s="41">
        <f>VLOOKUP(J241,'Dataset-1'!J242:V852,2,)</f>
        <v>2</v>
      </c>
      <c r="L241" s="41">
        <f>VLOOKUP(K241,'Dataset-1'!K242:W852,2,)</f>
        <v>0.18</v>
      </c>
      <c r="M241" s="71" t="str">
        <f>VLOOKUP(L241,'Dataset-1'!L242:X852,2,)</f>
        <v>Rainy</v>
      </c>
      <c r="N241" s="41">
        <f>VLOOKUP(A241,'Dataset-2'!B242:H852,2,)</f>
        <v>0.21210000000000001</v>
      </c>
      <c r="O241" s="41">
        <f>VLOOKUP(N241,'Dataset-2'!C242:I852,2,)</f>
        <v>0.51</v>
      </c>
      <c r="P241" s="41">
        <f>VLOOKUP(O241,'Dataset-2'!D242:J852,2,)</f>
        <v>8.9599999999999999E-2</v>
      </c>
      <c r="Q241" s="41">
        <f>VLOOKUP(P241,'Dataset-2'!E242:K852,2,)</f>
        <v>3</v>
      </c>
      <c r="R241" s="41">
        <f>VLOOKUP(Q241,'Dataset-2'!F242:L852,2,)</f>
        <v>214</v>
      </c>
      <c r="S241" s="41">
        <f>VLOOKUP(R241,'Dataset-2'!G242:M852,2,)</f>
        <v>217</v>
      </c>
    </row>
    <row r="242" spans="1:19" x14ac:dyDescent="0.35">
      <c r="A242" s="40">
        <v>241</v>
      </c>
      <c r="B242" s="62">
        <f>VLOOKUP(A242,'Dataset-1'!A243:M853,2,)</f>
        <v>40554</v>
      </c>
      <c r="C242" s="41">
        <f>VLOOKUP(B242,'Dataset-1'!B243:N853,2,)</f>
        <v>1</v>
      </c>
      <c r="D242" s="41">
        <f>VLOOKUP(C242,'Dataset-1'!C243:O853,2,)</f>
        <v>0</v>
      </c>
      <c r="E242" s="41">
        <f>VLOOKUP(D242,'Dataset-1'!D243:P853,2,)</f>
        <v>1</v>
      </c>
      <c r="F242" s="41">
        <f>VLOOKUP(E242,'Dataset-1'!E243:Q853,2,)</f>
        <v>9</v>
      </c>
      <c r="G242" s="71" t="str">
        <f>VLOOKUP(F242,'Dataset-1'!F243:R853,2,)</f>
        <v>Morning</v>
      </c>
      <c r="H242" s="41" t="b">
        <f>VLOOKUP(G242,'Dataset-1'!G243:S853,2,)</f>
        <v>0</v>
      </c>
      <c r="I242" s="41">
        <f>VLOOKUP(H242,'Dataset-1'!H243:T853,2,)</f>
        <v>2</v>
      </c>
      <c r="J242" s="71" t="str">
        <f>VLOOKUP(I242,'Dataset-1'!I243:U853,2,)</f>
        <v>Monday</v>
      </c>
      <c r="K242" s="41">
        <f>VLOOKUP(J242,'Dataset-1'!J243:V853,2,)</f>
        <v>2</v>
      </c>
      <c r="L242" s="41">
        <f>VLOOKUP(K242,'Dataset-1'!K243:W853,2,)</f>
        <v>0.18</v>
      </c>
      <c r="M242" s="71" t="str">
        <f>VLOOKUP(L242,'Dataset-1'!L243:X853,2,)</f>
        <v>Rainy</v>
      </c>
      <c r="N242" s="41">
        <f>VLOOKUP(A242,'Dataset-2'!B243:H853,2,)</f>
        <v>0.19700000000000001</v>
      </c>
      <c r="O242" s="41">
        <f>VLOOKUP(N242,'Dataset-2'!C243:I853,2,)</f>
        <v>0.51</v>
      </c>
      <c r="P242" s="41">
        <f>VLOOKUP(O242,'Dataset-2'!D243:J853,2,)</f>
        <v>0.16420000000000001</v>
      </c>
      <c r="Q242" s="41">
        <f>VLOOKUP(P242,'Dataset-2'!E243:K853,2,)</f>
        <v>3</v>
      </c>
      <c r="R242" s="41">
        <f>VLOOKUP(Q242,'Dataset-2'!F243:L853,2,)</f>
        <v>127</v>
      </c>
      <c r="S242" s="41">
        <f>VLOOKUP(R242,'Dataset-2'!G243:M853,2,)</f>
        <v>130</v>
      </c>
    </row>
    <row r="243" spans="1:19" x14ac:dyDescent="0.35">
      <c r="A243" s="40">
        <v>242</v>
      </c>
      <c r="B243" s="62">
        <f>VLOOKUP(A243,'Dataset-1'!A244:M854,2,)</f>
        <v>40554</v>
      </c>
      <c r="C243" s="41">
        <f>VLOOKUP(B243,'Dataset-1'!B244:N854,2,)</f>
        <v>1</v>
      </c>
      <c r="D243" s="41">
        <f>VLOOKUP(C243,'Dataset-1'!C244:O854,2,)</f>
        <v>0</v>
      </c>
      <c r="E243" s="41">
        <f>VLOOKUP(D243,'Dataset-1'!D244:P854,2,)</f>
        <v>1</v>
      </c>
      <c r="F243" s="41">
        <f>VLOOKUP(E243,'Dataset-1'!E244:Q854,2,)</f>
        <v>10</v>
      </c>
      <c r="G243" s="71" t="str">
        <f>VLOOKUP(F243,'Dataset-1'!F244:R854,2,)</f>
        <v>Morning</v>
      </c>
      <c r="H243" s="41" t="b">
        <f>VLOOKUP(G243,'Dataset-1'!G244:S854,2,)</f>
        <v>0</v>
      </c>
      <c r="I243" s="41">
        <f>VLOOKUP(H243,'Dataset-1'!H244:T854,2,)</f>
        <v>2</v>
      </c>
      <c r="J243" s="71" t="str">
        <f>VLOOKUP(I243,'Dataset-1'!I244:U854,2,)</f>
        <v>Monday</v>
      </c>
      <c r="K243" s="41">
        <f>VLOOKUP(J243,'Dataset-1'!J244:V854,2,)</f>
        <v>2</v>
      </c>
      <c r="L243" s="41">
        <f>VLOOKUP(K243,'Dataset-1'!K244:W854,2,)</f>
        <v>0.2</v>
      </c>
      <c r="M243" s="71" t="str">
        <f>VLOOKUP(L243,'Dataset-1'!L244:X854,2,)</f>
        <v>Rainy</v>
      </c>
      <c r="N243" s="41">
        <f>VLOOKUP(A243,'Dataset-2'!B244:H854,2,)</f>
        <v>0.21210000000000001</v>
      </c>
      <c r="O243" s="41">
        <f>VLOOKUP(N243,'Dataset-2'!C244:I854,2,)</f>
        <v>0.51</v>
      </c>
      <c r="P243" s="41">
        <f>VLOOKUP(O243,'Dataset-2'!D244:J854,2,)</f>
        <v>0.16420000000000001</v>
      </c>
      <c r="Q243" s="41">
        <f>VLOOKUP(P243,'Dataset-2'!E244:K854,2,)</f>
        <v>3</v>
      </c>
      <c r="R243" s="41">
        <f>VLOOKUP(Q243,'Dataset-2'!F244:L854,2,)</f>
        <v>51</v>
      </c>
      <c r="S243" s="41">
        <f>VLOOKUP(R243,'Dataset-2'!G244:M854,2,)</f>
        <v>54</v>
      </c>
    </row>
    <row r="244" spans="1:19" x14ac:dyDescent="0.35">
      <c r="A244" s="40">
        <v>243</v>
      </c>
      <c r="B244" s="62">
        <f>VLOOKUP(A244,'Dataset-1'!A245:M855,2,)</f>
        <v>40554</v>
      </c>
      <c r="C244" s="41">
        <f>VLOOKUP(B244,'Dataset-1'!B245:N855,2,)</f>
        <v>1</v>
      </c>
      <c r="D244" s="41">
        <f>VLOOKUP(C244,'Dataset-1'!C245:O855,2,)</f>
        <v>0</v>
      </c>
      <c r="E244" s="41">
        <f>VLOOKUP(D244,'Dataset-1'!D245:P855,2,)</f>
        <v>1</v>
      </c>
      <c r="F244" s="41">
        <f>VLOOKUP(E244,'Dataset-1'!E245:Q855,2,)</f>
        <v>11</v>
      </c>
      <c r="G244" s="71" t="str">
        <f>VLOOKUP(F244,'Dataset-1'!F245:R855,2,)</f>
        <v>Morning</v>
      </c>
      <c r="H244" s="41" t="b">
        <f>VLOOKUP(G244,'Dataset-1'!G245:S855,2,)</f>
        <v>0</v>
      </c>
      <c r="I244" s="41">
        <f>VLOOKUP(H244,'Dataset-1'!H245:T855,2,)</f>
        <v>2</v>
      </c>
      <c r="J244" s="71" t="str">
        <f>VLOOKUP(I244,'Dataset-1'!I245:U855,2,)</f>
        <v>Monday</v>
      </c>
      <c r="K244" s="41">
        <f>VLOOKUP(J244,'Dataset-1'!J245:V855,2,)</f>
        <v>2</v>
      </c>
      <c r="L244" s="41">
        <f>VLOOKUP(K244,'Dataset-1'!K245:W855,2,)</f>
        <v>0.2</v>
      </c>
      <c r="M244" s="71" t="str">
        <f>VLOOKUP(L244,'Dataset-1'!L245:X855,2,)</f>
        <v>Rainy</v>
      </c>
      <c r="N244" s="41">
        <f>VLOOKUP(A244,'Dataset-2'!B245:H855,2,)</f>
        <v>0.21210000000000001</v>
      </c>
      <c r="O244" s="41">
        <f>VLOOKUP(N244,'Dataset-2'!C245:I855,2,)</f>
        <v>0.47</v>
      </c>
      <c r="P244" s="41">
        <f>VLOOKUP(O244,'Dataset-2'!D245:J855,2,)</f>
        <v>0.1343</v>
      </c>
      <c r="Q244" s="41">
        <f>VLOOKUP(P244,'Dataset-2'!E245:K855,2,)</f>
        <v>4</v>
      </c>
      <c r="R244" s="41">
        <f>VLOOKUP(Q244,'Dataset-2'!F245:L855,2,)</f>
        <v>31</v>
      </c>
      <c r="S244" s="41">
        <f>VLOOKUP(R244,'Dataset-2'!G245:M855,2,)</f>
        <v>35</v>
      </c>
    </row>
    <row r="245" spans="1:19" x14ac:dyDescent="0.35">
      <c r="A245" s="40">
        <v>244</v>
      </c>
      <c r="B245" s="62">
        <f>VLOOKUP(A245,'Dataset-1'!A246:M856,2,)</f>
        <v>40554</v>
      </c>
      <c r="C245" s="41">
        <f>VLOOKUP(B245,'Dataset-1'!B246:N856,2,)</f>
        <v>1</v>
      </c>
      <c r="D245" s="41">
        <f>VLOOKUP(C245,'Dataset-1'!C246:O856,2,)</f>
        <v>0</v>
      </c>
      <c r="E245" s="41">
        <f>VLOOKUP(D245,'Dataset-1'!D246:P856,2,)</f>
        <v>1</v>
      </c>
      <c r="F245" s="41">
        <f>VLOOKUP(E245,'Dataset-1'!E246:Q856,2,)</f>
        <v>12</v>
      </c>
      <c r="G245" s="71" t="str">
        <f>VLOOKUP(F245,'Dataset-1'!F246:R856,2,)</f>
        <v>AfterNoon</v>
      </c>
      <c r="H245" s="41" t="b">
        <f>VLOOKUP(G245,'Dataset-1'!G246:S856,2,)</f>
        <v>0</v>
      </c>
      <c r="I245" s="41">
        <f>VLOOKUP(H245,'Dataset-1'!H246:T856,2,)</f>
        <v>2</v>
      </c>
      <c r="J245" s="71" t="str">
        <f>VLOOKUP(I245,'Dataset-1'!I246:U856,2,)</f>
        <v>Monday</v>
      </c>
      <c r="K245" s="41">
        <f>VLOOKUP(J245,'Dataset-1'!J246:V856,2,)</f>
        <v>2</v>
      </c>
      <c r="L245" s="41">
        <f>VLOOKUP(K245,'Dataset-1'!K246:W856,2,)</f>
        <v>0.2</v>
      </c>
      <c r="M245" s="71" t="str">
        <f>VLOOKUP(L245,'Dataset-1'!L246:X856,2,)</f>
        <v>Rainy</v>
      </c>
      <c r="N245" s="41">
        <f>VLOOKUP(A245,'Dataset-2'!B246:H856,2,)</f>
        <v>0.2273</v>
      </c>
      <c r="O245" s="41">
        <f>VLOOKUP(N245,'Dataset-2'!C246:I856,2,)</f>
        <v>0.51</v>
      </c>
      <c r="P245" s="41">
        <f>VLOOKUP(O245,'Dataset-2'!D246:J856,2,)</f>
        <v>0.1045</v>
      </c>
      <c r="Q245" s="41">
        <f>VLOOKUP(P245,'Dataset-2'!E246:K856,2,)</f>
        <v>2</v>
      </c>
      <c r="R245" s="41">
        <f>VLOOKUP(Q245,'Dataset-2'!F246:L856,2,)</f>
        <v>55</v>
      </c>
      <c r="S245" s="41">
        <f>VLOOKUP(R245,'Dataset-2'!G246:M856,2,)</f>
        <v>57</v>
      </c>
    </row>
    <row r="246" spans="1:19" x14ac:dyDescent="0.35">
      <c r="A246" s="40">
        <v>245</v>
      </c>
      <c r="B246" s="62">
        <f>VLOOKUP(A246,'Dataset-1'!A247:M857,2,)</f>
        <v>40554</v>
      </c>
      <c r="C246" s="41">
        <f>VLOOKUP(B246,'Dataset-1'!B247:N857,2,)</f>
        <v>1</v>
      </c>
      <c r="D246" s="41">
        <f>VLOOKUP(C246,'Dataset-1'!C247:O857,2,)</f>
        <v>0</v>
      </c>
      <c r="E246" s="41">
        <f>VLOOKUP(D246,'Dataset-1'!D247:P857,2,)</f>
        <v>1</v>
      </c>
      <c r="F246" s="41">
        <f>VLOOKUP(E246,'Dataset-1'!E247:Q857,2,)</f>
        <v>13</v>
      </c>
      <c r="G246" s="71" t="str">
        <f>VLOOKUP(F246,'Dataset-1'!F247:R857,2,)</f>
        <v>AfterNoon</v>
      </c>
      <c r="H246" s="41" t="b">
        <f>VLOOKUP(G246,'Dataset-1'!G247:S857,2,)</f>
        <v>0</v>
      </c>
      <c r="I246" s="41">
        <f>VLOOKUP(H246,'Dataset-1'!H247:T857,2,)</f>
        <v>2</v>
      </c>
      <c r="J246" s="71" t="str">
        <f>VLOOKUP(I246,'Dataset-1'!I247:U857,2,)</f>
        <v>Monday</v>
      </c>
      <c r="K246" s="41">
        <f>VLOOKUP(J246,'Dataset-1'!J247:V857,2,)</f>
        <v>2</v>
      </c>
      <c r="L246" s="41">
        <f>VLOOKUP(K246,'Dataset-1'!K247:W857,2,)</f>
        <v>0.2</v>
      </c>
      <c r="M246" s="71" t="str">
        <f>VLOOKUP(L246,'Dataset-1'!L247:X857,2,)</f>
        <v>Rainy</v>
      </c>
      <c r="N246" s="41">
        <f>VLOOKUP(A246,'Dataset-2'!B247:H857,2,)</f>
        <v>0.2273</v>
      </c>
      <c r="O246" s="41">
        <f>VLOOKUP(N246,'Dataset-2'!C247:I857,2,)</f>
        <v>0.59</v>
      </c>
      <c r="P246" s="41">
        <f>VLOOKUP(O246,'Dataset-2'!D247:J857,2,)</f>
        <v>8.9599999999999999E-2</v>
      </c>
      <c r="Q246" s="41">
        <f>VLOOKUP(P246,'Dataset-2'!E247:K857,2,)</f>
        <v>6</v>
      </c>
      <c r="R246" s="41">
        <f>VLOOKUP(Q246,'Dataset-2'!F247:L857,2,)</f>
        <v>46</v>
      </c>
      <c r="S246" s="41">
        <f>VLOOKUP(R246,'Dataset-2'!G247:M857,2,)</f>
        <v>52</v>
      </c>
    </row>
    <row r="247" spans="1:19" x14ac:dyDescent="0.35">
      <c r="A247" s="40">
        <v>246</v>
      </c>
      <c r="B247" s="62">
        <f>VLOOKUP(A247,'Dataset-1'!A248:M858,2,)</f>
        <v>40554</v>
      </c>
      <c r="C247" s="41">
        <f>VLOOKUP(B247,'Dataset-1'!B248:N858,2,)</f>
        <v>1</v>
      </c>
      <c r="D247" s="41">
        <f>VLOOKUP(C247,'Dataset-1'!C248:O858,2,)</f>
        <v>0</v>
      </c>
      <c r="E247" s="41">
        <f>VLOOKUP(D247,'Dataset-1'!D248:P858,2,)</f>
        <v>1</v>
      </c>
      <c r="F247" s="41">
        <f>VLOOKUP(E247,'Dataset-1'!E248:Q858,2,)</f>
        <v>14</v>
      </c>
      <c r="G247" s="71" t="str">
        <f>VLOOKUP(F247,'Dataset-1'!F248:R858,2,)</f>
        <v>AfterNoon</v>
      </c>
      <c r="H247" s="41" t="b">
        <f>VLOOKUP(G247,'Dataset-1'!G248:S858,2,)</f>
        <v>0</v>
      </c>
      <c r="I247" s="41">
        <f>VLOOKUP(H247,'Dataset-1'!H248:T858,2,)</f>
        <v>2</v>
      </c>
      <c r="J247" s="71" t="str">
        <f>VLOOKUP(I247,'Dataset-1'!I248:U858,2,)</f>
        <v>Monday</v>
      </c>
      <c r="K247" s="41">
        <f>VLOOKUP(J247,'Dataset-1'!J248:V858,2,)</f>
        <v>2</v>
      </c>
      <c r="L247" s="41">
        <f>VLOOKUP(K247,'Dataset-1'!K248:W858,2,)</f>
        <v>0.2</v>
      </c>
      <c r="M247" s="71" t="str">
        <f>VLOOKUP(L247,'Dataset-1'!L248:X858,2,)</f>
        <v>Rainy</v>
      </c>
      <c r="N247" s="41">
        <f>VLOOKUP(A247,'Dataset-2'!B248:H858,2,)</f>
        <v>0.2273</v>
      </c>
      <c r="O247" s="41">
        <f>VLOOKUP(N247,'Dataset-2'!C248:I858,2,)</f>
        <v>0.59</v>
      </c>
      <c r="P247" s="41">
        <f>VLOOKUP(O247,'Dataset-2'!D248:J858,2,)</f>
        <v>8.9599999999999999E-2</v>
      </c>
      <c r="Q247" s="41">
        <f>VLOOKUP(P247,'Dataset-2'!E248:K858,2,)</f>
        <v>3</v>
      </c>
      <c r="R247" s="41">
        <f>VLOOKUP(Q247,'Dataset-2'!F248:L858,2,)</f>
        <v>60</v>
      </c>
      <c r="S247" s="41">
        <f>VLOOKUP(R247,'Dataset-2'!G248:M858,2,)</f>
        <v>63</v>
      </c>
    </row>
    <row r="248" spans="1:19" x14ac:dyDescent="0.35">
      <c r="A248" s="40">
        <v>247</v>
      </c>
      <c r="B248" s="62">
        <f>VLOOKUP(A248,'Dataset-1'!A249:M859,2,)</f>
        <v>40554</v>
      </c>
      <c r="C248" s="41">
        <f>VLOOKUP(B248,'Dataset-1'!B249:N859,2,)</f>
        <v>1</v>
      </c>
      <c r="D248" s="41">
        <f>VLOOKUP(C248,'Dataset-1'!C249:O859,2,)</f>
        <v>0</v>
      </c>
      <c r="E248" s="41">
        <f>VLOOKUP(D248,'Dataset-1'!D249:P859,2,)</f>
        <v>1</v>
      </c>
      <c r="F248" s="41">
        <f>VLOOKUP(E248,'Dataset-1'!E249:Q859,2,)</f>
        <v>15</v>
      </c>
      <c r="G248" s="71" t="str">
        <f>VLOOKUP(F248,'Dataset-1'!F249:R859,2,)</f>
        <v>AfterNoon</v>
      </c>
      <c r="H248" s="41" t="b">
        <f>VLOOKUP(G248,'Dataset-1'!G249:S859,2,)</f>
        <v>0</v>
      </c>
      <c r="I248" s="41">
        <f>VLOOKUP(H248,'Dataset-1'!H249:T859,2,)</f>
        <v>2</v>
      </c>
      <c r="J248" s="71" t="str">
        <f>VLOOKUP(I248,'Dataset-1'!I249:U859,2,)</f>
        <v>Monday</v>
      </c>
      <c r="K248" s="41">
        <f>VLOOKUP(J248,'Dataset-1'!J249:V859,2,)</f>
        <v>2</v>
      </c>
      <c r="L248" s="41">
        <f>VLOOKUP(K248,'Dataset-1'!K249:W859,2,)</f>
        <v>0.16</v>
      </c>
      <c r="M248" s="71" t="str">
        <f>VLOOKUP(L248,'Dataset-1'!L249:X859,2,)</f>
        <v>Rainy</v>
      </c>
      <c r="N248" s="41">
        <f>VLOOKUP(A248,'Dataset-2'!B249:H859,2,)</f>
        <v>0.19700000000000001</v>
      </c>
      <c r="O248" s="41">
        <f>VLOOKUP(N248,'Dataset-2'!C249:I859,2,)</f>
        <v>0.8</v>
      </c>
      <c r="P248" s="41">
        <f>VLOOKUP(O248,'Dataset-2'!D249:J859,2,)</f>
        <v>8.9599999999999999E-2</v>
      </c>
      <c r="Q248" s="41">
        <f>VLOOKUP(P248,'Dataset-2'!E249:K859,2,)</f>
        <v>2</v>
      </c>
      <c r="R248" s="41">
        <f>VLOOKUP(Q248,'Dataset-2'!F249:L859,2,)</f>
        <v>45</v>
      </c>
      <c r="S248" s="41">
        <f>VLOOKUP(R248,'Dataset-2'!G249:M859,2,)</f>
        <v>47</v>
      </c>
    </row>
    <row r="249" spans="1:19" x14ac:dyDescent="0.35">
      <c r="A249" s="40">
        <v>248</v>
      </c>
      <c r="B249" s="62">
        <f>VLOOKUP(A249,'Dataset-1'!A250:M860,2,)</f>
        <v>40554</v>
      </c>
      <c r="C249" s="41">
        <f>VLOOKUP(B249,'Dataset-1'!B250:N860,2,)</f>
        <v>1</v>
      </c>
      <c r="D249" s="41">
        <f>VLOOKUP(C249,'Dataset-1'!C250:O860,2,)</f>
        <v>0</v>
      </c>
      <c r="E249" s="41">
        <f>VLOOKUP(D249,'Dataset-1'!D250:P860,2,)</f>
        <v>1</v>
      </c>
      <c r="F249" s="41">
        <f>VLOOKUP(E249,'Dataset-1'!E250:Q860,2,)</f>
        <v>16</v>
      </c>
      <c r="G249" s="71" t="str">
        <f>VLOOKUP(F249,'Dataset-1'!F250:R860,2,)</f>
        <v>AfterNoon</v>
      </c>
      <c r="H249" s="41" t="b">
        <f>VLOOKUP(G249,'Dataset-1'!G250:S860,2,)</f>
        <v>0</v>
      </c>
      <c r="I249" s="41">
        <f>VLOOKUP(H249,'Dataset-1'!H250:T860,2,)</f>
        <v>2</v>
      </c>
      <c r="J249" s="71" t="str">
        <f>VLOOKUP(I249,'Dataset-1'!I250:U860,2,)</f>
        <v>Monday</v>
      </c>
      <c r="K249" s="41">
        <f>VLOOKUP(J249,'Dataset-1'!J250:V860,2,)</f>
        <v>2</v>
      </c>
      <c r="L249" s="41">
        <f>VLOOKUP(K249,'Dataset-1'!K250:W860,2,)</f>
        <v>0.16</v>
      </c>
      <c r="M249" s="71" t="str">
        <f>VLOOKUP(L249,'Dataset-1'!L250:X860,2,)</f>
        <v>Rainy</v>
      </c>
      <c r="N249" s="41">
        <f>VLOOKUP(A249,'Dataset-2'!B250:H860,2,)</f>
        <v>0.1515</v>
      </c>
      <c r="O249" s="41">
        <f>VLOOKUP(N249,'Dataset-2'!C250:I860,2,)</f>
        <v>0.86</v>
      </c>
      <c r="P249" s="41">
        <f>VLOOKUP(O249,'Dataset-2'!D250:J860,2,)</f>
        <v>0.22389999999999999</v>
      </c>
      <c r="Q249" s="41">
        <f>VLOOKUP(P249,'Dataset-2'!E250:K860,2,)</f>
        <v>4</v>
      </c>
      <c r="R249" s="41">
        <f>VLOOKUP(Q249,'Dataset-2'!F250:L860,2,)</f>
        <v>72</v>
      </c>
      <c r="S249" s="41">
        <f>VLOOKUP(R249,'Dataset-2'!G250:M860,2,)</f>
        <v>76</v>
      </c>
    </row>
    <row r="250" spans="1:19" x14ac:dyDescent="0.35">
      <c r="A250" s="40">
        <v>249</v>
      </c>
      <c r="B250" s="62">
        <f>VLOOKUP(A250,'Dataset-1'!A251:M861,2,)</f>
        <v>40554</v>
      </c>
      <c r="C250" s="41">
        <f>VLOOKUP(B250,'Dataset-1'!B251:N861,2,)</f>
        <v>1</v>
      </c>
      <c r="D250" s="41">
        <f>VLOOKUP(C250,'Dataset-1'!C251:O861,2,)</f>
        <v>0</v>
      </c>
      <c r="E250" s="41">
        <f>VLOOKUP(D250,'Dataset-1'!D251:P861,2,)</f>
        <v>1</v>
      </c>
      <c r="F250" s="41">
        <f>VLOOKUP(E250,'Dataset-1'!E251:Q861,2,)</f>
        <v>17</v>
      </c>
      <c r="G250" s="71" t="str">
        <f>VLOOKUP(F250,'Dataset-1'!F251:R861,2,)</f>
        <v>Evening</v>
      </c>
      <c r="H250" s="41" t="b">
        <f>VLOOKUP(G250,'Dataset-1'!G251:S861,2,)</f>
        <v>0</v>
      </c>
      <c r="I250" s="41">
        <f>VLOOKUP(H250,'Dataset-1'!H251:T861,2,)</f>
        <v>2</v>
      </c>
      <c r="J250" s="71" t="str">
        <f>VLOOKUP(I250,'Dataset-1'!I251:U861,2,)</f>
        <v>Monday</v>
      </c>
      <c r="K250" s="41">
        <f>VLOOKUP(J250,'Dataset-1'!J251:V861,2,)</f>
        <v>2</v>
      </c>
      <c r="L250" s="41">
        <f>VLOOKUP(K250,'Dataset-1'!K251:W861,2,)</f>
        <v>0.16</v>
      </c>
      <c r="M250" s="71" t="str">
        <f>VLOOKUP(L250,'Dataset-1'!L251:X861,2,)</f>
        <v>Rainy</v>
      </c>
      <c r="N250" s="41">
        <f>VLOOKUP(A250,'Dataset-2'!B251:H861,2,)</f>
        <v>0.1515</v>
      </c>
      <c r="O250" s="41">
        <f>VLOOKUP(N250,'Dataset-2'!C251:I861,2,)</f>
        <v>0.86</v>
      </c>
      <c r="P250" s="41">
        <f>VLOOKUP(O250,'Dataset-2'!D251:J861,2,)</f>
        <v>0.22389999999999999</v>
      </c>
      <c r="Q250" s="41">
        <f>VLOOKUP(P250,'Dataset-2'!E251:K861,2,)</f>
        <v>6</v>
      </c>
      <c r="R250" s="41">
        <f>VLOOKUP(Q250,'Dataset-2'!F251:L861,2,)</f>
        <v>130</v>
      </c>
      <c r="S250" s="41">
        <f>VLOOKUP(R250,'Dataset-2'!G251:M861,2,)</f>
        <v>136</v>
      </c>
    </row>
    <row r="251" spans="1:19" x14ac:dyDescent="0.35">
      <c r="A251" s="40">
        <v>250</v>
      </c>
      <c r="B251" s="62">
        <f>VLOOKUP(A251,'Dataset-1'!A252:M862,2,)</f>
        <v>40554</v>
      </c>
      <c r="C251" s="41">
        <f>VLOOKUP(B251,'Dataset-1'!B252:N862,2,)</f>
        <v>1</v>
      </c>
      <c r="D251" s="41">
        <f>VLOOKUP(C251,'Dataset-1'!C252:O862,2,)</f>
        <v>0</v>
      </c>
      <c r="E251" s="41">
        <f>VLOOKUP(D251,'Dataset-1'!D252:P862,2,)</f>
        <v>1</v>
      </c>
      <c r="F251" s="41">
        <f>VLOOKUP(E251,'Dataset-1'!E252:Q862,2,)</f>
        <v>18</v>
      </c>
      <c r="G251" s="71" t="str">
        <f>VLOOKUP(F251,'Dataset-1'!F252:R862,2,)</f>
        <v>Evening</v>
      </c>
      <c r="H251" s="41" t="b">
        <f>VLOOKUP(G251,'Dataset-1'!G252:S862,2,)</f>
        <v>0</v>
      </c>
      <c r="I251" s="41">
        <f>VLOOKUP(H251,'Dataset-1'!H252:T862,2,)</f>
        <v>2</v>
      </c>
      <c r="J251" s="71" t="str">
        <f>VLOOKUP(I251,'Dataset-1'!I252:U862,2,)</f>
        <v>Monday</v>
      </c>
      <c r="K251" s="41">
        <f>VLOOKUP(J251,'Dataset-1'!J252:V862,2,)</f>
        <v>3</v>
      </c>
      <c r="L251" s="41">
        <f>VLOOKUP(K251,'Dataset-1'!K252:W862,2,)</f>
        <v>0.16</v>
      </c>
      <c r="M251" s="71" t="str">
        <f>VLOOKUP(L251,'Dataset-1'!L252:X862,2,)</f>
        <v>Rainy</v>
      </c>
      <c r="N251" s="41">
        <f>VLOOKUP(A251,'Dataset-2'!B252:H862,2,)</f>
        <v>0.18179999999999999</v>
      </c>
      <c r="O251" s="41">
        <f>VLOOKUP(N251,'Dataset-2'!C252:I862,2,)</f>
        <v>0.93</v>
      </c>
      <c r="P251" s="41">
        <f>VLOOKUP(O251,'Dataset-2'!D252:J862,2,)</f>
        <v>0.1045</v>
      </c>
      <c r="Q251" s="41">
        <f>VLOOKUP(P251,'Dataset-2'!E252:K862,2,)</f>
        <v>1</v>
      </c>
      <c r="R251" s="41">
        <f>VLOOKUP(Q251,'Dataset-2'!F252:L862,2,)</f>
        <v>94</v>
      </c>
      <c r="S251" s="41">
        <f>VLOOKUP(R251,'Dataset-2'!G252:M862,2,)</f>
        <v>95</v>
      </c>
    </row>
    <row r="252" spans="1:19" x14ac:dyDescent="0.35">
      <c r="A252" s="40">
        <v>251</v>
      </c>
      <c r="B252" s="62">
        <f>VLOOKUP(A252,'Dataset-1'!A253:M863,2,)</f>
        <v>40554</v>
      </c>
      <c r="C252" s="41">
        <f>VLOOKUP(B252,'Dataset-1'!B253:N863,2,)</f>
        <v>1</v>
      </c>
      <c r="D252" s="41">
        <f>VLOOKUP(C252,'Dataset-1'!C253:O863,2,)</f>
        <v>0</v>
      </c>
      <c r="E252" s="41">
        <f>VLOOKUP(D252,'Dataset-1'!D253:P863,2,)</f>
        <v>1</v>
      </c>
      <c r="F252" s="41">
        <f>VLOOKUP(E252,'Dataset-1'!E253:Q863,2,)</f>
        <v>19</v>
      </c>
      <c r="G252" s="71" t="str">
        <f>VLOOKUP(F252,'Dataset-1'!F253:R863,2,)</f>
        <v>Evening</v>
      </c>
      <c r="H252" s="41" t="b">
        <f>VLOOKUP(G252,'Dataset-1'!G253:S863,2,)</f>
        <v>0</v>
      </c>
      <c r="I252" s="41">
        <f>VLOOKUP(H252,'Dataset-1'!H253:T863,2,)</f>
        <v>2</v>
      </c>
      <c r="J252" s="71" t="str">
        <f>VLOOKUP(I252,'Dataset-1'!I253:U863,2,)</f>
        <v>Monday</v>
      </c>
      <c r="K252" s="41">
        <f>VLOOKUP(J252,'Dataset-1'!J253:V863,2,)</f>
        <v>3</v>
      </c>
      <c r="L252" s="41">
        <f>VLOOKUP(K252,'Dataset-1'!K253:W863,2,)</f>
        <v>0.16</v>
      </c>
      <c r="M252" s="71" t="str">
        <f>VLOOKUP(L252,'Dataset-1'!L253:X863,2,)</f>
        <v>Rainy</v>
      </c>
      <c r="N252" s="41">
        <f>VLOOKUP(A252,'Dataset-2'!B253:H863,2,)</f>
        <v>0.2273</v>
      </c>
      <c r="O252" s="41">
        <f>VLOOKUP(N252,'Dataset-2'!C253:I863,2,)</f>
        <v>0.93</v>
      </c>
      <c r="P252" s="41">
        <f>VLOOKUP(O252,'Dataset-2'!D253:J863,2,)</f>
        <v>0</v>
      </c>
      <c r="Q252" s="41">
        <f>VLOOKUP(P252,'Dataset-2'!E253:K863,2,)</f>
        <v>0</v>
      </c>
      <c r="R252" s="41">
        <f>VLOOKUP(Q252,'Dataset-2'!F253:L863,2,)</f>
        <v>51</v>
      </c>
      <c r="S252" s="41">
        <f>VLOOKUP(R252,'Dataset-2'!G253:M863,2,)</f>
        <v>51</v>
      </c>
    </row>
    <row r="253" spans="1:19" x14ac:dyDescent="0.35">
      <c r="A253" s="40">
        <v>252</v>
      </c>
      <c r="B253" s="62">
        <f>VLOOKUP(A253,'Dataset-1'!A254:M864,2,)</f>
        <v>40554</v>
      </c>
      <c r="C253" s="41">
        <f>VLOOKUP(B253,'Dataset-1'!B254:N864,2,)</f>
        <v>1</v>
      </c>
      <c r="D253" s="41">
        <f>VLOOKUP(C253,'Dataset-1'!C254:O864,2,)</f>
        <v>0</v>
      </c>
      <c r="E253" s="41">
        <f>VLOOKUP(D253,'Dataset-1'!D254:P864,2,)</f>
        <v>1</v>
      </c>
      <c r="F253" s="41">
        <f>VLOOKUP(E253,'Dataset-1'!E254:Q864,2,)</f>
        <v>20</v>
      </c>
      <c r="G253" s="71" t="str">
        <f>VLOOKUP(F253,'Dataset-1'!F254:R864,2,)</f>
        <v>Night</v>
      </c>
      <c r="H253" s="41" t="b">
        <f>VLOOKUP(G253,'Dataset-1'!G254:S864,2,)</f>
        <v>0</v>
      </c>
      <c r="I253" s="41">
        <f>VLOOKUP(H253,'Dataset-1'!H254:T864,2,)</f>
        <v>2</v>
      </c>
      <c r="J253" s="71" t="str">
        <f>VLOOKUP(I253,'Dataset-1'!I254:U864,2,)</f>
        <v>Monday</v>
      </c>
      <c r="K253" s="41">
        <f>VLOOKUP(J253,'Dataset-1'!J254:V864,2,)</f>
        <v>3</v>
      </c>
      <c r="L253" s="41">
        <f>VLOOKUP(K253,'Dataset-1'!K254:W864,2,)</f>
        <v>0.16</v>
      </c>
      <c r="M253" s="71" t="str">
        <f>VLOOKUP(L253,'Dataset-1'!L254:X864,2,)</f>
        <v>Rainy</v>
      </c>
      <c r="N253" s="41">
        <f>VLOOKUP(A253,'Dataset-2'!B254:H864,2,)</f>
        <v>0.1515</v>
      </c>
      <c r="O253" s="41">
        <f>VLOOKUP(N253,'Dataset-2'!C254:I864,2,)</f>
        <v>0.93</v>
      </c>
      <c r="P253" s="41">
        <f>VLOOKUP(O253,'Dataset-2'!D254:J864,2,)</f>
        <v>0.19400000000000001</v>
      </c>
      <c r="Q253" s="41">
        <f>VLOOKUP(P253,'Dataset-2'!E254:K864,2,)</f>
        <v>0</v>
      </c>
      <c r="R253" s="41">
        <f>VLOOKUP(Q253,'Dataset-2'!F254:L864,2,)</f>
        <v>32</v>
      </c>
      <c r="S253" s="41">
        <f>VLOOKUP(R253,'Dataset-2'!G254:M864,2,)</f>
        <v>32</v>
      </c>
    </row>
    <row r="254" spans="1:19" x14ac:dyDescent="0.35">
      <c r="A254" s="40">
        <v>253</v>
      </c>
      <c r="B254" s="62">
        <f>VLOOKUP(A254,'Dataset-1'!A255:M865,2,)</f>
        <v>40554</v>
      </c>
      <c r="C254" s="41">
        <f>VLOOKUP(B254,'Dataset-1'!B255:N865,2,)</f>
        <v>1</v>
      </c>
      <c r="D254" s="41">
        <f>VLOOKUP(C254,'Dataset-1'!C255:O865,2,)</f>
        <v>0</v>
      </c>
      <c r="E254" s="41">
        <f>VLOOKUP(D254,'Dataset-1'!D255:P865,2,)</f>
        <v>1</v>
      </c>
      <c r="F254" s="41">
        <f>VLOOKUP(E254,'Dataset-1'!E255:Q865,2,)</f>
        <v>21</v>
      </c>
      <c r="G254" s="71" t="str">
        <f>VLOOKUP(F254,'Dataset-1'!F255:R865,2,)</f>
        <v>Night</v>
      </c>
      <c r="H254" s="41" t="b">
        <f>VLOOKUP(G254,'Dataset-1'!G255:S865,2,)</f>
        <v>0</v>
      </c>
      <c r="I254" s="41">
        <f>VLOOKUP(H254,'Dataset-1'!H255:T865,2,)</f>
        <v>2</v>
      </c>
      <c r="J254" s="71" t="str">
        <f>VLOOKUP(I254,'Dataset-1'!I255:U865,2,)</f>
        <v>Monday</v>
      </c>
      <c r="K254" s="41">
        <f>VLOOKUP(J254,'Dataset-1'!J255:V865,2,)</f>
        <v>3</v>
      </c>
      <c r="L254" s="41">
        <f>VLOOKUP(K254,'Dataset-1'!K255:W865,2,)</f>
        <v>0.16</v>
      </c>
      <c r="M254" s="71" t="str">
        <f>VLOOKUP(L254,'Dataset-1'!L255:X865,2,)</f>
        <v>Rainy</v>
      </c>
      <c r="N254" s="41">
        <f>VLOOKUP(A254,'Dataset-2'!B255:H865,2,)</f>
        <v>0.19700000000000001</v>
      </c>
      <c r="O254" s="41">
        <f>VLOOKUP(N254,'Dataset-2'!C255:I865,2,)</f>
        <v>0.86</v>
      </c>
      <c r="P254" s="41">
        <f>VLOOKUP(O254,'Dataset-2'!D255:J865,2,)</f>
        <v>8.9599999999999999E-2</v>
      </c>
      <c r="Q254" s="41">
        <f>VLOOKUP(P254,'Dataset-2'!E255:K865,2,)</f>
        <v>0</v>
      </c>
      <c r="R254" s="41">
        <f>VLOOKUP(Q254,'Dataset-2'!F255:L865,2,)</f>
        <v>20</v>
      </c>
      <c r="S254" s="41">
        <f>VLOOKUP(R254,'Dataset-2'!G255:M865,2,)</f>
        <v>20</v>
      </c>
    </row>
    <row r="255" spans="1:19" x14ac:dyDescent="0.35">
      <c r="A255" s="40">
        <v>254</v>
      </c>
      <c r="B255" s="62">
        <f>VLOOKUP(A255,'Dataset-1'!A256:M866,2,)</f>
        <v>40554</v>
      </c>
      <c r="C255" s="41">
        <f>VLOOKUP(B255,'Dataset-1'!B256:N866,2,)</f>
        <v>1</v>
      </c>
      <c r="D255" s="41">
        <f>VLOOKUP(C255,'Dataset-1'!C256:O866,2,)</f>
        <v>0</v>
      </c>
      <c r="E255" s="41">
        <f>VLOOKUP(D255,'Dataset-1'!D256:P866,2,)</f>
        <v>1</v>
      </c>
      <c r="F255" s="41">
        <f>VLOOKUP(E255,'Dataset-1'!E256:Q866,2,)</f>
        <v>22</v>
      </c>
      <c r="G255" s="71" t="str">
        <f>VLOOKUP(F255,'Dataset-1'!F256:R866,2,)</f>
        <v>Night</v>
      </c>
      <c r="H255" s="41" t="b">
        <f>VLOOKUP(G255,'Dataset-1'!G256:S866,2,)</f>
        <v>0</v>
      </c>
      <c r="I255" s="41">
        <f>VLOOKUP(H255,'Dataset-1'!H256:T866,2,)</f>
        <v>2</v>
      </c>
      <c r="J255" s="71" t="str">
        <f>VLOOKUP(I255,'Dataset-1'!I256:U866,2,)</f>
        <v>Monday</v>
      </c>
      <c r="K255" s="41">
        <f>VLOOKUP(J255,'Dataset-1'!J256:V866,2,)</f>
        <v>3</v>
      </c>
      <c r="L255" s="41">
        <f>VLOOKUP(K255,'Dataset-1'!K256:W866,2,)</f>
        <v>0.16</v>
      </c>
      <c r="M255" s="71" t="str">
        <f>VLOOKUP(L255,'Dataset-1'!L256:X866,2,)</f>
        <v>Rainy</v>
      </c>
      <c r="N255" s="41">
        <f>VLOOKUP(A255,'Dataset-2'!B256:H866,2,)</f>
        <v>0.18179999999999999</v>
      </c>
      <c r="O255" s="41">
        <f>VLOOKUP(N255,'Dataset-2'!C256:I866,2,)</f>
        <v>0.93</v>
      </c>
      <c r="P255" s="41">
        <f>VLOOKUP(O255,'Dataset-2'!D256:J866,2,)</f>
        <v>0.1045</v>
      </c>
      <c r="Q255" s="41">
        <f>VLOOKUP(P255,'Dataset-2'!E256:K866,2,)</f>
        <v>1</v>
      </c>
      <c r="R255" s="41">
        <f>VLOOKUP(Q255,'Dataset-2'!F256:L866,2,)</f>
        <v>28</v>
      </c>
      <c r="S255" s="41">
        <f>VLOOKUP(R255,'Dataset-2'!G256:M866,2,)</f>
        <v>29</v>
      </c>
    </row>
    <row r="256" spans="1:19" x14ac:dyDescent="0.35">
      <c r="A256" s="40">
        <v>255</v>
      </c>
      <c r="B256" s="62">
        <f>VLOOKUP(A256,'Dataset-1'!A257:M867,2,)</f>
        <v>40554</v>
      </c>
      <c r="C256" s="41">
        <f>VLOOKUP(B256,'Dataset-1'!B257:N867,2,)</f>
        <v>1</v>
      </c>
      <c r="D256" s="41">
        <f>VLOOKUP(C256,'Dataset-1'!C257:O867,2,)</f>
        <v>0</v>
      </c>
      <c r="E256" s="41">
        <f>VLOOKUP(D256,'Dataset-1'!D257:P867,2,)</f>
        <v>1</v>
      </c>
      <c r="F256" s="41">
        <f>VLOOKUP(E256,'Dataset-1'!E257:Q867,2,)</f>
        <v>23</v>
      </c>
      <c r="G256" s="71" t="str">
        <f>VLOOKUP(F256,'Dataset-1'!F257:R867,2,)</f>
        <v>Night</v>
      </c>
      <c r="H256" s="41" t="b">
        <f>VLOOKUP(G256,'Dataset-1'!G257:S867,2,)</f>
        <v>0</v>
      </c>
      <c r="I256" s="41">
        <f>VLOOKUP(H256,'Dataset-1'!H257:T867,2,)</f>
        <v>2</v>
      </c>
      <c r="J256" s="71" t="str">
        <f>VLOOKUP(I256,'Dataset-1'!I257:U867,2,)</f>
        <v>Monday</v>
      </c>
      <c r="K256" s="41">
        <f>VLOOKUP(J256,'Dataset-1'!J257:V867,2,)</f>
        <v>3</v>
      </c>
      <c r="L256" s="41">
        <f>VLOOKUP(K256,'Dataset-1'!K257:W867,2,)</f>
        <v>0.16</v>
      </c>
      <c r="M256" s="71" t="str">
        <f>VLOOKUP(L256,'Dataset-1'!L257:X867,2,)</f>
        <v>Rainy</v>
      </c>
      <c r="N256" s="41">
        <f>VLOOKUP(A256,'Dataset-2'!B257:H867,2,)</f>
        <v>0.19700000000000001</v>
      </c>
      <c r="O256" s="41">
        <f>VLOOKUP(N256,'Dataset-2'!C257:I867,2,)</f>
        <v>0.93</v>
      </c>
      <c r="P256" s="41">
        <f>VLOOKUP(O256,'Dataset-2'!D257:J867,2,)</f>
        <v>8.9599999999999999E-2</v>
      </c>
      <c r="Q256" s="41">
        <f>VLOOKUP(P256,'Dataset-2'!E257:K867,2,)</f>
        <v>1</v>
      </c>
      <c r="R256" s="41">
        <f>VLOOKUP(Q256,'Dataset-2'!F257:L867,2,)</f>
        <v>18</v>
      </c>
      <c r="S256" s="41">
        <f>VLOOKUP(R256,'Dataset-2'!G257:M867,2,)</f>
        <v>19</v>
      </c>
    </row>
    <row r="257" spans="1:19" x14ac:dyDescent="0.35">
      <c r="A257" s="40">
        <v>256</v>
      </c>
      <c r="B257" s="62">
        <f>VLOOKUP(A257,'Dataset-1'!A258:M868,2,)</f>
        <v>40555</v>
      </c>
      <c r="C257" s="41">
        <f>VLOOKUP(B257,'Dataset-1'!B258:N868,2,)</f>
        <v>1</v>
      </c>
      <c r="D257" s="41">
        <f>VLOOKUP(C257,'Dataset-1'!C258:O868,2,)</f>
        <v>0</v>
      </c>
      <c r="E257" s="41">
        <f>VLOOKUP(D257,'Dataset-1'!D258:P868,2,)</f>
        <v>1</v>
      </c>
      <c r="F257" s="41">
        <f>VLOOKUP(E257,'Dataset-1'!E258:Q868,2,)</f>
        <v>0</v>
      </c>
      <c r="G257" s="71" t="str">
        <f>VLOOKUP(F257,'Dataset-1'!F258:R868,2,)</f>
        <v>Night</v>
      </c>
      <c r="H257" s="41" t="b">
        <f>VLOOKUP(G257,'Dataset-1'!G258:S868,2,)</f>
        <v>0</v>
      </c>
      <c r="I257" s="41">
        <f>VLOOKUP(H257,'Dataset-1'!H258:T868,2,)</f>
        <v>3</v>
      </c>
      <c r="J257" s="71" t="str">
        <f>VLOOKUP(I257,'Dataset-1'!I258:U868,2,)</f>
        <v>Tuesday</v>
      </c>
      <c r="K257" s="41">
        <f>VLOOKUP(J257,'Dataset-1'!J258:V868,2,)</f>
        <v>2</v>
      </c>
      <c r="L257" s="41">
        <f>VLOOKUP(K257,'Dataset-1'!K258:W868,2,)</f>
        <v>0.16</v>
      </c>
      <c r="M257" s="71" t="str">
        <f>VLOOKUP(L257,'Dataset-1'!L258:X868,2,)</f>
        <v>Rainy</v>
      </c>
      <c r="N257" s="41">
        <f>VLOOKUP(A257,'Dataset-2'!B258:H868,2,)</f>
        <v>0.19700000000000001</v>
      </c>
      <c r="O257" s="41">
        <f>VLOOKUP(N257,'Dataset-2'!C258:I868,2,)</f>
        <v>0.86</v>
      </c>
      <c r="P257" s="41">
        <f>VLOOKUP(O257,'Dataset-2'!D258:J868,2,)</f>
        <v>8.9599999999999999E-2</v>
      </c>
      <c r="Q257" s="41">
        <f>VLOOKUP(P257,'Dataset-2'!E258:K868,2,)</f>
        <v>0</v>
      </c>
      <c r="R257" s="41">
        <f>VLOOKUP(Q257,'Dataset-2'!F258:L868,2,)</f>
        <v>7</v>
      </c>
      <c r="S257" s="41">
        <f>VLOOKUP(R257,'Dataset-2'!G258:M868,2,)</f>
        <v>7</v>
      </c>
    </row>
    <row r="258" spans="1:19" x14ac:dyDescent="0.35">
      <c r="A258" s="40">
        <v>257</v>
      </c>
      <c r="B258" s="62">
        <f>VLOOKUP(A258,'Dataset-1'!A259:M869,2,)</f>
        <v>40555</v>
      </c>
      <c r="C258" s="41">
        <f>VLOOKUP(B258,'Dataset-1'!B259:N869,2,)</f>
        <v>1</v>
      </c>
      <c r="D258" s="41">
        <f>VLOOKUP(C258,'Dataset-1'!C259:O869,2,)</f>
        <v>0</v>
      </c>
      <c r="E258" s="41">
        <f>VLOOKUP(D258,'Dataset-1'!D259:P869,2,)</f>
        <v>1</v>
      </c>
      <c r="F258" s="41">
        <f>VLOOKUP(E258,'Dataset-1'!E259:Q869,2,)</f>
        <v>1</v>
      </c>
      <c r="G258" s="71" t="str">
        <f>VLOOKUP(F258,'Dataset-1'!F259:R869,2,)</f>
        <v>Night</v>
      </c>
      <c r="H258" s="41" t="b">
        <f>VLOOKUP(G258,'Dataset-1'!G259:S869,2,)</f>
        <v>0</v>
      </c>
      <c r="I258" s="41">
        <f>VLOOKUP(H258,'Dataset-1'!H259:T869,2,)</f>
        <v>3</v>
      </c>
      <c r="J258" s="71" t="str">
        <f>VLOOKUP(I258,'Dataset-1'!I259:U869,2,)</f>
        <v>Tuesday</v>
      </c>
      <c r="K258" s="41">
        <f>VLOOKUP(J258,'Dataset-1'!J259:V869,2,)</f>
        <v>2</v>
      </c>
      <c r="L258" s="41">
        <f>VLOOKUP(K258,'Dataset-1'!K259:W869,2,)</f>
        <v>0.16</v>
      </c>
      <c r="M258" s="71" t="str">
        <f>VLOOKUP(L258,'Dataset-1'!L259:X869,2,)</f>
        <v>Rainy</v>
      </c>
      <c r="N258" s="41">
        <f>VLOOKUP(A258,'Dataset-2'!B259:H869,2,)</f>
        <v>0.18179999999999999</v>
      </c>
      <c r="O258" s="41">
        <f>VLOOKUP(N258,'Dataset-2'!C259:I869,2,)</f>
        <v>0.86</v>
      </c>
      <c r="P258" s="41">
        <f>VLOOKUP(O258,'Dataset-2'!D259:J869,2,)</f>
        <v>0.1045</v>
      </c>
      <c r="Q258" s="41">
        <f>VLOOKUP(P258,'Dataset-2'!E259:K869,2,)</f>
        <v>0</v>
      </c>
      <c r="R258" s="41">
        <f>VLOOKUP(Q258,'Dataset-2'!F259:L869,2,)</f>
        <v>6</v>
      </c>
      <c r="S258" s="41">
        <f>VLOOKUP(R258,'Dataset-2'!G259:M869,2,)</f>
        <v>6</v>
      </c>
    </row>
    <row r="259" spans="1:19" x14ac:dyDescent="0.35">
      <c r="A259" s="40">
        <v>258</v>
      </c>
      <c r="B259" s="62">
        <f>VLOOKUP(A259,'Dataset-1'!A260:M870,2,)</f>
        <v>40555</v>
      </c>
      <c r="C259" s="41">
        <f>VLOOKUP(B259,'Dataset-1'!B260:N870,2,)</f>
        <v>1</v>
      </c>
      <c r="D259" s="41">
        <f>VLOOKUP(C259,'Dataset-1'!C260:O870,2,)</f>
        <v>0</v>
      </c>
      <c r="E259" s="41">
        <f>VLOOKUP(D259,'Dataset-1'!D260:P870,2,)</f>
        <v>1</v>
      </c>
      <c r="F259" s="41">
        <f>VLOOKUP(E259,'Dataset-1'!E260:Q870,2,)</f>
        <v>2</v>
      </c>
      <c r="G259" s="71" t="str">
        <f>VLOOKUP(F259,'Dataset-1'!F260:R870,2,)</f>
        <v>Night</v>
      </c>
      <c r="H259" s="41" t="b">
        <f>VLOOKUP(G259,'Dataset-1'!G260:S870,2,)</f>
        <v>0</v>
      </c>
      <c r="I259" s="41">
        <f>VLOOKUP(H259,'Dataset-1'!H260:T870,2,)</f>
        <v>3</v>
      </c>
      <c r="J259" s="71" t="str">
        <f>VLOOKUP(I259,'Dataset-1'!I260:U870,2,)</f>
        <v>Tuesday</v>
      </c>
      <c r="K259" s="41">
        <f>VLOOKUP(J259,'Dataset-1'!J260:V870,2,)</f>
        <v>1</v>
      </c>
      <c r="L259" s="41">
        <f>VLOOKUP(K259,'Dataset-1'!K260:W870,2,)</f>
        <v>0.14000000000000001</v>
      </c>
      <c r="M259" s="71" t="str">
        <f>VLOOKUP(L259,'Dataset-1'!L260:X870,2,)</f>
        <v>Rainy</v>
      </c>
      <c r="N259" s="41">
        <f>VLOOKUP(A259,'Dataset-2'!B260:H870,2,)</f>
        <v>0.1515</v>
      </c>
      <c r="O259" s="41">
        <f>VLOOKUP(N259,'Dataset-2'!C260:I870,2,)</f>
        <v>0.86</v>
      </c>
      <c r="P259" s="41">
        <f>VLOOKUP(O259,'Dataset-2'!D260:J870,2,)</f>
        <v>0.1343</v>
      </c>
      <c r="Q259" s="41">
        <f>VLOOKUP(P259,'Dataset-2'!E260:K870,2,)</f>
        <v>0</v>
      </c>
      <c r="R259" s="41">
        <f>VLOOKUP(Q259,'Dataset-2'!F260:L870,2,)</f>
        <v>1</v>
      </c>
      <c r="S259" s="41">
        <f>VLOOKUP(R259,'Dataset-2'!G260:M870,2,)</f>
        <v>1</v>
      </c>
    </row>
    <row r="260" spans="1:19" x14ac:dyDescent="0.35">
      <c r="A260" s="40">
        <v>259</v>
      </c>
      <c r="B260" s="62">
        <f>VLOOKUP(A260,'Dataset-1'!A261:M871,2,)</f>
        <v>40555</v>
      </c>
      <c r="C260" s="41">
        <f>VLOOKUP(B260,'Dataset-1'!B261:N871,2,)</f>
        <v>1</v>
      </c>
      <c r="D260" s="41">
        <f>VLOOKUP(C260,'Dataset-1'!C261:O871,2,)</f>
        <v>0</v>
      </c>
      <c r="E260" s="41">
        <f>VLOOKUP(D260,'Dataset-1'!D261:P871,2,)</f>
        <v>1</v>
      </c>
      <c r="F260" s="41">
        <f>VLOOKUP(E260,'Dataset-1'!E261:Q871,2,)</f>
        <v>5</v>
      </c>
      <c r="G260" s="71" t="str">
        <f>VLOOKUP(F260,'Dataset-1'!F261:R871,2,)</f>
        <v>Morning</v>
      </c>
      <c r="H260" s="41" t="b">
        <f>VLOOKUP(G260,'Dataset-1'!G261:S871,2,)</f>
        <v>0</v>
      </c>
      <c r="I260" s="41">
        <f>VLOOKUP(H260,'Dataset-1'!H261:T871,2,)</f>
        <v>3</v>
      </c>
      <c r="J260" s="71" t="str">
        <f>VLOOKUP(I260,'Dataset-1'!I261:U871,2,)</f>
        <v>Tuesday</v>
      </c>
      <c r="K260" s="41">
        <f>VLOOKUP(J260,'Dataset-1'!J261:V871,2,)</f>
        <v>1</v>
      </c>
      <c r="L260" s="41">
        <f>VLOOKUP(K260,'Dataset-1'!K261:W871,2,)</f>
        <v>0.14000000000000001</v>
      </c>
      <c r="M260" s="71" t="str">
        <f>VLOOKUP(L260,'Dataset-1'!L261:X871,2,)</f>
        <v>Rainy</v>
      </c>
      <c r="N260" s="41">
        <f>VLOOKUP(A260,'Dataset-2'!B261:H871,2,)</f>
        <v>0.1515</v>
      </c>
      <c r="O260" s="41">
        <f>VLOOKUP(N260,'Dataset-2'!C261:I871,2,)</f>
        <v>0.86</v>
      </c>
      <c r="P260" s="41">
        <f>VLOOKUP(O260,'Dataset-2'!D261:J871,2,)</f>
        <v>0.16420000000000001</v>
      </c>
      <c r="Q260" s="41">
        <f>VLOOKUP(P260,'Dataset-2'!E261:K871,2,)</f>
        <v>0</v>
      </c>
      <c r="R260" s="41">
        <f>VLOOKUP(Q260,'Dataset-2'!F261:L871,2,)</f>
        <v>5</v>
      </c>
      <c r="S260" s="41">
        <f>VLOOKUP(R260,'Dataset-2'!G261:M871,2,)</f>
        <v>5</v>
      </c>
    </row>
    <row r="261" spans="1:19" x14ac:dyDescent="0.35">
      <c r="A261" s="40">
        <v>260</v>
      </c>
      <c r="B261" s="62">
        <f>VLOOKUP(A261,'Dataset-1'!A262:M872,2,)</f>
        <v>40555</v>
      </c>
      <c r="C261" s="41">
        <f>VLOOKUP(B261,'Dataset-1'!B262:N872,2,)</f>
        <v>1</v>
      </c>
      <c r="D261" s="41">
        <f>VLOOKUP(C261,'Dataset-1'!C262:O872,2,)</f>
        <v>0</v>
      </c>
      <c r="E261" s="41">
        <f>VLOOKUP(D261,'Dataset-1'!D262:P872,2,)</f>
        <v>1</v>
      </c>
      <c r="F261" s="41">
        <f>VLOOKUP(E261,'Dataset-1'!E262:Q872,2,)</f>
        <v>6</v>
      </c>
      <c r="G261" s="71" t="str">
        <f>VLOOKUP(F261,'Dataset-1'!F262:R872,2,)</f>
        <v>Morning</v>
      </c>
      <c r="H261" s="41" t="b">
        <f>VLOOKUP(G261,'Dataset-1'!G262:S872,2,)</f>
        <v>0</v>
      </c>
      <c r="I261" s="41">
        <f>VLOOKUP(H261,'Dataset-1'!H262:T872,2,)</f>
        <v>3</v>
      </c>
      <c r="J261" s="71" t="str">
        <f>VLOOKUP(I261,'Dataset-1'!I262:U872,2,)</f>
        <v>Tuesday</v>
      </c>
      <c r="K261" s="41">
        <f>VLOOKUP(J261,'Dataset-1'!J262:V872,2,)</f>
        <v>1</v>
      </c>
      <c r="L261" s="41">
        <f>VLOOKUP(K261,'Dataset-1'!K262:W872,2,)</f>
        <v>0.12</v>
      </c>
      <c r="M261" s="71" t="str">
        <f>VLOOKUP(L261,'Dataset-1'!L262:X872,2,)</f>
        <v>Rainy</v>
      </c>
      <c r="N261" s="41">
        <f>VLOOKUP(A261,'Dataset-2'!B262:H872,2,)</f>
        <v>0.1515</v>
      </c>
      <c r="O261" s="41">
        <f>VLOOKUP(N261,'Dataset-2'!C262:I872,2,)</f>
        <v>0.93</v>
      </c>
      <c r="P261" s="41">
        <f>VLOOKUP(O261,'Dataset-2'!D262:J872,2,)</f>
        <v>0.1343</v>
      </c>
      <c r="Q261" s="41">
        <f>VLOOKUP(P261,'Dataset-2'!E262:K872,2,)</f>
        <v>0</v>
      </c>
      <c r="R261" s="41">
        <f>VLOOKUP(Q261,'Dataset-2'!F262:L872,2,)</f>
        <v>16</v>
      </c>
      <c r="S261" s="41">
        <f>VLOOKUP(R261,'Dataset-2'!G262:M872,2,)</f>
        <v>16</v>
      </c>
    </row>
    <row r="262" spans="1:19" x14ac:dyDescent="0.35">
      <c r="A262" s="40">
        <v>261</v>
      </c>
      <c r="B262" s="62">
        <f>VLOOKUP(A262,'Dataset-1'!A263:M873,2,)</f>
        <v>40555</v>
      </c>
      <c r="C262" s="41">
        <f>VLOOKUP(B262,'Dataset-1'!B263:N873,2,)</f>
        <v>1</v>
      </c>
      <c r="D262" s="41">
        <f>VLOOKUP(C262,'Dataset-1'!C263:O873,2,)</f>
        <v>0</v>
      </c>
      <c r="E262" s="41">
        <f>VLOOKUP(D262,'Dataset-1'!D263:P873,2,)</f>
        <v>1</v>
      </c>
      <c r="F262" s="41">
        <f>VLOOKUP(E262,'Dataset-1'!E263:Q873,2,)</f>
        <v>7</v>
      </c>
      <c r="G262" s="71" t="str">
        <f>VLOOKUP(F262,'Dataset-1'!F263:R873,2,)</f>
        <v>Morning</v>
      </c>
      <c r="H262" s="41" t="b">
        <f>VLOOKUP(G262,'Dataset-1'!G263:S873,2,)</f>
        <v>0</v>
      </c>
      <c r="I262" s="41">
        <f>VLOOKUP(H262,'Dataset-1'!H263:T873,2,)</f>
        <v>3</v>
      </c>
      <c r="J262" s="71" t="str">
        <f>VLOOKUP(I262,'Dataset-1'!I263:U873,2,)</f>
        <v>Tuesday</v>
      </c>
      <c r="K262" s="41">
        <f>VLOOKUP(J262,'Dataset-1'!J263:V873,2,)</f>
        <v>1</v>
      </c>
      <c r="L262" s="41">
        <f>VLOOKUP(K262,'Dataset-1'!K263:W873,2,)</f>
        <v>0.14000000000000001</v>
      </c>
      <c r="M262" s="71" t="str">
        <f>VLOOKUP(L262,'Dataset-1'!L263:X873,2,)</f>
        <v>Rainy</v>
      </c>
      <c r="N262" s="41">
        <f>VLOOKUP(A262,'Dataset-2'!B263:H873,2,)</f>
        <v>0.1515</v>
      </c>
      <c r="O262" s="41">
        <f>VLOOKUP(N262,'Dataset-2'!C263:I873,2,)</f>
        <v>0.69</v>
      </c>
      <c r="P262" s="41">
        <f>VLOOKUP(O262,'Dataset-2'!D263:J873,2,)</f>
        <v>0.1343</v>
      </c>
      <c r="Q262" s="41">
        <f>VLOOKUP(P262,'Dataset-2'!E263:K873,2,)</f>
        <v>0</v>
      </c>
      <c r="R262" s="41">
        <f>VLOOKUP(Q262,'Dataset-2'!F263:L873,2,)</f>
        <v>54</v>
      </c>
      <c r="S262" s="41">
        <f>VLOOKUP(R262,'Dataset-2'!G263:M873,2,)</f>
        <v>54</v>
      </c>
    </row>
    <row r="263" spans="1:19" x14ac:dyDescent="0.35">
      <c r="A263" s="40">
        <v>262</v>
      </c>
      <c r="B263" s="62">
        <f>VLOOKUP(A263,'Dataset-1'!A264:M874,2,)</f>
        <v>40555</v>
      </c>
      <c r="C263" s="41">
        <f>VLOOKUP(B263,'Dataset-1'!B264:N874,2,)</f>
        <v>1</v>
      </c>
      <c r="D263" s="41">
        <f>VLOOKUP(C263,'Dataset-1'!C264:O874,2,)</f>
        <v>0</v>
      </c>
      <c r="E263" s="41">
        <f>VLOOKUP(D263,'Dataset-1'!D264:P874,2,)</f>
        <v>1</v>
      </c>
      <c r="F263" s="41">
        <f>VLOOKUP(E263,'Dataset-1'!E264:Q874,2,)</f>
        <v>8</v>
      </c>
      <c r="G263" s="71" t="str">
        <f>VLOOKUP(F263,'Dataset-1'!F264:R874,2,)</f>
        <v>Morning</v>
      </c>
      <c r="H263" s="41" t="b">
        <f>VLOOKUP(G263,'Dataset-1'!G264:S874,2,)</f>
        <v>0</v>
      </c>
      <c r="I263" s="41">
        <f>VLOOKUP(H263,'Dataset-1'!H264:T874,2,)</f>
        <v>3</v>
      </c>
      <c r="J263" s="71" t="str">
        <f>VLOOKUP(I263,'Dataset-1'!I264:U874,2,)</f>
        <v>Tuesday</v>
      </c>
      <c r="K263" s="41">
        <f>VLOOKUP(J263,'Dataset-1'!J264:V874,2,)</f>
        <v>1</v>
      </c>
      <c r="L263" s="41">
        <f>VLOOKUP(K263,'Dataset-1'!K264:W874,2,)</f>
        <v>0.16</v>
      </c>
      <c r="M263" s="71" t="str">
        <f>VLOOKUP(L263,'Dataset-1'!L264:X874,2,)</f>
        <v>Rainy</v>
      </c>
      <c r="N263" s="41">
        <f>VLOOKUP(A263,'Dataset-2'!B264:H874,2,)</f>
        <v>0.16669999999999999</v>
      </c>
      <c r="O263" s="41">
        <f>VLOOKUP(N263,'Dataset-2'!C264:I874,2,)</f>
        <v>0.59</v>
      </c>
      <c r="P263" s="41">
        <f>VLOOKUP(O263,'Dataset-2'!D264:J874,2,)</f>
        <v>0.16420000000000001</v>
      </c>
      <c r="Q263" s="41">
        <f>VLOOKUP(P263,'Dataset-2'!E264:K874,2,)</f>
        <v>3</v>
      </c>
      <c r="R263" s="41">
        <f>VLOOKUP(Q263,'Dataset-2'!F264:L874,2,)</f>
        <v>125</v>
      </c>
      <c r="S263" s="41">
        <f>VLOOKUP(R263,'Dataset-2'!G264:M874,2,)</f>
        <v>128</v>
      </c>
    </row>
    <row r="264" spans="1:19" x14ac:dyDescent="0.35">
      <c r="A264" s="40">
        <v>263</v>
      </c>
      <c r="B264" s="62">
        <f>VLOOKUP(A264,'Dataset-1'!A265:M875,2,)</f>
        <v>40555</v>
      </c>
      <c r="C264" s="41">
        <f>VLOOKUP(B264,'Dataset-1'!B265:N875,2,)</f>
        <v>1</v>
      </c>
      <c r="D264" s="41">
        <f>VLOOKUP(C264,'Dataset-1'!C265:O875,2,)</f>
        <v>0</v>
      </c>
      <c r="E264" s="41">
        <f>VLOOKUP(D264,'Dataset-1'!D265:P875,2,)</f>
        <v>1</v>
      </c>
      <c r="F264" s="41">
        <f>VLOOKUP(E264,'Dataset-1'!E265:Q875,2,)</f>
        <v>9</v>
      </c>
      <c r="G264" s="71" t="str">
        <f>VLOOKUP(F264,'Dataset-1'!F265:R875,2,)</f>
        <v>Morning</v>
      </c>
      <c r="H264" s="41" t="b">
        <f>VLOOKUP(G264,'Dataset-1'!G265:S875,2,)</f>
        <v>0</v>
      </c>
      <c r="I264" s="41">
        <f>VLOOKUP(H264,'Dataset-1'!H265:T875,2,)</f>
        <v>3</v>
      </c>
      <c r="J264" s="71" t="str">
        <f>VLOOKUP(I264,'Dataset-1'!I265:U875,2,)</f>
        <v>Tuesday</v>
      </c>
      <c r="K264" s="41">
        <f>VLOOKUP(J264,'Dataset-1'!J265:V875,2,)</f>
        <v>1</v>
      </c>
      <c r="L264" s="41">
        <f>VLOOKUP(K264,'Dataset-1'!K265:W875,2,)</f>
        <v>0.16</v>
      </c>
      <c r="M264" s="71" t="str">
        <f>VLOOKUP(L264,'Dataset-1'!L265:X875,2,)</f>
        <v>Rainy</v>
      </c>
      <c r="N264" s="41">
        <f>VLOOKUP(A264,'Dataset-2'!B265:H875,2,)</f>
        <v>0.13639999999999999</v>
      </c>
      <c r="O264" s="41">
        <f>VLOOKUP(N264,'Dataset-2'!C265:I875,2,)</f>
        <v>0.59</v>
      </c>
      <c r="P264" s="41">
        <f>VLOOKUP(O264,'Dataset-2'!D265:J875,2,)</f>
        <v>0.32840000000000003</v>
      </c>
      <c r="Q264" s="41">
        <f>VLOOKUP(P264,'Dataset-2'!E265:K875,2,)</f>
        <v>3</v>
      </c>
      <c r="R264" s="41">
        <f>VLOOKUP(Q264,'Dataset-2'!F265:L875,2,)</f>
        <v>78</v>
      </c>
      <c r="S264" s="41">
        <f>VLOOKUP(R264,'Dataset-2'!G265:M875,2,)</f>
        <v>81</v>
      </c>
    </row>
    <row r="265" spans="1:19" x14ac:dyDescent="0.35">
      <c r="A265" s="40">
        <v>264</v>
      </c>
      <c r="B265" s="62">
        <f>VLOOKUP(A265,'Dataset-1'!A266:M876,2,)</f>
        <v>40555</v>
      </c>
      <c r="C265" s="41">
        <f>VLOOKUP(B265,'Dataset-1'!B266:N876,2,)</f>
        <v>1</v>
      </c>
      <c r="D265" s="41">
        <f>VLOOKUP(C265,'Dataset-1'!C266:O876,2,)</f>
        <v>0</v>
      </c>
      <c r="E265" s="41">
        <f>VLOOKUP(D265,'Dataset-1'!D266:P876,2,)</f>
        <v>1</v>
      </c>
      <c r="F265" s="41">
        <f>VLOOKUP(E265,'Dataset-1'!E266:Q876,2,)</f>
        <v>10</v>
      </c>
      <c r="G265" s="71" t="str">
        <f>VLOOKUP(F265,'Dataset-1'!F266:R876,2,)</f>
        <v>Morning</v>
      </c>
      <c r="H265" s="41" t="b">
        <f>VLOOKUP(G265,'Dataset-1'!G266:S876,2,)</f>
        <v>0</v>
      </c>
      <c r="I265" s="41">
        <f>VLOOKUP(H265,'Dataset-1'!H266:T876,2,)</f>
        <v>3</v>
      </c>
      <c r="J265" s="71" t="str">
        <f>VLOOKUP(I265,'Dataset-1'!I266:U876,2,)</f>
        <v>Tuesday</v>
      </c>
      <c r="K265" s="41">
        <f>VLOOKUP(J265,'Dataset-1'!J266:V876,2,)</f>
        <v>1</v>
      </c>
      <c r="L265" s="41">
        <f>VLOOKUP(K265,'Dataset-1'!K266:W876,2,)</f>
        <v>0.18</v>
      </c>
      <c r="M265" s="71" t="str">
        <f>VLOOKUP(L265,'Dataset-1'!L266:X876,2,)</f>
        <v>Rainy</v>
      </c>
      <c r="N265" s="41">
        <f>VLOOKUP(A265,'Dataset-2'!B266:H876,2,)</f>
        <v>0.18179999999999999</v>
      </c>
      <c r="O265" s="41">
        <f>VLOOKUP(N265,'Dataset-2'!C266:I876,2,)</f>
        <v>0.55000000000000004</v>
      </c>
      <c r="P265" s="41">
        <f>VLOOKUP(O265,'Dataset-2'!D266:J876,2,)</f>
        <v>0.22389999999999999</v>
      </c>
      <c r="Q265" s="41">
        <f>VLOOKUP(P265,'Dataset-2'!E266:K876,2,)</f>
        <v>0</v>
      </c>
      <c r="R265" s="41">
        <f>VLOOKUP(Q265,'Dataset-2'!F266:L876,2,)</f>
        <v>39</v>
      </c>
      <c r="S265" s="41">
        <f>VLOOKUP(R265,'Dataset-2'!G266:M876,2,)</f>
        <v>39</v>
      </c>
    </row>
    <row r="266" spans="1:19" x14ac:dyDescent="0.35">
      <c r="A266" s="40">
        <v>265</v>
      </c>
      <c r="B266" s="62">
        <f>VLOOKUP(A266,'Dataset-1'!A267:M877,2,)</f>
        <v>40555</v>
      </c>
      <c r="C266" s="41">
        <f>VLOOKUP(B266,'Dataset-1'!B267:N877,2,)</f>
        <v>1</v>
      </c>
      <c r="D266" s="41">
        <f>VLOOKUP(C266,'Dataset-1'!C267:O877,2,)</f>
        <v>0</v>
      </c>
      <c r="E266" s="41">
        <f>VLOOKUP(D266,'Dataset-1'!D267:P877,2,)</f>
        <v>1</v>
      </c>
      <c r="F266" s="41">
        <f>VLOOKUP(E266,'Dataset-1'!E267:Q877,2,)</f>
        <v>11</v>
      </c>
      <c r="G266" s="71" t="str">
        <f>VLOOKUP(F266,'Dataset-1'!F267:R877,2,)</f>
        <v>Morning</v>
      </c>
      <c r="H266" s="41" t="b">
        <f>VLOOKUP(G266,'Dataset-1'!G267:S877,2,)</f>
        <v>0</v>
      </c>
      <c r="I266" s="41">
        <f>VLOOKUP(H266,'Dataset-1'!H267:T877,2,)</f>
        <v>3</v>
      </c>
      <c r="J266" s="71" t="str">
        <f>VLOOKUP(I266,'Dataset-1'!I267:U877,2,)</f>
        <v>Tuesday</v>
      </c>
      <c r="K266" s="41">
        <f>VLOOKUP(J266,'Dataset-1'!J267:V877,2,)</f>
        <v>1</v>
      </c>
      <c r="L266" s="41">
        <f>VLOOKUP(K266,'Dataset-1'!K267:W877,2,)</f>
        <v>0.2</v>
      </c>
      <c r="M266" s="71" t="str">
        <f>VLOOKUP(L266,'Dataset-1'!L267:X877,2,)</f>
        <v>Rainy</v>
      </c>
      <c r="N266" s="41">
        <f>VLOOKUP(A266,'Dataset-2'!B267:H877,2,)</f>
        <v>0.18179999999999999</v>
      </c>
      <c r="O266" s="41">
        <f>VLOOKUP(N266,'Dataset-2'!C267:I877,2,)</f>
        <v>0.51</v>
      </c>
      <c r="P266" s="41">
        <f>VLOOKUP(O266,'Dataset-2'!D267:J877,2,)</f>
        <v>0.3881</v>
      </c>
      <c r="Q266" s="41">
        <f>VLOOKUP(P266,'Dataset-2'!E267:K877,2,)</f>
        <v>3</v>
      </c>
      <c r="R266" s="41">
        <f>VLOOKUP(Q266,'Dataset-2'!F267:L877,2,)</f>
        <v>32</v>
      </c>
      <c r="S266" s="41">
        <f>VLOOKUP(R266,'Dataset-2'!G267:M877,2,)</f>
        <v>35</v>
      </c>
    </row>
    <row r="267" spans="1:19" x14ac:dyDescent="0.35">
      <c r="A267" s="40">
        <v>266</v>
      </c>
      <c r="B267" s="62">
        <f>VLOOKUP(A267,'Dataset-1'!A268:M878,2,)</f>
        <v>40555</v>
      </c>
      <c r="C267" s="41">
        <f>VLOOKUP(B267,'Dataset-1'!B268:N878,2,)</f>
        <v>1</v>
      </c>
      <c r="D267" s="41">
        <f>VLOOKUP(C267,'Dataset-1'!C268:O878,2,)</f>
        <v>0</v>
      </c>
      <c r="E267" s="41">
        <f>VLOOKUP(D267,'Dataset-1'!D268:P878,2,)</f>
        <v>1</v>
      </c>
      <c r="F267" s="41">
        <f>VLOOKUP(E267,'Dataset-1'!E268:Q878,2,)</f>
        <v>12</v>
      </c>
      <c r="G267" s="71" t="str">
        <f>VLOOKUP(F267,'Dataset-1'!F268:R878,2,)</f>
        <v>AfterNoon</v>
      </c>
      <c r="H267" s="41" t="b">
        <f>VLOOKUP(G267,'Dataset-1'!G268:S878,2,)</f>
        <v>0</v>
      </c>
      <c r="I267" s="41">
        <f>VLOOKUP(H267,'Dataset-1'!H268:T878,2,)</f>
        <v>3</v>
      </c>
      <c r="J267" s="71" t="str">
        <f>VLOOKUP(I267,'Dataset-1'!I268:U878,2,)</f>
        <v>Tuesday</v>
      </c>
      <c r="K267" s="41">
        <f>VLOOKUP(J267,'Dataset-1'!J268:V878,2,)</f>
        <v>1</v>
      </c>
      <c r="L267" s="41">
        <f>VLOOKUP(K267,'Dataset-1'!K268:W878,2,)</f>
        <v>0.2</v>
      </c>
      <c r="M267" s="71" t="str">
        <f>VLOOKUP(L267,'Dataset-1'!L268:X878,2,)</f>
        <v>Rainy</v>
      </c>
      <c r="N267" s="41">
        <f>VLOOKUP(A267,'Dataset-2'!B268:H878,2,)</f>
        <v>0.1515</v>
      </c>
      <c r="O267" s="41">
        <f>VLOOKUP(N267,'Dataset-2'!C268:I878,2,)</f>
        <v>0.47</v>
      </c>
      <c r="P267" s="41">
        <f>VLOOKUP(O267,'Dataset-2'!D268:J878,2,)</f>
        <v>0.58209999999999995</v>
      </c>
      <c r="Q267" s="41">
        <f>VLOOKUP(P267,'Dataset-2'!E268:K878,2,)</f>
        <v>3</v>
      </c>
      <c r="R267" s="41">
        <f>VLOOKUP(Q267,'Dataset-2'!F268:L878,2,)</f>
        <v>52</v>
      </c>
      <c r="S267" s="41">
        <f>VLOOKUP(R267,'Dataset-2'!G268:M878,2,)</f>
        <v>55</v>
      </c>
    </row>
    <row r="268" spans="1:19" x14ac:dyDescent="0.35">
      <c r="A268" s="40">
        <v>267</v>
      </c>
      <c r="B268" s="62">
        <f>VLOOKUP(A268,'Dataset-1'!A269:M879,2,)</f>
        <v>40555</v>
      </c>
      <c r="C268" s="41">
        <f>VLOOKUP(B268,'Dataset-1'!B269:N879,2,)</f>
        <v>1</v>
      </c>
      <c r="D268" s="41">
        <f>VLOOKUP(C268,'Dataset-1'!C269:O879,2,)</f>
        <v>0</v>
      </c>
      <c r="E268" s="41">
        <f>VLOOKUP(D268,'Dataset-1'!D269:P879,2,)</f>
        <v>1</v>
      </c>
      <c r="F268" s="41">
        <f>VLOOKUP(E268,'Dataset-1'!E269:Q879,2,)</f>
        <v>13</v>
      </c>
      <c r="G268" s="71" t="str">
        <f>VLOOKUP(F268,'Dataset-1'!F269:R879,2,)</f>
        <v>AfterNoon</v>
      </c>
      <c r="H268" s="41" t="b">
        <f>VLOOKUP(G268,'Dataset-1'!G269:S879,2,)</f>
        <v>0</v>
      </c>
      <c r="I268" s="41">
        <f>VLOOKUP(H268,'Dataset-1'!H269:T879,2,)</f>
        <v>3</v>
      </c>
      <c r="J268" s="71" t="str">
        <f>VLOOKUP(I268,'Dataset-1'!I269:U879,2,)</f>
        <v>Tuesday</v>
      </c>
      <c r="K268" s="41">
        <f>VLOOKUP(J268,'Dataset-1'!J269:V879,2,)</f>
        <v>1</v>
      </c>
      <c r="L268" s="41">
        <f>VLOOKUP(K268,'Dataset-1'!K269:W879,2,)</f>
        <v>0.22</v>
      </c>
      <c r="M268" s="71" t="str">
        <f>VLOOKUP(L268,'Dataset-1'!L269:X879,2,)</f>
        <v>Cloudy</v>
      </c>
      <c r="N268" s="41">
        <f>VLOOKUP(A268,'Dataset-2'!B269:H879,2,)</f>
        <v>0.19700000000000001</v>
      </c>
      <c r="O268" s="41">
        <f>VLOOKUP(N268,'Dataset-2'!C269:I879,2,)</f>
        <v>0.44</v>
      </c>
      <c r="P268" s="41">
        <f>VLOOKUP(O268,'Dataset-2'!D269:J879,2,)</f>
        <v>0.35820000000000002</v>
      </c>
      <c r="Q268" s="41">
        <f>VLOOKUP(P268,'Dataset-2'!E269:K879,2,)</f>
        <v>0</v>
      </c>
      <c r="R268" s="41">
        <f>VLOOKUP(Q268,'Dataset-2'!F269:L879,2,)</f>
        <v>49</v>
      </c>
      <c r="S268" s="41">
        <f>VLOOKUP(R268,'Dataset-2'!G269:M879,2,)</f>
        <v>49</v>
      </c>
    </row>
    <row r="269" spans="1:19" x14ac:dyDescent="0.35">
      <c r="A269" s="40">
        <v>268</v>
      </c>
      <c r="B269" s="62">
        <f>VLOOKUP(A269,'Dataset-1'!A270:M880,2,)</f>
        <v>40555</v>
      </c>
      <c r="C269" s="41">
        <f>VLOOKUP(B269,'Dataset-1'!B270:N880,2,)</f>
        <v>1</v>
      </c>
      <c r="D269" s="41">
        <f>VLOOKUP(C269,'Dataset-1'!C270:O880,2,)</f>
        <v>0</v>
      </c>
      <c r="E269" s="41">
        <f>VLOOKUP(D269,'Dataset-1'!D270:P880,2,)</f>
        <v>1</v>
      </c>
      <c r="F269" s="41">
        <f>VLOOKUP(E269,'Dataset-1'!E270:Q880,2,)</f>
        <v>14</v>
      </c>
      <c r="G269" s="71" t="str">
        <f>VLOOKUP(F269,'Dataset-1'!F270:R880,2,)</f>
        <v>AfterNoon</v>
      </c>
      <c r="H269" s="41" t="b">
        <f>VLOOKUP(G269,'Dataset-1'!G270:S880,2,)</f>
        <v>0</v>
      </c>
      <c r="I269" s="41">
        <f>VLOOKUP(H269,'Dataset-1'!H270:T880,2,)</f>
        <v>3</v>
      </c>
      <c r="J269" s="71" t="str">
        <f>VLOOKUP(I269,'Dataset-1'!I270:U880,2,)</f>
        <v>Tuesday</v>
      </c>
      <c r="K269" s="41">
        <f>VLOOKUP(J269,'Dataset-1'!J270:V880,2,)</f>
        <v>1</v>
      </c>
      <c r="L269" s="41">
        <f>VLOOKUP(K269,'Dataset-1'!K270:W880,2,)</f>
        <v>0.2</v>
      </c>
      <c r="M269" s="71" t="str">
        <f>VLOOKUP(L269,'Dataset-1'!L270:X880,2,)</f>
        <v>Rainy</v>
      </c>
      <c r="N269" s="41">
        <f>VLOOKUP(A269,'Dataset-2'!B270:H880,2,)</f>
        <v>0.18179999999999999</v>
      </c>
      <c r="O269" s="41">
        <f>VLOOKUP(N269,'Dataset-2'!C270:I880,2,)</f>
        <v>0.47</v>
      </c>
      <c r="P269" s="41">
        <f>VLOOKUP(O269,'Dataset-2'!D270:J880,2,)</f>
        <v>0.32840000000000003</v>
      </c>
      <c r="Q269" s="41">
        <f>VLOOKUP(P269,'Dataset-2'!E270:K880,2,)</f>
        <v>0</v>
      </c>
      <c r="R269" s="41">
        <f>VLOOKUP(Q269,'Dataset-2'!F270:L880,2,)</f>
        <v>44</v>
      </c>
      <c r="S269" s="41">
        <f>VLOOKUP(R269,'Dataset-2'!G270:M880,2,)</f>
        <v>44</v>
      </c>
    </row>
    <row r="270" spans="1:19" x14ac:dyDescent="0.35">
      <c r="A270" s="40">
        <v>269</v>
      </c>
      <c r="B270" s="62">
        <f>VLOOKUP(A270,'Dataset-1'!A271:M881,2,)</f>
        <v>40555</v>
      </c>
      <c r="C270" s="41">
        <f>VLOOKUP(B270,'Dataset-1'!B271:N881,2,)</f>
        <v>1</v>
      </c>
      <c r="D270" s="41">
        <f>VLOOKUP(C270,'Dataset-1'!C271:O881,2,)</f>
        <v>0</v>
      </c>
      <c r="E270" s="41">
        <f>VLOOKUP(D270,'Dataset-1'!D271:P881,2,)</f>
        <v>1</v>
      </c>
      <c r="F270" s="41">
        <f>VLOOKUP(E270,'Dataset-1'!E271:Q881,2,)</f>
        <v>15</v>
      </c>
      <c r="G270" s="71" t="str">
        <f>VLOOKUP(F270,'Dataset-1'!F271:R881,2,)</f>
        <v>AfterNoon</v>
      </c>
      <c r="H270" s="41" t="b">
        <f>VLOOKUP(G270,'Dataset-1'!G271:S881,2,)</f>
        <v>0</v>
      </c>
      <c r="I270" s="41">
        <f>VLOOKUP(H270,'Dataset-1'!H271:T881,2,)</f>
        <v>3</v>
      </c>
      <c r="J270" s="71" t="str">
        <f>VLOOKUP(I270,'Dataset-1'!I271:U881,2,)</f>
        <v>Tuesday</v>
      </c>
      <c r="K270" s="41">
        <f>VLOOKUP(J270,'Dataset-1'!J271:V881,2,)</f>
        <v>1</v>
      </c>
      <c r="L270" s="41">
        <f>VLOOKUP(K270,'Dataset-1'!K271:W881,2,)</f>
        <v>0.2</v>
      </c>
      <c r="M270" s="71" t="str">
        <f>VLOOKUP(L270,'Dataset-1'!L271:X881,2,)</f>
        <v>Rainy</v>
      </c>
      <c r="N270" s="41">
        <f>VLOOKUP(A270,'Dataset-2'!B271:H881,2,)</f>
        <v>0.16669999999999999</v>
      </c>
      <c r="O270" s="41">
        <f>VLOOKUP(N270,'Dataset-2'!C271:I881,2,)</f>
        <v>0.47</v>
      </c>
      <c r="P270" s="41">
        <f>VLOOKUP(O270,'Dataset-2'!D271:J881,2,)</f>
        <v>0.41789999999999999</v>
      </c>
      <c r="Q270" s="41">
        <f>VLOOKUP(P270,'Dataset-2'!E271:K881,2,)</f>
        <v>1</v>
      </c>
      <c r="R270" s="41">
        <f>VLOOKUP(Q270,'Dataset-2'!F271:L881,2,)</f>
        <v>48</v>
      </c>
      <c r="S270" s="41">
        <f>VLOOKUP(R270,'Dataset-2'!G271:M881,2,)</f>
        <v>49</v>
      </c>
    </row>
    <row r="271" spans="1:19" x14ac:dyDescent="0.35">
      <c r="A271" s="40">
        <v>270</v>
      </c>
      <c r="B271" s="62">
        <f>VLOOKUP(A271,'Dataset-1'!A272:M882,2,)</f>
        <v>40555</v>
      </c>
      <c r="C271" s="41">
        <f>VLOOKUP(B271,'Dataset-1'!B272:N882,2,)</f>
        <v>1</v>
      </c>
      <c r="D271" s="41">
        <f>VLOOKUP(C271,'Dataset-1'!C272:O882,2,)</f>
        <v>0</v>
      </c>
      <c r="E271" s="41">
        <f>VLOOKUP(D271,'Dataset-1'!D272:P882,2,)</f>
        <v>1</v>
      </c>
      <c r="F271" s="41">
        <f>VLOOKUP(E271,'Dataset-1'!E272:Q882,2,)</f>
        <v>16</v>
      </c>
      <c r="G271" s="71" t="str">
        <f>VLOOKUP(F271,'Dataset-1'!F272:R882,2,)</f>
        <v>AfterNoon</v>
      </c>
      <c r="H271" s="41" t="b">
        <f>VLOOKUP(G271,'Dataset-1'!G272:S882,2,)</f>
        <v>0</v>
      </c>
      <c r="I271" s="41">
        <f>VLOOKUP(H271,'Dataset-1'!H272:T882,2,)</f>
        <v>3</v>
      </c>
      <c r="J271" s="71" t="str">
        <f>VLOOKUP(I271,'Dataset-1'!I272:U882,2,)</f>
        <v>Tuesday</v>
      </c>
      <c r="K271" s="41">
        <f>VLOOKUP(J271,'Dataset-1'!J272:V882,2,)</f>
        <v>1</v>
      </c>
      <c r="L271" s="41">
        <f>VLOOKUP(K271,'Dataset-1'!K272:W882,2,)</f>
        <v>0.22</v>
      </c>
      <c r="M271" s="71" t="str">
        <f>VLOOKUP(L271,'Dataset-1'!L272:X882,2,)</f>
        <v>Cloudy</v>
      </c>
      <c r="N271" s="41">
        <f>VLOOKUP(A271,'Dataset-2'!B272:H882,2,)</f>
        <v>0.19700000000000001</v>
      </c>
      <c r="O271" s="41">
        <f>VLOOKUP(N271,'Dataset-2'!C272:I882,2,)</f>
        <v>0.44</v>
      </c>
      <c r="P271" s="41">
        <f>VLOOKUP(O271,'Dataset-2'!D272:J882,2,)</f>
        <v>0.32840000000000003</v>
      </c>
      <c r="Q271" s="41">
        <f>VLOOKUP(P271,'Dataset-2'!E272:K882,2,)</f>
        <v>5</v>
      </c>
      <c r="R271" s="41">
        <f>VLOOKUP(Q271,'Dataset-2'!F272:L882,2,)</f>
        <v>63</v>
      </c>
      <c r="S271" s="41">
        <f>VLOOKUP(R271,'Dataset-2'!G272:M882,2,)</f>
        <v>68</v>
      </c>
    </row>
    <row r="272" spans="1:19" x14ac:dyDescent="0.35">
      <c r="A272" s="40">
        <v>271</v>
      </c>
      <c r="B272" s="62">
        <f>VLOOKUP(A272,'Dataset-1'!A273:M883,2,)</f>
        <v>40555</v>
      </c>
      <c r="C272" s="41">
        <f>VLOOKUP(B272,'Dataset-1'!B273:N883,2,)</f>
        <v>1</v>
      </c>
      <c r="D272" s="41">
        <f>VLOOKUP(C272,'Dataset-1'!C273:O883,2,)</f>
        <v>0</v>
      </c>
      <c r="E272" s="41">
        <f>VLOOKUP(D272,'Dataset-1'!D273:P883,2,)</f>
        <v>1</v>
      </c>
      <c r="F272" s="41">
        <f>VLOOKUP(E272,'Dataset-1'!E273:Q883,2,)</f>
        <v>17</v>
      </c>
      <c r="G272" s="71" t="str">
        <f>VLOOKUP(F272,'Dataset-1'!F273:R883,2,)</f>
        <v>Evening</v>
      </c>
      <c r="H272" s="41" t="b">
        <f>VLOOKUP(G272,'Dataset-1'!G273:S883,2,)</f>
        <v>0</v>
      </c>
      <c r="I272" s="41">
        <f>VLOOKUP(H272,'Dataset-1'!H273:T883,2,)</f>
        <v>3</v>
      </c>
      <c r="J272" s="71" t="str">
        <f>VLOOKUP(I272,'Dataset-1'!I273:U883,2,)</f>
        <v>Tuesday</v>
      </c>
      <c r="K272" s="41">
        <f>VLOOKUP(J272,'Dataset-1'!J273:V883,2,)</f>
        <v>1</v>
      </c>
      <c r="L272" s="41">
        <f>VLOOKUP(K272,'Dataset-1'!K273:W883,2,)</f>
        <v>0.2</v>
      </c>
      <c r="M272" s="71" t="str">
        <f>VLOOKUP(L272,'Dataset-1'!L273:X883,2,)</f>
        <v>Rainy</v>
      </c>
      <c r="N272" s="41">
        <f>VLOOKUP(A272,'Dataset-2'!B273:H883,2,)</f>
        <v>0.18179999999999999</v>
      </c>
      <c r="O272" s="41">
        <f>VLOOKUP(N272,'Dataset-2'!C273:I883,2,)</f>
        <v>0.47</v>
      </c>
      <c r="P272" s="41">
        <f>VLOOKUP(O272,'Dataset-2'!D273:J883,2,)</f>
        <v>0.35820000000000002</v>
      </c>
      <c r="Q272" s="41">
        <f>VLOOKUP(P272,'Dataset-2'!E273:K883,2,)</f>
        <v>0</v>
      </c>
      <c r="R272" s="41">
        <f>VLOOKUP(Q272,'Dataset-2'!F273:L883,2,)</f>
        <v>139</v>
      </c>
      <c r="S272" s="41">
        <f>VLOOKUP(R272,'Dataset-2'!G273:M883,2,)</f>
        <v>139</v>
      </c>
    </row>
    <row r="273" spans="1:19" x14ac:dyDescent="0.35">
      <c r="A273" s="40">
        <v>272</v>
      </c>
      <c r="B273" s="62">
        <f>VLOOKUP(A273,'Dataset-1'!A274:M884,2,)</f>
        <v>40555</v>
      </c>
      <c r="C273" s="41">
        <f>VLOOKUP(B273,'Dataset-1'!B274:N884,2,)</f>
        <v>1</v>
      </c>
      <c r="D273" s="41">
        <f>VLOOKUP(C273,'Dataset-1'!C274:O884,2,)</f>
        <v>0</v>
      </c>
      <c r="E273" s="41">
        <f>VLOOKUP(D273,'Dataset-1'!D274:P884,2,)</f>
        <v>1</v>
      </c>
      <c r="F273" s="41">
        <f>VLOOKUP(E273,'Dataset-1'!E274:Q884,2,)</f>
        <v>18</v>
      </c>
      <c r="G273" s="71" t="str">
        <f>VLOOKUP(F273,'Dataset-1'!F274:R884,2,)</f>
        <v>Evening</v>
      </c>
      <c r="H273" s="41" t="b">
        <f>VLOOKUP(G273,'Dataset-1'!G274:S884,2,)</f>
        <v>0</v>
      </c>
      <c r="I273" s="41">
        <f>VLOOKUP(H273,'Dataset-1'!H274:T884,2,)</f>
        <v>3</v>
      </c>
      <c r="J273" s="71" t="str">
        <f>VLOOKUP(I273,'Dataset-1'!I274:U884,2,)</f>
        <v>Tuesday</v>
      </c>
      <c r="K273" s="41">
        <f>VLOOKUP(J273,'Dataset-1'!J274:V884,2,)</f>
        <v>1</v>
      </c>
      <c r="L273" s="41">
        <f>VLOOKUP(K273,'Dataset-1'!K274:W884,2,)</f>
        <v>0.2</v>
      </c>
      <c r="M273" s="71" t="str">
        <f>VLOOKUP(L273,'Dataset-1'!L274:X884,2,)</f>
        <v>Rainy</v>
      </c>
      <c r="N273" s="41">
        <f>VLOOKUP(A273,'Dataset-2'!B274:H884,2,)</f>
        <v>0.1515</v>
      </c>
      <c r="O273" s="41">
        <f>VLOOKUP(N273,'Dataset-2'!C274:I884,2,)</f>
        <v>0.47</v>
      </c>
      <c r="P273" s="41">
        <f>VLOOKUP(O273,'Dataset-2'!D274:J884,2,)</f>
        <v>0.52239999999999998</v>
      </c>
      <c r="Q273" s="41">
        <f>VLOOKUP(P273,'Dataset-2'!E274:K884,2,)</f>
        <v>2</v>
      </c>
      <c r="R273" s="41">
        <f>VLOOKUP(Q273,'Dataset-2'!F274:L884,2,)</f>
        <v>135</v>
      </c>
      <c r="S273" s="41">
        <f>VLOOKUP(R273,'Dataset-2'!G274:M884,2,)</f>
        <v>137</v>
      </c>
    </row>
    <row r="274" spans="1:19" x14ac:dyDescent="0.35">
      <c r="A274" s="40">
        <v>273</v>
      </c>
      <c r="B274" s="62">
        <f>VLOOKUP(A274,'Dataset-1'!A275:M885,2,)</f>
        <v>40555</v>
      </c>
      <c r="C274" s="41">
        <f>VLOOKUP(B274,'Dataset-1'!B275:N885,2,)</f>
        <v>1</v>
      </c>
      <c r="D274" s="41">
        <f>VLOOKUP(C274,'Dataset-1'!C275:O885,2,)</f>
        <v>0</v>
      </c>
      <c r="E274" s="41">
        <f>VLOOKUP(D274,'Dataset-1'!D275:P885,2,)</f>
        <v>1</v>
      </c>
      <c r="F274" s="41">
        <f>VLOOKUP(E274,'Dataset-1'!E275:Q885,2,)</f>
        <v>19</v>
      </c>
      <c r="G274" s="71" t="str">
        <f>VLOOKUP(F274,'Dataset-1'!F275:R885,2,)</f>
        <v>Evening</v>
      </c>
      <c r="H274" s="41" t="b">
        <f>VLOOKUP(G274,'Dataset-1'!G275:S885,2,)</f>
        <v>0</v>
      </c>
      <c r="I274" s="41">
        <f>VLOOKUP(H274,'Dataset-1'!H275:T885,2,)</f>
        <v>3</v>
      </c>
      <c r="J274" s="71" t="str">
        <f>VLOOKUP(I274,'Dataset-1'!I275:U885,2,)</f>
        <v>Tuesday</v>
      </c>
      <c r="K274" s="41">
        <f>VLOOKUP(J274,'Dataset-1'!J275:V885,2,)</f>
        <v>1</v>
      </c>
      <c r="L274" s="41">
        <f>VLOOKUP(K274,'Dataset-1'!K275:W885,2,)</f>
        <v>0.18</v>
      </c>
      <c r="M274" s="71" t="str">
        <f>VLOOKUP(L274,'Dataset-1'!L275:X885,2,)</f>
        <v>Rainy</v>
      </c>
      <c r="N274" s="41">
        <f>VLOOKUP(A274,'Dataset-2'!B275:H885,2,)</f>
        <v>0.1515</v>
      </c>
      <c r="O274" s="41">
        <f>VLOOKUP(N274,'Dataset-2'!C275:I885,2,)</f>
        <v>0.47</v>
      </c>
      <c r="P274" s="41">
        <f>VLOOKUP(O274,'Dataset-2'!D275:J885,2,)</f>
        <v>0.41789999999999999</v>
      </c>
      <c r="Q274" s="41">
        <f>VLOOKUP(P274,'Dataset-2'!E275:K885,2,)</f>
        <v>1</v>
      </c>
      <c r="R274" s="41">
        <f>VLOOKUP(Q274,'Dataset-2'!F275:L885,2,)</f>
        <v>82</v>
      </c>
      <c r="S274" s="41">
        <f>VLOOKUP(R274,'Dataset-2'!G275:M885,2,)</f>
        <v>83</v>
      </c>
    </row>
    <row r="275" spans="1:19" x14ac:dyDescent="0.35">
      <c r="A275" s="40">
        <v>274</v>
      </c>
      <c r="B275" s="62">
        <f>VLOOKUP(A275,'Dataset-1'!A276:M886,2,)</f>
        <v>40555</v>
      </c>
      <c r="C275" s="41">
        <f>VLOOKUP(B275,'Dataset-1'!B276:N886,2,)</f>
        <v>1</v>
      </c>
      <c r="D275" s="41">
        <f>VLOOKUP(C275,'Dataset-1'!C276:O886,2,)</f>
        <v>0</v>
      </c>
      <c r="E275" s="41">
        <f>VLOOKUP(D275,'Dataset-1'!D276:P886,2,)</f>
        <v>1</v>
      </c>
      <c r="F275" s="41">
        <f>VLOOKUP(E275,'Dataset-1'!E276:Q886,2,)</f>
        <v>20</v>
      </c>
      <c r="G275" s="71" t="str">
        <f>VLOOKUP(F275,'Dataset-1'!F276:R886,2,)</f>
        <v>Night</v>
      </c>
      <c r="H275" s="41" t="b">
        <f>VLOOKUP(G275,'Dataset-1'!G276:S886,2,)</f>
        <v>0</v>
      </c>
      <c r="I275" s="41">
        <f>VLOOKUP(H275,'Dataset-1'!H276:T886,2,)</f>
        <v>3</v>
      </c>
      <c r="J275" s="71" t="str">
        <f>VLOOKUP(I275,'Dataset-1'!I276:U886,2,)</f>
        <v>Tuesday</v>
      </c>
      <c r="K275" s="41">
        <f>VLOOKUP(J275,'Dataset-1'!J276:V886,2,)</f>
        <v>1</v>
      </c>
      <c r="L275" s="41">
        <f>VLOOKUP(K275,'Dataset-1'!K276:W886,2,)</f>
        <v>0.16</v>
      </c>
      <c r="M275" s="71" t="str">
        <f>VLOOKUP(L275,'Dataset-1'!L276:X886,2,)</f>
        <v>Rainy</v>
      </c>
      <c r="N275" s="41">
        <f>VLOOKUP(A275,'Dataset-2'!B276:H886,2,)</f>
        <v>0.13639999999999999</v>
      </c>
      <c r="O275" s="41">
        <f>VLOOKUP(N275,'Dataset-2'!C276:I886,2,)</f>
        <v>0.5</v>
      </c>
      <c r="P275" s="41">
        <f>VLOOKUP(O275,'Dataset-2'!D276:J886,2,)</f>
        <v>0.32840000000000003</v>
      </c>
      <c r="Q275" s="41">
        <f>VLOOKUP(P275,'Dataset-2'!E276:K886,2,)</f>
        <v>2</v>
      </c>
      <c r="R275" s="41">
        <f>VLOOKUP(Q275,'Dataset-2'!F276:L886,2,)</f>
        <v>54</v>
      </c>
      <c r="S275" s="41">
        <f>VLOOKUP(R275,'Dataset-2'!G276:M886,2,)</f>
        <v>56</v>
      </c>
    </row>
    <row r="276" spans="1:19" x14ac:dyDescent="0.35">
      <c r="A276" s="40">
        <v>275</v>
      </c>
      <c r="B276" s="62">
        <f>VLOOKUP(A276,'Dataset-1'!A277:M887,2,)</f>
        <v>40555</v>
      </c>
      <c r="C276" s="41">
        <f>VLOOKUP(B276,'Dataset-1'!B277:N887,2,)</f>
        <v>1</v>
      </c>
      <c r="D276" s="41">
        <f>VLOOKUP(C276,'Dataset-1'!C277:O887,2,)</f>
        <v>0</v>
      </c>
      <c r="E276" s="41">
        <f>VLOOKUP(D276,'Dataset-1'!D277:P887,2,)</f>
        <v>1</v>
      </c>
      <c r="F276" s="41">
        <f>VLOOKUP(E276,'Dataset-1'!E277:Q887,2,)</f>
        <v>21</v>
      </c>
      <c r="G276" s="71" t="str">
        <f>VLOOKUP(F276,'Dataset-1'!F277:R887,2,)</f>
        <v>Night</v>
      </c>
      <c r="H276" s="41" t="b">
        <f>VLOOKUP(G276,'Dataset-1'!G277:S887,2,)</f>
        <v>0</v>
      </c>
      <c r="I276" s="41">
        <f>VLOOKUP(H276,'Dataset-1'!H277:T887,2,)</f>
        <v>3</v>
      </c>
      <c r="J276" s="71" t="str">
        <f>VLOOKUP(I276,'Dataset-1'!I277:U887,2,)</f>
        <v>Tuesday</v>
      </c>
      <c r="K276" s="41">
        <f>VLOOKUP(J276,'Dataset-1'!J277:V887,2,)</f>
        <v>1</v>
      </c>
      <c r="L276" s="41">
        <f>VLOOKUP(K276,'Dataset-1'!K277:W887,2,)</f>
        <v>0.16</v>
      </c>
      <c r="M276" s="71" t="str">
        <f>VLOOKUP(L276,'Dataset-1'!L277:X887,2,)</f>
        <v>Rainy</v>
      </c>
      <c r="N276" s="41">
        <f>VLOOKUP(A276,'Dataset-2'!B277:H887,2,)</f>
        <v>0.13639999999999999</v>
      </c>
      <c r="O276" s="41">
        <f>VLOOKUP(N276,'Dataset-2'!C277:I887,2,)</f>
        <v>0.55000000000000004</v>
      </c>
      <c r="P276" s="41">
        <f>VLOOKUP(O276,'Dataset-2'!D277:J887,2,)</f>
        <v>0.32840000000000003</v>
      </c>
      <c r="Q276" s="41">
        <f>VLOOKUP(P276,'Dataset-2'!E277:K887,2,)</f>
        <v>0</v>
      </c>
      <c r="R276" s="41">
        <f>VLOOKUP(Q276,'Dataset-2'!F277:L887,2,)</f>
        <v>57</v>
      </c>
      <c r="S276" s="41">
        <f>VLOOKUP(R276,'Dataset-2'!G277:M887,2,)</f>
        <v>57</v>
      </c>
    </row>
    <row r="277" spans="1:19" x14ac:dyDescent="0.35">
      <c r="A277" s="40">
        <v>276</v>
      </c>
      <c r="B277" s="62">
        <f>VLOOKUP(A277,'Dataset-1'!A278:M888,2,)</f>
        <v>40555</v>
      </c>
      <c r="C277" s="41">
        <f>VLOOKUP(B277,'Dataset-1'!B278:N888,2,)</f>
        <v>1</v>
      </c>
      <c r="D277" s="41">
        <f>VLOOKUP(C277,'Dataset-1'!C278:O888,2,)</f>
        <v>0</v>
      </c>
      <c r="E277" s="41">
        <f>VLOOKUP(D277,'Dataset-1'!D278:P888,2,)</f>
        <v>1</v>
      </c>
      <c r="F277" s="41">
        <f>VLOOKUP(E277,'Dataset-1'!E278:Q888,2,)</f>
        <v>22</v>
      </c>
      <c r="G277" s="71" t="str">
        <f>VLOOKUP(F277,'Dataset-1'!F278:R888,2,)</f>
        <v>Night</v>
      </c>
      <c r="H277" s="41" t="b">
        <f>VLOOKUP(G277,'Dataset-1'!G278:S888,2,)</f>
        <v>0</v>
      </c>
      <c r="I277" s="41">
        <f>VLOOKUP(H277,'Dataset-1'!H278:T888,2,)</f>
        <v>3</v>
      </c>
      <c r="J277" s="71" t="str">
        <f>VLOOKUP(I277,'Dataset-1'!I278:U888,2,)</f>
        <v>Tuesday</v>
      </c>
      <c r="K277" s="41">
        <f>VLOOKUP(J277,'Dataset-1'!J278:V888,2,)</f>
        <v>1</v>
      </c>
      <c r="L277" s="41">
        <f>VLOOKUP(K277,'Dataset-1'!K278:W888,2,)</f>
        <v>0.16</v>
      </c>
      <c r="M277" s="71" t="str">
        <f>VLOOKUP(L277,'Dataset-1'!L278:X888,2,)</f>
        <v>Rainy</v>
      </c>
      <c r="N277" s="41">
        <f>VLOOKUP(A277,'Dataset-2'!B278:H888,2,)</f>
        <v>0.1212</v>
      </c>
      <c r="O277" s="41">
        <f>VLOOKUP(N277,'Dataset-2'!C278:I888,2,)</f>
        <v>0.55000000000000004</v>
      </c>
      <c r="P277" s="41">
        <f>VLOOKUP(O277,'Dataset-2'!D278:J888,2,)</f>
        <v>0.44779999999999998</v>
      </c>
      <c r="Q277" s="41">
        <f>VLOOKUP(P277,'Dataset-2'!E278:K888,2,)</f>
        <v>1</v>
      </c>
      <c r="R277" s="41">
        <f>VLOOKUP(Q277,'Dataset-2'!F278:L888,2,)</f>
        <v>32</v>
      </c>
      <c r="S277" s="41">
        <f>VLOOKUP(R277,'Dataset-2'!G278:M888,2,)</f>
        <v>33</v>
      </c>
    </row>
    <row r="278" spans="1:19" x14ac:dyDescent="0.35">
      <c r="A278" s="40">
        <v>277</v>
      </c>
      <c r="B278" s="62">
        <f>VLOOKUP(A278,'Dataset-1'!A279:M889,2,)</f>
        <v>40555</v>
      </c>
      <c r="C278" s="41">
        <f>VLOOKUP(B278,'Dataset-1'!B279:N889,2,)</f>
        <v>1</v>
      </c>
      <c r="D278" s="41">
        <f>VLOOKUP(C278,'Dataset-1'!C279:O889,2,)</f>
        <v>0</v>
      </c>
      <c r="E278" s="41">
        <f>VLOOKUP(D278,'Dataset-1'!D279:P889,2,)</f>
        <v>1</v>
      </c>
      <c r="F278" s="41">
        <f>VLOOKUP(E278,'Dataset-1'!E279:Q889,2,)</f>
        <v>23</v>
      </c>
      <c r="G278" s="71" t="str">
        <f>VLOOKUP(F278,'Dataset-1'!F279:R889,2,)</f>
        <v>Night</v>
      </c>
      <c r="H278" s="41" t="b">
        <f>VLOOKUP(G278,'Dataset-1'!G279:S889,2,)</f>
        <v>0</v>
      </c>
      <c r="I278" s="41">
        <f>VLOOKUP(H278,'Dataset-1'!H279:T889,2,)</f>
        <v>3</v>
      </c>
      <c r="J278" s="71" t="str">
        <f>VLOOKUP(I278,'Dataset-1'!I279:U889,2,)</f>
        <v>Tuesday</v>
      </c>
      <c r="K278" s="41">
        <f>VLOOKUP(J278,'Dataset-1'!J279:V889,2,)</f>
        <v>1</v>
      </c>
      <c r="L278" s="41">
        <f>VLOOKUP(K278,'Dataset-1'!K279:W889,2,)</f>
        <v>0.14000000000000001</v>
      </c>
      <c r="M278" s="71" t="str">
        <f>VLOOKUP(L278,'Dataset-1'!L279:X889,2,)</f>
        <v>Rainy</v>
      </c>
      <c r="N278" s="41">
        <f>VLOOKUP(A278,'Dataset-2'!B279:H889,2,)</f>
        <v>0.1061</v>
      </c>
      <c r="O278" s="41">
        <f>VLOOKUP(N278,'Dataset-2'!C279:I889,2,)</f>
        <v>0.59</v>
      </c>
      <c r="P278" s="41">
        <f>VLOOKUP(O278,'Dataset-2'!D279:J889,2,)</f>
        <v>0.41789999999999999</v>
      </c>
      <c r="Q278" s="41">
        <f>VLOOKUP(P278,'Dataset-2'!E279:K889,2,)</f>
        <v>1</v>
      </c>
      <c r="R278" s="41">
        <f>VLOOKUP(Q278,'Dataset-2'!F279:L889,2,)</f>
        <v>19</v>
      </c>
      <c r="S278" s="41">
        <f>VLOOKUP(R278,'Dataset-2'!G279:M889,2,)</f>
        <v>20</v>
      </c>
    </row>
    <row r="279" spans="1:19" x14ac:dyDescent="0.35">
      <c r="A279" s="40">
        <v>278</v>
      </c>
      <c r="B279" s="62">
        <f>VLOOKUP(A279,'Dataset-1'!A280:M890,2,)</f>
        <v>40556</v>
      </c>
      <c r="C279" s="41">
        <f>VLOOKUP(B279,'Dataset-1'!B280:N890,2,)</f>
        <v>1</v>
      </c>
      <c r="D279" s="41">
        <f>VLOOKUP(C279,'Dataset-1'!C280:O890,2,)</f>
        <v>0</v>
      </c>
      <c r="E279" s="41">
        <f>VLOOKUP(D279,'Dataset-1'!D280:P890,2,)</f>
        <v>1</v>
      </c>
      <c r="F279" s="41">
        <f>VLOOKUP(E279,'Dataset-1'!E280:Q890,2,)</f>
        <v>0</v>
      </c>
      <c r="G279" s="71" t="str">
        <f>VLOOKUP(F279,'Dataset-1'!F280:R890,2,)</f>
        <v>Night</v>
      </c>
      <c r="H279" s="41" t="b">
        <f>VLOOKUP(G279,'Dataset-1'!G280:S890,2,)</f>
        <v>0</v>
      </c>
      <c r="I279" s="41">
        <f>VLOOKUP(H279,'Dataset-1'!H280:T890,2,)</f>
        <v>4</v>
      </c>
      <c r="J279" s="71" t="str">
        <f>VLOOKUP(I279,'Dataset-1'!I280:U890,2,)</f>
        <v>Wednesday</v>
      </c>
      <c r="K279" s="41">
        <f>VLOOKUP(J279,'Dataset-1'!J280:V890,2,)</f>
        <v>1</v>
      </c>
      <c r="L279" s="41">
        <f>VLOOKUP(K279,'Dataset-1'!K280:W890,2,)</f>
        <v>0.14000000000000001</v>
      </c>
      <c r="M279" s="71" t="str">
        <f>VLOOKUP(L279,'Dataset-1'!L280:X890,2,)</f>
        <v>Rainy</v>
      </c>
      <c r="N279" s="41">
        <f>VLOOKUP(A279,'Dataset-2'!B280:H890,2,)</f>
        <v>0.1212</v>
      </c>
      <c r="O279" s="41">
        <f>VLOOKUP(N279,'Dataset-2'!C280:I890,2,)</f>
        <v>0.59</v>
      </c>
      <c r="P279" s="41">
        <f>VLOOKUP(O279,'Dataset-2'!D280:J890,2,)</f>
        <v>0.28360000000000002</v>
      </c>
      <c r="Q279" s="41">
        <f>VLOOKUP(P279,'Dataset-2'!E280:K890,2,)</f>
        <v>1</v>
      </c>
      <c r="R279" s="41">
        <f>VLOOKUP(Q279,'Dataset-2'!F280:L890,2,)</f>
        <v>6</v>
      </c>
      <c r="S279" s="41">
        <f>VLOOKUP(R279,'Dataset-2'!G280:M890,2,)</f>
        <v>7</v>
      </c>
    </row>
    <row r="280" spans="1:19" x14ac:dyDescent="0.35">
      <c r="A280" s="40">
        <v>279</v>
      </c>
      <c r="B280" s="62">
        <f>VLOOKUP(A280,'Dataset-1'!A281:M891,2,)</f>
        <v>40556</v>
      </c>
      <c r="C280" s="41">
        <f>VLOOKUP(B280,'Dataset-1'!B281:N891,2,)</f>
        <v>1</v>
      </c>
      <c r="D280" s="41">
        <f>VLOOKUP(C280,'Dataset-1'!C281:O891,2,)</f>
        <v>0</v>
      </c>
      <c r="E280" s="41">
        <f>VLOOKUP(D280,'Dataset-1'!D281:P891,2,)</f>
        <v>1</v>
      </c>
      <c r="F280" s="41">
        <f>VLOOKUP(E280,'Dataset-1'!E281:Q891,2,)</f>
        <v>1</v>
      </c>
      <c r="G280" s="71" t="str">
        <f>VLOOKUP(F280,'Dataset-1'!F281:R891,2,)</f>
        <v>Night</v>
      </c>
      <c r="H280" s="41" t="b">
        <f>VLOOKUP(G280,'Dataset-1'!G281:S891,2,)</f>
        <v>0</v>
      </c>
      <c r="I280" s="41">
        <f>VLOOKUP(H280,'Dataset-1'!H281:T891,2,)</f>
        <v>4</v>
      </c>
      <c r="J280" s="71" t="str">
        <f>VLOOKUP(I280,'Dataset-1'!I281:U891,2,)</f>
        <v>Wednesday</v>
      </c>
      <c r="K280" s="41">
        <f>VLOOKUP(J280,'Dataset-1'!J281:V891,2,)</f>
        <v>1</v>
      </c>
      <c r="L280" s="41">
        <f>VLOOKUP(K280,'Dataset-1'!K281:W891,2,)</f>
        <v>0.14000000000000001</v>
      </c>
      <c r="M280" s="71" t="str">
        <f>VLOOKUP(L280,'Dataset-1'!L281:X891,2,)</f>
        <v>Rainy</v>
      </c>
      <c r="N280" s="41">
        <f>VLOOKUP(A280,'Dataset-2'!B281:H891,2,)</f>
        <v>0.1212</v>
      </c>
      <c r="O280" s="41">
        <f>VLOOKUP(N280,'Dataset-2'!C281:I891,2,)</f>
        <v>0.5</v>
      </c>
      <c r="P280" s="41">
        <f>VLOOKUP(O280,'Dataset-2'!D281:J891,2,)</f>
        <v>0.28360000000000002</v>
      </c>
      <c r="Q280" s="41">
        <f>VLOOKUP(P280,'Dataset-2'!E281:K891,2,)</f>
        <v>0</v>
      </c>
      <c r="R280" s="41">
        <f>VLOOKUP(Q280,'Dataset-2'!F281:L891,2,)</f>
        <v>2</v>
      </c>
      <c r="S280" s="41">
        <f>VLOOKUP(R280,'Dataset-2'!G281:M891,2,)</f>
        <v>2</v>
      </c>
    </row>
    <row r="281" spans="1:19" x14ac:dyDescent="0.35">
      <c r="A281" s="40">
        <v>280</v>
      </c>
      <c r="B281" s="62">
        <f>VLOOKUP(A281,'Dataset-1'!A282:M892,2,)</f>
        <v>40556</v>
      </c>
      <c r="C281" s="41">
        <f>VLOOKUP(B281,'Dataset-1'!B282:N892,2,)</f>
        <v>1</v>
      </c>
      <c r="D281" s="41">
        <f>VLOOKUP(C281,'Dataset-1'!C282:O892,2,)</f>
        <v>0</v>
      </c>
      <c r="E281" s="41">
        <f>VLOOKUP(D281,'Dataset-1'!D282:P892,2,)</f>
        <v>1</v>
      </c>
      <c r="F281" s="41">
        <f>VLOOKUP(E281,'Dataset-1'!E282:Q892,2,)</f>
        <v>2</v>
      </c>
      <c r="G281" s="71" t="str">
        <f>VLOOKUP(F281,'Dataset-1'!F282:R892,2,)</f>
        <v>Night</v>
      </c>
      <c r="H281" s="41" t="b">
        <f>VLOOKUP(G281,'Dataset-1'!G282:S892,2,)</f>
        <v>0</v>
      </c>
      <c r="I281" s="41">
        <f>VLOOKUP(H281,'Dataset-1'!H282:T892,2,)</f>
        <v>4</v>
      </c>
      <c r="J281" s="71" t="str">
        <f>VLOOKUP(I281,'Dataset-1'!I282:U892,2,)</f>
        <v>Wednesday</v>
      </c>
      <c r="K281" s="41">
        <f>VLOOKUP(J281,'Dataset-1'!J282:V892,2,)</f>
        <v>1</v>
      </c>
      <c r="L281" s="41">
        <f>VLOOKUP(K281,'Dataset-1'!K282:W892,2,)</f>
        <v>0.14000000000000001</v>
      </c>
      <c r="M281" s="71" t="str">
        <f>VLOOKUP(L281,'Dataset-1'!L282:X892,2,)</f>
        <v>Rainy</v>
      </c>
      <c r="N281" s="41">
        <f>VLOOKUP(A281,'Dataset-2'!B282:H892,2,)</f>
        <v>0.1212</v>
      </c>
      <c r="O281" s="41">
        <f>VLOOKUP(N281,'Dataset-2'!C282:I892,2,)</f>
        <v>0.5</v>
      </c>
      <c r="P281" s="41">
        <f>VLOOKUP(O281,'Dataset-2'!D282:J892,2,)</f>
        <v>0.35820000000000002</v>
      </c>
      <c r="Q281" s="41">
        <f>VLOOKUP(P281,'Dataset-2'!E282:K892,2,)</f>
        <v>0</v>
      </c>
      <c r="R281" s="41">
        <f>VLOOKUP(Q281,'Dataset-2'!F282:L892,2,)</f>
        <v>2</v>
      </c>
      <c r="S281" s="41">
        <f>VLOOKUP(R281,'Dataset-2'!G282:M892,2,)</f>
        <v>2</v>
      </c>
    </row>
    <row r="282" spans="1:19" x14ac:dyDescent="0.35">
      <c r="A282" s="40">
        <v>281</v>
      </c>
      <c r="B282" s="62">
        <f>VLOOKUP(A282,'Dataset-1'!A283:M893,2,)</f>
        <v>40556</v>
      </c>
      <c r="C282" s="41">
        <f>VLOOKUP(B282,'Dataset-1'!B283:N893,2,)</f>
        <v>1</v>
      </c>
      <c r="D282" s="41">
        <f>VLOOKUP(C282,'Dataset-1'!C283:O893,2,)</f>
        <v>0</v>
      </c>
      <c r="E282" s="41">
        <f>VLOOKUP(D282,'Dataset-1'!D283:P893,2,)</f>
        <v>1</v>
      </c>
      <c r="F282" s="41">
        <f>VLOOKUP(E282,'Dataset-1'!E283:Q893,2,)</f>
        <v>3</v>
      </c>
      <c r="G282" s="71" t="str">
        <f>VLOOKUP(F282,'Dataset-1'!F283:R893,2,)</f>
        <v>Night</v>
      </c>
      <c r="H282" s="41" t="b">
        <f>VLOOKUP(G282,'Dataset-1'!G283:S893,2,)</f>
        <v>0</v>
      </c>
      <c r="I282" s="41">
        <f>VLOOKUP(H282,'Dataset-1'!H283:T893,2,)</f>
        <v>4</v>
      </c>
      <c r="J282" s="71" t="str">
        <f>VLOOKUP(I282,'Dataset-1'!I283:U893,2,)</f>
        <v>Wednesday</v>
      </c>
      <c r="K282" s="41">
        <f>VLOOKUP(J282,'Dataset-1'!J283:V893,2,)</f>
        <v>1</v>
      </c>
      <c r="L282" s="41">
        <f>VLOOKUP(K282,'Dataset-1'!K283:W893,2,)</f>
        <v>0.14000000000000001</v>
      </c>
      <c r="M282" s="71" t="str">
        <f>VLOOKUP(L282,'Dataset-1'!L283:X893,2,)</f>
        <v>Rainy</v>
      </c>
      <c r="N282" s="41">
        <f>VLOOKUP(A282,'Dataset-2'!B283:H893,2,)</f>
        <v>0.1212</v>
      </c>
      <c r="O282" s="41">
        <f>VLOOKUP(N282,'Dataset-2'!C283:I893,2,)</f>
        <v>0.5</v>
      </c>
      <c r="P282" s="41">
        <f>VLOOKUP(O282,'Dataset-2'!D283:J893,2,)</f>
        <v>0.32840000000000003</v>
      </c>
      <c r="Q282" s="41">
        <f>VLOOKUP(P282,'Dataset-2'!E283:K893,2,)</f>
        <v>0</v>
      </c>
      <c r="R282" s="41">
        <f>VLOOKUP(Q282,'Dataset-2'!F283:L893,2,)</f>
        <v>3</v>
      </c>
      <c r="S282" s="41">
        <f>VLOOKUP(R282,'Dataset-2'!G283:M893,2,)</f>
        <v>3</v>
      </c>
    </row>
    <row r="283" spans="1:19" x14ac:dyDescent="0.35">
      <c r="A283" s="40">
        <v>282</v>
      </c>
      <c r="B283" s="62">
        <f>VLOOKUP(A283,'Dataset-1'!A284:M894,2,)</f>
        <v>40556</v>
      </c>
      <c r="C283" s="41">
        <f>VLOOKUP(B283,'Dataset-1'!B284:N894,2,)</f>
        <v>1</v>
      </c>
      <c r="D283" s="41">
        <f>VLOOKUP(C283,'Dataset-1'!C284:O894,2,)</f>
        <v>0</v>
      </c>
      <c r="E283" s="41">
        <f>VLOOKUP(D283,'Dataset-1'!D284:P894,2,)</f>
        <v>1</v>
      </c>
      <c r="F283" s="41">
        <f>VLOOKUP(E283,'Dataset-1'!E284:Q894,2,)</f>
        <v>4</v>
      </c>
      <c r="G283" s="71" t="str">
        <f>VLOOKUP(F283,'Dataset-1'!F284:R894,2,)</f>
        <v>Night</v>
      </c>
      <c r="H283" s="41" t="b">
        <f>VLOOKUP(G283,'Dataset-1'!G284:S894,2,)</f>
        <v>0</v>
      </c>
      <c r="I283" s="41">
        <f>VLOOKUP(H283,'Dataset-1'!H284:T894,2,)</f>
        <v>4</v>
      </c>
      <c r="J283" s="71" t="str">
        <f>VLOOKUP(I283,'Dataset-1'!I284:U894,2,)</f>
        <v>Wednesday</v>
      </c>
      <c r="K283" s="41">
        <f>VLOOKUP(J283,'Dataset-1'!J284:V894,2,)</f>
        <v>1</v>
      </c>
      <c r="L283" s="41">
        <f>VLOOKUP(K283,'Dataset-1'!K284:W894,2,)</f>
        <v>0.14000000000000001</v>
      </c>
      <c r="M283" s="71" t="str">
        <f>VLOOKUP(L283,'Dataset-1'!L284:X894,2,)</f>
        <v>Rainy</v>
      </c>
      <c r="N283" s="41">
        <f>VLOOKUP(A283,'Dataset-2'!B284:H894,2,)</f>
        <v>0.1212</v>
      </c>
      <c r="O283" s="41">
        <f>VLOOKUP(N283,'Dataset-2'!C284:I894,2,)</f>
        <v>0.5</v>
      </c>
      <c r="P283" s="41">
        <f>VLOOKUP(O283,'Dataset-2'!D284:J894,2,)</f>
        <v>0.25369999999999998</v>
      </c>
      <c r="Q283" s="41">
        <f>VLOOKUP(P283,'Dataset-2'!E284:K894,2,)</f>
        <v>0</v>
      </c>
      <c r="R283" s="41">
        <f>VLOOKUP(Q283,'Dataset-2'!F284:L894,2,)</f>
        <v>4</v>
      </c>
      <c r="S283" s="41">
        <f>VLOOKUP(R283,'Dataset-2'!G284:M894,2,)</f>
        <v>4</v>
      </c>
    </row>
    <row r="284" spans="1:19" x14ac:dyDescent="0.35">
      <c r="A284" s="40">
        <v>283</v>
      </c>
      <c r="B284" s="62">
        <f>VLOOKUP(A284,'Dataset-1'!A285:M895,2,)</f>
        <v>40556</v>
      </c>
      <c r="C284" s="41">
        <f>VLOOKUP(B284,'Dataset-1'!B285:N895,2,)</f>
        <v>1</v>
      </c>
      <c r="D284" s="41">
        <f>VLOOKUP(C284,'Dataset-1'!C285:O895,2,)</f>
        <v>0</v>
      </c>
      <c r="E284" s="41">
        <f>VLOOKUP(D284,'Dataset-1'!D285:P895,2,)</f>
        <v>1</v>
      </c>
      <c r="F284" s="41">
        <f>VLOOKUP(E284,'Dataset-1'!E285:Q895,2,)</f>
        <v>5</v>
      </c>
      <c r="G284" s="71" t="str">
        <f>VLOOKUP(F284,'Dataset-1'!F285:R895,2,)</f>
        <v>Morning</v>
      </c>
      <c r="H284" s="41" t="b">
        <f>VLOOKUP(G284,'Dataset-1'!G285:S895,2,)</f>
        <v>0</v>
      </c>
      <c r="I284" s="41">
        <f>VLOOKUP(H284,'Dataset-1'!H285:T895,2,)</f>
        <v>4</v>
      </c>
      <c r="J284" s="71" t="str">
        <f>VLOOKUP(I284,'Dataset-1'!I285:U895,2,)</f>
        <v>Wednesday</v>
      </c>
      <c r="K284" s="41">
        <f>VLOOKUP(J284,'Dataset-1'!J285:V895,2,)</f>
        <v>1</v>
      </c>
      <c r="L284" s="41">
        <f>VLOOKUP(K284,'Dataset-1'!K285:W895,2,)</f>
        <v>0.14000000000000001</v>
      </c>
      <c r="M284" s="71" t="str">
        <f>VLOOKUP(L284,'Dataset-1'!L285:X895,2,)</f>
        <v>Rainy</v>
      </c>
      <c r="N284" s="41">
        <f>VLOOKUP(A284,'Dataset-2'!B285:H895,2,)</f>
        <v>0.1212</v>
      </c>
      <c r="O284" s="41">
        <f>VLOOKUP(N284,'Dataset-2'!C285:I895,2,)</f>
        <v>0.5</v>
      </c>
      <c r="P284" s="41">
        <f>VLOOKUP(O284,'Dataset-2'!D285:J895,2,)</f>
        <v>0.29849999999999999</v>
      </c>
      <c r="Q284" s="41">
        <f>VLOOKUP(P284,'Dataset-2'!E285:K895,2,)</f>
        <v>0</v>
      </c>
      <c r="R284" s="41">
        <f>VLOOKUP(Q284,'Dataset-2'!F285:L895,2,)</f>
        <v>3</v>
      </c>
      <c r="S284" s="41">
        <f>VLOOKUP(R284,'Dataset-2'!G285:M895,2,)</f>
        <v>3</v>
      </c>
    </row>
    <row r="285" spans="1:19" x14ac:dyDescent="0.35">
      <c r="A285" s="40">
        <v>284</v>
      </c>
      <c r="B285" s="62">
        <f>VLOOKUP(A285,'Dataset-1'!A286:M896,2,)</f>
        <v>40556</v>
      </c>
      <c r="C285" s="41">
        <f>VLOOKUP(B285,'Dataset-1'!B286:N896,2,)</f>
        <v>1</v>
      </c>
      <c r="D285" s="41">
        <f>VLOOKUP(C285,'Dataset-1'!C286:O896,2,)</f>
        <v>0</v>
      </c>
      <c r="E285" s="41">
        <f>VLOOKUP(D285,'Dataset-1'!D286:P896,2,)</f>
        <v>1</v>
      </c>
      <c r="F285" s="41">
        <f>VLOOKUP(E285,'Dataset-1'!E286:Q896,2,)</f>
        <v>6</v>
      </c>
      <c r="G285" s="71" t="str">
        <f>VLOOKUP(F285,'Dataset-1'!F286:R896,2,)</f>
        <v>Morning</v>
      </c>
      <c r="H285" s="41" t="b">
        <f>VLOOKUP(G285,'Dataset-1'!G286:S896,2,)</f>
        <v>0</v>
      </c>
      <c r="I285" s="41">
        <f>VLOOKUP(H285,'Dataset-1'!H286:T896,2,)</f>
        <v>4</v>
      </c>
      <c r="J285" s="71" t="str">
        <f>VLOOKUP(I285,'Dataset-1'!I286:U896,2,)</f>
        <v>Wednesday</v>
      </c>
      <c r="K285" s="41">
        <f>VLOOKUP(J285,'Dataset-1'!J286:V896,2,)</f>
        <v>1</v>
      </c>
      <c r="L285" s="41">
        <f>VLOOKUP(K285,'Dataset-1'!K286:W896,2,)</f>
        <v>0.12</v>
      </c>
      <c r="M285" s="71" t="str">
        <f>VLOOKUP(L285,'Dataset-1'!L286:X896,2,)</f>
        <v>Rainy</v>
      </c>
      <c r="N285" s="41">
        <f>VLOOKUP(A285,'Dataset-2'!B286:H896,2,)</f>
        <v>0.1515</v>
      </c>
      <c r="O285" s="41">
        <f>VLOOKUP(N285,'Dataset-2'!C286:I896,2,)</f>
        <v>0.54</v>
      </c>
      <c r="P285" s="41">
        <f>VLOOKUP(O285,'Dataset-2'!D286:J896,2,)</f>
        <v>0.1343</v>
      </c>
      <c r="Q285" s="41">
        <f>VLOOKUP(P285,'Dataset-2'!E286:K896,2,)</f>
        <v>0</v>
      </c>
      <c r="R285" s="41">
        <f>VLOOKUP(Q285,'Dataset-2'!F286:L896,2,)</f>
        <v>28</v>
      </c>
      <c r="S285" s="41">
        <f>VLOOKUP(R285,'Dataset-2'!G286:M896,2,)</f>
        <v>28</v>
      </c>
    </row>
    <row r="286" spans="1:19" x14ac:dyDescent="0.35">
      <c r="A286" s="40">
        <v>285</v>
      </c>
      <c r="B286" s="62">
        <f>VLOOKUP(A286,'Dataset-1'!A287:M897,2,)</f>
        <v>40556</v>
      </c>
      <c r="C286" s="41">
        <f>VLOOKUP(B286,'Dataset-1'!B287:N897,2,)</f>
        <v>1</v>
      </c>
      <c r="D286" s="41">
        <f>VLOOKUP(C286,'Dataset-1'!C287:O897,2,)</f>
        <v>0</v>
      </c>
      <c r="E286" s="41">
        <f>VLOOKUP(D286,'Dataset-1'!D287:P897,2,)</f>
        <v>1</v>
      </c>
      <c r="F286" s="41">
        <f>VLOOKUP(E286,'Dataset-1'!E287:Q897,2,)</f>
        <v>7</v>
      </c>
      <c r="G286" s="71" t="str">
        <f>VLOOKUP(F286,'Dataset-1'!F287:R897,2,)</f>
        <v>Morning</v>
      </c>
      <c r="H286" s="41" t="b">
        <f>VLOOKUP(G286,'Dataset-1'!G287:S897,2,)</f>
        <v>0</v>
      </c>
      <c r="I286" s="41">
        <f>VLOOKUP(H286,'Dataset-1'!H287:T897,2,)</f>
        <v>4</v>
      </c>
      <c r="J286" s="71" t="str">
        <f>VLOOKUP(I286,'Dataset-1'!I287:U897,2,)</f>
        <v>Wednesday</v>
      </c>
      <c r="K286" s="41">
        <f>VLOOKUP(J286,'Dataset-1'!J287:V897,2,)</f>
        <v>1</v>
      </c>
      <c r="L286" s="41">
        <f>VLOOKUP(K286,'Dataset-1'!K287:W897,2,)</f>
        <v>0.12</v>
      </c>
      <c r="M286" s="71" t="str">
        <f>VLOOKUP(L286,'Dataset-1'!L287:X897,2,)</f>
        <v>Rainy</v>
      </c>
      <c r="N286" s="41">
        <f>VLOOKUP(A286,'Dataset-2'!B287:H897,2,)</f>
        <v>0.1515</v>
      </c>
      <c r="O286" s="41">
        <f>VLOOKUP(N286,'Dataset-2'!C287:I897,2,)</f>
        <v>0.54</v>
      </c>
      <c r="P286" s="41">
        <f>VLOOKUP(O286,'Dataset-2'!D287:J897,2,)</f>
        <v>0.1343</v>
      </c>
      <c r="Q286" s="41">
        <f>VLOOKUP(P286,'Dataset-2'!E287:K897,2,)</f>
        <v>0</v>
      </c>
      <c r="R286" s="41">
        <f>VLOOKUP(Q286,'Dataset-2'!F287:L897,2,)</f>
        <v>72</v>
      </c>
      <c r="S286" s="41">
        <f>VLOOKUP(R286,'Dataset-2'!G287:M897,2,)</f>
        <v>72</v>
      </c>
    </row>
    <row r="287" spans="1:19" x14ac:dyDescent="0.35">
      <c r="A287" s="40">
        <v>286</v>
      </c>
      <c r="B287" s="62">
        <f>VLOOKUP(A287,'Dataset-1'!A288:M898,2,)</f>
        <v>40556</v>
      </c>
      <c r="C287" s="41">
        <f>VLOOKUP(B287,'Dataset-1'!B288:N898,2,)</f>
        <v>1</v>
      </c>
      <c r="D287" s="41">
        <f>VLOOKUP(C287,'Dataset-1'!C288:O898,2,)</f>
        <v>0</v>
      </c>
      <c r="E287" s="41">
        <f>VLOOKUP(D287,'Dataset-1'!D288:P898,2,)</f>
        <v>1</v>
      </c>
      <c r="F287" s="41">
        <f>VLOOKUP(E287,'Dataset-1'!E288:Q898,2,)</f>
        <v>8</v>
      </c>
      <c r="G287" s="71" t="str">
        <f>VLOOKUP(F287,'Dataset-1'!F288:R898,2,)</f>
        <v>Morning</v>
      </c>
      <c r="H287" s="41" t="b">
        <f>VLOOKUP(G287,'Dataset-1'!G288:S898,2,)</f>
        <v>0</v>
      </c>
      <c r="I287" s="41">
        <f>VLOOKUP(H287,'Dataset-1'!H288:T898,2,)</f>
        <v>4</v>
      </c>
      <c r="J287" s="71" t="str">
        <f>VLOOKUP(I287,'Dataset-1'!I288:U898,2,)</f>
        <v>Wednesday</v>
      </c>
      <c r="K287" s="41">
        <f>VLOOKUP(J287,'Dataset-1'!J288:V898,2,)</f>
        <v>1</v>
      </c>
      <c r="L287" s="41">
        <f>VLOOKUP(K287,'Dataset-1'!K288:W898,2,)</f>
        <v>0.14000000000000001</v>
      </c>
      <c r="M287" s="71" t="str">
        <f>VLOOKUP(L287,'Dataset-1'!L288:X898,2,)</f>
        <v>Rainy</v>
      </c>
      <c r="N287" s="41">
        <f>VLOOKUP(A287,'Dataset-2'!B288:H898,2,)</f>
        <v>0.13639999999999999</v>
      </c>
      <c r="O287" s="41">
        <f>VLOOKUP(N287,'Dataset-2'!C288:I898,2,)</f>
        <v>0.5</v>
      </c>
      <c r="P287" s="41">
        <f>VLOOKUP(O287,'Dataset-2'!D288:J898,2,)</f>
        <v>0.19400000000000001</v>
      </c>
      <c r="Q287" s="41">
        <f>VLOOKUP(P287,'Dataset-2'!E288:K898,2,)</f>
        <v>5</v>
      </c>
      <c r="R287" s="41">
        <f>VLOOKUP(Q287,'Dataset-2'!F288:L898,2,)</f>
        <v>197</v>
      </c>
      <c r="S287" s="41">
        <f>VLOOKUP(R287,'Dataset-2'!G288:M898,2,)</f>
        <v>202</v>
      </c>
    </row>
    <row r="288" spans="1:19" x14ac:dyDescent="0.35">
      <c r="A288" s="40">
        <v>287</v>
      </c>
      <c r="B288" s="62">
        <f>VLOOKUP(A288,'Dataset-1'!A289:M899,2,)</f>
        <v>40556</v>
      </c>
      <c r="C288" s="41">
        <f>VLOOKUP(B288,'Dataset-1'!B289:N899,2,)</f>
        <v>1</v>
      </c>
      <c r="D288" s="41">
        <f>VLOOKUP(C288,'Dataset-1'!C289:O899,2,)</f>
        <v>0</v>
      </c>
      <c r="E288" s="41">
        <f>VLOOKUP(D288,'Dataset-1'!D289:P899,2,)</f>
        <v>1</v>
      </c>
      <c r="F288" s="41">
        <f>VLOOKUP(E288,'Dataset-1'!E289:Q899,2,)</f>
        <v>9</v>
      </c>
      <c r="G288" s="71" t="str">
        <f>VLOOKUP(F288,'Dataset-1'!F289:R899,2,)</f>
        <v>Morning</v>
      </c>
      <c r="H288" s="41" t="b">
        <f>VLOOKUP(G288,'Dataset-1'!G289:S899,2,)</f>
        <v>0</v>
      </c>
      <c r="I288" s="41">
        <f>VLOOKUP(H288,'Dataset-1'!H289:T899,2,)</f>
        <v>4</v>
      </c>
      <c r="J288" s="71" t="str">
        <f>VLOOKUP(I288,'Dataset-1'!I289:U899,2,)</f>
        <v>Wednesday</v>
      </c>
      <c r="K288" s="41">
        <f>VLOOKUP(J288,'Dataset-1'!J289:V899,2,)</f>
        <v>1</v>
      </c>
      <c r="L288" s="41">
        <f>VLOOKUP(K288,'Dataset-1'!K289:W899,2,)</f>
        <v>0.14000000000000001</v>
      </c>
      <c r="M288" s="71" t="str">
        <f>VLOOKUP(L288,'Dataset-1'!L289:X899,2,)</f>
        <v>Rainy</v>
      </c>
      <c r="N288" s="41">
        <f>VLOOKUP(A288,'Dataset-2'!B289:H899,2,)</f>
        <v>0.1212</v>
      </c>
      <c r="O288" s="41">
        <f>VLOOKUP(N288,'Dataset-2'!C289:I899,2,)</f>
        <v>0.5</v>
      </c>
      <c r="P288" s="41">
        <f>VLOOKUP(O288,'Dataset-2'!D289:J899,2,)</f>
        <v>0.32840000000000003</v>
      </c>
      <c r="Q288" s="41">
        <f>VLOOKUP(P288,'Dataset-2'!E289:K899,2,)</f>
        <v>2</v>
      </c>
      <c r="R288" s="41">
        <f>VLOOKUP(Q288,'Dataset-2'!F289:L899,2,)</f>
        <v>137</v>
      </c>
      <c r="S288" s="41">
        <f>VLOOKUP(R288,'Dataset-2'!G289:M899,2,)</f>
        <v>139</v>
      </c>
    </row>
    <row r="289" spans="1:19" x14ac:dyDescent="0.35">
      <c r="A289" s="40">
        <v>288</v>
      </c>
      <c r="B289" s="62">
        <f>VLOOKUP(A289,'Dataset-1'!A290:M900,2,)</f>
        <v>40556</v>
      </c>
      <c r="C289" s="41">
        <f>VLOOKUP(B289,'Dataset-1'!B290:N900,2,)</f>
        <v>1</v>
      </c>
      <c r="D289" s="41">
        <f>VLOOKUP(C289,'Dataset-1'!C290:O900,2,)</f>
        <v>0</v>
      </c>
      <c r="E289" s="41">
        <f>VLOOKUP(D289,'Dataset-1'!D290:P900,2,)</f>
        <v>1</v>
      </c>
      <c r="F289" s="41">
        <f>VLOOKUP(E289,'Dataset-1'!E290:Q900,2,)</f>
        <v>10</v>
      </c>
      <c r="G289" s="71" t="str">
        <f>VLOOKUP(F289,'Dataset-1'!F290:R900,2,)</f>
        <v>Morning</v>
      </c>
      <c r="H289" s="41" t="b">
        <f>VLOOKUP(G289,'Dataset-1'!G290:S900,2,)</f>
        <v>0</v>
      </c>
      <c r="I289" s="41">
        <f>VLOOKUP(H289,'Dataset-1'!H290:T900,2,)</f>
        <v>4</v>
      </c>
      <c r="J289" s="71" t="str">
        <f>VLOOKUP(I289,'Dataset-1'!I290:U900,2,)</f>
        <v>Wednesday</v>
      </c>
      <c r="K289" s="41">
        <f>VLOOKUP(J289,'Dataset-1'!J290:V900,2,)</f>
        <v>2</v>
      </c>
      <c r="L289" s="41">
        <f>VLOOKUP(K289,'Dataset-1'!K290:W900,2,)</f>
        <v>0.16</v>
      </c>
      <c r="M289" s="71" t="str">
        <f>VLOOKUP(L289,'Dataset-1'!L290:X900,2,)</f>
        <v>Rainy</v>
      </c>
      <c r="N289" s="41">
        <f>VLOOKUP(A289,'Dataset-2'!B290:H900,2,)</f>
        <v>0.13639999999999999</v>
      </c>
      <c r="O289" s="41">
        <f>VLOOKUP(N289,'Dataset-2'!C290:I900,2,)</f>
        <v>0.5</v>
      </c>
      <c r="P289" s="41">
        <f>VLOOKUP(O289,'Dataset-2'!D290:J900,2,)</f>
        <v>0.35820000000000002</v>
      </c>
      <c r="Q289" s="41">
        <f>VLOOKUP(P289,'Dataset-2'!E290:K900,2,)</f>
        <v>2</v>
      </c>
      <c r="R289" s="41">
        <f>VLOOKUP(Q289,'Dataset-2'!F290:L900,2,)</f>
        <v>36</v>
      </c>
      <c r="S289" s="41">
        <f>VLOOKUP(R289,'Dataset-2'!G290:M900,2,)</f>
        <v>38</v>
      </c>
    </row>
    <row r="290" spans="1:19" x14ac:dyDescent="0.35">
      <c r="A290" s="40">
        <v>289</v>
      </c>
      <c r="B290" s="62">
        <f>VLOOKUP(A290,'Dataset-1'!A291:M901,2,)</f>
        <v>40556</v>
      </c>
      <c r="C290" s="41">
        <f>VLOOKUP(B290,'Dataset-1'!B291:N901,2,)</f>
        <v>1</v>
      </c>
      <c r="D290" s="41">
        <f>VLOOKUP(C290,'Dataset-1'!C291:O901,2,)</f>
        <v>0</v>
      </c>
      <c r="E290" s="41">
        <f>VLOOKUP(D290,'Dataset-1'!D291:P901,2,)</f>
        <v>1</v>
      </c>
      <c r="F290" s="41">
        <f>VLOOKUP(E290,'Dataset-1'!E291:Q901,2,)</f>
        <v>11</v>
      </c>
      <c r="G290" s="71" t="str">
        <f>VLOOKUP(F290,'Dataset-1'!F291:R901,2,)</f>
        <v>Morning</v>
      </c>
      <c r="H290" s="41" t="b">
        <f>VLOOKUP(G290,'Dataset-1'!G291:S901,2,)</f>
        <v>0</v>
      </c>
      <c r="I290" s="41">
        <f>VLOOKUP(H290,'Dataset-1'!H291:T901,2,)</f>
        <v>4</v>
      </c>
      <c r="J290" s="71" t="str">
        <f>VLOOKUP(I290,'Dataset-1'!I291:U901,2,)</f>
        <v>Wednesday</v>
      </c>
      <c r="K290" s="41">
        <f>VLOOKUP(J290,'Dataset-1'!J291:V901,2,)</f>
        <v>2</v>
      </c>
      <c r="L290" s="41">
        <f>VLOOKUP(K290,'Dataset-1'!K291:W901,2,)</f>
        <v>0.2</v>
      </c>
      <c r="M290" s="71" t="str">
        <f>VLOOKUP(L290,'Dataset-1'!L291:X901,2,)</f>
        <v>Rainy</v>
      </c>
      <c r="N290" s="41">
        <f>VLOOKUP(A290,'Dataset-2'!B291:H901,2,)</f>
        <v>0.16669999999999999</v>
      </c>
      <c r="O290" s="41">
        <f>VLOOKUP(N290,'Dataset-2'!C291:I901,2,)</f>
        <v>0.44</v>
      </c>
      <c r="P290" s="41">
        <f>VLOOKUP(O290,'Dataset-2'!D291:J901,2,)</f>
        <v>0.44779999999999998</v>
      </c>
      <c r="Q290" s="41">
        <f>VLOOKUP(P290,'Dataset-2'!E291:K901,2,)</f>
        <v>4</v>
      </c>
      <c r="R290" s="41">
        <f>VLOOKUP(Q290,'Dataset-2'!F291:L901,2,)</f>
        <v>33</v>
      </c>
      <c r="S290" s="41">
        <f>VLOOKUP(R290,'Dataset-2'!G291:M901,2,)</f>
        <v>37</v>
      </c>
    </row>
    <row r="291" spans="1:19" x14ac:dyDescent="0.35">
      <c r="A291" s="40">
        <v>290</v>
      </c>
      <c r="B291" s="62">
        <f>VLOOKUP(A291,'Dataset-1'!A292:M902,2,)</f>
        <v>40556</v>
      </c>
      <c r="C291" s="41">
        <f>VLOOKUP(B291,'Dataset-1'!B292:N902,2,)</f>
        <v>1</v>
      </c>
      <c r="D291" s="41">
        <f>VLOOKUP(C291,'Dataset-1'!C292:O902,2,)</f>
        <v>0</v>
      </c>
      <c r="E291" s="41">
        <f>VLOOKUP(D291,'Dataset-1'!D292:P902,2,)</f>
        <v>1</v>
      </c>
      <c r="F291" s="41">
        <f>VLOOKUP(E291,'Dataset-1'!E292:Q902,2,)</f>
        <v>12</v>
      </c>
      <c r="G291" s="71" t="str">
        <f>VLOOKUP(F291,'Dataset-1'!F292:R902,2,)</f>
        <v>AfterNoon</v>
      </c>
      <c r="H291" s="41" t="b">
        <f>VLOOKUP(G291,'Dataset-1'!G292:S902,2,)</f>
        <v>0</v>
      </c>
      <c r="I291" s="41">
        <f>VLOOKUP(H291,'Dataset-1'!H292:T902,2,)</f>
        <v>4</v>
      </c>
      <c r="J291" s="71" t="str">
        <f>VLOOKUP(I291,'Dataset-1'!I292:U902,2,)</f>
        <v>Wednesday</v>
      </c>
      <c r="K291" s="41">
        <f>VLOOKUP(J291,'Dataset-1'!J292:V902,2,)</f>
        <v>1</v>
      </c>
      <c r="L291" s="41">
        <f>VLOOKUP(K291,'Dataset-1'!K292:W902,2,)</f>
        <v>0.2</v>
      </c>
      <c r="M291" s="71" t="str">
        <f>VLOOKUP(L291,'Dataset-1'!L292:X902,2,)</f>
        <v>Rainy</v>
      </c>
      <c r="N291" s="41">
        <f>VLOOKUP(A291,'Dataset-2'!B292:H902,2,)</f>
        <v>0.16669999999999999</v>
      </c>
      <c r="O291" s="41">
        <f>VLOOKUP(N291,'Dataset-2'!C292:I902,2,)</f>
        <v>0.44</v>
      </c>
      <c r="P291" s="41">
        <f>VLOOKUP(O291,'Dataset-2'!D292:J902,2,)</f>
        <v>0.41789999999999999</v>
      </c>
      <c r="Q291" s="41">
        <f>VLOOKUP(P291,'Dataset-2'!E292:K902,2,)</f>
        <v>3</v>
      </c>
      <c r="R291" s="41">
        <f>VLOOKUP(Q291,'Dataset-2'!F292:L902,2,)</f>
        <v>49</v>
      </c>
      <c r="S291" s="41">
        <f>VLOOKUP(R291,'Dataset-2'!G292:M902,2,)</f>
        <v>52</v>
      </c>
    </row>
    <row r="292" spans="1:19" x14ac:dyDescent="0.35">
      <c r="A292" s="40">
        <v>291</v>
      </c>
      <c r="B292" s="62">
        <f>VLOOKUP(A292,'Dataset-1'!A293:M903,2,)</f>
        <v>40556</v>
      </c>
      <c r="C292" s="41">
        <f>VLOOKUP(B292,'Dataset-1'!B293:N903,2,)</f>
        <v>1</v>
      </c>
      <c r="D292" s="41">
        <f>VLOOKUP(C292,'Dataset-1'!C293:O903,2,)</f>
        <v>0</v>
      </c>
      <c r="E292" s="41">
        <f>VLOOKUP(D292,'Dataset-1'!D293:P903,2,)</f>
        <v>1</v>
      </c>
      <c r="F292" s="41">
        <f>VLOOKUP(E292,'Dataset-1'!E293:Q903,2,)</f>
        <v>13</v>
      </c>
      <c r="G292" s="71" t="str">
        <f>VLOOKUP(F292,'Dataset-1'!F293:R903,2,)</f>
        <v>AfterNoon</v>
      </c>
      <c r="H292" s="41" t="b">
        <f>VLOOKUP(G292,'Dataset-1'!G293:S903,2,)</f>
        <v>0</v>
      </c>
      <c r="I292" s="41">
        <f>VLOOKUP(H292,'Dataset-1'!H293:T903,2,)</f>
        <v>4</v>
      </c>
      <c r="J292" s="71" t="str">
        <f>VLOOKUP(I292,'Dataset-1'!I293:U903,2,)</f>
        <v>Wednesday</v>
      </c>
      <c r="K292" s="41">
        <f>VLOOKUP(J292,'Dataset-1'!J293:V903,2,)</f>
        <v>1</v>
      </c>
      <c r="L292" s="41">
        <f>VLOOKUP(K292,'Dataset-1'!K293:W903,2,)</f>
        <v>0.22</v>
      </c>
      <c r="M292" s="71" t="str">
        <f>VLOOKUP(L292,'Dataset-1'!L293:X903,2,)</f>
        <v>Cloudy</v>
      </c>
      <c r="N292" s="41">
        <f>VLOOKUP(A292,'Dataset-2'!B293:H903,2,)</f>
        <v>0.19700000000000001</v>
      </c>
      <c r="O292" s="41">
        <f>VLOOKUP(N292,'Dataset-2'!C293:I903,2,)</f>
        <v>0.41</v>
      </c>
      <c r="P292" s="41">
        <f>VLOOKUP(O292,'Dataset-2'!D293:J903,2,)</f>
        <v>0.44779999999999998</v>
      </c>
      <c r="Q292" s="41">
        <f>VLOOKUP(P292,'Dataset-2'!E293:K903,2,)</f>
        <v>2</v>
      </c>
      <c r="R292" s="41">
        <f>VLOOKUP(Q292,'Dataset-2'!F293:L903,2,)</f>
        <v>81</v>
      </c>
      <c r="S292" s="41">
        <f>VLOOKUP(R292,'Dataset-2'!G293:M903,2,)</f>
        <v>83</v>
      </c>
    </row>
    <row r="293" spans="1:19" x14ac:dyDescent="0.35">
      <c r="A293" s="40">
        <v>292</v>
      </c>
      <c r="B293" s="62">
        <f>VLOOKUP(A293,'Dataset-1'!A294:M904,2,)</f>
        <v>40556</v>
      </c>
      <c r="C293" s="41">
        <f>VLOOKUP(B293,'Dataset-1'!B294:N904,2,)</f>
        <v>1</v>
      </c>
      <c r="D293" s="41">
        <f>VLOOKUP(C293,'Dataset-1'!C294:O904,2,)</f>
        <v>0</v>
      </c>
      <c r="E293" s="41">
        <f>VLOOKUP(D293,'Dataset-1'!D294:P904,2,)</f>
        <v>1</v>
      </c>
      <c r="F293" s="41">
        <f>VLOOKUP(E293,'Dataset-1'!E294:Q904,2,)</f>
        <v>14</v>
      </c>
      <c r="G293" s="71" t="str">
        <f>VLOOKUP(F293,'Dataset-1'!F294:R904,2,)</f>
        <v>AfterNoon</v>
      </c>
      <c r="H293" s="41" t="b">
        <f>VLOOKUP(G293,'Dataset-1'!G294:S904,2,)</f>
        <v>0</v>
      </c>
      <c r="I293" s="41">
        <f>VLOOKUP(H293,'Dataset-1'!H294:T904,2,)</f>
        <v>4</v>
      </c>
      <c r="J293" s="71" t="str">
        <f>VLOOKUP(I293,'Dataset-1'!I294:U904,2,)</f>
        <v>Wednesday</v>
      </c>
      <c r="K293" s="41">
        <f>VLOOKUP(J293,'Dataset-1'!J294:V904,2,)</f>
        <v>1</v>
      </c>
      <c r="L293" s="41">
        <f>VLOOKUP(K293,'Dataset-1'!K294:W904,2,)</f>
        <v>0.22</v>
      </c>
      <c r="M293" s="71" t="str">
        <f>VLOOKUP(L293,'Dataset-1'!L294:X904,2,)</f>
        <v>Cloudy</v>
      </c>
      <c r="N293" s="41">
        <f>VLOOKUP(A293,'Dataset-2'!B294:H904,2,)</f>
        <v>0.19700000000000001</v>
      </c>
      <c r="O293" s="41">
        <f>VLOOKUP(N293,'Dataset-2'!C294:I904,2,)</f>
        <v>0.41</v>
      </c>
      <c r="P293" s="41">
        <f>VLOOKUP(O293,'Dataset-2'!D294:J904,2,)</f>
        <v>0.3881</v>
      </c>
      <c r="Q293" s="41">
        <f>VLOOKUP(P293,'Dataset-2'!E294:K904,2,)</f>
        <v>3</v>
      </c>
      <c r="R293" s="41">
        <f>VLOOKUP(Q293,'Dataset-2'!F294:L904,2,)</f>
        <v>39</v>
      </c>
      <c r="S293" s="41">
        <f>VLOOKUP(R293,'Dataset-2'!G294:M904,2,)</f>
        <v>42</v>
      </c>
    </row>
    <row r="294" spans="1:19" x14ac:dyDescent="0.35">
      <c r="A294" s="40">
        <v>293</v>
      </c>
      <c r="B294" s="62">
        <f>VLOOKUP(A294,'Dataset-1'!A295:M905,2,)</f>
        <v>40556</v>
      </c>
      <c r="C294" s="41">
        <f>VLOOKUP(B294,'Dataset-1'!B295:N905,2,)</f>
        <v>1</v>
      </c>
      <c r="D294" s="41">
        <f>VLOOKUP(C294,'Dataset-1'!C295:O905,2,)</f>
        <v>0</v>
      </c>
      <c r="E294" s="41">
        <f>VLOOKUP(D294,'Dataset-1'!D295:P905,2,)</f>
        <v>1</v>
      </c>
      <c r="F294" s="41">
        <f>VLOOKUP(E294,'Dataset-1'!E295:Q905,2,)</f>
        <v>15</v>
      </c>
      <c r="G294" s="71" t="str">
        <f>VLOOKUP(F294,'Dataset-1'!F295:R905,2,)</f>
        <v>AfterNoon</v>
      </c>
      <c r="H294" s="41" t="b">
        <f>VLOOKUP(G294,'Dataset-1'!G295:S905,2,)</f>
        <v>0</v>
      </c>
      <c r="I294" s="41">
        <f>VLOOKUP(H294,'Dataset-1'!H295:T905,2,)</f>
        <v>4</v>
      </c>
      <c r="J294" s="71" t="str">
        <f>VLOOKUP(I294,'Dataset-1'!I295:U905,2,)</f>
        <v>Wednesday</v>
      </c>
      <c r="K294" s="41">
        <f>VLOOKUP(J294,'Dataset-1'!J295:V905,2,)</f>
        <v>1</v>
      </c>
      <c r="L294" s="41">
        <f>VLOOKUP(K294,'Dataset-1'!K295:W905,2,)</f>
        <v>0.24</v>
      </c>
      <c r="M294" s="71" t="str">
        <f>VLOOKUP(L294,'Dataset-1'!L295:X905,2,)</f>
        <v>Cloudy</v>
      </c>
      <c r="N294" s="41">
        <f>VLOOKUP(A294,'Dataset-2'!B295:H905,2,)</f>
        <v>0.21210000000000001</v>
      </c>
      <c r="O294" s="41">
        <f>VLOOKUP(N294,'Dataset-2'!C295:I905,2,)</f>
        <v>0.38</v>
      </c>
      <c r="P294" s="41">
        <f>VLOOKUP(O294,'Dataset-2'!D295:J905,2,)</f>
        <v>0.29849999999999999</v>
      </c>
      <c r="Q294" s="41">
        <f>VLOOKUP(P294,'Dataset-2'!E295:K905,2,)</f>
        <v>5</v>
      </c>
      <c r="R294" s="41">
        <f>VLOOKUP(Q294,'Dataset-2'!F295:L905,2,)</f>
        <v>55</v>
      </c>
      <c r="S294" s="41">
        <f>VLOOKUP(R294,'Dataset-2'!G295:M905,2,)</f>
        <v>60</v>
      </c>
    </row>
    <row r="295" spans="1:19" x14ac:dyDescent="0.35">
      <c r="A295" s="40">
        <v>294</v>
      </c>
      <c r="B295" s="62">
        <f>VLOOKUP(A295,'Dataset-1'!A296:M906,2,)</f>
        <v>40556</v>
      </c>
      <c r="C295" s="41">
        <f>VLOOKUP(B295,'Dataset-1'!B296:N906,2,)</f>
        <v>1</v>
      </c>
      <c r="D295" s="41">
        <f>VLOOKUP(C295,'Dataset-1'!C296:O906,2,)</f>
        <v>0</v>
      </c>
      <c r="E295" s="41">
        <f>VLOOKUP(D295,'Dataset-1'!D296:P906,2,)</f>
        <v>1</v>
      </c>
      <c r="F295" s="41">
        <f>VLOOKUP(E295,'Dataset-1'!E296:Q906,2,)</f>
        <v>16</v>
      </c>
      <c r="G295" s="71" t="str">
        <f>VLOOKUP(F295,'Dataset-1'!F296:R906,2,)</f>
        <v>AfterNoon</v>
      </c>
      <c r="H295" s="41" t="b">
        <f>VLOOKUP(G295,'Dataset-1'!G296:S906,2,)</f>
        <v>0</v>
      </c>
      <c r="I295" s="41">
        <f>VLOOKUP(H295,'Dataset-1'!H296:T906,2,)</f>
        <v>4</v>
      </c>
      <c r="J295" s="71" t="str">
        <f>VLOOKUP(I295,'Dataset-1'!I296:U906,2,)</f>
        <v>Wednesday</v>
      </c>
      <c r="K295" s="41">
        <f>VLOOKUP(J295,'Dataset-1'!J296:V906,2,)</f>
        <v>1</v>
      </c>
      <c r="L295" s="41">
        <f>VLOOKUP(K295,'Dataset-1'!K296:W906,2,)</f>
        <v>0.24</v>
      </c>
      <c r="M295" s="71" t="str">
        <f>VLOOKUP(L295,'Dataset-1'!L296:X906,2,)</f>
        <v>Cloudy</v>
      </c>
      <c r="N295" s="41">
        <f>VLOOKUP(A295,'Dataset-2'!B296:H906,2,)</f>
        <v>0.21210000000000001</v>
      </c>
      <c r="O295" s="41">
        <f>VLOOKUP(N295,'Dataset-2'!C296:I906,2,)</f>
        <v>0.38</v>
      </c>
      <c r="P295" s="41">
        <f>VLOOKUP(O295,'Dataset-2'!D296:J906,2,)</f>
        <v>0.35820000000000002</v>
      </c>
      <c r="Q295" s="41">
        <f>VLOOKUP(P295,'Dataset-2'!E296:K906,2,)</f>
        <v>2</v>
      </c>
      <c r="R295" s="41">
        <f>VLOOKUP(Q295,'Dataset-2'!F296:L906,2,)</f>
        <v>76</v>
      </c>
      <c r="S295" s="41">
        <f>VLOOKUP(R295,'Dataset-2'!G296:M906,2,)</f>
        <v>78</v>
      </c>
    </row>
    <row r="296" spans="1:19" x14ac:dyDescent="0.35">
      <c r="A296" s="40">
        <v>295</v>
      </c>
      <c r="B296" s="62">
        <f>VLOOKUP(A296,'Dataset-1'!A297:M907,2,)</f>
        <v>40556</v>
      </c>
      <c r="C296" s="41">
        <f>VLOOKUP(B296,'Dataset-1'!B297:N907,2,)</f>
        <v>1</v>
      </c>
      <c r="D296" s="41">
        <f>VLOOKUP(C296,'Dataset-1'!C297:O907,2,)</f>
        <v>0</v>
      </c>
      <c r="E296" s="41">
        <f>VLOOKUP(D296,'Dataset-1'!D297:P907,2,)</f>
        <v>1</v>
      </c>
      <c r="F296" s="41">
        <f>VLOOKUP(E296,'Dataset-1'!E297:Q907,2,)</f>
        <v>17</v>
      </c>
      <c r="G296" s="71" t="str">
        <f>VLOOKUP(F296,'Dataset-1'!F297:R907,2,)</f>
        <v>Evening</v>
      </c>
      <c r="H296" s="41" t="b">
        <f>VLOOKUP(G296,'Dataset-1'!G297:S907,2,)</f>
        <v>0</v>
      </c>
      <c r="I296" s="41">
        <f>VLOOKUP(H296,'Dataset-1'!H297:T907,2,)</f>
        <v>4</v>
      </c>
      <c r="J296" s="71" t="str">
        <f>VLOOKUP(I296,'Dataset-1'!I297:U907,2,)</f>
        <v>Wednesday</v>
      </c>
      <c r="K296" s="41">
        <f>VLOOKUP(J296,'Dataset-1'!J297:V907,2,)</f>
        <v>1</v>
      </c>
      <c r="L296" s="41">
        <f>VLOOKUP(K296,'Dataset-1'!K297:W907,2,)</f>
        <v>0.2</v>
      </c>
      <c r="M296" s="71" t="str">
        <f>VLOOKUP(L296,'Dataset-1'!L297:X907,2,)</f>
        <v>Rainy</v>
      </c>
      <c r="N296" s="41">
        <f>VLOOKUP(A296,'Dataset-2'!B297:H907,2,)</f>
        <v>0.18179999999999999</v>
      </c>
      <c r="O296" s="41">
        <f>VLOOKUP(N296,'Dataset-2'!C297:I907,2,)</f>
        <v>0.4</v>
      </c>
      <c r="P296" s="41">
        <f>VLOOKUP(O296,'Dataset-2'!D297:J907,2,)</f>
        <v>0.28360000000000002</v>
      </c>
      <c r="Q296" s="41">
        <f>VLOOKUP(P296,'Dataset-2'!E297:K907,2,)</f>
        <v>4</v>
      </c>
      <c r="R296" s="41">
        <f>VLOOKUP(Q296,'Dataset-2'!F297:L907,2,)</f>
        <v>158</v>
      </c>
      <c r="S296" s="41">
        <f>VLOOKUP(R296,'Dataset-2'!G297:M907,2,)</f>
        <v>162</v>
      </c>
    </row>
    <row r="297" spans="1:19" x14ac:dyDescent="0.35">
      <c r="A297" s="40">
        <v>296</v>
      </c>
      <c r="B297" s="62">
        <f>VLOOKUP(A297,'Dataset-1'!A298:M908,2,)</f>
        <v>40556</v>
      </c>
      <c r="C297" s="41">
        <f>VLOOKUP(B297,'Dataset-1'!B298:N908,2,)</f>
        <v>1</v>
      </c>
      <c r="D297" s="41">
        <f>VLOOKUP(C297,'Dataset-1'!C298:O908,2,)</f>
        <v>0</v>
      </c>
      <c r="E297" s="41">
        <f>VLOOKUP(D297,'Dataset-1'!D298:P908,2,)</f>
        <v>1</v>
      </c>
      <c r="F297" s="41">
        <f>VLOOKUP(E297,'Dataset-1'!E298:Q908,2,)</f>
        <v>18</v>
      </c>
      <c r="G297" s="71" t="str">
        <f>VLOOKUP(F297,'Dataset-1'!F298:R908,2,)</f>
        <v>Evening</v>
      </c>
      <c r="H297" s="41" t="b">
        <f>VLOOKUP(G297,'Dataset-1'!G298:S908,2,)</f>
        <v>0</v>
      </c>
      <c r="I297" s="41">
        <f>VLOOKUP(H297,'Dataset-1'!H298:T908,2,)</f>
        <v>4</v>
      </c>
      <c r="J297" s="71" t="str">
        <f>VLOOKUP(I297,'Dataset-1'!I298:U908,2,)</f>
        <v>Wednesday</v>
      </c>
      <c r="K297" s="41">
        <f>VLOOKUP(J297,'Dataset-1'!J298:V908,2,)</f>
        <v>1</v>
      </c>
      <c r="L297" s="41">
        <f>VLOOKUP(K297,'Dataset-1'!K298:W908,2,)</f>
        <v>0.2</v>
      </c>
      <c r="M297" s="71" t="str">
        <f>VLOOKUP(L297,'Dataset-1'!L298:X908,2,)</f>
        <v>Rainy</v>
      </c>
      <c r="N297" s="41">
        <f>VLOOKUP(A297,'Dataset-2'!B298:H908,2,)</f>
        <v>0.18179999999999999</v>
      </c>
      <c r="O297" s="41">
        <f>VLOOKUP(N297,'Dataset-2'!C298:I908,2,)</f>
        <v>0.4</v>
      </c>
      <c r="P297" s="41">
        <f>VLOOKUP(O297,'Dataset-2'!D298:J908,2,)</f>
        <v>0.32840000000000003</v>
      </c>
      <c r="Q297" s="41">
        <f>VLOOKUP(P297,'Dataset-2'!E298:K908,2,)</f>
        <v>3</v>
      </c>
      <c r="R297" s="41">
        <f>VLOOKUP(Q297,'Dataset-2'!F298:L908,2,)</f>
        <v>141</v>
      </c>
      <c r="S297" s="41">
        <f>VLOOKUP(R297,'Dataset-2'!G298:M908,2,)</f>
        <v>144</v>
      </c>
    </row>
    <row r="298" spans="1:19" x14ac:dyDescent="0.35">
      <c r="A298" s="40">
        <v>297</v>
      </c>
      <c r="B298" s="62">
        <f>VLOOKUP(A298,'Dataset-1'!A299:M909,2,)</f>
        <v>40556</v>
      </c>
      <c r="C298" s="41">
        <f>VLOOKUP(B298,'Dataset-1'!B299:N909,2,)</f>
        <v>1</v>
      </c>
      <c r="D298" s="41">
        <f>VLOOKUP(C298,'Dataset-1'!C299:O909,2,)</f>
        <v>0</v>
      </c>
      <c r="E298" s="41">
        <f>VLOOKUP(D298,'Dataset-1'!D299:P909,2,)</f>
        <v>1</v>
      </c>
      <c r="F298" s="41">
        <f>VLOOKUP(E298,'Dataset-1'!E299:Q909,2,)</f>
        <v>19</v>
      </c>
      <c r="G298" s="71" t="str">
        <f>VLOOKUP(F298,'Dataset-1'!F299:R909,2,)</f>
        <v>Evening</v>
      </c>
      <c r="H298" s="41" t="b">
        <f>VLOOKUP(G298,'Dataset-1'!G299:S909,2,)</f>
        <v>0</v>
      </c>
      <c r="I298" s="41">
        <f>VLOOKUP(H298,'Dataset-1'!H299:T909,2,)</f>
        <v>4</v>
      </c>
      <c r="J298" s="71" t="str">
        <f>VLOOKUP(I298,'Dataset-1'!I299:U909,2,)</f>
        <v>Wednesday</v>
      </c>
      <c r="K298" s="41">
        <f>VLOOKUP(J298,'Dataset-1'!J299:V909,2,)</f>
        <v>1</v>
      </c>
      <c r="L298" s="41">
        <f>VLOOKUP(K298,'Dataset-1'!K299:W909,2,)</f>
        <v>0.16</v>
      </c>
      <c r="M298" s="71" t="str">
        <f>VLOOKUP(L298,'Dataset-1'!L299:X909,2,)</f>
        <v>Rainy</v>
      </c>
      <c r="N298" s="41">
        <f>VLOOKUP(A298,'Dataset-2'!B299:H909,2,)</f>
        <v>0.1515</v>
      </c>
      <c r="O298" s="41">
        <f>VLOOKUP(N298,'Dataset-2'!C299:I909,2,)</f>
        <v>0.47</v>
      </c>
      <c r="P298" s="41">
        <f>VLOOKUP(O298,'Dataset-2'!D299:J909,2,)</f>
        <v>0.25369999999999998</v>
      </c>
      <c r="Q298" s="41">
        <f>VLOOKUP(P298,'Dataset-2'!E299:K909,2,)</f>
        <v>1</v>
      </c>
      <c r="R298" s="41">
        <f>VLOOKUP(Q298,'Dataset-2'!F299:L909,2,)</f>
        <v>98</v>
      </c>
      <c r="S298" s="41">
        <f>VLOOKUP(R298,'Dataset-2'!G299:M909,2,)</f>
        <v>99</v>
      </c>
    </row>
    <row r="299" spans="1:19" x14ac:dyDescent="0.35">
      <c r="A299" s="40">
        <v>298</v>
      </c>
      <c r="B299" s="62">
        <f>VLOOKUP(A299,'Dataset-1'!A300:M910,2,)</f>
        <v>40556</v>
      </c>
      <c r="C299" s="41">
        <f>VLOOKUP(B299,'Dataset-1'!B300:N910,2,)</f>
        <v>1</v>
      </c>
      <c r="D299" s="41">
        <f>VLOOKUP(C299,'Dataset-1'!C300:O910,2,)</f>
        <v>0</v>
      </c>
      <c r="E299" s="41">
        <f>VLOOKUP(D299,'Dataset-1'!D300:P910,2,)</f>
        <v>1</v>
      </c>
      <c r="F299" s="41">
        <f>VLOOKUP(E299,'Dataset-1'!E300:Q910,2,)</f>
        <v>20</v>
      </c>
      <c r="G299" s="71" t="str">
        <f>VLOOKUP(F299,'Dataset-1'!F300:R910,2,)</f>
        <v>Night</v>
      </c>
      <c r="H299" s="41" t="b">
        <f>VLOOKUP(G299,'Dataset-1'!G300:S910,2,)</f>
        <v>0</v>
      </c>
      <c r="I299" s="41">
        <f>VLOOKUP(H299,'Dataset-1'!H300:T910,2,)</f>
        <v>4</v>
      </c>
      <c r="J299" s="71" t="str">
        <f>VLOOKUP(I299,'Dataset-1'!I300:U910,2,)</f>
        <v>Wednesday</v>
      </c>
      <c r="K299" s="41">
        <f>VLOOKUP(J299,'Dataset-1'!J300:V910,2,)</f>
        <v>1</v>
      </c>
      <c r="L299" s="41">
        <f>VLOOKUP(K299,'Dataset-1'!K300:W910,2,)</f>
        <v>0.16</v>
      </c>
      <c r="M299" s="71" t="str">
        <f>VLOOKUP(L299,'Dataset-1'!L300:X910,2,)</f>
        <v>Rainy</v>
      </c>
      <c r="N299" s="41">
        <f>VLOOKUP(A299,'Dataset-2'!B300:H910,2,)</f>
        <v>0.1515</v>
      </c>
      <c r="O299" s="41">
        <f>VLOOKUP(N299,'Dataset-2'!C300:I910,2,)</f>
        <v>0.47</v>
      </c>
      <c r="P299" s="41">
        <f>VLOOKUP(O299,'Dataset-2'!D300:J910,2,)</f>
        <v>0.22389999999999999</v>
      </c>
      <c r="Q299" s="41">
        <f>VLOOKUP(P299,'Dataset-2'!E300:K910,2,)</f>
        <v>0</v>
      </c>
      <c r="R299" s="41">
        <f>VLOOKUP(Q299,'Dataset-2'!F300:L910,2,)</f>
        <v>64</v>
      </c>
      <c r="S299" s="41">
        <f>VLOOKUP(R299,'Dataset-2'!G300:M910,2,)</f>
        <v>64</v>
      </c>
    </row>
    <row r="300" spans="1:19" x14ac:dyDescent="0.35">
      <c r="A300" s="40">
        <v>299</v>
      </c>
      <c r="B300" s="62">
        <f>VLOOKUP(A300,'Dataset-1'!A301:M911,2,)</f>
        <v>40556</v>
      </c>
      <c r="C300" s="41">
        <f>VLOOKUP(B300,'Dataset-1'!B301:N911,2,)</f>
        <v>1</v>
      </c>
      <c r="D300" s="41">
        <f>VLOOKUP(C300,'Dataset-1'!C301:O911,2,)</f>
        <v>0</v>
      </c>
      <c r="E300" s="41">
        <f>VLOOKUP(D300,'Dataset-1'!D301:P911,2,)</f>
        <v>1</v>
      </c>
      <c r="F300" s="41">
        <f>VLOOKUP(E300,'Dataset-1'!E301:Q911,2,)</f>
        <v>21</v>
      </c>
      <c r="G300" s="71" t="str">
        <f>VLOOKUP(F300,'Dataset-1'!F301:R911,2,)</f>
        <v>Night</v>
      </c>
      <c r="H300" s="41" t="b">
        <f>VLOOKUP(G300,'Dataset-1'!G301:S911,2,)</f>
        <v>0</v>
      </c>
      <c r="I300" s="41">
        <f>VLOOKUP(H300,'Dataset-1'!H301:T911,2,)</f>
        <v>4</v>
      </c>
      <c r="J300" s="71" t="str">
        <f>VLOOKUP(I300,'Dataset-1'!I301:U911,2,)</f>
        <v>Wednesday</v>
      </c>
      <c r="K300" s="41">
        <f>VLOOKUP(J300,'Dataset-1'!J301:V911,2,)</f>
        <v>1</v>
      </c>
      <c r="L300" s="41">
        <f>VLOOKUP(K300,'Dataset-1'!K301:W911,2,)</f>
        <v>0.14000000000000001</v>
      </c>
      <c r="M300" s="71" t="str">
        <f>VLOOKUP(L300,'Dataset-1'!L301:X911,2,)</f>
        <v>Rainy</v>
      </c>
      <c r="N300" s="41">
        <f>VLOOKUP(A300,'Dataset-2'!B301:H911,2,)</f>
        <v>0.1212</v>
      </c>
      <c r="O300" s="41">
        <f>VLOOKUP(N300,'Dataset-2'!C301:I911,2,)</f>
        <v>0.46</v>
      </c>
      <c r="P300" s="41">
        <f>VLOOKUP(O300,'Dataset-2'!D301:J911,2,)</f>
        <v>0.29849999999999999</v>
      </c>
      <c r="Q300" s="41">
        <f>VLOOKUP(P300,'Dataset-2'!E301:K911,2,)</f>
        <v>0</v>
      </c>
      <c r="R300" s="41">
        <f>VLOOKUP(Q300,'Dataset-2'!F301:L911,2,)</f>
        <v>40</v>
      </c>
      <c r="S300" s="41">
        <f>VLOOKUP(R300,'Dataset-2'!G301:M911,2,)</f>
        <v>40</v>
      </c>
    </row>
    <row r="301" spans="1:19" x14ac:dyDescent="0.35">
      <c r="A301" s="40">
        <v>300</v>
      </c>
      <c r="B301" s="62">
        <f>VLOOKUP(A301,'Dataset-1'!A302:M912,2,)</f>
        <v>40556</v>
      </c>
      <c r="C301" s="41">
        <f>VLOOKUP(B301,'Dataset-1'!B302:N912,2,)</f>
        <v>1</v>
      </c>
      <c r="D301" s="41">
        <f>VLOOKUP(C301,'Dataset-1'!C302:O912,2,)</f>
        <v>0</v>
      </c>
      <c r="E301" s="41">
        <f>VLOOKUP(D301,'Dataset-1'!D302:P912,2,)</f>
        <v>1</v>
      </c>
      <c r="F301" s="41">
        <f>VLOOKUP(E301,'Dataset-1'!E302:Q912,2,)</f>
        <v>22</v>
      </c>
      <c r="G301" s="71" t="str">
        <f>VLOOKUP(F301,'Dataset-1'!F302:R912,2,)</f>
        <v>Night</v>
      </c>
      <c r="H301" s="41" t="b">
        <f>VLOOKUP(G301,'Dataset-1'!G302:S912,2,)</f>
        <v>0</v>
      </c>
      <c r="I301" s="41">
        <f>VLOOKUP(H301,'Dataset-1'!H302:T912,2,)</f>
        <v>4</v>
      </c>
      <c r="J301" s="71" t="str">
        <f>VLOOKUP(I301,'Dataset-1'!I302:U912,2,)</f>
        <v>Wednesday</v>
      </c>
      <c r="K301" s="41">
        <f>VLOOKUP(J301,'Dataset-1'!J302:V912,2,)</f>
        <v>1</v>
      </c>
      <c r="L301" s="41">
        <f>VLOOKUP(K301,'Dataset-1'!K302:W912,2,)</f>
        <v>0.14000000000000001</v>
      </c>
      <c r="M301" s="71" t="str">
        <f>VLOOKUP(L301,'Dataset-1'!L302:X912,2,)</f>
        <v>Rainy</v>
      </c>
      <c r="N301" s="41">
        <f>VLOOKUP(A301,'Dataset-2'!B302:H912,2,)</f>
        <v>0.1212</v>
      </c>
      <c r="O301" s="41">
        <f>VLOOKUP(N301,'Dataset-2'!C302:I912,2,)</f>
        <v>0.46</v>
      </c>
      <c r="P301" s="41">
        <f>VLOOKUP(O301,'Dataset-2'!D302:J912,2,)</f>
        <v>0.32840000000000003</v>
      </c>
      <c r="Q301" s="41">
        <f>VLOOKUP(P301,'Dataset-2'!E302:K912,2,)</f>
        <v>0</v>
      </c>
      <c r="R301" s="41">
        <f>VLOOKUP(Q301,'Dataset-2'!F302:L912,2,)</f>
        <v>30</v>
      </c>
      <c r="S301" s="41">
        <f>VLOOKUP(R301,'Dataset-2'!G302:M912,2,)</f>
        <v>30</v>
      </c>
    </row>
    <row r="302" spans="1:19" x14ac:dyDescent="0.35">
      <c r="A302" s="40">
        <v>301</v>
      </c>
      <c r="B302" s="62">
        <f>VLOOKUP(A302,'Dataset-1'!A303:M913,2,)</f>
        <v>40556</v>
      </c>
      <c r="C302" s="41">
        <f>VLOOKUP(B302,'Dataset-1'!B303:N913,2,)</f>
        <v>1</v>
      </c>
      <c r="D302" s="41">
        <f>VLOOKUP(C302,'Dataset-1'!C303:O913,2,)</f>
        <v>0</v>
      </c>
      <c r="E302" s="41">
        <f>VLOOKUP(D302,'Dataset-1'!D303:P913,2,)</f>
        <v>1</v>
      </c>
      <c r="F302" s="41">
        <f>VLOOKUP(E302,'Dataset-1'!E303:Q913,2,)</f>
        <v>23</v>
      </c>
      <c r="G302" s="71" t="str">
        <f>VLOOKUP(F302,'Dataset-1'!F303:R913,2,)</f>
        <v>Night</v>
      </c>
      <c r="H302" s="41" t="b">
        <f>VLOOKUP(G302,'Dataset-1'!G303:S913,2,)</f>
        <v>0</v>
      </c>
      <c r="I302" s="41">
        <f>VLOOKUP(H302,'Dataset-1'!H303:T913,2,)</f>
        <v>4</v>
      </c>
      <c r="J302" s="71" t="str">
        <f>VLOOKUP(I302,'Dataset-1'!I303:U913,2,)</f>
        <v>Wednesday</v>
      </c>
      <c r="K302" s="41">
        <f>VLOOKUP(J302,'Dataset-1'!J303:V913,2,)</f>
        <v>1</v>
      </c>
      <c r="L302" s="41">
        <f>VLOOKUP(K302,'Dataset-1'!K303:W913,2,)</f>
        <v>0.12</v>
      </c>
      <c r="M302" s="71" t="str">
        <f>VLOOKUP(L302,'Dataset-1'!L303:X913,2,)</f>
        <v>Rainy</v>
      </c>
      <c r="N302" s="41">
        <f>VLOOKUP(A302,'Dataset-2'!B303:H913,2,)</f>
        <v>0.13639999999999999</v>
      </c>
      <c r="O302" s="41">
        <f>VLOOKUP(N302,'Dataset-2'!C303:I913,2,)</f>
        <v>0.5</v>
      </c>
      <c r="P302" s="41">
        <f>VLOOKUP(O302,'Dataset-2'!D303:J913,2,)</f>
        <v>0.19400000000000001</v>
      </c>
      <c r="Q302" s="41">
        <f>VLOOKUP(P302,'Dataset-2'!E303:K913,2,)</f>
        <v>1</v>
      </c>
      <c r="R302" s="41">
        <f>VLOOKUP(Q302,'Dataset-2'!F303:L913,2,)</f>
        <v>14</v>
      </c>
      <c r="S302" s="41">
        <f>VLOOKUP(R302,'Dataset-2'!G303:M913,2,)</f>
        <v>15</v>
      </c>
    </row>
    <row r="303" spans="1:19" x14ac:dyDescent="0.35">
      <c r="A303" s="40">
        <v>302</v>
      </c>
      <c r="B303" s="62">
        <f>VLOOKUP(A303,'Dataset-1'!A304:M914,2,)</f>
        <v>40557</v>
      </c>
      <c r="C303" s="41">
        <f>VLOOKUP(B303,'Dataset-1'!B304:N914,2,)</f>
        <v>1</v>
      </c>
      <c r="D303" s="41">
        <f>VLOOKUP(C303,'Dataset-1'!C304:O914,2,)</f>
        <v>0</v>
      </c>
      <c r="E303" s="41">
        <f>VLOOKUP(D303,'Dataset-1'!D304:P914,2,)</f>
        <v>1</v>
      </c>
      <c r="F303" s="41">
        <f>VLOOKUP(E303,'Dataset-1'!E304:Q914,2,)</f>
        <v>0</v>
      </c>
      <c r="G303" s="71" t="str">
        <f>VLOOKUP(F303,'Dataset-1'!F304:R914,2,)</f>
        <v>Night</v>
      </c>
      <c r="H303" s="41" t="b">
        <f>VLOOKUP(G303,'Dataset-1'!G304:S914,2,)</f>
        <v>0</v>
      </c>
      <c r="I303" s="41">
        <f>VLOOKUP(H303,'Dataset-1'!H304:T914,2,)</f>
        <v>5</v>
      </c>
      <c r="J303" s="71" t="str">
        <f>VLOOKUP(I303,'Dataset-1'!I304:U914,2,)</f>
        <v>Thusday</v>
      </c>
      <c r="K303" s="41">
        <f>VLOOKUP(J303,'Dataset-1'!J304:V914,2,)</f>
        <v>1</v>
      </c>
      <c r="L303" s="41">
        <f>VLOOKUP(K303,'Dataset-1'!K304:W914,2,)</f>
        <v>0.12</v>
      </c>
      <c r="M303" s="71" t="str">
        <f>VLOOKUP(L303,'Dataset-1'!L304:X914,2,)</f>
        <v>Rainy</v>
      </c>
      <c r="N303" s="41">
        <f>VLOOKUP(A303,'Dataset-2'!B304:H914,2,)</f>
        <v>0.13639999999999999</v>
      </c>
      <c r="O303" s="41">
        <f>VLOOKUP(N303,'Dataset-2'!C304:I914,2,)</f>
        <v>0.5</v>
      </c>
      <c r="P303" s="41">
        <f>VLOOKUP(O303,'Dataset-2'!D304:J914,2,)</f>
        <v>0.19400000000000001</v>
      </c>
      <c r="Q303" s="41">
        <f>VLOOKUP(P303,'Dataset-2'!E304:K914,2,)</f>
        <v>0</v>
      </c>
      <c r="R303" s="41">
        <f>VLOOKUP(Q303,'Dataset-2'!F304:L914,2,)</f>
        <v>14</v>
      </c>
      <c r="S303" s="41">
        <f>VLOOKUP(R303,'Dataset-2'!G304:M914,2,)</f>
        <v>14</v>
      </c>
    </row>
    <row r="304" spans="1:19" x14ac:dyDescent="0.35">
      <c r="A304" s="40">
        <v>303</v>
      </c>
      <c r="B304" s="62">
        <f>VLOOKUP(A304,'Dataset-1'!A305:M915,2,)</f>
        <v>40557</v>
      </c>
      <c r="C304" s="41">
        <f>VLOOKUP(B304,'Dataset-1'!B305:N915,2,)</f>
        <v>1</v>
      </c>
      <c r="D304" s="41">
        <f>VLOOKUP(C304,'Dataset-1'!C305:O915,2,)</f>
        <v>0</v>
      </c>
      <c r="E304" s="41">
        <f>VLOOKUP(D304,'Dataset-1'!D305:P915,2,)</f>
        <v>1</v>
      </c>
      <c r="F304" s="41">
        <f>VLOOKUP(E304,'Dataset-1'!E305:Q915,2,)</f>
        <v>1</v>
      </c>
      <c r="G304" s="71" t="str">
        <f>VLOOKUP(F304,'Dataset-1'!F305:R915,2,)</f>
        <v>Night</v>
      </c>
      <c r="H304" s="41" t="b">
        <f>VLOOKUP(G304,'Dataset-1'!G305:S915,2,)</f>
        <v>0</v>
      </c>
      <c r="I304" s="41">
        <f>VLOOKUP(H304,'Dataset-1'!H305:T915,2,)</f>
        <v>5</v>
      </c>
      <c r="J304" s="71" t="str">
        <f>VLOOKUP(I304,'Dataset-1'!I305:U915,2,)</f>
        <v>Thusday</v>
      </c>
      <c r="K304" s="41">
        <f>VLOOKUP(J304,'Dataset-1'!J305:V915,2,)</f>
        <v>1</v>
      </c>
      <c r="L304" s="41">
        <f>VLOOKUP(K304,'Dataset-1'!K305:W915,2,)</f>
        <v>0.1</v>
      </c>
      <c r="M304" s="71" t="str">
        <f>VLOOKUP(L304,'Dataset-1'!L305:X915,2,)</f>
        <v>Stromy</v>
      </c>
      <c r="N304" s="41">
        <f>VLOOKUP(A304,'Dataset-2'!B305:H915,2,)</f>
        <v>0.1212</v>
      </c>
      <c r="O304" s="41">
        <f>VLOOKUP(N304,'Dataset-2'!C305:I915,2,)</f>
        <v>0.54</v>
      </c>
      <c r="P304" s="41">
        <f>VLOOKUP(O304,'Dataset-2'!D305:J915,2,)</f>
        <v>0.16420000000000001</v>
      </c>
      <c r="Q304" s="41">
        <f>VLOOKUP(P304,'Dataset-2'!E305:K915,2,)</f>
        <v>0</v>
      </c>
      <c r="R304" s="41">
        <f>VLOOKUP(Q304,'Dataset-2'!F305:L915,2,)</f>
        <v>5</v>
      </c>
      <c r="S304" s="41">
        <f>VLOOKUP(R304,'Dataset-2'!G305:M915,2,)</f>
        <v>5</v>
      </c>
    </row>
    <row r="305" spans="1:19" x14ac:dyDescent="0.35">
      <c r="A305" s="40">
        <v>304</v>
      </c>
      <c r="B305" s="62">
        <f>VLOOKUP(A305,'Dataset-1'!A306:M916,2,)</f>
        <v>40557</v>
      </c>
      <c r="C305" s="41">
        <f>VLOOKUP(B305,'Dataset-1'!B306:N916,2,)</f>
        <v>1</v>
      </c>
      <c r="D305" s="41">
        <f>VLOOKUP(C305,'Dataset-1'!C306:O916,2,)</f>
        <v>0</v>
      </c>
      <c r="E305" s="41">
        <f>VLOOKUP(D305,'Dataset-1'!D306:P916,2,)</f>
        <v>1</v>
      </c>
      <c r="F305" s="41">
        <f>VLOOKUP(E305,'Dataset-1'!E306:Q916,2,)</f>
        <v>2</v>
      </c>
      <c r="G305" s="71" t="str">
        <f>VLOOKUP(F305,'Dataset-1'!F306:R916,2,)</f>
        <v>Night</v>
      </c>
      <c r="H305" s="41" t="b">
        <f>VLOOKUP(G305,'Dataset-1'!G306:S916,2,)</f>
        <v>0</v>
      </c>
      <c r="I305" s="41">
        <f>VLOOKUP(H305,'Dataset-1'!H306:T916,2,)</f>
        <v>5</v>
      </c>
      <c r="J305" s="71" t="str">
        <f>VLOOKUP(I305,'Dataset-1'!I306:U916,2,)</f>
        <v>Thusday</v>
      </c>
      <c r="K305" s="41">
        <f>VLOOKUP(J305,'Dataset-1'!J306:V916,2,)</f>
        <v>1</v>
      </c>
      <c r="L305" s="41">
        <f>VLOOKUP(K305,'Dataset-1'!K306:W916,2,)</f>
        <v>0.1</v>
      </c>
      <c r="M305" s="71" t="str">
        <f>VLOOKUP(L305,'Dataset-1'!L306:X916,2,)</f>
        <v>Stromy</v>
      </c>
      <c r="N305" s="41">
        <f>VLOOKUP(A305,'Dataset-2'!B306:H916,2,)</f>
        <v>0.1212</v>
      </c>
      <c r="O305" s="41">
        <f>VLOOKUP(N305,'Dataset-2'!C306:I916,2,)</f>
        <v>0.54</v>
      </c>
      <c r="P305" s="41">
        <f>VLOOKUP(O305,'Dataset-2'!D306:J916,2,)</f>
        <v>0.1343</v>
      </c>
      <c r="Q305" s="41">
        <f>VLOOKUP(P305,'Dataset-2'!E306:K916,2,)</f>
        <v>0</v>
      </c>
      <c r="R305" s="41">
        <f>VLOOKUP(Q305,'Dataset-2'!F306:L916,2,)</f>
        <v>1</v>
      </c>
      <c r="S305" s="41">
        <f>VLOOKUP(R305,'Dataset-2'!G306:M916,2,)</f>
        <v>1</v>
      </c>
    </row>
    <row r="306" spans="1:19" x14ac:dyDescent="0.35">
      <c r="A306" s="40">
        <v>305</v>
      </c>
      <c r="B306" s="62">
        <f>VLOOKUP(A306,'Dataset-1'!A307:M917,2,)</f>
        <v>40557</v>
      </c>
      <c r="C306" s="41">
        <f>VLOOKUP(B306,'Dataset-1'!B307:N917,2,)</f>
        <v>1</v>
      </c>
      <c r="D306" s="41">
        <f>VLOOKUP(C306,'Dataset-1'!C307:O917,2,)</f>
        <v>0</v>
      </c>
      <c r="E306" s="41">
        <f>VLOOKUP(D306,'Dataset-1'!D307:P917,2,)</f>
        <v>1</v>
      </c>
      <c r="F306" s="41">
        <f>VLOOKUP(E306,'Dataset-1'!E307:Q917,2,)</f>
        <v>3</v>
      </c>
      <c r="G306" s="71" t="str">
        <f>VLOOKUP(F306,'Dataset-1'!F307:R917,2,)</f>
        <v>Night</v>
      </c>
      <c r="H306" s="41" t="b">
        <f>VLOOKUP(G306,'Dataset-1'!G307:S917,2,)</f>
        <v>0</v>
      </c>
      <c r="I306" s="41">
        <f>VLOOKUP(H306,'Dataset-1'!H307:T917,2,)</f>
        <v>5</v>
      </c>
      <c r="J306" s="71" t="str">
        <f>VLOOKUP(I306,'Dataset-1'!I307:U917,2,)</f>
        <v>Thusday</v>
      </c>
      <c r="K306" s="41">
        <f>VLOOKUP(J306,'Dataset-1'!J307:V917,2,)</f>
        <v>1</v>
      </c>
      <c r="L306" s="41">
        <f>VLOOKUP(K306,'Dataset-1'!K307:W917,2,)</f>
        <v>0.1</v>
      </c>
      <c r="M306" s="71" t="str">
        <f>VLOOKUP(L306,'Dataset-1'!L307:X917,2,)</f>
        <v>Stromy</v>
      </c>
      <c r="N306" s="41">
        <f>VLOOKUP(A306,'Dataset-2'!B307:H917,2,)</f>
        <v>0.13639999999999999</v>
      </c>
      <c r="O306" s="41">
        <f>VLOOKUP(N306,'Dataset-2'!C307:I917,2,)</f>
        <v>0.54</v>
      </c>
      <c r="P306" s="41">
        <f>VLOOKUP(O306,'Dataset-2'!D307:J917,2,)</f>
        <v>0.1045</v>
      </c>
      <c r="Q306" s="41">
        <f>VLOOKUP(P306,'Dataset-2'!E307:K917,2,)</f>
        <v>0</v>
      </c>
      <c r="R306" s="41">
        <f>VLOOKUP(Q306,'Dataset-2'!F307:L917,2,)</f>
        <v>1</v>
      </c>
      <c r="S306" s="41">
        <f>VLOOKUP(R306,'Dataset-2'!G307:M917,2,)</f>
        <v>1</v>
      </c>
    </row>
    <row r="307" spans="1:19" x14ac:dyDescent="0.35">
      <c r="A307" s="40">
        <v>306</v>
      </c>
      <c r="B307" s="62">
        <f>VLOOKUP(A307,'Dataset-1'!A308:M918,2,)</f>
        <v>40557</v>
      </c>
      <c r="C307" s="41">
        <f>VLOOKUP(B307,'Dataset-1'!B308:N918,2,)</f>
        <v>1</v>
      </c>
      <c r="D307" s="41">
        <f>VLOOKUP(C307,'Dataset-1'!C308:O918,2,)</f>
        <v>0</v>
      </c>
      <c r="E307" s="41">
        <f>VLOOKUP(D307,'Dataset-1'!D308:P918,2,)</f>
        <v>1</v>
      </c>
      <c r="F307" s="41">
        <f>VLOOKUP(E307,'Dataset-1'!E308:Q918,2,)</f>
        <v>5</v>
      </c>
      <c r="G307" s="71" t="str">
        <f>VLOOKUP(F307,'Dataset-1'!F308:R918,2,)</f>
        <v>Morning</v>
      </c>
      <c r="H307" s="41" t="b">
        <f>VLOOKUP(G307,'Dataset-1'!G308:S918,2,)</f>
        <v>0</v>
      </c>
      <c r="I307" s="41">
        <f>VLOOKUP(H307,'Dataset-1'!H308:T918,2,)</f>
        <v>5</v>
      </c>
      <c r="J307" s="71" t="str">
        <f>VLOOKUP(I307,'Dataset-1'!I308:U918,2,)</f>
        <v>Thusday</v>
      </c>
      <c r="K307" s="41">
        <f>VLOOKUP(J307,'Dataset-1'!J308:V918,2,)</f>
        <v>1</v>
      </c>
      <c r="L307" s="41">
        <f>VLOOKUP(K307,'Dataset-1'!K308:W918,2,)</f>
        <v>0.1</v>
      </c>
      <c r="M307" s="71" t="str">
        <f>VLOOKUP(L307,'Dataset-1'!L308:X918,2,)</f>
        <v>Stromy</v>
      </c>
      <c r="N307" s="41">
        <f>VLOOKUP(A307,'Dataset-2'!B308:H918,2,)</f>
        <v>0.13639999999999999</v>
      </c>
      <c r="O307" s="41">
        <f>VLOOKUP(N307,'Dataset-2'!C308:I918,2,)</f>
        <v>0.54</v>
      </c>
      <c r="P307" s="41">
        <f>VLOOKUP(O307,'Dataset-2'!D308:J918,2,)</f>
        <v>8.9599999999999999E-2</v>
      </c>
      <c r="Q307" s="41">
        <f>VLOOKUP(P307,'Dataset-2'!E308:K918,2,)</f>
        <v>0</v>
      </c>
      <c r="R307" s="41">
        <f>VLOOKUP(Q307,'Dataset-2'!F308:L918,2,)</f>
        <v>8</v>
      </c>
      <c r="S307" s="41">
        <f>VLOOKUP(R307,'Dataset-2'!G308:M918,2,)</f>
        <v>8</v>
      </c>
    </row>
    <row r="308" spans="1:19" x14ac:dyDescent="0.35">
      <c r="A308" s="40">
        <v>307</v>
      </c>
      <c r="B308" s="62">
        <f>VLOOKUP(A308,'Dataset-1'!A309:M919,2,)</f>
        <v>40557</v>
      </c>
      <c r="C308" s="41">
        <f>VLOOKUP(B308,'Dataset-1'!B309:N919,2,)</f>
        <v>1</v>
      </c>
      <c r="D308" s="41">
        <f>VLOOKUP(C308,'Dataset-1'!C309:O919,2,)</f>
        <v>0</v>
      </c>
      <c r="E308" s="41">
        <f>VLOOKUP(D308,'Dataset-1'!D309:P919,2,)</f>
        <v>1</v>
      </c>
      <c r="F308" s="41">
        <f>VLOOKUP(E308,'Dataset-1'!E309:Q919,2,)</f>
        <v>6</v>
      </c>
      <c r="G308" s="71" t="str">
        <f>VLOOKUP(F308,'Dataset-1'!F309:R919,2,)</f>
        <v>Morning</v>
      </c>
      <c r="H308" s="41" t="b">
        <f>VLOOKUP(G308,'Dataset-1'!G309:S919,2,)</f>
        <v>0</v>
      </c>
      <c r="I308" s="41">
        <f>VLOOKUP(H308,'Dataset-1'!H309:T919,2,)</f>
        <v>5</v>
      </c>
      <c r="J308" s="71" t="str">
        <f>VLOOKUP(I308,'Dataset-1'!I309:U919,2,)</f>
        <v>Thusday</v>
      </c>
      <c r="K308" s="41">
        <f>VLOOKUP(J308,'Dataset-1'!J309:V919,2,)</f>
        <v>1</v>
      </c>
      <c r="L308" s="41">
        <f>VLOOKUP(K308,'Dataset-1'!K309:W919,2,)</f>
        <v>0.1</v>
      </c>
      <c r="M308" s="71" t="str">
        <f>VLOOKUP(L308,'Dataset-1'!L309:X919,2,)</f>
        <v>Stromy</v>
      </c>
      <c r="N308" s="41">
        <f>VLOOKUP(A308,'Dataset-2'!B309:H919,2,)</f>
        <v>0.18179999999999999</v>
      </c>
      <c r="O308" s="41">
        <f>VLOOKUP(N308,'Dataset-2'!C309:I919,2,)</f>
        <v>0.54</v>
      </c>
      <c r="P308" s="41">
        <f>VLOOKUP(O308,'Dataset-2'!D309:J919,2,)</f>
        <v>0</v>
      </c>
      <c r="Q308" s="41">
        <f>VLOOKUP(P308,'Dataset-2'!E309:K919,2,)</f>
        <v>0</v>
      </c>
      <c r="R308" s="41">
        <f>VLOOKUP(Q308,'Dataset-2'!F309:L919,2,)</f>
        <v>17</v>
      </c>
      <c r="S308" s="41">
        <f>VLOOKUP(R308,'Dataset-2'!G309:M919,2,)</f>
        <v>17</v>
      </c>
    </row>
    <row r="309" spans="1:19" x14ac:dyDescent="0.35">
      <c r="A309" s="40">
        <v>308</v>
      </c>
      <c r="B309" s="62">
        <f>VLOOKUP(A309,'Dataset-1'!A310:M920,2,)</f>
        <v>40557</v>
      </c>
      <c r="C309" s="41">
        <f>VLOOKUP(B309,'Dataset-1'!B310:N920,2,)</f>
        <v>1</v>
      </c>
      <c r="D309" s="41">
        <f>VLOOKUP(C309,'Dataset-1'!C310:O920,2,)</f>
        <v>0</v>
      </c>
      <c r="E309" s="41">
        <f>VLOOKUP(D309,'Dataset-1'!D310:P920,2,)</f>
        <v>1</v>
      </c>
      <c r="F309" s="41">
        <f>VLOOKUP(E309,'Dataset-1'!E310:Q920,2,)</f>
        <v>7</v>
      </c>
      <c r="G309" s="71" t="str">
        <f>VLOOKUP(F309,'Dataset-1'!F310:R920,2,)</f>
        <v>Morning</v>
      </c>
      <c r="H309" s="41" t="b">
        <f>VLOOKUP(G309,'Dataset-1'!G310:S920,2,)</f>
        <v>0</v>
      </c>
      <c r="I309" s="41">
        <f>VLOOKUP(H309,'Dataset-1'!H310:T920,2,)</f>
        <v>5</v>
      </c>
      <c r="J309" s="71" t="str">
        <f>VLOOKUP(I309,'Dataset-1'!I310:U920,2,)</f>
        <v>Thusday</v>
      </c>
      <c r="K309" s="41">
        <f>VLOOKUP(J309,'Dataset-1'!J310:V920,2,)</f>
        <v>1</v>
      </c>
      <c r="L309" s="41">
        <f>VLOOKUP(K309,'Dataset-1'!K310:W920,2,)</f>
        <v>0.1</v>
      </c>
      <c r="M309" s="71" t="str">
        <f>VLOOKUP(L309,'Dataset-1'!L310:X920,2,)</f>
        <v>Stromy</v>
      </c>
      <c r="N309" s="41">
        <f>VLOOKUP(A309,'Dataset-2'!B310:H920,2,)</f>
        <v>0.1212</v>
      </c>
      <c r="O309" s="41">
        <f>VLOOKUP(N309,'Dataset-2'!C310:I920,2,)</f>
        <v>0.74</v>
      </c>
      <c r="P309" s="41">
        <f>VLOOKUP(O309,'Dataset-2'!D310:J920,2,)</f>
        <v>0.16420000000000001</v>
      </c>
      <c r="Q309" s="41">
        <f>VLOOKUP(P309,'Dataset-2'!E310:K920,2,)</f>
        <v>0</v>
      </c>
      <c r="R309" s="41">
        <f>VLOOKUP(Q309,'Dataset-2'!F310:L920,2,)</f>
        <v>70</v>
      </c>
      <c r="S309" s="41">
        <f>VLOOKUP(R309,'Dataset-2'!G310:M920,2,)</f>
        <v>70</v>
      </c>
    </row>
    <row r="310" spans="1:19" x14ac:dyDescent="0.35">
      <c r="A310" s="40">
        <v>309</v>
      </c>
      <c r="B310" s="62">
        <f>VLOOKUP(A310,'Dataset-1'!A311:M921,2,)</f>
        <v>40557</v>
      </c>
      <c r="C310" s="41">
        <f>VLOOKUP(B310,'Dataset-1'!B311:N921,2,)</f>
        <v>1</v>
      </c>
      <c r="D310" s="41">
        <f>VLOOKUP(C310,'Dataset-1'!C311:O921,2,)</f>
        <v>0</v>
      </c>
      <c r="E310" s="41">
        <f>VLOOKUP(D310,'Dataset-1'!D311:P921,2,)</f>
        <v>1</v>
      </c>
      <c r="F310" s="41">
        <f>VLOOKUP(E310,'Dataset-1'!E311:Q921,2,)</f>
        <v>8</v>
      </c>
      <c r="G310" s="71" t="str">
        <f>VLOOKUP(F310,'Dataset-1'!F311:R921,2,)</f>
        <v>Morning</v>
      </c>
      <c r="H310" s="41" t="b">
        <f>VLOOKUP(G310,'Dataset-1'!G311:S921,2,)</f>
        <v>0</v>
      </c>
      <c r="I310" s="41">
        <f>VLOOKUP(H310,'Dataset-1'!H311:T921,2,)</f>
        <v>5</v>
      </c>
      <c r="J310" s="71" t="str">
        <f>VLOOKUP(I310,'Dataset-1'!I311:U921,2,)</f>
        <v>Thusday</v>
      </c>
      <c r="K310" s="41">
        <f>VLOOKUP(J310,'Dataset-1'!J311:V921,2,)</f>
        <v>1</v>
      </c>
      <c r="L310" s="41">
        <f>VLOOKUP(K310,'Dataset-1'!K311:W921,2,)</f>
        <v>0.12</v>
      </c>
      <c r="M310" s="71" t="str">
        <f>VLOOKUP(L310,'Dataset-1'!L311:X921,2,)</f>
        <v>Rainy</v>
      </c>
      <c r="N310" s="41">
        <f>VLOOKUP(A310,'Dataset-2'!B311:H921,2,)</f>
        <v>0.16669999999999999</v>
      </c>
      <c r="O310" s="41">
        <f>VLOOKUP(N310,'Dataset-2'!C311:I921,2,)</f>
        <v>0.68</v>
      </c>
      <c r="P310" s="41">
        <f>VLOOKUP(O310,'Dataset-2'!D311:J921,2,)</f>
        <v>0</v>
      </c>
      <c r="Q310" s="41">
        <f>VLOOKUP(P310,'Dataset-2'!E311:K921,2,)</f>
        <v>2</v>
      </c>
      <c r="R310" s="41">
        <f>VLOOKUP(Q310,'Dataset-2'!F311:L921,2,)</f>
        <v>156</v>
      </c>
      <c r="S310" s="41">
        <f>VLOOKUP(R310,'Dataset-2'!G311:M921,2,)</f>
        <v>158</v>
      </c>
    </row>
    <row r="311" spans="1:19" x14ac:dyDescent="0.35">
      <c r="A311" s="40">
        <v>310</v>
      </c>
      <c r="B311" s="62">
        <f>VLOOKUP(A311,'Dataset-1'!A312:M922,2,)</f>
        <v>40557</v>
      </c>
      <c r="C311" s="41">
        <f>VLOOKUP(B311,'Dataset-1'!B312:N922,2,)</f>
        <v>1</v>
      </c>
      <c r="D311" s="41">
        <f>VLOOKUP(C311,'Dataset-1'!C312:O922,2,)</f>
        <v>0</v>
      </c>
      <c r="E311" s="41">
        <f>VLOOKUP(D311,'Dataset-1'!D312:P922,2,)</f>
        <v>1</v>
      </c>
      <c r="F311" s="41">
        <f>VLOOKUP(E311,'Dataset-1'!E312:Q922,2,)</f>
        <v>9</v>
      </c>
      <c r="G311" s="71" t="str">
        <f>VLOOKUP(F311,'Dataset-1'!F312:R922,2,)</f>
        <v>Morning</v>
      </c>
      <c r="H311" s="41" t="b">
        <f>VLOOKUP(G311,'Dataset-1'!G312:S922,2,)</f>
        <v>0</v>
      </c>
      <c r="I311" s="41">
        <f>VLOOKUP(H311,'Dataset-1'!H312:T922,2,)</f>
        <v>5</v>
      </c>
      <c r="J311" s="71" t="str">
        <f>VLOOKUP(I311,'Dataset-1'!I312:U922,2,)</f>
        <v>Thusday</v>
      </c>
      <c r="K311" s="41">
        <f>VLOOKUP(J311,'Dataset-1'!J312:V922,2,)</f>
        <v>1</v>
      </c>
      <c r="L311" s="41">
        <f>VLOOKUP(K311,'Dataset-1'!K312:W922,2,)</f>
        <v>0.14000000000000001</v>
      </c>
      <c r="M311" s="71" t="str">
        <f>VLOOKUP(L311,'Dataset-1'!L312:X922,2,)</f>
        <v>Rainy</v>
      </c>
      <c r="N311" s="41">
        <f>VLOOKUP(A311,'Dataset-2'!B312:H922,2,)</f>
        <v>0.1515</v>
      </c>
      <c r="O311" s="41">
        <f>VLOOKUP(N311,'Dataset-2'!C312:I922,2,)</f>
        <v>0.69</v>
      </c>
      <c r="P311" s="41">
        <f>VLOOKUP(O311,'Dataset-2'!D312:J922,2,)</f>
        <v>0.1343</v>
      </c>
      <c r="Q311" s="41">
        <f>VLOOKUP(P311,'Dataset-2'!E312:K922,2,)</f>
        <v>0</v>
      </c>
      <c r="R311" s="41">
        <f>VLOOKUP(Q311,'Dataset-2'!F312:L922,2,)</f>
        <v>117</v>
      </c>
      <c r="S311" s="41">
        <f>VLOOKUP(R311,'Dataset-2'!G312:M922,2,)</f>
        <v>117</v>
      </c>
    </row>
    <row r="312" spans="1:19" x14ac:dyDescent="0.35">
      <c r="A312" s="40">
        <v>311</v>
      </c>
      <c r="B312" s="62">
        <f>VLOOKUP(A312,'Dataset-1'!A313:M923,2,)</f>
        <v>40557</v>
      </c>
      <c r="C312" s="41">
        <f>VLOOKUP(B312,'Dataset-1'!B313:N923,2,)</f>
        <v>1</v>
      </c>
      <c r="D312" s="41">
        <f>VLOOKUP(C312,'Dataset-1'!C313:O923,2,)</f>
        <v>0</v>
      </c>
      <c r="E312" s="41">
        <f>VLOOKUP(D312,'Dataset-1'!D313:P923,2,)</f>
        <v>1</v>
      </c>
      <c r="F312" s="41">
        <f>VLOOKUP(E312,'Dataset-1'!E313:Q923,2,)</f>
        <v>10</v>
      </c>
      <c r="G312" s="71" t="str">
        <f>VLOOKUP(F312,'Dataset-1'!F313:R923,2,)</f>
        <v>Morning</v>
      </c>
      <c r="H312" s="41" t="b">
        <f>VLOOKUP(G312,'Dataset-1'!G313:S923,2,)</f>
        <v>0</v>
      </c>
      <c r="I312" s="41">
        <f>VLOOKUP(H312,'Dataset-1'!H313:T923,2,)</f>
        <v>5</v>
      </c>
      <c r="J312" s="71" t="str">
        <f>VLOOKUP(I312,'Dataset-1'!I313:U923,2,)</f>
        <v>Thusday</v>
      </c>
      <c r="K312" s="41">
        <f>VLOOKUP(J312,'Dataset-1'!J313:V923,2,)</f>
        <v>1</v>
      </c>
      <c r="L312" s="41">
        <f>VLOOKUP(K312,'Dataset-1'!K313:W923,2,)</f>
        <v>0.18</v>
      </c>
      <c r="M312" s="71" t="str">
        <f>VLOOKUP(L312,'Dataset-1'!L313:X923,2,)</f>
        <v>Rainy</v>
      </c>
      <c r="N312" s="41">
        <f>VLOOKUP(A312,'Dataset-2'!B313:H923,2,)</f>
        <v>0.18179999999999999</v>
      </c>
      <c r="O312" s="41">
        <f>VLOOKUP(N312,'Dataset-2'!C313:I923,2,)</f>
        <v>0.55000000000000004</v>
      </c>
      <c r="P312" s="41">
        <f>VLOOKUP(O312,'Dataset-2'!D313:J923,2,)</f>
        <v>0.19400000000000001</v>
      </c>
      <c r="Q312" s="41">
        <f>VLOOKUP(P312,'Dataset-2'!E313:K923,2,)</f>
        <v>4</v>
      </c>
      <c r="R312" s="41">
        <f>VLOOKUP(Q312,'Dataset-2'!F313:L923,2,)</f>
        <v>40</v>
      </c>
      <c r="S312" s="41">
        <f>VLOOKUP(R312,'Dataset-2'!G313:M923,2,)</f>
        <v>44</v>
      </c>
    </row>
    <row r="313" spans="1:19" x14ac:dyDescent="0.35">
      <c r="A313" s="40">
        <v>312</v>
      </c>
      <c r="B313" s="62">
        <f>VLOOKUP(A313,'Dataset-1'!A314:M924,2,)</f>
        <v>40557</v>
      </c>
      <c r="C313" s="41">
        <f>VLOOKUP(B313,'Dataset-1'!B314:N924,2,)</f>
        <v>1</v>
      </c>
      <c r="D313" s="41">
        <f>VLOOKUP(C313,'Dataset-1'!C314:O924,2,)</f>
        <v>0</v>
      </c>
      <c r="E313" s="41">
        <f>VLOOKUP(D313,'Dataset-1'!D314:P924,2,)</f>
        <v>1</v>
      </c>
      <c r="F313" s="41">
        <f>VLOOKUP(E313,'Dataset-1'!E314:Q924,2,)</f>
        <v>11</v>
      </c>
      <c r="G313" s="71" t="str">
        <f>VLOOKUP(F313,'Dataset-1'!F314:R924,2,)</f>
        <v>Morning</v>
      </c>
      <c r="H313" s="41" t="b">
        <f>VLOOKUP(G313,'Dataset-1'!G314:S924,2,)</f>
        <v>0</v>
      </c>
      <c r="I313" s="41">
        <f>VLOOKUP(H313,'Dataset-1'!H314:T924,2,)</f>
        <v>5</v>
      </c>
      <c r="J313" s="71" t="str">
        <f>VLOOKUP(I313,'Dataset-1'!I314:U924,2,)</f>
        <v>Thusday</v>
      </c>
      <c r="K313" s="41">
        <f>VLOOKUP(J313,'Dataset-1'!J314:V924,2,)</f>
        <v>1</v>
      </c>
      <c r="L313" s="41">
        <f>VLOOKUP(K313,'Dataset-1'!K314:W924,2,)</f>
        <v>0.18</v>
      </c>
      <c r="M313" s="71" t="str">
        <f>VLOOKUP(L313,'Dataset-1'!L314:X924,2,)</f>
        <v>Rainy</v>
      </c>
      <c r="N313" s="41">
        <f>VLOOKUP(A313,'Dataset-2'!B314:H924,2,)</f>
        <v>0.16669999999999999</v>
      </c>
      <c r="O313" s="41">
        <f>VLOOKUP(N313,'Dataset-2'!C314:I924,2,)</f>
        <v>0.51</v>
      </c>
      <c r="P313" s="41">
        <f>VLOOKUP(O313,'Dataset-2'!D314:J924,2,)</f>
        <v>0.28360000000000002</v>
      </c>
      <c r="Q313" s="41">
        <f>VLOOKUP(P313,'Dataset-2'!E314:K924,2,)</f>
        <v>6</v>
      </c>
      <c r="R313" s="41">
        <f>VLOOKUP(Q313,'Dataset-2'!F314:L924,2,)</f>
        <v>47</v>
      </c>
      <c r="S313" s="41">
        <f>VLOOKUP(R313,'Dataset-2'!G314:M924,2,)</f>
        <v>53</v>
      </c>
    </row>
    <row r="314" spans="1:19" x14ac:dyDescent="0.35">
      <c r="A314" s="40">
        <v>313</v>
      </c>
      <c r="B314" s="62">
        <f>VLOOKUP(A314,'Dataset-1'!A315:M925,2,)</f>
        <v>40557</v>
      </c>
      <c r="C314" s="41">
        <f>VLOOKUP(B314,'Dataset-1'!B315:N925,2,)</f>
        <v>1</v>
      </c>
      <c r="D314" s="41">
        <f>VLOOKUP(C314,'Dataset-1'!C315:O925,2,)</f>
        <v>0</v>
      </c>
      <c r="E314" s="41">
        <f>VLOOKUP(D314,'Dataset-1'!D315:P925,2,)</f>
        <v>1</v>
      </c>
      <c r="F314" s="41">
        <f>VLOOKUP(E314,'Dataset-1'!E315:Q925,2,)</f>
        <v>12</v>
      </c>
      <c r="G314" s="71" t="str">
        <f>VLOOKUP(F314,'Dataset-1'!F315:R925,2,)</f>
        <v>AfterNoon</v>
      </c>
      <c r="H314" s="41" t="b">
        <f>VLOOKUP(G314,'Dataset-1'!G315:S925,2,)</f>
        <v>0</v>
      </c>
      <c r="I314" s="41">
        <f>VLOOKUP(H314,'Dataset-1'!H315:T925,2,)</f>
        <v>5</v>
      </c>
      <c r="J314" s="71" t="str">
        <f>VLOOKUP(I314,'Dataset-1'!I315:U925,2,)</f>
        <v>Thusday</v>
      </c>
      <c r="K314" s="41">
        <f>VLOOKUP(J314,'Dataset-1'!J315:V925,2,)</f>
        <v>1</v>
      </c>
      <c r="L314" s="41">
        <f>VLOOKUP(K314,'Dataset-1'!K315:W925,2,)</f>
        <v>0.2</v>
      </c>
      <c r="M314" s="71" t="str">
        <f>VLOOKUP(L314,'Dataset-1'!L315:X925,2,)</f>
        <v>Rainy</v>
      </c>
      <c r="N314" s="41">
        <f>VLOOKUP(A314,'Dataset-2'!B315:H925,2,)</f>
        <v>0.19700000000000001</v>
      </c>
      <c r="O314" s="41">
        <f>VLOOKUP(N314,'Dataset-2'!C315:I925,2,)</f>
        <v>0.44</v>
      </c>
      <c r="P314" s="41">
        <f>VLOOKUP(O314,'Dataset-2'!D315:J925,2,)</f>
        <v>0.25369999999999998</v>
      </c>
      <c r="Q314" s="41">
        <f>VLOOKUP(P314,'Dataset-2'!E315:K925,2,)</f>
        <v>2</v>
      </c>
      <c r="R314" s="41">
        <f>VLOOKUP(Q314,'Dataset-2'!F315:L925,2,)</f>
        <v>59</v>
      </c>
      <c r="S314" s="41">
        <f>VLOOKUP(R314,'Dataset-2'!G315:M925,2,)</f>
        <v>61</v>
      </c>
    </row>
    <row r="315" spans="1:19" x14ac:dyDescent="0.35">
      <c r="A315" s="40">
        <v>314</v>
      </c>
      <c r="B315" s="62">
        <f>VLOOKUP(A315,'Dataset-1'!A316:M926,2,)</f>
        <v>40557</v>
      </c>
      <c r="C315" s="41">
        <f>VLOOKUP(B315,'Dataset-1'!B316:N926,2,)</f>
        <v>1</v>
      </c>
      <c r="D315" s="41">
        <f>VLOOKUP(C315,'Dataset-1'!C316:O926,2,)</f>
        <v>0</v>
      </c>
      <c r="E315" s="41">
        <f>VLOOKUP(D315,'Dataset-1'!D316:P926,2,)</f>
        <v>1</v>
      </c>
      <c r="F315" s="41">
        <f>VLOOKUP(E315,'Dataset-1'!E316:Q926,2,)</f>
        <v>13</v>
      </c>
      <c r="G315" s="71" t="str">
        <f>VLOOKUP(F315,'Dataset-1'!F316:R926,2,)</f>
        <v>AfterNoon</v>
      </c>
      <c r="H315" s="41" t="b">
        <f>VLOOKUP(G315,'Dataset-1'!G316:S926,2,)</f>
        <v>0</v>
      </c>
      <c r="I315" s="41">
        <f>VLOOKUP(H315,'Dataset-1'!H316:T926,2,)</f>
        <v>5</v>
      </c>
      <c r="J315" s="71" t="str">
        <f>VLOOKUP(I315,'Dataset-1'!I316:U926,2,)</f>
        <v>Thusday</v>
      </c>
      <c r="K315" s="41">
        <f>VLOOKUP(J315,'Dataset-1'!J316:V926,2,)</f>
        <v>1</v>
      </c>
      <c r="L315" s="41">
        <f>VLOOKUP(K315,'Dataset-1'!K316:W926,2,)</f>
        <v>0.22</v>
      </c>
      <c r="M315" s="71" t="str">
        <f>VLOOKUP(L315,'Dataset-1'!L316:X926,2,)</f>
        <v>Cloudy</v>
      </c>
      <c r="N315" s="41">
        <f>VLOOKUP(A315,'Dataset-2'!B316:H926,2,)</f>
        <v>0.19700000000000001</v>
      </c>
      <c r="O315" s="41">
        <f>VLOOKUP(N315,'Dataset-2'!C316:I926,2,)</f>
        <v>0.37</v>
      </c>
      <c r="P315" s="41">
        <f>VLOOKUP(O315,'Dataset-2'!D316:J926,2,)</f>
        <v>0.3881</v>
      </c>
      <c r="Q315" s="41">
        <f>VLOOKUP(P315,'Dataset-2'!E316:K926,2,)</f>
        <v>4</v>
      </c>
      <c r="R315" s="41">
        <f>VLOOKUP(Q315,'Dataset-2'!F316:L926,2,)</f>
        <v>73</v>
      </c>
      <c r="S315" s="41">
        <f>VLOOKUP(R315,'Dataset-2'!G316:M926,2,)</f>
        <v>77</v>
      </c>
    </row>
    <row r="316" spans="1:19" x14ac:dyDescent="0.35">
      <c r="A316" s="40">
        <v>315</v>
      </c>
      <c r="B316" s="62">
        <f>VLOOKUP(A316,'Dataset-1'!A317:M927,2,)</f>
        <v>40557</v>
      </c>
      <c r="C316" s="41">
        <f>VLOOKUP(B316,'Dataset-1'!B317:N927,2,)</f>
        <v>1</v>
      </c>
      <c r="D316" s="41">
        <f>VLOOKUP(C316,'Dataset-1'!C317:O927,2,)</f>
        <v>0</v>
      </c>
      <c r="E316" s="41">
        <f>VLOOKUP(D316,'Dataset-1'!D317:P927,2,)</f>
        <v>1</v>
      </c>
      <c r="F316" s="41">
        <f>VLOOKUP(E316,'Dataset-1'!E317:Q927,2,)</f>
        <v>14</v>
      </c>
      <c r="G316" s="71" t="str">
        <f>VLOOKUP(F316,'Dataset-1'!F317:R927,2,)</f>
        <v>AfterNoon</v>
      </c>
      <c r="H316" s="41" t="b">
        <f>VLOOKUP(G316,'Dataset-1'!G317:S927,2,)</f>
        <v>0</v>
      </c>
      <c r="I316" s="41">
        <f>VLOOKUP(H316,'Dataset-1'!H317:T927,2,)</f>
        <v>5</v>
      </c>
      <c r="J316" s="71" t="str">
        <f>VLOOKUP(I316,'Dataset-1'!I317:U927,2,)</f>
        <v>Thusday</v>
      </c>
      <c r="K316" s="41">
        <f>VLOOKUP(J316,'Dataset-1'!J317:V927,2,)</f>
        <v>1</v>
      </c>
      <c r="L316" s="41">
        <f>VLOOKUP(K316,'Dataset-1'!K317:W927,2,)</f>
        <v>0.22</v>
      </c>
      <c r="M316" s="71" t="str">
        <f>VLOOKUP(L316,'Dataset-1'!L317:X927,2,)</f>
        <v>Cloudy</v>
      </c>
      <c r="N316" s="41">
        <f>VLOOKUP(A316,'Dataset-2'!B317:H927,2,)</f>
        <v>0.21210000000000001</v>
      </c>
      <c r="O316" s="41">
        <f>VLOOKUP(N316,'Dataset-2'!C317:I927,2,)</f>
        <v>0.41</v>
      </c>
      <c r="P316" s="41">
        <f>VLOOKUP(O316,'Dataset-2'!D317:J927,2,)</f>
        <v>0.28360000000000002</v>
      </c>
      <c r="Q316" s="41">
        <f>VLOOKUP(P316,'Dataset-2'!E317:K927,2,)</f>
        <v>5</v>
      </c>
      <c r="R316" s="41">
        <f>VLOOKUP(Q316,'Dataset-2'!F317:L927,2,)</f>
        <v>59</v>
      </c>
      <c r="S316" s="41">
        <f>VLOOKUP(R316,'Dataset-2'!G317:M927,2,)</f>
        <v>64</v>
      </c>
    </row>
    <row r="317" spans="1:19" x14ac:dyDescent="0.35">
      <c r="A317" s="40">
        <v>316</v>
      </c>
      <c r="B317" s="62">
        <f>VLOOKUP(A317,'Dataset-1'!A318:M928,2,)</f>
        <v>40557</v>
      </c>
      <c r="C317" s="41">
        <f>VLOOKUP(B317,'Dataset-1'!B318:N928,2,)</f>
        <v>1</v>
      </c>
      <c r="D317" s="41">
        <f>VLOOKUP(C317,'Dataset-1'!C318:O928,2,)</f>
        <v>0</v>
      </c>
      <c r="E317" s="41">
        <f>VLOOKUP(D317,'Dataset-1'!D318:P928,2,)</f>
        <v>1</v>
      </c>
      <c r="F317" s="41">
        <f>VLOOKUP(E317,'Dataset-1'!E318:Q928,2,)</f>
        <v>15</v>
      </c>
      <c r="G317" s="71" t="str">
        <f>VLOOKUP(F317,'Dataset-1'!F318:R928,2,)</f>
        <v>AfterNoon</v>
      </c>
      <c r="H317" s="41" t="b">
        <f>VLOOKUP(G317,'Dataset-1'!G318:S928,2,)</f>
        <v>0</v>
      </c>
      <c r="I317" s="41">
        <f>VLOOKUP(H317,'Dataset-1'!H318:T928,2,)</f>
        <v>5</v>
      </c>
      <c r="J317" s="71" t="str">
        <f>VLOOKUP(I317,'Dataset-1'!I318:U928,2,)</f>
        <v>Thusday</v>
      </c>
      <c r="K317" s="41">
        <f>VLOOKUP(J317,'Dataset-1'!J318:V928,2,)</f>
        <v>1</v>
      </c>
      <c r="L317" s="41">
        <f>VLOOKUP(K317,'Dataset-1'!K318:W928,2,)</f>
        <v>0.24</v>
      </c>
      <c r="M317" s="71" t="str">
        <f>VLOOKUP(L317,'Dataset-1'!L318:X928,2,)</f>
        <v>Cloudy</v>
      </c>
      <c r="N317" s="41">
        <f>VLOOKUP(A317,'Dataset-2'!B318:H928,2,)</f>
        <v>0.2424</v>
      </c>
      <c r="O317" s="41">
        <f>VLOOKUP(N317,'Dataset-2'!C318:I928,2,)</f>
        <v>0.38</v>
      </c>
      <c r="P317" s="41">
        <f>VLOOKUP(O317,'Dataset-2'!D318:J928,2,)</f>
        <v>0.16420000000000001</v>
      </c>
      <c r="Q317" s="41">
        <f>VLOOKUP(P317,'Dataset-2'!E318:K928,2,)</f>
        <v>9</v>
      </c>
      <c r="R317" s="41">
        <f>VLOOKUP(Q317,'Dataset-2'!F318:L928,2,)</f>
        <v>59</v>
      </c>
      <c r="S317" s="41">
        <f>VLOOKUP(R317,'Dataset-2'!G318:M928,2,)</f>
        <v>68</v>
      </c>
    </row>
    <row r="318" spans="1:19" x14ac:dyDescent="0.35">
      <c r="A318" s="40">
        <v>317</v>
      </c>
      <c r="B318" s="62">
        <f>VLOOKUP(A318,'Dataset-1'!A319:M929,2,)</f>
        <v>40557</v>
      </c>
      <c r="C318" s="41">
        <f>VLOOKUP(B318,'Dataset-1'!B319:N929,2,)</f>
        <v>1</v>
      </c>
      <c r="D318" s="41">
        <f>VLOOKUP(C318,'Dataset-1'!C319:O929,2,)</f>
        <v>0</v>
      </c>
      <c r="E318" s="41">
        <f>VLOOKUP(D318,'Dataset-1'!D319:P929,2,)</f>
        <v>1</v>
      </c>
      <c r="F318" s="41">
        <f>VLOOKUP(E318,'Dataset-1'!E319:Q929,2,)</f>
        <v>16</v>
      </c>
      <c r="G318" s="71" t="str">
        <f>VLOOKUP(F318,'Dataset-1'!F319:R929,2,)</f>
        <v>AfterNoon</v>
      </c>
      <c r="H318" s="41" t="b">
        <f>VLOOKUP(G318,'Dataset-1'!G319:S929,2,)</f>
        <v>0</v>
      </c>
      <c r="I318" s="41">
        <f>VLOOKUP(H318,'Dataset-1'!H319:T929,2,)</f>
        <v>5</v>
      </c>
      <c r="J318" s="71" t="str">
        <f>VLOOKUP(I318,'Dataset-1'!I319:U929,2,)</f>
        <v>Thusday</v>
      </c>
      <c r="K318" s="41">
        <f>VLOOKUP(J318,'Dataset-1'!J319:V929,2,)</f>
        <v>1</v>
      </c>
      <c r="L318" s="41">
        <f>VLOOKUP(K318,'Dataset-1'!K319:W929,2,)</f>
        <v>0.22</v>
      </c>
      <c r="M318" s="71" t="str">
        <f>VLOOKUP(L318,'Dataset-1'!L319:X929,2,)</f>
        <v>Cloudy</v>
      </c>
      <c r="N318" s="41">
        <f>VLOOKUP(A318,'Dataset-2'!B319:H929,2,)</f>
        <v>0.2424</v>
      </c>
      <c r="O318" s="41">
        <f>VLOOKUP(N318,'Dataset-2'!C319:I929,2,)</f>
        <v>0.41</v>
      </c>
      <c r="P318" s="41">
        <f>VLOOKUP(O318,'Dataset-2'!D319:J929,2,)</f>
        <v>0.1045</v>
      </c>
      <c r="Q318" s="41">
        <f>VLOOKUP(P318,'Dataset-2'!E319:K929,2,)</f>
        <v>3</v>
      </c>
      <c r="R318" s="41">
        <f>VLOOKUP(Q318,'Dataset-2'!F319:L929,2,)</f>
        <v>87</v>
      </c>
      <c r="S318" s="41">
        <f>VLOOKUP(R318,'Dataset-2'!G319:M929,2,)</f>
        <v>90</v>
      </c>
    </row>
    <row r="319" spans="1:19" x14ac:dyDescent="0.35">
      <c r="A319" s="40">
        <v>318</v>
      </c>
      <c r="B319" s="62">
        <f>VLOOKUP(A319,'Dataset-1'!A320:M930,2,)</f>
        <v>40557</v>
      </c>
      <c r="C319" s="41">
        <f>VLOOKUP(B319,'Dataset-1'!B320:N930,2,)</f>
        <v>1</v>
      </c>
      <c r="D319" s="41">
        <f>VLOOKUP(C319,'Dataset-1'!C320:O930,2,)</f>
        <v>0</v>
      </c>
      <c r="E319" s="41">
        <f>VLOOKUP(D319,'Dataset-1'!D320:P930,2,)</f>
        <v>1</v>
      </c>
      <c r="F319" s="41">
        <f>VLOOKUP(E319,'Dataset-1'!E320:Q930,2,)</f>
        <v>17</v>
      </c>
      <c r="G319" s="71" t="str">
        <f>VLOOKUP(F319,'Dataset-1'!F320:R930,2,)</f>
        <v>Evening</v>
      </c>
      <c r="H319" s="41" t="b">
        <f>VLOOKUP(G319,'Dataset-1'!G320:S930,2,)</f>
        <v>0</v>
      </c>
      <c r="I319" s="41">
        <f>VLOOKUP(H319,'Dataset-1'!H320:T930,2,)</f>
        <v>5</v>
      </c>
      <c r="J319" s="71" t="str">
        <f>VLOOKUP(I319,'Dataset-1'!I320:U930,2,)</f>
        <v>Thusday</v>
      </c>
      <c r="K319" s="41">
        <f>VLOOKUP(J319,'Dataset-1'!J320:V930,2,)</f>
        <v>1</v>
      </c>
      <c r="L319" s="41">
        <f>VLOOKUP(K319,'Dataset-1'!K320:W930,2,)</f>
        <v>0.22</v>
      </c>
      <c r="M319" s="71" t="str">
        <f>VLOOKUP(L319,'Dataset-1'!L320:X930,2,)</f>
        <v>Cloudy</v>
      </c>
      <c r="N319" s="41">
        <f>VLOOKUP(A319,'Dataset-2'!B320:H930,2,)</f>
        <v>0.2273</v>
      </c>
      <c r="O319" s="41">
        <f>VLOOKUP(N319,'Dataset-2'!C320:I930,2,)</f>
        <v>0.41</v>
      </c>
      <c r="P319" s="41">
        <f>VLOOKUP(O319,'Dataset-2'!D320:J930,2,)</f>
        <v>0.16420000000000001</v>
      </c>
      <c r="Q319" s="41">
        <f>VLOOKUP(P319,'Dataset-2'!E320:K930,2,)</f>
        <v>4</v>
      </c>
      <c r="R319" s="41">
        <f>VLOOKUP(Q319,'Dataset-2'!F320:L930,2,)</f>
        <v>155</v>
      </c>
      <c r="S319" s="41">
        <f>VLOOKUP(R319,'Dataset-2'!G320:M930,2,)</f>
        <v>159</v>
      </c>
    </row>
    <row r="320" spans="1:19" x14ac:dyDescent="0.35">
      <c r="A320" s="40">
        <v>319</v>
      </c>
      <c r="B320" s="62">
        <f>VLOOKUP(A320,'Dataset-1'!A321:M931,2,)</f>
        <v>40557</v>
      </c>
      <c r="C320" s="41">
        <f>VLOOKUP(B320,'Dataset-1'!B321:N931,2,)</f>
        <v>1</v>
      </c>
      <c r="D320" s="41">
        <f>VLOOKUP(C320,'Dataset-1'!C321:O931,2,)</f>
        <v>0</v>
      </c>
      <c r="E320" s="41">
        <f>VLOOKUP(D320,'Dataset-1'!D321:P931,2,)</f>
        <v>1</v>
      </c>
      <c r="F320" s="41">
        <f>VLOOKUP(E320,'Dataset-1'!E321:Q931,2,)</f>
        <v>18</v>
      </c>
      <c r="G320" s="71" t="str">
        <f>VLOOKUP(F320,'Dataset-1'!F321:R931,2,)</f>
        <v>Evening</v>
      </c>
      <c r="H320" s="41" t="b">
        <f>VLOOKUP(G320,'Dataset-1'!G321:S931,2,)</f>
        <v>0</v>
      </c>
      <c r="I320" s="41">
        <f>VLOOKUP(H320,'Dataset-1'!H321:T931,2,)</f>
        <v>5</v>
      </c>
      <c r="J320" s="71" t="str">
        <f>VLOOKUP(I320,'Dataset-1'!I321:U931,2,)</f>
        <v>Thusday</v>
      </c>
      <c r="K320" s="41">
        <f>VLOOKUP(J320,'Dataset-1'!J321:V931,2,)</f>
        <v>1</v>
      </c>
      <c r="L320" s="41">
        <f>VLOOKUP(K320,'Dataset-1'!K321:W931,2,)</f>
        <v>0.2</v>
      </c>
      <c r="M320" s="71" t="str">
        <f>VLOOKUP(L320,'Dataset-1'!L321:X931,2,)</f>
        <v>Rainy</v>
      </c>
      <c r="N320" s="41">
        <f>VLOOKUP(A320,'Dataset-2'!B321:H931,2,)</f>
        <v>0.2576</v>
      </c>
      <c r="O320" s="41">
        <f>VLOOKUP(N320,'Dataset-2'!C321:I931,2,)</f>
        <v>0.47</v>
      </c>
      <c r="P320" s="41">
        <f>VLOOKUP(O320,'Dataset-2'!D321:J931,2,)</f>
        <v>0</v>
      </c>
      <c r="Q320" s="41">
        <f>VLOOKUP(P320,'Dataset-2'!E321:K931,2,)</f>
        <v>5</v>
      </c>
      <c r="R320" s="41">
        <f>VLOOKUP(Q320,'Dataset-2'!F321:L931,2,)</f>
        <v>134</v>
      </c>
      <c r="S320" s="41">
        <f>VLOOKUP(R320,'Dataset-2'!G321:M931,2,)</f>
        <v>139</v>
      </c>
    </row>
    <row r="321" spans="1:19" x14ac:dyDescent="0.35">
      <c r="A321" s="40">
        <v>320</v>
      </c>
      <c r="B321" s="62">
        <f>VLOOKUP(A321,'Dataset-1'!A322:M932,2,)</f>
        <v>40557</v>
      </c>
      <c r="C321" s="41">
        <f>VLOOKUP(B321,'Dataset-1'!B322:N932,2,)</f>
        <v>1</v>
      </c>
      <c r="D321" s="41">
        <f>VLOOKUP(C321,'Dataset-1'!C322:O932,2,)</f>
        <v>0</v>
      </c>
      <c r="E321" s="41">
        <f>VLOOKUP(D321,'Dataset-1'!D322:P932,2,)</f>
        <v>1</v>
      </c>
      <c r="F321" s="41">
        <f>VLOOKUP(E321,'Dataset-1'!E322:Q932,2,)</f>
        <v>19</v>
      </c>
      <c r="G321" s="71" t="str">
        <f>VLOOKUP(F321,'Dataset-1'!F322:R932,2,)</f>
        <v>Evening</v>
      </c>
      <c r="H321" s="41" t="b">
        <f>VLOOKUP(G321,'Dataset-1'!G322:S932,2,)</f>
        <v>0</v>
      </c>
      <c r="I321" s="41">
        <f>VLOOKUP(H321,'Dataset-1'!H322:T932,2,)</f>
        <v>5</v>
      </c>
      <c r="J321" s="71" t="str">
        <f>VLOOKUP(I321,'Dataset-1'!I322:U932,2,)</f>
        <v>Thusday</v>
      </c>
      <c r="K321" s="41">
        <f>VLOOKUP(J321,'Dataset-1'!J322:V932,2,)</f>
        <v>1</v>
      </c>
      <c r="L321" s="41">
        <f>VLOOKUP(K321,'Dataset-1'!K322:W932,2,)</f>
        <v>0.16</v>
      </c>
      <c r="M321" s="71" t="str">
        <f>VLOOKUP(L321,'Dataset-1'!L322:X932,2,)</f>
        <v>Rainy</v>
      </c>
      <c r="N321" s="41">
        <f>VLOOKUP(A321,'Dataset-2'!B322:H932,2,)</f>
        <v>0.19700000000000001</v>
      </c>
      <c r="O321" s="41">
        <f>VLOOKUP(N321,'Dataset-2'!C322:I932,2,)</f>
        <v>0.59</v>
      </c>
      <c r="P321" s="41">
        <f>VLOOKUP(O321,'Dataset-2'!D322:J932,2,)</f>
        <v>8.9599999999999999E-2</v>
      </c>
      <c r="Q321" s="41">
        <f>VLOOKUP(P321,'Dataset-2'!E322:K932,2,)</f>
        <v>3</v>
      </c>
      <c r="R321" s="41">
        <f>VLOOKUP(Q321,'Dataset-2'!F322:L932,2,)</f>
        <v>89</v>
      </c>
      <c r="S321" s="41">
        <f>VLOOKUP(R321,'Dataset-2'!G322:M932,2,)</f>
        <v>92</v>
      </c>
    </row>
    <row r="322" spans="1:19" x14ac:dyDescent="0.35">
      <c r="A322" s="40">
        <v>321</v>
      </c>
      <c r="B322" s="62">
        <f>VLOOKUP(A322,'Dataset-1'!A323:M933,2,)</f>
        <v>40557</v>
      </c>
      <c r="C322" s="41">
        <f>VLOOKUP(B322,'Dataset-1'!B323:N933,2,)</f>
        <v>1</v>
      </c>
      <c r="D322" s="41">
        <f>VLOOKUP(C322,'Dataset-1'!C323:O933,2,)</f>
        <v>0</v>
      </c>
      <c r="E322" s="41">
        <f>VLOOKUP(D322,'Dataset-1'!D323:P933,2,)</f>
        <v>1</v>
      </c>
      <c r="F322" s="41">
        <f>VLOOKUP(E322,'Dataset-1'!E323:Q933,2,)</f>
        <v>20</v>
      </c>
      <c r="G322" s="71" t="str">
        <f>VLOOKUP(F322,'Dataset-1'!F323:R933,2,)</f>
        <v>Night</v>
      </c>
      <c r="H322" s="41" t="b">
        <f>VLOOKUP(G322,'Dataset-1'!G323:S933,2,)</f>
        <v>0</v>
      </c>
      <c r="I322" s="41">
        <f>VLOOKUP(H322,'Dataset-1'!H323:T933,2,)</f>
        <v>5</v>
      </c>
      <c r="J322" s="71" t="str">
        <f>VLOOKUP(I322,'Dataset-1'!I323:U933,2,)</f>
        <v>Thusday</v>
      </c>
      <c r="K322" s="41">
        <f>VLOOKUP(J322,'Dataset-1'!J323:V933,2,)</f>
        <v>1</v>
      </c>
      <c r="L322" s="41">
        <f>VLOOKUP(K322,'Dataset-1'!K323:W933,2,)</f>
        <v>0.18</v>
      </c>
      <c r="M322" s="71" t="str">
        <f>VLOOKUP(L322,'Dataset-1'!L323:X933,2,)</f>
        <v>Rainy</v>
      </c>
      <c r="N322" s="41">
        <f>VLOOKUP(A322,'Dataset-2'!B323:H933,2,)</f>
        <v>0.2424</v>
      </c>
      <c r="O322" s="41">
        <f>VLOOKUP(N322,'Dataset-2'!C323:I933,2,)</f>
        <v>0.59</v>
      </c>
      <c r="P322" s="41">
        <f>VLOOKUP(O322,'Dataset-2'!D323:J933,2,)</f>
        <v>0</v>
      </c>
      <c r="Q322" s="41">
        <f>VLOOKUP(P322,'Dataset-2'!E323:K933,2,)</f>
        <v>0</v>
      </c>
      <c r="R322" s="41">
        <f>VLOOKUP(Q322,'Dataset-2'!F323:L933,2,)</f>
        <v>68</v>
      </c>
      <c r="S322" s="41">
        <f>VLOOKUP(R322,'Dataset-2'!G323:M933,2,)</f>
        <v>68</v>
      </c>
    </row>
    <row r="323" spans="1:19" x14ac:dyDescent="0.35">
      <c r="A323" s="40">
        <v>322</v>
      </c>
      <c r="B323" s="62">
        <f>VLOOKUP(A323,'Dataset-1'!A324:M934,2,)</f>
        <v>40557</v>
      </c>
      <c r="C323" s="41">
        <f>VLOOKUP(B323,'Dataset-1'!B324:N934,2,)</f>
        <v>1</v>
      </c>
      <c r="D323" s="41">
        <f>VLOOKUP(C323,'Dataset-1'!C324:O934,2,)</f>
        <v>0</v>
      </c>
      <c r="E323" s="41">
        <f>VLOOKUP(D323,'Dataset-1'!D324:P934,2,)</f>
        <v>1</v>
      </c>
      <c r="F323" s="41">
        <f>VLOOKUP(E323,'Dataset-1'!E324:Q934,2,)</f>
        <v>21</v>
      </c>
      <c r="G323" s="71" t="str">
        <f>VLOOKUP(F323,'Dataset-1'!F324:R934,2,)</f>
        <v>Night</v>
      </c>
      <c r="H323" s="41" t="b">
        <f>VLOOKUP(G323,'Dataset-1'!G324:S934,2,)</f>
        <v>0</v>
      </c>
      <c r="I323" s="41">
        <f>VLOOKUP(H323,'Dataset-1'!H324:T934,2,)</f>
        <v>5</v>
      </c>
      <c r="J323" s="71" t="str">
        <f>VLOOKUP(I323,'Dataset-1'!I324:U934,2,)</f>
        <v>Thusday</v>
      </c>
      <c r="K323" s="41">
        <f>VLOOKUP(J323,'Dataset-1'!J324:V934,2,)</f>
        <v>1</v>
      </c>
      <c r="L323" s="41">
        <f>VLOOKUP(K323,'Dataset-1'!K324:W934,2,)</f>
        <v>0.16</v>
      </c>
      <c r="M323" s="71" t="str">
        <f>VLOOKUP(L323,'Dataset-1'!L324:X934,2,)</f>
        <v>Rainy</v>
      </c>
      <c r="N323" s="41">
        <f>VLOOKUP(A323,'Dataset-2'!B324:H934,2,)</f>
        <v>0.2273</v>
      </c>
      <c r="O323" s="41">
        <f>VLOOKUP(N323,'Dataset-2'!C324:I934,2,)</f>
        <v>0.69</v>
      </c>
      <c r="P323" s="41">
        <f>VLOOKUP(O323,'Dataset-2'!D324:J934,2,)</f>
        <v>0</v>
      </c>
      <c r="Q323" s="41">
        <f>VLOOKUP(P323,'Dataset-2'!E324:K934,2,)</f>
        <v>4</v>
      </c>
      <c r="R323" s="41">
        <f>VLOOKUP(Q323,'Dataset-2'!F324:L934,2,)</f>
        <v>48</v>
      </c>
      <c r="S323" s="41">
        <f>VLOOKUP(R323,'Dataset-2'!G324:M934,2,)</f>
        <v>52</v>
      </c>
    </row>
    <row r="324" spans="1:19" x14ac:dyDescent="0.35">
      <c r="A324" s="40">
        <v>323</v>
      </c>
      <c r="B324" s="62">
        <f>VLOOKUP(A324,'Dataset-1'!A325:M935,2,)</f>
        <v>40557</v>
      </c>
      <c r="C324" s="41">
        <f>VLOOKUP(B324,'Dataset-1'!B325:N935,2,)</f>
        <v>1</v>
      </c>
      <c r="D324" s="41">
        <f>VLOOKUP(C324,'Dataset-1'!C325:O935,2,)</f>
        <v>0</v>
      </c>
      <c r="E324" s="41">
        <f>VLOOKUP(D324,'Dataset-1'!D325:P935,2,)</f>
        <v>1</v>
      </c>
      <c r="F324" s="41">
        <f>VLOOKUP(E324,'Dataset-1'!E325:Q935,2,)</f>
        <v>22</v>
      </c>
      <c r="G324" s="71" t="str">
        <f>VLOOKUP(F324,'Dataset-1'!F325:R935,2,)</f>
        <v>Night</v>
      </c>
      <c r="H324" s="41" t="b">
        <f>VLOOKUP(G324,'Dataset-1'!G325:S935,2,)</f>
        <v>0</v>
      </c>
      <c r="I324" s="41">
        <f>VLOOKUP(H324,'Dataset-1'!H325:T935,2,)</f>
        <v>5</v>
      </c>
      <c r="J324" s="71" t="str">
        <f>VLOOKUP(I324,'Dataset-1'!I325:U935,2,)</f>
        <v>Thusday</v>
      </c>
      <c r="K324" s="41">
        <f>VLOOKUP(J324,'Dataset-1'!J325:V935,2,)</f>
        <v>2</v>
      </c>
      <c r="L324" s="41">
        <f>VLOOKUP(K324,'Dataset-1'!K325:W935,2,)</f>
        <v>0.16</v>
      </c>
      <c r="M324" s="71" t="str">
        <f>VLOOKUP(L324,'Dataset-1'!L325:X935,2,)</f>
        <v>Rainy</v>
      </c>
      <c r="N324" s="41">
        <f>VLOOKUP(A324,'Dataset-2'!B325:H935,2,)</f>
        <v>0.2273</v>
      </c>
      <c r="O324" s="41">
        <f>VLOOKUP(N324,'Dataset-2'!C325:I935,2,)</f>
        <v>0.69</v>
      </c>
      <c r="P324" s="41">
        <f>VLOOKUP(O324,'Dataset-2'!D325:J935,2,)</f>
        <v>0</v>
      </c>
      <c r="Q324" s="41">
        <f>VLOOKUP(P324,'Dataset-2'!E325:K935,2,)</f>
        <v>2</v>
      </c>
      <c r="R324" s="41">
        <f>VLOOKUP(Q324,'Dataset-2'!F325:L935,2,)</f>
        <v>34</v>
      </c>
      <c r="S324" s="41">
        <f>VLOOKUP(R324,'Dataset-2'!G325:M935,2,)</f>
        <v>36</v>
      </c>
    </row>
    <row r="325" spans="1:19" x14ac:dyDescent="0.35">
      <c r="A325" s="40">
        <v>324</v>
      </c>
      <c r="B325" s="62">
        <f>VLOOKUP(A325,'Dataset-1'!A326:M936,2,)</f>
        <v>40557</v>
      </c>
      <c r="C325" s="41">
        <f>VLOOKUP(B325,'Dataset-1'!B326:N936,2,)</f>
        <v>1</v>
      </c>
      <c r="D325" s="41">
        <f>VLOOKUP(C325,'Dataset-1'!C326:O936,2,)</f>
        <v>0</v>
      </c>
      <c r="E325" s="41">
        <f>VLOOKUP(D325,'Dataset-1'!D326:P936,2,)</f>
        <v>1</v>
      </c>
      <c r="F325" s="41">
        <f>VLOOKUP(E325,'Dataset-1'!E326:Q936,2,)</f>
        <v>23</v>
      </c>
      <c r="G325" s="71" t="str">
        <f>VLOOKUP(F325,'Dataset-1'!F326:R936,2,)</f>
        <v>Night</v>
      </c>
      <c r="H325" s="41" t="b">
        <f>VLOOKUP(G325,'Dataset-1'!G326:S936,2,)</f>
        <v>0</v>
      </c>
      <c r="I325" s="41">
        <f>VLOOKUP(H325,'Dataset-1'!H326:T936,2,)</f>
        <v>5</v>
      </c>
      <c r="J325" s="71" t="str">
        <f>VLOOKUP(I325,'Dataset-1'!I326:U936,2,)</f>
        <v>Thusday</v>
      </c>
      <c r="K325" s="41">
        <f>VLOOKUP(J325,'Dataset-1'!J326:V936,2,)</f>
        <v>2</v>
      </c>
      <c r="L325" s="41">
        <f>VLOOKUP(K325,'Dataset-1'!K326:W936,2,)</f>
        <v>0.18</v>
      </c>
      <c r="M325" s="71" t="str">
        <f>VLOOKUP(L325,'Dataset-1'!L326:X936,2,)</f>
        <v>Rainy</v>
      </c>
      <c r="N325" s="41">
        <f>VLOOKUP(A325,'Dataset-2'!B326:H936,2,)</f>
        <v>0.2424</v>
      </c>
      <c r="O325" s="41">
        <f>VLOOKUP(N325,'Dataset-2'!C326:I936,2,)</f>
        <v>0.55000000000000004</v>
      </c>
      <c r="P325" s="41">
        <f>VLOOKUP(O325,'Dataset-2'!D326:J936,2,)</f>
        <v>0</v>
      </c>
      <c r="Q325" s="41">
        <f>VLOOKUP(P325,'Dataset-2'!E326:K936,2,)</f>
        <v>1</v>
      </c>
      <c r="R325" s="41">
        <f>VLOOKUP(Q325,'Dataset-2'!F326:L936,2,)</f>
        <v>26</v>
      </c>
      <c r="S325" s="41">
        <f>VLOOKUP(R325,'Dataset-2'!G326:M936,2,)</f>
        <v>27</v>
      </c>
    </row>
    <row r="326" spans="1:19" x14ac:dyDescent="0.35">
      <c r="A326" s="40">
        <v>325</v>
      </c>
      <c r="B326" s="62">
        <f>VLOOKUP(A326,'Dataset-1'!A327:M937,2,)</f>
        <v>40558</v>
      </c>
      <c r="C326" s="41">
        <f>VLOOKUP(B326,'Dataset-1'!B327:N937,2,)</f>
        <v>1</v>
      </c>
      <c r="D326" s="41">
        <f>VLOOKUP(C326,'Dataset-1'!C327:O937,2,)</f>
        <v>0</v>
      </c>
      <c r="E326" s="41">
        <f>VLOOKUP(D326,'Dataset-1'!D327:P937,2,)</f>
        <v>1</v>
      </c>
      <c r="F326" s="41">
        <f>VLOOKUP(E326,'Dataset-1'!E327:Q937,2,)</f>
        <v>0</v>
      </c>
      <c r="G326" s="71" t="str">
        <f>VLOOKUP(F326,'Dataset-1'!F327:R937,2,)</f>
        <v>Night</v>
      </c>
      <c r="H326" s="41" t="b">
        <f>VLOOKUP(G326,'Dataset-1'!G327:S937,2,)</f>
        <v>0</v>
      </c>
      <c r="I326" s="41">
        <f>VLOOKUP(H326,'Dataset-1'!H327:T937,2,)</f>
        <v>6</v>
      </c>
      <c r="J326" s="71" t="str">
        <f>VLOOKUP(I326,'Dataset-1'!I327:U937,2,)</f>
        <v>Friday</v>
      </c>
      <c r="K326" s="41">
        <f>VLOOKUP(J326,'Dataset-1'!J327:V937,2,)</f>
        <v>1</v>
      </c>
      <c r="L326" s="41">
        <f>VLOOKUP(K326,'Dataset-1'!K327:W937,2,)</f>
        <v>0.18</v>
      </c>
      <c r="M326" s="71" t="str">
        <f>VLOOKUP(L326,'Dataset-1'!L327:X937,2,)</f>
        <v>Rainy</v>
      </c>
      <c r="N326" s="41">
        <f>VLOOKUP(A326,'Dataset-2'!B327:H937,2,)</f>
        <v>0.2424</v>
      </c>
      <c r="O326" s="41">
        <f>VLOOKUP(N326,'Dataset-2'!C327:I937,2,)</f>
        <v>0.55000000000000004</v>
      </c>
      <c r="P326" s="41">
        <f>VLOOKUP(O326,'Dataset-2'!D327:J937,2,)</f>
        <v>0</v>
      </c>
      <c r="Q326" s="41">
        <f>VLOOKUP(P326,'Dataset-2'!E327:K937,2,)</f>
        <v>3</v>
      </c>
      <c r="R326" s="41">
        <f>VLOOKUP(Q326,'Dataset-2'!F327:L937,2,)</f>
        <v>25</v>
      </c>
      <c r="S326" s="41">
        <f>VLOOKUP(R326,'Dataset-2'!G327:M937,2,)</f>
        <v>28</v>
      </c>
    </row>
    <row r="327" spans="1:19" x14ac:dyDescent="0.35">
      <c r="A327" s="40">
        <v>326</v>
      </c>
      <c r="B327" s="62">
        <f>VLOOKUP(A327,'Dataset-1'!A328:M938,2,)</f>
        <v>40558</v>
      </c>
      <c r="C327" s="41">
        <f>VLOOKUP(B327,'Dataset-1'!B328:N938,2,)</f>
        <v>1</v>
      </c>
      <c r="D327" s="41">
        <f>VLOOKUP(C327,'Dataset-1'!C328:O938,2,)</f>
        <v>0</v>
      </c>
      <c r="E327" s="41">
        <f>VLOOKUP(D327,'Dataset-1'!D328:P938,2,)</f>
        <v>1</v>
      </c>
      <c r="F327" s="41">
        <f>VLOOKUP(E327,'Dataset-1'!E328:Q938,2,)</f>
        <v>1</v>
      </c>
      <c r="G327" s="71" t="str">
        <f>VLOOKUP(F327,'Dataset-1'!F328:R938,2,)</f>
        <v>Night</v>
      </c>
      <c r="H327" s="41" t="b">
        <f>VLOOKUP(G327,'Dataset-1'!G328:S938,2,)</f>
        <v>0</v>
      </c>
      <c r="I327" s="41">
        <f>VLOOKUP(H327,'Dataset-1'!H328:T938,2,)</f>
        <v>6</v>
      </c>
      <c r="J327" s="71" t="str">
        <f>VLOOKUP(I327,'Dataset-1'!I328:U938,2,)</f>
        <v>Friday</v>
      </c>
      <c r="K327" s="41">
        <f>VLOOKUP(J327,'Dataset-1'!J328:V938,2,)</f>
        <v>2</v>
      </c>
      <c r="L327" s="41">
        <f>VLOOKUP(K327,'Dataset-1'!K328:W938,2,)</f>
        <v>0.16</v>
      </c>
      <c r="M327" s="71" t="str">
        <f>VLOOKUP(L327,'Dataset-1'!L328:X938,2,)</f>
        <v>Rainy</v>
      </c>
      <c r="N327" s="41">
        <f>VLOOKUP(A327,'Dataset-2'!B328:H938,2,)</f>
        <v>0.19700000000000001</v>
      </c>
      <c r="O327" s="41">
        <f>VLOOKUP(N327,'Dataset-2'!C328:I938,2,)</f>
        <v>0.59</v>
      </c>
      <c r="P327" s="41">
        <f>VLOOKUP(O327,'Dataset-2'!D328:J938,2,)</f>
        <v>8.9599999999999999E-2</v>
      </c>
      <c r="Q327" s="41">
        <f>VLOOKUP(P327,'Dataset-2'!E328:K938,2,)</f>
        <v>2</v>
      </c>
      <c r="R327" s="41">
        <f>VLOOKUP(Q327,'Dataset-2'!F328:L938,2,)</f>
        <v>18</v>
      </c>
      <c r="S327" s="41">
        <f>VLOOKUP(R327,'Dataset-2'!G328:M938,2,)</f>
        <v>20</v>
      </c>
    </row>
    <row r="328" spans="1:19" x14ac:dyDescent="0.35">
      <c r="A328" s="40">
        <v>327</v>
      </c>
      <c r="B328" s="62">
        <f>VLOOKUP(A328,'Dataset-1'!A329:M939,2,)</f>
        <v>40558</v>
      </c>
      <c r="C328" s="41">
        <f>VLOOKUP(B328,'Dataset-1'!B329:N939,2,)</f>
        <v>1</v>
      </c>
      <c r="D328" s="41">
        <f>VLOOKUP(C328,'Dataset-1'!C329:O939,2,)</f>
        <v>0</v>
      </c>
      <c r="E328" s="41">
        <f>VLOOKUP(D328,'Dataset-1'!D329:P939,2,)</f>
        <v>1</v>
      </c>
      <c r="F328" s="41">
        <f>VLOOKUP(E328,'Dataset-1'!E329:Q939,2,)</f>
        <v>2</v>
      </c>
      <c r="G328" s="71" t="str">
        <f>VLOOKUP(F328,'Dataset-1'!F329:R939,2,)</f>
        <v>Night</v>
      </c>
      <c r="H328" s="41" t="b">
        <f>VLOOKUP(G328,'Dataset-1'!G329:S939,2,)</f>
        <v>0</v>
      </c>
      <c r="I328" s="41">
        <f>VLOOKUP(H328,'Dataset-1'!H329:T939,2,)</f>
        <v>6</v>
      </c>
      <c r="J328" s="71" t="str">
        <f>VLOOKUP(I328,'Dataset-1'!I329:U939,2,)</f>
        <v>Friday</v>
      </c>
      <c r="K328" s="41">
        <f>VLOOKUP(J328,'Dataset-1'!J329:V939,2,)</f>
        <v>2</v>
      </c>
      <c r="L328" s="41">
        <f>VLOOKUP(K328,'Dataset-1'!K329:W939,2,)</f>
        <v>0.16</v>
      </c>
      <c r="M328" s="71" t="str">
        <f>VLOOKUP(L328,'Dataset-1'!L329:X939,2,)</f>
        <v>Rainy</v>
      </c>
      <c r="N328" s="41">
        <f>VLOOKUP(A328,'Dataset-2'!B329:H939,2,)</f>
        <v>0.19700000000000001</v>
      </c>
      <c r="O328" s="41">
        <f>VLOOKUP(N328,'Dataset-2'!C329:I939,2,)</f>
        <v>0.59</v>
      </c>
      <c r="P328" s="41">
        <f>VLOOKUP(O328,'Dataset-2'!D329:J939,2,)</f>
        <v>8.9599999999999999E-2</v>
      </c>
      <c r="Q328" s="41">
        <f>VLOOKUP(P328,'Dataset-2'!E329:K939,2,)</f>
        <v>0</v>
      </c>
      <c r="R328" s="41">
        <f>VLOOKUP(Q328,'Dataset-2'!F329:L939,2,)</f>
        <v>12</v>
      </c>
      <c r="S328" s="41">
        <f>VLOOKUP(R328,'Dataset-2'!G329:M939,2,)</f>
        <v>12</v>
      </c>
    </row>
    <row r="329" spans="1:19" x14ac:dyDescent="0.35">
      <c r="A329" s="40">
        <v>328</v>
      </c>
      <c r="B329" s="62">
        <f>VLOOKUP(A329,'Dataset-1'!A330:M940,2,)</f>
        <v>40558</v>
      </c>
      <c r="C329" s="41">
        <f>VLOOKUP(B329,'Dataset-1'!B330:N940,2,)</f>
        <v>1</v>
      </c>
      <c r="D329" s="41">
        <f>VLOOKUP(C329,'Dataset-1'!C330:O940,2,)</f>
        <v>0</v>
      </c>
      <c r="E329" s="41">
        <f>VLOOKUP(D329,'Dataset-1'!D330:P940,2,)</f>
        <v>1</v>
      </c>
      <c r="F329" s="41">
        <f>VLOOKUP(E329,'Dataset-1'!E330:Q940,2,)</f>
        <v>3</v>
      </c>
      <c r="G329" s="71" t="str">
        <f>VLOOKUP(F329,'Dataset-1'!F330:R940,2,)</f>
        <v>Night</v>
      </c>
      <c r="H329" s="41" t="b">
        <f>VLOOKUP(G329,'Dataset-1'!G330:S940,2,)</f>
        <v>0</v>
      </c>
      <c r="I329" s="41">
        <f>VLOOKUP(H329,'Dataset-1'!H330:T940,2,)</f>
        <v>6</v>
      </c>
      <c r="J329" s="71" t="str">
        <f>VLOOKUP(I329,'Dataset-1'!I330:U940,2,)</f>
        <v>Friday</v>
      </c>
      <c r="K329" s="41">
        <f>VLOOKUP(J329,'Dataset-1'!J330:V940,2,)</f>
        <v>2</v>
      </c>
      <c r="L329" s="41">
        <f>VLOOKUP(K329,'Dataset-1'!K330:W940,2,)</f>
        <v>0.16</v>
      </c>
      <c r="M329" s="71" t="str">
        <f>VLOOKUP(L329,'Dataset-1'!L330:X940,2,)</f>
        <v>Rainy</v>
      </c>
      <c r="N329" s="41">
        <f>VLOOKUP(A329,'Dataset-2'!B330:H940,2,)</f>
        <v>0.2273</v>
      </c>
      <c r="O329" s="41">
        <f>VLOOKUP(N329,'Dataset-2'!C330:I940,2,)</f>
        <v>0.59</v>
      </c>
      <c r="P329" s="41">
        <f>VLOOKUP(O329,'Dataset-2'!D330:J940,2,)</f>
        <v>0</v>
      </c>
      <c r="Q329" s="41">
        <f>VLOOKUP(P329,'Dataset-2'!E330:K940,2,)</f>
        <v>1</v>
      </c>
      <c r="R329" s="41">
        <f>VLOOKUP(Q329,'Dataset-2'!F330:L940,2,)</f>
        <v>7</v>
      </c>
      <c r="S329" s="41">
        <f>VLOOKUP(R329,'Dataset-2'!G330:M940,2,)</f>
        <v>8</v>
      </c>
    </row>
    <row r="330" spans="1:19" x14ac:dyDescent="0.35">
      <c r="A330" s="40">
        <v>329</v>
      </c>
      <c r="B330" s="62">
        <f>VLOOKUP(A330,'Dataset-1'!A331:M941,2,)</f>
        <v>40558</v>
      </c>
      <c r="C330" s="41">
        <f>VLOOKUP(B330,'Dataset-1'!B331:N941,2,)</f>
        <v>1</v>
      </c>
      <c r="D330" s="41">
        <f>VLOOKUP(C330,'Dataset-1'!C331:O941,2,)</f>
        <v>0</v>
      </c>
      <c r="E330" s="41">
        <f>VLOOKUP(D330,'Dataset-1'!D331:P941,2,)</f>
        <v>1</v>
      </c>
      <c r="F330" s="41">
        <f>VLOOKUP(E330,'Dataset-1'!E331:Q941,2,)</f>
        <v>4</v>
      </c>
      <c r="G330" s="71" t="str">
        <f>VLOOKUP(F330,'Dataset-1'!F331:R941,2,)</f>
        <v>Night</v>
      </c>
      <c r="H330" s="41" t="b">
        <f>VLOOKUP(G330,'Dataset-1'!G331:S941,2,)</f>
        <v>0</v>
      </c>
      <c r="I330" s="41">
        <f>VLOOKUP(H330,'Dataset-1'!H331:T941,2,)</f>
        <v>6</v>
      </c>
      <c r="J330" s="71" t="str">
        <f>VLOOKUP(I330,'Dataset-1'!I331:U941,2,)</f>
        <v>Friday</v>
      </c>
      <c r="K330" s="41">
        <f>VLOOKUP(J330,'Dataset-1'!J331:V941,2,)</f>
        <v>2</v>
      </c>
      <c r="L330" s="41">
        <f>VLOOKUP(K330,'Dataset-1'!K331:W941,2,)</f>
        <v>0.16</v>
      </c>
      <c r="M330" s="71" t="str">
        <f>VLOOKUP(L330,'Dataset-1'!L331:X941,2,)</f>
        <v>Rainy</v>
      </c>
      <c r="N330" s="41">
        <f>VLOOKUP(A330,'Dataset-2'!B331:H941,2,)</f>
        <v>0.2273</v>
      </c>
      <c r="O330" s="41">
        <f>VLOOKUP(N330,'Dataset-2'!C331:I941,2,)</f>
        <v>0.59</v>
      </c>
      <c r="P330" s="41">
        <f>VLOOKUP(O330,'Dataset-2'!D331:J941,2,)</f>
        <v>0</v>
      </c>
      <c r="Q330" s="41">
        <f>VLOOKUP(P330,'Dataset-2'!E331:K941,2,)</f>
        <v>0</v>
      </c>
      <c r="R330" s="41">
        <f>VLOOKUP(Q330,'Dataset-2'!F331:L941,2,)</f>
        <v>5</v>
      </c>
      <c r="S330" s="41">
        <f>VLOOKUP(R330,'Dataset-2'!G331:M941,2,)</f>
        <v>5</v>
      </c>
    </row>
    <row r="331" spans="1:19" x14ac:dyDescent="0.35">
      <c r="A331" s="40">
        <v>330</v>
      </c>
      <c r="B331" s="62">
        <f>VLOOKUP(A331,'Dataset-1'!A332:M942,2,)</f>
        <v>40558</v>
      </c>
      <c r="C331" s="41">
        <f>VLOOKUP(B331,'Dataset-1'!B332:N942,2,)</f>
        <v>1</v>
      </c>
      <c r="D331" s="41">
        <f>VLOOKUP(C331,'Dataset-1'!C332:O942,2,)</f>
        <v>0</v>
      </c>
      <c r="E331" s="41">
        <f>VLOOKUP(D331,'Dataset-1'!D332:P942,2,)</f>
        <v>1</v>
      </c>
      <c r="F331" s="41">
        <f>VLOOKUP(E331,'Dataset-1'!E332:Q942,2,)</f>
        <v>5</v>
      </c>
      <c r="G331" s="71" t="str">
        <f>VLOOKUP(F331,'Dataset-1'!F332:R942,2,)</f>
        <v>Morning</v>
      </c>
      <c r="H331" s="41" t="b">
        <f>VLOOKUP(G331,'Dataset-1'!G332:S942,2,)</f>
        <v>0</v>
      </c>
      <c r="I331" s="41">
        <f>VLOOKUP(H331,'Dataset-1'!H332:T942,2,)</f>
        <v>6</v>
      </c>
      <c r="J331" s="71" t="str">
        <f>VLOOKUP(I331,'Dataset-1'!I332:U942,2,)</f>
        <v>Friday</v>
      </c>
      <c r="K331" s="41">
        <f>VLOOKUP(J331,'Dataset-1'!J332:V942,2,)</f>
        <v>1</v>
      </c>
      <c r="L331" s="41">
        <f>VLOOKUP(K331,'Dataset-1'!K332:W942,2,)</f>
        <v>0.16</v>
      </c>
      <c r="M331" s="71" t="str">
        <f>VLOOKUP(L331,'Dataset-1'!L332:X942,2,)</f>
        <v>Rainy</v>
      </c>
      <c r="N331" s="41">
        <f>VLOOKUP(A331,'Dataset-2'!B332:H942,2,)</f>
        <v>0.2273</v>
      </c>
      <c r="O331" s="41">
        <f>VLOOKUP(N331,'Dataset-2'!C332:I942,2,)</f>
        <v>0.59</v>
      </c>
      <c r="P331" s="41">
        <f>VLOOKUP(O331,'Dataset-2'!D332:J942,2,)</f>
        <v>0</v>
      </c>
      <c r="Q331" s="41">
        <f>VLOOKUP(P331,'Dataset-2'!E332:K942,2,)</f>
        <v>0</v>
      </c>
      <c r="R331" s="41">
        <f>VLOOKUP(Q331,'Dataset-2'!F332:L942,2,)</f>
        <v>1</v>
      </c>
      <c r="S331" s="41">
        <f>VLOOKUP(R331,'Dataset-2'!G332:M942,2,)</f>
        <v>1</v>
      </c>
    </row>
    <row r="332" spans="1:19" x14ac:dyDescent="0.35">
      <c r="A332" s="40">
        <v>331</v>
      </c>
      <c r="B332" s="62">
        <f>VLOOKUP(A332,'Dataset-1'!A333:M943,2,)</f>
        <v>40558</v>
      </c>
      <c r="C332" s="41">
        <f>VLOOKUP(B332,'Dataset-1'!B333:N943,2,)</f>
        <v>1</v>
      </c>
      <c r="D332" s="41">
        <f>VLOOKUP(C332,'Dataset-1'!C333:O943,2,)</f>
        <v>0</v>
      </c>
      <c r="E332" s="41">
        <f>VLOOKUP(D332,'Dataset-1'!D333:P943,2,)</f>
        <v>1</v>
      </c>
      <c r="F332" s="41">
        <f>VLOOKUP(E332,'Dataset-1'!E333:Q943,2,)</f>
        <v>6</v>
      </c>
      <c r="G332" s="71" t="str">
        <f>VLOOKUP(F332,'Dataset-1'!F333:R943,2,)</f>
        <v>Morning</v>
      </c>
      <c r="H332" s="41" t="b">
        <f>VLOOKUP(G332,'Dataset-1'!G333:S943,2,)</f>
        <v>0</v>
      </c>
      <c r="I332" s="41">
        <f>VLOOKUP(H332,'Dataset-1'!H333:T943,2,)</f>
        <v>6</v>
      </c>
      <c r="J332" s="71" t="str">
        <f>VLOOKUP(I332,'Dataset-1'!I333:U943,2,)</f>
        <v>Friday</v>
      </c>
      <c r="K332" s="41">
        <f>VLOOKUP(J332,'Dataset-1'!J333:V943,2,)</f>
        <v>1</v>
      </c>
      <c r="L332" s="41">
        <f>VLOOKUP(K332,'Dataset-1'!K333:W943,2,)</f>
        <v>0.14000000000000001</v>
      </c>
      <c r="M332" s="71" t="str">
        <f>VLOOKUP(L332,'Dataset-1'!L333:X943,2,)</f>
        <v>Rainy</v>
      </c>
      <c r="N332" s="41">
        <f>VLOOKUP(A332,'Dataset-2'!B333:H943,2,)</f>
        <v>0.16669999999999999</v>
      </c>
      <c r="O332" s="41">
        <f>VLOOKUP(N332,'Dataset-2'!C333:I943,2,)</f>
        <v>0.63</v>
      </c>
      <c r="P332" s="41">
        <f>VLOOKUP(O332,'Dataset-2'!D333:J943,2,)</f>
        <v>0.1045</v>
      </c>
      <c r="Q332" s="41">
        <f>VLOOKUP(P332,'Dataset-2'!E333:K943,2,)</f>
        <v>1</v>
      </c>
      <c r="R332" s="41">
        <f>VLOOKUP(Q332,'Dataset-2'!F333:L943,2,)</f>
        <v>2</v>
      </c>
      <c r="S332" s="41">
        <f>VLOOKUP(R332,'Dataset-2'!G333:M943,2,)</f>
        <v>3</v>
      </c>
    </row>
    <row r="333" spans="1:19" x14ac:dyDescent="0.35">
      <c r="A333" s="40">
        <v>332</v>
      </c>
      <c r="B333" s="62">
        <f>VLOOKUP(A333,'Dataset-1'!A334:M944,2,)</f>
        <v>40558</v>
      </c>
      <c r="C333" s="41">
        <f>VLOOKUP(B333,'Dataset-1'!B334:N944,2,)</f>
        <v>1</v>
      </c>
      <c r="D333" s="41">
        <f>VLOOKUP(C333,'Dataset-1'!C334:O944,2,)</f>
        <v>0</v>
      </c>
      <c r="E333" s="41">
        <f>VLOOKUP(D333,'Dataset-1'!D334:P944,2,)</f>
        <v>1</v>
      </c>
      <c r="F333" s="41">
        <f>VLOOKUP(E333,'Dataset-1'!E334:Q944,2,)</f>
        <v>7</v>
      </c>
      <c r="G333" s="71" t="str">
        <f>VLOOKUP(F333,'Dataset-1'!F334:R944,2,)</f>
        <v>Morning</v>
      </c>
      <c r="H333" s="41" t="b">
        <f>VLOOKUP(G333,'Dataset-1'!G334:S944,2,)</f>
        <v>0</v>
      </c>
      <c r="I333" s="41">
        <f>VLOOKUP(H333,'Dataset-1'!H334:T944,2,)</f>
        <v>6</v>
      </c>
      <c r="J333" s="71" t="str">
        <f>VLOOKUP(I333,'Dataset-1'!I334:U944,2,)</f>
        <v>Friday</v>
      </c>
      <c r="K333" s="41">
        <f>VLOOKUP(J333,'Dataset-1'!J334:V944,2,)</f>
        <v>1</v>
      </c>
      <c r="L333" s="41">
        <f>VLOOKUP(K333,'Dataset-1'!K334:W944,2,)</f>
        <v>0.14000000000000001</v>
      </c>
      <c r="M333" s="71" t="str">
        <f>VLOOKUP(L333,'Dataset-1'!L334:X944,2,)</f>
        <v>Rainy</v>
      </c>
      <c r="N333" s="41">
        <f>VLOOKUP(A333,'Dataset-2'!B334:H944,2,)</f>
        <v>0.21210000000000001</v>
      </c>
      <c r="O333" s="41">
        <f>VLOOKUP(N333,'Dataset-2'!C334:I944,2,)</f>
        <v>0.63</v>
      </c>
      <c r="P333" s="41">
        <f>VLOOKUP(O333,'Dataset-2'!D334:J944,2,)</f>
        <v>0</v>
      </c>
      <c r="Q333" s="41">
        <f>VLOOKUP(P333,'Dataset-2'!E334:K944,2,)</f>
        <v>1</v>
      </c>
      <c r="R333" s="41">
        <f>VLOOKUP(Q333,'Dataset-2'!F334:L944,2,)</f>
        <v>9</v>
      </c>
      <c r="S333" s="41">
        <f>VLOOKUP(R333,'Dataset-2'!G334:M944,2,)</f>
        <v>10</v>
      </c>
    </row>
    <row r="334" spans="1:19" x14ac:dyDescent="0.35">
      <c r="A334" s="40">
        <v>333</v>
      </c>
      <c r="B334" s="62">
        <f>VLOOKUP(A334,'Dataset-1'!A335:M945,2,)</f>
        <v>40558</v>
      </c>
      <c r="C334" s="41">
        <f>VLOOKUP(B334,'Dataset-1'!B335:N945,2,)</f>
        <v>1</v>
      </c>
      <c r="D334" s="41">
        <f>VLOOKUP(C334,'Dataset-1'!C335:O945,2,)</f>
        <v>0</v>
      </c>
      <c r="E334" s="41">
        <f>VLOOKUP(D334,'Dataset-1'!D335:P945,2,)</f>
        <v>1</v>
      </c>
      <c r="F334" s="41">
        <f>VLOOKUP(E334,'Dataset-1'!E335:Q945,2,)</f>
        <v>8</v>
      </c>
      <c r="G334" s="71" t="str">
        <f>VLOOKUP(F334,'Dataset-1'!F335:R945,2,)</f>
        <v>Morning</v>
      </c>
      <c r="H334" s="41" t="b">
        <f>VLOOKUP(G334,'Dataset-1'!G335:S945,2,)</f>
        <v>0</v>
      </c>
      <c r="I334" s="41">
        <f>VLOOKUP(H334,'Dataset-1'!H335:T945,2,)</f>
        <v>6</v>
      </c>
      <c r="J334" s="71" t="str">
        <f>VLOOKUP(I334,'Dataset-1'!I335:U945,2,)</f>
        <v>Friday</v>
      </c>
      <c r="K334" s="41">
        <f>VLOOKUP(J334,'Dataset-1'!J335:V945,2,)</f>
        <v>1</v>
      </c>
      <c r="L334" s="41">
        <f>VLOOKUP(K334,'Dataset-1'!K335:W945,2,)</f>
        <v>0.14000000000000001</v>
      </c>
      <c r="M334" s="71" t="str">
        <f>VLOOKUP(L334,'Dataset-1'!L335:X945,2,)</f>
        <v>Rainy</v>
      </c>
      <c r="N334" s="41">
        <f>VLOOKUP(A334,'Dataset-2'!B335:H945,2,)</f>
        <v>0.1515</v>
      </c>
      <c r="O334" s="41">
        <f>VLOOKUP(N334,'Dataset-2'!C335:I945,2,)</f>
        <v>0.63</v>
      </c>
      <c r="P334" s="41">
        <f>VLOOKUP(O334,'Dataset-2'!D335:J945,2,)</f>
        <v>0.1343</v>
      </c>
      <c r="Q334" s="41">
        <f>VLOOKUP(P334,'Dataset-2'!E335:K945,2,)</f>
        <v>1</v>
      </c>
      <c r="R334" s="41">
        <f>VLOOKUP(Q334,'Dataset-2'!F335:L945,2,)</f>
        <v>22</v>
      </c>
      <c r="S334" s="41">
        <f>VLOOKUP(R334,'Dataset-2'!G335:M945,2,)</f>
        <v>23</v>
      </c>
    </row>
    <row r="335" spans="1:19" x14ac:dyDescent="0.35">
      <c r="A335" s="40">
        <v>334</v>
      </c>
      <c r="B335" s="62">
        <f>VLOOKUP(A335,'Dataset-1'!A336:M946,2,)</f>
        <v>40558</v>
      </c>
      <c r="C335" s="41">
        <f>VLOOKUP(B335,'Dataset-1'!B336:N946,2,)</f>
        <v>1</v>
      </c>
      <c r="D335" s="41">
        <f>VLOOKUP(C335,'Dataset-1'!C336:O946,2,)</f>
        <v>0</v>
      </c>
      <c r="E335" s="41">
        <f>VLOOKUP(D335,'Dataset-1'!D336:P946,2,)</f>
        <v>1</v>
      </c>
      <c r="F335" s="41">
        <f>VLOOKUP(E335,'Dataset-1'!E336:Q946,2,)</f>
        <v>9</v>
      </c>
      <c r="G335" s="71" t="str">
        <f>VLOOKUP(F335,'Dataset-1'!F336:R946,2,)</f>
        <v>Morning</v>
      </c>
      <c r="H335" s="41" t="b">
        <f>VLOOKUP(G335,'Dataset-1'!G336:S946,2,)</f>
        <v>0</v>
      </c>
      <c r="I335" s="41">
        <f>VLOOKUP(H335,'Dataset-1'!H336:T946,2,)</f>
        <v>6</v>
      </c>
      <c r="J335" s="71" t="str">
        <f>VLOOKUP(I335,'Dataset-1'!I336:U946,2,)</f>
        <v>Friday</v>
      </c>
      <c r="K335" s="41">
        <f>VLOOKUP(J335,'Dataset-1'!J336:V946,2,)</f>
        <v>1</v>
      </c>
      <c r="L335" s="41">
        <f>VLOOKUP(K335,'Dataset-1'!K336:W946,2,)</f>
        <v>0.16</v>
      </c>
      <c r="M335" s="71" t="str">
        <f>VLOOKUP(L335,'Dataset-1'!L336:X946,2,)</f>
        <v>Rainy</v>
      </c>
      <c r="N335" s="41">
        <f>VLOOKUP(A335,'Dataset-2'!B336:H946,2,)</f>
        <v>0.18179999999999999</v>
      </c>
      <c r="O335" s="41">
        <f>VLOOKUP(N335,'Dataset-2'!C336:I946,2,)</f>
        <v>0.64</v>
      </c>
      <c r="P335" s="41">
        <f>VLOOKUP(O335,'Dataset-2'!D336:J946,2,)</f>
        <v>0.1343</v>
      </c>
      <c r="Q335" s="41">
        <f>VLOOKUP(P335,'Dataset-2'!E336:K946,2,)</f>
        <v>2</v>
      </c>
      <c r="R335" s="41">
        <f>VLOOKUP(Q335,'Dataset-2'!F336:L946,2,)</f>
        <v>31</v>
      </c>
      <c r="S335" s="41">
        <f>VLOOKUP(R335,'Dataset-2'!G336:M946,2,)</f>
        <v>33</v>
      </c>
    </row>
    <row r="336" spans="1:19" x14ac:dyDescent="0.35">
      <c r="A336" s="40">
        <v>335</v>
      </c>
      <c r="B336" s="62">
        <f>VLOOKUP(A336,'Dataset-1'!A337:M947,2,)</f>
        <v>40558</v>
      </c>
      <c r="C336" s="41">
        <f>VLOOKUP(B336,'Dataset-1'!B337:N947,2,)</f>
        <v>1</v>
      </c>
      <c r="D336" s="41">
        <f>VLOOKUP(C336,'Dataset-1'!C337:O947,2,)</f>
        <v>0</v>
      </c>
      <c r="E336" s="41">
        <f>VLOOKUP(D336,'Dataset-1'!D337:P947,2,)</f>
        <v>1</v>
      </c>
      <c r="F336" s="41">
        <f>VLOOKUP(E336,'Dataset-1'!E337:Q947,2,)</f>
        <v>10</v>
      </c>
      <c r="G336" s="71" t="str">
        <f>VLOOKUP(F336,'Dataset-1'!F337:R947,2,)</f>
        <v>Morning</v>
      </c>
      <c r="H336" s="41" t="b">
        <f>VLOOKUP(G336,'Dataset-1'!G337:S947,2,)</f>
        <v>0</v>
      </c>
      <c r="I336" s="41">
        <f>VLOOKUP(H336,'Dataset-1'!H337:T947,2,)</f>
        <v>6</v>
      </c>
      <c r="J336" s="71" t="str">
        <f>VLOOKUP(I336,'Dataset-1'!I337:U947,2,)</f>
        <v>Friday</v>
      </c>
      <c r="K336" s="41">
        <f>VLOOKUP(J336,'Dataset-1'!J337:V947,2,)</f>
        <v>1</v>
      </c>
      <c r="L336" s="41">
        <f>VLOOKUP(K336,'Dataset-1'!K337:W947,2,)</f>
        <v>0.18</v>
      </c>
      <c r="M336" s="71" t="str">
        <f>VLOOKUP(L336,'Dataset-1'!L337:X947,2,)</f>
        <v>Rainy</v>
      </c>
      <c r="N336" s="41">
        <f>VLOOKUP(A336,'Dataset-2'!B337:H947,2,)</f>
        <v>0.19700000000000001</v>
      </c>
      <c r="O336" s="41">
        <f>VLOOKUP(N336,'Dataset-2'!C337:I947,2,)</f>
        <v>0.59</v>
      </c>
      <c r="P336" s="41">
        <f>VLOOKUP(O336,'Dataset-2'!D337:J947,2,)</f>
        <v>0.16420000000000001</v>
      </c>
      <c r="Q336" s="41">
        <f>VLOOKUP(P336,'Dataset-2'!E337:K947,2,)</f>
        <v>2</v>
      </c>
      <c r="R336" s="41">
        <f>VLOOKUP(Q336,'Dataset-2'!F337:L947,2,)</f>
        <v>57</v>
      </c>
      <c r="S336" s="41">
        <f>VLOOKUP(R336,'Dataset-2'!G337:M947,2,)</f>
        <v>59</v>
      </c>
    </row>
    <row r="337" spans="1:19" x14ac:dyDescent="0.35">
      <c r="A337" s="40">
        <v>336</v>
      </c>
      <c r="B337" s="62">
        <f>VLOOKUP(A337,'Dataset-1'!A338:M948,2,)</f>
        <v>40558</v>
      </c>
      <c r="C337" s="41">
        <f>VLOOKUP(B337,'Dataset-1'!B338:N948,2,)</f>
        <v>1</v>
      </c>
      <c r="D337" s="41">
        <f>VLOOKUP(C337,'Dataset-1'!C338:O948,2,)</f>
        <v>0</v>
      </c>
      <c r="E337" s="41">
        <f>VLOOKUP(D337,'Dataset-1'!D338:P948,2,)</f>
        <v>1</v>
      </c>
      <c r="F337" s="41">
        <f>VLOOKUP(E337,'Dataset-1'!E338:Q948,2,)</f>
        <v>11</v>
      </c>
      <c r="G337" s="71" t="str">
        <f>VLOOKUP(F337,'Dataset-1'!F338:R948,2,)</f>
        <v>Morning</v>
      </c>
      <c r="H337" s="41" t="b">
        <f>VLOOKUP(G337,'Dataset-1'!G338:S948,2,)</f>
        <v>0</v>
      </c>
      <c r="I337" s="41">
        <f>VLOOKUP(H337,'Dataset-1'!H338:T948,2,)</f>
        <v>6</v>
      </c>
      <c r="J337" s="71" t="str">
        <f>VLOOKUP(I337,'Dataset-1'!I338:U948,2,)</f>
        <v>Friday</v>
      </c>
      <c r="K337" s="41">
        <f>VLOOKUP(J337,'Dataset-1'!J338:V948,2,)</f>
        <v>1</v>
      </c>
      <c r="L337" s="41">
        <f>VLOOKUP(K337,'Dataset-1'!K338:W948,2,)</f>
        <v>0.2</v>
      </c>
      <c r="M337" s="71" t="str">
        <f>VLOOKUP(L337,'Dataset-1'!L338:X948,2,)</f>
        <v>Rainy</v>
      </c>
      <c r="N337" s="41">
        <f>VLOOKUP(A337,'Dataset-2'!B338:H948,2,)</f>
        <v>0.19700000000000001</v>
      </c>
      <c r="O337" s="41">
        <f>VLOOKUP(N337,'Dataset-2'!C338:I948,2,)</f>
        <v>0.55000000000000004</v>
      </c>
      <c r="P337" s="41">
        <f>VLOOKUP(O337,'Dataset-2'!D338:J948,2,)</f>
        <v>0.22389999999999999</v>
      </c>
      <c r="Q337" s="41">
        <f>VLOOKUP(P337,'Dataset-2'!E338:K948,2,)</f>
        <v>18</v>
      </c>
      <c r="R337" s="41">
        <f>VLOOKUP(Q337,'Dataset-2'!F338:L948,2,)</f>
        <v>54</v>
      </c>
      <c r="S337" s="41">
        <f>VLOOKUP(R337,'Dataset-2'!G338:M948,2,)</f>
        <v>72</v>
      </c>
    </row>
    <row r="338" spans="1:19" x14ac:dyDescent="0.35">
      <c r="A338" s="40">
        <v>337</v>
      </c>
      <c r="B338" s="62">
        <f>VLOOKUP(A338,'Dataset-1'!A339:M949,2,)</f>
        <v>40558</v>
      </c>
      <c r="C338" s="41">
        <f>VLOOKUP(B338,'Dataset-1'!B339:N949,2,)</f>
        <v>1</v>
      </c>
      <c r="D338" s="41">
        <f>VLOOKUP(C338,'Dataset-1'!C339:O949,2,)</f>
        <v>0</v>
      </c>
      <c r="E338" s="41">
        <f>VLOOKUP(D338,'Dataset-1'!D339:P949,2,)</f>
        <v>1</v>
      </c>
      <c r="F338" s="41">
        <f>VLOOKUP(E338,'Dataset-1'!E339:Q949,2,)</f>
        <v>12</v>
      </c>
      <c r="G338" s="71" t="str">
        <f>VLOOKUP(F338,'Dataset-1'!F339:R949,2,)</f>
        <v>AfterNoon</v>
      </c>
      <c r="H338" s="41" t="b">
        <f>VLOOKUP(G338,'Dataset-1'!G339:S949,2,)</f>
        <v>0</v>
      </c>
      <c r="I338" s="41">
        <f>VLOOKUP(H338,'Dataset-1'!H339:T949,2,)</f>
        <v>6</v>
      </c>
      <c r="J338" s="71" t="str">
        <f>VLOOKUP(I338,'Dataset-1'!I339:U949,2,)</f>
        <v>Friday</v>
      </c>
      <c r="K338" s="41">
        <f>VLOOKUP(J338,'Dataset-1'!J339:V949,2,)</f>
        <v>1</v>
      </c>
      <c r="L338" s="41">
        <f>VLOOKUP(K338,'Dataset-1'!K339:W949,2,)</f>
        <v>0.24</v>
      </c>
      <c r="M338" s="71" t="str">
        <f>VLOOKUP(L338,'Dataset-1'!L339:X949,2,)</f>
        <v>Cloudy</v>
      </c>
      <c r="N338" s="41">
        <f>VLOOKUP(A338,'Dataset-2'!B339:H949,2,)</f>
        <v>0.2273</v>
      </c>
      <c r="O338" s="41">
        <f>VLOOKUP(N338,'Dataset-2'!C339:I949,2,)</f>
        <v>0.48</v>
      </c>
      <c r="P338" s="41">
        <f>VLOOKUP(O338,'Dataset-2'!D339:J949,2,)</f>
        <v>0.22389999999999999</v>
      </c>
      <c r="Q338" s="41">
        <f>VLOOKUP(P338,'Dataset-2'!E339:K949,2,)</f>
        <v>15</v>
      </c>
      <c r="R338" s="41">
        <f>VLOOKUP(Q338,'Dataset-2'!F339:L949,2,)</f>
        <v>74</v>
      </c>
      <c r="S338" s="41">
        <f>VLOOKUP(R338,'Dataset-2'!G339:M949,2,)</f>
        <v>89</v>
      </c>
    </row>
    <row r="339" spans="1:19" x14ac:dyDescent="0.35">
      <c r="A339" s="40">
        <v>338</v>
      </c>
      <c r="B339" s="62">
        <f>VLOOKUP(A339,'Dataset-1'!A340:M950,2,)</f>
        <v>40558</v>
      </c>
      <c r="C339" s="41">
        <f>VLOOKUP(B339,'Dataset-1'!B340:N950,2,)</f>
        <v>1</v>
      </c>
      <c r="D339" s="41">
        <f>VLOOKUP(C339,'Dataset-1'!C340:O950,2,)</f>
        <v>0</v>
      </c>
      <c r="E339" s="41">
        <f>VLOOKUP(D339,'Dataset-1'!D340:P950,2,)</f>
        <v>1</v>
      </c>
      <c r="F339" s="41">
        <f>VLOOKUP(E339,'Dataset-1'!E340:Q950,2,)</f>
        <v>13</v>
      </c>
      <c r="G339" s="71" t="str">
        <f>VLOOKUP(F339,'Dataset-1'!F340:R950,2,)</f>
        <v>AfterNoon</v>
      </c>
      <c r="H339" s="41" t="b">
        <f>VLOOKUP(G339,'Dataset-1'!G340:S950,2,)</f>
        <v>0</v>
      </c>
      <c r="I339" s="41">
        <f>VLOOKUP(H339,'Dataset-1'!H340:T950,2,)</f>
        <v>6</v>
      </c>
      <c r="J339" s="71" t="str">
        <f>VLOOKUP(I339,'Dataset-1'!I340:U950,2,)</f>
        <v>Friday</v>
      </c>
      <c r="K339" s="41">
        <f>VLOOKUP(J339,'Dataset-1'!J340:V950,2,)</f>
        <v>1</v>
      </c>
      <c r="L339" s="41">
        <f>VLOOKUP(K339,'Dataset-1'!K340:W950,2,)</f>
        <v>0.28000000000000003</v>
      </c>
      <c r="M339" s="71" t="str">
        <f>VLOOKUP(L339,'Dataset-1'!L340:X950,2,)</f>
        <v>Cloudy</v>
      </c>
      <c r="N339" s="41">
        <f>VLOOKUP(A339,'Dataset-2'!B340:H950,2,)</f>
        <v>0.2576</v>
      </c>
      <c r="O339" s="41">
        <f>VLOOKUP(N339,'Dataset-2'!C340:I950,2,)</f>
        <v>0.38</v>
      </c>
      <c r="P339" s="41">
        <f>VLOOKUP(O339,'Dataset-2'!D340:J950,2,)</f>
        <v>0.29849999999999999</v>
      </c>
      <c r="Q339" s="41">
        <f>VLOOKUP(P339,'Dataset-2'!E340:K950,2,)</f>
        <v>21</v>
      </c>
      <c r="R339" s="41">
        <f>VLOOKUP(Q339,'Dataset-2'!F340:L950,2,)</f>
        <v>80</v>
      </c>
      <c r="S339" s="41">
        <f>VLOOKUP(R339,'Dataset-2'!G340:M950,2,)</f>
        <v>101</v>
      </c>
    </row>
    <row r="340" spans="1:19" x14ac:dyDescent="0.35">
      <c r="A340" s="40">
        <v>339</v>
      </c>
      <c r="B340" s="62">
        <f>VLOOKUP(A340,'Dataset-1'!A341:M951,2,)</f>
        <v>40558</v>
      </c>
      <c r="C340" s="41">
        <f>VLOOKUP(B340,'Dataset-1'!B341:N951,2,)</f>
        <v>1</v>
      </c>
      <c r="D340" s="41">
        <f>VLOOKUP(C340,'Dataset-1'!C341:O951,2,)</f>
        <v>0</v>
      </c>
      <c r="E340" s="41">
        <f>VLOOKUP(D340,'Dataset-1'!D341:P951,2,)</f>
        <v>1</v>
      </c>
      <c r="F340" s="41">
        <f>VLOOKUP(E340,'Dataset-1'!E341:Q951,2,)</f>
        <v>14</v>
      </c>
      <c r="G340" s="71" t="str">
        <f>VLOOKUP(F340,'Dataset-1'!F341:R951,2,)</f>
        <v>AfterNoon</v>
      </c>
      <c r="H340" s="41" t="b">
        <f>VLOOKUP(G340,'Dataset-1'!G341:S951,2,)</f>
        <v>0</v>
      </c>
      <c r="I340" s="41">
        <f>VLOOKUP(H340,'Dataset-1'!H341:T951,2,)</f>
        <v>6</v>
      </c>
      <c r="J340" s="71" t="str">
        <f>VLOOKUP(I340,'Dataset-1'!I341:U951,2,)</f>
        <v>Friday</v>
      </c>
      <c r="K340" s="41">
        <f>VLOOKUP(J340,'Dataset-1'!J341:V951,2,)</f>
        <v>1</v>
      </c>
      <c r="L340" s="41">
        <f>VLOOKUP(K340,'Dataset-1'!K341:W951,2,)</f>
        <v>0.3</v>
      </c>
      <c r="M340" s="71" t="str">
        <f>VLOOKUP(L340,'Dataset-1'!L341:X951,2,)</f>
        <v>Cloudy</v>
      </c>
      <c r="N340" s="41">
        <f>VLOOKUP(A340,'Dataset-2'!B341:H951,2,)</f>
        <v>0.28789999999999999</v>
      </c>
      <c r="O340" s="41">
        <f>VLOOKUP(N340,'Dataset-2'!C341:I951,2,)</f>
        <v>0.39</v>
      </c>
      <c r="P340" s="41">
        <f>VLOOKUP(O340,'Dataset-2'!D341:J951,2,)</f>
        <v>0.28360000000000002</v>
      </c>
      <c r="Q340" s="41">
        <f>VLOOKUP(P340,'Dataset-2'!E341:K951,2,)</f>
        <v>26</v>
      </c>
      <c r="R340" s="41">
        <f>VLOOKUP(Q340,'Dataset-2'!F341:L951,2,)</f>
        <v>92</v>
      </c>
      <c r="S340" s="41">
        <f>VLOOKUP(R340,'Dataset-2'!G341:M951,2,)</f>
        <v>118</v>
      </c>
    </row>
    <row r="341" spans="1:19" x14ac:dyDescent="0.35">
      <c r="A341" s="40">
        <v>340</v>
      </c>
      <c r="B341" s="62">
        <f>VLOOKUP(A341,'Dataset-1'!A342:M952,2,)</f>
        <v>40558</v>
      </c>
      <c r="C341" s="41">
        <f>VLOOKUP(B341,'Dataset-1'!B342:N952,2,)</f>
        <v>1</v>
      </c>
      <c r="D341" s="41">
        <f>VLOOKUP(C341,'Dataset-1'!C342:O952,2,)</f>
        <v>0</v>
      </c>
      <c r="E341" s="41">
        <f>VLOOKUP(D341,'Dataset-1'!D342:P952,2,)</f>
        <v>1</v>
      </c>
      <c r="F341" s="41">
        <f>VLOOKUP(E341,'Dataset-1'!E342:Q952,2,)</f>
        <v>15</v>
      </c>
      <c r="G341" s="71" t="str">
        <f>VLOOKUP(F341,'Dataset-1'!F342:R952,2,)</f>
        <v>AfterNoon</v>
      </c>
      <c r="H341" s="41" t="b">
        <f>VLOOKUP(G341,'Dataset-1'!G342:S952,2,)</f>
        <v>0</v>
      </c>
      <c r="I341" s="41">
        <f>VLOOKUP(H341,'Dataset-1'!H342:T952,2,)</f>
        <v>6</v>
      </c>
      <c r="J341" s="71" t="str">
        <f>VLOOKUP(I341,'Dataset-1'!I342:U952,2,)</f>
        <v>Friday</v>
      </c>
      <c r="K341" s="41">
        <f>VLOOKUP(J341,'Dataset-1'!J342:V952,2,)</f>
        <v>2</v>
      </c>
      <c r="L341" s="41">
        <f>VLOOKUP(K341,'Dataset-1'!K342:W952,2,)</f>
        <v>0.32</v>
      </c>
      <c r="M341" s="71" t="str">
        <f>VLOOKUP(L341,'Dataset-1'!L342:X952,2,)</f>
        <v>Sunny</v>
      </c>
      <c r="N341" s="41">
        <f>VLOOKUP(A341,'Dataset-2'!B342:H952,2,)</f>
        <v>0.31819999999999998</v>
      </c>
      <c r="O341" s="41">
        <f>VLOOKUP(N341,'Dataset-2'!C342:I952,2,)</f>
        <v>0.36</v>
      </c>
      <c r="P341" s="41">
        <f>VLOOKUP(O341,'Dataset-2'!D342:J952,2,)</f>
        <v>0.19400000000000001</v>
      </c>
      <c r="Q341" s="41">
        <f>VLOOKUP(P341,'Dataset-2'!E342:K952,2,)</f>
        <v>21</v>
      </c>
      <c r="R341" s="41">
        <f>VLOOKUP(Q341,'Dataset-2'!F342:L952,2,)</f>
        <v>108</v>
      </c>
      <c r="S341" s="41">
        <f>VLOOKUP(R341,'Dataset-2'!G342:M952,2,)</f>
        <v>129</v>
      </c>
    </row>
    <row r="342" spans="1:19" x14ac:dyDescent="0.35">
      <c r="A342" s="40">
        <v>341</v>
      </c>
      <c r="B342" s="62">
        <f>VLOOKUP(A342,'Dataset-1'!A343:M953,2,)</f>
        <v>40558</v>
      </c>
      <c r="C342" s="41">
        <f>VLOOKUP(B342,'Dataset-1'!B343:N953,2,)</f>
        <v>1</v>
      </c>
      <c r="D342" s="41">
        <f>VLOOKUP(C342,'Dataset-1'!C343:O953,2,)</f>
        <v>0</v>
      </c>
      <c r="E342" s="41">
        <f>VLOOKUP(D342,'Dataset-1'!D343:P953,2,)</f>
        <v>1</v>
      </c>
      <c r="F342" s="41">
        <f>VLOOKUP(E342,'Dataset-1'!E343:Q953,2,)</f>
        <v>16</v>
      </c>
      <c r="G342" s="71" t="str">
        <f>VLOOKUP(F342,'Dataset-1'!F343:R953,2,)</f>
        <v>AfterNoon</v>
      </c>
      <c r="H342" s="41" t="b">
        <f>VLOOKUP(G342,'Dataset-1'!G343:S953,2,)</f>
        <v>0</v>
      </c>
      <c r="I342" s="41">
        <f>VLOOKUP(H342,'Dataset-1'!H343:T953,2,)</f>
        <v>6</v>
      </c>
      <c r="J342" s="71" t="str">
        <f>VLOOKUP(I342,'Dataset-1'!I343:U953,2,)</f>
        <v>Friday</v>
      </c>
      <c r="K342" s="41">
        <f>VLOOKUP(J342,'Dataset-1'!J343:V953,2,)</f>
        <v>2</v>
      </c>
      <c r="L342" s="41">
        <f>VLOOKUP(K342,'Dataset-1'!K343:W953,2,)</f>
        <v>0.34</v>
      </c>
      <c r="M342" s="71" t="str">
        <f>VLOOKUP(L342,'Dataset-1'!L343:X953,2,)</f>
        <v>Sunny</v>
      </c>
      <c r="N342" s="41">
        <f>VLOOKUP(A342,'Dataset-2'!B343:H953,2,)</f>
        <v>0.33329999999999999</v>
      </c>
      <c r="O342" s="41">
        <f>VLOOKUP(N342,'Dataset-2'!C343:I953,2,)</f>
        <v>0.34</v>
      </c>
      <c r="P342" s="41">
        <f>VLOOKUP(O342,'Dataset-2'!D343:J953,2,)</f>
        <v>0.19400000000000001</v>
      </c>
      <c r="Q342" s="41">
        <f>VLOOKUP(P342,'Dataset-2'!E343:K953,2,)</f>
        <v>33</v>
      </c>
      <c r="R342" s="41">
        <f>VLOOKUP(Q342,'Dataset-2'!F343:L953,2,)</f>
        <v>95</v>
      </c>
      <c r="S342" s="41">
        <f>VLOOKUP(R342,'Dataset-2'!G343:M953,2,)</f>
        <v>128</v>
      </c>
    </row>
    <row r="343" spans="1:19" x14ac:dyDescent="0.35">
      <c r="A343" s="40">
        <v>342</v>
      </c>
      <c r="B343" s="62">
        <f>VLOOKUP(A343,'Dataset-1'!A344:M954,2,)</f>
        <v>40558</v>
      </c>
      <c r="C343" s="41">
        <f>VLOOKUP(B343,'Dataset-1'!B344:N954,2,)</f>
        <v>1</v>
      </c>
      <c r="D343" s="41">
        <f>VLOOKUP(C343,'Dataset-1'!C344:O954,2,)</f>
        <v>0</v>
      </c>
      <c r="E343" s="41">
        <f>VLOOKUP(D343,'Dataset-1'!D344:P954,2,)</f>
        <v>1</v>
      </c>
      <c r="F343" s="41">
        <f>VLOOKUP(E343,'Dataset-1'!E344:Q954,2,)</f>
        <v>17</v>
      </c>
      <c r="G343" s="71" t="str">
        <f>VLOOKUP(F343,'Dataset-1'!F344:R954,2,)</f>
        <v>Evening</v>
      </c>
      <c r="H343" s="41" t="b">
        <f>VLOOKUP(G343,'Dataset-1'!G344:S954,2,)</f>
        <v>0</v>
      </c>
      <c r="I343" s="41">
        <f>VLOOKUP(H343,'Dataset-1'!H344:T954,2,)</f>
        <v>6</v>
      </c>
      <c r="J343" s="71" t="str">
        <f>VLOOKUP(I343,'Dataset-1'!I344:U954,2,)</f>
        <v>Friday</v>
      </c>
      <c r="K343" s="41">
        <f>VLOOKUP(J343,'Dataset-1'!J344:V954,2,)</f>
        <v>2</v>
      </c>
      <c r="L343" s="41">
        <f>VLOOKUP(K343,'Dataset-1'!K344:W954,2,)</f>
        <v>0.32</v>
      </c>
      <c r="M343" s="71" t="str">
        <f>VLOOKUP(L343,'Dataset-1'!L344:X954,2,)</f>
        <v>Sunny</v>
      </c>
      <c r="N343" s="41">
        <f>VLOOKUP(A343,'Dataset-2'!B344:H954,2,)</f>
        <v>0.30299999999999999</v>
      </c>
      <c r="O343" s="41">
        <f>VLOOKUP(N343,'Dataset-2'!C344:I954,2,)</f>
        <v>0.36</v>
      </c>
      <c r="P343" s="41">
        <f>VLOOKUP(O343,'Dataset-2'!D344:J954,2,)</f>
        <v>0.28360000000000002</v>
      </c>
      <c r="Q343" s="41">
        <f>VLOOKUP(P343,'Dataset-2'!E344:K954,2,)</f>
        <v>29</v>
      </c>
      <c r="R343" s="41">
        <f>VLOOKUP(Q343,'Dataset-2'!F344:L954,2,)</f>
        <v>54</v>
      </c>
      <c r="S343" s="41">
        <f>VLOOKUP(R343,'Dataset-2'!G344:M954,2,)</f>
        <v>83</v>
      </c>
    </row>
    <row r="344" spans="1:19" x14ac:dyDescent="0.35">
      <c r="A344" s="40">
        <v>343</v>
      </c>
      <c r="B344" s="62">
        <f>VLOOKUP(A344,'Dataset-1'!A345:M955,2,)</f>
        <v>40558</v>
      </c>
      <c r="C344" s="41">
        <f>VLOOKUP(B344,'Dataset-1'!B345:N955,2,)</f>
        <v>1</v>
      </c>
      <c r="D344" s="41">
        <f>VLOOKUP(C344,'Dataset-1'!C345:O955,2,)</f>
        <v>0</v>
      </c>
      <c r="E344" s="41">
        <f>VLOOKUP(D344,'Dataset-1'!D345:P955,2,)</f>
        <v>1</v>
      </c>
      <c r="F344" s="41">
        <f>VLOOKUP(E344,'Dataset-1'!E345:Q955,2,)</f>
        <v>18</v>
      </c>
      <c r="G344" s="71" t="str">
        <f>VLOOKUP(F344,'Dataset-1'!F345:R955,2,)</f>
        <v>Evening</v>
      </c>
      <c r="H344" s="41" t="b">
        <f>VLOOKUP(G344,'Dataset-1'!G345:S955,2,)</f>
        <v>0</v>
      </c>
      <c r="I344" s="41">
        <f>VLOOKUP(H344,'Dataset-1'!H345:T955,2,)</f>
        <v>6</v>
      </c>
      <c r="J344" s="71" t="str">
        <f>VLOOKUP(I344,'Dataset-1'!I345:U955,2,)</f>
        <v>Friday</v>
      </c>
      <c r="K344" s="41">
        <f>VLOOKUP(J344,'Dataset-1'!J345:V955,2,)</f>
        <v>2</v>
      </c>
      <c r="L344" s="41">
        <f>VLOOKUP(K344,'Dataset-1'!K345:W955,2,)</f>
        <v>0.3</v>
      </c>
      <c r="M344" s="71" t="str">
        <f>VLOOKUP(L344,'Dataset-1'!L345:X955,2,)</f>
        <v>Cloudy</v>
      </c>
      <c r="N344" s="41">
        <f>VLOOKUP(A344,'Dataset-2'!B345:H955,2,)</f>
        <v>0.28789999999999999</v>
      </c>
      <c r="O344" s="41">
        <f>VLOOKUP(N344,'Dataset-2'!C345:I955,2,)</f>
        <v>0.45</v>
      </c>
      <c r="P344" s="41">
        <f>VLOOKUP(O344,'Dataset-2'!D345:J955,2,)</f>
        <v>0.25369999999999998</v>
      </c>
      <c r="Q344" s="41">
        <f>VLOOKUP(P344,'Dataset-2'!E345:K955,2,)</f>
        <v>15</v>
      </c>
      <c r="R344" s="41">
        <f>VLOOKUP(Q344,'Dataset-2'!F345:L955,2,)</f>
        <v>69</v>
      </c>
      <c r="S344" s="41">
        <f>VLOOKUP(R344,'Dataset-2'!G345:M955,2,)</f>
        <v>84</v>
      </c>
    </row>
    <row r="345" spans="1:19" x14ac:dyDescent="0.35">
      <c r="A345" s="40">
        <v>344</v>
      </c>
      <c r="B345" s="62">
        <f>VLOOKUP(A345,'Dataset-1'!A346:M956,2,)</f>
        <v>40558</v>
      </c>
      <c r="C345" s="41">
        <f>VLOOKUP(B345,'Dataset-1'!B346:N956,2,)</f>
        <v>1</v>
      </c>
      <c r="D345" s="41">
        <f>VLOOKUP(C345,'Dataset-1'!C346:O956,2,)</f>
        <v>0</v>
      </c>
      <c r="E345" s="41">
        <f>VLOOKUP(D345,'Dataset-1'!D346:P956,2,)</f>
        <v>1</v>
      </c>
      <c r="F345" s="41">
        <f>VLOOKUP(E345,'Dataset-1'!E346:Q956,2,)</f>
        <v>19</v>
      </c>
      <c r="G345" s="71" t="str">
        <f>VLOOKUP(F345,'Dataset-1'!F346:R956,2,)</f>
        <v>Evening</v>
      </c>
      <c r="H345" s="41" t="b">
        <f>VLOOKUP(G345,'Dataset-1'!G346:S956,2,)</f>
        <v>0</v>
      </c>
      <c r="I345" s="41">
        <f>VLOOKUP(H345,'Dataset-1'!H346:T956,2,)</f>
        <v>6</v>
      </c>
      <c r="J345" s="71" t="str">
        <f>VLOOKUP(I345,'Dataset-1'!I346:U956,2,)</f>
        <v>Friday</v>
      </c>
      <c r="K345" s="41">
        <f>VLOOKUP(J345,'Dataset-1'!J346:V956,2,)</f>
        <v>2</v>
      </c>
      <c r="L345" s="41">
        <f>VLOOKUP(K345,'Dataset-1'!K346:W956,2,)</f>
        <v>0.32</v>
      </c>
      <c r="M345" s="71" t="str">
        <f>VLOOKUP(L345,'Dataset-1'!L346:X956,2,)</f>
        <v>Sunny</v>
      </c>
      <c r="N345" s="41">
        <f>VLOOKUP(A345,'Dataset-2'!B346:H956,2,)</f>
        <v>0.30299999999999999</v>
      </c>
      <c r="O345" s="41">
        <f>VLOOKUP(N345,'Dataset-2'!C346:I956,2,)</f>
        <v>0.39</v>
      </c>
      <c r="P345" s="41">
        <f>VLOOKUP(O345,'Dataset-2'!D346:J956,2,)</f>
        <v>0.25369999999999998</v>
      </c>
      <c r="Q345" s="41">
        <f>VLOOKUP(P345,'Dataset-2'!E346:K956,2,)</f>
        <v>14</v>
      </c>
      <c r="R345" s="41">
        <f>VLOOKUP(Q345,'Dataset-2'!F346:L956,2,)</f>
        <v>60</v>
      </c>
      <c r="S345" s="41">
        <f>VLOOKUP(R345,'Dataset-2'!G346:M956,2,)</f>
        <v>74</v>
      </c>
    </row>
    <row r="346" spans="1:19" x14ac:dyDescent="0.35">
      <c r="A346" s="40">
        <v>345</v>
      </c>
      <c r="B346" s="62">
        <f>VLOOKUP(A346,'Dataset-1'!A347:M957,2,)</f>
        <v>40558</v>
      </c>
      <c r="C346" s="41">
        <f>VLOOKUP(B346,'Dataset-1'!B347:N957,2,)</f>
        <v>1</v>
      </c>
      <c r="D346" s="41">
        <f>VLOOKUP(C346,'Dataset-1'!C347:O957,2,)</f>
        <v>0</v>
      </c>
      <c r="E346" s="41">
        <f>VLOOKUP(D346,'Dataset-1'!D347:P957,2,)</f>
        <v>1</v>
      </c>
      <c r="F346" s="41">
        <f>VLOOKUP(E346,'Dataset-1'!E347:Q957,2,)</f>
        <v>20</v>
      </c>
      <c r="G346" s="71" t="str">
        <f>VLOOKUP(F346,'Dataset-1'!F347:R957,2,)</f>
        <v>Night</v>
      </c>
      <c r="H346" s="41" t="b">
        <f>VLOOKUP(G346,'Dataset-1'!G347:S957,2,)</f>
        <v>0</v>
      </c>
      <c r="I346" s="41">
        <f>VLOOKUP(H346,'Dataset-1'!H347:T957,2,)</f>
        <v>6</v>
      </c>
      <c r="J346" s="71" t="str">
        <f>VLOOKUP(I346,'Dataset-1'!I347:U957,2,)</f>
        <v>Friday</v>
      </c>
      <c r="K346" s="41">
        <f>VLOOKUP(J346,'Dataset-1'!J347:V957,2,)</f>
        <v>2</v>
      </c>
      <c r="L346" s="41">
        <f>VLOOKUP(K346,'Dataset-1'!K347:W957,2,)</f>
        <v>0.32</v>
      </c>
      <c r="M346" s="71" t="str">
        <f>VLOOKUP(L346,'Dataset-1'!L347:X957,2,)</f>
        <v>Sunny</v>
      </c>
      <c r="N346" s="41">
        <f>VLOOKUP(A346,'Dataset-2'!B347:H957,2,)</f>
        <v>0.30299999999999999</v>
      </c>
      <c r="O346" s="41">
        <f>VLOOKUP(N346,'Dataset-2'!C347:I957,2,)</f>
        <v>0.39</v>
      </c>
      <c r="P346" s="41">
        <f>VLOOKUP(O346,'Dataset-2'!D347:J957,2,)</f>
        <v>0.25369999999999998</v>
      </c>
      <c r="Q346" s="41">
        <f>VLOOKUP(P346,'Dataset-2'!E347:K957,2,)</f>
        <v>6</v>
      </c>
      <c r="R346" s="41">
        <f>VLOOKUP(Q346,'Dataset-2'!F347:L957,2,)</f>
        <v>35</v>
      </c>
      <c r="S346" s="41">
        <f>VLOOKUP(R346,'Dataset-2'!G347:M957,2,)</f>
        <v>41</v>
      </c>
    </row>
    <row r="347" spans="1:19" x14ac:dyDescent="0.35">
      <c r="A347" s="40">
        <v>346</v>
      </c>
      <c r="B347" s="62">
        <f>VLOOKUP(A347,'Dataset-1'!A348:M958,2,)</f>
        <v>40558</v>
      </c>
      <c r="C347" s="41">
        <f>VLOOKUP(B347,'Dataset-1'!B348:N958,2,)</f>
        <v>1</v>
      </c>
      <c r="D347" s="41">
        <f>VLOOKUP(C347,'Dataset-1'!C348:O958,2,)</f>
        <v>0</v>
      </c>
      <c r="E347" s="41">
        <f>VLOOKUP(D347,'Dataset-1'!D348:P958,2,)</f>
        <v>1</v>
      </c>
      <c r="F347" s="41">
        <f>VLOOKUP(E347,'Dataset-1'!E348:Q958,2,)</f>
        <v>21</v>
      </c>
      <c r="G347" s="71" t="str">
        <f>VLOOKUP(F347,'Dataset-1'!F348:R958,2,)</f>
        <v>Night</v>
      </c>
      <c r="H347" s="41" t="b">
        <f>VLOOKUP(G347,'Dataset-1'!G348:S958,2,)</f>
        <v>0</v>
      </c>
      <c r="I347" s="41">
        <f>VLOOKUP(H347,'Dataset-1'!H348:T958,2,)</f>
        <v>6</v>
      </c>
      <c r="J347" s="71" t="str">
        <f>VLOOKUP(I347,'Dataset-1'!I348:U958,2,)</f>
        <v>Friday</v>
      </c>
      <c r="K347" s="41">
        <f>VLOOKUP(J347,'Dataset-1'!J348:V958,2,)</f>
        <v>2</v>
      </c>
      <c r="L347" s="41">
        <f>VLOOKUP(K347,'Dataset-1'!K348:W958,2,)</f>
        <v>0.32</v>
      </c>
      <c r="M347" s="71" t="str">
        <f>VLOOKUP(L347,'Dataset-1'!L348:X958,2,)</f>
        <v>Sunny</v>
      </c>
      <c r="N347" s="41">
        <f>VLOOKUP(A347,'Dataset-2'!B348:H958,2,)</f>
        <v>0.30299999999999999</v>
      </c>
      <c r="O347" s="41">
        <f>VLOOKUP(N347,'Dataset-2'!C348:I958,2,)</f>
        <v>0.39</v>
      </c>
      <c r="P347" s="41">
        <f>VLOOKUP(O347,'Dataset-2'!D348:J958,2,)</f>
        <v>0.22389999999999999</v>
      </c>
      <c r="Q347" s="41">
        <f>VLOOKUP(P347,'Dataset-2'!E348:K958,2,)</f>
        <v>6</v>
      </c>
      <c r="R347" s="41">
        <f>VLOOKUP(Q347,'Dataset-2'!F348:L958,2,)</f>
        <v>51</v>
      </c>
      <c r="S347" s="41">
        <f>VLOOKUP(R347,'Dataset-2'!G348:M958,2,)</f>
        <v>57</v>
      </c>
    </row>
    <row r="348" spans="1:19" x14ac:dyDescent="0.35">
      <c r="A348" s="40">
        <v>347</v>
      </c>
      <c r="B348" s="62">
        <f>VLOOKUP(A348,'Dataset-1'!A349:M959,2,)</f>
        <v>40558</v>
      </c>
      <c r="C348" s="41">
        <f>VLOOKUP(B348,'Dataset-1'!B349:N959,2,)</f>
        <v>1</v>
      </c>
      <c r="D348" s="41">
        <f>VLOOKUP(C348,'Dataset-1'!C349:O959,2,)</f>
        <v>0</v>
      </c>
      <c r="E348" s="41">
        <f>VLOOKUP(D348,'Dataset-1'!D349:P959,2,)</f>
        <v>1</v>
      </c>
      <c r="F348" s="41">
        <f>VLOOKUP(E348,'Dataset-1'!E349:Q959,2,)</f>
        <v>22</v>
      </c>
      <c r="G348" s="71" t="str">
        <f>VLOOKUP(F348,'Dataset-1'!F349:R959,2,)</f>
        <v>Night</v>
      </c>
      <c r="H348" s="41" t="b">
        <f>VLOOKUP(G348,'Dataset-1'!G349:S959,2,)</f>
        <v>0</v>
      </c>
      <c r="I348" s="41">
        <f>VLOOKUP(H348,'Dataset-1'!H349:T959,2,)</f>
        <v>6</v>
      </c>
      <c r="J348" s="71" t="str">
        <f>VLOOKUP(I348,'Dataset-1'!I349:U959,2,)</f>
        <v>Friday</v>
      </c>
      <c r="K348" s="41">
        <f>VLOOKUP(J348,'Dataset-1'!J349:V959,2,)</f>
        <v>2</v>
      </c>
      <c r="L348" s="41">
        <f>VLOOKUP(K348,'Dataset-1'!K349:W959,2,)</f>
        <v>0.3</v>
      </c>
      <c r="M348" s="71" t="str">
        <f>VLOOKUP(L348,'Dataset-1'!L349:X959,2,)</f>
        <v>Cloudy</v>
      </c>
      <c r="N348" s="41">
        <f>VLOOKUP(A348,'Dataset-2'!B349:H959,2,)</f>
        <v>0.31819999999999998</v>
      </c>
      <c r="O348" s="41">
        <f>VLOOKUP(N348,'Dataset-2'!C349:I959,2,)</f>
        <v>0.42</v>
      </c>
      <c r="P348" s="41">
        <f>VLOOKUP(O348,'Dataset-2'!D349:J959,2,)</f>
        <v>0.1045</v>
      </c>
      <c r="Q348" s="41">
        <f>VLOOKUP(P348,'Dataset-2'!E349:K959,2,)</f>
        <v>0</v>
      </c>
      <c r="R348" s="41">
        <f>VLOOKUP(Q348,'Dataset-2'!F349:L959,2,)</f>
        <v>26</v>
      </c>
      <c r="S348" s="41">
        <f>VLOOKUP(R348,'Dataset-2'!G349:M959,2,)</f>
        <v>26</v>
      </c>
    </row>
    <row r="349" spans="1:19" x14ac:dyDescent="0.35">
      <c r="A349" s="40">
        <v>348</v>
      </c>
      <c r="B349" s="62">
        <f>VLOOKUP(A349,'Dataset-1'!A350:M960,2,)</f>
        <v>40558</v>
      </c>
      <c r="C349" s="41">
        <f>VLOOKUP(B349,'Dataset-1'!B350:N960,2,)</f>
        <v>1</v>
      </c>
      <c r="D349" s="41">
        <f>VLOOKUP(C349,'Dataset-1'!C350:O960,2,)</f>
        <v>0</v>
      </c>
      <c r="E349" s="41">
        <f>VLOOKUP(D349,'Dataset-1'!D350:P960,2,)</f>
        <v>1</v>
      </c>
      <c r="F349" s="41">
        <f>VLOOKUP(E349,'Dataset-1'!E350:Q960,2,)</f>
        <v>23</v>
      </c>
      <c r="G349" s="71" t="str">
        <f>VLOOKUP(F349,'Dataset-1'!F350:R960,2,)</f>
        <v>Night</v>
      </c>
      <c r="H349" s="41" t="b">
        <f>VLOOKUP(G349,'Dataset-1'!G350:S960,2,)</f>
        <v>0</v>
      </c>
      <c r="I349" s="41">
        <f>VLOOKUP(H349,'Dataset-1'!H350:T960,2,)</f>
        <v>6</v>
      </c>
      <c r="J349" s="71" t="str">
        <f>VLOOKUP(I349,'Dataset-1'!I350:U960,2,)</f>
        <v>Friday</v>
      </c>
      <c r="K349" s="41">
        <f>VLOOKUP(J349,'Dataset-1'!J350:V960,2,)</f>
        <v>1</v>
      </c>
      <c r="L349" s="41">
        <f>VLOOKUP(K349,'Dataset-1'!K350:W960,2,)</f>
        <v>0.3</v>
      </c>
      <c r="M349" s="71" t="str">
        <f>VLOOKUP(L349,'Dataset-1'!L350:X960,2,)</f>
        <v>Cloudy</v>
      </c>
      <c r="N349" s="41">
        <f>VLOOKUP(A349,'Dataset-2'!B350:H960,2,)</f>
        <v>0.28789999999999999</v>
      </c>
      <c r="O349" s="41">
        <f>VLOOKUP(N349,'Dataset-2'!C350:I960,2,)</f>
        <v>0.45</v>
      </c>
      <c r="P349" s="41">
        <f>VLOOKUP(O349,'Dataset-2'!D350:J960,2,)</f>
        <v>0.28360000000000002</v>
      </c>
      <c r="Q349" s="41">
        <f>VLOOKUP(P349,'Dataset-2'!E350:K960,2,)</f>
        <v>5</v>
      </c>
      <c r="R349" s="41">
        <f>VLOOKUP(Q349,'Dataset-2'!F350:L960,2,)</f>
        <v>39</v>
      </c>
      <c r="S349" s="41">
        <f>VLOOKUP(R349,'Dataset-2'!G350:M960,2,)</f>
        <v>44</v>
      </c>
    </row>
    <row r="350" spans="1:19" x14ac:dyDescent="0.35">
      <c r="A350" s="40">
        <v>349</v>
      </c>
      <c r="B350" s="62">
        <f>VLOOKUP(A350,'Dataset-1'!A351:M961,2,)</f>
        <v>40559</v>
      </c>
      <c r="C350" s="41">
        <f>VLOOKUP(B350,'Dataset-1'!B351:N961,2,)</f>
        <v>1</v>
      </c>
      <c r="D350" s="41">
        <f>VLOOKUP(C350,'Dataset-1'!C351:O961,2,)</f>
        <v>0</v>
      </c>
      <c r="E350" s="41">
        <f>VLOOKUP(D350,'Dataset-1'!D351:P961,2,)</f>
        <v>1</v>
      </c>
      <c r="F350" s="41">
        <f>VLOOKUP(E350,'Dataset-1'!E351:Q961,2,)</f>
        <v>0</v>
      </c>
      <c r="G350" s="71" t="str">
        <f>VLOOKUP(F350,'Dataset-1'!F351:R961,2,)</f>
        <v>Night</v>
      </c>
      <c r="H350" s="41" t="b">
        <f>VLOOKUP(G350,'Dataset-1'!G351:S961,2,)</f>
        <v>0</v>
      </c>
      <c r="I350" s="41">
        <f>VLOOKUP(H350,'Dataset-1'!H351:T961,2,)</f>
        <v>0</v>
      </c>
      <c r="J350" s="71" t="str">
        <f>VLOOKUP(I350,'Dataset-1'!I351:U961,2,)</f>
        <v>Saturday</v>
      </c>
      <c r="K350" s="41">
        <f>VLOOKUP(J350,'Dataset-1'!J351:V961,2,)</f>
        <v>1</v>
      </c>
      <c r="L350" s="41">
        <f>VLOOKUP(K350,'Dataset-1'!K351:W961,2,)</f>
        <v>0.26</v>
      </c>
      <c r="M350" s="71" t="str">
        <f>VLOOKUP(L350,'Dataset-1'!L351:X961,2,)</f>
        <v>Cloudy</v>
      </c>
      <c r="N350" s="41">
        <f>VLOOKUP(A350,'Dataset-2'!B351:H961,2,)</f>
        <v>0.30299999999999999</v>
      </c>
      <c r="O350" s="41">
        <f>VLOOKUP(N350,'Dataset-2'!C351:I961,2,)</f>
        <v>0.56000000000000005</v>
      </c>
      <c r="P350" s="41">
        <f>VLOOKUP(O350,'Dataset-2'!D351:J961,2,)</f>
        <v>0</v>
      </c>
      <c r="Q350" s="41">
        <f>VLOOKUP(P350,'Dataset-2'!E351:K961,2,)</f>
        <v>6</v>
      </c>
      <c r="R350" s="41">
        <f>VLOOKUP(Q350,'Dataset-2'!F351:L961,2,)</f>
        <v>33</v>
      </c>
      <c r="S350" s="41">
        <f>VLOOKUP(R350,'Dataset-2'!G351:M961,2,)</f>
        <v>39</v>
      </c>
    </row>
    <row r="351" spans="1:19" x14ac:dyDescent="0.35">
      <c r="A351" s="40">
        <v>350</v>
      </c>
      <c r="B351" s="62">
        <f>VLOOKUP(A351,'Dataset-1'!A352:M962,2,)</f>
        <v>40559</v>
      </c>
      <c r="C351" s="41">
        <f>VLOOKUP(B351,'Dataset-1'!B352:N962,2,)</f>
        <v>1</v>
      </c>
      <c r="D351" s="41">
        <f>VLOOKUP(C351,'Dataset-1'!C352:O962,2,)</f>
        <v>0</v>
      </c>
      <c r="E351" s="41">
        <f>VLOOKUP(D351,'Dataset-1'!D352:P962,2,)</f>
        <v>1</v>
      </c>
      <c r="F351" s="41">
        <f>VLOOKUP(E351,'Dataset-1'!E352:Q962,2,)</f>
        <v>1</v>
      </c>
      <c r="G351" s="71" t="str">
        <f>VLOOKUP(F351,'Dataset-1'!F352:R962,2,)</f>
        <v>Night</v>
      </c>
      <c r="H351" s="41" t="b">
        <f>VLOOKUP(G351,'Dataset-1'!G352:S962,2,)</f>
        <v>0</v>
      </c>
      <c r="I351" s="41">
        <f>VLOOKUP(H351,'Dataset-1'!H352:T962,2,)</f>
        <v>0</v>
      </c>
      <c r="J351" s="71" t="str">
        <f>VLOOKUP(I351,'Dataset-1'!I352:U962,2,)</f>
        <v>Saturday</v>
      </c>
      <c r="K351" s="41">
        <f>VLOOKUP(J351,'Dataset-1'!J352:V962,2,)</f>
        <v>1</v>
      </c>
      <c r="L351" s="41">
        <f>VLOOKUP(K351,'Dataset-1'!K352:W962,2,)</f>
        <v>0.26</v>
      </c>
      <c r="M351" s="71" t="str">
        <f>VLOOKUP(L351,'Dataset-1'!L352:X962,2,)</f>
        <v>Cloudy</v>
      </c>
      <c r="N351" s="41">
        <f>VLOOKUP(A351,'Dataset-2'!B352:H962,2,)</f>
        <v>0.2727</v>
      </c>
      <c r="O351" s="41">
        <f>VLOOKUP(N351,'Dataset-2'!C352:I962,2,)</f>
        <v>0.56000000000000005</v>
      </c>
      <c r="P351" s="41">
        <f>VLOOKUP(O351,'Dataset-2'!D352:J962,2,)</f>
        <v>0.1343</v>
      </c>
      <c r="Q351" s="41">
        <f>VLOOKUP(P351,'Dataset-2'!E352:K962,2,)</f>
        <v>4</v>
      </c>
      <c r="R351" s="41">
        <f>VLOOKUP(Q351,'Dataset-2'!F352:L962,2,)</f>
        <v>19</v>
      </c>
      <c r="S351" s="41">
        <f>VLOOKUP(R351,'Dataset-2'!G352:M962,2,)</f>
        <v>23</v>
      </c>
    </row>
    <row r="352" spans="1:19" x14ac:dyDescent="0.35">
      <c r="A352" s="40">
        <v>351</v>
      </c>
      <c r="B352" s="62">
        <f>VLOOKUP(A352,'Dataset-1'!A353:M963,2,)</f>
        <v>40559</v>
      </c>
      <c r="C352" s="41">
        <f>VLOOKUP(B352,'Dataset-1'!B353:N963,2,)</f>
        <v>1</v>
      </c>
      <c r="D352" s="41">
        <f>VLOOKUP(C352,'Dataset-1'!C353:O963,2,)</f>
        <v>0</v>
      </c>
      <c r="E352" s="41">
        <f>VLOOKUP(D352,'Dataset-1'!D353:P963,2,)</f>
        <v>1</v>
      </c>
      <c r="F352" s="41">
        <f>VLOOKUP(E352,'Dataset-1'!E353:Q963,2,)</f>
        <v>2</v>
      </c>
      <c r="G352" s="71" t="str">
        <f>VLOOKUP(F352,'Dataset-1'!F353:R963,2,)</f>
        <v>Night</v>
      </c>
      <c r="H352" s="41" t="b">
        <f>VLOOKUP(G352,'Dataset-1'!G353:S963,2,)</f>
        <v>0</v>
      </c>
      <c r="I352" s="41">
        <f>VLOOKUP(H352,'Dataset-1'!H353:T963,2,)</f>
        <v>0</v>
      </c>
      <c r="J352" s="71" t="str">
        <f>VLOOKUP(I352,'Dataset-1'!I353:U963,2,)</f>
        <v>Saturday</v>
      </c>
      <c r="K352" s="41">
        <f>VLOOKUP(J352,'Dataset-1'!J353:V963,2,)</f>
        <v>1</v>
      </c>
      <c r="L352" s="41">
        <f>VLOOKUP(K352,'Dataset-1'!K353:W963,2,)</f>
        <v>0.26</v>
      </c>
      <c r="M352" s="71" t="str">
        <f>VLOOKUP(L352,'Dataset-1'!L353:X963,2,)</f>
        <v>Cloudy</v>
      </c>
      <c r="N352" s="41">
        <f>VLOOKUP(A352,'Dataset-2'!B353:H963,2,)</f>
        <v>0.28789999999999999</v>
      </c>
      <c r="O352" s="41">
        <f>VLOOKUP(N352,'Dataset-2'!C353:I963,2,)</f>
        <v>0.56000000000000005</v>
      </c>
      <c r="P352" s="41">
        <f>VLOOKUP(O352,'Dataset-2'!D353:J963,2,)</f>
        <v>8.9599999999999999E-2</v>
      </c>
      <c r="Q352" s="41">
        <f>VLOOKUP(P352,'Dataset-2'!E353:K963,2,)</f>
        <v>3</v>
      </c>
      <c r="R352" s="41">
        <f>VLOOKUP(Q352,'Dataset-2'!F353:L963,2,)</f>
        <v>13</v>
      </c>
      <c r="S352" s="41">
        <f>VLOOKUP(R352,'Dataset-2'!G353:M963,2,)</f>
        <v>16</v>
      </c>
    </row>
    <row r="353" spans="1:19" x14ac:dyDescent="0.35">
      <c r="A353" s="40">
        <v>352</v>
      </c>
      <c r="B353" s="62">
        <f>VLOOKUP(A353,'Dataset-1'!A354:M964,2,)</f>
        <v>40559</v>
      </c>
      <c r="C353" s="41">
        <f>VLOOKUP(B353,'Dataset-1'!B354:N964,2,)</f>
        <v>1</v>
      </c>
      <c r="D353" s="41">
        <f>VLOOKUP(C353,'Dataset-1'!C354:O964,2,)</f>
        <v>0</v>
      </c>
      <c r="E353" s="41">
        <f>VLOOKUP(D353,'Dataset-1'!D354:P964,2,)</f>
        <v>1</v>
      </c>
      <c r="F353" s="41">
        <f>VLOOKUP(E353,'Dataset-1'!E354:Q964,2,)</f>
        <v>3</v>
      </c>
      <c r="G353" s="71" t="str">
        <f>VLOOKUP(F353,'Dataset-1'!F354:R964,2,)</f>
        <v>Night</v>
      </c>
      <c r="H353" s="41" t="b">
        <f>VLOOKUP(G353,'Dataset-1'!G354:S964,2,)</f>
        <v>0</v>
      </c>
      <c r="I353" s="41">
        <f>VLOOKUP(H353,'Dataset-1'!H354:T964,2,)</f>
        <v>0</v>
      </c>
      <c r="J353" s="71" t="str">
        <f>VLOOKUP(I353,'Dataset-1'!I354:U964,2,)</f>
        <v>Saturday</v>
      </c>
      <c r="K353" s="41">
        <f>VLOOKUP(J353,'Dataset-1'!J354:V964,2,)</f>
        <v>1</v>
      </c>
      <c r="L353" s="41">
        <f>VLOOKUP(K353,'Dataset-1'!K354:W964,2,)</f>
        <v>0.22</v>
      </c>
      <c r="M353" s="71" t="str">
        <f>VLOOKUP(L353,'Dataset-1'!L354:X964,2,)</f>
        <v>Cloudy</v>
      </c>
      <c r="N353" s="41">
        <f>VLOOKUP(A353,'Dataset-2'!B354:H964,2,)</f>
        <v>0.2727</v>
      </c>
      <c r="O353" s="41">
        <f>VLOOKUP(N353,'Dataset-2'!C354:I964,2,)</f>
        <v>0.69</v>
      </c>
      <c r="P353" s="41">
        <f>VLOOKUP(O353,'Dataset-2'!D354:J964,2,)</f>
        <v>0</v>
      </c>
      <c r="Q353" s="41">
        <f>VLOOKUP(P353,'Dataset-2'!E354:K964,2,)</f>
        <v>9</v>
      </c>
      <c r="R353" s="41">
        <f>VLOOKUP(Q353,'Dataset-2'!F354:L964,2,)</f>
        <v>6</v>
      </c>
      <c r="S353" s="41">
        <f>VLOOKUP(R353,'Dataset-2'!G354:M964,2,)</f>
        <v>15</v>
      </c>
    </row>
    <row r="354" spans="1:19" x14ac:dyDescent="0.35">
      <c r="A354" s="40">
        <v>353</v>
      </c>
      <c r="B354" s="62">
        <f>VLOOKUP(A354,'Dataset-1'!A355:M965,2,)</f>
        <v>40559</v>
      </c>
      <c r="C354" s="41">
        <f>VLOOKUP(B354,'Dataset-1'!B355:N965,2,)</f>
        <v>1</v>
      </c>
      <c r="D354" s="41">
        <f>VLOOKUP(C354,'Dataset-1'!C355:O965,2,)</f>
        <v>0</v>
      </c>
      <c r="E354" s="41">
        <f>VLOOKUP(D354,'Dataset-1'!D355:P965,2,)</f>
        <v>1</v>
      </c>
      <c r="F354" s="41">
        <f>VLOOKUP(E354,'Dataset-1'!E355:Q965,2,)</f>
        <v>4</v>
      </c>
      <c r="G354" s="71" t="str">
        <f>VLOOKUP(F354,'Dataset-1'!F355:R965,2,)</f>
        <v>Night</v>
      </c>
      <c r="H354" s="41" t="b">
        <f>VLOOKUP(G354,'Dataset-1'!G355:S965,2,)</f>
        <v>0</v>
      </c>
      <c r="I354" s="41">
        <f>VLOOKUP(H354,'Dataset-1'!H355:T965,2,)</f>
        <v>0</v>
      </c>
      <c r="J354" s="71" t="str">
        <f>VLOOKUP(I354,'Dataset-1'!I355:U965,2,)</f>
        <v>Saturday</v>
      </c>
      <c r="K354" s="41">
        <f>VLOOKUP(J354,'Dataset-1'!J355:V965,2,)</f>
        <v>1</v>
      </c>
      <c r="L354" s="41">
        <f>VLOOKUP(K354,'Dataset-1'!K355:W965,2,)</f>
        <v>0.26</v>
      </c>
      <c r="M354" s="71" t="str">
        <f>VLOOKUP(L354,'Dataset-1'!L355:X965,2,)</f>
        <v>Cloudy</v>
      </c>
      <c r="N354" s="41">
        <f>VLOOKUP(A354,'Dataset-2'!B355:H965,2,)</f>
        <v>0.2576</v>
      </c>
      <c r="O354" s="41">
        <f>VLOOKUP(N354,'Dataset-2'!C355:I965,2,)</f>
        <v>0.56000000000000005</v>
      </c>
      <c r="P354" s="41">
        <f>VLOOKUP(O354,'Dataset-2'!D355:J965,2,)</f>
        <v>0.16420000000000001</v>
      </c>
      <c r="Q354" s="41">
        <f>VLOOKUP(P354,'Dataset-2'!E355:K965,2,)</f>
        <v>0</v>
      </c>
      <c r="R354" s="41">
        <f>VLOOKUP(Q354,'Dataset-2'!F355:L965,2,)</f>
        <v>1</v>
      </c>
      <c r="S354" s="41">
        <f>VLOOKUP(R354,'Dataset-2'!G355:M965,2,)</f>
        <v>1</v>
      </c>
    </row>
    <row r="355" spans="1:19" x14ac:dyDescent="0.35">
      <c r="A355" s="40">
        <v>354</v>
      </c>
      <c r="B355" s="62">
        <f>VLOOKUP(A355,'Dataset-1'!A356:M966,2,)</f>
        <v>40559</v>
      </c>
      <c r="C355" s="41">
        <f>VLOOKUP(B355,'Dataset-1'!B356:N966,2,)</f>
        <v>1</v>
      </c>
      <c r="D355" s="41">
        <f>VLOOKUP(C355,'Dataset-1'!C356:O966,2,)</f>
        <v>0</v>
      </c>
      <c r="E355" s="41">
        <f>VLOOKUP(D355,'Dataset-1'!D356:P966,2,)</f>
        <v>1</v>
      </c>
      <c r="F355" s="41">
        <f>VLOOKUP(E355,'Dataset-1'!E356:Q966,2,)</f>
        <v>5</v>
      </c>
      <c r="G355" s="71" t="str">
        <f>VLOOKUP(F355,'Dataset-1'!F356:R966,2,)</f>
        <v>Morning</v>
      </c>
      <c r="H355" s="41" t="b">
        <f>VLOOKUP(G355,'Dataset-1'!G356:S966,2,)</f>
        <v>0</v>
      </c>
      <c r="I355" s="41">
        <f>VLOOKUP(H355,'Dataset-1'!H356:T966,2,)</f>
        <v>0</v>
      </c>
      <c r="J355" s="71" t="str">
        <f>VLOOKUP(I355,'Dataset-1'!I356:U966,2,)</f>
        <v>Saturday</v>
      </c>
      <c r="K355" s="41">
        <f>VLOOKUP(J355,'Dataset-1'!J356:V966,2,)</f>
        <v>2</v>
      </c>
      <c r="L355" s="41">
        <f>VLOOKUP(K355,'Dataset-1'!K356:W966,2,)</f>
        <v>0.26</v>
      </c>
      <c r="M355" s="71" t="str">
        <f>VLOOKUP(L355,'Dataset-1'!L356:X966,2,)</f>
        <v>Cloudy</v>
      </c>
      <c r="N355" s="41">
        <f>VLOOKUP(A355,'Dataset-2'!B356:H966,2,)</f>
        <v>0.2576</v>
      </c>
      <c r="O355" s="41">
        <f>VLOOKUP(N355,'Dataset-2'!C356:I966,2,)</f>
        <v>0.56000000000000005</v>
      </c>
      <c r="P355" s="41">
        <f>VLOOKUP(O355,'Dataset-2'!D356:J966,2,)</f>
        <v>0.16420000000000001</v>
      </c>
      <c r="Q355" s="41">
        <f>VLOOKUP(P355,'Dataset-2'!E356:K966,2,)</f>
        <v>1</v>
      </c>
      <c r="R355" s="41">
        <f>VLOOKUP(Q355,'Dataset-2'!F356:L966,2,)</f>
        <v>1</v>
      </c>
      <c r="S355" s="41">
        <f>VLOOKUP(R355,'Dataset-2'!G356:M966,2,)</f>
        <v>2</v>
      </c>
    </row>
    <row r="356" spans="1:19" x14ac:dyDescent="0.35">
      <c r="A356" s="40">
        <v>355</v>
      </c>
      <c r="B356" s="62">
        <f>VLOOKUP(A356,'Dataset-1'!A357:M967,2,)</f>
        <v>40559</v>
      </c>
      <c r="C356" s="41">
        <f>VLOOKUP(B356,'Dataset-1'!B357:N967,2,)</f>
        <v>1</v>
      </c>
      <c r="D356" s="41">
        <f>VLOOKUP(C356,'Dataset-1'!C357:O967,2,)</f>
        <v>0</v>
      </c>
      <c r="E356" s="41">
        <f>VLOOKUP(D356,'Dataset-1'!D357:P967,2,)</f>
        <v>1</v>
      </c>
      <c r="F356" s="41">
        <f>VLOOKUP(E356,'Dataset-1'!E357:Q967,2,)</f>
        <v>6</v>
      </c>
      <c r="G356" s="71" t="str">
        <f>VLOOKUP(F356,'Dataset-1'!F357:R967,2,)</f>
        <v>Morning</v>
      </c>
      <c r="H356" s="41" t="b">
        <f>VLOOKUP(G356,'Dataset-1'!G357:S967,2,)</f>
        <v>0</v>
      </c>
      <c r="I356" s="41">
        <f>VLOOKUP(H356,'Dataset-1'!H357:T967,2,)</f>
        <v>0</v>
      </c>
      <c r="J356" s="71" t="str">
        <f>VLOOKUP(I356,'Dataset-1'!I357:U967,2,)</f>
        <v>Saturday</v>
      </c>
      <c r="K356" s="41">
        <f>VLOOKUP(J356,'Dataset-1'!J357:V967,2,)</f>
        <v>2</v>
      </c>
      <c r="L356" s="41">
        <f>VLOOKUP(K356,'Dataset-1'!K357:W967,2,)</f>
        <v>0.26</v>
      </c>
      <c r="M356" s="71" t="str">
        <f>VLOOKUP(L356,'Dataset-1'!L357:X967,2,)</f>
        <v>Cloudy</v>
      </c>
      <c r="N356" s="41">
        <f>VLOOKUP(A356,'Dataset-2'!B357:H967,2,)</f>
        <v>0.2576</v>
      </c>
      <c r="O356" s="41">
        <f>VLOOKUP(N356,'Dataset-2'!C357:I967,2,)</f>
        <v>0.56000000000000005</v>
      </c>
      <c r="P356" s="41">
        <f>VLOOKUP(O356,'Dataset-2'!D357:J967,2,)</f>
        <v>0.16420000000000001</v>
      </c>
      <c r="Q356" s="41">
        <f>VLOOKUP(P356,'Dataset-2'!E357:K967,2,)</f>
        <v>0</v>
      </c>
      <c r="R356" s="41">
        <f>VLOOKUP(Q356,'Dataset-2'!F357:L967,2,)</f>
        <v>1</v>
      </c>
      <c r="S356" s="41">
        <f>VLOOKUP(R356,'Dataset-2'!G357:M967,2,)</f>
        <v>1</v>
      </c>
    </row>
    <row r="357" spans="1:19" x14ac:dyDescent="0.35">
      <c r="A357" s="40">
        <v>356</v>
      </c>
      <c r="B357" s="62">
        <f>VLOOKUP(A357,'Dataset-1'!A358:M968,2,)</f>
        <v>40559</v>
      </c>
      <c r="C357" s="41">
        <f>VLOOKUP(B357,'Dataset-1'!B358:N968,2,)</f>
        <v>1</v>
      </c>
      <c r="D357" s="41">
        <f>VLOOKUP(C357,'Dataset-1'!C358:O968,2,)</f>
        <v>0</v>
      </c>
      <c r="E357" s="41">
        <f>VLOOKUP(D357,'Dataset-1'!D358:P968,2,)</f>
        <v>1</v>
      </c>
      <c r="F357" s="41">
        <f>VLOOKUP(E357,'Dataset-1'!E358:Q968,2,)</f>
        <v>7</v>
      </c>
      <c r="G357" s="71" t="str">
        <f>VLOOKUP(F357,'Dataset-1'!F358:R968,2,)</f>
        <v>Morning</v>
      </c>
      <c r="H357" s="41" t="b">
        <f>VLOOKUP(G357,'Dataset-1'!G358:S968,2,)</f>
        <v>0</v>
      </c>
      <c r="I357" s="41">
        <f>VLOOKUP(H357,'Dataset-1'!H358:T968,2,)</f>
        <v>0</v>
      </c>
      <c r="J357" s="71" t="str">
        <f>VLOOKUP(I357,'Dataset-1'!I358:U968,2,)</f>
        <v>Saturday</v>
      </c>
      <c r="K357" s="41">
        <f>VLOOKUP(J357,'Dataset-1'!J358:V968,2,)</f>
        <v>2</v>
      </c>
      <c r="L357" s="41">
        <f>VLOOKUP(K357,'Dataset-1'!K358:W968,2,)</f>
        <v>0.24</v>
      </c>
      <c r="M357" s="71" t="str">
        <f>VLOOKUP(L357,'Dataset-1'!L358:X968,2,)</f>
        <v>Cloudy</v>
      </c>
      <c r="N357" s="41">
        <f>VLOOKUP(A357,'Dataset-2'!B358:H968,2,)</f>
        <v>0.21210000000000001</v>
      </c>
      <c r="O357" s="41">
        <f>VLOOKUP(N357,'Dataset-2'!C358:I968,2,)</f>
        <v>0.56000000000000005</v>
      </c>
      <c r="P357" s="41">
        <f>VLOOKUP(O357,'Dataset-2'!D358:J968,2,)</f>
        <v>0.29849999999999999</v>
      </c>
      <c r="Q357" s="41">
        <f>VLOOKUP(P357,'Dataset-2'!E358:K968,2,)</f>
        <v>0</v>
      </c>
      <c r="R357" s="41">
        <f>VLOOKUP(Q357,'Dataset-2'!F358:L968,2,)</f>
        <v>3</v>
      </c>
      <c r="S357" s="41">
        <f>VLOOKUP(R357,'Dataset-2'!G358:M968,2,)</f>
        <v>3</v>
      </c>
    </row>
    <row r="358" spans="1:19" x14ac:dyDescent="0.35">
      <c r="A358" s="40">
        <v>357</v>
      </c>
      <c r="B358" s="62">
        <f>VLOOKUP(A358,'Dataset-1'!A359:M969,2,)</f>
        <v>40559</v>
      </c>
      <c r="C358" s="41">
        <f>VLOOKUP(B358,'Dataset-1'!B359:N969,2,)</f>
        <v>1</v>
      </c>
      <c r="D358" s="41">
        <f>VLOOKUP(C358,'Dataset-1'!C359:O969,2,)</f>
        <v>0</v>
      </c>
      <c r="E358" s="41">
        <f>VLOOKUP(D358,'Dataset-1'!D359:P969,2,)</f>
        <v>1</v>
      </c>
      <c r="F358" s="41">
        <f>VLOOKUP(E358,'Dataset-1'!E359:Q969,2,)</f>
        <v>8</v>
      </c>
      <c r="G358" s="71" t="str">
        <f>VLOOKUP(F358,'Dataset-1'!F359:R969,2,)</f>
        <v>Morning</v>
      </c>
      <c r="H358" s="41" t="b">
        <f>VLOOKUP(G358,'Dataset-1'!G359:S969,2,)</f>
        <v>0</v>
      </c>
      <c r="I358" s="41">
        <f>VLOOKUP(H358,'Dataset-1'!H359:T969,2,)</f>
        <v>0</v>
      </c>
      <c r="J358" s="71" t="str">
        <f>VLOOKUP(I358,'Dataset-1'!I359:U969,2,)</f>
        <v>Saturday</v>
      </c>
      <c r="K358" s="41">
        <f>VLOOKUP(J358,'Dataset-1'!J359:V969,2,)</f>
        <v>1</v>
      </c>
      <c r="L358" s="41">
        <f>VLOOKUP(K358,'Dataset-1'!K359:W969,2,)</f>
        <v>0.22</v>
      </c>
      <c r="M358" s="71" t="str">
        <f>VLOOKUP(L358,'Dataset-1'!L359:X969,2,)</f>
        <v>Cloudy</v>
      </c>
      <c r="N358" s="41">
        <f>VLOOKUP(A358,'Dataset-2'!B359:H969,2,)</f>
        <v>0.21210000000000001</v>
      </c>
      <c r="O358" s="41">
        <f>VLOOKUP(N358,'Dataset-2'!C359:I969,2,)</f>
        <v>0.55000000000000004</v>
      </c>
      <c r="P358" s="41">
        <f>VLOOKUP(O358,'Dataset-2'!D359:J969,2,)</f>
        <v>0.28360000000000002</v>
      </c>
      <c r="Q358" s="41">
        <f>VLOOKUP(P358,'Dataset-2'!E359:K969,2,)</f>
        <v>0</v>
      </c>
      <c r="R358" s="41">
        <f>VLOOKUP(Q358,'Dataset-2'!F359:L969,2,)</f>
        <v>18</v>
      </c>
      <c r="S358" s="41">
        <f>VLOOKUP(R358,'Dataset-2'!G359:M969,2,)</f>
        <v>18</v>
      </c>
    </row>
    <row r="359" spans="1:19" x14ac:dyDescent="0.35">
      <c r="A359" s="40">
        <v>358</v>
      </c>
      <c r="B359" s="62">
        <f>VLOOKUP(A359,'Dataset-1'!A360:M970,2,)</f>
        <v>40559</v>
      </c>
      <c r="C359" s="41">
        <f>VLOOKUP(B359,'Dataset-1'!B360:N970,2,)</f>
        <v>1</v>
      </c>
      <c r="D359" s="41">
        <f>VLOOKUP(C359,'Dataset-1'!C360:O970,2,)</f>
        <v>0</v>
      </c>
      <c r="E359" s="41">
        <f>VLOOKUP(D359,'Dataset-1'!D360:P970,2,)</f>
        <v>1</v>
      </c>
      <c r="F359" s="41">
        <f>VLOOKUP(E359,'Dataset-1'!E360:Q970,2,)</f>
        <v>9</v>
      </c>
      <c r="G359" s="71" t="str">
        <f>VLOOKUP(F359,'Dataset-1'!F360:R970,2,)</f>
        <v>Morning</v>
      </c>
      <c r="H359" s="41" t="b">
        <f>VLOOKUP(G359,'Dataset-1'!G360:S970,2,)</f>
        <v>0</v>
      </c>
      <c r="I359" s="41">
        <f>VLOOKUP(H359,'Dataset-1'!H360:T970,2,)</f>
        <v>0</v>
      </c>
      <c r="J359" s="71" t="str">
        <f>VLOOKUP(I359,'Dataset-1'!I360:U970,2,)</f>
        <v>Saturday</v>
      </c>
      <c r="K359" s="41">
        <f>VLOOKUP(J359,'Dataset-1'!J360:V970,2,)</f>
        <v>1</v>
      </c>
      <c r="L359" s="41">
        <f>VLOOKUP(K359,'Dataset-1'!K360:W970,2,)</f>
        <v>0.22</v>
      </c>
      <c r="M359" s="71" t="str">
        <f>VLOOKUP(L359,'Dataset-1'!L360:X970,2,)</f>
        <v>Cloudy</v>
      </c>
      <c r="N359" s="41">
        <f>VLOOKUP(A359,'Dataset-2'!B360:H970,2,)</f>
        <v>0.21210000000000001</v>
      </c>
      <c r="O359" s="41">
        <f>VLOOKUP(N359,'Dataset-2'!C360:I970,2,)</f>
        <v>0.51</v>
      </c>
      <c r="P359" s="41">
        <f>VLOOKUP(O359,'Dataset-2'!D360:J970,2,)</f>
        <v>0.25369999999999998</v>
      </c>
      <c r="Q359" s="41">
        <f>VLOOKUP(P359,'Dataset-2'!E360:K970,2,)</f>
        <v>3</v>
      </c>
      <c r="R359" s="41">
        <f>VLOOKUP(Q359,'Dataset-2'!F360:L970,2,)</f>
        <v>29</v>
      </c>
      <c r="S359" s="41">
        <f>VLOOKUP(R359,'Dataset-2'!G360:M970,2,)</f>
        <v>32</v>
      </c>
    </row>
    <row r="360" spans="1:19" x14ac:dyDescent="0.35">
      <c r="A360" s="40">
        <v>359</v>
      </c>
      <c r="B360" s="62">
        <f>VLOOKUP(A360,'Dataset-1'!A361:M971,2,)</f>
        <v>40559</v>
      </c>
      <c r="C360" s="41">
        <f>VLOOKUP(B360,'Dataset-1'!B361:N971,2,)</f>
        <v>1</v>
      </c>
      <c r="D360" s="41">
        <f>VLOOKUP(C360,'Dataset-1'!C361:O971,2,)</f>
        <v>0</v>
      </c>
      <c r="E360" s="41">
        <f>VLOOKUP(D360,'Dataset-1'!D361:P971,2,)</f>
        <v>1</v>
      </c>
      <c r="F360" s="41">
        <f>VLOOKUP(E360,'Dataset-1'!E361:Q971,2,)</f>
        <v>10</v>
      </c>
      <c r="G360" s="71" t="str">
        <f>VLOOKUP(F360,'Dataset-1'!F361:R971,2,)</f>
        <v>Morning</v>
      </c>
      <c r="H360" s="41" t="b">
        <f>VLOOKUP(G360,'Dataset-1'!G361:S971,2,)</f>
        <v>0</v>
      </c>
      <c r="I360" s="41">
        <f>VLOOKUP(H360,'Dataset-1'!H361:T971,2,)</f>
        <v>0</v>
      </c>
      <c r="J360" s="71" t="str">
        <f>VLOOKUP(I360,'Dataset-1'!I361:U971,2,)</f>
        <v>Saturday</v>
      </c>
      <c r="K360" s="41">
        <f>VLOOKUP(J360,'Dataset-1'!J361:V971,2,)</f>
        <v>1</v>
      </c>
      <c r="L360" s="41">
        <f>VLOOKUP(K360,'Dataset-1'!K361:W971,2,)</f>
        <v>0.22</v>
      </c>
      <c r="M360" s="71" t="str">
        <f>VLOOKUP(L360,'Dataset-1'!L361:X971,2,)</f>
        <v>Cloudy</v>
      </c>
      <c r="N360" s="41">
        <f>VLOOKUP(A360,'Dataset-2'!B361:H971,2,)</f>
        <v>0.21210000000000001</v>
      </c>
      <c r="O360" s="41">
        <f>VLOOKUP(N360,'Dataset-2'!C361:I971,2,)</f>
        <v>0.51</v>
      </c>
      <c r="P360" s="41">
        <f>VLOOKUP(O360,'Dataset-2'!D361:J971,2,)</f>
        <v>0.28360000000000002</v>
      </c>
      <c r="Q360" s="41">
        <f>VLOOKUP(P360,'Dataset-2'!E361:K971,2,)</f>
        <v>8</v>
      </c>
      <c r="R360" s="41">
        <f>VLOOKUP(Q360,'Dataset-2'!F361:L971,2,)</f>
        <v>71</v>
      </c>
      <c r="S360" s="41">
        <f>VLOOKUP(R360,'Dataset-2'!G361:M971,2,)</f>
        <v>79</v>
      </c>
    </row>
    <row r="361" spans="1:19" x14ac:dyDescent="0.35">
      <c r="A361" s="40">
        <v>360</v>
      </c>
      <c r="B361" s="62">
        <f>VLOOKUP(A361,'Dataset-1'!A362:M972,2,)</f>
        <v>40559</v>
      </c>
      <c r="C361" s="41">
        <f>VLOOKUP(B361,'Dataset-1'!B362:N972,2,)</f>
        <v>1</v>
      </c>
      <c r="D361" s="41">
        <f>VLOOKUP(C361,'Dataset-1'!C362:O972,2,)</f>
        <v>0</v>
      </c>
      <c r="E361" s="41">
        <f>VLOOKUP(D361,'Dataset-1'!D362:P972,2,)</f>
        <v>1</v>
      </c>
      <c r="F361" s="41">
        <f>VLOOKUP(E361,'Dataset-1'!E362:Q972,2,)</f>
        <v>11</v>
      </c>
      <c r="G361" s="71" t="str">
        <f>VLOOKUP(F361,'Dataset-1'!F362:R972,2,)</f>
        <v>Morning</v>
      </c>
      <c r="H361" s="41" t="b">
        <f>VLOOKUP(G361,'Dataset-1'!G362:S972,2,)</f>
        <v>0</v>
      </c>
      <c r="I361" s="41">
        <f>VLOOKUP(H361,'Dataset-1'!H362:T972,2,)</f>
        <v>0</v>
      </c>
      <c r="J361" s="71" t="str">
        <f>VLOOKUP(I361,'Dataset-1'!I362:U972,2,)</f>
        <v>Saturday</v>
      </c>
      <c r="K361" s="41">
        <f>VLOOKUP(J361,'Dataset-1'!J362:V972,2,)</f>
        <v>1</v>
      </c>
      <c r="L361" s="41">
        <f>VLOOKUP(K361,'Dataset-1'!K362:W972,2,)</f>
        <v>0.24</v>
      </c>
      <c r="M361" s="71" t="str">
        <f>VLOOKUP(L361,'Dataset-1'!L362:X972,2,)</f>
        <v>Cloudy</v>
      </c>
      <c r="N361" s="41">
        <f>VLOOKUP(A361,'Dataset-2'!B362:H972,2,)</f>
        <v>0.2273</v>
      </c>
      <c r="O361" s="41">
        <f>VLOOKUP(N361,'Dataset-2'!C362:I972,2,)</f>
        <v>0.44</v>
      </c>
      <c r="P361" s="41">
        <f>VLOOKUP(O361,'Dataset-2'!D362:J972,2,)</f>
        <v>0.25369999999999998</v>
      </c>
      <c r="Q361" s="41">
        <f>VLOOKUP(P361,'Dataset-2'!E362:K972,2,)</f>
        <v>23</v>
      </c>
      <c r="R361" s="41">
        <f>VLOOKUP(Q361,'Dataset-2'!F362:L972,2,)</f>
        <v>70</v>
      </c>
      <c r="S361" s="41">
        <f>VLOOKUP(R361,'Dataset-2'!G362:M972,2,)</f>
        <v>93</v>
      </c>
    </row>
    <row r="362" spans="1:19" x14ac:dyDescent="0.35">
      <c r="A362" s="40">
        <v>361</v>
      </c>
      <c r="B362" s="62">
        <f>VLOOKUP(A362,'Dataset-1'!A363:M973,2,)</f>
        <v>40559</v>
      </c>
      <c r="C362" s="41">
        <f>VLOOKUP(B362,'Dataset-1'!B363:N973,2,)</f>
        <v>1</v>
      </c>
      <c r="D362" s="41">
        <f>VLOOKUP(C362,'Dataset-1'!C363:O973,2,)</f>
        <v>0</v>
      </c>
      <c r="E362" s="41">
        <f>VLOOKUP(D362,'Dataset-1'!D363:P973,2,)</f>
        <v>1</v>
      </c>
      <c r="F362" s="41">
        <f>VLOOKUP(E362,'Dataset-1'!E363:Q973,2,)</f>
        <v>12</v>
      </c>
      <c r="G362" s="71" t="str">
        <f>VLOOKUP(F362,'Dataset-1'!F363:R973,2,)</f>
        <v>AfterNoon</v>
      </c>
      <c r="H362" s="41" t="b">
        <f>VLOOKUP(G362,'Dataset-1'!G363:S973,2,)</f>
        <v>0</v>
      </c>
      <c r="I362" s="41">
        <f>VLOOKUP(H362,'Dataset-1'!H363:T973,2,)</f>
        <v>0</v>
      </c>
      <c r="J362" s="71" t="str">
        <f>VLOOKUP(I362,'Dataset-1'!I363:U973,2,)</f>
        <v>Saturday</v>
      </c>
      <c r="K362" s="41">
        <f>VLOOKUP(J362,'Dataset-1'!J363:V973,2,)</f>
        <v>1</v>
      </c>
      <c r="L362" s="41">
        <f>VLOOKUP(K362,'Dataset-1'!K363:W973,2,)</f>
        <v>0.24</v>
      </c>
      <c r="M362" s="71" t="str">
        <f>VLOOKUP(L362,'Dataset-1'!L363:X973,2,)</f>
        <v>Cloudy</v>
      </c>
      <c r="N362" s="41">
        <f>VLOOKUP(A362,'Dataset-2'!B363:H973,2,)</f>
        <v>0.21210000000000001</v>
      </c>
      <c r="O362" s="41">
        <f>VLOOKUP(N362,'Dataset-2'!C363:I973,2,)</f>
        <v>0.41</v>
      </c>
      <c r="P362" s="41">
        <f>VLOOKUP(O362,'Dataset-2'!D363:J973,2,)</f>
        <v>0.28360000000000002</v>
      </c>
      <c r="Q362" s="41">
        <f>VLOOKUP(P362,'Dataset-2'!E363:K973,2,)</f>
        <v>29</v>
      </c>
      <c r="R362" s="41">
        <f>VLOOKUP(Q362,'Dataset-2'!F363:L973,2,)</f>
        <v>75</v>
      </c>
      <c r="S362" s="41">
        <f>VLOOKUP(R362,'Dataset-2'!G363:M973,2,)</f>
        <v>104</v>
      </c>
    </row>
    <row r="363" spans="1:19" x14ac:dyDescent="0.35">
      <c r="A363" s="40">
        <v>362</v>
      </c>
      <c r="B363" s="62">
        <f>VLOOKUP(A363,'Dataset-1'!A364:M974,2,)</f>
        <v>40559</v>
      </c>
      <c r="C363" s="41">
        <f>VLOOKUP(B363,'Dataset-1'!B364:N974,2,)</f>
        <v>1</v>
      </c>
      <c r="D363" s="41">
        <f>VLOOKUP(C363,'Dataset-1'!C364:O974,2,)</f>
        <v>0</v>
      </c>
      <c r="E363" s="41">
        <f>VLOOKUP(D363,'Dataset-1'!D364:P974,2,)</f>
        <v>1</v>
      </c>
      <c r="F363" s="41">
        <f>VLOOKUP(E363,'Dataset-1'!E364:Q974,2,)</f>
        <v>13</v>
      </c>
      <c r="G363" s="71" t="str">
        <f>VLOOKUP(F363,'Dataset-1'!F364:R974,2,)</f>
        <v>AfterNoon</v>
      </c>
      <c r="H363" s="41" t="b">
        <f>VLOOKUP(G363,'Dataset-1'!G364:S974,2,)</f>
        <v>0</v>
      </c>
      <c r="I363" s="41">
        <f>VLOOKUP(H363,'Dataset-1'!H364:T974,2,)</f>
        <v>0</v>
      </c>
      <c r="J363" s="71" t="str">
        <f>VLOOKUP(I363,'Dataset-1'!I364:U974,2,)</f>
        <v>Saturday</v>
      </c>
      <c r="K363" s="41">
        <f>VLOOKUP(J363,'Dataset-1'!J364:V974,2,)</f>
        <v>1</v>
      </c>
      <c r="L363" s="41">
        <f>VLOOKUP(K363,'Dataset-1'!K364:W974,2,)</f>
        <v>0.26</v>
      </c>
      <c r="M363" s="71" t="str">
        <f>VLOOKUP(L363,'Dataset-1'!L364:X974,2,)</f>
        <v>Cloudy</v>
      </c>
      <c r="N363" s="41">
        <f>VLOOKUP(A363,'Dataset-2'!B364:H974,2,)</f>
        <v>0.2273</v>
      </c>
      <c r="O363" s="41">
        <f>VLOOKUP(N363,'Dataset-2'!C364:I974,2,)</f>
        <v>0.35</v>
      </c>
      <c r="P363" s="41">
        <f>VLOOKUP(O363,'Dataset-2'!D364:J974,2,)</f>
        <v>0.29849999999999999</v>
      </c>
      <c r="Q363" s="41">
        <f>VLOOKUP(P363,'Dataset-2'!E364:K974,2,)</f>
        <v>23</v>
      </c>
      <c r="R363" s="41">
        <f>VLOOKUP(Q363,'Dataset-2'!F364:L974,2,)</f>
        <v>95</v>
      </c>
      <c r="S363" s="41">
        <f>VLOOKUP(R363,'Dataset-2'!G364:M974,2,)</f>
        <v>118</v>
      </c>
    </row>
    <row r="364" spans="1:19" x14ac:dyDescent="0.35">
      <c r="A364" s="40">
        <v>363</v>
      </c>
      <c r="B364" s="62">
        <f>VLOOKUP(A364,'Dataset-1'!A365:M975,2,)</f>
        <v>40559</v>
      </c>
      <c r="C364" s="41">
        <f>VLOOKUP(B364,'Dataset-1'!B365:N975,2,)</f>
        <v>1</v>
      </c>
      <c r="D364" s="41">
        <f>VLOOKUP(C364,'Dataset-1'!C365:O975,2,)</f>
        <v>0</v>
      </c>
      <c r="E364" s="41">
        <f>VLOOKUP(D364,'Dataset-1'!D365:P975,2,)</f>
        <v>1</v>
      </c>
      <c r="F364" s="41">
        <f>VLOOKUP(E364,'Dataset-1'!E365:Q975,2,)</f>
        <v>14</v>
      </c>
      <c r="G364" s="71" t="str">
        <f>VLOOKUP(F364,'Dataset-1'!F365:R975,2,)</f>
        <v>AfterNoon</v>
      </c>
      <c r="H364" s="41" t="b">
        <f>VLOOKUP(G364,'Dataset-1'!G365:S975,2,)</f>
        <v>0</v>
      </c>
      <c r="I364" s="41">
        <f>VLOOKUP(H364,'Dataset-1'!H365:T975,2,)</f>
        <v>0</v>
      </c>
      <c r="J364" s="71" t="str">
        <f>VLOOKUP(I364,'Dataset-1'!I365:U975,2,)</f>
        <v>Saturday</v>
      </c>
      <c r="K364" s="41">
        <f>VLOOKUP(J364,'Dataset-1'!J365:V975,2,)</f>
        <v>1</v>
      </c>
      <c r="L364" s="41">
        <f>VLOOKUP(K364,'Dataset-1'!K365:W975,2,)</f>
        <v>0.28000000000000003</v>
      </c>
      <c r="M364" s="71" t="str">
        <f>VLOOKUP(L364,'Dataset-1'!L365:X975,2,)</f>
        <v>Cloudy</v>
      </c>
      <c r="N364" s="41">
        <f>VLOOKUP(A364,'Dataset-2'!B365:H975,2,)</f>
        <v>0.2727</v>
      </c>
      <c r="O364" s="41">
        <f>VLOOKUP(N364,'Dataset-2'!C365:I975,2,)</f>
        <v>0.36</v>
      </c>
      <c r="P364" s="41">
        <f>VLOOKUP(O364,'Dataset-2'!D365:J975,2,)</f>
        <v>0.25369999999999998</v>
      </c>
      <c r="Q364" s="41">
        <f>VLOOKUP(P364,'Dataset-2'!E365:K975,2,)</f>
        <v>22</v>
      </c>
      <c r="R364" s="41">
        <f>VLOOKUP(Q364,'Dataset-2'!F365:L975,2,)</f>
        <v>69</v>
      </c>
      <c r="S364" s="41">
        <f>VLOOKUP(R364,'Dataset-2'!G365:M975,2,)</f>
        <v>91</v>
      </c>
    </row>
    <row r="365" spans="1:19" x14ac:dyDescent="0.35">
      <c r="A365" s="40">
        <v>364</v>
      </c>
      <c r="B365" s="62">
        <f>VLOOKUP(A365,'Dataset-1'!A366:M976,2,)</f>
        <v>40559</v>
      </c>
      <c r="C365" s="41">
        <f>VLOOKUP(B365,'Dataset-1'!B366:N976,2,)</f>
        <v>1</v>
      </c>
      <c r="D365" s="41">
        <f>VLOOKUP(C365,'Dataset-1'!C366:O976,2,)</f>
        <v>0</v>
      </c>
      <c r="E365" s="41">
        <f>VLOOKUP(D365,'Dataset-1'!D366:P976,2,)</f>
        <v>1</v>
      </c>
      <c r="F365" s="41">
        <f>VLOOKUP(E365,'Dataset-1'!E366:Q976,2,)</f>
        <v>15</v>
      </c>
      <c r="G365" s="71" t="str">
        <f>VLOOKUP(F365,'Dataset-1'!F366:R976,2,)</f>
        <v>AfterNoon</v>
      </c>
      <c r="H365" s="41" t="b">
        <f>VLOOKUP(G365,'Dataset-1'!G366:S976,2,)</f>
        <v>0</v>
      </c>
      <c r="I365" s="41">
        <f>VLOOKUP(H365,'Dataset-1'!H366:T976,2,)</f>
        <v>0</v>
      </c>
      <c r="J365" s="71" t="str">
        <f>VLOOKUP(I365,'Dataset-1'!I366:U976,2,)</f>
        <v>Saturday</v>
      </c>
      <c r="K365" s="41">
        <f>VLOOKUP(J365,'Dataset-1'!J366:V976,2,)</f>
        <v>1</v>
      </c>
      <c r="L365" s="41">
        <f>VLOOKUP(K365,'Dataset-1'!K366:W976,2,)</f>
        <v>0.26</v>
      </c>
      <c r="M365" s="71" t="str">
        <f>VLOOKUP(L365,'Dataset-1'!L366:X976,2,)</f>
        <v>Cloudy</v>
      </c>
      <c r="N365" s="41">
        <f>VLOOKUP(A365,'Dataset-2'!B366:H976,2,)</f>
        <v>0.2424</v>
      </c>
      <c r="O365" s="41">
        <f>VLOOKUP(N365,'Dataset-2'!C366:I976,2,)</f>
        <v>0.38</v>
      </c>
      <c r="P365" s="41">
        <f>VLOOKUP(O365,'Dataset-2'!D366:J976,2,)</f>
        <v>0.25369999999999998</v>
      </c>
      <c r="Q365" s="41">
        <f>VLOOKUP(P365,'Dataset-2'!E366:K976,2,)</f>
        <v>35</v>
      </c>
      <c r="R365" s="41">
        <f>VLOOKUP(Q365,'Dataset-2'!F366:L976,2,)</f>
        <v>78</v>
      </c>
      <c r="S365" s="41">
        <f>VLOOKUP(R365,'Dataset-2'!G366:M976,2,)</f>
        <v>113</v>
      </c>
    </row>
    <row r="366" spans="1:19" x14ac:dyDescent="0.35">
      <c r="A366" s="40">
        <v>365</v>
      </c>
      <c r="B366" s="62">
        <f>VLOOKUP(A366,'Dataset-1'!A367:M977,2,)</f>
        <v>40559</v>
      </c>
      <c r="C366" s="41">
        <f>VLOOKUP(B366,'Dataset-1'!B367:N977,2,)</f>
        <v>1</v>
      </c>
      <c r="D366" s="41">
        <f>VLOOKUP(C366,'Dataset-1'!C367:O977,2,)</f>
        <v>0</v>
      </c>
      <c r="E366" s="41">
        <f>VLOOKUP(D366,'Dataset-1'!D367:P977,2,)</f>
        <v>1</v>
      </c>
      <c r="F366" s="41">
        <f>VLOOKUP(E366,'Dataset-1'!E367:Q977,2,)</f>
        <v>16</v>
      </c>
      <c r="G366" s="71" t="str">
        <f>VLOOKUP(F366,'Dataset-1'!F367:R977,2,)</f>
        <v>AfterNoon</v>
      </c>
      <c r="H366" s="41" t="b">
        <f>VLOOKUP(G366,'Dataset-1'!G367:S977,2,)</f>
        <v>0</v>
      </c>
      <c r="I366" s="41">
        <f>VLOOKUP(H366,'Dataset-1'!H367:T977,2,)</f>
        <v>0</v>
      </c>
      <c r="J366" s="71" t="str">
        <f>VLOOKUP(I366,'Dataset-1'!I367:U977,2,)</f>
        <v>Saturday</v>
      </c>
      <c r="K366" s="41">
        <f>VLOOKUP(J366,'Dataset-1'!J367:V977,2,)</f>
        <v>1</v>
      </c>
      <c r="L366" s="41">
        <f>VLOOKUP(K366,'Dataset-1'!K367:W977,2,)</f>
        <v>0.24</v>
      </c>
      <c r="M366" s="71" t="str">
        <f>VLOOKUP(L366,'Dataset-1'!L367:X977,2,)</f>
        <v>Cloudy</v>
      </c>
      <c r="N366" s="41">
        <f>VLOOKUP(A366,'Dataset-2'!B367:H977,2,)</f>
        <v>0.2273</v>
      </c>
      <c r="O366" s="41">
        <f>VLOOKUP(N366,'Dataset-2'!C367:I977,2,)</f>
        <v>0.38</v>
      </c>
      <c r="P366" s="41">
        <f>VLOOKUP(O366,'Dataset-2'!D367:J977,2,)</f>
        <v>0.22389999999999999</v>
      </c>
      <c r="Q366" s="41">
        <f>VLOOKUP(P366,'Dataset-2'!E367:K977,2,)</f>
        <v>22</v>
      </c>
      <c r="R366" s="41">
        <f>VLOOKUP(Q366,'Dataset-2'!F367:L977,2,)</f>
        <v>77</v>
      </c>
      <c r="S366" s="41">
        <f>VLOOKUP(R366,'Dataset-2'!G367:M977,2,)</f>
        <v>99</v>
      </c>
    </row>
    <row r="367" spans="1:19" x14ac:dyDescent="0.35">
      <c r="A367" s="40">
        <v>366</v>
      </c>
      <c r="B367" s="62">
        <f>VLOOKUP(A367,'Dataset-1'!A368:M978,2,)</f>
        <v>40559</v>
      </c>
      <c r="C367" s="41">
        <f>VLOOKUP(B367,'Dataset-1'!B368:N978,2,)</f>
        <v>1</v>
      </c>
      <c r="D367" s="41">
        <f>VLOOKUP(C367,'Dataset-1'!C368:O978,2,)</f>
        <v>0</v>
      </c>
      <c r="E367" s="41">
        <f>VLOOKUP(D367,'Dataset-1'!D368:P978,2,)</f>
        <v>1</v>
      </c>
      <c r="F367" s="41">
        <f>VLOOKUP(E367,'Dataset-1'!E368:Q978,2,)</f>
        <v>17</v>
      </c>
      <c r="G367" s="71" t="str">
        <f>VLOOKUP(F367,'Dataset-1'!F368:R978,2,)</f>
        <v>Evening</v>
      </c>
      <c r="H367" s="41" t="b">
        <f>VLOOKUP(G367,'Dataset-1'!G368:S978,2,)</f>
        <v>0</v>
      </c>
      <c r="I367" s="41">
        <f>VLOOKUP(H367,'Dataset-1'!H368:T978,2,)</f>
        <v>0</v>
      </c>
      <c r="J367" s="71" t="str">
        <f>VLOOKUP(I367,'Dataset-1'!I368:U978,2,)</f>
        <v>Saturday</v>
      </c>
      <c r="K367" s="41">
        <f>VLOOKUP(J367,'Dataset-1'!J368:V978,2,)</f>
        <v>1</v>
      </c>
      <c r="L367" s="41">
        <f>VLOOKUP(K367,'Dataset-1'!K368:W978,2,)</f>
        <v>0.22</v>
      </c>
      <c r="M367" s="71" t="str">
        <f>VLOOKUP(L367,'Dataset-1'!L368:X978,2,)</f>
        <v>Cloudy</v>
      </c>
      <c r="N367" s="41">
        <f>VLOOKUP(A367,'Dataset-2'!B368:H978,2,)</f>
        <v>0.21210000000000001</v>
      </c>
      <c r="O367" s="41">
        <f>VLOOKUP(N367,'Dataset-2'!C368:I978,2,)</f>
        <v>0.37</v>
      </c>
      <c r="P367" s="41">
        <f>VLOOKUP(O367,'Dataset-2'!D368:J978,2,)</f>
        <v>0.25369999999999998</v>
      </c>
      <c r="Q367" s="41">
        <f>VLOOKUP(P367,'Dataset-2'!E368:K978,2,)</f>
        <v>23</v>
      </c>
      <c r="R367" s="41">
        <f>VLOOKUP(Q367,'Dataset-2'!F368:L978,2,)</f>
        <v>82</v>
      </c>
      <c r="S367" s="41">
        <f>VLOOKUP(R367,'Dataset-2'!G368:M978,2,)</f>
        <v>105</v>
      </c>
    </row>
    <row r="368" spans="1:19" x14ac:dyDescent="0.35">
      <c r="A368" s="40">
        <v>367</v>
      </c>
      <c r="B368" s="62">
        <f>VLOOKUP(A368,'Dataset-1'!A369:M979,2,)</f>
        <v>40559</v>
      </c>
      <c r="C368" s="41">
        <f>VLOOKUP(B368,'Dataset-1'!B369:N979,2,)</f>
        <v>1</v>
      </c>
      <c r="D368" s="41">
        <f>VLOOKUP(C368,'Dataset-1'!C369:O979,2,)</f>
        <v>0</v>
      </c>
      <c r="E368" s="41">
        <f>VLOOKUP(D368,'Dataset-1'!D369:P979,2,)</f>
        <v>1</v>
      </c>
      <c r="F368" s="41">
        <f>VLOOKUP(E368,'Dataset-1'!E369:Q979,2,)</f>
        <v>18</v>
      </c>
      <c r="G368" s="71" t="str">
        <f>VLOOKUP(F368,'Dataset-1'!F369:R979,2,)</f>
        <v>Evening</v>
      </c>
      <c r="H368" s="41" t="b">
        <f>VLOOKUP(G368,'Dataset-1'!G369:S979,2,)</f>
        <v>0</v>
      </c>
      <c r="I368" s="41">
        <f>VLOOKUP(H368,'Dataset-1'!H369:T979,2,)</f>
        <v>0</v>
      </c>
      <c r="J368" s="71" t="str">
        <f>VLOOKUP(I368,'Dataset-1'!I369:U979,2,)</f>
        <v>Saturday</v>
      </c>
      <c r="K368" s="41">
        <f>VLOOKUP(J368,'Dataset-1'!J369:V979,2,)</f>
        <v>1</v>
      </c>
      <c r="L368" s="41">
        <f>VLOOKUP(K368,'Dataset-1'!K369:W979,2,)</f>
        <v>0.2</v>
      </c>
      <c r="M368" s="71" t="str">
        <f>VLOOKUP(L368,'Dataset-1'!L369:X979,2,)</f>
        <v>Rainy</v>
      </c>
      <c r="N368" s="41">
        <f>VLOOKUP(A368,'Dataset-2'!B369:H979,2,)</f>
        <v>0.21210000000000001</v>
      </c>
      <c r="O368" s="41">
        <f>VLOOKUP(N368,'Dataset-2'!C369:I979,2,)</f>
        <v>0.4</v>
      </c>
      <c r="P368" s="41">
        <f>VLOOKUP(O368,'Dataset-2'!D369:J979,2,)</f>
        <v>0.16420000000000001</v>
      </c>
      <c r="Q368" s="41">
        <f>VLOOKUP(P368,'Dataset-2'!E369:K979,2,)</f>
        <v>11</v>
      </c>
      <c r="R368" s="41">
        <f>VLOOKUP(Q368,'Dataset-2'!F369:L979,2,)</f>
        <v>56</v>
      </c>
      <c r="S368" s="41">
        <f>VLOOKUP(R368,'Dataset-2'!G369:M979,2,)</f>
        <v>67</v>
      </c>
    </row>
    <row r="369" spans="1:19" x14ac:dyDescent="0.35">
      <c r="A369" s="40">
        <v>368</v>
      </c>
      <c r="B369" s="62">
        <f>VLOOKUP(A369,'Dataset-1'!A370:M980,2,)</f>
        <v>40559</v>
      </c>
      <c r="C369" s="41">
        <f>VLOOKUP(B369,'Dataset-1'!B370:N980,2,)</f>
        <v>1</v>
      </c>
      <c r="D369" s="41">
        <f>VLOOKUP(C369,'Dataset-1'!C370:O980,2,)</f>
        <v>0</v>
      </c>
      <c r="E369" s="41">
        <f>VLOOKUP(D369,'Dataset-1'!D370:P980,2,)</f>
        <v>1</v>
      </c>
      <c r="F369" s="41">
        <f>VLOOKUP(E369,'Dataset-1'!E370:Q980,2,)</f>
        <v>19</v>
      </c>
      <c r="G369" s="71" t="str">
        <f>VLOOKUP(F369,'Dataset-1'!F370:R980,2,)</f>
        <v>Evening</v>
      </c>
      <c r="H369" s="41" t="b">
        <f>VLOOKUP(G369,'Dataset-1'!G370:S980,2,)</f>
        <v>0</v>
      </c>
      <c r="I369" s="41">
        <f>VLOOKUP(H369,'Dataset-1'!H370:T980,2,)</f>
        <v>0</v>
      </c>
      <c r="J369" s="71" t="str">
        <f>VLOOKUP(I369,'Dataset-1'!I370:U980,2,)</f>
        <v>Saturday</v>
      </c>
      <c r="K369" s="41">
        <f>VLOOKUP(J369,'Dataset-1'!J370:V980,2,)</f>
        <v>1</v>
      </c>
      <c r="L369" s="41">
        <f>VLOOKUP(K369,'Dataset-1'!K370:W980,2,)</f>
        <v>0.18</v>
      </c>
      <c r="M369" s="71" t="str">
        <f>VLOOKUP(L369,'Dataset-1'!L370:X980,2,)</f>
        <v>Rainy</v>
      </c>
      <c r="N369" s="41">
        <f>VLOOKUP(A369,'Dataset-2'!B370:H980,2,)</f>
        <v>0.19700000000000001</v>
      </c>
      <c r="O369" s="41">
        <f>VLOOKUP(N369,'Dataset-2'!C370:I980,2,)</f>
        <v>0.47</v>
      </c>
      <c r="P369" s="41">
        <f>VLOOKUP(O369,'Dataset-2'!D370:J980,2,)</f>
        <v>0.1343</v>
      </c>
      <c r="Q369" s="41">
        <f>VLOOKUP(P369,'Dataset-2'!E370:K980,2,)</f>
        <v>14</v>
      </c>
      <c r="R369" s="41">
        <f>VLOOKUP(Q369,'Dataset-2'!F370:L980,2,)</f>
        <v>47</v>
      </c>
      <c r="S369" s="41">
        <f>VLOOKUP(R369,'Dataset-2'!G370:M980,2,)</f>
        <v>61</v>
      </c>
    </row>
    <row r="370" spans="1:19" x14ac:dyDescent="0.35">
      <c r="A370" s="40">
        <v>369</v>
      </c>
      <c r="B370" s="62">
        <f>VLOOKUP(A370,'Dataset-1'!A371:M981,2,)</f>
        <v>40559</v>
      </c>
      <c r="C370" s="41">
        <f>VLOOKUP(B370,'Dataset-1'!B371:N981,2,)</f>
        <v>1</v>
      </c>
      <c r="D370" s="41">
        <f>VLOOKUP(C370,'Dataset-1'!C371:O981,2,)</f>
        <v>0</v>
      </c>
      <c r="E370" s="41">
        <f>VLOOKUP(D370,'Dataset-1'!D371:P981,2,)</f>
        <v>1</v>
      </c>
      <c r="F370" s="41">
        <f>VLOOKUP(E370,'Dataset-1'!E371:Q981,2,)</f>
        <v>20</v>
      </c>
      <c r="G370" s="71" t="str">
        <f>VLOOKUP(F370,'Dataset-1'!F371:R981,2,)</f>
        <v>Night</v>
      </c>
      <c r="H370" s="41" t="b">
        <f>VLOOKUP(G370,'Dataset-1'!G371:S981,2,)</f>
        <v>0</v>
      </c>
      <c r="I370" s="41">
        <f>VLOOKUP(H370,'Dataset-1'!H371:T981,2,)</f>
        <v>0</v>
      </c>
      <c r="J370" s="71" t="str">
        <f>VLOOKUP(I370,'Dataset-1'!I371:U981,2,)</f>
        <v>Saturday</v>
      </c>
      <c r="K370" s="41">
        <f>VLOOKUP(J370,'Dataset-1'!J371:V981,2,)</f>
        <v>1</v>
      </c>
      <c r="L370" s="41">
        <f>VLOOKUP(K370,'Dataset-1'!K371:W981,2,)</f>
        <v>0.18</v>
      </c>
      <c r="M370" s="71" t="str">
        <f>VLOOKUP(L370,'Dataset-1'!L371:X981,2,)</f>
        <v>Rainy</v>
      </c>
      <c r="N370" s="41">
        <f>VLOOKUP(A370,'Dataset-2'!B371:H981,2,)</f>
        <v>0.19700000000000001</v>
      </c>
      <c r="O370" s="41">
        <f>VLOOKUP(N370,'Dataset-2'!C371:I981,2,)</f>
        <v>0.47</v>
      </c>
      <c r="P370" s="41">
        <f>VLOOKUP(O370,'Dataset-2'!D371:J981,2,)</f>
        <v>0.16420000000000001</v>
      </c>
      <c r="Q370" s="41">
        <f>VLOOKUP(P370,'Dataset-2'!E371:K981,2,)</f>
        <v>7</v>
      </c>
      <c r="R370" s="41">
        <f>VLOOKUP(Q370,'Dataset-2'!F371:L981,2,)</f>
        <v>50</v>
      </c>
      <c r="S370" s="41">
        <f>VLOOKUP(R370,'Dataset-2'!G371:M981,2,)</f>
        <v>57</v>
      </c>
    </row>
    <row r="371" spans="1:19" x14ac:dyDescent="0.35">
      <c r="A371" s="40">
        <v>370</v>
      </c>
      <c r="B371" s="62">
        <f>VLOOKUP(A371,'Dataset-1'!A372:M982,2,)</f>
        <v>40559</v>
      </c>
      <c r="C371" s="41">
        <f>VLOOKUP(B371,'Dataset-1'!B372:N982,2,)</f>
        <v>1</v>
      </c>
      <c r="D371" s="41">
        <f>VLOOKUP(C371,'Dataset-1'!C372:O982,2,)</f>
        <v>0</v>
      </c>
      <c r="E371" s="41">
        <f>VLOOKUP(D371,'Dataset-1'!D372:P982,2,)</f>
        <v>1</v>
      </c>
      <c r="F371" s="41">
        <f>VLOOKUP(E371,'Dataset-1'!E372:Q982,2,)</f>
        <v>21</v>
      </c>
      <c r="G371" s="71" t="str">
        <f>VLOOKUP(F371,'Dataset-1'!F372:R982,2,)</f>
        <v>Night</v>
      </c>
      <c r="H371" s="41" t="b">
        <f>VLOOKUP(G371,'Dataset-1'!G372:S982,2,)</f>
        <v>0</v>
      </c>
      <c r="I371" s="41">
        <f>VLOOKUP(H371,'Dataset-1'!H372:T982,2,)</f>
        <v>0</v>
      </c>
      <c r="J371" s="71" t="str">
        <f>VLOOKUP(I371,'Dataset-1'!I372:U982,2,)</f>
        <v>Saturday</v>
      </c>
      <c r="K371" s="41">
        <f>VLOOKUP(J371,'Dataset-1'!J372:V982,2,)</f>
        <v>1</v>
      </c>
      <c r="L371" s="41">
        <f>VLOOKUP(K371,'Dataset-1'!K372:W982,2,)</f>
        <v>0.18</v>
      </c>
      <c r="M371" s="71" t="str">
        <f>VLOOKUP(L371,'Dataset-1'!L372:X982,2,)</f>
        <v>Rainy</v>
      </c>
      <c r="N371" s="41">
        <f>VLOOKUP(A371,'Dataset-2'!B372:H982,2,)</f>
        <v>0.19700000000000001</v>
      </c>
      <c r="O371" s="41">
        <f>VLOOKUP(N371,'Dataset-2'!C372:I982,2,)</f>
        <v>0.51</v>
      </c>
      <c r="P371" s="41">
        <f>VLOOKUP(O371,'Dataset-2'!D372:J982,2,)</f>
        <v>0.16420000000000001</v>
      </c>
      <c r="Q371" s="41">
        <f>VLOOKUP(P371,'Dataset-2'!E372:K982,2,)</f>
        <v>6</v>
      </c>
      <c r="R371" s="41">
        <f>VLOOKUP(Q371,'Dataset-2'!F372:L982,2,)</f>
        <v>22</v>
      </c>
      <c r="S371" s="41">
        <f>VLOOKUP(R371,'Dataset-2'!G372:M982,2,)</f>
        <v>28</v>
      </c>
    </row>
    <row r="372" spans="1:19" x14ac:dyDescent="0.35">
      <c r="A372" s="40">
        <v>371</v>
      </c>
      <c r="B372" s="62">
        <f>VLOOKUP(A372,'Dataset-1'!A373:M983,2,)</f>
        <v>40559</v>
      </c>
      <c r="C372" s="41">
        <f>VLOOKUP(B372,'Dataset-1'!B373:N983,2,)</f>
        <v>1</v>
      </c>
      <c r="D372" s="41">
        <f>VLOOKUP(C372,'Dataset-1'!C373:O983,2,)</f>
        <v>0</v>
      </c>
      <c r="E372" s="41">
        <f>VLOOKUP(D372,'Dataset-1'!D373:P983,2,)</f>
        <v>1</v>
      </c>
      <c r="F372" s="41">
        <f>VLOOKUP(E372,'Dataset-1'!E373:Q983,2,)</f>
        <v>22</v>
      </c>
      <c r="G372" s="71" t="str">
        <f>VLOOKUP(F372,'Dataset-1'!F373:R983,2,)</f>
        <v>Night</v>
      </c>
      <c r="H372" s="41" t="b">
        <f>VLOOKUP(G372,'Dataset-1'!G373:S983,2,)</f>
        <v>0</v>
      </c>
      <c r="I372" s="41">
        <f>VLOOKUP(H372,'Dataset-1'!H373:T983,2,)</f>
        <v>0</v>
      </c>
      <c r="J372" s="71" t="str">
        <f>VLOOKUP(I372,'Dataset-1'!I373:U983,2,)</f>
        <v>Saturday</v>
      </c>
      <c r="K372" s="41">
        <f>VLOOKUP(J372,'Dataset-1'!J373:V983,2,)</f>
        <v>2</v>
      </c>
      <c r="L372" s="41">
        <f>VLOOKUP(K372,'Dataset-1'!K373:W983,2,)</f>
        <v>0.2</v>
      </c>
      <c r="M372" s="71" t="str">
        <f>VLOOKUP(L372,'Dataset-1'!L373:X983,2,)</f>
        <v>Rainy</v>
      </c>
      <c r="N372" s="41">
        <f>VLOOKUP(A372,'Dataset-2'!B373:H983,2,)</f>
        <v>0.21210000000000001</v>
      </c>
      <c r="O372" s="41">
        <f>VLOOKUP(N372,'Dataset-2'!C373:I983,2,)</f>
        <v>0.49</v>
      </c>
      <c r="P372" s="41">
        <f>VLOOKUP(O372,'Dataset-2'!D373:J983,2,)</f>
        <v>0.1343</v>
      </c>
      <c r="Q372" s="41">
        <f>VLOOKUP(P372,'Dataset-2'!E373:K983,2,)</f>
        <v>2</v>
      </c>
      <c r="R372" s="41">
        <f>VLOOKUP(Q372,'Dataset-2'!F373:L983,2,)</f>
        <v>19</v>
      </c>
      <c r="S372" s="41">
        <f>VLOOKUP(R372,'Dataset-2'!G373:M983,2,)</f>
        <v>21</v>
      </c>
    </row>
    <row r="373" spans="1:19" x14ac:dyDescent="0.35">
      <c r="A373" s="40">
        <v>372</v>
      </c>
      <c r="B373" s="62">
        <f>VLOOKUP(A373,'Dataset-1'!A374:M984,2,)</f>
        <v>40559</v>
      </c>
      <c r="C373" s="41">
        <f>VLOOKUP(B373,'Dataset-1'!B374:N984,2,)</f>
        <v>1</v>
      </c>
      <c r="D373" s="41">
        <f>VLOOKUP(C373,'Dataset-1'!C374:O984,2,)</f>
        <v>0</v>
      </c>
      <c r="E373" s="41">
        <f>VLOOKUP(D373,'Dataset-1'!D374:P984,2,)</f>
        <v>1</v>
      </c>
      <c r="F373" s="41">
        <f>VLOOKUP(E373,'Dataset-1'!E374:Q984,2,)</f>
        <v>23</v>
      </c>
      <c r="G373" s="71" t="str">
        <f>VLOOKUP(F373,'Dataset-1'!F374:R984,2,)</f>
        <v>Night</v>
      </c>
      <c r="H373" s="41" t="b">
        <f>VLOOKUP(G373,'Dataset-1'!G374:S984,2,)</f>
        <v>0</v>
      </c>
      <c r="I373" s="41">
        <f>VLOOKUP(H373,'Dataset-1'!H374:T984,2,)</f>
        <v>0</v>
      </c>
      <c r="J373" s="71" t="str">
        <f>VLOOKUP(I373,'Dataset-1'!I374:U984,2,)</f>
        <v>Saturday</v>
      </c>
      <c r="K373" s="41">
        <f>VLOOKUP(J373,'Dataset-1'!J374:V984,2,)</f>
        <v>2</v>
      </c>
      <c r="L373" s="41">
        <f>VLOOKUP(K373,'Dataset-1'!K374:W984,2,)</f>
        <v>0.2</v>
      </c>
      <c r="M373" s="71" t="str">
        <f>VLOOKUP(L373,'Dataset-1'!L374:X984,2,)</f>
        <v>Rainy</v>
      </c>
      <c r="N373" s="41">
        <f>VLOOKUP(A373,'Dataset-2'!B374:H984,2,)</f>
        <v>0.2273</v>
      </c>
      <c r="O373" s="41">
        <f>VLOOKUP(N373,'Dataset-2'!C374:I984,2,)</f>
        <v>0.4</v>
      </c>
      <c r="P373" s="41">
        <f>VLOOKUP(O373,'Dataset-2'!D374:J984,2,)</f>
        <v>0.1045</v>
      </c>
      <c r="Q373" s="41">
        <f>VLOOKUP(P373,'Dataset-2'!E374:K984,2,)</f>
        <v>0</v>
      </c>
      <c r="R373" s="41">
        <f>VLOOKUP(Q373,'Dataset-2'!F374:L984,2,)</f>
        <v>18</v>
      </c>
      <c r="S373" s="41">
        <f>VLOOKUP(R373,'Dataset-2'!G374:M984,2,)</f>
        <v>18</v>
      </c>
    </row>
    <row r="374" spans="1:19" x14ac:dyDescent="0.35">
      <c r="A374" s="40">
        <v>373</v>
      </c>
      <c r="B374" s="62">
        <f>VLOOKUP(A374,'Dataset-1'!A375:M985,2,)</f>
        <v>40560</v>
      </c>
      <c r="C374" s="41">
        <f>VLOOKUP(B374,'Dataset-1'!B375:N985,2,)</f>
        <v>1</v>
      </c>
      <c r="D374" s="41">
        <f>VLOOKUP(C374,'Dataset-1'!C375:O985,2,)</f>
        <v>0</v>
      </c>
      <c r="E374" s="41">
        <f>VLOOKUP(D374,'Dataset-1'!D375:P985,2,)</f>
        <v>1</v>
      </c>
      <c r="F374" s="41">
        <f>VLOOKUP(E374,'Dataset-1'!E375:Q985,2,)</f>
        <v>0</v>
      </c>
      <c r="G374" s="71" t="str">
        <f>VLOOKUP(F374,'Dataset-1'!F375:R985,2,)</f>
        <v>Night</v>
      </c>
      <c r="H374" s="41" t="b">
        <f>VLOOKUP(G374,'Dataset-1'!G375:S985,2,)</f>
        <v>1</v>
      </c>
      <c r="I374" s="41">
        <f>VLOOKUP(H374,'Dataset-1'!H375:T985,2,)</f>
        <v>1</v>
      </c>
      <c r="J374" s="71" t="str">
        <f>VLOOKUP(I374,'Dataset-1'!I375:U985,2,)</f>
        <v>Sunday</v>
      </c>
      <c r="K374" s="41">
        <f>VLOOKUP(J374,'Dataset-1'!J375:V985,2,)</f>
        <v>2</v>
      </c>
      <c r="L374" s="41">
        <f>VLOOKUP(K374,'Dataset-1'!K375:W985,2,)</f>
        <v>0.2</v>
      </c>
      <c r="M374" s="71" t="str">
        <f>VLOOKUP(L374,'Dataset-1'!L375:X985,2,)</f>
        <v>Rainy</v>
      </c>
      <c r="N374" s="41">
        <f>VLOOKUP(A374,'Dataset-2'!B375:H985,2,)</f>
        <v>0.19700000000000001</v>
      </c>
      <c r="O374" s="41">
        <f>VLOOKUP(N374,'Dataset-2'!C375:I985,2,)</f>
        <v>0.47</v>
      </c>
      <c r="P374" s="41">
        <f>VLOOKUP(O374,'Dataset-2'!D375:J985,2,)</f>
        <v>0.22389999999999999</v>
      </c>
      <c r="Q374" s="41">
        <f>VLOOKUP(P374,'Dataset-2'!E375:K985,2,)</f>
        <v>1</v>
      </c>
      <c r="R374" s="41">
        <f>VLOOKUP(Q374,'Dataset-2'!F375:L985,2,)</f>
        <v>16</v>
      </c>
      <c r="S374" s="41">
        <f>VLOOKUP(R374,'Dataset-2'!G375:M985,2,)</f>
        <v>17</v>
      </c>
    </row>
    <row r="375" spans="1:19" x14ac:dyDescent="0.35">
      <c r="A375" s="40">
        <v>374</v>
      </c>
      <c r="B375" s="62">
        <f>VLOOKUP(A375,'Dataset-1'!A376:M986,2,)</f>
        <v>40560</v>
      </c>
      <c r="C375" s="41">
        <f>VLOOKUP(B375,'Dataset-1'!B376:N986,2,)</f>
        <v>1</v>
      </c>
      <c r="D375" s="41">
        <f>VLOOKUP(C375,'Dataset-1'!C376:O986,2,)</f>
        <v>0</v>
      </c>
      <c r="E375" s="41">
        <f>VLOOKUP(D375,'Dataset-1'!D376:P986,2,)</f>
        <v>1</v>
      </c>
      <c r="F375" s="41">
        <f>VLOOKUP(E375,'Dataset-1'!E376:Q986,2,)</f>
        <v>1</v>
      </c>
      <c r="G375" s="71" t="str">
        <f>VLOOKUP(F375,'Dataset-1'!F376:R986,2,)</f>
        <v>Night</v>
      </c>
      <c r="H375" s="41" t="b">
        <f>VLOOKUP(G375,'Dataset-1'!G376:S986,2,)</f>
        <v>1</v>
      </c>
      <c r="I375" s="41">
        <f>VLOOKUP(H375,'Dataset-1'!H376:T986,2,)</f>
        <v>1</v>
      </c>
      <c r="J375" s="71" t="str">
        <f>VLOOKUP(I375,'Dataset-1'!I376:U986,2,)</f>
        <v>Sunday</v>
      </c>
      <c r="K375" s="41">
        <f>VLOOKUP(J375,'Dataset-1'!J376:V986,2,)</f>
        <v>2</v>
      </c>
      <c r="L375" s="41">
        <f>VLOOKUP(K375,'Dataset-1'!K376:W986,2,)</f>
        <v>0.2</v>
      </c>
      <c r="M375" s="71" t="str">
        <f>VLOOKUP(L375,'Dataset-1'!L376:X986,2,)</f>
        <v>Rainy</v>
      </c>
      <c r="N375" s="41">
        <f>VLOOKUP(A375,'Dataset-2'!B376:H986,2,)</f>
        <v>0.19700000000000001</v>
      </c>
      <c r="O375" s="41">
        <f>VLOOKUP(N375,'Dataset-2'!C376:I986,2,)</f>
        <v>0.44</v>
      </c>
      <c r="P375" s="41">
        <f>VLOOKUP(O375,'Dataset-2'!D376:J986,2,)</f>
        <v>0.19400000000000001</v>
      </c>
      <c r="Q375" s="41">
        <f>VLOOKUP(P375,'Dataset-2'!E376:K986,2,)</f>
        <v>1</v>
      </c>
      <c r="R375" s="41">
        <f>VLOOKUP(Q375,'Dataset-2'!F376:L986,2,)</f>
        <v>15</v>
      </c>
      <c r="S375" s="41">
        <f>VLOOKUP(R375,'Dataset-2'!G376:M986,2,)</f>
        <v>16</v>
      </c>
    </row>
    <row r="376" spans="1:19" x14ac:dyDescent="0.35">
      <c r="A376" s="40">
        <v>375</v>
      </c>
      <c r="B376" s="62">
        <f>VLOOKUP(A376,'Dataset-1'!A377:M987,2,)</f>
        <v>40560</v>
      </c>
      <c r="C376" s="41">
        <f>VLOOKUP(B376,'Dataset-1'!B377:N987,2,)</f>
        <v>1</v>
      </c>
      <c r="D376" s="41">
        <f>VLOOKUP(C376,'Dataset-1'!C377:O987,2,)</f>
        <v>0</v>
      </c>
      <c r="E376" s="41">
        <f>VLOOKUP(D376,'Dataset-1'!D377:P987,2,)</f>
        <v>1</v>
      </c>
      <c r="F376" s="41">
        <f>VLOOKUP(E376,'Dataset-1'!E377:Q987,2,)</f>
        <v>2</v>
      </c>
      <c r="G376" s="71" t="str">
        <f>VLOOKUP(F376,'Dataset-1'!F377:R987,2,)</f>
        <v>Night</v>
      </c>
      <c r="H376" s="41" t="b">
        <f>VLOOKUP(G376,'Dataset-1'!G377:S987,2,)</f>
        <v>1</v>
      </c>
      <c r="I376" s="41">
        <f>VLOOKUP(H376,'Dataset-1'!H377:T987,2,)</f>
        <v>1</v>
      </c>
      <c r="J376" s="71" t="str">
        <f>VLOOKUP(I376,'Dataset-1'!I377:U987,2,)</f>
        <v>Sunday</v>
      </c>
      <c r="K376" s="41">
        <f>VLOOKUP(J376,'Dataset-1'!J377:V987,2,)</f>
        <v>2</v>
      </c>
      <c r="L376" s="41">
        <f>VLOOKUP(K376,'Dataset-1'!K377:W987,2,)</f>
        <v>0.18</v>
      </c>
      <c r="M376" s="71" t="str">
        <f>VLOOKUP(L376,'Dataset-1'!L377:X987,2,)</f>
        <v>Rainy</v>
      </c>
      <c r="N376" s="41">
        <f>VLOOKUP(A376,'Dataset-2'!B377:H987,2,)</f>
        <v>0.16669999999999999</v>
      </c>
      <c r="O376" s="41">
        <f>VLOOKUP(N376,'Dataset-2'!C377:I987,2,)</f>
        <v>0.43</v>
      </c>
      <c r="P376" s="41">
        <f>VLOOKUP(O376,'Dataset-2'!D377:J987,2,)</f>
        <v>0.25369999999999998</v>
      </c>
      <c r="Q376" s="41">
        <f>VLOOKUP(P376,'Dataset-2'!E377:K987,2,)</f>
        <v>0</v>
      </c>
      <c r="R376" s="41">
        <f>VLOOKUP(Q376,'Dataset-2'!F377:L987,2,)</f>
        <v>8</v>
      </c>
      <c r="S376" s="41">
        <f>VLOOKUP(R376,'Dataset-2'!G377:M987,2,)</f>
        <v>8</v>
      </c>
    </row>
    <row r="377" spans="1:19" x14ac:dyDescent="0.35">
      <c r="A377" s="40">
        <v>376</v>
      </c>
      <c r="B377" s="62">
        <f>VLOOKUP(A377,'Dataset-1'!A378:M988,2,)</f>
        <v>40560</v>
      </c>
      <c r="C377" s="41">
        <f>VLOOKUP(B377,'Dataset-1'!B378:N988,2,)</f>
        <v>1</v>
      </c>
      <c r="D377" s="41">
        <f>VLOOKUP(C377,'Dataset-1'!C378:O988,2,)</f>
        <v>0</v>
      </c>
      <c r="E377" s="41">
        <f>VLOOKUP(D377,'Dataset-1'!D378:P988,2,)</f>
        <v>1</v>
      </c>
      <c r="F377" s="41">
        <f>VLOOKUP(E377,'Dataset-1'!E378:Q988,2,)</f>
        <v>3</v>
      </c>
      <c r="G377" s="71" t="str">
        <f>VLOOKUP(F377,'Dataset-1'!F378:R988,2,)</f>
        <v>Night</v>
      </c>
      <c r="H377" s="41" t="b">
        <f>VLOOKUP(G377,'Dataset-1'!G378:S988,2,)</f>
        <v>1</v>
      </c>
      <c r="I377" s="41">
        <f>VLOOKUP(H377,'Dataset-1'!H378:T988,2,)</f>
        <v>1</v>
      </c>
      <c r="J377" s="71" t="str">
        <f>VLOOKUP(I377,'Dataset-1'!I378:U988,2,)</f>
        <v>Sunday</v>
      </c>
      <c r="K377" s="41">
        <f>VLOOKUP(J377,'Dataset-1'!J378:V988,2,)</f>
        <v>2</v>
      </c>
      <c r="L377" s="41">
        <f>VLOOKUP(K377,'Dataset-1'!K378:W988,2,)</f>
        <v>0.18</v>
      </c>
      <c r="M377" s="71" t="str">
        <f>VLOOKUP(L377,'Dataset-1'!L378:X988,2,)</f>
        <v>Rainy</v>
      </c>
      <c r="N377" s="41">
        <f>VLOOKUP(A377,'Dataset-2'!B378:H988,2,)</f>
        <v>0.18179999999999999</v>
      </c>
      <c r="O377" s="41">
        <f>VLOOKUP(N377,'Dataset-2'!C378:I988,2,)</f>
        <v>0.43</v>
      </c>
      <c r="P377" s="41">
        <f>VLOOKUP(O377,'Dataset-2'!D378:J988,2,)</f>
        <v>0.19400000000000001</v>
      </c>
      <c r="Q377" s="41">
        <f>VLOOKUP(P377,'Dataset-2'!E378:K988,2,)</f>
        <v>0</v>
      </c>
      <c r="R377" s="41">
        <f>VLOOKUP(Q377,'Dataset-2'!F378:L988,2,)</f>
        <v>2</v>
      </c>
      <c r="S377" s="41">
        <f>VLOOKUP(R377,'Dataset-2'!G378:M988,2,)</f>
        <v>2</v>
      </c>
    </row>
    <row r="378" spans="1:19" x14ac:dyDescent="0.35">
      <c r="A378" s="40">
        <v>377</v>
      </c>
      <c r="B378" s="62">
        <f>VLOOKUP(A378,'Dataset-1'!A379:M989,2,)</f>
        <v>40560</v>
      </c>
      <c r="C378" s="41">
        <f>VLOOKUP(B378,'Dataset-1'!B379:N989,2,)</f>
        <v>1</v>
      </c>
      <c r="D378" s="41">
        <f>VLOOKUP(C378,'Dataset-1'!C379:O989,2,)</f>
        <v>0</v>
      </c>
      <c r="E378" s="41">
        <f>VLOOKUP(D378,'Dataset-1'!D379:P989,2,)</f>
        <v>1</v>
      </c>
      <c r="F378" s="41">
        <f>VLOOKUP(E378,'Dataset-1'!E379:Q989,2,)</f>
        <v>4</v>
      </c>
      <c r="G378" s="71" t="str">
        <f>VLOOKUP(F378,'Dataset-1'!F379:R989,2,)</f>
        <v>Night</v>
      </c>
      <c r="H378" s="41" t="b">
        <f>VLOOKUP(G378,'Dataset-1'!G379:S989,2,)</f>
        <v>1</v>
      </c>
      <c r="I378" s="41">
        <f>VLOOKUP(H378,'Dataset-1'!H379:T989,2,)</f>
        <v>1</v>
      </c>
      <c r="J378" s="71" t="str">
        <f>VLOOKUP(I378,'Dataset-1'!I379:U989,2,)</f>
        <v>Sunday</v>
      </c>
      <c r="K378" s="41">
        <f>VLOOKUP(J378,'Dataset-1'!J379:V989,2,)</f>
        <v>2</v>
      </c>
      <c r="L378" s="41">
        <f>VLOOKUP(K378,'Dataset-1'!K379:W989,2,)</f>
        <v>0.18</v>
      </c>
      <c r="M378" s="71" t="str">
        <f>VLOOKUP(L378,'Dataset-1'!L379:X989,2,)</f>
        <v>Rainy</v>
      </c>
      <c r="N378" s="41">
        <f>VLOOKUP(A378,'Dataset-2'!B379:H989,2,)</f>
        <v>0.19700000000000001</v>
      </c>
      <c r="O378" s="41">
        <f>VLOOKUP(N378,'Dataset-2'!C379:I989,2,)</f>
        <v>0.43</v>
      </c>
      <c r="P378" s="41">
        <f>VLOOKUP(O378,'Dataset-2'!D379:J989,2,)</f>
        <v>0.1343</v>
      </c>
      <c r="Q378" s="41">
        <f>VLOOKUP(P378,'Dataset-2'!E379:K989,2,)</f>
        <v>1</v>
      </c>
      <c r="R378" s="41">
        <f>VLOOKUP(Q378,'Dataset-2'!F379:L989,2,)</f>
        <v>2</v>
      </c>
      <c r="S378" s="41">
        <f>VLOOKUP(R378,'Dataset-2'!G379:M989,2,)</f>
        <v>3</v>
      </c>
    </row>
    <row r="379" spans="1:19" x14ac:dyDescent="0.35">
      <c r="A379" s="40">
        <v>378</v>
      </c>
      <c r="B379" s="62">
        <f>VLOOKUP(A379,'Dataset-1'!A380:M990,2,)</f>
        <v>40560</v>
      </c>
      <c r="C379" s="41">
        <f>VLOOKUP(B379,'Dataset-1'!B380:N990,2,)</f>
        <v>1</v>
      </c>
      <c r="D379" s="41">
        <f>VLOOKUP(C379,'Dataset-1'!C380:O990,2,)</f>
        <v>0</v>
      </c>
      <c r="E379" s="41">
        <f>VLOOKUP(D379,'Dataset-1'!D380:P990,2,)</f>
        <v>1</v>
      </c>
      <c r="F379" s="41">
        <f>VLOOKUP(E379,'Dataset-1'!E380:Q990,2,)</f>
        <v>5</v>
      </c>
      <c r="G379" s="71" t="str">
        <f>VLOOKUP(F379,'Dataset-1'!F380:R990,2,)</f>
        <v>Morning</v>
      </c>
      <c r="H379" s="41" t="b">
        <f>VLOOKUP(G379,'Dataset-1'!G380:S990,2,)</f>
        <v>1</v>
      </c>
      <c r="I379" s="41">
        <f>VLOOKUP(H379,'Dataset-1'!H380:T990,2,)</f>
        <v>1</v>
      </c>
      <c r="J379" s="71" t="str">
        <f>VLOOKUP(I379,'Dataset-1'!I380:U990,2,)</f>
        <v>Sunday</v>
      </c>
      <c r="K379" s="41">
        <f>VLOOKUP(J379,'Dataset-1'!J380:V990,2,)</f>
        <v>2</v>
      </c>
      <c r="L379" s="41">
        <f>VLOOKUP(K379,'Dataset-1'!K380:W990,2,)</f>
        <v>0.18</v>
      </c>
      <c r="M379" s="71" t="str">
        <f>VLOOKUP(L379,'Dataset-1'!L380:X990,2,)</f>
        <v>Rainy</v>
      </c>
      <c r="N379" s="41">
        <f>VLOOKUP(A379,'Dataset-2'!B380:H990,2,)</f>
        <v>0.19700000000000001</v>
      </c>
      <c r="O379" s="41">
        <f>VLOOKUP(N379,'Dataset-2'!C380:I990,2,)</f>
        <v>0.43</v>
      </c>
      <c r="P379" s="41">
        <f>VLOOKUP(O379,'Dataset-2'!D380:J990,2,)</f>
        <v>0.16420000000000001</v>
      </c>
      <c r="Q379" s="41">
        <f>VLOOKUP(P379,'Dataset-2'!E380:K990,2,)</f>
        <v>0</v>
      </c>
      <c r="R379" s="41">
        <f>VLOOKUP(Q379,'Dataset-2'!F380:L990,2,)</f>
        <v>1</v>
      </c>
      <c r="S379" s="41">
        <f>VLOOKUP(R379,'Dataset-2'!G380:M990,2,)</f>
        <v>1</v>
      </c>
    </row>
    <row r="380" spans="1:19" x14ac:dyDescent="0.35">
      <c r="A380" s="40">
        <v>379</v>
      </c>
      <c r="B380" s="62">
        <f>VLOOKUP(A380,'Dataset-1'!A381:M991,2,)</f>
        <v>40560</v>
      </c>
      <c r="C380" s="41">
        <f>VLOOKUP(B380,'Dataset-1'!B381:N991,2,)</f>
        <v>1</v>
      </c>
      <c r="D380" s="41">
        <f>VLOOKUP(C380,'Dataset-1'!C381:O991,2,)</f>
        <v>0</v>
      </c>
      <c r="E380" s="41">
        <f>VLOOKUP(D380,'Dataset-1'!D381:P991,2,)</f>
        <v>1</v>
      </c>
      <c r="F380" s="41">
        <f>VLOOKUP(E380,'Dataset-1'!E381:Q991,2,)</f>
        <v>6</v>
      </c>
      <c r="G380" s="71" t="str">
        <f>VLOOKUP(F380,'Dataset-1'!F381:R991,2,)</f>
        <v>Morning</v>
      </c>
      <c r="H380" s="41" t="b">
        <f>VLOOKUP(G380,'Dataset-1'!G381:S991,2,)</f>
        <v>1</v>
      </c>
      <c r="I380" s="41">
        <f>VLOOKUP(H380,'Dataset-1'!H381:T991,2,)</f>
        <v>1</v>
      </c>
      <c r="J380" s="71" t="str">
        <f>VLOOKUP(I380,'Dataset-1'!I381:U991,2,)</f>
        <v>Sunday</v>
      </c>
      <c r="K380" s="41">
        <f>VLOOKUP(J380,'Dataset-1'!J381:V991,2,)</f>
        <v>2</v>
      </c>
      <c r="L380" s="41">
        <f>VLOOKUP(K380,'Dataset-1'!K381:W991,2,)</f>
        <v>0.18</v>
      </c>
      <c r="M380" s="71" t="str">
        <f>VLOOKUP(L380,'Dataset-1'!L381:X991,2,)</f>
        <v>Rainy</v>
      </c>
      <c r="N380" s="41">
        <f>VLOOKUP(A380,'Dataset-2'!B381:H991,2,)</f>
        <v>0.18179999999999999</v>
      </c>
      <c r="O380" s="41">
        <f>VLOOKUP(N380,'Dataset-2'!C381:I991,2,)</f>
        <v>0.43</v>
      </c>
      <c r="P380" s="41">
        <f>VLOOKUP(O380,'Dataset-2'!D381:J991,2,)</f>
        <v>0.19400000000000001</v>
      </c>
      <c r="Q380" s="41">
        <f>VLOOKUP(P380,'Dataset-2'!E381:K991,2,)</f>
        <v>0</v>
      </c>
      <c r="R380" s="41">
        <f>VLOOKUP(Q380,'Dataset-2'!F381:L991,2,)</f>
        <v>5</v>
      </c>
      <c r="S380" s="41">
        <f>VLOOKUP(R380,'Dataset-2'!G381:M991,2,)</f>
        <v>5</v>
      </c>
    </row>
    <row r="381" spans="1:19" x14ac:dyDescent="0.35">
      <c r="A381" s="40">
        <v>380</v>
      </c>
      <c r="B381" s="62">
        <f>VLOOKUP(A381,'Dataset-1'!A382:M992,2,)</f>
        <v>40560</v>
      </c>
      <c r="C381" s="41">
        <f>VLOOKUP(B381,'Dataset-1'!B382:N992,2,)</f>
        <v>1</v>
      </c>
      <c r="D381" s="41">
        <f>VLOOKUP(C381,'Dataset-1'!C382:O992,2,)</f>
        <v>0</v>
      </c>
      <c r="E381" s="41">
        <f>VLOOKUP(D381,'Dataset-1'!D382:P992,2,)</f>
        <v>1</v>
      </c>
      <c r="F381" s="41">
        <f>VLOOKUP(E381,'Dataset-1'!E382:Q992,2,)</f>
        <v>7</v>
      </c>
      <c r="G381" s="71" t="str">
        <f>VLOOKUP(F381,'Dataset-1'!F382:R992,2,)</f>
        <v>Morning</v>
      </c>
      <c r="H381" s="41" t="b">
        <f>VLOOKUP(G381,'Dataset-1'!G382:S992,2,)</f>
        <v>1</v>
      </c>
      <c r="I381" s="41">
        <f>VLOOKUP(H381,'Dataset-1'!H382:T992,2,)</f>
        <v>1</v>
      </c>
      <c r="J381" s="71" t="str">
        <f>VLOOKUP(I381,'Dataset-1'!I382:U992,2,)</f>
        <v>Sunday</v>
      </c>
      <c r="K381" s="41">
        <f>VLOOKUP(J381,'Dataset-1'!J382:V992,2,)</f>
        <v>2</v>
      </c>
      <c r="L381" s="41">
        <f>VLOOKUP(K381,'Dataset-1'!K382:W992,2,)</f>
        <v>0.16</v>
      </c>
      <c r="M381" s="71" t="str">
        <f>VLOOKUP(L381,'Dataset-1'!L382:X992,2,)</f>
        <v>Rainy</v>
      </c>
      <c r="N381" s="41">
        <f>VLOOKUP(A381,'Dataset-2'!B382:H992,2,)</f>
        <v>0.18179999999999999</v>
      </c>
      <c r="O381" s="41">
        <f>VLOOKUP(N381,'Dataset-2'!C382:I992,2,)</f>
        <v>0.5</v>
      </c>
      <c r="P381" s="41">
        <f>VLOOKUP(O381,'Dataset-2'!D382:J992,2,)</f>
        <v>0.1343</v>
      </c>
      <c r="Q381" s="41">
        <f>VLOOKUP(P381,'Dataset-2'!E382:K992,2,)</f>
        <v>4</v>
      </c>
      <c r="R381" s="41">
        <f>VLOOKUP(Q381,'Dataset-2'!F382:L992,2,)</f>
        <v>9</v>
      </c>
      <c r="S381" s="41">
        <f>VLOOKUP(R381,'Dataset-2'!G382:M992,2,)</f>
        <v>13</v>
      </c>
    </row>
    <row r="382" spans="1:19" x14ac:dyDescent="0.35">
      <c r="A382" s="40">
        <v>381</v>
      </c>
      <c r="B382" s="62">
        <f>VLOOKUP(A382,'Dataset-1'!A383:M993,2,)</f>
        <v>40560</v>
      </c>
      <c r="C382" s="41">
        <f>VLOOKUP(B382,'Dataset-1'!B383:N993,2,)</f>
        <v>1</v>
      </c>
      <c r="D382" s="41">
        <f>VLOOKUP(C382,'Dataset-1'!C383:O993,2,)</f>
        <v>0</v>
      </c>
      <c r="E382" s="41">
        <f>VLOOKUP(D382,'Dataset-1'!D383:P993,2,)</f>
        <v>1</v>
      </c>
      <c r="F382" s="41">
        <f>VLOOKUP(E382,'Dataset-1'!E383:Q993,2,)</f>
        <v>8</v>
      </c>
      <c r="G382" s="71" t="str">
        <f>VLOOKUP(F382,'Dataset-1'!F383:R993,2,)</f>
        <v>Morning</v>
      </c>
      <c r="H382" s="41" t="b">
        <f>VLOOKUP(G382,'Dataset-1'!G383:S993,2,)</f>
        <v>1</v>
      </c>
      <c r="I382" s="41">
        <f>VLOOKUP(H382,'Dataset-1'!H383:T993,2,)</f>
        <v>1</v>
      </c>
      <c r="J382" s="71" t="str">
        <f>VLOOKUP(I382,'Dataset-1'!I383:U993,2,)</f>
        <v>Sunday</v>
      </c>
      <c r="K382" s="41">
        <f>VLOOKUP(J382,'Dataset-1'!J383:V993,2,)</f>
        <v>2</v>
      </c>
      <c r="L382" s="41">
        <f>VLOOKUP(K382,'Dataset-1'!K383:W993,2,)</f>
        <v>0.16</v>
      </c>
      <c r="M382" s="71" t="str">
        <f>VLOOKUP(L382,'Dataset-1'!L383:X993,2,)</f>
        <v>Rainy</v>
      </c>
      <c r="N382" s="41">
        <f>VLOOKUP(A382,'Dataset-2'!B383:H993,2,)</f>
        <v>0.1515</v>
      </c>
      <c r="O382" s="41">
        <f>VLOOKUP(N382,'Dataset-2'!C383:I993,2,)</f>
        <v>0.47</v>
      </c>
      <c r="P382" s="41">
        <f>VLOOKUP(O382,'Dataset-2'!D383:J993,2,)</f>
        <v>0.22389999999999999</v>
      </c>
      <c r="Q382" s="41">
        <f>VLOOKUP(P382,'Dataset-2'!E383:K993,2,)</f>
        <v>3</v>
      </c>
      <c r="R382" s="41">
        <f>VLOOKUP(Q382,'Dataset-2'!F383:L993,2,)</f>
        <v>30</v>
      </c>
      <c r="S382" s="41">
        <f>VLOOKUP(R382,'Dataset-2'!G383:M993,2,)</f>
        <v>33</v>
      </c>
    </row>
    <row r="383" spans="1:19" x14ac:dyDescent="0.35">
      <c r="A383" s="40">
        <v>382</v>
      </c>
      <c r="B383" s="62">
        <f>VLOOKUP(A383,'Dataset-1'!A384:M994,2,)</f>
        <v>40560</v>
      </c>
      <c r="C383" s="41">
        <f>VLOOKUP(B383,'Dataset-1'!B384:N994,2,)</f>
        <v>1</v>
      </c>
      <c r="D383" s="41">
        <f>VLOOKUP(C383,'Dataset-1'!C384:O994,2,)</f>
        <v>0</v>
      </c>
      <c r="E383" s="41">
        <f>VLOOKUP(D383,'Dataset-1'!D384:P994,2,)</f>
        <v>1</v>
      </c>
      <c r="F383" s="41">
        <f>VLOOKUP(E383,'Dataset-1'!E384:Q994,2,)</f>
        <v>9</v>
      </c>
      <c r="G383" s="71" t="str">
        <f>VLOOKUP(F383,'Dataset-1'!F384:R994,2,)</f>
        <v>Morning</v>
      </c>
      <c r="H383" s="41" t="b">
        <f>VLOOKUP(G383,'Dataset-1'!G384:S994,2,)</f>
        <v>1</v>
      </c>
      <c r="I383" s="41">
        <f>VLOOKUP(H383,'Dataset-1'!H384:T994,2,)</f>
        <v>1</v>
      </c>
      <c r="J383" s="71" t="str">
        <f>VLOOKUP(I383,'Dataset-1'!I384:U994,2,)</f>
        <v>Sunday</v>
      </c>
      <c r="K383" s="41">
        <f>VLOOKUP(J383,'Dataset-1'!J384:V994,2,)</f>
        <v>2</v>
      </c>
      <c r="L383" s="41">
        <f>VLOOKUP(K383,'Dataset-1'!K384:W994,2,)</f>
        <v>0.16</v>
      </c>
      <c r="M383" s="71" t="str">
        <f>VLOOKUP(L383,'Dataset-1'!L384:X994,2,)</f>
        <v>Rainy</v>
      </c>
      <c r="N383" s="41">
        <f>VLOOKUP(A383,'Dataset-2'!B384:H994,2,)</f>
        <v>0.1515</v>
      </c>
      <c r="O383" s="41">
        <f>VLOOKUP(N383,'Dataset-2'!C384:I994,2,)</f>
        <v>0.47</v>
      </c>
      <c r="P383" s="41">
        <f>VLOOKUP(O383,'Dataset-2'!D384:J994,2,)</f>
        <v>0.22389999999999999</v>
      </c>
      <c r="Q383" s="41">
        <f>VLOOKUP(P383,'Dataset-2'!E384:K994,2,)</f>
        <v>8</v>
      </c>
      <c r="R383" s="41">
        <f>VLOOKUP(Q383,'Dataset-2'!F384:L994,2,)</f>
        <v>39</v>
      </c>
      <c r="S383" s="41">
        <f>VLOOKUP(R383,'Dataset-2'!G384:M994,2,)</f>
        <v>47</v>
      </c>
    </row>
    <row r="384" spans="1:19" x14ac:dyDescent="0.35">
      <c r="A384" s="40">
        <v>383</v>
      </c>
      <c r="B384" s="62">
        <f>VLOOKUP(A384,'Dataset-1'!A385:M995,2,)</f>
        <v>40560</v>
      </c>
      <c r="C384" s="41">
        <f>VLOOKUP(B384,'Dataset-1'!B385:N995,2,)</f>
        <v>1</v>
      </c>
      <c r="D384" s="41">
        <f>VLOOKUP(C384,'Dataset-1'!C385:O995,2,)</f>
        <v>0</v>
      </c>
      <c r="E384" s="41">
        <f>VLOOKUP(D384,'Dataset-1'!D385:P995,2,)</f>
        <v>1</v>
      </c>
      <c r="F384" s="41">
        <f>VLOOKUP(E384,'Dataset-1'!E385:Q995,2,)</f>
        <v>10</v>
      </c>
      <c r="G384" s="71" t="str">
        <f>VLOOKUP(F384,'Dataset-1'!F385:R995,2,)</f>
        <v>Morning</v>
      </c>
      <c r="H384" s="41" t="b">
        <f>VLOOKUP(G384,'Dataset-1'!G385:S995,2,)</f>
        <v>1</v>
      </c>
      <c r="I384" s="41">
        <f>VLOOKUP(H384,'Dataset-1'!H385:T995,2,)</f>
        <v>1</v>
      </c>
      <c r="J384" s="71" t="str">
        <f>VLOOKUP(I384,'Dataset-1'!I385:U995,2,)</f>
        <v>Sunday</v>
      </c>
      <c r="K384" s="41">
        <f>VLOOKUP(J384,'Dataset-1'!J385:V995,2,)</f>
        <v>2</v>
      </c>
      <c r="L384" s="41">
        <f>VLOOKUP(K384,'Dataset-1'!K385:W995,2,)</f>
        <v>0.16</v>
      </c>
      <c r="M384" s="71" t="str">
        <f>VLOOKUP(L384,'Dataset-1'!L385:X995,2,)</f>
        <v>Rainy</v>
      </c>
      <c r="N384" s="41">
        <f>VLOOKUP(A384,'Dataset-2'!B385:H995,2,)</f>
        <v>0.1515</v>
      </c>
      <c r="O384" s="41">
        <f>VLOOKUP(N384,'Dataset-2'!C385:I995,2,)</f>
        <v>0.5</v>
      </c>
      <c r="P384" s="41">
        <f>VLOOKUP(O384,'Dataset-2'!D385:J995,2,)</f>
        <v>0.25369999999999998</v>
      </c>
      <c r="Q384" s="41">
        <f>VLOOKUP(P384,'Dataset-2'!E385:K995,2,)</f>
        <v>7</v>
      </c>
      <c r="R384" s="41">
        <f>VLOOKUP(Q384,'Dataset-2'!F385:L995,2,)</f>
        <v>50</v>
      </c>
      <c r="S384" s="41">
        <f>VLOOKUP(R384,'Dataset-2'!G385:M995,2,)</f>
        <v>57</v>
      </c>
    </row>
    <row r="385" spans="1:19" x14ac:dyDescent="0.35">
      <c r="A385" s="40">
        <v>384</v>
      </c>
      <c r="B385" s="62">
        <f>VLOOKUP(A385,'Dataset-1'!A386:M996,2,)</f>
        <v>40560</v>
      </c>
      <c r="C385" s="41">
        <f>VLOOKUP(B385,'Dataset-1'!B386:N996,2,)</f>
        <v>1</v>
      </c>
      <c r="D385" s="41">
        <f>VLOOKUP(C385,'Dataset-1'!C386:O996,2,)</f>
        <v>0</v>
      </c>
      <c r="E385" s="41">
        <f>VLOOKUP(D385,'Dataset-1'!D386:P996,2,)</f>
        <v>1</v>
      </c>
      <c r="F385" s="41">
        <f>VLOOKUP(E385,'Dataset-1'!E386:Q996,2,)</f>
        <v>11</v>
      </c>
      <c r="G385" s="71" t="str">
        <f>VLOOKUP(F385,'Dataset-1'!F386:R996,2,)</f>
        <v>Morning</v>
      </c>
      <c r="H385" s="41" t="b">
        <f>VLOOKUP(G385,'Dataset-1'!G386:S996,2,)</f>
        <v>1</v>
      </c>
      <c r="I385" s="41">
        <f>VLOOKUP(H385,'Dataset-1'!H386:T996,2,)</f>
        <v>1</v>
      </c>
      <c r="J385" s="71" t="str">
        <f>VLOOKUP(I385,'Dataset-1'!I386:U996,2,)</f>
        <v>Sunday</v>
      </c>
      <c r="K385" s="41">
        <f>VLOOKUP(J385,'Dataset-1'!J386:V996,2,)</f>
        <v>2</v>
      </c>
      <c r="L385" s="41">
        <f>VLOOKUP(K385,'Dataset-1'!K386:W996,2,)</f>
        <v>0.16</v>
      </c>
      <c r="M385" s="71" t="str">
        <f>VLOOKUP(L385,'Dataset-1'!L386:X996,2,)</f>
        <v>Rainy</v>
      </c>
      <c r="N385" s="41">
        <f>VLOOKUP(A385,'Dataset-2'!B386:H996,2,)</f>
        <v>0.1515</v>
      </c>
      <c r="O385" s="41">
        <f>VLOOKUP(N385,'Dataset-2'!C386:I996,2,)</f>
        <v>0.55000000000000004</v>
      </c>
      <c r="P385" s="41">
        <f>VLOOKUP(O385,'Dataset-2'!D386:J996,2,)</f>
        <v>0.19400000000000001</v>
      </c>
      <c r="Q385" s="41">
        <f>VLOOKUP(P385,'Dataset-2'!E386:K996,2,)</f>
        <v>9</v>
      </c>
      <c r="R385" s="41">
        <f>VLOOKUP(Q385,'Dataset-2'!F386:L996,2,)</f>
        <v>55</v>
      </c>
      <c r="S385" s="41">
        <f>VLOOKUP(R385,'Dataset-2'!G386:M996,2,)</f>
        <v>64</v>
      </c>
    </row>
    <row r="386" spans="1:19" x14ac:dyDescent="0.35">
      <c r="A386" s="40">
        <v>385</v>
      </c>
      <c r="B386" s="62">
        <f>VLOOKUP(A386,'Dataset-1'!A387:M997,2,)</f>
        <v>40560</v>
      </c>
      <c r="C386" s="41">
        <f>VLOOKUP(B386,'Dataset-1'!B387:N997,2,)</f>
        <v>1</v>
      </c>
      <c r="D386" s="41">
        <f>VLOOKUP(C386,'Dataset-1'!C387:O997,2,)</f>
        <v>0</v>
      </c>
      <c r="E386" s="41">
        <f>VLOOKUP(D386,'Dataset-1'!D387:P997,2,)</f>
        <v>1</v>
      </c>
      <c r="F386" s="41">
        <f>VLOOKUP(E386,'Dataset-1'!E387:Q997,2,)</f>
        <v>12</v>
      </c>
      <c r="G386" s="71" t="str">
        <f>VLOOKUP(F386,'Dataset-1'!F387:R997,2,)</f>
        <v>AfterNoon</v>
      </c>
      <c r="H386" s="41" t="b">
        <f>VLOOKUP(G386,'Dataset-1'!G387:S997,2,)</f>
        <v>1</v>
      </c>
      <c r="I386" s="41">
        <f>VLOOKUP(H386,'Dataset-1'!H387:T997,2,)</f>
        <v>1</v>
      </c>
      <c r="J386" s="71" t="str">
        <f>VLOOKUP(I386,'Dataset-1'!I387:U997,2,)</f>
        <v>Sunday</v>
      </c>
      <c r="K386" s="41">
        <f>VLOOKUP(J386,'Dataset-1'!J387:V997,2,)</f>
        <v>2</v>
      </c>
      <c r="L386" s="41">
        <f>VLOOKUP(K386,'Dataset-1'!K387:W997,2,)</f>
        <v>0.18</v>
      </c>
      <c r="M386" s="71" t="str">
        <f>VLOOKUP(L386,'Dataset-1'!L387:X997,2,)</f>
        <v>Rainy</v>
      </c>
      <c r="N386" s="41">
        <f>VLOOKUP(A386,'Dataset-2'!B387:H997,2,)</f>
        <v>0.19700000000000001</v>
      </c>
      <c r="O386" s="41">
        <f>VLOOKUP(N386,'Dataset-2'!C387:I997,2,)</f>
        <v>0.47</v>
      </c>
      <c r="P386" s="41">
        <f>VLOOKUP(O386,'Dataset-2'!D387:J997,2,)</f>
        <v>0.1343</v>
      </c>
      <c r="Q386" s="41">
        <f>VLOOKUP(P386,'Dataset-2'!E387:K997,2,)</f>
        <v>10</v>
      </c>
      <c r="R386" s="41">
        <f>VLOOKUP(Q386,'Dataset-2'!F387:L997,2,)</f>
        <v>70</v>
      </c>
      <c r="S386" s="41">
        <f>VLOOKUP(R386,'Dataset-2'!G387:M997,2,)</f>
        <v>80</v>
      </c>
    </row>
    <row r="387" spans="1:19" x14ac:dyDescent="0.35">
      <c r="A387" s="40">
        <v>386</v>
      </c>
      <c r="B387" s="62">
        <f>VLOOKUP(A387,'Dataset-1'!A388:M998,2,)</f>
        <v>40560</v>
      </c>
      <c r="C387" s="41">
        <f>VLOOKUP(B387,'Dataset-1'!B388:N998,2,)</f>
        <v>1</v>
      </c>
      <c r="D387" s="41">
        <f>VLOOKUP(C387,'Dataset-1'!C388:O998,2,)</f>
        <v>0</v>
      </c>
      <c r="E387" s="41">
        <f>VLOOKUP(D387,'Dataset-1'!D388:P998,2,)</f>
        <v>1</v>
      </c>
      <c r="F387" s="41">
        <f>VLOOKUP(E387,'Dataset-1'!E388:Q998,2,)</f>
        <v>13</v>
      </c>
      <c r="G387" s="71" t="str">
        <f>VLOOKUP(F387,'Dataset-1'!F388:R998,2,)</f>
        <v>AfterNoon</v>
      </c>
      <c r="H387" s="41" t="b">
        <f>VLOOKUP(G387,'Dataset-1'!G388:S998,2,)</f>
        <v>1</v>
      </c>
      <c r="I387" s="41">
        <f>VLOOKUP(H387,'Dataset-1'!H388:T998,2,)</f>
        <v>1</v>
      </c>
      <c r="J387" s="71" t="str">
        <f>VLOOKUP(I387,'Dataset-1'!I388:U998,2,)</f>
        <v>Sunday</v>
      </c>
      <c r="K387" s="41">
        <f>VLOOKUP(J387,'Dataset-1'!J388:V998,2,)</f>
        <v>2</v>
      </c>
      <c r="L387" s="41">
        <f>VLOOKUP(K387,'Dataset-1'!K388:W998,2,)</f>
        <v>0.18</v>
      </c>
      <c r="M387" s="71" t="str">
        <f>VLOOKUP(L387,'Dataset-1'!L388:X998,2,)</f>
        <v>Rainy</v>
      </c>
      <c r="N387" s="41">
        <f>VLOOKUP(A387,'Dataset-2'!B388:H998,2,)</f>
        <v>0.19700000000000001</v>
      </c>
      <c r="O387" s="41">
        <f>VLOOKUP(N387,'Dataset-2'!C388:I998,2,)</f>
        <v>0.47</v>
      </c>
      <c r="P387" s="41">
        <f>VLOOKUP(O387,'Dataset-2'!D388:J998,2,)</f>
        <v>0.1343</v>
      </c>
      <c r="Q387" s="41">
        <f>VLOOKUP(P387,'Dataset-2'!E388:K998,2,)</f>
        <v>13</v>
      </c>
      <c r="R387" s="41">
        <f>VLOOKUP(Q387,'Dataset-2'!F388:L998,2,)</f>
        <v>80</v>
      </c>
      <c r="S387" s="41">
        <f>VLOOKUP(R387,'Dataset-2'!G388:M998,2,)</f>
        <v>93</v>
      </c>
    </row>
    <row r="388" spans="1:19" x14ac:dyDescent="0.35">
      <c r="A388" s="40">
        <v>387</v>
      </c>
      <c r="B388" s="62">
        <f>VLOOKUP(A388,'Dataset-1'!A389:M999,2,)</f>
        <v>40560</v>
      </c>
      <c r="C388" s="41">
        <f>VLOOKUP(B388,'Dataset-1'!B389:N999,2,)</f>
        <v>1</v>
      </c>
      <c r="D388" s="41">
        <f>VLOOKUP(C388,'Dataset-1'!C389:O999,2,)</f>
        <v>0</v>
      </c>
      <c r="E388" s="41">
        <f>VLOOKUP(D388,'Dataset-1'!D389:P999,2,)</f>
        <v>1</v>
      </c>
      <c r="F388" s="41">
        <f>VLOOKUP(E388,'Dataset-1'!E389:Q999,2,)</f>
        <v>14</v>
      </c>
      <c r="G388" s="71" t="str">
        <f>VLOOKUP(F388,'Dataset-1'!F389:R999,2,)</f>
        <v>AfterNoon</v>
      </c>
      <c r="H388" s="41" t="b">
        <f>VLOOKUP(G388,'Dataset-1'!G389:S999,2,)</f>
        <v>1</v>
      </c>
      <c r="I388" s="41">
        <f>VLOOKUP(H388,'Dataset-1'!H389:T999,2,)</f>
        <v>1</v>
      </c>
      <c r="J388" s="71" t="str">
        <f>VLOOKUP(I388,'Dataset-1'!I389:U999,2,)</f>
        <v>Sunday</v>
      </c>
      <c r="K388" s="41">
        <f>VLOOKUP(J388,'Dataset-1'!J389:V999,2,)</f>
        <v>2</v>
      </c>
      <c r="L388" s="41">
        <f>VLOOKUP(K388,'Dataset-1'!K389:W999,2,)</f>
        <v>0.18</v>
      </c>
      <c r="M388" s="71" t="str">
        <f>VLOOKUP(L388,'Dataset-1'!L389:X999,2,)</f>
        <v>Rainy</v>
      </c>
      <c r="N388" s="41">
        <f>VLOOKUP(A388,'Dataset-2'!B389:H999,2,)</f>
        <v>0.21210000000000001</v>
      </c>
      <c r="O388" s="41">
        <f>VLOOKUP(N388,'Dataset-2'!C389:I999,2,)</f>
        <v>0.43</v>
      </c>
      <c r="P388" s="41">
        <f>VLOOKUP(O388,'Dataset-2'!D389:J999,2,)</f>
        <v>0.1045</v>
      </c>
      <c r="Q388" s="41">
        <f>VLOOKUP(P388,'Dataset-2'!E389:K999,2,)</f>
        <v>12</v>
      </c>
      <c r="R388" s="41">
        <f>VLOOKUP(Q388,'Dataset-2'!F389:L999,2,)</f>
        <v>74</v>
      </c>
      <c r="S388" s="41">
        <f>VLOOKUP(R388,'Dataset-2'!G389:M999,2,)</f>
        <v>86</v>
      </c>
    </row>
    <row r="389" spans="1:19" x14ac:dyDescent="0.35">
      <c r="A389" s="40">
        <v>388</v>
      </c>
      <c r="B389" s="62">
        <f>VLOOKUP(A389,'Dataset-1'!A390:M1000,2,)</f>
        <v>40560</v>
      </c>
      <c r="C389" s="41">
        <f>VLOOKUP(B389,'Dataset-1'!B390:N1000,2,)</f>
        <v>1</v>
      </c>
      <c r="D389" s="41">
        <f>VLOOKUP(C389,'Dataset-1'!C390:O1000,2,)</f>
        <v>0</v>
      </c>
      <c r="E389" s="41">
        <f>VLOOKUP(D389,'Dataset-1'!D390:P1000,2,)</f>
        <v>1</v>
      </c>
      <c r="F389" s="41">
        <f>VLOOKUP(E389,'Dataset-1'!E390:Q1000,2,)</f>
        <v>15</v>
      </c>
      <c r="G389" s="71" t="str">
        <f>VLOOKUP(F389,'Dataset-1'!F390:R1000,2,)</f>
        <v>AfterNoon</v>
      </c>
      <c r="H389" s="41" t="b">
        <f>VLOOKUP(G389,'Dataset-1'!G390:S1000,2,)</f>
        <v>1</v>
      </c>
      <c r="I389" s="41">
        <f>VLOOKUP(H389,'Dataset-1'!H390:T1000,2,)</f>
        <v>1</v>
      </c>
      <c r="J389" s="71" t="str">
        <f>VLOOKUP(I389,'Dataset-1'!I390:U1000,2,)</f>
        <v>Sunday</v>
      </c>
      <c r="K389" s="41">
        <f>VLOOKUP(J389,'Dataset-1'!J390:V1000,2,)</f>
        <v>2</v>
      </c>
      <c r="L389" s="41">
        <f>VLOOKUP(K389,'Dataset-1'!K390:W1000,2,)</f>
        <v>0.2</v>
      </c>
      <c r="M389" s="71" t="str">
        <f>VLOOKUP(L389,'Dataset-1'!L390:X1000,2,)</f>
        <v>Rainy</v>
      </c>
      <c r="N389" s="41">
        <f>VLOOKUP(A389,'Dataset-2'!B390:H1000,2,)</f>
        <v>0.21210000000000001</v>
      </c>
      <c r="O389" s="41">
        <f>VLOOKUP(N389,'Dataset-2'!C390:I1000,2,)</f>
        <v>0.47</v>
      </c>
      <c r="P389" s="41">
        <f>VLOOKUP(O389,'Dataset-2'!D390:J1000,2,)</f>
        <v>0.16420000000000001</v>
      </c>
      <c r="Q389" s="41">
        <f>VLOOKUP(P389,'Dataset-2'!E390:K1000,2,)</f>
        <v>21</v>
      </c>
      <c r="R389" s="41">
        <f>VLOOKUP(Q389,'Dataset-2'!F390:L1000,2,)</f>
        <v>72</v>
      </c>
      <c r="S389" s="41">
        <f>VLOOKUP(R389,'Dataset-2'!G390:M1000,2,)</f>
        <v>93</v>
      </c>
    </row>
    <row r="390" spans="1:19" x14ac:dyDescent="0.35">
      <c r="A390" s="40">
        <v>389</v>
      </c>
      <c r="B390" s="62">
        <f>VLOOKUP(A390,'Dataset-1'!A391:M1001,2,)</f>
        <v>40560</v>
      </c>
      <c r="C390" s="41">
        <f>VLOOKUP(B390,'Dataset-1'!B391:N1001,2,)</f>
        <v>1</v>
      </c>
      <c r="D390" s="41">
        <f>VLOOKUP(C390,'Dataset-1'!C391:O1001,2,)</f>
        <v>0</v>
      </c>
      <c r="E390" s="41">
        <f>VLOOKUP(D390,'Dataset-1'!D391:P1001,2,)</f>
        <v>1</v>
      </c>
      <c r="F390" s="41">
        <f>VLOOKUP(E390,'Dataset-1'!E391:Q1001,2,)</f>
        <v>16</v>
      </c>
      <c r="G390" s="71" t="str">
        <f>VLOOKUP(F390,'Dataset-1'!F391:R1001,2,)</f>
        <v>AfterNoon</v>
      </c>
      <c r="H390" s="41" t="b">
        <f>VLOOKUP(G390,'Dataset-1'!G391:S1001,2,)</f>
        <v>1</v>
      </c>
      <c r="I390" s="41">
        <f>VLOOKUP(H390,'Dataset-1'!H391:T1001,2,)</f>
        <v>1</v>
      </c>
      <c r="J390" s="71" t="str">
        <f>VLOOKUP(I390,'Dataset-1'!I391:U1001,2,)</f>
        <v>Sunday</v>
      </c>
      <c r="K390" s="41">
        <f>VLOOKUP(J390,'Dataset-1'!J391:V1001,2,)</f>
        <v>2</v>
      </c>
      <c r="L390" s="41">
        <f>VLOOKUP(K390,'Dataset-1'!K391:W1001,2,)</f>
        <v>0.2</v>
      </c>
      <c r="M390" s="71" t="str">
        <f>VLOOKUP(L390,'Dataset-1'!L391:X1001,2,)</f>
        <v>Rainy</v>
      </c>
      <c r="N390" s="41">
        <f>VLOOKUP(A390,'Dataset-2'!B391:H1001,2,)</f>
        <v>0.21210000000000001</v>
      </c>
      <c r="O390" s="41">
        <f>VLOOKUP(N390,'Dataset-2'!C391:I1001,2,)</f>
        <v>0.47</v>
      </c>
      <c r="P390" s="41">
        <f>VLOOKUP(O390,'Dataset-2'!D391:J1001,2,)</f>
        <v>0.16420000000000001</v>
      </c>
      <c r="Q390" s="41">
        <f>VLOOKUP(P390,'Dataset-2'!E391:K1001,2,)</f>
        <v>6</v>
      </c>
      <c r="R390" s="41">
        <f>VLOOKUP(Q390,'Dataset-2'!F391:L1001,2,)</f>
        <v>76</v>
      </c>
      <c r="S390" s="41">
        <f>VLOOKUP(R390,'Dataset-2'!G391:M1001,2,)</f>
        <v>82</v>
      </c>
    </row>
    <row r="391" spans="1:19" x14ac:dyDescent="0.35">
      <c r="A391" s="40">
        <v>390</v>
      </c>
      <c r="B391" s="62">
        <f>VLOOKUP(A391,'Dataset-1'!A392:M1002,2,)</f>
        <v>40560</v>
      </c>
      <c r="C391" s="41">
        <f>VLOOKUP(B391,'Dataset-1'!B392:N1002,2,)</f>
        <v>1</v>
      </c>
      <c r="D391" s="41">
        <f>VLOOKUP(C391,'Dataset-1'!C392:O1002,2,)</f>
        <v>0</v>
      </c>
      <c r="E391" s="41">
        <f>VLOOKUP(D391,'Dataset-1'!D392:P1002,2,)</f>
        <v>1</v>
      </c>
      <c r="F391" s="41">
        <f>VLOOKUP(E391,'Dataset-1'!E392:Q1002,2,)</f>
        <v>17</v>
      </c>
      <c r="G391" s="71" t="str">
        <f>VLOOKUP(F391,'Dataset-1'!F392:R1002,2,)</f>
        <v>Evening</v>
      </c>
      <c r="H391" s="41" t="b">
        <f>VLOOKUP(G391,'Dataset-1'!G392:S1002,2,)</f>
        <v>1</v>
      </c>
      <c r="I391" s="41">
        <f>VLOOKUP(H391,'Dataset-1'!H392:T1002,2,)</f>
        <v>1</v>
      </c>
      <c r="J391" s="71" t="str">
        <f>VLOOKUP(I391,'Dataset-1'!I392:U1002,2,)</f>
        <v>Sunday</v>
      </c>
      <c r="K391" s="41">
        <f>VLOOKUP(J391,'Dataset-1'!J392:V1002,2,)</f>
        <v>1</v>
      </c>
      <c r="L391" s="41">
        <f>VLOOKUP(K391,'Dataset-1'!K392:W1002,2,)</f>
        <v>0.2</v>
      </c>
      <c r="M391" s="71" t="str">
        <f>VLOOKUP(L391,'Dataset-1'!L392:X1002,2,)</f>
        <v>Rainy</v>
      </c>
      <c r="N391" s="41">
        <f>VLOOKUP(A391,'Dataset-2'!B392:H1002,2,)</f>
        <v>0.19700000000000001</v>
      </c>
      <c r="O391" s="41">
        <f>VLOOKUP(N391,'Dataset-2'!C392:I1002,2,)</f>
        <v>0.51</v>
      </c>
      <c r="P391" s="41">
        <f>VLOOKUP(O391,'Dataset-2'!D392:J1002,2,)</f>
        <v>0.19400000000000001</v>
      </c>
      <c r="Q391" s="41">
        <f>VLOOKUP(P391,'Dataset-2'!E392:K1002,2,)</f>
        <v>4</v>
      </c>
      <c r="R391" s="41">
        <f>VLOOKUP(Q391,'Dataset-2'!F392:L1002,2,)</f>
        <v>67</v>
      </c>
      <c r="S391" s="41">
        <f>VLOOKUP(R391,'Dataset-2'!G392:M1002,2,)</f>
        <v>71</v>
      </c>
    </row>
    <row r="392" spans="1:19" x14ac:dyDescent="0.35">
      <c r="A392" s="40">
        <v>391</v>
      </c>
      <c r="B392" s="62">
        <f>VLOOKUP(A392,'Dataset-1'!A393:M1003,2,)</f>
        <v>40560</v>
      </c>
      <c r="C392" s="41">
        <f>VLOOKUP(B392,'Dataset-1'!B393:N1003,2,)</f>
        <v>1</v>
      </c>
      <c r="D392" s="41">
        <f>VLOOKUP(C392,'Dataset-1'!C393:O1003,2,)</f>
        <v>0</v>
      </c>
      <c r="E392" s="41">
        <f>VLOOKUP(D392,'Dataset-1'!D393:P1003,2,)</f>
        <v>1</v>
      </c>
      <c r="F392" s="41">
        <f>VLOOKUP(E392,'Dataset-1'!E393:Q1003,2,)</f>
        <v>18</v>
      </c>
      <c r="G392" s="71" t="str">
        <f>VLOOKUP(F392,'Dataset-1'!F393:R1003,2,)</f>
        <v>Evening</v>
      </c>
      <c r="H392" s="41" t="b">
        <f>VLOOKUP(G392,'Dataset-1'!G393:S1003,2,)</f>
        <v>1</v>
      </c>
      <c r="I392" s="41">
        <f>VLOOKUP(H392,'Dataset-1'!H393:T1003,2,)</f>
        <v>1</v>
      </c>
      <c r="J392" s="71" t="str">
        <f>VLOOKUP(I392,'Dataset-1'!I393:U1003,2,)</f>
        <v>Sunday</v>
      </c>
      <c r="K392" s="41">
        <f>VLOOKUP(J392,'Dataset-1'!J393:V1003,2,)</f>
        <v>2</v>
      </c>
      <c r="L392" s="41">
        <f>VLOOKUP(K392,'Dataset-1'!K393:W1003,2,)</f>
        <v>0.18</v>
      </c>
      <c r="M392" s="71" t="str">
        <f>VLOOKUP(L392,'Dataset-1'!L393:X1003,2,)</f>
        <v>Rainy</v>
      </c>
      <c r="N392" s="41">
        <f>VLOOKUP(A392,'Dataset-2'!B393:H1003,2,)</f>
        <v>0.16669999999999999</v>
      </c>
      <c r="O392" s="41">
        <f>VLOOKUP(N392,'Dataset-2'!C393:I1003,2,)</f>
        <v>0.55000000000000004</v>
      </c>
      <c r="P392" s="41">
        <f>VLOOKUP(O392,'Dataset-2'!D393:J1003,2,)</f>
        <v>0.25369999999999998</v>
      </c>
      <c r="Q392" s="41">
        <f>VLOOKUP(P392,'Dataset-2'!E393:K1003,2,)</f>
        <v>7</v>
      </c>
      <c r="R392" s="41">
        <f>VLOOKUP(Q392,'Dataset-2'!F393:L1003,2,)</f>
        <v>85</v>
      </c>
      <c r="S392" s="41">
        <f>VLOOKUP(R392,'Dataset-2'!G393:M1003,2,)</f>
        <v>92</v>
      </c>
    </row>
    <row r="393" spans="1:19" x14ac:dyDescent="0.35">
      <c r="A393" s="40">
        <v>392</v>
      </c>
      <c r="B393" s="62">
        <f>VLOOKUP(A393,'Dataset-1'!A394:M1004,2,)</f>
        <v>40560</v>
      </c>
      <c r="C393" s="41">
        <f>VLOOKUP(B393,'Dataset-1'!B394:N1004,2,)</f>
        <v>1</v>
      </c>
      <c r="D393" s="41">
        <f>VLOOKUP(C393,'Dataset-1'!C394:O1004,2,)</f>
        <v>0</v>
      </c>
      <c r="E393" s="41">
        <f>VLOOKUP(D393,'Dataset-1'!D394:P1004,2,)</f>
        <v>1</v>
      </c>
      <c r="F393" s="41">
        <f>VLOOKUP(E393,'Dataset-1'!E394:Q1004,2,)</f>
        <v>19</v>
      </c>
      <c r="G393" s="71" t="str">
        <f>VLOOKUP(F393,'Dataset-1'!F394:R1004,2,)</f>
        <v>Evening</v>
      </c>
      <c r="H393" s="41" t="b">
        <f>VLOOKUP(G393,'Dataset-1'!G394:S1004,2,)</f>
        <v>1</v>
      </c>
      <c r="I393" s="41">
        <f>VLOOKUP(H393,'Dataset-1'!H394:T1004,2,)</f>
        <v>1</v>
      </c>
      <c r="J393" s="71" t="str">
        <f>VLOOKUP(I393,'Dataset-1'!I394:U1004,2,)</f>
        <v>Sunday</v>
      </c>
      <c r="K393" s="41">
        <f>VLOOKUP(J393,'Dataset-1'!J394:V1004,2,)</f>
        <v>3</v>
      </c>
      <c r="L393" s="41">
        <f>VLOOKUP(K393,'Dataset-1'!K394:W1004,2,)</f>
        <v>0.18</v>
      </c>
      <c r="M393" s="71" t="str">
        <f>VLOOKUP(L393,'Dataset-1'!L394:X1004,2,)</f>
        <v>Rainy</v>
      </c>
      <c r="N393" s="41">
        <f>VLOOKUP(A393,'Dataset-2'!B394:H1004,2,)</f>
        <v>0.18179999999999999</v>
      </c>
      <c r="O393" s="41">
        <f>VLOOKUP(N393,'Dataset-2'!C394:I1004,2,)</f>
        <v>0.59</v>
      </c>
      <c r="P393" s="41">
        <f>VLOOKUP(O393,'Dataset-2'!D394:J1004,2,)</f>
        <v>0.19400000000000001</v>
      </c>
      <c r="Q393" s="41">
        <f>VLOOKUP(P393,'Dataset-2'!E394:K1004,2,)</f>
        <v>2</v>
      </c>
      <c r="R393" s="41">
        <f>VLOOKUP(Q393,'Dataset-2'!F394:L1004,2,)</f>
        <v>58</v>
      </c>
      <c r="S393" s="41">
        <f>VLOOKUP(R393,'Dataset-2'!G394:M1004,2,)</f>
        <v>60</v>
      </c>
    </row>
    <row r="394" spans="1:19" x14ac:dyDescent="0.35">
      <c r="A394" s="40">
        <v>393</v>
      </c>
      <c r="B394" s="62">
        <f>VLOOKUP(A394,'Dataset-1'!A395:M1005,2,)</f>
        <v>40560</v>
      </c>
      <c r="C394" s="41">
        <f>VLOOKUP(B394,'Dataset-1'!B395:N1005,2,)</f>
        <v>1</v>
      </c>
      <c r="D394" s="41">
        <f>VLOOKUP(C394,'Dataset-1'!C395:O1005,2,)</f>
        <v>0</v>
      </c>
      <c r="E394" s="41">
        <f>VLOOKUP(D394,'Dataset-1'!D395:P1005,2,)</f>
        <v>1</v>
      </c>
      <c r="F394" s="41">
        <f>VLOOKUP(E394,'Dataset-1'!E395:Q1005,2,)</f>
        <v>20</v>
      </c>
      <c r="G394" s="71" t="str">
        <f>VLOOKUP(F394,'Dataset-1'!F395:R1005,2,)</f>
        <v>Night</v>
      </c>
      <c r="H394" s="41" t="b">
        <f>VLOOKUP(G394,'Dataset-1'!G395:S1005,2,)</f>
        <v>1</v>
      </c>
      <c r="I394" s="41">
        <f>VLOOKUP(H394,'Dataset-1'!H395:T1005,2,)</f>
        <v>1</v>
      </c>
      <c r="J394" s="71" t="str">
        <f>VLOOKUP(I394,'Dataset-1'!I395:U1005,2,)</f>
        <v>Sunday</v>
      </c>
      <c r="K394" s="41">
        <f>VLOOKUP(J394,'Dataset-1'!J395:V1005,2,)</f>
        <v>3</v>
      </c>
      <c r="L394" s="41">
        <f>VLOOKUP(K394,'Dataset-1'!K395:W1005,2,)</f>
        <v>0.16</v>
      </c>
      <c r="M394" s="71" t="str">
        <f>VLOOKUP(L394,'Dataset-1'!L395:X1005,2,)</f>
        <v>Rainy</v>
      </c>
      <c r="N394" s="41">
        <f>VLOOKUP(A394,'Dataset-2'!B395:H1005,2,)</f>
        <v>0.1515</v>
      </c>
      <c r="O394" s="41">
        <f>VLOOKUP(N394,'Dataset-2'!C395:I1005,2,)</f>
        <v>0.8</v>
      </c>
      <c r="P394" s="41">
        <f>VLOOKUP(O394,'Dataset-2'!D395:J1005,2,)</f>
        <v>0.19400000000000001</v>
      </c>
      <c r="Q394" s="41">
        <f>VLOOKUP(P394,'Dataset-2'!E395:K1005,2,)</f>
        <v>4</v>
      </c>
      <c r="R394" s="41">
        <f>VLOOKUP(Q394,'Dataset-2'!F395:L1005,2,)</f>
        <v>29</v>
      </c>
      <c r="S394" s="41">
        <f>VLOOKUP(R394,'Dataset-2'!G395:M1005,2,)</f>
        <v>33</v>
      </c>
    </row>
    <row r="395" spans="1:19" x14ac:dyDescent="0.35">
      <c r="A395" s="40">
        <v>394</v>
      </c>
      <c r="B395" s="62">
        <f>VLOOKUP(A395,'Dataset-1'!A396:M1006,2,)</f>
        <v>40560</v>
      </c>
      <c r="C395" s="41">
        <f>VLOOKUP(B395,'Dataset-1'!B396:N1006,2,)</f>
        <v>1</v>
      </c>
      <c r="D395" s="41">
        <f>VLOOKUP(C395,'Dataset-1'!C396:O1006,2,)</f>
        <v>0</v>
      </c>
      <c r="E395" s="41">
        <f>VLOOKUP(D395,'Dataset-1'!D396:P1006,2,)</f>
        <v>1</v>
      </c>
      <c r="F395" s="41">
        <f>VLOOKUP(E395,'Dataset-1'!E396:Q1006,2,)</f>
        <v>21</v>
      </c>
      <c r="G395" s="71" t="str">
        <f>VLOOKUP(F395,'Dataset-1'!F396:R1006,2,)</f>
        <v>Night</v>
      </c>
      <c r="H395" s="41" t="b">
        <f>VLOOKUP(G395,'Dataset-1'!G396:S1006,2,)</f>
        <v>1</v>
      </c>
      <c r="I395" s="41">
        <f>VLOOKUP(H395,'Dataset-1'!H396:T1006,2,)</f>
        <v>1</v>
      </c>
      <c r="J395" s="71" t="str">
        <f>VLOOKUP(I395,'Dataset-1'!I396:U1006,2,)</f>
        <v>Sunday</v>
      </c>
      <c r="K395" s="41">
        <f>VLOOKUP(J395,'Dataset-1'!J396:V1006,2,)</f>
        <v>3</v>
      </c>
      <c r="L395" s="41">
        <f>VLOOKUP(K395,'Dataset-1'!K396:W1006,2,)</f>
        <v>0.16</v>
      </c>
      <c r="M395" s="71" t="str">
        <f>VLOOKUP(L395,'Dataset-1'!L396:X1006,2,)</f>
        <v>Rainy</v>
      </c>
      <c r="N395" s="41">
        <f>VLOOKUP(A395,'Dataset-2'!B396:H1006,2,)</f>
        <v>0.1515</v>
      </c>
      <c r="O395" s="41">
        <f>VLOOKUP(N395,'Dataset-2'!C396:I1006,2,)</f>
        <v>0.8</v>
      </c>
      <c r="P395" s="41">
        <f>VLOOKUP(O395,'Dataset-2'!D396:J1006,2,)</f>
        <v>0.19400000000000001</v>
      </c>
      <c r="Q395" s="41">
        <f>VLOOKUP(P395,'Dataset-2'!E396:K1006,2,)</f>
        <v>3</v>
      </c>
      <c r="R395" s="41">
        <f>VLOOKUP(Q395,'Dataset-2'!F396:L1006,2,)</f>
        <v>24</v>
      </c>
      <c r="S395" s="41">
        <f>VLOOKUP(R395,'Dataset-2'!G396:M1006,2,)</f>
        <v>27</v>
      </c>
    </row>
    <row r="396" spans="1:19" x14ac:dyDescent="0.35">
      <c r="A396" s="40">
        <v>395</v>
      </c>
      <c r="B396" s="62">
        <f>VLOOKUP(A396,'Dataset-1'!A397:M1007,2,)</f>
        <v>40560</v>
      </c>
      <c r="C396" s="41">
        <f>VLOOKUP(B396,'Dataset-1'!B397:N1007,2,)</f>
        <v>1</v>
      </c>
      <c r="D396" s="41">
        <f>VLOOKUP(C396,'Dataset-1'!C397:O1007,2,)</f>
        <v>0</v>
      </c>
      <c r="E396" s="41">
        <f>VLOOKUP(D396,'Dataset-1'!D397:P1007,2,)</f>
        <v>1</v>
      </c>
      <c r="F396" s="41">
        <f>VLOOKUP(E396,'Dataset-1'!E397:Q1007,2,)</f>
        <v>22</v>
      </c>
      <c r="G396" s="71" t="str">
        <f>VLOOKUP(F396,'Dataset-1'!F397:R1007,2,)</f>
        <v>Night</v>
      </c>
      <c r="H396" s="41" t="b">
        <f>VLOOKUP(G396,'Dataset-1'!G397:S1007,2,)</f>
        <v>1</v>
      </c>
      <c r="I396" s="41">
        <f>VLOOKUP(H396,'Dataset-1'!H397:T1007,2,)</f>
        <v>1</v>
      </c>
      <c r="J396" s="71" t="str">
        <f>VLOOKUP(I396,'Dataset-1'!I397:U1007,2,)</f>
        <v>Sunday</v>
      </c>
      <c r="K396" s="41">
        <f>VLOOKUP(J396,'Dataset-1'!J397:V1007,2,)</f>
        <v>3</v>
      </c>
      <c r="L396" s="41">
        <f>VLOOKUP(K396,'Dataset-1'!K397:W1007,2,)</f>
        <v>0.14000000000000001</v>
      </c>
      <c r="M396" s="71" t="str">
        <f>VLOOKUP(L396,'Dataset-1'!L397:X1007,2,)</f>
        <v>Rainy</v>
      </c>
      <c r="N396" s="41">
        <f>VLOOKUP(A396,'Dataset-2'!B397:H1007,2,)</f>
        <v>0.1212</v>
      </c>
      <c r="O396" s="41">
        <f>VLOOKUP(N396,'Dataset-2'!C397:I1007,2,)</f>
        <v>0.93</v>
      </c>
      <c r="P396" s="41">
        <f>VLOOKUP(O396,'Dataset-2'!D397:J1007,2,)</f>
        <v>0.25369999999999998</v>
      </c>
      <c r="Q396" s="41">
        <f>VLOOKUP(P396,'Dataset-2'!E397:K1007,2,)</f>
        <v>0</v>
      </c>
      <c r="R396" s="41">
        <f>VLOOKUP(Q396,'Dataset-2'!F397:L1007,2,)</f>
        <v>13</v>
      </c>
      <c r="S396" s="41">
        <f>VLOOKUP(R396,'Dataset-2'!G397:M1007,2,)</f>
        <v>13</v>
      </c>
    </row>
    <row r="397" spans="1:19" x14ac:dyDescent="0.35">
      <c r="A397" s="40">
        <v>396</v>
      </c>
      <c r="B397" s="62">
        <f>VLOOKUP(A397,'Dataset-1'!A398:M1008,2,)</f>
        <v>40560</v>
      </c>
      <c r="C397" s="41">
        <f>VLOOKUP(B397,'Dataset-1'!B398:N1008,2,)</f>
        <v>1</v>
      </c>
      <c r="D397" s="41">
        <f>VLOOKUP(C397,'Dataset-1'!C398:O1008,2,)</f>
        <v>0</v>
      </c>
      <c r="E397" s="41">
        <f>VLOOKUP(D397,'Dataset-1'!D398:P1008,2,)</f>
        <v>1</v>
      </c>
      <c r="F397" s="41">
        <f>VLOOKUP(E397,'Dataset-1'!E398:Q1008,2,)</f>
        <v>23</v>
      </c>
      <c r="G397" s="71" t="str">
        <f>VLOOKUP(F397,'Dataset-1'!F398:R1008,2,)</f>
        <v>Night</v>
      </c>
      <c r="H397" s="41" t="b">
        <f>VLOOKUP(G397,'Dataset-1'!G398:S1008,2,)</f>
        <v>1</v>
      </c>
      <c r="I397" s="41">
        <f>VLOOKUP(H397,'Dataset-1'!H398:T1008,2,)</f>
        <v>1</v>
      </c>
      <c r="J397" s="71" t="str">
        <f>VLOOKUP(I397,'Dataset-1'!I398:U1008,2,)</f>
        <v>Sunday</v>
      </c>
      <c r="K397" s="41">
        <f>VLOOKUP(J397,'Dataset-1'!J398:V1008,2,)</f>
        <v>3</v>
      </c>
      <c r="L397" s="41">
        <f>VLOOKUP(K397,'Dataset-1'!K398:W1008,2,)</f>
        <v>0.16</v>
      </c>
      <c r="M397" s="71" t="str">
        <f>VLOOKUP(L397,'Dataset-1'!L398:X1008,2,)</f>
        <v>Rainy</v>
      </c>
      <c r="N397" s="41">
        <f>VLOOKUP(A397,'Dataset-2'!B398:H1008,2,)</f>
        <v>0.13639999999999999</v>
      </c>
      <c r="O397" s="41">
        <f>VLOOKUP(N397,'Dataset-2'!C398:I1008,2,)</f>
        <v>0.86</v>
      </c>
      <c r="P397" s="41">
        <f>VLOOKUP(O397,'Dataset-2'!D398:J1008,2,)</f>
        <v>0.28360000000000002</v>
      </c>
      <c r="Q397" s="41">
        <f>VLOOKUP(P397,'Dataset-2'!E398:K1008,2,)</f>
        <v>1</v>
      </c>
      <c r="R397" s="41">
        <f>VLOOKUP(Q397,'Dataset-2'!F398:L1008,2,)</f>
        <v>3</v>
      </c>
      <c r="S397" s="41">
        <f>VLOOKUP(R397,'Dataset-2'!G398:M1008,2,)</f>
        <v>4</v>
      </c>
    </row>
    <row r="398" spans="1:19" x14ac:dyDescent="0.35">
      <c r="A398" s="40">
        <v>397</v>
      </c>
      <c r="B398" s="62">
        <f>VLOOKUP(A398,'Dataset-1'!A399:M1009,2,)</f>
        <v>40561</v>
      </c>
      <c r="C398" s="41">
        <f>VLOOKUP(B398,'Dataset-1'!B399:N1009,2,)</f>
        <v>1</v>
      </c>
      <c r="D398" s="41">
        <f>VLOOKUP(C398,'Dataset-1'!C399:O1009,2,)</f>
        <v>0</v>
      </c>
      <c r="E398" s="41">
        <f>VLOOKUP(D398,'Dataset-1'!D399:P1009,2,)</f>
        <v>1</v>
      </c>
      <c r="F398" s="41">
        <f>VLOOKUP(E398,'Dataset-1'!E399:Q1009,2,)</f>
        <v>12</v>
      </c>
      <c r="G398" s="71" t="str">
        <f>VLOOKUP(F398,'Dataset-1'!F399:R1009,2,)</f>
        <v>AfterNoon</v>
      </c>
      <c r="H398" s="41" t="b">
        <f>VLOOKUP(G398,'Dataset-1'!G399:S1009,2,)</f>
        <v>0</v>
      </c>
      <c r="I398" s="41">
        <f>VLOOKUP(H398,'Dataset-1'!H399:T1009,2,)</f>
        <v>2</v>
      </c>
      <c r="J398" s="71" t="str">
        <f>VLOOKUP(I398,'Dataset-1'!I399:U1009,2,)</f>
        <v>Monday</v>
      </c>
      <c r="K398" s="41">
        <f>VLOOKUP(J398,'Dataset-1'!J399:V1009,2,)</f>
        <v>2</v>
      </c>
      <c r="L398" s="41">
        <f>VLOOKUP(K398,'Dataset-1'!K399:W1009,2,)</f>
        <v>0.2</v>
      </c>
      <c r="M398" s="71" t="str">
        <f>VLOOKUP(L398,'Dataset-1'!L399:X1009,2,)</f>
        <v>Rainy</v>
      </c>
      <c r="N398" s="41">
        <f>VLOOKUP(A398,'Dataset-2'!B399:H1009,2,)</f>
        <v>0.18179999999999999</v>
      </c>
      <c r="O398" s="41">
        <f>VLOOKUP(N398,'Dataset-2'!C399:I1009,2,)</f>
        <v>0.86</v>
      </c>
      <c r="P398" s="41">
        <f>VLOOKUP(O398,'Dataset-2'!D399:J1009,2,)</f>
        <v>0.32840000000000003</v>
      </c>
      <c r="Q398" s="41">
        <f>VLOOKUP(P398,'Dataset-2'!E399:K1009,2,)</f>
        <v>0</v>
      </c>
      <c r="R398" s="41">
        <f>VLOOKUP(Q398,'Dataset-2'!F399:L1009,2,)</f>
        <v>3</v>
      </c>
      <c r="S398" s="41">
        <f>VLOOKUP(R398,'Dataset-2'!G399:M1009,2,)</f>
        <v>3</v>
      </c>
    </row>
    <row r="399" spans="1:19" x14ac:dyDescent="0.35">
      <c r="A399" s="40">
        <v>398</v>
      </c>
      <c r="B399" s="62">
        <f>VLOOKUP(A399,'Dataset-1'!A400:M1010,2,)</f>
        <v>40561</v>
      </c>
      <c r="C399" s="41">
        <f>VLOOKUP(B399,'Dataset-1'!B400:N1010,2,)</f>
        <v>1</v>
      </c>
      <c r="D399" s="41">
        <f>VLOOKUP(C399,'Dataset-1'!C400:O1010,2,)</f>
        <v>0</v>
      </c>
      <c r="E399" s="41">
        <f>VLOOKUP(D399,'Dataset-1'!D400:P1010,2,)</f>
        <v>1</v>
      </c>
      <c r="F399" s="41">
        <f>VLOOKUP(E399,'Dataset-1'!E400:Q1010,2,)</f>
        <v>13</v>
      </c>
      <c r="G399" s="71" t="str">
        <f>VLOOKUP(F399,'Dataset-1'!F400:R1010,2,)</f>
        <v>AfterNoon</v>
      </c>
      <c r="H399" s="41" t="b">
        <f>VLOOKUP(G399,'Dataset-1'!G400:S1010,2,)</f>
        <v>0</v>
      </c>
      <c r="I399" s="41">
        <f>VLOOKUP(H399,'Dataset-1'!H400:T1010,2,)</f>
        <v>2</v>
      </c>
      <c r="J399" s="71" t="str">
        <f>VLOOKUP(I399,'Dataset-1'!I400:U1010,2,)</f>
        <v>Monday</v>
      </c>
      <c r="K399" s="41">
        <f>VLOOKUP(J399,'Dataset-1'!J400:V1010,2,)</f>
        <v>2</v>
      </c>
      <c r="L399" s="41">
        <f>VLOOKUP(K399,'Dataset-1'!K400:W1010,2,)</f>
        <v>0.2</v>
      </c>
      <c r="M399" s="71" t="str">
        <f>VLOOKUP(L399,'Dataset-1'!L400:X1010,2,)</f>
        <v>Rainy</v>
      </c>
      <c r="N399" s="41">
        <f>VLOOKUP(A399,'Dataset-2'!B400:H1010,2,)</f>
        <v>0.19700000000000001</v>
      </c>
      <c r="O399" s="41">
        <f>VLOOKUP(N399,'Dataset-2'!C400:I1010,2,)</f>
        <v>0.86</v>
      </c>
      <c r="P399" s="41">
        <f>VLOOKUP(O399,'Dataset-2'!D400:J1010,2,)</f>
        <v>0.22389999999999999</v>
      </c>
      <c r="Q399" s="41">
        <f>VLOOKUP(P399,'Dataset-2'!E400:K1010,2,)</f>
        <v>0</v>
      </c>
      <c r="R399" s="41">
        <f>VLOOKUP(Q399,'Dataset-2'!F400:L1010,2,)</f>
        <v>22</v>
      </c>
      <c r="S399" s="41">
        <f>VLOOKUP(R399,'Dataset-2'!G400:M1010,2,)</f>
        <v>22</v>
      </c>
    </row>
    <row r="400" spans="1:19" x14ac:dyDescent="0.35">
      <c r="A400" s="40">
        <v>399</v>
      </c>
      <c r="B400" s="62">
        <f>VLOOKUP(A400,'Dataset-1'!A401:M1011,2,)</f>
        <v>40561</v>
      </c>
      <c r="C400" s="41">
        <f>VLOOKUP(B400,'Dataset-1'!B401:N1011,2,)</f>
        <v>1</v>
      </c>
      <c r="D400" s="41">
        <f>VLOOKUP(C400,'Dataset-1'!C401:O1011,2,)</f>
        <v>0</v>
      </c>
      <c r="E400" s="41">
        <f>VLOOKUP(D400,'Dataset-1'!D401:P1011,2,)</f>
        <v>1</v>
      </c>
      <c r="F400" s="41">
        <f>VLOOKUP(E400,'Dataset-1'!E401:Q1011,2,)</f>
        <v>14</v>
      </c>
      <c r="G400" s="71" t="str">
        <f>VLOOKUP(F400,'Dataset-1'!F401:R1011,2,)</f>
        <v>AfterNoon</v>
      </c>
      <c r="H400" s="41" t="b">
        <f>VLOOKUP(G400,'Dataset-1'!G401:S1011,2,)</f>
        <v>0</v>
      </c>
      <c r="I400" s="41">
        <f>VLOOKUP(H400,'Dataset-1'!H401:T1011,2,)</f>
        <v>2</v>
      </c>
      <c r="J400" s="71" t="str">
        <f>VLOOKUP(I400,'Dataset-1'!I401:U1011,2,)</f>
        <v>Monday</v>
      </c>
      <c r="K400" s="41">
        <f>VLOOKUP(J400,'Dataset-1'!J401:V1011,2,)</f>
        <v>2</v>
      </c>
      <c r="L400" s="41">
        <f>VLOOKUP(K400,'Dataset-1'!K401:W1011,2,)</f>
        <v>0.22</v>
      </c>
      <c r="M400" s="71" t="str">
        <f>VLOOKUP(L400,'Dataset-1'!L401:X1011,2,)</f>
        <v>Cloudy</v>
      </c>
      <c r="N400" s="41">
        <f>VLOOKUP(A400,'Dataset-2'!B401:H1011,2,)</f>
        <v>0.2273</v>
      </c>
      <c r="O400" s="41">
        <f>VLOOKUP(N400,'Dataset-2'!C401:I1011,2,)</f>
        <v>0.8</v>
      </c>
      <c r="P400" s="41">
        <f>VLOOKUP(O400,'Dataset-2'!D401:J1011,2,)</f>
        <v>0.16420000000000001</v>
      </c>
      <c r="Q400" s="41">
        <f>VLOOKUP(P400,'Dataset-2'!E401:K1011,2,)</f>
        <v>2</v>
      </c>
      <c r="R400" s="41">
        <f>VLOOKUP(Q400,'Dataset-2'!F401:L1011,2,)</f>
        <v>26</v>
      </c>
      <c r="S400" s="41">
        <f>VLOOKUP(R400,'Dataset-2'!G401:M1011,2,)</f>
        <v>28</v>
      </c>
    </row>
    <row r="401" spans="1:19" x14ac:dyDescent="0.35">
      <c r="A401" s="40">
        <v>400</v>
      </c>
      <c r="B401" s="62">
        <f>VLOOKUP(A401,'Dataset-1'!A402:M1012,2,)</f>
        <v>40561</v>
      </c>
      <c r="C401" s="41">
        <f>VLOOKUP(B401,'Dataset-1'!B402:N1012,2,)</f>
        <v>1</v>
      </c>
      <c r="D401" s="41">
        <f>VLOOKUP(C401,'Dataset-1'!C402:O1012,2,)</f>
        <v>0</v>
      </c>
      <c r="E401" s="41">
        <f>VLOOKUP(D401,'Dataset-1'!D402:P1012,2,)</f>
        <v>1</v>
      </c>
      <c r="F401" s="41">
        <f>VLOOKUP(E401,'Dataset-1'!E402:Q1012,2,)</f>
        <v>15</v>
      </c>
      <c r="G401" s="71" t="str">
        <f>VLOOKUP(F401,'Dataset-1'!F402:R1012,2,)</f>
        <v>AfterNoon</v>
      </c>
      <c r="H401" s="41" t="b">
        <f>VLOOKUP(G401,'Dataset-1'!G402:S1012,2,)</f>
        <v>0</v>
      </c>
      <c r="I401" s="41">
        <f>VLOOKUP(H401,'Dataset-1'!H402:T1012,2,)</f>
        <v>2</v>
      </c>
      <c r="J401" s="71" t="str">
        <f>VLOOKUP(I401,'Dataset-1'!I402:U1012,2,)</f>
        <v>Monday</v>
      </c>
      <c r="K401" s="41">
        <f>VLOOKUP(J401,'Dataset-1'!J402:V1012,2,)</f>
        <v>2</v>
      </c>
      <c r="L401" s="41">
        <f>VLOOKUP(K401,'Dataset-1'!K402:W1012,2,)</f>
        <v>0.22</v>
      </c>
      <c r="M401" s="71" t="str">
        <f>VLOOKUP(L401,'Dataset-1'!L402:X1012,2,)</f>
        <v>Cloudy</v>
      </c>
      <c r="N401" s="41">
        <f>VLOOKUP(A401,'Dataset-2'!B402:H1012,2,)</f>
        <v>0.2273</v>
      </c>
      <c r="O401" s="41">
        <f>VLOOKUP(N401,'Dataset-2'!C402:I1012,2,)</f>
        <v>0.87</v>
      </c>
      <c r="P401" s="41">
        <f>VLOOKUP(O401,'Dataset-2'!D402:J1012,2,)</f>
        <v>0.16420000000000001</v>
      </c>
      <c r="Q401" s="41">
        <f>VLOOKUP(P401,'Dataset-2'!E402:K1012,2,)</f>
        <v>3</v>
      </c>
      <c r="R401" s="41">
        <f>VLOOKUP(Q401,'Dataset-2'!F402:L1012,2,)</f>
        <v>32</v>
      </c>
      <c r="S401" s="41">
        <f>VLOOKUP(R401,'Dataset-2'!G402:M1012,2,)</f>
        <v>35</v>
      </c>
    </row>
    <row r="402" spans="1:19" x14ac:dyDescent="0.35">
      <c r="A402" s="40">
        <v>401</v>
      </c>
      <c r="B402" s="62">
        <f>VLOOKUP(A402,'Dataset-1'!A403:M1013,2,)</f>
        <v>40561</v>
      </c>
      <c r="C402" s="41">
        <f>VLOOKUP(B402,'Dataset-1'!B403:N1013,2,)</f>
        <v>1</v>
      </c>
      <c r="D402" s="41">
        <f>VLOOKUP(C402,'Dataset-1'!C403:O1013,2,)</f>
        <v>0</v>
      </c>
      <c r="E402" s="41">
        <f>VLOOKUP(D402,'Dataset-1'!D403:P1013,2,)</f>
        <v>1</v>
      </c>
      <c r="F402" s="41">
        <f>VLOOKUP(E402,'Dataset-1'!E403:Q1013,2,)</f>
        <v>16</v>
      </c>
      <c r="G402" s="71" t="str">
        <f>VLOOKUP(F402,'Dataset-1'!F403:R1013,2,)</f>
        <v>AfterNoon</v>
      </c>
      <c r="H402" s="41" t="b">
        <f>VLOOKUP(G402,'Dataset-1'!G403:S1013,2,)</f>
        <v>0</v>
      </c>
      <c r="I402" s="41">
        <f>VLOOKUP(H402,'Dataset-1'!H403:T1013,2,)</f>
        <v>2</v>
      </c>
      <c r="J402" s="71" t="str">
        <f>VLOOKUP(I402,'Dataset-1'!I403:U1013,2,)</f>
        <v>Monday</v>
      </c>
      <c r="K402" s="41">
        <f>VLOOKUP(J402,'Dataset-1'!J403:V1013,2,)</f>
        <v>2</v>
      </c>
      <c r="L402" s="41">
        <f>VLOOKUP(K402,'Dataset-1'!K403:W1013,2,)</f>
        <v>0.22</v>
      </c>
      <c r="M402" s="71" t="str">
        <f>VLOOKUP(L402,'Dataset-1'!L403:X1013,2,)</f>
        <v>Cloudy</v>
      </c>
      <c r="N402" s="41">
        <f>VLOOKUP(A402,'Dataset-2'!B403:H1013,2,)</f>
        <v>0.2273</v>
      </c>
      <c r="O402" s="41">
        <f>VLOOKUP(N402,'Dataset-2'!C403:I1013,2,)</f>
        <v>0.87</v>
      </c>
      <c r="P402" s="41">
        <f>VLOOKUP(O402,'Dataset-2'!D403:J1013,2,)</f>
        <v>0.19400000000000001</v>
      </c>
      <c r="Q402" s="41">
        <f>VLOOKUP(P402,'Dataset-2'!E403:K1013,2,)</f>
        <v>0</v>
      </c>
      <c r="R402" s="41">
        <f>VLOOKUP(Q402,'Dataset-2'!F403:L1013,2,)</f>
        <v>61</v>
      </c>
      <c r="S402" s="41">
        <f>VLOOKUP(R402,'Dataset-2'!G403:M1013,2,)</f>
        <v>61</v>
      </c>
    </row>
    <row r="403" spans="1:19" x14ac:dyDescent="0.35">
      <c r="A403" s="40">
        <v>402</v>
      </c>
      <c r="B403" s="62">
        <f>VLOOKUP(A403,'Dataset-1'!A404:M1014,2,)</f>
        <v>40561</v>
      </c>
      <c r="C403" s="41">
        <f>VLOOKUP(B403,'Dataset-1'!B404:N1014,2,)</f>
        <v>1</v>
      </c>
      <c r="D403" s="41">
        <f>VLOOKUP(C403,'Dataset-1'!C404:O1014,2,)</f>
        <v>0</v>
      </c>
      <c r="E403" s="41">
        <f>VLOOKUP(D403,'Dataset-1'!D404:P1014,2,)</f>
        <v>1</v>
      </c>
      <c r="F403" s="41">
        <f>VLOOKUP(E403,'Dataset-1'!E404:Q1014,2,)</f>
        <v>17</v>
      </c>
      <c r="G403" s="71" t="str">
        <f>VLOOKUP(F403,'Dataset-1'!F404:R1014,2,)</f>
        <v>Evening</v>
      </c>
      <c r="H403" s="41" t="b">
        <f>VLOOKUP(G403,'Dataset-1'!G404:S1014,2,)</f>
        <v>0</v>
      </c>
      <c r="I403" s="41">
        <f>VLOOKUP(H403,'Dataset-1'!H404:T1014,2,)</f>
        <v>2</v>
      </c>
      <c r="J403" s="71" t="str">
        <f>VLOOKUP(I403,'Dataset-1'!I404:U1014,2,)</f>
        <v>Monday</v>
      </c>
      <c r="K403" s="41">
        <f>VLOOKUP(J403,'Dataset-1'!J404:V1014,2,)</f>
        <v>2</v>
      </c>
      <c r="L403" s="41">
        <f>VLOOKUP(K403,'Dataset-1'!K404:W1014,2,)</f>
        <v>0.22</v>
      </c>
      <c r="M403" s="71" t="str">
        <f>VLOOKUP(L403,'Dataset-1'!L404:X1014,2,)</f>
        <v>Cloudy</v>
      </c>
      <c r="N403" s="41">
        <f>VLOOKUP(A403,'Dataset-2'!B404:H1014,2,)</f>
        <v>0.2273</v>
      </c>
      <c r="O403" s="41">
        <f>VLOOKUP(N403,'Dataset-2'!C404:I1014,2,)</f>
        <v>0.82</v>
      </c>
      <c r="P403" s="41">
        <f>VLOOKUP(O403,'Dataset-2'!D404:J1014,2,)</f>
        <v>0.19400000000000001</v>
      </c>
      <c r="Q403" s="41">
        <f>VLOOKUP(P403,'Dataset-2'!E404:K1014,2,)</f>
        <v>1</v>
      </c>
      <c r="R403" s="41">
        <f>VLOOKUP(Q403,'Dataset-2'!F404:L1014,2,)</f>
        <v>124</v>
      </c>
      <c r="S403" s="41">
        <f>VLOOKUP(R403,'Dataset-2'!G404:M1014,2,)</f>
        <v>125</v>
      </c>
    </row>
    <row r="404" spans="1:19" x14ac:dyDescent="0.35">
      <c r="A404" s="40">
        <v>403</v>
      </c>
      <c r="B404" s="62">
        <f>VLOOKUP(A404,'Dataset-1'!A405:M1015,2,)</f>
        <v>40561</v>
      </c>
      <c r="C404" s="41">
        <f>VLOOKUP(B404,'Dataset-1'!B405:N1015,2,)</f>
        <v>1</v>
      </c>
      <c r="D404" s="41">
        <f>VLOOKUP(C404,'Dataset-1'!C405:O1015,2,)</f>
        <v>0</v>
      </c>
      <c r="E404" s="41">
        <f>VLOOKUP(D404,'Dataset-1'!D405:P1015,2,)</f>
        <v>1</v>
      </c>
      <c r="F404" s="41">
        <f>VLOOKUP(E404,'Dataset-1'!E405:Q1015,2,)</f>
        <v>18</v>
      </c>
      <c r="G404" s="71" t="str">
        <f>VLOOKUP(F404,'Dataset-1'!F405:R1015,2,)</f>
        <v>Evening</v>
      </c>
      <c r="H404" s="41" t="b">
        <f>VLOOKUP(G404,'Dataset-1'!G405:S1015,2,)</f>
        <v>0</v>
      </c>
      <c r="I404" s="41">
        <f>VLOOKUP(H404,'Dataset-1'!H405:T1015,2,)</f>
        <v>2</v>
      </c>
      <c r="J404" s="71" t="str">
        <f>VLOOKUP(I404,'Dataset-1'!I405:U1015,2,)</f>
        <v>Monday</v>
      </c>
      <c r="K404" s="41">
        <f>VLOOKUP(J404,'Dataset-1'!J405:V1015,2,)</f>
        <v>2</v>
      </c>
      <c r="L404" s="41">
        <f>VLOOKUP(K404,'Dataset-1'!K405:W1015,2,)</f>
        <v>0.22</v>
      </c>
      <c r="M404" s="71" t="str">
        <f>VLOOKUP(L404,'Dataset-1'!L405:X1015,2,)</f>
        <v>Cloudy</v>
      </c>
      <c r="N404" s="41">
        <f>VLOOKUP(A404,'Dataset-2'!B405:H1015,2,)</f>
        <v>0.2273</v>
      </c>
      <c r="O404" s="41">
        <f>VLOOKUP(N404,'Dataset-2'!C405:I1015,2,)</f>
        <v>0.8</v>
      </c>
      <c r="P404" s="41">
        <f>VLOOKUP(O404,'Dataset-2'!D405:J1015,2,)</f>
        <v>0.16420000000000001</v>
      </c>
      <c r="Q404" s="41">
        <f>VLOOKUP(P404,'Dataset-2'!E405:K1015,2,)</f>
        <v>1</v>
      </c>
      <c r="R404" s="41">
        <f>VLOOKUP(Q404,'Dataset-2'!F405:L1015,2,)</f>
        <v>132</v>
      </c>
      <c r="S404" s="41">
        <f>VLOOKUP(R404,'Dataset-2'!G405:M1015,2,)</f>
        <v>133</v>
      </c>
    </row>
    <row r="405" spans="1:19" x14ac:dyDescent="0.35">
      <c r="A405" s="40">
        <v>404</v>
      </c>
      <c r="B405" s="62">
        <f>VLOOKUP(A405,'Dataset-1'!A406:M1016,2,)</f>
        <v>40561</v>
      </c>
      <c r="C405" s="41">
        <f>VLOOKUP(B405,'Dataset-1'!B406:N1016,2,)</f>
        <v>1</v>
      </c>
      <c r="D405" s="41">
        <f>VLOOKUP(C405,'Dataset-1'!C406:O1016,2,)</f>
        <v>0</v>
      </c>
      <c r="E405" s="41">
        <f>VLOOKUP(D405,'Dataset-1'!D406:P1016,2,)</f>
        <v>1</v>
      </c>
      <c r="F405" s="41">
        <f>VLOOKUP(E405,'Dataset-1'!E406:Q1016,2,)</f>
        <v>19</v>
      </c>
      <c r="G405" s="71" t="str">
        <f>VLOOKUP(F405,'Dataset-1'!F406:R1016,2,)</f>
        <v>Evening</v>
      </c>
      <c r="H405" s="41" t="b">
        <f>VLOOKUP(G405,'Dataset-1'!G406:S1016,2,)</f>
        <v>0</v>
      </c>
      <c r="I405" s="41">
        <f>VLOOKUP(H405,'Dataset-1'!H406:T1016,2,)</f>
        <v>2</v>
      </c>
      <c r="J405" s="71" t="str">
        <f>VLOOKUP(I405,'Dataset-1'!I406:U1016,2,)</f>
        <v>Monday</v>
      </c>
      <c r="K405" s="41">
        <f>VLOOKUP(J405,'Dataset-1'!J406:V1016,2,)</f>
        <v>2</v>
      </c>
      <c r="L405" s="41">
        <f>VLOOKUP(K405,'Dataset-1'!K406:W1016,2,)</f>
        <v>0.22</v>
      </c>
      <c r="M405" s="71" t="str">
        <f>VLOOKUP(L405,'Dataset-1'!L406:X1016,2,)</f>
        <v>Cloudy</v>
      </c>
      <c r="N405" s="41">
        <f>VLOOKUP(A405,'Dataset-2'!B406:H1016,2,)</f>
        <v>0.2273</v>
      </c>
      <c r="O405" s="41">
        <f>VLOOKUP(N405,'Dataset-2'!C406:I1016,2,)</f>
        <v>0.8</v>
      </c>
      <c r="P405" s="41">
        <f>VLOOKUP(O405,'Dataset-2'!D406:J1016,2,)</f>
        <v>0.1343</v>
      </c>
      <c r="Q405" s="41">
        <f>VLOOKUP(P405,'Dataset-2'!E406:K1016,2,)</f>
        <v>1</v>
      </c>
      <c r="R405" s="41">
        <f>VLOOKUP(Q405,'Dataset-2'!F406:L1016,2,)</f>
        <v>98</v>
      </c>
      <c r="S405" s="41">
        <f>VLOOKUP(R405,'Dataset-2'!G406:M1016,2,)</f>
        <v>99</v>
      </c>
    </row>
    <row r="406" spans="1:19" x14ac:dyDescent="0.35">
      <c r="A406" s="40">
        <v>405</v>
      </c>
      <c r="B406" s="62">
        <f>VLOOKUP(A406,'Dataset-1'!A407:M1017,2,)</f>
        <v>40561</v>
      </c>
      <c r="C406" s="41">
        <f>VLOOKUP(B406,'Dataset-1'!B407:N1017,2,)</f>
        <v>1</v>
      </c>
      <c r="D406" s="41">
        <f>VLOOKUP(C406,'Dataset-1'!C407:O1017,2,)</f>
        <v>0</v>
      </c>
      <c r="E406" s="41">
        <f>VLOOKUP(D406,'Dataset-1'!D407:P1017,2,)</f>
        <v>1</v>
      </c>
      <c r="F406" s="41">
        <f>VLOOKUP(E406,'Dataset-1'!E407:Q1017,2,)</f>
        <v>20</v>
      </c>
      <c r="G406" s="71" t="str">
        <f>VLOOKUP(F406,'Dataset-1'!F407:R1017,2,)</f>
        <v>Night</v>
      </c>
      <c r="H406" s="41" t="b">
        <f>VLOOKUP(G406,'Dataset-1'!G407:S1017,2,)</f>
        <v>0</v>
      </c>
      <c r="I406" s="41">
        <f>VLOOKUP(H406,'Dataset-1'!H407:T1017,2,)</f>
        <v>2</v>
      </c>
      <c r="J406" s="71" t="str">
        <f>VLOOKUP(I406,'Dataset-1'!I407:U1017,2,)</f>
        <v>Monday</v>
      </c>
      <c r="K406" s="41">
        <f>VLOOKUP(J406,'Dataset-1'!J407:V1017,2,)</f>
        <v>2</v>
      </c>
      <c r="L406" s="41">
        <f>VLOOKUP(K406,'Dataset-1'!K407:W1017,2,)</f>
        <v>0.22</v>
      </c>
      <c r="M406" s="71" t="str">
        <f>VLOOKUP(L406,'Dataset-1'!L407:X1017,2,)</f>
        <v>Cloudy</v>
      </c>
      <c r="N406" s="41">
        <f>VLOOKUP(A406,'Dataset-2'!B407:H1017,2,)</f>
        <v>0.2727</v>
      </c>
      <c r="O406" s="41">
        <f>VLOOKUP(N406,'Dataset-2'!C407:I1017,2,)</f>
        <v>0.87</v>
      </c>
      <c r="P406" s="41">
        <f>VLOOKUP(O406,'Dataset-2'!D407:J1017,2,)</f>
        <v>0</v>
      </c>
      <c r="Q406" s="41">
        <f>VLOOKUP(P406,'Dataset-2'!E407:K1017,2,)</f>
        <v>0</v>
      </c>
      <c r="R406" s="41">
        <f>VLOOKUP(Q406,'Dataset-2'!F407:L1017,2,)</f>
        <v>83</v>
      </c>
      <c r="S406" s="41">
        <f>VLOOKUP(R406,'Dataset-2'!G407:M1017,2,)</f>
        <v>83</v>
      </c>
    </row>
    <row r="407" spans="1:19" x14ac:dyDescent="0.35">
      <c r="A407" s="40">
        <v>406</v>
      </c>
      <c r="B407" s="62">
        <f>VLOOKUP(A407,'Dataset-1'!A408:M1018,2,)</f>
        <v>40561</v>
      </c>
      <c r="C407" s="41">
        <f>VLOOKUP(B407,'Dataset-1'!B408:N1018,2,)</f>
        <v>1</v>
      </c>
      <c r="D407" s="41">
        <f>VLOOKUP(C407,'Dataset-1'!C408:O1018,2,)</f>
        <v>0</v>
      </c>
      <c r="E407" s="41">
        <f>VLOOKUP(D407,'Dataset-1'!D408:P1018,2,)</f>
        <v>1</v>
      </c>
      <c r="F407" s="41">
        <f>VLOOKUP(E407,'Dataset-1'!E408:Q1018,2,)</f>
        <v>21</v>
      </c>
      <c r="G407" s="71" t="str">
        <f>VLOOKUP(F407,'Dataset-1'!F408:R1018,2,)</f>
        <v>Night</v>
      </c>
      <c r="H407" s="41" t="b">
        <f>VLOOKUP(G407,'Dataset-1'!G408:S1018,2,)</f>
        <v>0</v>
      </c>
      <c r="I407" s="41">
        <f>VLOOKUP(H407,'Dataset-1'!H408:T1018,2,)</f>
        <v>2</v>
      </c>
      <c r="J407" s="71" t="str">
        <f>VLOOKUP(I407,'Dataset-1'!I408:U1018,2,)</f>
        <v>Monday</v>
      </c>
      <c r="K407" s="41">
        <f>VLOOKUP(J407,'Dataset-1'!J408:V1018,2,)</f>
        <v>2</v>
      </c>
      <c r="L407" s="41">
        <f>VLOOKUP(K407,'Dataset-1'!K408:W1018,2,)</f>
        <v>0.22</v>
      </c>
      <c r="M407" s="71" t="str">
        <f>VLOOKUP(L407,'Dataset-1'!L408:X1018,2,)</f>
        <v>Cloudy</v>
      </c>
      <c r="N407" s="41">
        <f>VLOOKUP(A407,'Dataset-2'!B408:H1018,2,)</f>
        <v>0.2424</v>
      </c>
      <c r="O407" s="41">
        <f>VLOOKUP(N407,'Dataset-2'!C408:I1018,2,)</f>
        <v>0.93</v>
      </c>
      <c r="P407" s="41">
        <f>VLOOKUP(O407,'Dataset-2'!D408:J1018,2,)</f>
        <v>0.1045</v>
      </c>
      <c r="Q407" s="41">
        <f>VLOOKUP(P407,'Dataset-2'!E408:K1018,2,)</f>
        <v>0</v>
      </c>
      <c r="R407" s="41">
        <f>VLOOKUP(Q407,'Dataset-2'!F408:L1018,2,)</f>
        <v>41</v>
      </c>
      <c r="S407" s="41">
        <f>VLOOKUP(R407,'Dataset-2'!G408:M1018,2,)</f>
        <v>41</v>
      </c>
    </row>
    <row r="408" spans="1:19" x14ac:dyDescent="0.35">
      <c r="A408" s="40">
        <v>407</v>
      </c>
      <c r="B408" s="62">
        <f>VLOOKUP(A408,'Dataset-1'!A409:M1019,2,)</f>
        <v>40561</v>
      </c>
      <c r="C408" s="41">
        <f>VLOOKUP(B408,'Dataset-1'!B409:N1019,2,)</f>
        <v>1</v>
      </c>
      <c r="D408" s="41">
        <f>VLOOKUP(C408,'Dataset-1'!C409:O1019,2,)</f>
        <v>0</v>
      </c>
      <c r="E408" s="41">
        <f>VLOOKUP(D408,'Dataset-1'!D409:P1019,2,)</f>
        <v>1</v>
      </c>
      <c r="F408" s="41">
        <f>VLOOKUP(E408,'Dataset-1'!E409:Q1019,2,)</f>
        <v>22</v>
      </c>
      <c r="G408" s="71" t="str">
        <f>VLOOKUP(F408,'Dataset-1'!F409:R1019,2,)</f>
        <v>Night</v>
      </c>
      <c r="H408" s="41" t="b">
        <f>VLOOKUP(G408,'Dataset-1'!G409:S1019,2,)</f>
        <v>0</v>
      </c>
      <c r="I408" s="41">
        <f>VLOOKUP(H408,'Dataset-1'!H409:T1019,2,)</f>
        <v>2</v>
      </c>
      <c r="J408" s="71" t="str">
        <f>VLOOKUP(I408,'Dataset-1'!I409:U1019,2,)</f>
        <v>Monday</v>
      </c>
      <c r="K408" s="41">
        <f>VLOOKUP(J408,'Dataset-1'!J409:V1019,2,)</f>
        <v>2</v>
      </c>
      <c r="L408" s="41">
        <f>VLOOKUP(K408,'Dataset-1'!K409:W1019,2,)</f>
        <v>0.22</v>
      </c>
      <c r="M408" s="71" t="str">
        <f>VLOOKUP(L408,'Dataset-1'!L409:X1019,2,)</f>
        <v>Cloudy</v>
      </c>
      <c r="N408" s="41">
        <f>VLOOKUP(A408,'Dataset-2'!B409:H1019,2,)</f>
        <v>0.2576</v>
      </c>
      <c r="O408" s="41">
        <f>VLOOKUP(N408,'Dataset-2'!C409:I1019,2,)</f>
        <v>0.93</v>
      </c>
      <c r="P408" s="41">
        <f>VLOOKUP(O408,'Dataset-2'!D409:J1019,2,)</f>
        <v>8.9599999999999999E-2</v>
      </c>
      <c r="Q408" s="41">
        <f>VLOOKUP(P408,'Dataset-2'!E409:K1019,2,)</f>
        <v>0</v>
      </c>
      <c r="R408" s="41">
        <f>VLOOKUP(Q408,'Dataset-2'!F409:L1019,2,)</f>
        <v>33</v>
      </c>
      <c r="S408" s="41">
        <f>VLOOKUP(R408,'Dataset-2'!G409:M1019,2,)</f>
        <v>33</v>
      </c>
    </row>
    <row r="409" spans="1:19" x14ac:dyDescent="0.35">
      <c r="A409" s="40">
        <v>408</v>
      </c>
      <c r="B409" s="62">
        <f>VLOOKUP(A409,'Dataset-1'!A410:M1020,2,)</f>
        <v>40561</v>
      </c>
      <c r="C409" s="41">
        <f>VLOOKUP(B409,'Dataset-1'!B410:N1020,2,)</f>
        <v>1</v>
      </c>
      <c r="D409" s="41">
        <f>VLOOKUP(C409,'Dataset-1'!C410:O1020,2,)</f>
        <v>0</v>
      </c>
      <c r="E409" s="41">
        <f>VLOOKUP(D409,'Dataset-1'!D410:P1020,2,)</f>
        <v>1</v>
      </c>
      <c r="F409" s="41">
        <f>VLOOKUP(E409,'Dataset-1'!E410:Q1020,2,)</f>
        <v>23</v>
      </c>
      <c r="G409" s="71" t="str">
        <f>VLOOKUP(F409,'Dataset-1'!F410:R1020,2,)</f>
        <v>Night</v>
      </c>
      <c r="H409" s="41" t="b">
        <f>VLOOKUP(G409,'Dataset-1'!G410:S1020,2,)</f>
        <v>0</v>
      </c>
      <c r="I409" s="41">
        <f>VLOOKUP(H409,'Dataset-1'!H410:T1020,2,)</f>
        <v>2</v>
      </c>
      <c r="J409" s="71" t="str">
        <f>VLOOKUP(I409,'Dataset-1'!I410:U1020,2,)</f>
        <v>Monday</v>
      </c>
      <c r="K409" s="41">
        <f>VLOOKUP(J409,'Dataset-1'!J410:V1020,2,)</f>
        <v>2</v>
      </c>
      <c r="L409" s="41">
        <f>VLOOKUP(K409,'Dataset-1'!K410:W1020,2,)</f>
        <v>0.22</v>
      </c>
      <c r="M409" s="71" t="str">
        <f>VLOOKUP(L409,'Dataset-1'!L410:X1020,2,)</f>
        <v>Cloudy</v>
      </c>
      <c r="N409" s="41">
        <f>VLOOKUP(A409,'Dataset-2'!B410:H1020,2,)</f>
        <v>0.2727</v>
      </c>
      <c r="O409" s="41">
        <f>VLOOKUP(N409,'Dataset-2'!C410:I1020,2,)</f>
        <v>0.93</v>
      </c>
      <c r="P409" s="41">
        <f>VLOOKUP(O409,'Dataset-2'!D410:J1020,2,)</f>
        <v>0</v>
      </c>
      <c r="Q409" s="41">
        <f>VLOOKUP(P409,'Dataset-2'!E410:K1020,2,)</f>
        <v>1</v>
      </c>
      <c r="R409" s="41">
        <f>VLOOKUP(Q409,'Dataset-2'!F410:L1020,2,)</f>
        <v>19</v>
      </c>
      <c r="S409" s="41">
        <f>VLOOKUP(R409,'Dataset-2'!G410:M1020,2,)</f>
        <v>20</v>
      </c>
    </row>
    <row r="410" spans="1:19" x14ac:dyDescent="0.35">
      <c r="A410" s="40">
        <v>409</v>
      </c>
      <c r="B410" s="62">
        <f>VLOOKUP(A410,'Dataset-1'!A411:M1021,2,)</f>
        <v>40562</v>
      </c>
      <c r="C410" s="41">
        <f>VLOOKUP(B410,'Dataset-1'!B411:N1021,2,)</f>
        <v>1</v>
      </c>
      <c r="D410" s="41">
        <f>VLOOKUP(C410,'Dataset-1'!C411:O1021,2,)</f>
        <v>0</v>
      </c>
      <c r="E410" s="41">
        <f>VLOOKUP(D410,'Dataset-1'!D411:P1021,2,)</f>
        <v>1</v>
      </c>
      <c r="F410" s="41">
        <f>VLOOKUP(E410,'Dataset-1'!E411:Q1021,2,)</f>
        <v>0</v>
      </c>
      <c r="G410" s="71" t="str">
        <f>VLOOKUP(F410,'Dataset-1'!F411:R1021,2,)</f>
        <v>Night</v>
      </c>
      <c r="H410" s="41" t="b">
        <f>VLOOKUP(G410,'Dataset-1'!G411:S1021,2,)</f>
        <v>0</v>
      </c>
      <c r="I410" s="41">
        <f>VLOOKUP(H410,'Dataset-1'!H411:T1021,2,)</f>
        <v>3</v>
      </c>
      <c r="J410" s="71" t="str">
        <f>VLOOKUP(I410,'Dataset-1'!I411:U1021,2,)</f>
        <v>Tuesday</v>
      </c>
      <c r="K410" s="41">
        <f>VLOOKUP(J410,'Dataset-1'!J411:V1021,2,)</f>
        <v>2</v>
      </c>
      <c r="L410" s="41">
        <f>VLOOKUP(K410,'Dataset-1'!K411:W1021,2,)</f>
        <v>0.22</v>
      </c>
      <c r="M410" s="71" t="str">
        <f>VLOOKUP(L410,'Dataset-1'!L411:X1021,2,)</f>
        <v>Cloudy</v>
      </c>
      <c r="N410" s="41">
        <f>VLOOKUP(A410,'Dataset-2'!B411:H1021,2,)</f>
        <v>0.2727</v>
      </c>
      <c r="O410" s="41">
        <f>VLOOKUP(N410,'Dataset-2'!C411:I1021,2,)</f>
        <v>0.93</v>
      </c>
      <c r="P410" s="41">
        <f>VLOOKUP(O410,'Dataset-2'!D411:J1021,2,)</f>
        <v>0</v>
      </c>
      <c r="Q410" s="41">
        <f>VLOOKUP(P410,'Dataset-2'!E411:K1021,2,)</f>
        <v>0</v>
      </c>
      <c r="R410" s="41">
        <f>VLOOKUP(Q410,'Dataset-2'!F411:L1021,2,)</f>
        <v>3</v>
      </c>
      <c r="S410" s="41">
        <f>VLOOKUP(R410,'Dataset-2'!G411:M1021,2,)</f>
        <v>3</v>
      </c>
    </row>
    <row r="411" spans="1:19" x14ac:dyDescent="0.35">
      <c r="A411" s="40">
        <v>410</v>
      </c>
      <c r="B411" s="62">
        <f>VLOOKUP(A411,'Dataset-1'!A412:M1022,2,)</f>
        <v>40562</v>
      </c>
      <c r="C411" s="41">
        <f>VLOOKUP(B411,'Dataset-1'!B412:N1022,2,)</f>
        <v>1</v>
      </c>
      <c r="D411" s="41">
        <f>VLOOKUP(C411,'Dataset-1'!C412:O1022,2,)</f>
        <v>0</v>
      </c>
      <c r="E411" s="41">
        <f>VLOOKUP(D411,'Dataset-1'!D412:P1022,2,)</f>
        <v>1</v>
      </c>
      <c r="F411" s="41">
        <f>VLOOKUP(E411,'Dataset-1'!E412:Q1022,2,)</f>
        <v>1</v>
      </c>
      <c r="G411" s="71" t="str">
        <f>VLOOKUP(F411,'Dataset-1'!F412:R1022,2,)</f>
        <v>Night</v>
      </c>
      <c r="H411" s="41" t="b">
        <f>VLOOKUP(G411,'Dataset-1'!G412:S1022,2,)</f>
        <v>0</v>
      </c>
      <c r="I411" s="41">
        <f>VLOOKUP(H411,'Dataset-1'!H412:T1022,2,)</f>
        <v>3</v>
      </c>
      <c r="J411" s="71" t="str">
        <f>VLOOKUP(I411,'Dataset-1'!I412:U1022,2,)</f>
        <v>Tuesday</v>
      </c>
      <c r="K411" s="41">
        <f>VLOOKUP(J411,'Dataset-1'!J412:V1022,2,)</f>
        <v>3</v>
      </c>
      <c r="L411" s="41">
        <f>VLOOKUP(K411,'Dataset-1'!K412:W1022,2,)</f>
        <v>0.22</v>
      </c>
      <c r="M411" s="71" t="str">
        <f>VLOOKUP(L411,'Dataset-1'!L412:X1022,2,)</f>
        <v>Cloudy</v>
      </c>
      <c r="N411" s="41">
        <f>VLOOKUP(A411,'Dataset-2'!B412:H1022,2,)</f>
        <v>0.2273</v>
      </c>
      <c r="O411" s="41">
        <f>VLOOKUP(N411,'Dataset-2'!C412:I1022,2,)</f>
        <v>0.93</v>
      </c>
      <c r="P411" s="41">
        <f>VLOOKUP(O411,'Dataset-2'!D412:J1022,2,)</f>
        <v>0.1343</v>
      </c>
      <c r="Q411" s="41">
        <f>VLOOKUP(P411,'Dataset-2'!E412:K1022,2,)</f>
        <v>1</v>
      </c>
      <c r="R411" s="41">
        <f>VLOOKUP(Q411,'Dataset-2'!F412:L1022,2,)</f>
        <v>6</v>
      </c>
      <c r="S411" s="41">
        <f>VLOOKUP(R411,'Dataset-2'!G412:M1022,2,)</f>
        <v>7</v>
      </c>
    </row>
    <row r="412" spans="1:19" x14ac:dyDescent="0.35">
      <c r="A412" s="40">
        <v>411</v>
      </c>
      <c r="B412" s="62">
        <f>VLOOKUP(A412,'Dataset-1'!A413:M1023,2,)</f>
        <v>40562</v>
      </c>
      <c r="C412" s="41">
        <f>VLOOKUP(B412,'Dataset-1'!B413:N1023,2,)</f>
        <v>1</v>
      </c>
      <c r="D412" s="41">
        <f>VLOOKUP(C412,'Dataset-1'!C413:O1023,2,)</f>
        <v>0</v>
      </c>
      <c r="E412" s="41">
        <f>VLOOKUP(D412,'Dataset-1'!D413:P1023,2,)</f>
        <v>1</v>
      </c>
      <c r="F412" s="41">
        <f>VLOOKUP(E412,'Dataset-1'!E413:Q1023,2,)</f>
        <v>2</v>
      </c>
      <c r="G412" s="71" t="str">
        <f>VLOOKUP(F412,'Dataset-1'!F413:R1023,2,)</f>
        <v>Night</v>
      </c>
      <c r="H412" s="41" t="b">
        <f>VLOOKUP(G412,'Dataset-1'!G413:S1023,2,)</f>
        <v>0</v>
      </c>
      <c r="I412" s="41">
        <f>VLOOKUP(H412,'Dataset-1'!H413:T1023,2,)</f>
        <v>3</v>
      </c>
      <c r="J412" s="71" t="str">
        <f>VLOOKUP(I412,'Dataset-1'!I413:U1023,2,)</f>
        <v>Tuesday</v>
      </c>
      <c r="K412" s="41">
        <f>VLOOKUP(J412,'Dataset-1'!J413:V1023,2,)</f>
        <v>3</v>
      </c>
      <c r="L412" s="41">
        <f>VLOOKUP(K412,'Dataset-1'!K413:W1023,2,)</f>
        <v>0.22</v>
      </c>
      <c r="M412" s="71" t="str">
        <f>VLOOKUP(L412,'Dataset-1'!L413:X1023,2,)</f>
        <v>Cloudy</v>
      </c>
      <c r="N412" s="41">
        <f>VLOOKUP(A412,'Dataset-2'!B413:H1023,2,)</f>
        <v>0.2273</v>
      </c>
      <c r="O412" s="41">
        <f>VLOOKUP(N412,'Dataset-2'!C413:I1023,2,)</f>
        <v>0.93</v>
      </c>
      <c r="P412" s="41">
        <f>VLOOKUP(O412,'Dataset-2'!D413:J1023,2,)</f>
        <v>0.1343</v>
      </c>
      <c r="Q412" s="41">
        <f>VLOOKUP(P412,'Dataset-2'!E413:K1023,2,)</f>
        <v>0</v>
      </c>
      <c r="R412" s="41">
        <f>VLOOKUP(Q412,'Dataset-2'!F413:L1023,2,)</f>
        <v>3</v>
      </c>
      <c r="S412" s="41">
        <f>VLOOKUP(R412,'Dataset-2'!G413:M1023,2,)</f>
        <v>3</v>
      </c>
    </row>
    <row r="413" spans="1:19" x14ac:dyDescent="0.35">
      <c r="A413" s="40">
        <v>412</v>
      </c>
      <c r="B413" s="62">
        <f>VLOOKUP(A413,'Dataset-1'!A414:M1024,2,)</f>
        <v>40562</v>
      </c>
      <c r="C413" s="41">
        <f>VLOOKUP(B413,'Dataset-1'!B414:N1024,2,)</f>
        <v>1</v>
      </c>
      <c r="D413" s="41">
        <f>VLOOKUP(C413,'Dataset-1'!C414:O1024,2,)</f>
        <v>0</v>
      </c>
      <c r="E413" s="41">
        <f>VLOOKUP(D413,'Dataset-1'!D414:P1024,2,)</f>
        <v>1</v>
      </c>
      <c r="F413" s="41">
        <f>VLOOKUP(E413,'Dataset-1'!E414:Q1024,2,)</f>
        <v>4</v>
      </c>
      <c r="G413" s="71" t="str">
        <f>VLOOKUP(F413,'Dataset-1'!F414:R1024,2,)</f>
        <v>Night</v>
      </c>
      <c r="H413" s="41" t="b">
        <f>VLOOKUP(G413,'Dataset-1'!G414:S1024,2,)</f>
        <v>0</v>
      </c>
      <c r="I413" s="41">
        <f>VLOOKUP(H413,'Dataset-1'!H414:T1024,2,)</f>
        <v>3</v>
      </c>
      <c r="J413" s="71" t="str">
        <f>VLOOKUP(I413,'Dataset-1'!I414:U1024,2,)</f>
        <v>Tuesday</v>
      </c>
      <c r="K413" s="41">
        <f>VLOOKUP(J413,'Dataset-1'!J414:V1024,2,)</f>
        <v>3</v>
      </c>
      <c r="L413" s="41">
        <f>VLOOKUP(K413,'Dataset-1'!K414:W1024,2,)</f>
        <v>0.22</v>
      </c>
      <c r="M413" s="71" t="str">
        <f>VLOOKUP(L413,'Dataset-1'!L414:X1024,2,)</f>
        <v>Cloudy</v>
      </c>
      <c r="N413" s="41">
        <f>VLOOKUP(A413,'Dataset-2'!B414:H1024,2,)</f>
        <v>0.2273</v>
      </c>
      <c r="O413" s="41">
        <f>VLOOKUP(N413,'Dataset-2'!C414:I1024,2,)</f>
        <v>0.93</v>
      </c>
      <c r="P413" s="41">
        <f>VLOOKUP(O413,'Dataset-2'!D414:J1024,2,)</f>
        <v>0.1343</v>
      </c>
      <c r="Q413" s="41">
        <f>VLOOKUP(P413,'Dataset-2'!E414:K1024,2,)</f>
        <v>1</v>
      </c>
      <c r="R413" s="41">
        <f>VLOOKUP(Q413,'Dataset-2'!F414:L1024,2,)</f>
        <v>1</v>
      </c>
      <c r="S413" s="41">
        <f>VLOOKUP(R413,'Dataset-2'!G414:M1024,2,)</f>
        <v>2</v>
      </c>
    </row>
    <row r="414" spans="1:19" x14ac:dyDescent="0.35">
      <c r="A414" s="40">
        <v>413</v>
      </c>
      <c r="B414" s="62">
        <f>VLOOKUP(A414,'Dataset-1'!A415:M1025,2,)</f>
        <v>40562</v>
      </c>
      <c r="C414" s="41">
        <f>VLOOKUP(B414,'Dataset-1'!B415:N1025,2,)</f>
        <v>1</v>
      </c>
      <c r="D414" s="41">
        <f>VLOOKUP(C414,'Dataset-1'!C415:O1025,2,)</f>
        <v>0</v>
      </c>
      <c r="E414" s="41">
        <f>VLOOKUP(D414,'Dataset-1'!D415:P1025,2,)</f>
        <v>1</v>
      </c>
      <c r="F414" s="41">
        <f>VLOOKUP(E414,'Dataset-1'!E415:Q1025,2,)</f>
        <v>5</v>
      </c>
      <c r="G414" s="71" t="str">
        <f>VLOOKUP(F414,'Dataset-1'!F415:R1025,2,)</f>
        <v>Morning</v>
      </c>
      <c r="H414" s="41" t="b">
        <f>VLOOKUP(G414,'Dataset-1'!G415:S1025,2,)</f>
        <v>0</v>
      </c>
      <c r="I414" s="41">
        <f>VLOOKUP(H414,'Dataset-1'!H415:T1025,2,)</f>
        <v>3</v>
      </c>
      <c r="J414" s="71" t="str">
        <f>VLOOKUP(I414,'Dataset-1'!I415:U1025,2,)</f>
        <v>Tuesday</v>
      </c>
      <c r="K414" s="41">
        <f>VLOOKUP(J414,'Dataset-1'!J415:V1025,2,)</f>
        <v>2</v>
      </c>
      <c r="L414" s="41">
        <f>VLOOKUP(K414,'Dataset-1'!K415:W1025,2,)</f>
        <v>0.22</v>
      </c>
      <c r="M414" s="71" t="str">
        <f>VLOOKUP(L414,'Dataset-1'!L415:X1025,2,)</f>
        <v>Cloudy</v>
      </c>
      <c r="N414" s="41">
        <f>VLOOKUP(A414,'Dataset-2'!B415:H1025,2,)</f>
        <v>0.2576</v>
      </c>
      <c r="O414" s="41">
        <f>VLOOKUP(N414,'Dataset-2'!C415:I1025,2,)</f>
        <v>0.93</v>
      </c>
      <c r="P414" s="41">
        <f>VLOOKUP(O414,'Dataset-2'!D415:J1025,2,)</f>
        <v>8.9599999999999999E-2</v>
      </c>
      <c r="Q414" s="41">
        <f>VLOOKUP(P414,'Dataset-2'!E415:K1025,2,)</f>
        <v>0</v>
      </c>
      <c r="R414" s="41">
        <f>VLOOKUP(Q414,'Dataset-2'!F415:L1025,2,)</f>
        <v>7</v>
      </c>
      <c r="S414" s="41">
        <f>VLOOKUP(R414,'Dataset-2'!G415:M1025,2,)</f>
        <v>7</v>
      </c>
    </row>
    <row r="415" spans="1:19" x14ac:dyDescent="0.35">
      <c r="A415" s="40">
        <v>414</v>
      </c>
      <c r="B415" s="62">
        <f>VLOOKUP(A415,'Dataset-1'!A416:M1026,2,)</f>
        <v>40562</v>
      </c>
      <c r="C415" s="41">
        <f>VLOOKUP(B415,'Dataset-1'!B416:N1026,2,)</f>
        <v>1</v>
      </c>
      <c r="D415" s="41">
        <f>VLOOKUP(C415,'Dataset-1'!C416:O1026,2,)</f>
        <v>0</v>
      </c>
      <c r="E415" s="41">
        <f>VLOOKUP(D415,'Dataset-1'!D416:P1026,2,)</f>
        <v>1</v>
      </c>
      <c r="F415" s="41">
        <f>VLOOKUP(E415,'Dataset-1'!E416:Q1026,2,)</f>
        <v>6</v>
      </c>
      <c r="G415" s="71" t="str">
        <f>VLOOKUP(F415,'Dataset-1'!F416:R1026,2,)</f>
        <v>Morning</v>
      </c>
      <c r="H415" s="41" t="b">
        <f>VLOOKUP(G415,'Dataset-1'!G416:S1026,2,)</f>
        <v>0</v>
      </c>
      <c r="I415" s="41">
        <f>VLOOKUP(H415,'Dataset-1'!H416:T1026,2,)</f>
        <v>3</v>
      </c>
      <c r="J415" s="71" t="str">
        <f>VLOOKUP(I415,'Dataset-1'!I416:U1026,2,)</f>
        <v>Tuesday</v>
      </c>
      <c r="K415" s="41">
        <f>VLOOKUP(J415,'Dataset-1'!J416:V1026,2,)</f>
        <v>2</v>
      </c>
      <c r="L415" s="41">
        <f>VLOOKUP(K415,'Dataset-1'!K416:W1026,2,)</f>
        <v>0.22</v>
      </c>
      <c r="M415" s="71" t="str">
        <f>VLOOKUP(L415,'Dataset-1'!L416:X1026,2,)</f>
        <v>Cloudy</v>
      </c>
      <c r="N415" s="41">
        <f>VLOOKUP(A415,'Dataset-2'!B416:H1026,2,)</f>
        <v>0.2576</v>
      </c>
      <c r="O415" s="41">
        <f>VLOOKUP(N415,'Dataset-2'!C416:I1026,2,)</f>
        <v>0.93</v>
      </c>
      <c r="P415" s="41">
        <f>VLOOKUP(O415,'Dataset-2'!D416:J1026,2,)</f>
        <v>8.9599999999999999E-2</v>
      </c>
      <c r="Q415" s="41">
        <f>VLOOKUP(P415,'Dataset-2'!E416:K1026,2,)</f>
        <v>0</v>
      </c>
      <c r="R415" s="41">
        <f>VLOOKUP(Q415,'Dataset-2'!F416:L1026,2,)</f>
        <v>32</v>
      </c>
      <c r="S415" s="41">
        <f>VLOOKUP(R415,'Dataset-2'!G416:M1026,2,)</f>
        <v>32</v>
      </c>
    </row>
    <row r="416" spans="1:19" x14ac:dyDescent="0.35">
      <c r="A416" s="40">
        <v>415</v>
      </c>
      <c r="B416" s="62">
        <f>VLOOKUP(A416,'Dataset-1'!A417:M1027,2,)</f>
        <v>40562</v>
      </c>
      <c r="C416" s="41">
        <f>VLOOKUP(B416,'Dataset-1'!B417:N1027,2,)</f>
        <v>1</v>
      </c>
      <c r="D416" s="41">
        <f>VLOOKUP(C416,'Dataset-1'!C417:O1027,2,)</f>
        <v>0</v>
      </c>
      <c r="E416" s="41">
        <f>VLOOKUP(D416,'Dataset-1'!D417:P1027,2,)</f>
        <v>1</v>
      </c>
      <c r="F416" s="41">
        <f>VLOOKUP(E416,'Dataset-1'!E417:Q1027,2,)</f>
        <v>7</v>
      </c>
      <c r="G416" s="71" t="str">
        <f>VLOOKUP(F416,'Dataset-1'!F417:R1027,2,)</f>
        <v>Morning</v>
      </c>
      <c r="H416" s="41" t="b">
        <f>VLOOKUP(G416,'Dataset-1'!G417:S1027,2,)</f>
        <v>0</v>
      </c>
      <c r="I416" s="41">
        <f>VLOOKUP(H416,'Dataset-1'!H417:T1027,2,)</f>
        <v>3</v>
      </c>
      <c r="J416" s="71" t="str">
        <f>VLOOKUP(I416,'Dataset-1'!I417:U1027,2,)</f>
        <v>Tuesday</v>
      </c>
      <c r="K416" s="41">
        <f>VLOOKUP(J416,'Dataset-1'!J417:V1027,2,)</f>
        <v>2</v>
      </c>
      <c r="L416" s="41">
        <f>VLOOKUP(K416,'Dataset-1'!K417:W1027,2,)</f>
        <v>0.24</v>
      </c>
      <c r="M416" s="71" t="str">
        <f>VLOOKUP(L416,'Dataset-1'!L417:X1027,2,)</f>
        <v>Cloudy</v>
      </c>
      <c r="N416" s="41">
        <f>VLOOKUP(A416,'Dataset-2'!B417:H1027,2,)</f>
        <v>0.2576</v>
      </c>
      <c r="O416" s="41">
        <f>VLOOKUP(N416,'Dataset-2'!C417:I1027,2,)</f>
        <v>0.92</v>
      </c>
      <c r="P416" s="41">
        <f>VLOOKUP(O416,'Dataset-2'!D417:J1027,2,)</f>
        <v>0.1045</v>
      </c>
      <c r="Q416" s="41">
        <f>VLOOKUP(P416,'Dataset-2'!E417:K1027,2,)</f>
        <v>1</v>
      </c>
      <c r="R416" s="41">
        <f>VLOOKUP(Q416,'Dataset-2'!F417:L1027,2,)</f>
        <v>89</v>
      </c>
      <c r="S416" s="41">
        <f>VLOOKUP(R416,'Dataset-2'!G417:M1027,2,)</f>
        <v>90</v>
      </c>
    </row>
    <row r="417" spans="1:19" x14ac:dyDescent="0.35">
      <c r="A417" s="40">
        <v>416</v>
      </c>
      <c r="B417" s="62">
        <f>VLOOKUP(A417,'Dataset-1'!A418:M1028,2,)</f>
        <v>40562</v>
      </c>
      <c r="C417" s="41">
        <f>VLOOKUP(B417,'Dataset-1'!B418:N1028,2,)</f>
        <v>1</v>
      </c>
      <c r="D417" s="41">
        <f>VLOOKUP(C417,'Dataset-1'!C418:O1028,2,)</f>
        <v>0</v>
      </c>
      <c r="E417" s="41">
        <f>VLOOKUP(D417,'Dataset-1'!D418:P1028,2,)</f>
        <v>1</v>
      </c>
      <c r="F417" s="41">
        <f>VLOOKUP(E417,'Dataset-1'!E418:Q1028,2,)</f>
        <v>8</v>
      </c>
      <c r="G417" s="71" t="str">
        <f>VLOOKUP(F417,'Dataset-1'!F418:R1028,2,)</f>
        <v>Morning</v>
      </c>
      <c r="H417" s="41" t="b">
        <f>VLOOKUP(G417,'Dataset-1'!G418:S1028,2,)</f>
        <v>0</v>
      </c>
      <c r="I417" s="41">
        <f>VLOOKUP(H417,'Dataset-1'!H418:T1028,2,)</f>
        <v>3</v>
      </c>
      <c r="J417" s="71" t="str">
        <f>VLOOKUP(I417,'Dataset-1'!I418:U1028,2,)</f>
        <v>Tuesday</v>
      </c>
      <c r="K417" s="41">
        <f>VLOOKUP(J417,'Dataset-1'!J418:V1028,2,)</f>
        <v>2</v>
      </c>
      <c r="L417" s="41">
        <f>VLOOKUP(K417,'Dataset-1'!K418:W1028,2,)</f>
        <v>0.24</v>
      </c>
      <c r="M417" s="71" t="str">
        <f>VLOOKUP(L417,'Dataset-1'!L418:X1028,2,)</f>
        <v>Cloudy</v>
      </c>
      <c r="N417" s="41">
        <f>VLOOKUP(A417,'Dataset-2'!B418:H1028,2,)</f>
        <v>0.2576</v>
      </c>
      <c r="O417" s="41">
        <f>VLOOKUP(N417,'Dataset-2'!C418:I1028,2,)</f>
        <v>0.93</v>
      </c>
      <c r="P417" s="41">
        <f>VLOOKUP(O417,'Dataset-2'!D418:J1028,2,)</f>
        <v>0.1045</v>
      </c>
      <c r="Q417" s="41">
        <f>VLOOKUP(P417,'Dataset-2'!E418:K1028,2,)</f>
        <v>1</v>
      </c>
      <c r="R417" s="41">
        <f>VLOOKUP(Q417,'Dataset-2'!F418:L1028,2,)</f>
        <v>196</v>
      </c>
      <c r="S417" s="41">
        <f>VLOOKUP(R417,'Dataset-2'!G418:M1028,2,)</f>
        <v>197</v>
      </c>
    </row>
    <row r="418" spans="1:19" x14ac:dyDescent="0.35">
      <c r="A418" s="40">
        <v>417</v>
      </c>
      <c r="B418" s="62">
        <f>VLOOKUP(A418,'Dataset-1'!A419:M1029,2,)</f>
        <v>40562</v>
      </c>
      <c r="C418" s="41">
        <f>VLOOKUP(B418,'Dataset-1'!B419:N1029,2,)</f>
        <v>1</v>
      </c>
      <c r="D418" s="41">
        <f>VLOOKUP(C418,'Dataset-1'!C419:O1029,2,)</f>
        <v>0</v>
      </c>
      <c r="E418" s="41">
        <f>VLOOKUP(D418,'Dataset-1'!D419:P1029,2,)</f>
        <v>1</v>
      </c>
      <c r="F418" s="41">
        <f>VLOOKUP(E418,'Dataset-1'!E419:Q1029,2,)</f>
        <v>9</v>
      </c>
      <c r="G418" s="71" t="str">
        <f>VLOOKUP(F418,'Dataset-1'!F419:R1029,2,)</f>
        <v>Morning</v>
      </c>
      <c r="H418" s="41" t="b">
        <f>VLOOKUP(G418,'Dataset-1'!G419:S1029,2,)</f>
        <v>0</v>
      </c>
      <c r="I418" s="41">
        <f>VLOOKUP(H418,'Dataset-1'!H419:T1029,2,)</f>
        <v>3</v>
      </c>
      <c r="J418" s="71" t="str">
        <f>VLOOKUP(I418,'Dataset-1'!I419:U1029,2,)</f>
        <v>Tuesday</v>
      </c>
      <c r="K418" s="41">
        <f>VLOOKUP(J418,'Dataset-1'!J419:V1029,2,)</f>
        <v>2</v>
      </c>
      <c r="L418" s="41">
        <f>VLOOKUP(K418,'Dataset-1'!K419:W1029,2,)</f>
        <v>0.24</v>
      </c>
      <c r="M418" s="71" t="str">
        <f>VLOOKUP(L418,'Dataset-1'!L419:X1029,2,)</f>
        <v>Cloudy</v>
      </c>
      <c r="N418" s="41">
        <f>VLOOKUP(A418,'Dataset-2'!B419:H1029,2,)</f>
        <v>0.2576</v>
      </c>
      <c r="O418" s="41">
        <f>VLOOKUP(N418,'Dataset-2'!C419:I1029,2,)</f>
        <v>0.93</v>
      </c>
      <c r="P418" s="41">
        <f>VLOOKUP(O418,'Dataset-2'!D419:J1029,2,)</f>
        <v>0.1045</v>
      </c>
      <c r="Q418" s="41">
        <f>VLOOKUP(P418,'Dataset-2'!E419:K1029,2,)</f>
        <v>2</v>
      </c>
      <c r="R418" s="41">
        <f>VLOOKUP(Q418,'Dataset-2'!F419:L1029,2,)</f>
        <v>107</v>
      </c>
      <c r="S418" s="41">
        <f>VLOOKUP(R418,'Dataset-2'!G419:M1029,2,)</f>
        <v>109</v>
      </c>
    </row>
    <row r="419" spans="1:19" x14ac:dyDescent="0.35">
      <c r="A419" s="40">
        <v>418</v>
      </c>
      <c r="B419" s="62">
        <f>VLOOKUP(A419,'Dataset-1'!A420:M1030,2,)</f>
        <v>40562</v>
      </c>
      <c r="C419" s="41">
        <f>VLOOKUP(B419,'Dataset-1'!B420:N1030,2,)</f>
        <v>1</v>
      </c>
      <c r="D419" s="41">
        <f>VLOOKUP(C419,'Dataset-1'!C420:O1030,2,)</f>
        <v>0</v>
      </c>
      <c r="E419" s="41">
        <f>VLOOKUP(D419,'Dataset-1'!D420:P1030,2,)</f>
        <v>1</v>
      </c>
      <c r="F419" s="41">
        <f>VLOOKUP(E419,'Dataset-1'!E420:Q1030,2,)</f>
        <v>10</v>
      </c>
      <c r="G419" s="71" t="str">
        <f>VLOOKUP(F419,'Dataset-1'!F420:R1030,2,)</f>
        <v>Morning</v>
      </c>
      <c r="H419" s="41" t="b">
        <f>VLOOKUP(G419,'Dataset-1'!G420:S1030,2,)</f>
        <v>0</v>
      </c>
      <c r="I419" s="41">
        <f>VLOOKUP(H419,'Dataset-1'!H420:T1030,2,)</f>
        <v>3</v>
      </c>
      <c r="J419" s="71" t="str">
        <f>VLOOKUP(I419,'Dataset-1'!I420:U1030,2,)</f>
        <v>Tuesday</v>
      </c>
      <c r="K419" s="41">
        <f>VLOOKUP(J419,'Dataset-1'!J420:V1030,2,)</f>
        <v>2</v>
      </c>
      <c r="L419" s="41">
        <f>VLOOKUP(K419,'Dataset-1'!K420:W1030,2,)</f>
        <v>0.26</v>
      </c>
      <c r="M419" s="71" t="str">
        <f>VLOOKUP(L419,'Dataset-1'!L420:X1030,2,)</f>
        <v>Cloudy</v>
      </c>
      <c r="N419" s="41">
        <f>VLOOKUP(A419,'Dataset-2'!B420:H1030,2,)</f>
        <v>0.2727</v>
      </c>
      <c r="O419" s="41">
        <f>VLOOKUP(N419,'Dataset-2'!C420:I1030,2,)</f>
        <v>0.93</v>
      </c>
      <c r="P419" s="41">
        <f>VLOOKUP(O419,'Dataset-2'!D420:J1030,2,)</f>
        <v>0.1343</v>
      </c>
      <c r="Q419" s="41">
        <f>VLOOKUP(P419,'Dataset-2'!E420:K1030,2,)</f>
        <v>1</v>
      </c>
      <c r="R419" s="41">
        <f>VLOOKUP(Q419,'Dataset-2'!F420:L1030,2,)</f>
        <v>46</v>
      </c>
      <c r="S419" s="41">
        <f>VLOOKUP(R419,'Dataset-2'!G420:M1030,2,)</f>
        <v>47</v>
      </c>
    </row>
    <row r="420" spans="1:19" x14ac:dyDescent="0.35">
      <c r="A420" s="40">
        <v>419</v>
      </c>
      <c r="B420" s="62">
        <f>VLOOKUP(A420,'Dataset-1'!A421:M1031,2,)</f>
        <v>40562</v>
      </c>
      <c r="C420" s="41">
        <f>VLOOKUP(B420,'Dataset-1'!B421:N1031,2,)</f>
        <v>1</v>
      </c>
      <c r="D420" s="41">
        <f>VLOOKUP(C420,'Dataset-1'!C421:O1031,2,)</f>
        <v>0</v>
      </c>
      <c r="E420" s="41">
        <f>VLOOKUP(D420,'Dataset-1'!D421:P1031,2,)</f>
        <v>1</v>
      </c>
      <c r="F420" s="41">
        <f>VLOOKUP(E420,'Dataset-1'!E421:Q1031,2,)</f>
        <v>11</v>
      </c>
      <c r="G420" s="71" t="str">
        <f>VLOOKUP(F420,'Dataset-1'!F421:R1031,2,)</f>
        <v>Morning</v>
      </c>
      <c r="H420" s="41" t="b">
        <f>VLOOKUP(G420,'Dataset-1'!G421:S1031,2,)</f>
        <v>0</v>
      </c>
      <c r="I420" s="41">
        <f>VLOOKUP(H420,'Dataset-1'!H421:T1031,2,)</f>
        <v>3</v>
      </c>
      <c r="J420" s="71" t="str">
        <f>VLOOKUP(I420,'Dataset-1'!I421:U1031,2,)</f>
        <v>Tuesday</v>
      </c>
      <c r="K420" s="41">
        <f>VLOOKUP(J420,'Dataset-1'!J421:V1031,2,)</f>
        <v>2</v>
      </c>
      <c r="L420" s="41">
        <f>VLOOKUP(K420,'Dataset-1'!K421:W1031,2,)</f>
        <v>0.28000000000000003</v>
      </c>
      <c r="M420" s="71" t="str">
        <f>VLOOKUP(L420,'Dataset-1'!L421:X1031,2,)</f>
        <v>Cloudy</v>
      </c>
      <c r="N420" s="41">
        <f>VLOOKUP(A420,'Dataset-2'!B421:H1031,2,)</f>
        <v>0.30299999999999999</v>
      </c>
      <c r="O420" s="41">
        <f>VLOOKUP(N420,'Dataset-2'!C421:I1031,2,)</f>
        <v>0.87</v>
      </c>
      <c r="P420" s="41">
        <f>VLOOKUP(O420,'Dataset-2'!D421:J1031,2,)</f>
        <v>8.9599999999999999E-2</v>
      </c>
      <c r="Q420" s="41">
        <f>VLOOKUP(P420,'Dataset-2'!E421:K1031,2,)</f>
        <v>5</v>
      </c>
      <c r="R420" s="41">
        <f>VLOOKUP(Q420,'Dataset-2'!F421:L1031,2,)</f>
        <v>47</v>
      </c>
      <c r="S420" s="41">
        <f>VLOOKUP(R420,'Dataset-2'!G421:M1031,2,)</f>
        <v>52</v>
      </c>
    </row>
    <row r="421" spans="1:19" x14ac:dyDescent="0.35">
      <c r="A421" s="40">
        <v>420</v>
      </c>
      <c r="B421" s="62">
        <f>VLOOKUP(A421,'Dataset-1'!A422:M1032,2,)</f>
        <v>40562</v>
      </c>
      <c r="C421" s="41">
        <f>VLOOKUP(B421,'Dataset-1'!B422:N1032,2,)</f>
        <v>1</v>
      </c>
      <c r="D421" s="41">
        <f>VLOOKUP(C421,'Dataset-1'!C422:O1032,2,)</f>
        <v>0</v>
      </c>
      <c r="E421" s="41">
        <f>VLOOKUP(D421,'Dataset-1'!D422:P1032,2,)</f>
        <v>1</v>
      </c>
      <c r="F421" s="41">
        <f>VLOOKUP(E421,'Dataset-1'!E422:Q1032,2,)</f>
        <v>12</v>
      </c>
      <c r="G421" s="71" t="str">
        <f>VLOOKUP(F421,'Dataset-1'!F422:R1032,2,)</f>
        <v>AfterNoon</v>
      </c>
      <c r="H421" s="41" t="b">
        <f>VLOOKUP(G421,'Dataset-1'!G422:S1032,2,)</f>
        <v>0</v>
      </c>
      <c r="I421" s="41">
        <f>VLOOKUP(H421,'Dataset-1'!H422:T1032,2,)</f>
        <v>3</v>
      </c>
      <c r="J421" s="71" t="str">
        <f>VLOOKUP(I421,'Dataset-1'!I422:U1032,2,)</f>
        <v>Tuesday</v>
      </c>
      <c r="K421" s="41">
        <f>VLOOKUP(J421,'Dataset-1'!J422:V1032,2,)</f>
        <v>2</v>
      </c>
      <c r="L421" s="41">
        <f>VLOOKUP(K421,'Dataset-1'!K422:W1032,2,)</f>
        <v>0.3</v>
      </c>
      <c r="M421" s="71" t="str">
        <f>VLOOKUP(L421,'Dataset-1'!L422:X1032,2,)</f>
        <v>Cloudy</v>
      </c>
      <c r="N421" s="41">
        <f>VLOOKUP(A421,'Dataset-2'!B422:H1032,2,)</f>
        <v>0.31819999999999998</v>
      </c>
      <c r="O421" s="41">
        <f>VLOOKUP(N421,'Dataset-2'!C422:I1032,2,)</f>
        <v>0.81</v>
      </c>
      <c r="P421" s="41">
        <f>VLOOKUP(O421,'Dataset-2'!D422:J1032,2,)</f>
        <v>8.9599999999999999E-2</v>
      </c>
      <c r="Q421" s="41">
        <f>VLOOKUP(P421,'Dataset-2'!E422:K1032,2,)</f>
        <v>5</v>
      </c>
      <c r="R421" s="41">
        <f>VLOOKUP(Q421,'Dataset-2'!F422:L1032,2,)</f>
        <v>65</v>
      </c>
      <c r="S421" s="41">
        <f>VLOOKUP(R421,'Dataset-2'!G422:M1032,2,)</f>
        <v>70</v>
      </c>
    </row>
    <row r="422" spans="1:19" x14ac:dyDescent="0.35">
      <c r="A422" s="40">
        <v>421</v>
      </c>
      <c r="B422" s="62">
        <f>VLOOKUP(A422,'Dataset-1'!A423:M1033,2,)</f>
        <v>40562</v>
      </c>
      <c r="C422" s="41">
        <f>VLOOKUP(B422,'Dataset-1'!B423:N1033,2,)</f>
        <v>1</v>
      </c>
      <c r="D422" s="41">
        <f>VLOOKUP(C422,'Dataset-1'!C423:O1033,2,)</f>
        <v>0</v>
      </c>
      <c r="E422" s="41">
        <f>VLOOKUP(D422,'Dataset-1'!D423:P1033,2,)</f>
        <v>1</v>
      </c>
      <c r="F422" s="41">
        <f>VLOOKUP(E422,'Dataset-1'!E423:Q1033,2,)</f>
        <v>13</v>
      </c>
      <c r="G422" s="71" t="str">
        <f>VLOOKUP(F422,'Dataset-1'!F423:R1033,2,)</f>
        <v>AfterNoon</v>
      </c>
      <c r="H422" s="41" t="b">
        <f>VLOOKUP(G422,'Dataset-1'!G423:S1033,2,)</f>
        <v>0</v>
      </c>
      <c r="I422" s="41">
        <f>VLOOKUP(H422,'Dataset-1'!H423:T1033,2,)</f>
        <v>3</v>
      </c>
      <c r="J422" s="71" t="str">
        <f>VLOOKUP(I422,'Dataset-1'!I423:U1033,2,)</f>
        <v>Tuesday</v>
      </c>
      <c r="K422" s="41">
        <f>VLOOKUP(J422,'Dataset-1'!J423:V1033,2,)</f>
        <v>1</v>
      </c>
      <c r="L422" s="41">
        <f>VLOOKUP(K422,'Dataset-1'!K423:W1033,2,)</f>
        <v>0.4</v>
      </c>
      <c r="M422" s="71" t="str">
        <f>VLOOKUP(L422,'Dataset-1'!L423:X1033,2,)</f>
        <v>Sunny</v>
      </c>
      <c r="N422" s="41">
        <f>VLOOKUP(A422,'Dataset-2'!B423:H1033,2,)</f>
        <v>0.40910000000000002</v>
      </c>
      <c r="O422" s="41">
        <f>VLOOKUP(N422,'Dataset-2'!C423:I1033,2,)</f>
        <v>0.62</v>
      </c>
      <c r="P422" s="41">
        <f>VLOOKUP(O422,'Dataset-2'!D423:J1033,2,)</f>
        <v>0.28360000000000002</v>
      </c>
      <c r="Q422" s="41">
        <f>VLOOKUP(P422,'Dataset-2'!E423:K1033,2,)</f>
        <v>11</v>
      </c>
      <c r="R422" s="41">
        <f>VLOOKUP(Q422,'Dataset-2'!F423:L1033,2,)</f>
        <v>67</v>
      </c>
      <c r="S422" s="41">
        <f>VLOOKUP(R422,'Dataset-2'!G423:M1033,2,)</f>
        <v>78</v>
      </c>
    </row>
    <row r="423" spans="1:19" x14ac:dyDescent="0.35">
      <c r="A423" s="40">
        <v>422</v>
      </c>
      <c r="B423" s="62">
        <f>VLOOKUP(A423,'Dataset-1'!A424:M1034,2,)</f>
        <v>40562</v>
      </c>
      <c r="C423" s="41">
        <f>VLOOKUP(B423,'Dataset-1'!B424:N1034,2,)</f>
        <v>1</v>
      </c>
      <c r="D423" s="41">
        <f>VLOOKUP(C423,'Dataset-1'!C424:O1034,2,)</f>
        <v>0</v>
      </c>
      <c r="E423" s="41">
        <f>VLOOKUP(D423,'Dataset-1'!D424:P1034,2,)</f>
        <v>1</v>
      </c>
      <c r="F423" s="41">
        <f>VLOOKUP(E423,'Dataset-1'!E424:Q1034,2,)</f>
        <v>14</v>
      </c>
      <c r="G423" s="71" t="str">
        <f>VLOOKUP(F423,'Dataset-1'!F424:R1034,2,)</f>
        <v>AfterNoon</v>
      </c>
      <c r="H423" s="41" t="b">
        <f>VLOOKUP(G423,'Dataset-1'!G424:S1034,2,)</f>
        <v>0</v>
      </c>
      <c r="I423" s="41">
        <f>VLOOKUP(H423,'Dataset-1'!H424:T1034,2,)</f>
        <v>3</v>
      </c>
      <c r="J423" s="71" t="str">
        <f>VLOOKUP(I423,'Dataset-1'!I424:U1034,2,)</f>
        <v>Tuesday</v>
      </c>
      <c r="K423" s="41">
        <f>VLOOKUP(J423,'Dataset-1'!J424:V1034,2,)</f>
        <v>1</v>
      </c>
      <c r="L423" s="41">
        <f>VLOOKUP(K423,'Dataset-1'!K424:W1034,2,)</f>
        <v>0.4</v>
      </c>
      <c r="M423" s="71" t="str">
        <f>VLOOKUP(L423,'Dataset-1'!L424:X1034,2,)</f>
        <v>Sunny</v>
      </c>
      <c r="N423" s="41">
        <f>VLOOKUP(A423,'Dataset-2'!B424:H1034,2,)</f>
        <v>0.40910000000000002</v>
      </c>
      <c r="O423" s="41">
        <f>VLOOKUP(N423,'Dataset-2'!C424:I1034,2,)</f>
        <v>0.57999999999999996</v>
      </c>
      <c r="P423" s="41">
        <f>VLOOKUP(O423,'Dataset-2'!D424:J1034,2,)</f>
        <v>0.25369999999999998</v>
      </c>
      <c r="Q423" s="41">
        <f>VLOOKUP(P423,'Dataset-2'!E424:K1034,2,)</f>
        <v>7</v>
      </c>
      <c r="R423" s="41">
        <f>VLOOKUP(Q423,'Dataset-2'!F424:L1034,2,)</f>
        <v>68</v>
      </c>
      <c r="S423" s="41">
        <f>VLOOKUP(R423,'Dataset-2'!G424:M1034,2,)</f>
        <v>75</v>
      </c>
    </row>
    <row r="424" spans="1:19" x14ac:dyDescent="0.35">
      <c r="A424" s="40">
        <v>423</v>
      </c>
      <c r="B424" s="62">
        <f>VLOOKUP(A424,'Dataset-1'!A425:M1035,2,)</f>
        <v>40562</v>
      </c>
      <c r="C424" s="41">
        <f>VLOOKUP(B424,'Dataset-1'!B425:N1035,2,)</f>
        <v>1</v>
      </c>
      <c r="D424" s="41">
        <f>VLOOKUP(C424,'Dataset-1'!C425:O1035,2,)</f>
        <v>0</v>
      </c>
      <c r="E424" s="41">
        <f>VLOOKUP(D424,'Dataset-1'!D425:P1035,2,)</f>
        <v>1</v>
      </c>
      <c r="F424" s="41">
        <f>VLOOKUP(E424,'Dataset-1'!E425:Q1035,2,)</f>
        <v>15</v>
      </c>
      <c r="G424" s="71" t="str">
        <f>VLOOKUP(F424,'Dataset-1'!F425:R1035,2,)</f>
        <v>AfterNoon</v>
      </c>
      <c r="H424" s="41" t="b">
        <f>VLOOKUP(G424,'Dataset-1'!G425:S1035,2,)</f>
        <v>0</v>
      </c>
      <c r="I424" s="41">
        <f>VLOOKUP(H424,'Dataset-1'!H425:T1035,2,)</f>
        <v>3</v>
      </c>
      <c r="J424" s="71" t="str">
        <f>VLOOKUP(I424,'Dataset-1'!I425:U1035,2,)</f>
        <v>Tuesday</v>
      </c>
      <c r="K424" s="41">
        <f>VLOOKUP(J424,'Dataset-1'!J425:V1035,2,)</f>
        <v>1</v>
      </c>
      <c r="L424" s="41">
        <f>VLOOKUP(K424,'Dataset-1'!K425:W1035,2,)</f>
        <v>0.4</v>
      </c>
      <c r="M424" s="71" t="str">
        <f>VLOOKUP(L424,'Dataset-1'!L425:X1035,2,)</f>
        <v>Sunny</v>
      </c>
      <c r="N424" s="41">
        <f>VLOOKUP(A424,'Dataset-2'!B425:H1035,2,)</f>
        <v>0.40910000000000002</v>
      </c>
      <c r="O424" s="41">
        <f>VLOOKUP(N424,'Dataset-2'!C425:I1035,2,)</f>
        <v>0.54</v>
      </c>
      <c r="P424" s="41">
        <f>VLOOKUP(O424,'Dataset-2'!D425:J1035,2,)</f>
        <v>0.28360000000000002</v>
      </c>
      <c r="Q424" s="41">
        <f>VLOOKUP(P424,'Dataset-2'!E425:K1035,2,)</f>
        <v>4</v>
      </c>
      <c r="R424" s="41">
        <f>VLOOKUP(Q424,'Dataset-2'!F425:L1035,2,)</f>
        <v>78</v>
      </c>
      <c r="S424" s="41">
        <f>VLOOKUP(R424,'Dataset-2'!G425:M1035,2,)</f>
        <v>82</v>
      </c>
    </row>
    <row r="425" spans="1:19" x14ac:dyDescent="0.35">
      <c r="A425" s="40">
        <v>424</v>
      </c>
      <c r="B425" s="62">
        <f>VLOOKUP(A425,'Dataset-1'!A426:M1036,2,)</f>
        <v>40562</v>
      </c>
      <c r="C425" s="41">
        <f>VLOOKUP(B425,'Dataset-1'!B426:N1036,2,)</f>
        <v>1</v>
      </c>
      <c r="D425" s="41">
        <f>VLOOKUP(C425,'Dataset-1'!C426:O1036,2,)</f>
        <v>0</v>
      </c>
      <c r="E425" s="41">
        <f>VLOOKUP(D425,'Dataset-1'!D426:P1036,2,)</f>
        <v>1</v>
      </c>
      <c r="F425" s="41">
        <f>VLOOKUP(E425,'Dataset-1'!E426:Q1036,2,)</f>
        <v>16</v>
      </c>
      <c r="G425" s="71" t="str">
        <f>VLOOKUP(F425,'Dataset-1'!F426:R1036,2,)</f>
        <v>AfterNoon</v>
      </c>
      <c r="H425" s="41" t="b">
        <f>VLOOKUP(G425,'Dataset-1'!G426:S1036,2,)</f>
        <v>0</v>
      </c>
      <c r="I425" s="41">
        <f>VLOOKUP(H425,'Dataset-1'!H426:T1036,2,)</f>
        <v>3</v>
      </c>
      <c r="J425" s="71" t="str">
        <f>VLOOKUP(I425,'Dataset-1'!I426:U1036,2,)</f>
        <v>Tuesday</v>
      </c>
      <c r="K425" s="41">
        <f>VLOOKUP(J425,'Dataset-1'!J426:V1036,2,)</f>
        <v>1</v>
      </c>
      <c r="L425" s="41">
        <f>VLOOKUP(K425,'Dataset-1'!K426:W1036,2,)</f>
        <v>0.38</v>
      </c>
      <c r="M425" s="71" t="str">
        <f>VLOOKUP(L425,'Dataset-1'!L426:X1036,2,)</f>
        <v>Sunny</v>
      </c>
      <c r="N425" s="41">
        <f>VLOOKUP(A425,'Dataset-2'!B426:H1036,2,)</f>
        <v>0.39389999999999997</v>
      </c>
      <c r="O425" s="41">
        <f>VLOOKUP(N425,'Dataset-2'!C426:I1036,2,)</f>
        <v>0.57999999999999996</v>
      </c>
      <c r="P425" s="41">
        <f>VLOOKUP(O425,'Dataset-2'!D426:J1036,2,)</f>
        <v>0.3881</v>
      </c>
      <c r="Q425" s="41">
        <f>VLOOKUP(P425,'Dataset-2'!E426:K1036,2,)</f>
        <v>10</v>
      </c>
      <c r="R425" s="41">
        <f>VLOOKUP(Q425,'Dataset-2'!F426:L1036,2,)</f>
        <v>94</v>
      </c>
      <c r="S425" s="41">
        <f>VLOOKUP(R425,'Dataset-2'!G426:M1036,2,)</f>
        <v>104</v>
      </c>
    </row>
    <row r="426" spans="1:19" x14ac:dyDescent="0.35">
      <c r="A426" s="40">
        <v>425</v>
      </c>
      <c r="B426" s="62">
        <f>VLOOKUP(A426,'Dataset-1'!A427:M1037,2,)</f>
        <v>40562</v>
      </c>
      <c r="C426" s="41">
        <f>VLOOKUP(B426,'Dataset-1'!B427:N1037,2,)</f>
        <v>1</v>
      </c>
      <c r="D426" s="41">
        <f>VLOOKUP(C426,'Dataset-1'!C427:O1037,2,)</f>
        <v>0</v>
      </c>
      <c r="E426" s="41">
        <f>VLOOKUP(D426,'Dataset-1'!D427:P1037,2,)</f>
        <v>1</v>
      </c>
      <c r="F426" s="41">
        <f>VLOOKUP(E426,'Dataset-1'!E427:Q1037,2,)</f>
        <v>17</v>
      </c>
      <c r="G426" s="71" t="str">
        <f>VLOOKUP(F426,'Dataset-1'!F427:R1037,2,)</f>
        <v>Evening</v>
      </c>
      <c r="H426" s="41" t="b">
        <f>VLOOKUP(G426,'Dataset-1'!G427:S1037,2,)</f>
        <v>0</v>
      </c>
      <c r="I426" s="41">
        <f>VLOOKUP(H426,'Dataset-1'!H427:T1037,2,)</f>
        <v>3</v>
      </c>
      <c r="J426" s="71" t="str">
        <f>VLOOKUP(I426,'Dataset-1'!I427:U1037,2,)</f>
        <v>Tuesday</v>
      </c>
      <c r="K426" s="41">
        <f>VLOOKUP(J426,'Dataset-1'!J427:V1037,2,)</f>
        <v>1</v>
      </c>
      <c r="L426" s="41">
        <f>VLOOKUP(K426,'Dataset-1'!K427:W1037,2,)</f>
        <v>0.36</v>
      </c>
      <c r="M426" s="71" t="str">
        <f>VLOOKUP(L426,'Dataset-1'!L427:X1037,2,)</f>
        <v>Sunny</v>
      </c>
      <c r="N426" s="41">
        <f>VLOOKUP(A426,'Dataset-2'!B427:H1037,2,)</f>
        <v>0.33329999999999999</v>
      </c>
      <c r="O426" s="41">
        <f>VLOOKUP(N426,'Dataset-2'!C427:I1037,2,)</f>
        <v>0.56999999999999995</v>
      </c>
      <c r="P426" s="41">
        <f>VLOOKUP(O426,'Dataset-2'!D427:J1037,2,)</f>
        <v>0.32840000000000003</v>
      </c>
      <c r="Q426" s="41">
        <f>VLOOKUP(P426,'Dataset-2'!E427:K1037,2,)</f>
        <v>7</v>
      </c>
      <c r="R426" s="41">
        <f>VLOOKUP(Q426,'Dataset-2'!F427:L1037,2,)</f>
        <v>190</v>
      </c>
      <c r="S426" s="41">
        <f>VLOOKUP(R426,'Dataset-2'!G427:M1037,2,)</f>
        <v>197</v>
      </c>
    </row>
    <row r="427" spans="1:19" x14ac:dyDescent="0.35">
      <c r="A427" s="40">
        <v>426</v>
      </c>
      <c r="B427" s="62">
        <f>VLOOKUP(A427,'Dataset-1'!A428:M1038,2,)</f>
        <v>40562</v>
      </c>
      <c r="C427" s="41">
        <f>VLOOKUP(B427,'Dataset-1'!B428:N1038,2,)</f>
        <v>1</v>
      </c>
      <c r="D427" s="41">
        <f>VLOOKUP(C427,'Dataset-1'!C428:O1038,2,)</f>
        <v>0</v>
      </c>
      <c r="E427" s="41">
        <f>VLOOKUP(D427,'Dataset-1'!D428:P1038,2,)</f>
        <v>1</v>
      </c>
      <c r="F427" s="41">
        <f>VLOOKUP(E427,'Dataset-1'!E428:Q1038,2,)</f>
        <v>18</v>
      </c>
      <c r="G427" s="71" t="str">
        <f>VLOOKUP(F427,'Dataset-1'!F428:R1038,2,)</f>
        <v>Evening</v>
      </c>
      <c r="H427" s="41" t="b">
        <f>VLOOKUP(G427,'Dataset-1'!G428:S1038,2,)</f>
        <v>0</v>
      </c>
      <c r="I427" s="41">
        <f>VLOOKUP(H427,'Dataset-1'!H428:T1038,2,)</f>
        <v>3</v>
      </c>
      <c r="J427" s="71" t="str">
        <f>VLOOKUP(I427,'Dataset-1'!I428:U1038,2,)</f>
        <v>Tuesday</v>
      </c>
      <c r="K427" s="41">
        <f>VLOOKUP(J427,'Dataset-1'!J428:V1038,2,)</f>
        <v>1</v>
      </c>
      <c r="L427" s="41">
        <f>VLOOKUP(K427,'Dataset-1'!K428:W1038,2,)</f>
        <v>0.34</v>
      </c>
      <c r="M427" s="71" t="str">
        <f>VLOOKUP(L427,'Dataset-1'!L428:X1038,2,)</f>
        <v>Sunny</v>
      </c>
      <c r="N427" s="41">
        <f>VLOOKUP(A427,'Dataset-2'!B428:H1038,2,)</f>
        <v>0.31819999999999998</v>
      </c>
      <c r="O427" s="41">
        <f>VLOOKUP(N427,'Dataset-2'!C428:I1038,2,)</f>
        <v>0.61</v>
      </c>
      <c r="P427" s="41">
        <f>VLOOKUP(O427,'Dataset-2'!D428:J1038,2,)</f>
        <v>0.28360000000000002</v>
      </c>
      <c r="Q427" s="41">
        <f>VLOOKUP(P427,'Dataset-2'!E428:K1038,2,)</f>
        <v>5</v>
      </c>
      <c r="R427" s="41">
        <f>VLOOKUP(Q427,'Dataset-2'!F428:L1038,2,)</f>
        <v>156</v>
      </c>
      <c r="S427" s="41">
        <f>VLOOKUP(R427,'Dataset-2'!G428:M1038,2,)</f>
        <v>161</v>
      </c>
    </row>
    <row r="428" spans="1:19" x14ac:dyDescent="0.35">
      <c r="A428" s="40">
        <v>427</v>
      </c>
      <c r="B428" s="62">
        <f>VLOOKUP(A428,'Dataset-1'!A429:M1039,2,)</f>
        <v>40562</v>
      </c>
      <c r="C428" s="41">
        <f>VLOOKUP(B428,'Dataset-1'!B429:N1039,2,)</f>
        <v>1</v>
      </c>
      <c r="D428" s="41">
        <f>VLOOKUP(C428,'Dataset-1'!C429:O1039,2,)</f>
        <v>0</v>
      </c>
      <c r="E428" s="41">
        <f>VLOOKUP(D428,'Dataset-1'!D429:P1039,2,)</f>
        <v>1</v>
      </c>
      <c r="F428" s="41">
        <f>VLOOKUP(E428,'Dataset-1'!E429:Q1039,2,)</f>
        <v>19</v>
      </c>
      <c r="G428" s="71" t="str">
        <f>VLOOKUP(F428,'Dataset-1'!F429:R1039,2,)</f>
        <v>Evening</v>
      </c>
      <c r="H428" s="41" t="b">
        <f>VLOOKUP(G428,'Dataset-1'!G429:S1039,2,)</f>
        <v>0</v>
      </c>
      <c r="I428" s="41">
        <f>VLOOKUP(H428,'Dataset-1'!H429:T1039,2,)</f>
        <v>3</v>
      </c>
      <c r="J428" s="71" t="str">
        <f>VLOOKUP(I428,'Dataset-1'!I429:U1039,2,)</f>
        <v>Tuesday</v>
      </c>
      <c r="K428" s="41">
        <f>VLOOKUP(J428,'Dataset-1'!J429:V1039,2,)</f>
        <v>1</v>
      </c>
      <c r="L428" s="41">
        <f>VLOOKUP(K428,'Dataset-1'!K429:W1039,2,)</f>
        <v>0.32</v>
      </c>
      <c r="M428" s="71" t="str">
        <f>VLOOKUP(L428,'Dataset-1'!L429:X1039,2,)</f>
        <v>Sunny</v>
      </c>
      <c r="N428" s="41">
        <f>VLOOKUP(A428,'Dataset-2'!B429:H1039,2,)</f>
        <v>0.28789999999999999</v>
      </c>
      <c r="O428" s="41">
        <f>VLOOKUP(N428,'Dataset-2'!C429:I1039,2,)</f>
        <v>0.56999999999999995</v>
      </c>
      <c r="P428" s="41">
        <f>VLOOKUP(O428,'Dataset-2'!D429:J1039,2,)</f>
        <v>0.41789999999999999</v>
      </c>
      <c r="Q428" s="41">
        <f>VLOOKUP(P428,'Dataset-2'!E429:K1039,2,)</f>
        <v>4</v>
      </c>
      <c r="R428" s="41">
        <f>VLOOKUP(Q428,'Dataset-2'!F429:L1039,2,)</f>
        <v>108</v>
      </c>
      <c r="S428" s="41">
        <f>VLOOKUP(R428,'Dataset-2'!G429:M1039,2,)</f>
        <v>112</v>
      </c>
    </row>
    <row r="429" spans="1:19" x14ac:dyDescent="0.35">
      <c r="A429" s="40">
        <v>428</v>
      </c>
      <c r="B429" s="62">
        <f>VLOOKUP(A429,'Dataset-1'!A430:M1040,2,)</f>
        <v>40562</v>
      </c>
      <c r="C429" s="41">
        <f>VLOOKUP(B429,'Dataset-1'!B430:N1040,2,)</f>
        <v>1</v>
      </c>
      <c r="D429" s="41">
        <f>VLOOKUP(C429,'Dataset-1'!C430:O1040,2,)</f>
        <v>0</v>
      </c>
      <c r="E429" s="41">
        <f>VLOOKUP(D429,'Dataset-1'!D430:P1040,2,)</f>
        <v>1</v>
      </c>
      <c r="F429" s="41">
        <f>VLOOKUP(E429,'Dataset-1'!E430:Q1040,2,)</f>
        <v>20</v>
      </c>
      <c r="G429" s="71" t="str">
        <f>VLOOKUP(F429,'Dataset-1'!F430:R1040,2,)</f>
        <v>Night</v>
      </c>
      <c r="H429" s="41" t="b">
        <f>VLOOKUP(G429,'Dataset-1'!G430:S1040,2,)</f>
        <v>0</v>
      </c>
      <c r="I429" s="41">
        <f>VLOOKUP(H429,'Dataset-1'!H430:T1040,2,)</f>
        <v>3</v>
      </c>
      <c r="J429" s="71" t="str">
        <f>VLOOKUP(I429,'Dataset-1'!I430:U1040,2,)</f>
        <v>Tuesday</v>
      </c>
      <c r="K429" s="41">
        <f>VLOOKUP(J429,'Dataset-1'!J430:V1040,2,)</f>
        <v>1</v>
      </c>
      <c r="L429" s="41">
        <f>VLOOKUP(K429,'Dataset-1'!K430:W1040,2,)</f>
        <v>0.32</v>
      </c>
      <c r="M429" s="71" t="str">
        <f>VLOOKUP(L429,'Dataset-1'!L430:X1040,2,)</f>
        <v>Sunny</v>
      </c>
      <c r="N429" s="41">
        <f>VLOOKUP(A429,'Dataset-2'!B430:H1040,2,)</f>
        <v>0.30299999999999999</v>
      </c>
      <c r="O429" s="41">
        <f>VLOOKUP(N429,'Dataset-2'!C430:I1040,2,)</f>
        <v>0.49</v>
      </c>
      <c r="P429" s="41">
        <f>VLOOKUP(O429,'Dataset-2'!D430:J1040,2,)</f>
        <v>0.29849999999999999</v>
      </c>
      <c r="Q429" s="41">
        <f>VLOOKUP(P429,'Dataset-2'!E430:K1040,2,)</f>
        <v>2</v>
      </c>
      <c r="R429" s="41">
        <f>VLOOKUP(Q429,'Dataset-2'!F430:L1040,2,)</f>
        <v>74</v>
      </c>
      <c r="S429" s="41">
        <f>VLOOKUP(R429,'Dataset-2'!G430:M1040,2,)</f>
        <v>76</v>
      </c>
    </row>
    <row r="430" spans="1:19" x14ac:dyDescent="0.35">
      <c r="A430" s="40">
        <v>429</v>
      </c>
      <c r="B430" s="62">
        <f>VLOOKUP(A430,'Dataset-1'!A431:M1041,2,)</f>
        <v>40562</v>
      </c>
      <c r="C430" s="41">
        <f>VLOOKUP(B430,'Dataset-1'!B431:N1041,2,)</f>
        <v>1</v>
      </c>
      <c r="D430" s="41">
        <f>VLOOKUP(C430,'Dataset-1'!C431:O1041,2,)</f>
        <v>0</v>
      </c>
      <c r="E430" s="41">
        <f>VLOOKUP(D430,'Dataset-1'!D431:P1041,2,)</f>
        <v>1</v>
      </c>
      <c r="F430" s="41">
        <f>VLOOKUP(E430,'Dataset-1'!E431:Q1041,2,)</f>
        <v>21</v>
      </c>
      <c r="G430" s="71" t="str">
        <f>VLOOKUP(F430,'Dataset-1'!F431:R1041,2,)</f>
        <v>Night</v>
      </c>
      <c r="H430" s="41" t="b">
        <f>VLOOKUP(G430,'Dataset-1'!G431:S1041,2,)</f>
        <v>0</v>
      </c>
      <c r="I430" s="41">
        <f>VLOOKUP(H430,'Dataset-1'!H431:T1041,2,)</f>
        <v>3</v>
      </c>
      <c r="J430" s="71" t="str">
        <f>VLOOKUP(I430,'Dataset-1'!I431:U1041,2,)</f>
        <v>Tuesday</v>
      </c>
      <c r="K430" s="41">
        <f>VLOOKUP(J430,'Dataset-1'!J431:V1041,2,)</f>
        <v>1</v>
      </c>
      <c r="L430" s="41">
        <f>VLOOKUP(K430,'Dataset-1'!K431:W1041,2,)</f>
        <v>0.32</v>
      </c>
      <c r="M430" s="71" t="str">
        <f>VLOOKUP(L430,'Dataset-1'!L431:X1041,2,)</f>
        <v>Sunny</v>
      </c>
      <c r="N430" s="41">
        <f>VLOOKUP(A430,'Dataset-2'!B431:H1041,2,)</f>
        <v>0.28789999999999999</v>
      </c>
      <c r="O430" s="41">
        <f>VLOOKUP(N430,'Dataset-2'!C431:I1041,2,)</f>
        <v>0.49</v>
      </c>
      <c r="P430" s="41">
        <f>VLOOKUP(O430,'Dataset-2'!D431:J1041,2,)</f>
        <v>0.41789999999999999</v>
      </c>
      <c r="Q430" s="41">
        <f>VLOOKUP(P430,'Dataset-2'!E431:K1041,2,)</f>
        <v>4</v>
      </c>
      <c r="R430" s="41">
        <f>VLOOKUP(Q430,'Dataset-2'!F431:L1041,2,)</f>
        <v>55</v>
      </c>
      <c r="S430" s="41">
        <f>VLOOKUP(R430,'Dataset-2'!G431:M1041,2,)</f>
        <v>59</v>
      </c>
    </row>
    <row r="431" spans="1:19" x14ac:dyDescent="0.35">
      <c r="A431" s="40">
        <v>430</v>
      </c>
      <c r="B431" s="62">
        <f>VLOOKUP(A431,'Dataset-1'!A432:M1042,2,)</f>
        <v>40562</v>
      </c>
      <c r="C431" s="41">
        <f>VLOOKUP(B431,'Dataset-1'!B432:N1042,2,)</f>
        <v>1</v>
      </c>
      <c r="D431" s="41">
        <f>VLOOKUP(C431,'Dataset-1'!C432:O1042,2,)</f>
        <v>0</v>
      </c>
      <c r="E431" s="41">
        <f>VLOOKUP(D431,'Dataset-1'!D432:P1042,2,)</f>
        <v>1</v>
      </c>
      <c r="F431" s="41">
        <f>VLOOKUP(E431,'Dataset-1'!E432:Q1042,2,)</f>
        <v>22</v>
      </c>
      <c r="G431" s="71" t="str">
        <f>VLOOKUP(F431,'Dataset-1'!F432:R1042,2,)</f>
        <v>Night</v>
      </c>
      <c r="H431" s="41" t="b">
        <f>VLOOKUP(G431,'Dataset-1'!G432:S1042,2,)</f>
        <v>0</v>
      </c>
      <c r="I431" s="41">
        <f>VLOOKUP(H431,'Dataset-1'!H432:T1042,2,)</f>
        <v>3</v>
      </c>
      <c r="J431" s="71" t="str">
        <f>VLOOKUP(I431,'Dataset-1'!I432:U1042,2,)</f>
        <v>Tuesday</v>
      </c>
      <c r="K431" s="41">
        <f>VLOOKUP(J431,'Dataset-1'!J432:V1042,2,)</f>
        <v>1</v>
      </c>
      <c r="L431" s="41">
        <f>VLOOKUP(K431,'Dataset-1'!K432:W1042,2,)</f>
        <v>0.3</v>
      </c>
      <c r="M431" s="71" t="str">
        <f>VLOOKUP(L431,'Dataset-1'!L432:X1042,2,)</f>
        <v>Cloudy</v>
      </c>
      <c r="N431" s="41">
        <f>VLOOKUP(A431,'Dataset-2'!B432:H1042,2,)</f>
        <v>0.30299999999999999</v>
      </c>
      <c r="O431" s="41">
        <f>VLOOKUP(N431,'Dataset-2'!C432:I1042,2,)</f>
        <v>0.52</v>
      </c>
      <c r="P431" s="41">
        <f>VLOOKUP(O431,'Dataset-2'!D432:J1042,2,)</f>
        <v>0.16420000000000001</v>
      </c>
      <c r="Q431" s="41">
        <f>VLOOKUP(P431,'Dataset-2'!E432:K1042,2,)</f>
        <v>6</v>
      </c>
      <c r="R431" s="41">
        <f>VLOOKUP(Q431,'Dataset-2'!F432:L1042,2,)</f>
        <v>53</v>
      </c>
      <c r="S431" s="41">
        <f>VLOOKUP(R431,'Dataset-2'!G432:M1042,2,)</f>
        <v>59</v>
      </c>
    </row>
    <row r="432" spans="1:19" x14ac:dyDescent="0.35">
      <c r="A432" s="40">
        <v>431</v>
      </c>
      <c r="B432" s="62">
        <f>VLOOKUP(A432,'Dataset-1'!A433:M1043,2,)</f>
        <v>40562</v>
      </c>
      <c r="C432" s="41">
        <f>VLOOKUP(B432,'Dataset-1'!B433:N1043,2,)</f>
        <v>1</v>
      </c>
      <c r="D432" s="41">
        <f>VLOOKUP(C432,'Dataset-1'!C433:O1043,2,)</f>
        <v>0</v>
      </c>
      <c r="E432" s="41">
        <f>VLOOKUP(D432,'Dataset-1'!D433:P1043,2,)</f>
        <v>1</v>
      </c>
      <c r="F432" s="41">
        <f>VLOOKUP(E432,'Dataset-1'!E433:Q1043,2,)</f>
        <v>23</v>
      </c>
      <c r="G432" s="71" t="str">
        <f>VLOOKUP(F432,'Dataset-1'!F433:R1043,2,)</f>
        <v>Night</v>
      </c>
      <c r="H432" s="41" t="b">
        <f>VLOOKUP(G432,'Dataset-1'!G433:S1043,2,)</f>
        <v>0</v>
      </c>
      <c r="I432" s="41">
        <f>VLOOKUP(H432,'Dataset-1'!H433:T1043,2,)</f>
        <v>3</v>
      </c>
      <c r="J432" s="71" t="str">
        <f>VLOOKUP(I432,'Dataset-1'!I433:U1043,2,)</f>
        <v>Tuesday</v>
      </c>
      <c r="K432" s="41">
        <f>VLOOKUP(J432,'Dataset-1'!J433:V1043,2,)</f>
        <v>1</v>
      </c>
      <c r="L432" s="41">
        <f>VLOOKUP(K432,'Dataset-1'!K433:W1043,2,)</f>
        <v>0.3</v>
      </c>
      <c r="M432" s="71" t="str">
        <f>VLOOKUP(L432,'Dataset-1'!L433:X1043,2,)</f>
        <v>Cloudy</v>
      </c>
      <c r="N432" s="41">
        <f>VLOOKUP(A432,'Dataset-2'!B433:H1043,2,)</f>
        <v>0.2727</v>
      </c>
      <c r="O432" s="41">
        <f>VLOOKUP(N432,'Dataset-2'!C433:I1043,2,)</f>
        <v>0.52</v>
      </c>
      <c r="P432" s="41">
        <f>VLOOKUP(O432,'Dataset-2'!D433:J1043,2,)</f>
        <v>0.4627</v>
      </c>
      <c r="Q432" s="41">
        <f>VLOOKUP(P432,'Dataset-2'!E433:K1043,2,)</f>
        <v>1</v>
      </c>
      <c r="R432" s="41">
        <f>VLOOKUP(Q432,'Dataset-2'!F433:L1043,2,)</f>
        <v>27</v>
      </c>
      <c r="S432" s="41">
        <f>VLOOKUP(R432,'Dataset-2'!G433:M1043,2,)</f>
        <v>28</v>
      </c>
    </row>
    <row r="433" spans="1:19" x14ac:dyDescent="0.35">
      <c r="A433" s="40">
        <v>432</v>
      </c>
      <c r="B433" s="62">
        <f>VLOOKUP(A433,'Dataset-1'!A434:M1044,2,)</f>
        <v>40563</v>
      </c>
      <c r="C433" s="41">
        <f>VLOOKUP(B433,'Dataset-1'!B434:N1044,2,)</f>
        <v>1</v>
      </c>
      <c r="D433" s="41">
        <f>VLOOKUP(C433,'Dataset-1'!C434:O1044,2,)</f>
        <v>0</v>
      </c>
      <c r="E433" s="41">
        <f>VLOOKUP(D433,'Dataset-1'!D434:P1044,2,)</f>
        <v>1</v>
      </c>
      <c r="F433" s="41">
        <f>VLOOKUP(E433,'Dataset-1'!E434:Q1044,2,)</f>
        <v>0</v>
      </c>
      <c r="G433" s="71" t="str">
        <f>VLOOKUP(F433,'Dataset-1'!F434:R1044,2,)</f>
        <v>Night</v>
      </c>
      <c r="H433" s="41" t="b">
        <f>VLOOKUP(G433,'Dataset-1'!G434:S1044,2,)</f>
        <v>0</v>
      </c>
      <c r="I433" s="41">
        <f>VLOOKUP(H433,'Dataset-1'!H434:T1044,2,)</f>
        <v>4</v>
      </c>
      <c r="J433" s="71" t="str">
        <f>VLOOKUP(I433,'Dataset-1'!I434:U1044,2,)</f>
        <v>Wednesday</v>
      </c>
      <c r="K433" s="41">
        <f>VLOOKUP(J433,'Dataset-1'!J434:V1044,2,)</f>
        <v>1</v>
      </c>
      <c r="L433" s="41">
        <f>VLOOKUP(K433,'Dataset-1'!K434:W1044,2,)</f>
        <v>0.26</v>
      </c>
      <c r="M433" s="71" t="str">
        <f>VLOOKUP(L433,'Dataset-1'!L434:X1044,2,)</f>
        <v>Cloudy</v>
      </c>
      <c r="N433" s="41">
        <f>VLOOKUP(A433,'Dataset-2'!B434:H1044,2,)</f>
        <v>0.2273</v>
      </c>
      <c r="O433" s="41">
        <f>VLOOKUP(N433,'Dataset-2'!C434:I1044,2,)</f>
        <v>0.56000000000000005</v>
      </c>
      <c r="P433" s="41">
        <f>VLOOKUP(O433,'Dataset-2'!D434:J1044,2,)</f>
        <v>0.3881</v>
      </c>
      <c r="Q433" s="41">
        <f>VLOOKUP(P433,'Dataset-2'!E434:K1044,2,)</f>
        <v>5</v>
      </c>
      <c r="R433" s="41">
        <f>VLOOKUP(Q433,'Dataset-2'!F434:L1044,2,)</f>
        <v>8</v>
      </c>
      <c r="S433" s="41">
        <f>VLOOKUP(R433,'Dataset-2'!G434:M1044,2,)</f>
        <v>13</v>
      </c>
    </row>
    <row r="434" spans="1:19" x14ac:dyDescent="0.35">
      <c r="A434" s="40">
        <v>433</v>
      </c>
      <c r="B434" s="62">
        <f>VLOOKUP(A434,'Dataset-1'!A435:M1045,2,)</f>
        <v>40563</v>
      </c>
      <c r="C434" s="41">
        <f>VLOOKUP(B434,'Dataset-1'!B435:N1045,2,)</f>
        <v>1</v>
      </c>
      <c r="D434" s="41">
        <f>VLOOKUP(C434,'Dataset-1'!C435:O1045,2,)</f>
        <v>0</v>
      </c>
      <c r="E434" s="41">
        <f>VLOOKUP(D434,'Dataset-1'!D435:P1045,2,)</f>
        <v>1</v>
      </c>
      <c r="F434" s="41">
        <f>VLOOKUP(E434,'Dataset-1'!E435:Q1045,2,)</f>
        <v>1</v>
      </c>
      <c r="G434" s="71" t="str">
        <f>VLOOKUP(F434,'Dataset-1'!F435:R1045,2,)</f>
        <v>Night</v>
      </c>
      <c r="H434" s="41" t="b">
        <f>VLOOKUP(G434,'Dataset-1'!G435:S1045,2,)</f>
        <v>0</v>
      </c>
      <c r="I434" s="41">
        <f>VLOOKUP(H434,'Dataset-1'!H435:T1045,2,)</f>
        <v>4</v>
      </c>
      <c r="J434" s="71" t="str">
        <f>VLOOKUP(I434,'Dataset-1'!I435:U1045,2,)</f>
        <v>Wednesday</v>
      </c>
      <c r="K434" s="41">
        <f>VLOOKUP(J434,'Dataset-1'!J435:V1045,2,)</f>
        <v>1</v>
      </c>
      <c r="L434" s="41">
        <f>VLOOKUP(K434,'Dataset-1'!K435:W1045,2,)</f>
        <v>0.26</v>
      </c>
      <c r="M434" s="71" t="str">
        <f>VLOOKUP(L434,'Dataset-1'!L435:X1045,2,)</f>
        <v>Cloudy</v>
      </c>
      <c r="N434" s="41">
        <f>VLOOKUP(A434,'Dataset-2'!B435:H1045,2,)</f>
        <v>0.2727</v>
      </c>
      <c r="O434" s="41">
        <f>VLOOKUP(N434,'Dataset-2'!C435:I1045,2,)</f>
        <v>0.56000000000000005</v>
      </c>
      <c r="P434" s="41">
        <f>VLOOKUP(O434,'Dataset-2'!D435:J1045,2,)</f>
        <v>0</v>
      </c>
      <c r="Q434" s="41">
        <f>VLOOKUP(P434,'Dataset-2'!E435:K1045,2,)</f>
        <v>2</v>
      </c>
      <c r="R434" s="41">
        <f>VLOOKUP(Q434,'Dataset-2'!F435:L1045,2,)</f>
        <v>3</v>
      </c>
      <c r="S434" s="41">
        <f>VLOOKUP(R434,'Dataset-2'!G435:M1045,2,)</f>
        <v>5</v>
      </c>
    </row>
    <row r="435" spans="1:19" x14ac:dyDescent="0.35">
      <c r="A435" s="40">
        <v>434</v>
      </c>
      <c r="B435" s="62">
        <f>VLOOKUP(A435,'Dataset-1'!A436:M1046,2,)</f>
        <v>40563</v>
      </c>
      <c r="C435" s="41">
        <f>VLOOKUP(B435,'Dataset-1'!B436:N1046,2,)</f>
        <v>1</v>
      </c>
      <c r="D435" s="41">
        <f>VLOOKUP(C435,'Dataset-1'!C436:O1046,2,)</f>
        <v>0</v>
      </c>
      <c r="E435" s="41">
        <f>VLOOKUP(D435,'Dataset-1'!D436:P1046,2,)</f>
        <v>1</v>
      </c>
      <c r="F435" s="41">
        <f>VLOOKUP(E435,'Dataset-1'!E436:Q1046,2,)</f>
        <v>2</v>
      </c>
      <c r="G435" s="71" t="str">
        <f>VLOOKUP(F435,'Dataset-1'!F436:R1046,2,)</f>
        <v>Night</v>
      </c>
      <c r="H435" s="41" t="b">
        <f>VLOOKUP(G435,'Dataset-1'!G436:S1046,2,)</f>
        <v>0</v>
      </c>
      <c r="I435" s="41">
        <f>VLOOKUP(H435,'Dataset-1'!H436:T1046,2,)</f>
        <v>4</v>
      </c>
      <c r="J435" s="71" t="str">
        <f>VLOOKUP(I435,'Dataset-1'!I436:U1046,2,)</f>
        <v>Wednesday</v>
      </c>
      <c r="K435" s="41">
        <f>VLOOKUP(J435,'Dataset-1'!J436:V1046,2,)</f>
        <v>1</v>
      </c>
      <c r="L435" s="41">
        <f>VLOOKUP(K435,'Dataset-1'!K436:W1046,2,)</f>
        <v>0.26</v>
      </c>
      <c r="M435" s="71" t="str">
        <f>VLOOKUP(L435,'Dataset-1'!L436:X1046,2,)</f>
        <v>Cloudy</v>
      </c>
      <c r="N435" s="41">
        <f>VLOOKUP(A435,'Dataset-2'!B436:H1046,2,)</f>
        <v>0.2727</v>
      </c>
      <c r="O435" s="41">
        <f>VLOOKUP(N435,'Dataset-2'!C436:I1046,2,)</f>
        <v>0.56000000000000005</v>
      </c>
      <c r="P435" s="41">
        <f>VLOOKUP(O435,'Dataset-2'!D436:J1046,2,)</f>
        <v>0</v>
      </c>
      <c r="Q435" s="41">
        <f>VLOOKUP(P435,'Dataset-2'!E436:K1046,2,)</f>
        <v>0</v>
      </c>
      <c r="R435" s="41">
        <f>VLOOKUP(Q435,'Dataset-2'!F436:L1046,2,)</f>
        <v>2</v>
      </c>
      <c r="S435" s="41">
        <f>VLOOKUP(R435,'Dataset-2'!G436:M1046,2,)</f>
        <v>2</v>
      </c>
    </row>
    <row r="436" spans="1:19" x14ac:dyDescent="0.35">
      <c r="A436" s="40">
        <v>435</v>
      </c>
      <c r="B436" s="62">
        <f>VLOOKUP(A436,'Dataset-1'!A437:M1047,2,)</f>
        <v>40563</v>
      </c>
      <c r="C436" s="41">
        <f>VLOOKUP(B436,'Dataset-1'!B437:N1047,2,)</f>
        <v>1</v>
      </c>
      <c r="D436" s="41">
        <f>VLOOKUP(C436,'Dataset-1'!C437:O1047,2,)</f>
        <v>0</v>
      </c>
      <c r="E436" s="41">
        <f>VLOOKUP(D436,'Dataset-1'!D437:P1047,2,)</f>
        <v>1</v>
      </c>
      <c r="F436" s="41">
        <f>VLOOKUP(E436,'Dataset-1'!E437:Q1047,2,)</f>
        <v>3</v>
      </c>
      <c r="G436" s="71" t="str">
        <f>VLOOKUP(F436,'Dataset-1'!F437:R1047,2,)</f>
        <v>Night</v>
      </c>
      <c r="H436" s="41" t="b">
        <f>VLOOKUP(G436,'Dataset-1'!G437:S1047,2,)</f>
        <v>0</v>
      </c>
      <c r="I436" s="41">
        <f>VLOOKUP(H436,'Dataset-1'!H437:T1047,2,)</f>
        <v>4</v>
      </c>
      <c r="J436" s="71" t="str">
        <f>VLOOKUP(I436,'Dataset-1'!I437:U1047,2,)</f>
        <v>Wednesday</v>
      </c>
      <c r="K436" s="41">
        <f>VLOOKUP(J436,'Dataset-1'!J437:V1047,2,)</f>
        <v>1</v>
      </c>
      <c r="L436" s="41">
        <f>VLOOKUP(K436,'Dataset-1'!K437:W1047,2,)</f>
        <v>0.26</v>
      </c>
      <c r="M436" s="71" t="str">
        <f>VLOOKUP(L436,'Dataset-1'!L437:X1047,2,)</f>
        <v>Cloudy</v>
      </c>
      <c r="N436" s="41">
        <f>VLOOKUP(A436,'Dataset-2'!B437:H1047,2,)</f>
        <v>0.2576</v>
      </c>
      <c r="O436" s="41">
        <f>VLOOKUP(N436,'Dataset-2'!C437:I1047,2,)</f>
        <v>0.56000000000000005</v>
      </c>
      <c r="P436" s="41">
        <f>VLOOKUP(O436,'Dataset-2'!D437:J1047,2,)</f>
        <v>0.16420000000000001</v>
      </c>
      <c r="Q436" s="41">
        <f>VLOOKUP(P436,'Dataset-2'!E437:K1047,2,)</f>
        <v>0</v>
      </c>
      <c r="R436" s="41">
        <f>VLOOKUP(Q436,'Dataset-2'!F437:L1047,2,)</f>
        <v>1</v>
      </c>
      <c r="S436" s="41">
        <f>VLOOKUP(R436,'Dataset-2'!G437:M1047,2,)</f>
        <v>1</v>
      </c>
    </row>
    <row r="437" spans="1:19" x14ac:dyDescent="0.35">
      <c r="A437" s="40">
        <v>436</v>
      </c>
      <c r="B437" s="62">
        <f>VLOOKUP(A437,'Dataset-1'!A438:M1048,2,)</f>
        <v>40563</v>
      </c>
      <c r="C437" s="41">
        <f>VLOOKUP(B437,'Dataset-1'!B438:N1048,2,)</f>
        <v>1</v>
      </c>
      <c r="D437" s="41">
        <f>VLOOKUP(C437,'Dataset-1'!C438:O1048,2,)</f>
        <v>0</v>
      </c>
      <c r="E437" s="41">
        <f>VLOOKUP(D437,'Dataset-1'!D438:P1048,2,)</f>
        <v>1</v>
      </c>
      <c r="F437" s="41">
        <f>VLOOKUP(E437,'Dataset-1'!E438:Q1048,2,)</f>
        <v>4</v>
      </c>
      <c r="G437" s="71" t="str">
        <f>VLOOKUP(F437,'Dataset-1'!F438:R1048,2,)</f>
        <v>Night</v>
      </c>
      <c r="H437" s="41" t="b">
        <f>VLOOKUP(G437,'Dataset-1'!G438:S1048,2,)</f>
        <v>0</v>
      </c>
      <c r="I437" s="41">
        <f>VLOOKUP(H437,'Dataset-1'!H438:T1048,2,)</f>
        <v>4</v>
      </c>
      <c r="J437" s="71" t="str">
        <f>VLOOKUP(I437,'Dataset-1'!I438:U1048,2,)</f>
        <v>Wednesday</v>
      </c>
      <c r="K437" s="41">
        <f>VLOOKUP(J437,'Dataset-1'!J438:V1048,2,)</f>
        <v>1</v>
      </c>
      <c r="L437" s="41">
        <f>VLOOKUP(K437,'Dataset-1'!K438:W1048,2,)</f>
        <v>0.26</v>
      </c>
      <c r="M437" s="71" t="str">
        <f>VLOOKUP(L437,'Dataset-1'!L438:X1048,2,)</f>
        <v>Cloudy</v>
      </c>
      <c r="N437" s="41">
        <f>VLOOKUP(A437,'Dataset-2'!B438:H1048,2,)</f>
        <v>0.2576</v>
      </c>
      <c r="O437" s="41">
        <f>VLOOKUP(N437,'Dataset-2'!C438:I1048,2,)</f>
        <v>0.56000000000000005</v>
      </c>
      <c r="P437" s="41">
        <f>VLOOKUP(O437,'Dataset-2'!D438:J1048,2,)</f>
        <v>0.16420000000000001</v>
      </c>
      <c r="Q437" s="41">
        <f>VLOOKUP(P437,'Dataset-2'!E438:K1048,2,)</f>
        <v>0</v>
      </c>
      <c r="R437" s="41">
        <f>VLOOKUP(Q437,'Dataset-2'!F438:L1048,2,)</f>
        <v>1</v>
      </c>
      <c r="S437" s="41">
        <f>VLOOKUP(R437,'Dataset-2'!G438:M1048,2,)</f>
        <v>1</v>
      </c>
    </row>
    <row r="438" spans="1:19" x14ac:dyDescent="0.35">
      <c r="A438" s="40">
        <v>437</v>
      </c>
      <c r="B438" s="62">
        <f>VLOOKUP(A438,'Dataset-1'!A439:M1049,2,)</f>
        <v>40563</v>
      </c>
      <c r="C438" s="41">
        <f>VLOOKUP(B438,'Dataset-1'!B439:N1049,2,)</f>
        <v>1</v>
      </c>
      <c r="D438" s="41">
        <f>VLOOKUP(C438,'Dataset-1'!C439:O1049,2,)</f>
        <v>0</v>
      </c>
      <c r="E438" s="41">
        <f>VLOOKUP(D438,'Dataset-1'!D439:P1049,2,)</f>
        <v>1</v>
      </c>
      <c r="F438" s="41">
        <f>VLOOKUP(E438,'Dataset-1'!E439:Q1049,2,)</f>
        <v>5</v>
      </c>
      <c r="G438" s="71" t="str">
        <f>VLOOKUP(F438,'Dataset-1'!F439:R1049,2,)</f>
        <v>Morning</v>
      </c>
      <c r="H438" s="41" t="b">
        <f>VLOOKUP(G438,'Dataset-1'!G439:S1049,2,)</f>
        <v>0</v>
      </c>
      <c r="I438" s="41">
        <f>VLOOKUP(H438,'Dataset-1'!H439:T1049,2,)</f>
        <v>4</v>
      </c>
      <c r="J438" s="71" t="str">
        <f>VLOOKUP(I438,'Dataset-1'!I439:U1049,2,)</f>
        <v>Wednesday</v>
      </c>
      <c r="K438" s="41">
        <f>VLOOKUP(J438,'Dataset-1'!J439:V1049,2,)</f>
        <v>1</v>
      </c>
      <c r="L438" s="41">
        <f>VLOOKUP(K438,'Dataset-1'!K439:W1049,2,)</f>
        <v>0.24</v>
      </c>
      <c r="M438" s="71" t="str">
        <f>VLOOKUP(L438,'Dataset-1'!L439:X1049,2,)</f>
        <v>Cloudy</v>
      </c>
      <c r="N438" s="41">
        <f>VLOOKUP(A438,'Dataset-2'!B439:H1049,2,)</f>
        <v>0.2273</v>
      </c>
      <c r="O438" s="41">
        <f>VLOOKUP(N438,'Dataset-2'!C439:I1049,2,)</f>
        <v>0.6</v>
      </c>
      <c r="P438" s="41">
        <f>VLOOKUP(O438,'Dataset-2'!D439:J1049,2,)</f>
        <v>0.22389999999999999</v>
      </c>
      <c r="Q438" s="41">
        <f>VLOOKUP(P438,'Dataset-2'!E439:K1049,2,)</f>
        <v>0</v>
      </c>
      <c r="R438" s="41">
        <f>VLOOKUP(Q438,'Dataset-2'!F439:L1049,2,)</f>
        <v>6</v>
      </c>
      <c r="S438" s="41">
        <f>VLOOKUP(R438,'Dataset-2'!G439:M1049,2,)</f>
        <v>6</v>
      </c>
    </row>
    <row r="439" spans="1:19" x14ac:dyDescent="0.35">
      <c r="A439" s="40">
        <v>438</v>
      </c>
      <c r="B439" s="62">
        <f>VLOOKUP(A439,'Dataset-1'!A440:M1050,2,)</f>
        <v>40563</v>
      </c>
      <c r="C439" s="41">
        <f>VLOOKUP(B439,'Dataset-1'!B440:N1050,2,)</f>
        <v>1</v>
      </c>
      <c r="D439" s="41">
        <f>VLOOKUP(C439,'Dataset-1'!C440:O1050,2,)</f>
        <v>0</v>
      </c>
      <c r="E439" s="41">
        <f>VLOOKUP(D439,'Dataset-1'!D440:P1050,2,)</f>
        <v>1</v>
      </c>
      <c r="F439" s="41">
        <f>VLOOKUP(E439,'Dataset-1'!E440:Q1050,2,)</f>
        <v>6</v>
      </c>
      <c r="G439" s="71" t="str">
        <f>VLOOKUP(F439,'Dataset-1'!F440:R1050,2,)</f>
        <v>Morning</v>
      </c>
      <c r="H439" s="41" t="b">
        <f>VLOOKUP(G439,'Dataset-1'!G440:S1050,2,)</f>
        <v>0</v>
      </c>
      <c r="I439" s="41">
        <f>VLOOKUP(H439,'Dataset-1'!H440:T1050,2,)</f>
        <v>4</v>
      </c>
      <c r="J439" s="71" t="str">
        <f>VLOOKUP(I439,'Dataset-1'!I440:U1050,2,)</f>
        <v>Wednesday</v>
      </c>
      <c r="K439" s="41">
        <f>VLOOKUP(J439,'Dataset-1'!J440:V1050,2,)</f>
        <v>1</v>
      </c>
      <c r="L439" s="41">
        <f>VLOOKUP(K439,'Dataset-1'!K440:W1050,2,)</f>
        <v>0.22</v>
      </c>
      <c r="M439" s="71" t="str">
        <f>VLOOKUP(L439,'Dataset-1'!L440:X1050,2,)</f>
        <v>Cloudy</v>
      </c>
      <c r="N439" s="41">
        <f>VLOOKUP(A439,'Dataset-2'!B440:H1050,2,)</f>
        <v>0.21210000000000001</v>
      </c>
      <c r="O439" s="41">
        <f>VLOOKUP(N439,'Dataset-2'!C440:I1050,2,)</f>
        <v>0.6</v>
      </c>
      <c r="P439" s="41">
        <f>VLOOKUP(O439,'Dataset-2'!D440:J1050,2,)</f>
        <v>0.22389999999999999</v>
      </c>
      <c r="Q439" s="41">
        <f>VLOOKUP(P439,'Dataset-2'!E440:K1050,2,)</f>
        <v>0</v>
      </c>
      <c r="R439" s="41">
        <f>VLOOKUP(Q439,'Dataset-2'!F440:L1050,2,)</f>
        <v>35</v>
      </c>
      <c r="S439" s="41">
        <f>VLOOKUP(R439,'Dataset-2'!G440:M1050,2,)</f>
        <v>35</v>
      </c>
    </row>
    <row r="440" spans="1:19" x14ac:dyDescent="0.35">
      <c r="A440" s="40">
        <v>439</v>
      </c>
      <c r="B440" s="62">
        <f>VLOOKUP(A440,'Dataset-1'!A441:M1051,2,)</f>
        <v>40563</v>
      </c>
      <c r="C440" s="41">
        <f>VLOOKUP(B440,'Dataset-1'!B441:N1051,2,)</f>
        <v>1</v>
      </c>
      <c r="D440" s="41">
        <f>VLOOKUP(C440,'Dataset-1'!C441:O1051,2,)</f>
        <v>0</v>
      </c>
      <c r="E440" s="41">
        <f>VLOOKUP(D440,'Dataset-1'!D441:P1051,2,)</f>
        <v>1</v>
      </c>
      <c r="F440" s="41">
        <f>VLOOKUP(E440,'Dataset-1'!E441:Q1051,2,)</f>
        <v>7</v>
      </c>
      <c r="G440" s="71" t="str">
        <f>VLOOKUP(F440,'Dataset-1'!F441:R1051,2,)</f>
        <v>Morning</v>
      </c>
      <c r="H440" s="41" t="b">
        <f>VLOOKUP(G440,'Dataset-1'!G441:S1051,2,)</f>
        <v>0</v>
      </c>
      <c r="I440" s="41">
        <f>VLOOKUP(H440,'Dataset-1'!H441:T1051,2,)</f>
        <v>4</v>
      </c>
      <c r="J440" s="71" t="str">
        <f>VLOOKUP(I440,'Dataset-1'!I441:U1051,2,)</f>
        <v>Wednesday</v>
      </c>
      <c r="K440" s="41">
        <f>VLOOKUP(J440,'Dataset-1'!J441:V1051,2,)</f>
        <v>1</v>
      </c>
      <c r="L440" s="41">
        <f>VLOOKUP(K440,'Dataset-1'!K441:W1051,2,)</f>
        <v>0.22</v>
      </c>
      <c r="M440" s="71" t="str">
        <f>VLOOKUP(L440,'Dataset-1'!L441:X1051,2,)</f>
        <v>Cloudy</v>
      </c>
      <c r="N440" s="41">
        <f>VLOOKUP(A440,'Dataset-2'!B441:H1051,2,)</f>
        <v>0.21210000000000001</v>
      </c>
      <c r="O440" s="41">
        <f>VLOOKUP(N440,'Dataset-2'!C441:I1051,2,)</f>
        <v>0.55000000000000004</v>
      </c>
      <c r="P440" s="41">
        <f>VLOOKUP(O440,'Dataset-2'!D441:J1051,2,)</f>
        <v>0.22389999999999999</v>
      </c>
      <c r="Q440" s="41">
        <f>VLOOKUP(P440,'Dataset-2'!E441:K1051,2,)</f>
        <v>1</v>
      </c>
      <c r="R440" s="41">
        <f>VLOOKUP(Q440,'Dataset-2'!F441:L1051,2,)</f>
        <v>100</v>
      </c>
      <c r="S440" s="41">
        <f>VLOOKUP(R440,'Dataset-2'!G441:M1051,2,)</f>
        <v>101</v>
      </c>
    </row>
    <row r="441" spans="1:19" x14ac:dyDescent="0.35">
      <c r="A441" s="40">
        <v>440</v>
      </c>
      <c r="B441" s="62">
        <f>VLOOKUP(A441,'Dataset-1'!A442:M1052,2,)</f>
        <v>40563</v>
      </c>
      <c r="C441" s="41">
        <f>VLOOKUP(B441,'Dataset-1'!B442:N1052,2,)</f>
        <v>1</v>
      </c>
      <c r="D441" s="41">
        <f>VLOOKUP(C441,'Dataset-1'!C442:O1052,2,)</f>
        <v>0</v>
      </c>
      <c r="E441" s="41">
        <f>VLOOKUP(D441,'Dataset-1'!D442:P1052,2,)</f>
        <v>1</v>
      </c>
      <c r="F441" s="41">
        <f>VLOOKUP(E441,'Dataset-1'!E442:Q1052,2,)</f>
        <v>8</v>
      </c>
      <c r="G441" s="71" t="str">
        <f>VLOOKUP(F441,'Dataset-1'!F442:R1052,2,)</f>
        <v>Morning</v>
      </c>
      <c r="H441" s="41" t="b">
        <f>VLOOKUP(G441,'Dataset-1'!G442:S1052,2,)</f>
        <v>0</v>
      </c>
      <c r="I441" s="41">
        <f>VLOOKUP(H441,'Dataset-1'!H442:T1052,2,)</f>
        <v>4</v>
      </c>
      <c r="J441" s="71" t="str">
        <f>VLOOKUP(I441,'Dataset-1'!I442:U1052,2,)</f>
        <v>Wednesday</v>
      </c>
      <c r="K441" s="41">
        <f>VLOOKUP(J441,'Dataset-1'!J442:V1052,2,)</f>
        <v>1</v>
      </c>
      <c r="L441" s="41">
        <f>VLOOKUP(K441,'Dataset-1'!K442:W1052,2,)</f>
        <v>0.22</v>
      </c>
      <c r="M441" s="71" t="str">
        <f>VLOOKUP(L441,'Dataset-1'!L442:X1052,2,)</f>
        <v>Cloudy</v>
      </c>
      <c r="N441" s="41">
        <f>VLOOKUP(A441,'Dataset-2'!B442:H1052,2,)</f>
        <v>0.21210000000000001</v>
      </c>
      <c r="O441" s="41">
        <f>VLOOKUP(N441,'Dataset-2'!C442:I1052,2,)</f>
        <v>0.55000000000000004</v>
      </c>
      <c r="P441" s="41">
        <f>VLOOKUP(O441,'Dataset-2'!D442:J1052,2,)</f>
        <v>0.28360000000000002</v>
      </c>
      <c r="Q441" s="41">
        <f>VLOOKUP(P441,'Dataset-2'!E442:K1052,2,)</f>
        <v>2</v>
      </c>
      <c r="R441" s="41">
        <f>VLOOKUP(Q441,'Dataset-2'!F442:L1052,2,)</f>
        <v>247</v>
      </c>
      <c r="S441" s="41">
        <f>VLOOKUP(R441,'Dataset-2'!G442:M1052,2,)</f>
        <v>249</v>
      </c>
    </row>
    <row r="442" spans="1:19" x14ac:dyDescent="0.35">
      <c r="A442" s="40">
        <v>441</v>
      </c>
      <c r="B442" s="62">
        <f>VLOOKUP(A442,'Dataset-1'!A443:M1053,2,)</f>
        <v>40563</v>
      </c>
      <c r="C442" s="41">
        <f>VLOOKUP(B442,'Dataset-1'!B443:N1053,2,)</f>
        <v>1</v>
      </c>
      <c r="D442" s="41">
        <f>VLOOKUP(C442,'Dataset-1'!C443:O1053,2,)</f>
        <v>0</v>
      </c>
      <c r="E442" s="41">
        <f>VLOOKUP(D442,'Dataset-1'!D443:P1053,2,)</f>
        <v>1</v>
      </c>
      <c r="F442" s="41">
        <f>VLOOKUP(E442,'Dataset-1'!E443:Q1053,2,)</f>
        <v>9</v>
      </c>
      <c r="G442" s="71" t="str">
        <f>VLOOKUP(F442,'Dataset-1'!F443:R1053,2,)</f>
        <v>Morning</v>
      </c>
      <c r="H442" s="41" t="b">
        <f>VLOOKUP(G442,'Dataset-1'!G443:S1053,2,)</f>
        <v>0</v>
      </c>
      <c r="I442" s="41">
        <f>VLOOKUP(H442,'Dataset-1'!H443:T1053,2,)</f>
        <v>4</v>
      </c>
      <c r="J442" s="71" t="str">
        <f>VLOOKUP(I442,'Dataset-1'!I443:U1053,2,)</f>
        <v>Wednesday</v>
      </c>
      <c r="K442" s="41">
        <f>VLOOKUP(J442,'Dataset-1'!J443:V1053,2,)</f>
        <v>2</v>
      </c>
      <c r="L442" s="41">
        <f>VLOOKUP(K442,'Dataset-1'!K443:W1053,2,)</f>
        <v>0.24</v>
      </c>
      <c r="M442" s="71" t="str">
        <f>VLOOKUP(L442,'Dataset-1'!L443:X1053,2,)</f>
        <v>Cloudy</v>
      </c>
      <c r="N442" s="41">
        <f>VLOOKUP(A442,'Dataset-2'!B443:H1053,2,)</f>
        <v>0.2273</v>
      </c>
      <c r="O442" s="41">
        <f>VLOOKUP(N442,'Dataset-2'!C443:I1053,2,)</f>
        <v>0.52</v>
      </c>
      <c r="P442" s="41">
        <f>VLOOKUP(O442,'Dataset-2'!D443:J1053,2,)</f>
        <v>0.22389999999999999</v>
      </c>
      <c r="Q442" s="41">
        <f>VLOOKUP(P442,'Dataset-2'!E443:K1053,2,)</f>
        <v>3</v>
      </c>
      <c r="R442" s="41">
        <f>VLOOKUP(Q442,'Dataset-2'!F443:L1053,2,)</f>
        <v>140</v>
      </c>
      <c r="S442" s="41">
        <f>VLOOKUP(R442,'Dataset-2'!G443:M1053,2,)</f>
        <v>143</v>
      </c>
    </row>
    <row r="443" spans="1:19" x14ac:dyDescent="0.35">
      <c r="A443" s="40">
        <v>442</v>
      </c>
      <c r="B443" s="62">
        <f>VLOOKUP(A443,'Dataset-1'!A444:M1054,2,)</f>
        <v>40563</v>
      </c>
      <c r="C443" s="41">
        <f>VLOOKUP(B443,'Dataset-1'!B444:N1054,2,)</f>
        <v>1</v>
      </c>
      <c r="D443" s="41">
        <f>VLOOKUP(C443,'Dataset-1'!C444:O1054,2,)</f>
        <v>0</v>
      </c>
      <c r="E443" s="41">
        <f>VLOOKUP(D443,'Dataset-1'!D444:P1054,2,)</f>
        <v>1</v>
      </c>
      <c r="F443" s="41">
        <f>VLOOKUP(E443,'Dataset-1'!E444:Q1054,2,)</f>
        <v>10</v>
      </c>
      <c r="G443" s="71" t="str">
        <f>VLOOKUP(F443,'Dataset-1'!F444:R1054,2,)</f>
        <v>Morning</v>
      </c>
      <c r="H443" s="41" t="b">
        <f>VLOOKUP(G443,'Dataset-1'!G444:S1054,2,)</f>
        <v>0</v>
      </c>
      <c r="I443" s="41">
        <f>VLOOKUP(H443,'Dataset-1'!H444:T1054,2,)</f>
        <v>4</v>
      </c>
      <c r="J443" s="71" t="str">
        <f>VLOOKUP(I443,'Dataset-1'!I444:U1054,2,)</f>
        <v>Wednesday</v>
      </c>
      <c r="K443" s="41">
        <f>VLOOKUP(J443,'Dataset-1'!J444:V1054,2,)</f>
        <v>1</v>
      </c>
      <c r="L443" s="41">
        <f>VLOOKUP(K443,'Dataset-1'!K444:W1054,2,)</f>
        <v>0.26</v>
      </c>
      <c r="M443" s="71" t="str">
        <f>VLOOKUP(L443,'Dataset-1'!L444:X1054,2,)</f>
        <v>Cloudy</v>
      </c>
      <c r="N443" s="41">
        <f>VLOOKUP(A443,'Dataset-2'!B444:H1054,2,)</f>
        <v>0.2273</v>
      </c>
      <c r="O443" s="41">
        <f>VLOOKUP(N443,'Dataset-2'!C444:I1054,2,)</f>
        <v>0.48</v>
      </c>
      <c r="P443" s="41">
        <f>VLOOKUP(O443,'Dataset-2'!D444:J1054,2,)</f>
        <v>0.29849999999999999</v>
      </c>
      <c r="Q443" s="41">
        <f>VLOOKUP(P443,'Dataset-2'!E444:K1054,2,)</f>
        <v>1</v>
      </c>
      <c r="R443" s="41">
        <f>VLOOKUP(Q443,'Dataset-2'!F444:L1054,2,)</f>
        <v>56</v>
      </c>
      <c r="S443" s="41">
        <f>VLOOKUP(R443,'Dataset-2'!G444:M1054,2,)</f>
        <v>57</v>
      </c>
    </row>
    <row r="444" spans="1:19" x14ac:dyDescent="0.35">
      <c r="A444" s="40">
        <v>443</v>
      </c>
      <c r="B444" s="62">
        <f>VLOOKUP(A444,'Dataset-1'!A445:M1055,2,)</f>
        <v>40563</v>
      </c>
      <c r="C444" s="41">
        <f>VLOOKUP(B444,'Dataset-1'!B445:N1055,2,)</f>
        <v>1</v>
      </c>
      <c r="D444" s="41">
        <f>VLOOKUP(C444,'Dataset-1'!C445:O1055,2,)</f>
        <v>0</v>
      </c>
      <c r="E444" s="41">
        <f>VLOOKUP(D444,'Dataset-1'!D445:P1055,2,)</f>
        <v>1</v>
      </c>
      <c r="F444" s="41">
        <f>VLOOKUP(E444,'Dataset-1'!E445:Q1055,2,)</f>
        <v>11</v>
      </c>
      <c r="G444" s="71" t="str">
        <f>VLOOKUP(F444,'Dataset-1'!F445:R1055,2,)</f>
        <v>Morning</v>
      </c>
      <c r="H444" s="41" t="b">
        <f>VLOOKUP(G444,'Dataset-1'!G445:S1055,2,)</f>
        <v>0</v>
      </c>
      <c r="I444" s="41">
        <f>VLOOKUP(H444,'Dataset-1'!H445:T1055,2,)</f>
        <v>4</v>
      </c>
      <c r="J444" s="71" t="str">
        <f>VLOOKUP(I444,'Dataset-1'!I445:U1055,2,)</f>
        <v>Wednesday</v>
      </c>
      <c r="K444" s="41">
        <f>VLOOKUP(J444,'Dataset-1'!J445:V1055,2,)</f>
        <v>2</v>
      </c>
      <c r="L444" s="41">
        <f>VLOOKUP(K444,'Dataset-1'!K445:W1055,2,)</f>
        <v>0.28000000000000003</v>
      </c>
      <c r="M444" s="71" t="str">
        <f>VLOOKUP(L444,'Dataset-1'!L445:X1055,2,)</f>
        <v>Cloudy</v>
      </c>
      <c r="N444" s="41">
        <f>VLOOKUP(A444,'Dataset-2'!B445:H1055,2,)</f>
        <v>0.2727</v>
      </c>
      <c r="O444" s="41">
        <f>VLOOKUP(N444,'Dataset-2'!C445:I1055,2,)</f>
        <v>0.45</v>
      </c>
      <c r="P444" s="41">
        <f>VLOOKUP(O444,'Dataset-2'!D445:J1055,2,)</f>
        <v>0.16420000000000001</v>
      </c>
      <c r="Q444" s="41">
        <f>VLOOKUP(P444,'Dataset-2'!E445:K1055,2,)</f>
        <v>5</v>
      </c>
      <c r="R444" s="41">
        <f>VLOOKUP(Q444,'Dataset-2'!F445:L1055,2,)</f>
        <v>63</v>
      </c>
      <c r="S444" s="41">
        <f>VLOOKUP(R444,'Dataset-2'!G445:M1055,2,)</f>
        <v>68</v>
      </c>
    </row>
    <row r="445" spans="1:19" x14ac:dyDescent="0.35">
      <c r="A445" s="40">
        <v>444</v>
      </c>
      <c r="B445" s="62">
        <f>VLOOKUP(A445,'Dataset-1'!A446:M1056,2,)</f>
        <v>40563</v>
      </c>
      <c r="C445" s="41">
        <f>VLOOKUP(B445,'Dataset-1'!B446:N1056,2,)</f>
        <v>1</v>
      </c>
      <c r="D445" s="41">
        <f>VLOOKUP(C445,'Dataset-1'!C446:O1056,2,)</f>
        <v>0</v>
      </c>
      <c r="E445" s="41">
        <f>VLOOKUP(D445,'Dataset-1'!D446:P1056,2,)</f>
        <v>1</v>
      </c>
      <c r="F445" s="41">
        <f>VLOOKUP(E445,'Dataset-1'!E446:Q1056,2,)</f>
        <v>12</v>
      </c>
      <c r="G445" s="71" t="str">
        <f>VLOOKUP(F445,'Dataset-1'!F446:R1056,2,)</f>
        <v>AfterNoon</v>
      </c>
      <c r="H445" s="41" t="b">
        <f>VLOOKUP(G445,'Dataset-1'!G446:S1056,2,)</f>
        <v>0</v>
      </c>
      <c r="I445" s="41">
        <f>VLOOKUP(H445,'Dataset-1'!H446:T1056,2,)</f>
        <v>4</v>
      </c>
      <c r="J445" s="71" t="str">
        <f>VLOOKUP(I445,'Dataset-1'!I446:U1056,2,)</f>
        <v>Wednesday</v>
      </c>
      <c r="K445" s="41">
        <f>VLOOKUP(J445,'Dataset-1'!J446:V1056,2,)</f>
        <v>2</v>
      </c>
      <c r="L445" s="41">
        <f>VLOOKUP(K445,'Dataset-1'!K446:W1056,2,)</f>
        <v>0.3</v>
      </c>
      <c r="M445" s="71" t="str">
        <f>VLOOKUP(L445,'Dataset-1'!L446:X1056,2,)</f>
        <v>Cloudy</v>
      </c>
      <c r="N445" s="41">
        <f>VLOOKUP(A445,'Dataset-2'!B446:H1056,2,)</f>
        <v>0.33329999999999999</v>
      </c>
      <c r="O445" s="41">
        <f>VLOOKUP(N445,'Dataset-2'!C446:I1056,2,)</f>
        <v>0.42</v>
      </c>
      <c r="P445" s="41">
        <f>VLOOKUP(O445,'Dataset-2'!D446:J1056,2,)</f>
        <v>0</v>
      </c>
      <c r="Q445" s="41">
        <f>VLOOKUP(P445,'Dataset-2'!E446:K1056,2,)</f>
        <v>7</v>
      </c>
      <c r="R445" s="41">
        <f>VLOOKUP(Q445,'Dataset-2'!F446:L1056,2,)</f>
        <v>77</v>
      </c>
      <c r="S445" s="41">
        <f>VLOOKUP(R445,'Dataset-2'!G446:M1056,2,)</f>
        <v>84</v>
      </c>
    </row>
    <row r="446" spans="1:19" x14ac:dyDescent="0.35">
      <c r="A446" s="40">
        <v>445</v>
      </c>
      <c r="B446" s="62">
        <f>VLOOKUP(A446,'Dataset-1'!A447:M1057,2,)</f>
        <v>40563</v>
      </c>
      <c r="C446" s="41">
        <f>VLOOKUP(B446,'Dataset-1'!B447:N1057,2,)</f>
        <v>1</v>
      </c>
      <c r="D446" s="41">
        <f>VLOOKUP(C446,'Dataset-1'!C447:O1057,2,)</f>
        <v>0</v>
      </c>
      <c r="E446" s="41">
        <f>VLOOKUP(D446,'Dataset-1'!D447:P1057,2,)</f>
        <v>1</v>
      </c>
      <c r="F446" s="41">
        <f>VLOOKUP(E446,'Dataset-1'!E447:Q1057,2,)</f>
        <v>13</v>
      </c>
      <c r="G446" s="71" t="str">
        <f>VLOOKUP(F446,'Dataset-1'!F447:R1057,2,)</f>
        <v>AfterNoon</v>
      </c>
      <c r="H446" s="41" t="b">
        <f>VLOOKUP(G446,'Dataset-1'!G447:S1057,2,)</f>
        <v>0</v>
      </c>
      <c r="I446" s="41">
        <f>VLOOKUP(H446,'Dataset-1'!H447:T1057,2,)</f>
        <v>4</v>
      </c>
      <c r="J446" s="71" t="str">
        <f>VLOOKUP(I446,'Dataset-1'!I447:U1057,2,)</f>
        <v>Wednesday</v>
      </c>
      <c r="K446" s="41">
        <f>VLOOKUP(J446,'Dataset-1'!J447:V1057,2,)</f>
        <v>2</v>
      </c>
      <c r="L446" s="41">
        <f>VLOOKUP(K446,'Dataset-1'!K447:W1057,2,)</f>
        <v>0.28000000000000003</v>
      </c>
      <c r="M446" s="71" t="str">
        <f>VLOOKUP(L446,'Dataset-1'!L447:X1057,2,)</f>
        <v>Cloudy</v>
      </c>
      <c r="N446" s="41">
        <f>VLOOKUP(A446,'Dataset-2'!B447:H1057,2,)</f>
        <v>0.28789999999999999</v>
      </c>
      <c r="O446" s="41">
        <f>VLOOKUP(N446,'Dataset-2'!C447:I1057,2,)</f>
        <v>0.45</v>
      </c>
      <c r="P446" s="41">
        <f>VLOOKUP(O446,'Dataset-2'!D447:J1057,2,)</f>
        <v>0.1045</v>
      </c>
      <c r="Q446" s="41">
        <f>VLOOKUP(P446,'Dataset-2'!E447:K1057,2,)</f>
        <v>12</v>
      </c>
      <c r="R446" s="41">
        <f>VLOOKUP(Q446,'Dataset-2'!F447:L1057,2,)</f>
        <v>86</v>
      </c>
      <c r="S446" s="41">
        <f>VLOOKUP(R446,'Dataset-2'!G447:M1057,2,)</f>
        <v>98</v>
      </c>
    </row>
    <row r="447" spans="1:19" x14ac:dyDescent="0.35">
      <c r="A447" s="40">
        <v>446</v>
      </c>
      <c r="B447" s="62">
        <f>VLOOKUP(A447,'Dataset-1'!A448:M1058,2,)</f>
        <v>40563</v>
      </c>
      <c r="C447" s="41">
        <f>VLOOKUP(B447,'Dataset-1'!B448:N1058,2,)</f>
        <v>1</v>
      </c>
      <c r="D447" s="41">
        <f>VLOOKUP(C447,'Dataset-1'!C448:O1058,2,)</f>
        <v>0</v>
      </c>
      <c r="E447" s="41">
        <f>VLOOKUP(D447,'Dataset-1'!D448:P1058,2,)</f>
        <v>1</v>
      </c>
      <c r="F447" s="41">
        <f>VLOOKUP(E447,'Dataset-1'!E448:Q1058,2,)</f>
        <v>14</v>
      </c>
      <c r="G447" s="71" t="str">
        <f>VLOOKUP(F447,'Dataset-1'!F448:R1058,2,)</f>
        <v>AfterNoon</v>
      </c>
      <c r="H447" s="41" t="b">
        <f>VLOOKUP(G447,'Dataset-1'!G448:S1058,2,)</f>
        <v>0</v>
      </c>
      <c r="I447" s="41">
        <f>VLOOKUP(H447,'Dataset-1'!H448:T1058,2,)</f>
        <v>4</v>
      </c>
      <c r="J447" s="71" t="str">
        <f>VLOOKUP(I447,'Dataset-1'!I448:U1058,2,)</f>
        <v>Wednesday</v>
      </c>
      <c r="K447" s="41">
        <f>VLOOKUP(J447,'Dataset-1'!J448:V1058,2,)</f>
        <v>2</v>
      </c>
      <c r="L447" s="41">
        <f>VLOOKUP(K447,'Dataset-1'!K448:W1058,2,)</f>
        <v>0.3</v>
      </c>
      <c r="M447" s="71" t="str">
        <f>VLOOKUP(L447,'Dataset-1'!L448:X1058,2,)</f>
        <v>Cloudy</v>
      </c>
      <c r="N447" s="41">
        <f>VLOOKUP(A447,'Dataset-2'!B448:H1058,2,)</f>
        <v>0.30299999999999999</v>
      </c>
      <c r="O447" s="41">
        <f>VLOOKUP(N447,'Dataset-2'!C448:I1058,2,)</f>
        <v>0.45</v>
      </c>
      <c r="P447" s="41">
        <f>VLOOKUP(O447,'Dataset-2'!D448:J1058,2,)</f>
        <v>0.1343</v>
      </c>
      <c r="Q447" s="41">
        <f>VLOOKUP(P447,'Dataset-2'!E448:K1058,2,)</f>
        <v>6</v>
      </c>
      <c r="R447" s="41">
        <f>VLOOKUP(Q447,'Dataset-2'!F448:L1058,2,)</f>
        <v>75</v>
      </c>
      <c r="S447" s="41">
        <f>VLOOKUP(R447,'Dataset-2'!G448:M1058,2,)</f>
        <v>81</v>
      </c>
    </row>
    <row r="448" spans="1:19" x14ac:dyDescent="0.35">
      <c r="A448" s="40">
        <v>447</v>
      </c>
      <c r="B448" s="62">
        <f>VLOOKUP(A448,'Dataset-1'!A449:M1059,2,)</f>
        <v>40563</v>
      </c>
      <c r="C448" s="41">
        <f>VLOOKUP(B448,'Dataset-1'!B449:N1059,2,)</f>
        <v>1</v>
      </c>
      <c r="D448" s="41">
        <f>VLOOKUP(C448,'Dataset-1'!C449:O1059,2,)</f>
        <v>0</v>
      </c>
      <c r="E448" s="41">
        <f>VLOOKUP(D448,'Dataset-1'!D449:P1059,2,)</f>
        <v>1</v>
      </c>
      <c r="F448" s="41">
        <f>VLOOKUP(E448,'Dataset-1'!E449:Q1059,2,)</f>
        <v>15</v>
      </c>
      <c r="G448" s="71" t="str">
        <f>VLOOKUP(F448,'Dataset-1'!F449:R1059,2,)</f>
        <v>AfterNoon</v>
      </c>
      <c r="H448" s="41" t="b">
        <f>VLOOKUP(G448,'Dataset-1'!G449:S1059,2,)</f>
        <v>0</v>
      </c>
      <c r="I448" s="41">
        <f>VLOOKUP(H448,'Dataset-1'!H449:T1059,2,)</f>
        <v>4</v>
      </c>
      <c r="J448" s="71" t="str">
        <f>VLOOKUP(I448,'Dataset-1'!I449:U1059,2,)</f>
        <v>Wednesday</v>
      </c>
      <c r="K448" s="41">
        <f>VLOOKUP(J448,'Dataset-1'!J449:V1059,2,)</f>
        <v>2</v>
      </c>
      <c r="L448" s="41">
        <f>VLOOKUP(K448,'Dataset-1'!K449:W1059,2,)</f>
        <v>0.32</v>
      </c>
      <c r="M448" s="71" t="str">
        <f>VLOOKUP(L448,'Dataset-1'!L449:X1059,2,)</f>
        <v>Sunny</v>
      </c>
      <c r="N448" s="41">
        <f>VLOOKUP(A448,'Dataset-2'!B449:H1059,2,)</f>
        <v>0.31819999999999998</v>
      </c>
      <c r="O448" s="41">
        <f>VLOOKUP(N448,'Dataset-2'!C449:I1059,2,)</f>
        <v>0.45</v>
      </c>
      <c r="P448" s="41">
        <f>VLOOKUP(O448,'Dataset-2'!D449:J1059,2,)</f>
        <v>0.19400000000000001</v>
      </c>
      <c r="Q448" s="41">
        <f>VLOOKUP(P448,'Dataset-2'!E449:K1059,2,)</f>
        <v>8</v>
      </c>
      <c r="R448" s="41">
        <f>VLOOKUP(Q448,'Dataset-2'!F449:L1059,2,)</f>
        <v>62</v>
      </c>
      <c r="S448" s="41">
        <f>VLOOKUP(R448,'Dataset-2'!G449:M1059,2,)</f>
        <v>70</v>
      </c>
    </row>
    <row r="449" spans="1:19" x14ac:dyDescent="0.35">
      <c r="A449" s="40">
        <v>448</v>
      </c>
      <c r="B449" s="62">
        <f>VLOOKUP(A449,'Dataset-1'!A450:M1060,2,)</f>
        <v>40563</v>
      </c>
      <c r="C449" s="41">
        <f>VLOOKUP(B449,'Dataset-1'!B450:N1060,2,)</f>
        <v>1</v>
      </c>
      <c r="D449" s="41">
        <f>VLOOKUP(C449,'Dataset-1'!C450:O1060,2,)</f>
        <v>0</v>
      </c>
      <c r="E449" s="41">
        <f>VLOOKUP(D449,'Dataset-1'!D450:P1060,2,)</f>
        <v>1</v>
      </c>
      <c r="F449" s="41">
        <f>VLOOKUP(E449,'Dataset-1'!E450:Q1060,2,)</f>
        <v>16</v>
      </c>
      <c r="G449" s="71" t="str">
        <f>VLOOKUP(F449,'Dataset-1'!F450:R1060,2,)</f>
        <v>AfterNoon</v>
      </c>
      <c r="H449" s="41" t="b">
        <f>VLOOKUP(G449,'Dataset-1'!G450:S1060,2,)</f>
        <v>0</v>
      </c>
      <c r="I449" s="41">
        <f>VLOOKUP(H449,'Dataset-1'!H450:T1060,2,)</f>
        <v>4</v>
      </c>
      <c r="J449" s="71" t="str">
        <f>VLOOKUP(I449,'Dataset-1'!I450:U1060,2,)</f>
        <v>Wednesday</v>
      </c>
      <c r="K449" s="41">
        <f>VLOOKUP(J449,'Dataset-1'!J450:V1060,2,)</f>
        <v>2</v>
      </c>
      <c r="L449" s="41">
        <f>VLOOKUP(K449,'Dataset-1'!K450:W1060,2,)</f>
        <v>0.3</v>
      </c>
      <c r="M449" s="71" t="str">
        <f>VLOOKUP(L449,'Dataset-1'!L450:X1060,2,)</f>
        <v>Cloudy</v>
      </c>
      <c r="N449" s="41">
        <f>VLOOKUP(A449,'Dataset-2'!B450:H1060,2,)</f>
        <v>0.30299999999999999</v>
      </c>
      <c r="O449" s="41">
        <f>VLOOKUP(N449,'Dataset-2'!C450:I1060,2,)</f>
        <v>0.49</v>
      </c>
      <c r="P449" s="41">
        <f>VLOOKUP(O449,'Dataset-2'!D450:J1060,2,)</f>
        <v>0.1343</v>
      </c>
      <c r="Q449" s="41">
        <f>VLOOKUP(P449,'Dataset-2'!E450:K1060,2,)</f>
        <v>8</v>
      </c>
      <c r="R449" s="41">
        <f>VLOOKUP(Q449,'Dataset-2'!F450:L1060,2,)</f>
        <v>83</v>
      </c>
      <c r="S449" s="41">
        <f>VLOOKUP(R449,'Dataset-2'!G450:M1060,2,)</f>
        <v>91</v>
      </c>
    </row>
    <row r="450" spans="1:19" x14ac:dyDescent="0.35">
      <c r="A450" s="40">
        <v>449</v>
      </c>
      <c r="B450" s="62">
        <f>VLOOKUP(A450,'Dataset-1'!A451:M1061,2,)</f>
        <v>40563</v>
      </c>
      <c r="C450" s="41">
        <f>VLOOKUP(B450,'Dataset-1'!B451:N1061,2,)</f>
        <v>1</v>
      </c>
      <c r="D450" s="41">
        <f>VLOOKUP(C450,'Dataset-1'!C451:O1061,2,)</f>
        <v>0</v>
      </c>
      <c r="E450" s="41">
        <f>VLOOKUP(D450,'Dataset-1'!D451:P1061,2,)</f>
        <v>1</v>
      </c>
      <c r="F450" s="41">
        <f>VLOOKUP(E450,'Dataset-1'!E451:Q1061,2,)</f>
        <v>17</v>
      </c>
      <c r="G450" s="71" t="str">
        <f>VLOOKUP(F450,'Dataset-1'!F451:R1061,2,)</f>
        <v>Evening</v>
      </c>
      <c r="H450" s="41" t="b">
        <f>VLOOKUP(G450,'Dataset-1'!G451:S1061,2,)</f>
        <v>0</v>
      </c>
      <c r="I450" s="41">
        <f>VLOOKUP(H450,'Dataset-1'!H451:T1061,2,)</f>
        <v>4</v>
      </c>
      <c r="J450" s="71" t="str">
        <f>VLOOKUP(I450,'Dataset-1'!I451:U1061,2,)</f>
        <v>Wednesday</v>
      </c>
      <c r="K450" s="41">
        <f>VLOOKUP(J450,'Dataset-1'!J451:V1061,2,)</f>
        <v>2</v>
      </c>
      <c r="L450" s="41">
        <f>VLOOKUP(K450,'Dataset-1'!K451:W1061,2,)</f>
        <v>0.3</v>
      </c>
      <c r="M450" s="71" t="str">
        <f>VLOOKUP(L450,'Dataset-1'!L451:X1061,2,)</f>
        <v>Cloudy</v>
      </c>
      <c r="N450" s="41">
        <f>VLOOKUP(A450,'Dataset-2'!B451:H1061,2,)</f>
        <v>0.31819999999999998</v>
      </c>
      <c r="O450" s="41">
        <f>VLOOKUP(N450,'Dataset-2'!C451:I1061,2,)</f>
        <v>0.49</v>
      </c>
      <c r="P450" s="41">
        <f>VLOOKUP(O450,'Dataset-2'!D451:J1061,2,)</f>
        <v>0.1045</v>
      </c>
      <c r="Q450" s="41">
        <f>VLOOKUP(P450,'Dataset-2'!E451:K1061,2,)</f>
        <v>8</v>
      </c>
      <c r="R450" s="41">
        <f>VLOOKUP(Q450,'Dataset-2'!F451:L1061,2,)</f>
        <v>207</v>
      </c>
      <c r="S450" s="41">
        <f>VLOOKUP(R450,'Dataset-2'!G451:M1061,2,)</f>
        <v>215</v>
      </c>
    </row>
    <row r="451" spans="1:19" x14ac:dyDescent="0.35">
      <c r="A451" s="40">
        <v>450</v>
      </c>
      <c r="B451" s="62">
        <f>VLOOKUP(A451,'Dataset-1'!A452:M1062,2,)</f>
        <v>40563</v>
      </c>
      <c r="C451" s="41">
        <f>VLOOKUP(B451,'Dataset-1'!B452:N1062,2,)</f>
        <v>1</v>
      </c>
      <c r="D451" s="41">
        <f>VLOOKUP(C451,'Dataset-1'!C452:O1062,2,)</f>
        <v>0</v>
      </c>
      <c r="E451" s="41">
        <f>VLOOKUP(D451,'Dataset-1'!D452:P1062,2,)</f>
        <v>1</v>
      </c>
      <c r="F451" s="41">
        <f>VLOOKUP(E451,'Dataset-1'!E452:Q1062,2,)</f>
        <v>18</v>
      </c>
      <c r="G451" s="71" t="str">
        <f>VLOOKUP(F451,'Dataset-1'!F452:R1062,2,)</f>
        <v>Evening</v>
      </c>
      <c r="H451" s="41" t="b">
        <f>VLOOKUP(G451,'Dataset-1'!G452:S1062,2,)</f>
        <v>0</v>
      </c>
      <c r="I451" s="41">
        <f>VLOOKUP(H451,'Dataset-1'!H452:T1062,2,)</f>
        <v>4</v>
      </c>
      <c r="J451" s="71" t="str">
        <f>VLOOKUP(I451,'Dataset-1'!I452:U1062,2,)</f>
        <v>Wednesday</v>
      </c>
      <c r="K451" s="41">
        <f>VLOOKUP(J451,'Dataset-1'!J452:V1062,2,)</f>
        <v>2</v>
      </c>
      <c r="L451" s="41">
        <f>VLOOKUP(K451,'Dataset-1'!K452:W1062,2,)</f>
        <v>0.26</v>
      </c>
      <c r="M451" s="71" t="str">
        <f>VLOOKUP(L451,'Dataset-1'!L452:X1062,2,)</f>
        <v>Cloudy</v>
      </c>
      <c r="N451" s="41">
        <f>VLOOKUP(A451,'Dataset-2'!B452:H1062,2,)</f>
        <v>0.2576</v>
      </c>
      <c r="O451" s="41">
        <f>VLOOKUP(N451,'Dataset-2'!C452:I1062,2,)</f>
        <v>0.56000000000000005</v>
      </c>
      <c r="P451" s="41">
        <f>VLOOKUP(O451,'Dataset-2'!D452:J1062,2,)</f>
        <v>0.19400000000000001</v>
      </c>
      <c r="Q451" s="41">
        <f>VLOOKUP(P451,'Dataset-2'!E452:K1062,2,)</f>
        <v>1</v>
      </c>
      <c r="R451" s="41">
        <f>VLOOKUP(Q451,'Dataset-2'!F452:L1062,2,)</f>
        <v>184</v>
      </c>
      <c r="S451" s="41">
        <f>VLOOKUP(R451,'Dataset-2'!G452:M1062,2,)</f>
        <v>185</v>
      </c>
    </row>
    <row r="452" spans="1:19" x14ac:dyDescent="0.35">
      <c r="A452" s="40">
        <v>451</v>
      </c>
      <c r="B452" s="62">
        <f>VLOOKUP(A452,'Dataset-1'!A453:M1063,2,)</f>
        <v>40563</v>
      </c>
      <c r="C452" s="41">
        <f>VLOOKUP(B452,'Dataset-1'!B453:N1063,2,)</f>
        <v>1</v>
      </c>
      <c r="D452" s="41">
        <f>VLOOKUP(C452,'Dataset-1'!C453:O1063,2,)</f>
        <v>0</v>
      </c>
      <c r="E452" s="41">
        <f>VLOOKUP(D452,'Dataset-1'!D453:P1063,2,)</f>
        <v>1</v>
      </c>
      <c r="F452" s="41">
        <f>VLOOKUP(E452,'Dataset-1'!E453:Q1063,2,)</f>
        <v>19</v>
      </c>
      <c r="G452" s="71" t="str">
        <f>VLOOKUP(F452,'Dataset-1'!F453:R1063,2,)</f>
        <v>Evening</v>
      </c>
      <c r="H452" s="41" t="b">
        <f>VLOOKUP(G452,'Dataset-1'!G453:S1063,2,)</f>
        <v>0</v>
      </c>
      <c r="I452" s="41">
        <f>VLOOKUP(H452,'Dataset-1'!H453:T1063,2,)</f>
        <v>4</v>
      </c>
      <c r="J452" s="71" t="str">
        <f>VLOOKUP(I452,'Dataset-1'!I453:U1063,2,)</f>
        <v>Wednesday</v>
      </c>
      <c r="K452" s="41">
        <f>VLOOKUP(J452,'Dataset-1'!J453:V1063,2,)</f>
        <v>1</v>
      </c>
      <c r="L452" s="41">
        <f>VLOOKUP(K452,'Dataset-1'!K453:W1063,2,)</f>
        <v>0.26</v>
      </c>
      <c r="M452" s="71" t="str">
        <f>VLOOKUP(L452,'Dataset-1'!L453:X1063,2,)</f>
        <v>Cloudy</v>
      </c>
      <c r="N452" s="41">
        <f>VLOOKUP(A452,'Dataset-2'!B453:H1063,2,)</f>
        <v>0.2273</v>
      </c>
      <c r="O452" s="41">
        <f>VLOOKUP(N452,'Dataset-2'!C453:I1063,2,)</f>
        <v>0.56000000000000005</v>
      </c>
      <c r="P452" s="41">
        <f>VLOOKUP(O452,'Dataset-2'!D453:J1063,2,)</f>
        <v>0.32840000000000003</v>
      </c>
      <c r="Q452" s="41">
        <f>VLOOKUP(P452,'Dataset-2'!E453:K1063,2,)</f>
        <v>6</v>
      </c>
      <c r="R452" s="41">
        <f>VLOOKUP(Q452,'Dataset-2'!F453:L1063,2,)</f>
        <v>146</v>
      </c>
      <c r="S452" s="41">
        <f>VLOOKUP(R452,'Dataset-2'!G453:M1063,2,)</f>
        <v>152</v>
      </c>
    </row>
    <row r="453" spans="1:19" x14ac:dyDescent="0.35">
      <c r="A453" s="40">
        <v>452</v>
      </c>
      <c r="B453" s="62">
        <f>VLOOKUP(A453,'Dataset-1'!A454:M1064,2,)</f>
        <v>40563</v>
      </c>
      <c r="C453" s="41">
        <f>VLOOKUP(B453,'Dataset-1'!B454:N1064,2,)</f>
        <v>1</v>
      </c>
      <c r="D453" s="41">
        <f>VLOOKUP(C453,'Dataset-1'!C454:O1064,2,)</f>
        <v>0</v>
      </c>
      <c r="E453" s="41">
        <f>VLOOKUP(D453,'Dataset-1'!D454:P1064,2,)</f>
        <v>1</v>
      </c>
      <c r="F453" s="41">
        <f>VLOOKUP(E453,'Dataset-1'!E454:Q1064,2,)</f>
        <v>20</v>
      </c>
      <c r="G453" s="71" t="str">
        <f>VLOOKUP(F453,'Dataset-1'!F454:R1064,2,)</f>
        <v>Night</v>
      </c>
      <c r="H453" s="41" t="b">
        <f>VLOOKUP(G453,'Dataset-1'!G454:S1064,2,)</f>
        <v>0</v>
      </c>
      <c r="I453" s="41">
        <f>VLOOKUP(H453,'Dataset-1'!H454:T1064,2,)</f>
        <v>4</v>
      </c>
      <c r="J453" s="71" t="str">
        <f>VLOOKUP(I453,'Dataset-1'!I454:U1064,2,)</f>
        <v>Wednesday</v>
      </c>
      <c r="K453" s="41">
        <f>VLOOKUP(J453,'Dataset-1'!J454:V1064,2,)</f>
        <v>2</v>
      </c>
      <c r="L453" s="41">
        <f>VLOOKUP(K453,'Dataset-1'!K454:W1064,2,)</f>
        <v>0.26</v>
      </c>
      <c r="M453" s="71" t="str">
        <f>VLOOKUP(L453,'Dataset-1'!L454:X1064,2,)</f>
        <v>Cloudy</v>
      </c>
      <c r="N453" s="41">
        <f>VLOOKUP(A453,'Dataset-2'!B454:H1064,2,)</f>
        <v>0.2424</v>
      </c>
      <c r="O453" s="41">
        <f>VLOOKUP(N453,'Dataset-2'!C454:I1064,2,)</f>
        <v>0.6</v>
      </c>
      <c r="P453" s="41">
        <f>VLOOKUP(O453,'Dataset-2'!D454:J1064,2,)</f>
        <v>0.28360000000000002</v>
      </c>
      <c r="Q453" s="41">
        <f>VLOOKUP(P453,'Dataset-2'!E454:K1064,2,)</f>
        <v>2</v>
      </c>
      <c r="R453" s="41">
        <f>VLOOKUP(Q453,'Dataset-2'!F454:L1064,2,)</f>
        <v>124</v>
      </c>
      <c r="S453" s="41">
        <f>VLOOKUP(R453,'Dataset-2'!G454:M1064,2,)</f>
        <v>126</v>
      </c>
    </row>
    <row r="454" spans="1:19" x14ac:dyDescent="0.35">
      <c r="A454" s="40">
        <v>453</v>
      </c>
      <c r="B454" s="62">
        <f>VLOOKUP(A454,'Dataset-1'!A455:M1065,2,)</f>
        <v>40563</v>
      </c>
      <c r="C454" s="41">
        <f>VLOOKUP(B454,'Dataset-1'!B455:N1065,2,)</f>
        <v>1</v>
      </c>
      <c r="D454" s="41">
        <f>VLOOKUP(C454,'Dataset-1'!C455:O1065,2,)</f>
        <v>0</v>
      </c>
      <c r="E454" s="41">
        <f>VLOOKUP(D454,'Dataset-1'!D455:P1065,2,)</f>
        <v>1</v>
      </c>
      <c r="F454" s="41">
        <f>VLOOKUP(E454,'Dataset-1'!E455:Q1065,2,)</f>
        <v>21</v>
      </c>
      <c r="G454" s="71" t="str">
        <f>VLOOKUP(F454,'Dataset-1'!F455:R1065,2,)</f>
        <v>Night</v>
      </c>
      <c r="H454" s="41" t="b">
        <f>VLOOKUP(G454,'Dataset-1'!G455:S1065,2,)</f>
        <v>0</v>
      </c>
      <c r="I454" s="41">
        <f>VLOOKUP(H454,'Dataset-1'!H455:T1065,2,)</f>
        <v>4</v>
      </c>
      <c r="J454" s="71" t="str">
        <f>VLOOKUP(I454,'Dataset-1'!I455:U1065,2,)</f>
        <v>Wednesday</v>
      </c>
      <c r="K454" s="41">
        <f>VLOOKUP(J454,'Dataset-1'!J455:V1065,2,)</f>
        <v>2</v>
      </c>
      <c r="L454" s="41">
        <f>VLOOKUP(K454,'Dataset-1'!K455:W1065,2,)</f>
        <v>0.24</v>
      </c>
      <c r="M454" s="71" t="str">
        <f>VLOOKUP(L454,'Dataset-1'!L455:X1065,2,)</f>
        <v>Cloudy</v>
      </c>
      <c r="N454" s="41">
        <f>VLOOKUP(A454,'Dataset-2'!B455:H1065,2,)</f>
        <v>0.2273</v>
      </c>
      <c r="O454" s="41">
        <f>VLOOKUP(N454,'Dataset-2'!C455:I1065,2,)</f>
        <v>0.6</v>
      </c>
      <c r="P454" s="41">
        <f>VLOOKUP(O454,'Dataset-2'!D455:J1065,2,)</f>
        <v>0.25369999999999998</v>
      </c>
      <c r="Q454" s="41">
        <f>VLOOKUP(P454,'Dataset-2'!E455:K1065,2,)</f>
        <v>3</v>
      </c>
      <c r="R454" s="41">
        <f>VLOOKUP(Q454,'Dataset-2'!F455:L1065,2,)</f>
        <v>54</v>
      </c>
      <c r="S454" s="41">
        <f>VLOOKUP(R454,'Dataset-2'!G455:M1065,2,)</f>
        <v>57</v>
      </c>
    </row>
    <row r="455" spans="1:19" x14ac:dyDescent="0.35">
      <c r="A455" s="40">
        <v>454</v>
      </c>
      <c r="B455" s="62">
        <f>VLOOKUP(A455,'Dataset-1'!A456:M1066,2,)</f>
        <v>40563</v>
      </c>
      <c r="C455" s="41">
        <f>VLOOKUP(B455,'Dataset-1'!B456:N1066,2,)</f>
        <v>1</v>
      </c>
      <c r="D455" s="41">
        <f>VLOOKUP(C455,'Dataset-1'!C456:O1066,2,)</f>
        <v>0</v>
      </c>
      <c r="E455" s="41">
        <f>VLOOKUP(D455,'Dataset-1'!D456:P1066,2,)</f>
        <v>1</v>
      </c>
      <c r="F455" s="41">
        <f>VLOOKUP(E455,'Dataset-1'!E456:Q1066,2,)</f>
        <v>22</v>
      </c>
      <c r="G455" s="71" t="str">
        <f>VLOOKUP(F455,'Dataset-1'!F456:R1066,2,)</f>
        <v>Night</v>
      </c>
      <c r="H455" s="41" t="b">
        <f>VLOOKUP(G455,'Dataset-1'!G456:S1066,2,)</f>
        <v>0</v>
      </c>
      <c r="I455" s="41">
        <f>VLOOKUP(H455,'Dataset-1'!H456:T1066,2,)</f>
        <v>4</v>
      </c>
      <c r="J455" s="71" t="str">
        <f>VLOOKUP(I455,'Dataset-1'!I456:U1066,2,)</f>
        <v>Wednesday</v>
      </c>
      <c r="K455" s="41">
        <f>VLOOKUP(J455,'Dataset-1'!J456:V1066,2,)</f>
        <v>2</v>
      </c>
      <c r="L455" s="41">
        <f>VLOOKUP(K455,'Dataset-1'!K456:W1066,2,)</f>
        <v>0.24</v>
      </c>
      <c r="M455" s="71" t="str">
        <f>VLOOKUP(L455,'Dataset-1'!L456:X1066,2,)</f>
        <v>Cloudy</v>
      </c>
      <c r="N455" s="41">
        <f>VLOOKUP(A455,'Dataset-2'!B456:H1066,2,)</f>
        <v>0.21210000000000001</v>
      </c>
      <c r="O455" s="41">
        <f>VLOOKUP(N455,'Dataset-2'!C456:I1066,2,)</f>
        <v>0.65</v>
      </c>
      <c r="P455" s="41">
        <f>VLOOKUP(O455,'Dataset-2'!D456:J1066,2,)</f>
        <v>0.28360000000000002</v>
      </c>
      <c r="Q455" s="41">
        <f>VLOOKUP(P455,'Dataset-2'!E456:K1066,2,)</f>
        <v>0</v>
      </c>
      <c r="R455" s="41">
        <f>VLOOKUP(Q455,'Dataset-2'!F456:L1066,2,)</f>
        <v>56</v>
      </c>
      <c r="S455" s="41">
        <f>VLOOKUP(R455,'Dataset-2'!G456:M1066,2,)</f>
        <v>56</v>
      </c>
    </row>
    <row r="456" spans="1:19" x14ac:dyDescent="0.35">
      <c r="A456" s="40">
        <v>455</v>
      </c>
      <c r="B456" s="62">
        <f>VLOOKUP(A456,'Dataset-1'!A457:M1067,2,)</f>
        <v>40563</v>
      </c>
      <c r="C456" s="41">
        <f>VLOOKUP(B456,'Dataset-1'!B457:N1067,2,)</f>
        <v>1</v>
      </c>
      <c r="D456" s="41">
        <f>VLOOKUP(C456,'Dataset-1'!C457:O1067,2,)</f>
        <v>0</v>
      </c>
      <c r="E456" s="41">
        <f>VLOOKUP(D456,'Dataset-1'!D457:P1067,2,)</f>
        <v>1</v>
      </c>
      <c r="F456" s="41">
        <f>VLOOKUP(E456,'Dataset-1'!E457:Q1067,2,)</f>
        <v>23</v>
      </c>
      <c r="G456" s="71" t="str">
        <f>VLOOKUP(F456,'Dataset-1'!F457:R1067,2,)</f>
        <v>Night</v>
      </c>
      <c r="H456" s="41" t="b">
        <f>VLOOKUP(G456,'Dataset-1'!G457:S1067,2,)</f>
        <v>0</v>
      </c>
      <c r="I456" s="41">
        <f>VLOOKUP(H456,'Dataset-1'!H457:T1067,2,)</f>
        <v>4</v>
      </c>
      <c r="J456" s="71" t="str">
        <f>VLOOKUP(I456,'Dataset-1'!I457:U1067,2,)</f>
        <v>Wednesday</v>
      </c>
      <c r="K456" s="41">
        <f>VLOOKUP(J456,'Dataset-1'!J457:V1067,2,)</f>
        <v>2</v>
      </c>
      <c r="L456" s="41">
        <f>VLOOKUP(K456,'Dataset-1'!K457:W1067,2,)</f>
        <v>0.24</v>
      </c>
      <c r="M456" s="71" t="str">
        <f>VLOOKUP(L456,'Dataset-1'!L457:X1067,2,)</f>
        <v>Cloudy</v>
      </c>
      <c r="N456" s="41">
        <f>VLOOKUP(A456,'Dataset-2'!B457:H1067,2,)</f>
        <v>0.21210000000000001</v>
      </c>
      <c r="O456" s="41">
        <f>VLOOKUP(N456,'Dataset-2'!C457:I1067,2,)</f>
        <v>0.65</v>
      </c>
      <c r="P456" s="41">
        <f>VLOOKUP(O456,'Dataset-2'!D457:J1067,2,)</f>
        <v>0.32840000000000003</v>
      </c>
      <c r="Q456" s="41">
        <f>VLOOKUP(P456,'Dataset-2'!E457:K1067,2,)</f>
        <v>3</v>
      </c>
      <c r="R456" s="41">
        <f>VLOOKUP(Q456,'Dataset-2'!F457:L1067,2,)</f>
        <v>28</v>
      </c>
      <c r="S456" s="41">
        <f>VLOOKUP(R456,'Dataset-2'!G457:M1067,2,)</f>
        <v>31</v>
      </c>
    </row>
    <row r="457" spans="1:19" x14ac:dyDescent="0.35">
      <c r="A457" s="40">
        <v>456</v>
      </c>
      <c r="B457" s="62">
        <f>VLOOKUP(A457,'Dataset-1'!A458:M1068,2,)</f>
        <v>40564</v>
      </c>
      <c r="C457" s="41">
        <f>VLOOKUP(B457,'Dataset-1'!B458:N1068,2,)</f>
        <v>1</v>
      </c>
      <c r="D457" s="41">
        <f>VLOOKUP(C457,'Dataset-1'!C458:O1068,2,)</f>
        <v>0</v>
      </c>
      <c r="E457" s="41">
        <f>VLOOKUP(D457,'Dataset-1'!D458:P1068,2,)</f>
        <v>1</v>
      </c>
      <c r="F457" s="41">
        <f>VLOOKUP(E457,'Dataset-1'!E458:Q1068,2,)</f>
        <v>0</v>
      </c>
      <c r="G457" s="71" t="str">
        <f>VLOOKUP(F457,'Dataset-1'!F458:R1068,2,)</f>
        <v>Night</v>
      </c>
      <c r="H457" s="41" t="b">
        <f>VLOOKUP(G457,'Dataset-1'!G458:S1068,2,)</f>
        <v>0</v>
      </c>
      <c r="I457" s="41">
        <f>VLOOKUP(H457,'Dataset-1'!H458:T1068,2,)</f>
        <v>5</v>
      </c>
      <c r="J457" s="71" t="str">
        <f>VLOOKUP(I457,'Dataset-1'!I458:U1068,2,)</f>
        <v>Thusday</v>
      </c>
      <c r="K457" s="41">
        <f>VLOOKUP(J457,'Dataset-1'!J458:V1068,2,)</f>
        <v>2</v>
      </c>
      <c r="L457" s="41">
        <f>VLOOKUP(K457,'Dataset-1'!K458:W1068,2,)</f>
        <v>0.24</v>
      </c>
      <c r="M457" s="71" t="str">
        <f>VLOOKUP(L457,'Dataset-1'!L458:X1068,2,)</f>
        <v>Cloudy</v>
      </c>
      <c r="N457" s="41">
        <f>VLOOKUP(A457,'Dataset-2'!B458:H1068,2,)</f>
        <v>0.2273</v>
      </c>
      <c r="O457" s="41">
        <f>VLOOKUP(N457,'Dataset-2'!C458:I1068,2,)</f>
        <v>0.7</v>
      </c>
      <c r="P457" s="41">
        <f>VLOOKUP(O457,'Dataset-2'!D458:J1068,2,)</f>
        <v>0.25369999999999998</v>
      </c>
      <c r="Q457" s="41">
        <f>VLOOKUP(P457,'Dataset-2'!E458:K1068,2,)</f>
        <v>1</v>
      </c>
      <c r="R457" s="41">
        <f>VLOOKUP(Q457,'Dataset-2'!F458:L1068,2,)</f>
        <v>20</v>
      </c>
      <c r="S457" s="41">
        <f>VLOOKUP(R457,'Dataset-2'!G458:M1068,2,)</f>
        <v>21</v>
      </c>
    </row>
    <row r="458" spans="1:19" x14ac:dyDescent="0.35">
      <c r="A458" s="40">
        <v>457</v>
      </c>
      <c r="B458" s="62">
        <f>VLOOKUP(A458,'Dataset-1'!A459:M1069,2,)</f>
        <v>40564</v>
      </c>
      <c r="C458" s="41">
        <f>VLOOKUP(B458,'Dataset-1'!B459:N1069,2,)</f>
        <v>1</v>
      </c>
      <c r="D458" s="41">
        <f>VLOOKUP(C458,'Dataset-1'!C459:O1069,2,)</f>
        <v>0</v>
      </c>
      <c r="E458" s="41">
        <f>VLOOKUP(D458,'Dataset-1'!D459:P1069,2,)</f>
        <v>1</v>
      </c>
      <c r="F458" s="41">
        <f>VLOOKUP(E458,'Dataset-1'!E459:Q1069,2,)</f>
        <v>1</v>
      </c>
      <c r="G458" s="71" t="str">
        <f>VLOOKUP(F458,'Dataset-1'!F459:R1069,2,)</f>
        <v>Night</v>
      </c>
      <c r="H458" s="41" t="b">
        <f>VLOOKUP(G458,'Dataset-1'!G459:S1069,2,)</f>
        <v>0</v>
      </c>
      <c r="I458" s="41">
        <f>VLOOKUP(H458,'Dataset-1'!H459:T1069,2,)</f>
        <v>5</v>
      </c>
      <c r="J458" s="71" t="str">
        <f>VLOOKUP(I458,'Dataset-1'!I459:U1069,2,)</f>
        <v>Thusday</v>
      </c>
      <c r="K458" s="41">
        <f>VLOOKUP(J458,'Dataset-1'!J459:V1069,2,)</f>
        <v>2</v>
      </c>
      <c r="L458" s="41">
        <f>VLOOKUP(K458,'Dataset-1'!K459:W1069,2,)</f>
        <v>0.24</v>
      </c>
      <c r="M458" s="71" t="str">
        <f>VLOOKUP(L458,'Dataset-1'!L459:X1069,2,)</f>
        <v>Cloudy</v>
      </c>
      <c r="N458" s="41">
        <f>VLOOKUP(A458,'Dataset-2'!B459:H1069,2,)</f>
        <v>0.2273</v>
      </c>
      <c r="O458" s="41">
        <f>VLOOKUP(N458,'Dataset-2'!C459:I1069,2,)</f>
        <v>0.7</v>
      </c>
      <c r="P458" s="41">
        <f>VLOOKUP(O458,'Dataset-2'!D459:J1069,2,)</f>
        <v>0.25369999999999998</v>
      </c>
      <c r="Q458" s="41">
        <f>VLOOKUP(P458,'Dataset-2'!E459:K1069,2,)</f>
        <v>0</v>
      </c>
      <c r="R458" s="41">
        <f>VLOOKUP(Q458,'Dataset-2'!F459:L1069,2,)</f>
        <v>6</v>
      </c>
      <c r="S458" s="41">
        <f>VLOOKUP(R458,'Dataset-2'!G459:M1069,2,)</f>
        <v>6</v>
      </c>
    </row>
    <row r="459" spans="1:19" x14ac:dyDescent="0.35">
      <c r="A459" s="40">
        <v>458</v>
      </c>
      <c r="B459" s="62">
        <f>VLOOKUP(A459,'Dataset-1'!A460:M1070,2,)</f>
        <v>40564</v>
      </c>
      <c r="C459" s="41">
        <f>VLOOKUP(B459,'Dataset-1'!B460:N1070,2,)</f>
        <v>1</v>
      </c>
      <c r="D459" s="41">
        <f>VLOOKUP(C459,'Dataset-1'!C460:O1070,2,)</f>
        <v>0</v>
      </c>
      <c r="E459" s="41">
        <f>VLOOKUP(D459,'Dataset-1'!D460:P1070,2,)</f>
        <v>1</v>
      </c>
      <c r="F459" s="41">
        <f>VLOOKUP(E459,'Dataset-1'!E460:Q1070,2,)</f>
        <v>2</v>
      </c>
      <c r="G459" s="71" t="str">
        <f>VLOOKUP(F459,'Dataset-1'!F460:R1070,2,)</f>
        <v>Night</v>
      </c>
      <c r="H459" s="41" t="b">
        <f>VLOOKUP(G459,'Dataset-1'!G460:S1070,2,)</f>
        <v>0</v>
      </c>
      <c r="I459" s="41">
        <f>VLOOKUP(H459,'Dataset-1'!H460:T1070,2,)</f>
        <v>5</v>
      </c>
      <c r="J459" s="71" t="str">
        <f>VLOOKUP(I459,'Dataset-1'!I460:U1070,2,)</f>
        <v>Thusday</v>
      </c>
      <c r="K459" s="41">
        <f>VLOOKUP(J459,'Dataset-1'!J460:V1070,2,)</f>
        <v>3</v>
      </c>
      <c r="L459" s="41">
        <f>VLOOKUP(K459,'Dataset-1'!K460:W1070,2,)</f>
        <v>0.24</v>
      </c>
      <c r="M459" s="71" t="str">
        <f>VLOOKUP(L459,'Dataset-1'!L460:X1070,2,)</f>
        <v>Cloudy</v>
      </c>
      <c r="N459" s="41">
        <f>VLOOKUP(A459,'Dataset-2'!B460:H1070,2,)</f>
        <v>0.2424</v>
      </c>
      <c r="O459" s="41">
        <f>VLOOKUP(N459,'Dataset-2'!C460:I1070,2,)</f>
        <v>0.75</v>
      </c>
      <c r="P459" s="41">
        <f>VLOOKUP(O459,'Dataset-2'!D460:J1070,2,)</f>
        <v>0.16420000000000001</v>
      </c>
      <c r="Q459" s="41">
        <f>VLOOKUP(P459,'Dataset-2'!E460:K1070,2,)</f>
        <v>0</v>
      </c>
      <c r="R459" s="41">
        <f>VLOOKUP(Q459,'Dataset-2'!F460:L1070,2,)</f>
        <v>2</v>
      </c>
      <c r="S459" s="41">
        <f>VLOOKUP(R459,'Dataset-2'!G460:M1070,2,)</f>
        <v>2</v>
      </c>
    </row>
    <row r="460" spans="1:19" x14ac:dyDescent="0.35">
      <c r="A460" s="40">
        <v>459</v>
      </c>
      <c r="B460" s="62">
        <f>VLOOKUP(A460,'Dataset-1'!A461:M1071,2,)</f>
        <v>40564</v>
      </c>
      <c r="C460" s="41">
        <f>VLOOKUP(B460,'Dataset-1'!B461:N1071,2,)</f>
        <v>1</v>
      </c>
      <c r="D460" s="41">
        <f>VLOOKUP(C460,'Dataset-1'!C461:O1071,2,)</f>
        <v>0</v>
      </c>
      <c r="E460" s="41">
        <f>VLOOKUP(D460,'Dataset-1'!D461:P1071,2,)</f>
        <v>1</v>
      </c>
      <c r="F460" s="41">
        <f>VLOOKUP(E460,'Dataset-1'!E461:Q1071,2,)</f>
        <v>3</v>
      </c>
      <c r="G460" s="71" t="str">
        <f>VLOOKUP(F460,'Dataset-1'!F461:R1071,2,)</f>
        <v>Night</v>
      </c>
      <c r="H460" s="41" t="b">
        <f>VLOOKUP(G460,'Dataset-1'!G461:S1071,2,)</f>
        <v>0</v>
      </c>
      <c r="I460" s="41">
        <f>VLOOKUP(H460,'Dataset-1'!H461:T1071,2,)</f>
        <v>5</v>
      </c>
      <c r="J460" s="71" t="str">
        <f>VLOOKUP(I460,'Dataset-1'!I461:U1071,2,)</f>
        <v>Thusday</v>
      </c>
      <c r="K460" s="41">
        <f>VLOOKUP(J460,'Dataset-1'!J461:V1071,2,)</f>
        <v>3</v>
      </c>
      <c r="L460" s="41">
        <f>VLOOKUP(K460,'Dataset-1'!K461:W1071,2,)</f>
        <v>0.22</v>
      </c>
      <c r="M460" s="71" t="str">
        <f>VLOOKUP(L460,'Dataset-1'!L461:X1071,2,)</f>
        <v>Cloudy</v>
      </c>
      <c r="N460" s="41">
        <f>VLOOKUP(A460,'Dataset-2'!B461:H1071,2,)</f>
        <v>0.21210000000000001</v>
      </c>
      <c r="O460" s="41">
        <f>VLOOKUP(N460,'Dataset-2'!C461:I1071,2,)</f>
        <v>0.8</v>
      </c>
      <c r="P460" s="41">
        <f>VLOOKUP(O460,'Dataset-2'!D461:J1071,2,)</f>
        <v>0.29849999999999999</v>
      </c>
      <c r="Q460" s="41">
        <f>VLOOKUP(P460,'Dataset-2'!E461:K1071,2,)</f>
        <v>0</v>
      </c>
      <c r="R460" s="41">
        <f>VLOOKUP(Q460,'Dataset-2'!F461:L1071,2,)</f>
        <v>1</v>
      </c>
      <c r="S460" s="41">
        <f>VLOOKUP(R460,'Dataset-2'!G461:M1071,2,)</f>
        <v>1</v>
      </c>
    </row>
    <row r="461" spans="1:19" x14ac:dyDescent="0.35">
      <c r="A461" s="40">
        <v>460</v>
      </c>
      <c r="B461" s="62">
        <f>VLOOKUP(A461,'Dataset-1'!A462:M1072,2,)</f>
        <v>40564</v>
      </c>
      <c r="C461" s="41">
        <f>VLOOKUP(B461,'Dataset-1'!B462:N1072,2,)</f>
        <v>1</v>
      </c>
      <c r="D461" s="41">
        <f>VLOOKUP(C461,'Dataset-1'!C462:O1072,2,)</f>
        <v>0</v>
      </c>
      <c r="E461" s="41">
        <f>VLOOKUP(D461,'Dataset-1'!D462:P1072,2,)</f>
        <v>1</v>
      </c>
      <c r="F461" s="41">
        <f>VLOOKUP(E461,'Dataset-1'!E462:Q1072,2,)</f>
        <v>4</v>
      </c>
      <c r="G461" s="71" t="str">
        <f>VLOOKUP(F461,'Dataset-1'!F462:R1072,2,)</f>
        <v>Night</v>
      </c>
      <c r="H461" s="41" t="b">
        <f>VLOOKUP(G461,'Dataset-1'!G462:S1072,2,)</f>
        <v>0</v>
      </c>
      <c r="I461" s="41">
        <f>VLOOKUP(H461,'Dataset-1'!H462:T1072,2,)</f>
        <v>5</v>
      </c>
      <c r="J461" s="71" t="str">
        <f>VLOOKUP(I461,'Dataset-1'!I462:U1072,2,)</f>
        <v>Thusday</v>
      </c>
      <c r="K461" s="41">
        <f>VLOOKUP(J461,'Dataset-1'!J462:V1072,2,)</f>
        <v>2</v>
      </c>
      <c r="L461" s="41">
        <f>VLOOKUP(K461,'Dataset-1'!K462:W1072,2,)</f>
        <v>0.22</v>
      </c>
      <c r="M461" s="71" t="str">
        <f>VLOOKUP(L461,'Dataset-1'!L462:X1072,2,)</f>
        <v>Cloudy</v>
      </c>
      <c r="N461" s="41">
        <f>VLOOKUP(A461,'Dataset-2'!B462:H1072,2,)</f>
        <v>0.2576</v>
      </c>
      <c r="O461" s="41">
        <f>VLOOKUP(N461,'Dataset-2'!C462:I1072,2,)</f>
        <v>0.87</v>
      </c>
      <c r="P461" s="41">
        <f>VLOOKUP(O461,'Dataset-2'!D462:J1072,2,)</f>
        <v>8.9599999999999999E-2</v>
      </c>
      <c r="Q461" s="41">
        <f>VLOOKUP(P461,'Dataset-2'!E462:K1072,2,)</f>
        <v>0</v>
      </c>
      <c r="R461" s="41">
        <f>VLOOKUP(Q461,'Dataset-2'!F462:L1072,2,)</f>
        <v>1</v>
      </c>
      <c r="S461" s="41">
        <f>VLOOKUP(R461,'Dataset-2'!G462:M1072,2,)</f>
        <v>1</v>
      </c>
    </row>
    <row r="462" spans="1:19" x14ac:dyDescent="0.35">
      <c r="A462" s="40">
        <v>461</v>
      </c>
      <c r="B462" s="62">
        <f>VLOOKUP(A462,'Dataset-1'!A463:M1073,2,)</f>
        <v>40564</v>
      </c>
      <c r="C462" s="41">
        <f>VLOOKUP(B462,'Dataset-1'!B463:N1073,2,)</f>
        <v>1</v>
      </c>
      <c r="D462" s="41">
        <f>VLOOKUP(C462,'Dataset-1'!C463:O1073,2,)</f>
        <v>0</v>
      </c>
      <c r="E462" s="41">
        <f>VLOOKUP(D462,'Dataset-1'!D463:P1073,2,)</f>
        <v>1</v>
      </c>
      <c r="F462" s="41">
        <f>VLOOKUP(E462,'Dataset-1'!E463:Q1073,2,)</f>
        <v>5</v>
      </c>
      <c r="G462" s="71" t="str">
        <f>VLOOKUP(F462,'Dataset-1'!F463:R1073,2,)</f>
        <v>Morning</v>
      </c>
      <c r="H462" s="41" t="b">
        <f>VLOOKUP(G462,'Dataset-1'!G463:S1073,2,)</f>
        <v>0</v>
      </c>
      <c r="I462" s="41">
        <f>VLOOKUP(H462,'Dataset-1'!H463:T1073,2,)</f>
        <v>5</v>
      </c>
      <c r="J462" s="71" t="str">
        <f>VLOOKUP(I462,'Dataset-1'!I463:U1073,2,)</f>
        <v>Thusday</v>
      </c>
      <c r="K462" s="41">
        <f>VLOOKUP(J462,'Dataset-1'!J463:V1073,2,)</f>
        <v>1</v>
      </c>
      <c r="L462" s="41">
        <f>VLOOKUP(K462,'Dataset-1'!K463:W1073,2,)</f>
        <v>0.24</v>
      </c>
      <c r="M462" s="71" t="str">
        <f>VLOOKUP(L462,'Dataset-1'!L463:X1073,2,)</f>
        <v>Cloudy</v>
      </c>
      <c r="N462" s="41">
        <f>VLOOKUP(A462,'Dataset-2'!B463:H1073,2,)</f>
        <v>0.19700000000000001</v>
      </c>
      <c r="O462" s="41">
        <f>VLOOKUP(N462,'Dataset-2'!C463:I1073,2,)</f>
        <v>0.6</v>
      </c>
      <c r="P462" s="41">
        <f>VLOOKUP(O462,'Dataset-2'!D463:J1073,2,)</f>
        <v>0.41789999999999999</v>
      </c>
      <c r="Q462" s="41">
        <f>VLOOKUP(P462,'Dataset-2'!E463:K1073,2,)</f>
        <v>1</v>
      </c>
      <c r="R462" s="41">
        <f>VLOOKUP(Q462,'Dataset-2'!F463:L1073,2,)</f>
        <v>4</v>
      </c>
      <c r="S462" s="41">
        <f>VLOOKUP(R462,'Dataset-2'!G463:M1073,2,)</f>
        <v>5</v>
      </c>
    </row>
    <row r="463" spans="1:19" x14ac:dyDescent="0.35">
      <c r="A463" s="40">
        <v>462</v>
      </c>
      <c r="B463" s="62">
        <f>VLOOKUP(A463,'Dataset-1'!A464:M1074,2,)</f>
        <v>40564</v>
      </c>
      <c r="C463" s="41">
        <f>VLOOKUP(B463,'Dataset-1'!B464:N1074,2,)</f>
        <v>1</v>
      </c>
      <c r="D463" s="41">
        <f>VLOOKUP(C463,'Dataset-1'!C464:O1074,2,)</f>
        <v>0</v>
      </c>
      <c r="E463" s="41">
        <f>VLOOKUP(D463,'Dataset-1'!D464:P1074,2,)</f>
        <v>1</v>
      </c>
      <c r="F463" s="41">
        <f>VLOOKUP(E463,'Dataset-1'!E464:Q1074,2,)</f>
        <v>6</v>
      </c>
      <c r="G463" s="71" t="str">
        <f>VLOOKUP(F463,'Dataset-1'!F464:R1074,2,)</f>
        <v>Morning</v>
      </c>
      <c r="H463" s="41" t="b">
        <f>VLOOKUP(G463,'Dataset-1'!G464:S1074,2,)</f>
        <v>0</v>
      </c>
      <c r="I463" s="41">
        <f>VLOOKUP(H463,'Dataset-1'!H464:T1074,2,)</f>
        <v>5</v>
      </c>
      <c r="J463" s="71" t="str">
        <f>VLOOKUP(I463,'Dataset-1'!I464:U1074,2,)</f>
        <v>Thusday</v>
      </c>
      <c r="K463" s="41">
        <f>VLOOKUP(J463,'Dataset-1'!J464:V1074,2,)</f>
        <v>1</v>
      </c>
      <c r="L463" s="41">
        <f>VLOOKUP(K463,'Dataset-1'!K464:W1074,2,)</f>
        <v>0.22</v>
      </c>
      <c r="M463" s="71" t="str">
        <f>VLOOKUP(L463,'Dataset-1'!L464:X1074,2,)</f>
        <v>Cloudy</v>
      </c>
      <c r="N463" s="41">
        <f>VLOOKUP(A463,'Dataset-2'!B464:H1074,2,)</f>
        <v>0.21210000000000001</v>
      </c>
      <c r="O463" s="41">
        <f>VLOOKUP(N463,'Dataset-2'!C464:I1074,2,)</f>
        <v>0.55000000000000004</v>
      </c>
      <c r="P463" s="41">
        <f>VLOOKUP(O463,'Dataset-2'!D464:J1074,2,)</f>
        <v>0.25369999999999998</v>
      </c>
      <c r="Q463" s="41">
        <f>VLOOKUP(P463,'Dataset-2'!E464:K1074,2,)</f>
        <v>0</v>
      </c>
      <c r="R463" s="41">
        <f>VLOOKUP(Q463,'Dataset-2'!F464:L1074,2,)</f>
        <v>27</v>
      </c>
      <c r="S463" s="41">
        <f>VLOOKUP(R463,'Dataset-2'!G464:M1074,2,)</f>
        <v>27</v>
      </c>
    </row>
    <row r="464" spans="1:19" x14ac:dyDescent="0.35">
      <c r="A464" s="40">
        <v>463</v>
      </c>
      <c r="B464" s="62">
        <f>VLOOKUP(A464,'Dataset-1'!A465:M1075,2,)</f>
        <v>40564</v>
      </c>
      <c r="C464" s="41">
        <f>VLOOKUP(B464,'Dataset-1'!B465:N1075,2,)</f>
        <v>1</v>
      </c>
      <c r="D464" s="41">
        <f>VLOOKUP(C464,'Dataset-1'!C465:O1075,2,)</f>
        <v>0</v>
      </c>
      <c r="E464" s="41">
        <f>VLOOKUP(D464,'Dataset-1'!D465:P1075,2,)</f>
        <v>1</v>
      </c>
      <c r="F464" s="41">
        <f>VLOOKUP(E464,'Dataset-1'!E465:Q1075,2,)</f>
        <v>7</v>
      </c>
      <c r="G464" s="71" t="str">
        <f>VLOOKUP(F464,'Dataset-1'!F465:R1075,2,)</f>
        <v>Morning</v>
      </c>
      <c r="H464" s="41" t="b">
        <f>VLOOKUP(G464,'Dataset-1'!G465:S1075,2,)</f>
        <v>0</v>
      </c>
      <c r="I464" s="41">
        <f>VLOOKUP(H464,'Dataset-1'!H465:T1075,2,)</f>
        <v>5</v>
      </c>
      <c r="J464" s="71" t="str">
        <f>VLOOKUP(I464,'Dataset-1'!I465:U1075,2,)</f>
        <v>Thusday</v>
      </c>
      <c r="K464" s="41">
        <f>VLOOKUP(J464,'Dataset-1'!J465:V1075,2,)</f>
        <v>1</v>
      </c>
      <c r="L464" s="41">
        <f>VLOOKUP(K464,'Dataset-1'!K465:W1075,2,)</f>
        <v>0.2</v>
      </c>
      <c r="M464" s="71" t="str">
        <f>VLOOKUP(L464,'Dataset-1'!L465:X1075,2,)</f>
        <v>Rainy</v>
      </c>
      <c r="N464" s="41">
        <f>VLOOKUP(A464,'Dataset-2'!B465:H1075,2,)</f>
        <v>0.18179999999999999</v>
      </c>
      <c r="O464" s="41">
        <f>VLOOKUP(N464,'Dataset-2'!C465:I1075,2,)</f>
        <v>0.51</v>
      </c>
      <c r="P464" s="41">
        <f>VLOOKUP(O464,'Dataset-2'!D465:J1075,2,)</f>
        <v>0.28360000000000002</v>
      </c>
      <c r="Q464" s="41">
        <f>VLOOKUP(P464,'Dataset-2'!E465:K1075,2,)</f>
        <v>2</v>
      </c>
      <c r="R464" s="41">
        <f>VLOOKUP(Q464,'Dataset-2'!F465:L1075,2,)</f>
        <v>66</v>
      </c>
      <c r="S464" s="41">
        <f>VLOOKUP(R464,'Dataset-2'!G465:M1075,2,)</f>
        <v>68</v>
      </c>
    </row>
    <row r="465" spans="1:19" x14ac:dyDescent="0.35">
      <c r="A465" s="40">
        <v>464</v>
      </c>
      <c r="B465" s="62">
        <f>VLOOKUP(A465,'Dataset-1'!A466:M1076,2,)</f>
        <v>40564</v>
      </c>
      <c r="C465" s="41">
        <f>VLOOKUP(B465,'Dataset-1'!B466:N1076,2,)</f>
        <v>1</v>
      </c>
      <c r="D465" s="41">
        <f>VLOOKUP(C465,'Dataset-1'!C466:O1076,2,)</f>
        <v>0</v>
      </c>
      <c r="E465" s="41">
        <f>VLOOKUP(D465,'Dataset-1'!D466:P1076,2,)</f>
        <v>1</v>
      </c>
      <c r="F465" s="41">
        <f>VLOOKUP(E465,'Dataset-1'!E466:Q1076,2,)</f>
        <v>8</v>
      </c>
      <c r="G465" s="71" t="str">
        <f>VLOOKUP(F465,'Dataset-1'!F466:R1076,2,)</f>
        <v>Morning</v>
      </c>
      <c r="H465" s="41" t="b">
        <f>VLOOKUP(G465,'Dataset-1'!G466:S1076,2,)</f>
        <v>0</v>
      </c>
      <c r="I465" s="41">
        <f>VLOOKUP(H465,'Dataset-1'!H466:T1076,2,)</f>
        <v>5</v>
      </c>
      <c r="J465" s="71" t="str">
        <f>VLOOKUP(I465,'Dataset-1'!I466:U1076,2,)</f>
        <v>Thusday</v>
      </c>
      <c r="K465" s="41">
        <f>VLOOKUP(J465,'Dataset-1'!J466:V1076,2,)</f>
        <v>1</v>
      </c>
      <c r="L465" s="41">
        <f>VLOOKUP(K465,'Dataset-1'!K466:W1076,2,)</f>
        <v>0.2</v>
      </c>
      <c r="M465" s="71" t="str">
        <f>VLOOKUP(L465,'Dataset-1'!L466:X1076,2,)</f>
        <v>Rainy</v>
      </c>
      <c r="N465" s="41">
        <f>VLOOKUP(A465,'Dataset-2'!B466:H1076,2,)</f>
        <v>0.18179999999999999</v>
      </c>
      <c r="O465" s="41">
        <f>VLOOKUP(N465,'Dataset-2'!C466:I1076,2,)</f>
        <v>0.47</v>
      </c>
      <c r="P465" s="41">
        <f>VLOOKUP(O465,'Dataset-2'!D466:J1076,2,)</f>
        <v>0.32840000000000003</v>
      </c>
      <c r="Q465" s="41">
        <f>VLOOKUP(P465,'Dataset-2'!E466:K1076,2,)</f>
        <v>7</v>
      </c>
      <c r="R465" s="41">
        <f>VLOOKUP(Q465,'Dataset-2'!F466:L1076,2,)</f>
        <v>210</v>
      </c>
      <c r="S465" s="41">
        <f>VLOOKUP(R465,'Dataset-2'!G466:M1076,2,)</f>
        <v>217</v>
      </c>
    </row>
    <row r="466" spans="1:19" x14ac:dyDescent="0.35">
      <c r="A466" s="40">
        <v>465</v>
      </c>
      <c r="B466" s="62">
        <f>VLOOKUP(A466,'Dataset-1'!A467:M1077,2,)</f>
        <v>40564</v>
      </c>
      <c r="C466" s="41">
        <f>VLOOKUP(B466,'Dataset-1'!B467:N1077,2,)</f>
        <v>1</v>
      </c>
      <c r="D466" s="41">
        <f>VLOOKUP(C466,'Dataset-1'!C467:O1077,2,)</f>
        <v>0</v>
      </c>
      <c r="E466" s="41">
        <f>VLOOKUP(D466,'Dataset-1'!D467:P1077,2,)</f>
        <v>1</v>
      </c>
      <c r="F466" s="41">
        <f>VLOOKUP(E466,'Dataset-1'!E467:Q1077,2,)</f>
        <v>9</v>
      </c>
      <c r="G466" s="71" t="str">
        <f>VLOOKUP(F466,'Dataset-1'!F467:R1077,2,)</f>
        <v>Morning</v>
      </c>
      <c r="H466" s="41" t="b">
        <f>VLOOKUP(G466,'Dataset-1'!G467:S1077,2,)</f>
        <v>0</v>
      </c>
      <c r="I466" s="41">
        <f>VLOOKUP(H466,'Dataset-1'!H467:T1077,2,)</f>
        <v>5</v>
      </c>
      <c r="J466" s="71" t="str">
        <f>VLOOKUP(I466,'Dataset-1'!I467:U1077,2,)</f>
        <v>Thusday</v>
      </c>
      <c r="K466" s="41">
        <f>VLOOKUP(J466,'Dataset-1'!J467:V1077,2,)</f>
        <v>1</v>
      </c>
      <c r="L466" s="41">
        <f>VLOOKUP(K466,'Dataset-1'!K467:W1077,2,)</f>
        <v>0.2</v>
      </c>
      <c r="M466" s="71" t="str">
        <f>VLOOKUP(L466,'Dataset-1'!L467:X1077,2,)</f>
        <v>Rainy</v>
      </c>
      <c r="N466" s="41">
        <f>VLOOKUP(A466,'Dataset-2'!B467:H1077,2,)</f>
        <v>0.18179999999999999</v>
      </c>
      <c r="O466" s="41">
        <f>VLOOKUP(N466,'Dataset-2'!C467:I1077,2,)</f>
        <v>0.51</v>
      </c>
      <c r="P466" s="41">
        <f>VLOOKUP(O466,'Dataset-2'!D467:J1077,2,)</f>
        <v>0.35820000000000002</v>
      </c>
      <c r="Q466" s="41">
        <f>VLOOKUP(P466,'Dataset-2'!E467:K1077,2,)</f>
        <v>7</v>
      </c>
      <c r="R466" s="41">
        <f>VLOOKUP(Q466,'Dataset-2'!F467:L1077,2,)</f>
        <v>159</v>
      </c>
      <c r="S466" s="41">
        <f>VLOOKUP(R466,'Dataset-2'!G467:M1077,2,)</f>
        <v>166</v>
      </c>
    </row>
    <row r="467" spans="1:19" x14ac:dyDescent="0.35">
      <c r="A467" s="40">
        <v>466</v>
      </c>
      <c r="B467" s="62">
        <f>VLOOKUP(A467,'Dataset-1'!A468:M1078,2,)</f>
        <v>40564</v>
      </c>
      <c r="C467" s="41">
        <f>VLOOKUP(B467,'Dataset-1'!B468:N1078,2,)</f>
        <v>1</v>
      </c>
      <c r="D467" s="41">
        <f>VLOOKUP(C467,'Dataset-1'!C468:O1078,2,)</f>
        <v>0</v>
      </c>
      <c r="E467" s="41">
        <f>VLOOKUP(D467,'Dataset-1'!D468:P1078,2,)</f>
        <v>1</v>
      </c>
      <c r="F467" s="41">
        <f>VLOOKUP(E467,'Dataset-1'!E468:Q1078,2,)</f>
        <v>10</v>
      </c>
      <c r="G467" s="71" t="str">
        <f>VLOOKUP(F467,'Dataset-1'!F468:R1078,2,)</f>
        <v>Morning</v>
      </c>
      <c r="H467" s="41" t="b">
        <f>VLOOKUP(G467,'Dataset-1'!G468:S1078,2,)</f>
        <v>0</v>
      </c>
      <c r="I467" s="41">
        <f>VLOOKUP(H467,'Dataset-1'!H468:T1078,2,)</f>
        <v>5</v>
      </c>
      <c r="J467" s="71" t="str">
        <f>VLOOKUP(I467,'Dataset-1'!I468:U1078,2,)</f>
        <v>Thusday</v>
      </c>
      <c r="K467" s="41">
        <f>VLOOKUP(J467,'Dataset-1'!J468:V1078,2,)</f>
        <v>1</v>
      </c>
      <c r="L467" s="41">
        <f>VLOOKUP(K467,'Dataset-1'!K468:W1078,2,)</f>
        <v>0.2</v>
      </c>
      <c r="M467" s="71" t="str">
        <f>VLOOKUP(L467,'Dataset-1'!L468:X1078,2,)</f>
        <v>Rainy</v>
      </c>
      <c r="N467" s="41">
        <f>VLOOKUP(A467,'Dataset-2'!B468:H1078,2,)</f>
        <v>0.16669999999999999</v>
      </c>
      <c r="O467" s="41">
        <f>VLOOKUP(N467,'Dataset-2'!C468:I1078,2,)</f>
        <v>0.47</v>
      </c>
      <c r="P467" s="41">
        <f>VLOOKUP(O467,'Dataset-2'!D468:J1078,2,)</f>
        <v>0.4627</v>
      </c>
      <c r="Q467" s="41">
        <f>VLOOKUP(P467,'Dataset-2'!E468:K1078,2,)</f>
        <v>6</v>
      </c>
      <c r="R467" s="41">
        <f>VLOOKUP(Q467,'Dataset-2'!F468:L1078,2,)</f>
        <v>57</v>
      </c>
      <c r="S467" s="41">
        <f>VLOOKUP(R467,'Dataset-2'!G468:M1078,2,)</f>
        <v>63</v>
      </c>
    </row>
    <row r="468" spans="1:19" x14ac:dyDescent="0.35">
      <c r="A468" s="40">
        <v>467</v>
      </c>
      <c r="B468" s="62">
        <f>VLOOKUP(A468,'Dataset-1'!A469:M1079,2,)</f>
        <v>40564</v>
      </c>
      <c r="C468" s="41">
        <f>VLOOKUP(B468,'Dataset-1'!B469:N1079,2,)</f>
        <v>1</v>
      </c>
      <c r="D468" s="41">
        <f>VLOOKUP(C468,'Dataset-1'!C469:O1079,2,)</f>
        <v>0</v>
      </c>
      <c r="E468" s="41">
        <f>VLOOKUP(D468,'Dataset-1'!D469:P1079,2,)</f>
        <v>1</v>
      </c>
      <c r="F468" s="41">
        <f>VLOOKUP(E468,'Dataset-1'!E469:Q1079,2,)</f>
        <v>11</v>
      </c>
      <c r="G468" s="71" t="str">
        <f>VLOOKUP(F468,'Dataset-1'!F469:R1079,2,)</f>
        <v>Morning</v>
      </c>
      <c r="H468" s="41" t="b">
        <f>VLOOKUP(G468,'Dataset-1'!G469:S1079,2,)</f>
        <v>0</v>
      </c>
      <c r="I468" s="41">
        <f>VLOOKUP(H468,'Dataset-1'!H469:T1079,2,)</f>
        <v>5</v>
      </c>
      <c r="J468" s="71" t="str">
        <f>VLOOKUP(I468,'Dataset-1'!I469:U1079,2,)</f>
        <v>Thusday</v>
      </c>
      <c r="K468" s="41">
        <f>VLOOKUP(J468,'Dataset-1'!J469:V1079,2,)</f>
        <v>1</v>
      </c>
      <c r="L468" s="41">
        <f>VLOOKUP(K468,'Dataset-1'!K469:W1079,2,)</f>
        <v>0.22</v>
      </c>
      <c r="M468" s="71" t="str">
        <f>VLOOKUP(L468,'Dataset-1'!L469:X1079,2,)</f>
        <v>Cloudy</v>
      </c>
      <c r="N468" s="41">
        <f>VLOOKUP(A468,'Dataset-2'!B469:H1079,2,)</f>
        <v>0.18179999999999999</v>
      </c>
      <c r="O468" s="41">
        <f>VLOOKUP(N468,'Dataset-2'!C469:I1079,2,)</f>
        <v>0.41</v>
      </c>
      <c r="P468" s="41">
        <f>VLOOKUP(O468,'Dataset-2'!D469:J1079,2,)</f>
        <v>0.4627</v>
      </c>
      <c r="Q468" s="41">
        <f>VLOOKUP(P468,'Dataset-2'!E469:K1079,2,)</f>
        <v>6</v>
      </c>
      <c r="R468" s="41">
        <f>VLOOKUP(Q468,'Dataset-2'!F469:L1079,2,)</f>
        <v>53</v>
      </c>
      <c r="S468" s="41">
        <f>VLOOKUP(R468,'Dataset-2'!G469:M1079,2,)</f>
        <v>59</v>
      </c>
    </row>
    <row r="469" spans="1:19" x14ac:dyDescent="0.35">
      <c r="A469" s="40">
        <v>468</v>
      </c>
      <c r="B469" s="62">
        <f>VLOOKUP(A469,'Dataset-1'!A470:M1080,2,)</f>
        <v>40564</v>
      </c>
      <c r="C469" s="41">
        <f>VLOOKUP(B469,'Dataset-1'!B470:N1080,2,)</f>
        <v>1</v>
      </c>
      <c r="D469" s="41">
        <f>VLOOKUP(C469,'Dataset-1'!C470:O1080,2,)</f>
        <v>0</v>
      </c>
      <c r="E469" s="41">
        <f>VLOOKUP(D469,'Dataset-1'!D470:P1080,2,)</f>
        <v>1</v>
      </c>
      <c r="F469" s="41">
        <f>VLOOKUP(E469,'Dataset-1'!E470:Q1080,2,)</f>
        <v>12</v>
      </c>
      <c r="G469" s="71" t="str">
        <f>VLOOKUP(F469,'Dataset-1'!F470:R1080,2,)</f>
        <v>AfterNoon</v>
      </c>
      <c r="H469" s="41" t="b">
        <f>VLOOKUP(G469,'Dataset-1'!G470:S1080,2,)</f>
        <v>0</v>
      </c>
      <c r="I469" s="41">
        <f>VLOOKUP(H469,'Dataset-1'!H470:T1080,2,)</f>
        <v>5</v>
      </c>
      <c r="J469" s="71" t="str">
        <f>VLOOKUP(I469,'Dataset-1'!I470:U1080,2,)</f>
        <v>Thusday</v>
      </c>
      <c r="K469" s="41">
        <f>VLOOKUP(J469,'Dataset-1'!J470:V1080,2,)</f>
        <v>1</v>
      </c>
      <c r="L469" s="41">
        <f>VLOOKUP(K469,'Dataset-1'!K470:W1080,2,)</f>
        <v>0.22</v>
      </c>
      <c r="M469" s="71" t="str">
        <f>VLOOKUP(L469,'Dataset-1'!L470:X1080,2,)</f>
        <v>Cloudy</v>
      </c>
      <c r="N469" s="41">
        <f>VLOOKUP(A469,'Dataset-2'!B470:H1080,2,)</f>
        <v>0.18179999999999999</v>
      </c>
      <c r="O469" s="41">
        <f>VLOOKUP(N469,'Dataset-2'!C470:I1080,2,)</f>
        <v>0.27</v>
      </c>
      <c r="P469" s="41">
        <f>VLOOKUP(O469,'Dataset-2'!D470:J1080,2,)</f>
        <v>0.58209999999999995</v>
      </c>
      <c r="Q469" s="41">
        <f>VLOOKUP(P469,'Dataset-2'!E470:K1080,2,)</f>
        <v>11</v>
      </c>
      <c r="R469" s="41">
        <f>VLOOKUP(Q469,'Dataset-2'!F470:L1080,2,)</f>
        <v>67</v>
      </c>
      <c r="S469" s="41">
        <f>VLOOKUP(R469,'Dataset-2'!G470:M1080,2,)</f>
        <v>78</v>
      </c>
    </row>
    <row r="470" spans="1:19" x14ac:dyDescent="0.35">
      <c r="A470" s="40">
        <v>469</v>
      </c>
      <c r="B470" s="62">
        <f>VLOOKUP(A470,'Dataset-1'!A471:M1081,2,)</f>
        <v>40564</v>
      </c>
      <c r="C470" s="41">
        <f>VLOOKUP(B470,'Dataset-1'!B471:N1081,2,)</f>
        <v>1</v>
      </c>
      <c r="D470" s="41">
        <f>VLOOKUP(C470,'Dataset-1'!C471:O1081,2,)</f>
        <v>0</v>
      </c>
      <c r="E470" s="41">
        <f>VLOOKUP(D470,'Dataset-1'!D471:P1081,2,)</f>
        <v>1</v>
      </c>
      <c r="F470" s="41">
        <f>VLOOKUP(E470,'Dataset-1'!E471:Q1081,2,)</f>
        <v>13</v>
      </c>
      <c r="G470" s="71" t="str">
        <f>VLOOKUP(F470,'Dataset-1'!F471:R1081,2,)</f>
        <v>AfterNoon</v>
      </c>
      <c r="H470" s="41" t="b">
        <f>VLOOKUP(G470,'Dataset-1'!G471:S1081,2,)</f>
        <v>0</v>
      </c>
      <c r="I470" s="41">
        <f>VLOOKUP(H470,'Dataset-1'!H471:T1081,2,)</f>
        <v>5</v>
      </c>
      <c r="J470" s="71" t="str">
        <f>VLOOKUP(I470,'Dataset-1'!I471:U1081,2,)</f>
        <v>Thusday</v>
      </c>
      <c r="K470" s="41">
        <f>VLOOKUP(J470,'Dataset-1'!J471:V1081,2,)</f>
        <v>1</v>
      </c>
      <c r="L470" s="41">
        <f>VLOOKUP(K470,'Dataset-1'!K471:W1081,2,)</f>
        <v>0.2</v>
      </c>
      <c r="M470" s="71" t="str">
        <f>VLOOKUP(L470,'Dataset-1'!L471:X1081,2,)</f>
        <v>Rainy</v>
      </c>
      <c r="N470" s="41">
        <f>VLOOKUP(A470,'Dataset-2'!B471:H1081,2,)</f>
        <v>0.1515</v>
      </c>
      <c r="O470" s="41">
        <f>VLOOKUP(N470,'Dataset-2'!C471:I1081,2,)</f>
        <v>0.21</v>
      </c>
      <c r="P470" s="41">
        <f>VLOOKUP(O470,'Dataset-2'!D471:J1081,2,)</f>
        <v>0.58209999999999995</v>
      </c>
      <c r="Q470" s="41">
        <f>VLOOKUP(P470,'Dataset-2'!E471:K1081,2,)</f>
        <v>8</v>
      </c>
      <c r="R470" s="41">
        <f>VLOOKUP(Q470,'Dataset-2'!F471:L1081,2,)</f>
        <v>65</v>
      </c>
      <c r="S470" s="41">
        <f>VLOOKUP(R470,'Dataset-2'!G471:M1081,2,)</f>
        <v>73</v>
      </c>
    </row>
    <row r="471" spans="1:19" x14ac:dyDescent="0.35">
      <c r="A471" s="40">
        <v>470</v>
      </c>
      <c r="B471" s="62">
        <f>VLOOKUP(A471,'Dataset-1'!A472:M1082,2,)</f>
        <v>40564</v>
      </c>
      <c r="C471" s="41">
        <f>VLOOKUP(B471,'Dataset-1'!B472:N1082,2,)</f>
        <v>1</v>
      </c>
      <c r="D471" s="41">
        <f>VLOOKUP(C471,'Dataset-1'!C472:O1082,2,)</f>
        <v>0</v>
      </c>
      <c r="E471" s="41">
        <f>VLOOKUP(D471,'Dataset-1'!D472:P1082,2,)</f>
        <v>1</v>
      </c>
      <c r="F471" s="41">
        <f>VLOOKUP(E471,'Dataset-1'!E472:Q1082,2,)</f>
        <v>14</v>
      </c>
      <c r="G471" s="71" t="str">
        <f>VLOOKUP(F471,'Dataset-1'!F472:R1082,2,)</f>
        <v>AfterNoon</v>
      </c>
      <c r="H471" s="41" t="b">
        <f>VLOOKUP(G471,'Dataset-1'!G472:S1082,2,)</f>
        <v>0</v>
      </c>
      <c r="I471" s="41">
        <f>VLOOKUP(H471,'Dataset-1'!H472:T1082,2,)</f>
        <v>5</v>
      </c>
      <c r="J471" s="71" t="str">
        <f>VLOOKUP(I471,'Dataset-1'!I472:U1082,2,)</f>
        <v>Thusday</v>
      </c>
      <c r="K471" s="41">
        <f>VLOOKUP(J471,'Dataset-1'!J472:V1082,2,)</f>
        <v>1</v>
      </c>
      <c r="L471" s="41">
        <f>VLOOKUP(K471,'Dataset-1'!K472:W1082,2,)</f>
        <v>0.2</v>
      </c>
      <c r="M471" s="71" t="str">
        <f>VLOOKUP(L471,'Dataset-1'!L472:X1082,2,)</f>
        <v>Rainy</v>
      </c>
      <c r="N471" s="41">
        <f>VLOOKUP(A471,'Dataset-2'!B472:H1082,2,)</f>
        <v>0.1515</v>
      </c>
      <c r="O471" s="41">
        <f>VLOOKUP(N471,'Dataset-2'!C472:I1082,2,)</f>
        <v>0.25</v>
      </c>
      <c r="P471" s="41">
        <f>VLOOKUP(O471,'Dataset-2'!D472:J1082,2,)</f>
        <v>0.52239999999999998</v>
      </c>
      <c r="Q471" s="41">
        <f>VLOOKUP(P471,'Dataset-2'!E472:K1082,2,)</f>
        <v>6</v>
      </c>
      <c r="R471" s="41">
        <f>VLOOKUP(Q471,'Dataset-2'!F472:L1082,2,)</f>
        <v>56</v>
      </c>
      <c r="S471" s="41">
        <f>VLOOKUP(R471,'Dataset-2'!G472:M1082,2,)</f>
        <v>62</v>
      </c>
    </row>
    <row r="472" spans="1:19" x14ac:dyDescent="0.35">
      <c r="A472" s="40">
        <v>471</v>
      </c>
      <c r="B472" s="62">
        <f>VLOOKUP(A472,'Dataset-1'!A473:M1083,2,)</f>
        <v>40564</v>
      </c>
      <c r="C472" s="41">
        <f>VLOOKUP(B472,'Dataset-1'!B473:N1083,2,)</f>
        <v>1</v>
      </c>
      <c r="D472" s="41">
        <f>VLOOKUP(C472,'Dataset-1'!C473:O1083,2,)</f>
        <v>0</v>
      </c>
      <c r="E472" s="41">
        <f>VLOOKUP(D472,'Dataset-1'!D473:P1083,2,)</f>
        <v>1</v>
      </c>
      <c r="F472" s="41">
        <f>VLOOKUP(E472,'Dataset-1'!E473:Q1083,2,)</f>
        <v>15</v>
      </c>
      <c r="G472" s="71" t="str">
        <f>VLOOKUP(F472,'Dataset-1'!F473:R1083,2,)</f>
        <v>AfterNoon</v>
      </c>
      <c r="H472" s="41" t="b">
        <f>VLOOKUP(G472,'Dataset-1'!G473:S1083,2,)</f>
        <v>0</v>
      </c>
      <c r="I472" s="41">
        <f>VLOOKUP(H472,'Dataset-1'!H473:T1083,2,)</f>
        <v>5</v>
      </c>
      <c r="J472" s="71" t="str">
        <f>VLOOKUP(I472,'Dataset-1'!I473:U1083,2,)</f>
        <v>Thusday</v>
      </c>
      <c r="K472" s="41">
        <f>VLOOKUP(J472,'Dataset-1'!J473:V1083,2,)</f>
        <v>1</v>
      </c>
      <c r="L472" s="41">
        <f>VLOOKUP(K472,'Dataset-1'!K473:W1083,2,)</f>
        <v>0.16</v>
      </c>
      <c r="M472" s="71" t="str">
        <f>VLOOKUP(L472,'Dataset-1'!L473:X1083,2,)</f>
        <v>Rainy</v>
      </c>
      <c r="N472" s="41">
        <f>VLOOKUP(A472,'Dataset-2'!B473:H1083,2,)</f>
        <v>0.1212</v>
      </c>
      <c r="O472" s="41">
        <f>VLOOKUP(N472,'Dataset-2'!C473:I1083,2,)</f>
        <v>0.26</v>
      </c>
      <c r="P472" s="41">
        <f>VLOOKUP(O472,'Dataset-2'!D473:J1083,2,)</f>
        <v>0.44779999999999998</v>
      </c>
      <c r="Q472" s="41">
        <f>VLOOKUP(P472,'Dataset-2'!E473:K1083,2,)</f>
        <v>4</v>
      </c>
      <c r="R472" s="41">
        <f>VLOOKUP(Q472,'Dataset-2'!F473:L1083,2,)</f>
        <v>61</v>
      </c>
      <c r="S472" s="41">
        <f>VLOOKUP(R472,'Dataset-2'!G473:M1083,2,)</f>
        <v>65</v>
      </c>
    </row>
    <row r="473" spans="1:19" x14ac:dyDescent="0.35">
      <c r="A473" s="40">
        <v>472</v>
      </c>
      <c r="B473" s="62">
        <f>VLOOKUP(A473,'Dataset-1'!A474:M1084,2,)</f>
        <v>40564</v>
      </c>
      <c r="C473" s="41">
        <f>VLOOKUP(B473,'Dataset-1'!B474:N1084,2,)</f>
        <v>1</v>
      </c>
      <c r="D473" s="41">
        <f>VLOOKUP(C473,'Dataset-1'!C474:O1084,2,)</f>
        <v>0</v>
      </c>
      <c r="E473" s="41">
        <f>VLOOKUP(D473,'Dataset-1'!D474:P1084,2,)</f>
        <v>1</v>
      </c>
      <c r="F473" s="41">
        <f>VLOOKUP(E473,'Dataset-1'!E474:Q1084,2,)</f>
        <v>16</v>
      </c>
      <c r="G473" s="71" t="str">
        <f>VLOOKUP(F473,'Dataset-1'!F474:R1084,2,)</f>
        <v>AfterNoon</v>
      </c>
      <c r="H473" s="41" t="b">
        <f>VLOOKUP(G473,'Dataset-1'!G474:S1084,2,)</f>
        <v>0</v>
      </c>
      <c r="I473" s="41">
        <f>VLOOKUP(H473,'Dataset-1'!H474:T1084,2,)</f>
        <v>5</v>
      </c>
      <c r="J473" s="71" t="str">
        <f>VLOOKUP(I473,'Dataset-1'!I474:U1084,2,)</f>
        <v>Thusday</v>
      </c>
      <c r="K473" s="41">
        <f>VLOOKUP(J473,'Dataset-1'!J474:V1084,2,)</f>
        <v>1</v>
      </c>
      <c r="L473" s="41">
        <f>VLOOKUP(K473,'Dataset-1'!K474:W1084,2,)</f>
        <v>0.16</v>
      </c>
      <c r="M473" s="71" t="str">
        <f>VLOOKUP(L473,'Dataset-1'!L474:X1084,2,)</f>
        <v>Rainy</v>
      </c>
      <c r="N473" s="41">
        <f>VLOOKUP(A473,'Dataset-2'!B474:H1084,2,)</f>
        <v>0.13639999999999999</v>
      </c>
      <c r="O473" s="41">
        <f>VLOOKUP(N473,'Dataset-2'!C474:I1084,2,)</f>
        <v>0.26</v>
      </c>
      <c r="P473" s="41">
        <f>VLOOKUP(O473,'Dataset-2'!D474:J1084,2,)</f>
        <v>0.35820000000000002</v>
      </c>
      <c r="Q473" s="41">
        <f>VLOOKUP(P473,'Dataset-2'!E474:K1084,2,)</f>
        <v>0</v>
      </c>
      <c r="R473" s="41">
        <f>VLOOKUP(Q473,'Dataset-2'!F474:L1084,2,)</f>
        <v>97</v>
      </c>
      <c r="S473" s="41">
        <f>VLOOKUP(R473,'Dataset-2'!G474:M1084,2,)</f>
        <v>97</v>
      </c>
    </row>
    <row r="474" spans="1:19" x14ac:dyDescent="0.35">
      <c r="A474" s="40">
        <v>473</v>
      </c>
      <c r="B474" s="62">
        <f>VLOOKUP(A474,'Dataset-1'!A475:M1085,2,)</f>
        <v>40564</v>
      </c>
      <c r="C474" s="41">
        <f>VLOOKUP(B474,'Dataset-1'!B475:N1085,2,)</f>
        <v>1</v>
      </c>
      <c r="D474" s="41">
        <f>VLOOKUP(C474,'Dataset-1'!C475:O1085,2,)</f>
        <v>0</v>
      </c>
      <c r="E474" s="41">
        <f>VLOOKUP(D474,'Dataset-1'!D475:P1085,2,)</f>
        <v>1</v>
      </c>
      <c r="F474" s="41">
        <f>VLOOKUP(E474,'Dataset-1'!E475:Q1085,2,)</f>
        <v>17</v>
      </c>
      <c r="G474" s="71" t="str">
        <f>VLOOKUP(F474,'Dataset-1'!F475:R1085,2,)</f>
        <v>Evening</v>
      </c>
      <c r="H474" s="41" t="b">
        <f>VLOOKUP(G474,'Dataset-1'!G475:S1085,2,)</f>
        <v>0</v>
      </c>
      <c r="I474" s="41">
        <f>VLOOKUP(H474,'Dataset-1'!H475:T1085,2,)</f>
        <v>5</v>
      </c>
      <c r="J474" s="71" t="str">
        <f>VLOOKUP(I474,'Dataset-1'!I475:U1085,2,)</f>
        <v>Thusday</v>
      </c>
      <c r="K474" s="41">
        <f>VLOOKUP(J474,'Dataset-1'!J475:V1085,2,)</f>
        <v>1</v>
      </c>
      <c r="L474" s="41">
        <f>VLOOKUP(K474,'Dataset-1'!K475:W1085,2,)</f>
        <v>0.14000000000000001</v>
      </c>
      <c r="M474" s="71" t="str">
        <f>VLOOKUP(L474,'Dataset-1'!L475:X1085,2,)</f>
        <v>Rainy</v>
      </c>
      <c r="N474" s="41">
        <f>VLOOKUP(A474,'Dataset-2'!B475:H1085,2,)</f>
        <v>0.1212</v>
      </c>
      <c r="O474" s="41">
        <f>VLOOKUP(N474,'Dataset-2'!C475:I1085,2,)</f>
        <v>0.28000000000000003</v>
      </c>
      <c r="P474" s="41">
        <f>VLOOKUP(O474,'Dataset-2'!D475:J1085,2,)</f>
        <v>0.35820000000000002</v>
      </c>
      <c r="Q474" s="41">
        <f>VLOOKUP(P474,'Dataset-2'!E475:K1085,2,)</f>
        <v>10</v>
      </c>
      <c r="R474" s="41">
        <f>VLOOKUP(Q474,'Dataset-2'!F475:L1085,2,)</f>
        <v>151</v>
      </c>
      <c r="S474" s="41">
        <f>VLOOKUP(R474,'Dataset-2'!G475:M1085,2,)</f>
        <v>161</v>
      </c>
    </row>
    <row r="475" spans="1:19" x14ac:dyDescent="0.35">
      <c r="A475" s="40">
        <v>474</v>
      </c>
      <c r="B475" s="62">
        <f>VLOOKUP(A475,'Dataset-1'!A476:M1086,2,)</f>
        <v>40564</v>
      </c>
      <c r="C475" s="41">
        <f>VLOOKUP(B475,'Dataset-1'!B476:N1086,2,)</f>
        <v>1</v>
      </c>
      <c r="D475" s="41">
        <f>VLOOKUP(C475,'Dataset-1'!C476:O1086,2,)</f>
        <v>0</v>
      </c>
      <c r="E475" s="41">
        <f>VLOOKUP(D475,'Dataset-1'!D476:P1086,2,)</f>
        <v>1</v>
      </c>
      <c r="F475" s="41">
        <f>VLOOKUP(E475,'Dataset-1'!E476:Q1086,2,)</f>
        <v>18</v>
      </c>
      <c r="G475" s="71" t="str">
        <f>VLOOKUP(F475,'Dataset-1'!F476:R1086,2,)</f>
        <v>Evening</v>
      </c>
      <c r="H475" s="41" t="b">
        <f>VLOOKUP(G475,'Dataset-1'!G476:S1086,2,)</f>
        <v>0</v>
      </c>
      <c r="I475" s="41">
        <f>VLOOKUP(H475,'Dataset-1'!H476:T1086,2,)</f>
        <v>5</v>
      </c>
      <c r="J475" s="71" t="str">
        <f>VLOOKUP(I475,'Dataset-1'!I476:U1086,2,)</f>
        <v>Thusday</v>
      </c>
      <c r="K475" s="41">
        <f>VLOOKUP(J475,'Dataset-1'!J476:V1086,2,)</f>
        <v>1</v>
      </c>
      <c r="L475" s="41">
        <f>VLOOKUP(K475,'Dataset-1'!K476:W1086,2,)</f>
        <v>0.12</v>
      </c>
      <c r="M475" s="71" t="str">
        <f>VLOOKUP(L475,'Dataset-1'!L476:X1086,2,)</f>
        <v>Rainy</v>
      </c>
      <c r="N475" s="41">
        <f>VLOOKUP(A475,'Dataset-2'!B476:H1086,2,)</f>
        <v>0.1212</v>
      </c>
      <c r="O475" s="41">
        <f>VLOOKUP(N475,'Dataset-2'!C476:I1086,2,)</f>
        <v>0.3</v>
      </c>
      <c r="P475" s="41">
        <f>VLOOKUP(O475,'Dataset-2'!D476:J1086,2,)</f>
        <v>0.25369999999999998</v>
      </c>
      <c r="Q475" s="41">
        <f>VLOOKUP(P475,'Dataset-2'!E476:K1086,2,)</f>
        <v>1</v>
      </c>
      <c r="R475" s="41">
        <f>VLOOKUP(Q475,'Dataset-2'!F476:L1086,2,)</f>
        <v>119</v>
      </c>
      <c r="S475" s="41">
        <f>VLOOKUP(R475,'Dataset-2'!G476:M1086,2,)</f>
        <v>120</v>
      </c>
    </row>
    <row r="476" spans="1:19" x14ac:dyDescent="0.35">
      <c r="A476" s="40">
        <v>475</v>
      </c>
      <c r="B476" s="62">
        <f>VLOOKUP(A476,'Dataset-1'!A477:M1087,2,)</f>
        <v>40564</v>
      </c>
      <c r="C476" s="41">
        <f>VLOOKUP(B476,'Dataset-1'!B477:N1087,2,)</f>
        <v>1</v>
      </c>
      <c r="D476" s="41">
        <f>VLOOKUP(C476,'Dataset-1'!C477:O1087,2,)</f>
        <v>0</v>
      </c>
      <c r="E476" s="41">
        <f>VLOOKUP(D476,'Dataset-1'!D477:P1087,2,)</f>
        <v>1</v>
      </c>
      <c r="F476" s="41">
        <f>VLOOKUP(E476,'Dataset-1'!E477:Q1087,2,)</f>
        <v>19</v>
      </c>
      <c r="G476" s="71" t="str">
        <f>VLOOKUP(F476,'Dataset-1'!F477:R1087,2,)</f>
        <v>Evening</v>
      </c>
      <c r="H476" s="41" t="b">
        <f>VLOOKUP(G476,'Dataset-1'!G477:S1087,2,)</f>
        <v>0</v>
      </c>
      <c r="I476" s="41">
        <f>VLOOKUP(H476,'Dataset-1'!H477:T1087,2,)</f>
        <v>5</v>
      </c>
      <c r="J476" s="71" t="str">
        <f>VLOOKUP(I476,'Dataset-1'!I477:U1087,2,)</f>
        <v>Thusday</v>
      </c>
      <c r="K476" s="41">
        <f>VLOOKUP(J476,'Dataset-1'!J477:V1087,2,)</f>
        <v>1</v>
      </c>
      <c r="L476" s="41">
        <f>VLOOKUP(K476,'Dataset-1'!K477:W1087,2,)</f>
        <v>0.12</v>
      </c>
      <c r="M476" s="71" t="str">
        <f>VLOOKUP(L476,'Dataset-1'!L477:X1087,2,)</f>
        <v>Rainy</v>
      </c>
      <c r="N476" s="41">
        <f>VLOOKUP(A476,'Dataset-2'!B477:H1087,2,)</f>
        <v>0.1061</v>
      </c>
      <c r="O476" s="41">
        <f>VLOOKUP(N476,'Dataset-2'!C477:I1087,2,)</f>
        <v>0.3</v>
      </c>
      <c r="P476" s="41">
        <f>VLOOKUP(O476,'Dataset-2'!D477:J1087,2,)</f>
        <v>0.32840000000000003</v>
      </c>
      <c r="Q476" s="41">
        <f>VLOOKUP(P476,'Dataset-2'!E477:K1087,2,)</f>
        <v>3</v>
      </c>
      <c r="R476" s="41">
        <f>VLOOKUP(Q476,'Dataset-2'!F477:L1087,2,)</f>
        <v>93</v>
      </c>
      <c r="S476" s="41">
        <f>VLOOKUP(R476,'Dataset-2'!G477:M1087,2,)</f>
        <v>96</v>
      </c>
    </row>
    <row r="477" spans="1:19" x14ac:dyDescent="0.35">
      <c r="A477" s="40">
        <v>476</v>
      </c>
      <c r="B477" s="62">
        <f>VLOOKUP(A477,'Dataset-1'!A478:M1088,2,)</f>
        <v>40564</v>
      </c>
      <c r="C477" s="41">
        <f>VLOOKUP(B477,'Dataset-1'!B478:N1088,2,)</f>
        <v>1</v>
      </c>
      <c r="D477" s="41">
        <f>VLOOKUP(C477,'Dataset-1'!C478:O1088,2,)</f>
        <v>0</v>
      </c>
      <c r="E477" s="41">
        <f>VLOOKUP(D477,'Dataset-1'!D478:P1088,2,)</f>
        <v>1</v>
      </c>
      <c r="F477" s="41">
        <f>VLOOKUP(E477,'Dataset-1'!E478:Q1088,2,)</f>
        <v>20</v>
      </c>
      <c r="G477" s="71" t="str">
        <f>VLOOKUP(F477,'Dataset-1'!F478:R1088,2,)</f>
        <v>Night</v>
      </c>
      <c r="H477" s="41" t="b">
        <f>VLOOKUP(G477,'Dataset-1'!G478:S1088,2,)</f>
        <v>0</v>
      </c>
      <c r="I477" s="41">
        <f>VLOOKUP(H477,'Dataset-1'!H478:T1088,2,)</f>
        <v>5</v>
      </c>
      <c r="J477" s="71" t="str">
        <f>VLOOKUP(I477,'Dataset-1'!I478:U1088,2,)</f>
        <v>Thusday</v>
      </c>
      <c r="K477" s="41">
        <f>VLOOKUP(J477,'Dataset-1'!J478:V1088,2,)</f>
        <v>1</v>
      </c>
      <c r="L477" s="41">
        <f>VLOOKUP(K477,'Dataset-1'!K478:W1088,2,)</f>
        <v>0.1</v>
      </c>
      <c r="M477" s="71" t="str">
        <f>VLOOKUP(L477,'Dataset-1'!L478:X1088,2,)</f>
        <v>Stromy</v>
      </c>
      <c r="N477" s="41">
        <f>VLOOKUP(A477,'Dataset-2'!B478:H1088,2,)</f>
        <v>7.5800000000000006E-2</v>
      </c>
      <c r="O477" s="41">
        <f>VLOOKUP(N477,'Dataset-2'!C478:I1088,2,)</f>
        <v>0.33</v>
      </c>
      <c r="P477" s="41">
        <f>VLOOKUP(O477,'Dataset-2'!D478:J1088,2,)</f>
        <v>0.41789999999999999</v>
      </c>
      <c r="Q477" s="41">
        <f>VLOOKUP(P477,'Dataset-2'!E478:K1088,2,)</f>
        <v>1</v>
      </c>
      <c r="R477" s="41">
        <f>VLOOKUP(Q477,'Dataset-2'!F478:L1088,2,)</f>
        <v>52</v>
      </c>
      <c r="S477" s="41">
        <f>VLOOKUP(R477,'Dataset-2'!G478:M1088,2,)</f>
        <v>53</v>
      </c>
    </row>
    <row r="478" spans="1:19" x14ac:dyDescent="0.35">
      <c r="A478" s="40">
        <v>477</v>
      </c>
      <c r="B478" s="62">
        <f>VLOOKUP(A478,'Dataset-1'!A479:M1089,2,)</f>
        <v>40564</v>
      </c>
      <c r="C478" s="41">
        <f>VLOOKUP(B478,'Dataset-1'!B479:N1089,2,)</f>
        <v>1</v>
      </c>
      <c r="D478" s="41">
        <f>VLOOKUP(C478,'Dataset-1'!C479:O1089,2,)</f>
        <v>0</v>
      </c>
      <c r="E478" s="41">
        <f>VLOOKUP(D478,'Dataset-1'!D479:P1089,2,)</f>
        <v>1</v>
      </c>
      <c r="F478" s="41">
        <f>VLOOKUP(E478,'Dataset-1'!E479:Q1089,2,)</f>
        <v>21</v>
      </c>
      <c r="G478" s="71" t="str">
        <f>VLOOKUP(F478,'Dataset-1'!F479:R1089,2,)</f>
        <v>Night</v>
      </c>
      <c r="H478" s="41" t="b">
        <f>VLOOKUP(G478,'Dataset-1'!G479:S1089,2,)</f>
        <v>0</v>
      </c>
      <c r="I478" s="41">
        <f>VLOOKUP(H478,'Dataset-1'!H479:T1089,2,)</f>
        <v>5</v>
      </c>
      <c r="J478" s="71" t="str">
        <f>VLOOKUP(I478,'Dataset-1'!I479:U1089,2,)</f>
        <v>Thusday</v>
      </c>
      <c r="K478" s="41">
        <f>VLOOKUP(J478,'Dataset-1'!J479:V1089,2,)</f>
        <v>1</v>
      </c>
      <c r="L478" s="41">
        <f>VLOOKUP(K478,'Dataset-1'!K479:W1089,2,)</f>
        <v>0.08</v>
      </c>
      <c r="M478" s="71" t="str">
        <f>VLOOKUP(L478,'Dataset-1'!L479:X1089,2,)</f>
        <v>Stromy</v>
      </c>
      <c r="N478" s="41">
        <f>VLOOKUP(A478,'Dataset-2'!B479:H1089,2,)</f>
        <v>7.5800000000000006E-2</v>
      </c>
      <c r="O478" s="41">
        <f>VLOOKUP(N478,'Dataset-2'!C479:I1089,2,)</f>
        <v>0.38</v>
      </c>
      <c r="P478" s="41">
        <f>VLOOKUP(O478,'Dataset-2'!D479:J1089,2,)</f>
        <v>0.28360000000000002</v>
      </c>
      <c r="Q478" s="41">
        <f>VLOOKUP(P478,'Dataset-2'!E479:K1089,2,)</f>
        <v>0</v>
      </c>
      <c r="R478" s="41">
        <f>VLOOKUP(Q478,'Dataset-2'!F479:L1089,2,)</f>
        <v>41</v>
      </c>
      <c r="S478" s="41">
        <f>VLOOKUP(R478,'Dataset-2'!G479:M1089,2,)</f>
        <v>41</v>
      </c>
    </row>
    <row r="479" spans="1:19" x14ac:dyDescent="0.35">
      <c r="A479" s="40">
        <v>478</v>
      </c>
      <c r="B479" s="62">
        <f>VLOOKUP(A479,'Dataset-1'!A480:M1090,2,)</f>
        <v>40564</v>
      </c>
      <c r="C479" s="41">
        <f>VLOOKUP(B479,'Dataset-1'!B480:N1090,2,)</f>
        <v>1</v>
      </c>
      <c r="D479" s="41">
        <f>VLOOKUP(C479,'Dataset-1'!C480:O1090,2,)</f>
        <v>0</v>
      </c>
      <c r="E479" s="41">
        <f>VLOOKUP(D479,'Dataset-1'!D480:P1090,2,)</f>
        <v>1</v>
      </c>
      <c r="F479" s="41">
        <f>VLOOKUP(E479,'Dataset-1'!E480:Q1090,2,)</f>
        <v>22</v>
      </c>
      <c r="G479" s="71" t="str">
        <f>VLOOKUP(F479,'Dataset-1'!F480:R1090,2,)</f>
        <v>Night</v>
      </c>
      <c r="H479" s="41" t="b">
        <f>VLOOKUP(G479,'Dataset-1'!G480:S1090,2,)</f>
        <v>0</v>
      </c>
      <c r="I479" s="41">
        <f>VLOOKUP(H479,'Dataset-1'!H480:T1090,2,)</f>
        <v>5</v>
      </c>
      <c r="J479" s="71" t="str">
        <f>VLOOKUP(I479,'Dataset-1'!I480:U1090,2,)</f>
        <v>Thusday</v>
      </c>
      <c r="K479" s="41">
        <f>VLOOKUP(J479,'Dataset-1'!J480:V1090,2,)</f>
        <v>1</v>
      </c>
      <c r="L479" s="41">
        <f>VLOOKUP(K479,'Dataset-1'!K480:W1090,2,)</f>
        <v>0.06</v>
      </c>
      <c r="M479" s="71" t="str">
        <f>VLOOKUP(L479,'Dataset-1'!L480:X1090,2,)</f>
        <v>Stromy</v>
      </c>
      <c r="N479" s="41">
        <f>VLOOKUP(A479,'Dataset-2'!B480:H1090,2,)</f>
        <v>3.0300000000000001E-2</v>
      </c>
      <c r="O479" s="41">
        <f>VLOOKUP(N479,'Dataset-2'!C480:I1090,2,)</f>
        <v>0.41</v>
      </c>
      <c r="P479" s="41">
        <f>VLOOKUP(O479,'Dataset-2'!D480:J1090,2,)</f>
        <v>0.3881</v>
      </c>
      <c r="Q479" s="41">
        <f>VLOOKUP(P479,'Dataset-2'!E480:K1090,2,)</f>
        <v>1</v>
      </c>
      <c r="R479" s="41">
        <f>VLOOKUP(Q479,'Dataset-2'!F480:L1090,2,)</f>
        <v>33</v>
      </c>
      <c r="S479" s="41">
        <f>VLOOKUP(R479,'Dataset-2'!G480:M1090,2,)</f>
        <v>34</v>
      </c>
    </row>
    <row r="480" spans="1:19" x14ac:dyDescent="0.35">
      <c r="A480" s="40">
        <v>479</v>
      </c>
      <c r="B480" s="62">
        <f>VLOOKUP(A480,'Dataset-1'!A481:M1091,2,)</f>
        <v>40564</v>
      </c>
      <c r="C480" s="41">
        <f>VLOOKUP(B480,'Dataset-1'!B481:N1091,2,)</f>
        <v>1</v>
      </c>
      <c r="D480" s="41">
        <f>VLOOKUP(C480,'Dataset-1'!C481:O1091,2,)</f>
        <v>0</v>
      </c>
      <c r="E480" s="41">
        <f>VLOOKUP(D480,'Dataset-1'!D481:P1091,2,)</f>
        <v>1</v>
      </c>
      <c r="F480" s="41">
        <f>VLOOKUP(E480,'Dataset-1'!E481:Q1091,2,)</f>
        <v>23</v>
      </c>
      <c r="G480" s="71" t="str">
        <f>VLOOKUP(F480,'Dataset-1'!F481:R1091,2,)</f>
        <v>Night</v>
      </c>
      <c r="H480" s="41" t="b">
        <f>VLOOKUP(G480,'Dataset-1'!G481:S1091,2,)</f>
        <v>0</v>
      </c>
      <c r="I480" s="41">
        <f>VLOOKUP(H480,'Dataset-1'!H481:T1091,2,)</f>
        <v>5</v>
      </c>
      <c r="J480" s="71" t="str">
        <f>VLOOKUP(I480,'Dataset-1'!I481:U1091,2,)</f>
        <v>Thusday</v>
      </c>
      <c r="K480" s="41">
        <f>VLOOKUP(J480,'Dataset-1'!J481:V1091,2,)</f>
        <v>1</v>
      </c>
      <c r="L480" s="41">
        <f>VLOOKUP(K480,'Dataset-1'!K481:W1091,2,)</f>
        <v>0.06</v>
      </c>
      <c r="M480" s="71" t="str">
        <f>VLOOKUP(L480,'Dataset-1'!L481:X1091,2,)</f>
        <v>Stromy</v>
      </c>
      <c r="N480" s="41">
        <f>VLOOKUP(A480,'Dataset-2'!B481:H1091,2,)</f>
        <v>4.5499999999999999E-2</v>
      </c>
      <c r="O480" s="41">
        <f>VLOOKUP(N480,'Dataset-2'!C481:I1091,2,)</f>
        <v>0.38</v>
      </c>
      <c r="P480" s="41">
        <f>VLOOKUP(O480,'Dataset-2'!D481:J1091,2,)</f>
        <v>0.32840000000000003</v>
      </c>
      <c r="Q480" s="41">
        <f>VLOOKUP(P480,'Dataset-2'!E481:K1091,2,)</f>
        <v>0</v>
      </c>
      <c r="R480" s="41">
        <f>VLOOKUP(Q480,'Dataset-2'!F481:L1091,2,)</f>
        <v>27</v>
      </c>
      <c r="S480" s="41">
        <f>VLOOKUP(R480,'Dataset-2'!G481:M1091,2,)</f>
        <v>27</v>
      </c>
    </row>
    <row r="481" spans="1:19" x14ac:dyDescent="0.35">
      <c r="A481" s="40">
        <v>480</v>
      </c>
      <c r="B481" s="62">
        <f>VLOOKUP(A481,'Dataset-1'!A482:M1092,2,)</f>
        <v>40565</v>
      </c>
      <c r="C481" s="41">
        <f>VLOOKUP(B481,'Dataset-1'!B482:N1092,2,)</f>
        <v>1</v>
      </c>
      <c r="D481" s="41">
        <f>VLOOKUP(C481,'Dataset-1'!C482:O1092,2,)</f>
        <v>0</v>
      </c>
      <c r="E481" s="41">
        <f>VLOOKUP(D481,'Dataset-1'!D482:P1092,2,)</f>
        <v>1</v>
      </c>
      <c r="F481" s="41">
        <f>VLOOKUP(E481,'Dataset-1'!E482:Q1092,2,)</f>
        <v>0</v>
      </c>
      <c r="G481" s="71" t="str">
        <f>VLOOKUP(F481,'Dataset-1'!F482:R1092,2,)</f>
        <v>Night</v>
      </c>
      <c r="H481" s="41" t="b">
        <f>VLOOKUP(G481,'Dataset-1'!G482:S1092,2,)</f>
        <v>0</v>
      </c>
      <c r="I481" s="41">
        <f>VLOOKUP(H481,'Dataset-1'!H482:T1092,2,)</f>
        <v>6</v>
      </c>
      <c r="J481" s="71" t="str">
        <f>VLOOKUP(I481,'Dataset-1'!I482:U1092,2,)</f>
        <v>Friday</v>
      </c>
      <c r="K481" s="41">
        <f>VLOOKUP(J481,'Dataset-1'!J482:V1092,2,)</f>
        <v>1</v>
      </c>
      <c r="L481" s="41">
        <f>VLOOKUP(K481,'Dataset-1'!K482:W1092,2,)</f>
        <v>0.04</v>
      </c>
      <c r="M481" s="71" t="str">
        <f>VLOOKUP(L481,'Dataset-1'!L482:X1092,2,)</f>
        <v>Stromy</v>
      </c>
      <c r="N481" s="41">
        <f>VLOOKUP(A481,'Dataset-2'!B482:H1092,2,)</f>
        <v>3.0300000000000001E-2</v>
      </c>
      <c r="O481" s="41">
        <f>VLOOKUP(N481,'Dataset-2'!C482:I1092,2,)</f>
        <v>0.45</v>
      </c>
      <c r="P481" s="41">
        <f>VLOOKUP(O481,'Dataset-2'!D482:J1092,2,)</f>
        <v>0.25369999999999998</v>
      </c>
      <c r="Q481" s="41">
        <f>VLOOKUP(P481,'Dataset-2'!E482:K1092,2,)</f>
        <v>0</v>
      </c>
      <c r="R481" s="41">
        <f>VLOOKUP(Q481,'Dataset-2'!F482:L1092,2,)</f>
        <v>13</v>
      </c>
      <c r="S481" s="41">
        <f>VLOOKUP(R481,'Dataset-2'!G482:M1092,2,)</f>
        <v>13</v>
      </c>
    </row>
    <row r="482" spans="1:19" x14ac:dyDescent="0.35">
      <c r="A482" s="40">
        <v>481</v>
      </c>
      <c r="B482" s="62">
        <f>VLOOKUP(A482,'Dataset-1'!A483:M1093,2,)</f>
        <v>40565</v>
      </c>
      <c r="C482" s="41">
        <f>VLOOKUP(B482,'Dataset-1'!B483:N1093,2,)</f>
        <v>1</v>
      </c>
      <c r="D482" s="41">
        <f>VLOOKUP(C482,'Dataset-1'!C483:O1093,2,)</f>
        <v>0</v>
      </c>
      <c r="E482" s="41">
        <f>VLOOKUP(D482,'Dataset-1'!D483:P1093,2,)</f>
        <v>1</v>
      </c>
      <c r="F482" s="41">
        <f>VLOOKUP(E482,'Dataset-1'!E483:Q1093,2,)</f>
        <v>1</v>
      </c>
      <c r="G482" s="71" t="str">
        <f>VLOOKUP(F482,'Dataset-1'!F483:R1093,2,)</f>
        <v>Night</v>
      </c>
      <c r="H482" s="41" t="b">
        <f>VLOOKUP(G482,'Dataset-1'!G483:S1093,2,)</f>
        <v>0</v>
      </c>
      <c r="I482" s="41">
        <f>VLOOKUP(H482,'Dataset-1'!H483:T1093,2,)</f>
        <v>6</v>
      </c>
      <c r="J482" s="71" t="str">
        <f>VLOOKUP(I482,'Dataset-1'!I483:U1093,2,)</f>
        <v>Friday</v>
      </c>
      <c r="K482" s="41">
        <f>VLOOKUP(J482,'Dataset-1'!J483:V1093,2,)</f>
        <v>2</v>
      </c>
      <c r="L482" s="41">
        <f>VLOOKUP(K482,'Dataset-1'!K483:W1093,2,)</f>
        <v>0.04</v>
      </c>
      <c r="M482" s="71" t="str">
        <f>VLOOKUP(L482,'Dataset-1'!L483:X1093,2,)</f>
        <v>Stromy</v>
      </c>
      <c r="N482" s="41">
        <f>VLOOKUP(A482,'Dataset-2'!B483:H1093,2,)</f>
        <v>0</v>
      </c>
      <c r="O482" s="41">
        <f>VLOOKUP(N482,'Dataset-2'!C483:I1093,2,)</f>
        <v>0.41</v>
      </c>
      <c r="P482" s="41">
        <f>VLOOKUP(O482,'Dataset-2'!D483:J1093,2,)</f>
        <v>0.3881</v>
      </c>
      <c r="Q482" s="41">
        <f>VLOOKUP(P482,'Dataset-2'!E483:K1093,2,)</f>
        <v>3</v>
      </c>
      <c r="R482" s="41">
        <f>VLOOKUP(Q482,'Dataset-2'!F483:L1093,2,)</f>
        <v>9</v>
      </c>
      <c r="S482" s="41">
        <f>VLOOKUP(R482,'Dataset-2'!G483:M1093,2,)</f>
        <v>12</v>
      </c>
    </row>
    <row r="483" spans="1:19" x14ac:dyDescent="0.35">
      <c r="A483" s="40">
        <v>482</v>
      </c>
      <c r="B483" s="62">
        <f>VLOOKUP(A483,'Dataset-1'!A484:M1094,2,)</f>
        <v>40565</v>
      </c>
      <c r="C483" s="41">
        <f>VLOOKUP(B483,'Dataset-1'!B484:N1094,2,)</f>
        <v>1</v>
      </c>
      <c r="D483" s="41">
        <f>VLOOKUP(C483,'Dataset-1'!C484:O1094,2,)</f>
        <v>0</v>
      </c>
      <c r="E483" s="41">
        <f>VLOOKUP(D483,'Dataset-1'!D484:P1094,2,)</f>
        <v>1</v>
      </c>
      <c r="F483" s="41">
        <f>VLOOKUP(E483,'Dataset-1'!E484:Q1094,2,)</f>
        <v>2</v>
      </c>
      <c r="G483" s="71" t="str">
        <f>VLOOKUP(F483,'Dataset-1'!F484:R1094,2,)</f>
        <v>Night</v>
      </c>
      <c r="H483" s="41" t="b">
        <f>VLOOKUP(G483,'Dataset-1'!G484:S1094,2,)</f>
        <v>0</v>
      </c>
      <c r="I483" s="41">
        <f>VLOOKUP(H483,'Dataset-1'!H484:T1094,2,)</f>
        <v>6</v>
      </c>
      <c r="J483" s="71" t="str">
        <f>VLOOKUP(I483,'Dataset-1'!I484:U1094,2,)</f>
        <v>Friday</v>
      </c>
      <c r="K483" s="41">
        <f>VLOOKUP(J483,'Dataset-1'!J484:V1094,2,)</f>
        <v>2</v>
      </c>
      <c r="L483" s="41">
        <f>VLOOKUP(K483,'Dataset-1'!K484:W1094,2,)</f>
        <v>0.04</v>
      </c>
      <c r="M483" s="71" t="str">
        <f>VLOOKUP(L483,'Dataset-1'!L484:X1094,2,)</f>
        <v>Stromy</v>
      </c>
      <c r="N483" s="41">
        <f>VLOOKUP(A483,'Dataset-2'!B484:H1094,2,)</f>
        <v>3.0300000000000001E-2</v>
      </c>
      <c r="O483" s="41">
        <f>VLOOKUP(N483,'Dataset-2'!C484:I1094,2,)</f>
        <v>0.41</v>
      </c>
      <c r="P483" s="41">
        <f>VLOOKUP(O483,'Dataset-2'!D484:J1094,2,)</f>
        <v>0.25369999999999998</v>
      </c>
      <c r="Q483" s="41">
        <f>VLOOKUP(P483,'Dataset-2'!E484:K1094,2,)</f>
        <v>0</v>
      </c>
      <c r="R483" s="41">
        <f>VLOOKUP(Q483,'Dataset-2'!F484:L1094,2,)</f>
        <v>11</v>
      </c>
      <c r="S483" s="41">
        <f>VLOOKUP(R483,'Dataset-2'!G484:M1094,2,)</f>
        <v>11</v>
      </c>
    </row>
    <row r="484" spans="1:19" x14ac:dyDescent="0.35">
      <c r="A484" s="40">
        <v>483</v>
      </c>
      <c r="B484" s="62">
        <f>VLOOKUP(A484,'Dataset-1'!A485:M1095,2,)</f>
        <v>40565</v>
      </c>
      <c r="C484" s="41">
        <f>VLOOKUP(B484,'Dataset-1'!B485:N1095,2,)</f>
        <v>1</v>
      </c>
      <c r="D484" s="41">
        <f>VLOOKUP(C484,'Dataset-1'!C485:O1095,2,)</f>
        <v>0</v>
      </c>
      <c r="E484" s="41">
        <f>VLOOKUP(D484,'Dataset-1'!D485:P1095,2,)</f>
        <v>1</v>
      </c>
      <c r="F484" s="41">
        <f>VLOOKUP(E484,'Dataset-1'!E485:Q1095,2,)</f>
        <v>3</v>
      </c>
      <c r="G484" s="71" t="str">
        <f>VLOOKUP(F484,'Dataset-1'!F485:R1095,2,)</f>
        <v>Night</v>
      </c>
      <c r="H484" s="41" t="b">
        <f>VLOOKUP(G484,'Dataset-1'!G485:S1095,2,)</f>
        <v>0</v>
      </c>
      <c r="I484" s="41">
        <f>VLOOKUP(H484,'Dataset-1'!H485:T1095,2,)</f>
        <v>6</v>
      </c>
      <c r="J484" s="71" t="str">
        <f>VLOOKUP(I484,'Dataset-1'!I485:U1095,2,)</f>
        <v>Friday</v>
      </c>
      <c r="K484" s="41">
        <f>VLOOKUP(J484,'Dataset-1'!J485:V1095,2,)</f>
        <v>2</v>
      </c>
      <c r="L484" s="41">
        <f>VLOOKUP(K484,'Dataset-1'!K485:W1095,2,)</f>
        <v>0.04</v>
      </c>
      <c r="M484" s="71" t="str">
        <f>VLOOKUP(L484,'Dataset-1'!L485:X1095,2,)</f>
        <v>Stromy</v>
      </c>
      <c r="N484" s="41">
        <f>VLOOKUP(A484,'Dataset-2'!B485:H1095,2,)</f>
        <v>3.0300000000000001E-2</v>
      </c>
      <c r="O484" s="41">
        <f>VLOOKUP(N484,'Dataset-2'!C485:I1095,2,)</f>
        <v>0.41</v>
      </c>
      <c r="P484" s="41">
        <f>VLOOKUP(O484,'Dataset-2'!D485:J1095,2,)</f>
        <v>0.28360000000000002</v>
      </c>
      <c r="Q484" s="41">
        <f>VLOOKUP(P484,'Dataset-2'!E485:K1095,2,)</f>
        <v>1</v>
      </c>
      <c r="R484" s="41">
        <f>VLOOKUP(Q484,'Dataset-2'!F485:L1095,2,)</f>
        <v>6</v>
      </c>
      <c r="S484" s="41">
        <f>VLOOKUP(R484,'Dataset-2'!G485:M1095,2,)</f>
        <v>7</v>
      </c>
    </row>
    <row r="485" spans="1:19" x14ac:dyDescent="0.35">
      <c r="A485" s="40">
        <v>484</v>
      </c>
      <c r="B485" s="62">
        <f>VLOOKUP(A485,'Dataset-1'!A486:M1096,2,)</f>
        <v>40565</v>
      </c>
      <c r="C485" s="41">
        <f>VLOOKUP(B485,'Dataset-1'!B486:N1096,2,)</f>
        <v>1</v>
      </c>
      <c r="D485" s="41">
        <f>VLOOKUP(C485,'Dataset-1'!C486:O1096,2,)</f>
        <v>0</v>
      </c>
      <c r="E485" s="41">
        <f>VLOOKUP(D485,'Dataset-1'!D486:P1096,2,)</f>
        <v>1</v>
      </c>
      <c r="F485" s="41">
        <f>VLOOKUP(E485,'Dataset-1'!E486:Q1096,2,)</f>
        <v>4</v>
      </c>
      <c r="G485" s="71" t="str">
        <f>VLOOKUP(F485,'Dataset-1'!F486:R1096,2,)</f>
        <v>Night</v>
      </c>
      <c r="H485" s="41" t="b">
        <f>VLOOKUP(G485,'Dataset-1'!G486:S1096,2,)</f>
        <v>0</v>
      </c>
      <c r="I485" s="41">
        <f>VLOOKUP(H485,'Dataset-1'!H486:T1096,2,)</f>
        <v>6</v>
      </c>
      <c r="J485" s="71" t="str">
        <f>VLOOKUP(I485,'Dataset-1'!I486:U1096,2,)</f>
        <v>Friday</v>
      </c>
      <c r="K485" s="41">
        <f>VLOOKUP(J485,'Dataset-1'!J486:V1096,2,)</f>
        <v>2</v>
      </c>
      <c r="L485" s="41">
        <f>VLOOKUP(K485,'Dataset-1'!K486:W1096,2,)</f>
        <v>0.02</v>
      </c>
      <c r="M485" s="71" t="str">
        <f>VLOOKUP(L485,'Dataset-1'!L486:X1096,2,)</f>
        <v>Stromy</v>
      </c>
      <c r="N485" s="41">
        <f>VLOOKUP(A485,'Dataset-2'!B486:H1096,2,)</f>
        <v>1.52E-2</v>
      </c>
      <c r="O485" s="41">
        <f>VLOOKUP(N485,'Dataset-2'!C486:I1096,2,)</f>
        <v>0.48</v>
      </c>
      <c r="P485" s="41">
        <f>VLOOKUP(O485,'Dataset-2'!D486:J1096,2,)</f>
        <v>0.29849999999999999</v>
      </c>
      <c r="Q485" s="41">
        <f>VLOOKUP(P485,'Dataset-2'!E486:K1096,2,)</f>
        <v>0</v>
      </c>
      <c r="R485" s="41">
        <f>VLOOKUP(Q485,'Dataset-2'!F486:L1096,2,)</f>
        <v>3</v>
      </c>
      <c r="S485" s="41">
        <f>VLOOKUP(R485,'Dataset-2'!G486:M1096,2,)</f>
        <v>3</v>
      </c>
    </row>
    <row r="486" spans="1:19" x14ac:dyDescent="0.35">
      <c r="A486" s="40">
        <v>485</v>
      </c>
      <c r="B486" s="62">
        <f>VLOOKUP(A486,'Dataset-1'!A487:M1097,2,)</f>
        <v>40565</v>
      </c>
      <c r="C486" s="41">
        <f>VLOOKUP(B486,'Dataset-1'!B487:N1097,2,)</f>
        <v>1</v>
      </c>
      <c r="D486" s="41">
        <f>VLOOKUP(C486,'Dataset-1'!C487:O1097,2,)</f>
        <v>0</v>
      </c>
      <c r="E486" s="41">
        <f>VLOOKUP(D486,'Dataset-1'!D487:P1097,2,)</f>
        <v>1</v>
      </c>
      <c r="F486" s="41">
        <f>VLOOKUP(E486,'Dataset-1'!E487:Q1097,2,)</f>
        <v>6</v>
      </c>
      <c r="G486" s="71" t="str">
        <f>VLOOKUP(F486,'Dataset-1'!F487:R1097,2,)</f>
        <v>Morning</v>
      </c>
      <c r="H486" s="41" t="b">
        <f>VLOOKUP(G486,'Dataset-1'!G487:S1097,2,)</f>
        <v>0</v>
      </c>
      <c r="I486" s="41">
        <f>VLOOKUP(H486,'Dataset-1'!H487:T1097,2,)</f>
        <v>6</v>
      </c>
      <c r="J486" s="71" t="str">
        <f>VLOOKUP(I486,'Dataset-1'!I487:U1097,2,)</f>
        <v>Friday</v>
      </c>
      <c r="K486" s="41">
        <f>VLOOKUP(J486,'Dataset-1'!J487:V1097,2,)</f>
        <v>2</v>
      </c>
      <c r="L486" s="41">
        <f>VLOOKUP(K486,'Dataset-1'!K487:W1097,2,)</f>
        <v>0.02</v>
      </c>
      <c r="M486" s="71" t="str">
        <f>VLOOKUP(L486,'Dataset-1'!L487:X1097,2,)</f>
        <v>Stromy</v>
      </c>
      <c r="N486" s="41">
        <f>VLOOKUP(A486,'Dataset-2'!B487:H1097,2,)</f>
        <v>3.0300000000000001E-2</v>
      </c>
      <c r="O486" s="41">
        <f>VLOOKUP(N486,'Dataset-2'!C487:I1097,2,)</f>
        <v>0.44</v>
      </c>
      <c r="P486" s="41">
        <f>VLOOKUP(O486,'Dataset-2'!D487:J1097,2,)</f>
        <v>0.22389999999999999</v>
      </c>
      <c r="Q486" s="41">
        <f>VLOOKUP(P486,'Dataset-2'!E487:K1097,2,)</f>
        <v>0</v>
      </c>
      <c r="R486" s="41">
        <f>VLOOKUP(Q486,'Dataset-2'!F487:L1097,2,)</f>
        <v>2</v>
      </c>
      <c r="S486" s="41">
        <f>VLOOKUP(R486,'Dataset-2'!G487:M1097,2,)</f>
        <v>2</v>
      </c>
    </row>
    <row r="487" spans="1:19" x14ac:dyDescent="0.35">
      <c r="A487" s="40">
        <v>486</v>
      </c>
      <c r="B487" s="62">
        <f>VLOOKUP(A487,'Dataset-1'!A488:M1098,2,)</f>
        <v>40565</v>
      </c>
      <c r="C487" s="41">
        <f>VLOOKUP(B487,'Dataset-1'!B488:N1098,2,)</f>
        <v>1</v>
      </c>
      <c r="D487" s="41">
        <f>VLOOKUP(C487,'Dataset-1'!C488:O1098,2,)</f>
        <v>0</v>
      </c>
      <c r="E487" s="41">
        <f>VLOOKUP(D487,'Dataset-1'!D488:P1098,2,)</f>
        <v>1</v>
      </c>
      <c r="F487" s="41">
        <f>VLOOKUP(E487,'Dataset-1'!E488:Q1098,2,)</f>
        <v>7</v>
      </c>
      <c r="G487" s="71" t="str">
        <f>VLOOKUP(F487,'Dataset-1'!F488:R1098,2,)</f>
        <v>Morning</v>
      </c>
      <c r="H487" s="41" t="b">
        <f>VLOOKUP(G487,'Dataset-1'!G488:S1098,2,)</f>
        <v>0</v>
      </c>
      <c r="I487" s="41">
        <f>VLOOKUP(H487,'Dataset-1'!H488:T1098,2,)</f>
        <v>6</v>
      </c>
      <c r="J487" s="71" t="str">
        <f>VLOOKUP(I487,'Dataset-1'!I488:U1098,2,)</f>
        <v>Friday</v>
      </c>
      <c r="K487" s="41">
        <f>VLOOKUP(J487,'Dataset-1'!J488:V1098,2,)</f>
        <v>1</v>
      </c>
      <c r="L487" s="41">
        <f>VLOOKUP(K487,'Dataset-1'!K488:W1098,2,)</f>
        <v>0.02</v>
      </c>
      <c r="M487" s="71" t="str">
        <f>VLOOKUP(L487,'Dataset-1'!L488:X1098,2,)</f>
        <v>Stromy</v>
      </c>
      <c r="N487" s="41">
        <f>VLOOKUP(A487,'Dataset-2'!B488:H1098,2,)</f>
        <v>1.52E-2</v>
      </c>
      <c r="O487" s="41">
        <f>VLOOKUP(N487,'Dataset-2'!C488:I1098,2,)</f>
        <v>0.44</v>
      </c>
      <c r="P487" s="41">
        <f>VLOOKUP(O487,'Dataset-2'!D488:J1098,2,)</f>
        <v>0.28360000000000002</v>
      </c>
      <c r="Q487" s="41">
        <f>VLOOKUP(P487,'Dataset-2'!E488:K1098,2,)</f>
        <v>0</v>
      </c>
      <c r="R487" s="41">
        <f>VLOOKUP(Q487,'Dataset-2'!F488:L1098,2,)</f>
        <v>8</v>
      </c>
      <c r="S487" s="41">
        <f>VLOOKUP(R487,'Dataset-2'!G488:M1098,2,)</f>
        <v>8</v>
      </c>
    </row>
    <row r="488" spans="1:19" x14ac:dyDescent="0.35">
      <c r="A488" s="40">
        <v>487</v>
      </c>
      <c r="B488" s="62">
        <f>VLOOKUP(A488,'Dataset-1'!A489:M1099,2,)</f>
        <v>40565</v>
      </c>
      <c r="C488" s="41">
        <f>VLOOKUP(B488,'Dataset-1'!B489:N1099,2,)</f>
        <v>1</v>
      </c>
      <c r="D488" s="41">
        <f>VLOOKUP(C488,'Dataset-1'!C489:O1099,2,)</f>
        <v>0</v>
      </c>
      <c r="E488" s="41">
        <f>VLOOKUP(D488,'Dataset-1'!D489:P1099,2,)</f>
        <v>1</v>
      </c>
      <c r="F488" s="41">
        <f>VLOOKUP(E488,'Dataset-1'!E489:Q1099,2,)</f>
        <v>8</v>
      </c>
      <c r="G488" s="71" t="str">
        <f>VLOOKUP(F488,'Dataset-1'!F489:R1099,2,)</f>
        <v>Morning</v>
      </c>
      <c r="H488" s="41" t="b">
        <f>VLOOKUP(G488,'Dataset-1'!G489:S1099,2,)</f>
        <v>0</v>
      </c>
      <c r="I488" s="41">
        <f>VLOOKUP(H488,'Dataset-1'!H489:T1099,2,)</f>
        <v>6</v>
      </c>
      <c r="J488" s="71" t="str">
        <f>VLOOKUP(I488,'Dataset-1'!I489:U1099,2,)</f>
        <v>Friday</v>
      </c>
      <c r="K488" s="41">
        <f>VLOOKUP(J488,'Dataset-1'!J489:V1099,2,)</f>
        <v>1</v>
      </c>
      <c r="L488" s="41">
        <f>VLOOKUP(K488,'Dataset-1'!K489:W1099,2,)</f>
        <v>0.02</v>
      </c>
      <c r="M488" s="71" t="str">
        <f>VLOOKUP(L488,'Dataset-1'!L489:X1099,2,)</f>
        <v>Stromy</v>
      </c>
      <c r="N488" s="41">
        <f>VLOOKUP(A488,'Dataset-2'!B489:H1099,2,)</f>
        <v>0</v>
      </c>
      <c r="O488" s="41">
        <f>VLOOKUP(N488,'Dataset-2'!C489:I1099,2,)</f>
        <v>0.44</v>
      </c>
      <c r="P488" s="41">
        <f>VLOOKUP(O488,'Dataset-2'!D489:J1099,2,)</f>
        <v>0.32840000000000003</v>
      </c>
      <c r="Q488" s="41">
        <f>VLOOKUP(P488,'Dataset-2'!E489:K1099,2,)</f>
        <v>1</v>
      </c>
      <c r="R488" s="41">
        <f>VLOOKUP(Q488,'Dataset-2'!F489:L1099,2,)</f>
        <v>26</v>
      </c>
      <c r="S488" s="41">
        <f>VLOOKUP(R488,'Dataset-2'!G489:M1099,2,)</f>
        <v>27</v>
      </c>
    </row>
    <row r="489" spans="1:19" x14ac:dyDescent="0.35">
      <c r="A489" s="40">
        <v>488</v>
      </c>
      <c r="B489" s="62">
        <f>VLOOKUP(A489,'Dataset-1'!A490:M1100,2,)</f>
        <v>40565</v>
      </c>
      <c r="C489" s="41">
        <f>VLOOKUP(B489,'Dataset-1'!B490:N1100,2,)</f>
        <v>1</v>
      </c>
      <c r="D489" s="41">
        <f>VLOOKUP(C489,'Dataset-1'!C490:O1100,2,)</f>
        <v>0</v>
      </c>
      <c r="E489" s="41">
        <f>VLOOKUP(D489,'Dataset-1'!D490:P1100,2,)</f>
        <v>1</v>
      </c>
      <c r="F489" s="41">
        <f>VLOOKUP(E489,'Dataset-1'!E490:Q1100,2,)</f>
        <v>9</v>
      </c>
      <c r="G489" s="71" t="str">
        <f>VLOOKUP(F489,'Dataset-1'!F490:R1100,2,)</f>
        <v>Morning</v>
      </c>
      <c r="H489" s="41" t="b">
        <f>VLOOKUP(G489,'Dataset-1'!G490:S1100,2,)</f>
        <v>0</v>
      </c>
      <c r="I489" s="41">
        <f>VLOOKUP(H489,'Dataset-1'!H490:T1100,2,)</f>
        <v>6</v>
      </c>
      <c r="J489" s="71" t="str">
        <f>VLOOKUP(I489,'Dataset-1'!I490:U1100,2,)</f>
        <v>Friday</v>
      </c>
      <c r="K489" s="41">
        <f>VLOOKUP(J489,'Dataset-1'!J490:V1100,2,)</f>
        <v>1</v>
      </c>
      <c r="L489" s="41">
        <f>VLOOKUP(K489,'Dataset-1'!K490:W1100,2,)</f>
        <v>0.04</v>
      </c>
      <c r="M489" s="71" t="str">
        <f>VLOOKUP(L489,'Dataset-1'!L490:X1100,2,)</f>
        <v>Stromy</v>
      </c>
      <c r="N489" s="41">
        <f>VLOOKUP(A489,'Dataset-2'!B490:H1100,2,)</f>
        <v>3.0300000000000001E-2</v>
      </c>
      <c r="O489" s="41">
        <f>VLOOKUP(N489,'Dataset-2'!C490:I1100,2,)</f>
        <v>0.41</v>
      </c>
      <c r="P489" s="41">
        <f>VLOOKUP(O489,'Dataset-2'!D490:J1100,2,)</f>
        <v>0.25369999999999998</v>
      </c>
      <c r="Q489" s="41">
        <f>VLOOKUP(P489,'Dataset-2'!E490:K1100,2,)</f>
        <v>3</v>
      </c>
      <c r="R489" s="41">
        <f>VLOOKUP(Q489,'Dataset-2'!F490:L1100,2,)</f>
        <v>37</v>
      </c>
      <c r="S489" s="41">
        <f>VLOOKUP(R489,'Dataset-2'!G490:M1100,2,)</f>
        <v>40</v>
      </c>
    </row>
    <row r="490" spans="1:19" x14ac:dyDescent="0.35">
      <c r="A490" s="40">
        <v>489</v>
      </c>
      <c r="B490" s="62">
        <f>VLOOKUP(A490,'Dataset-1'!A491:M1101,2,)</f>
        <v>40565</v>
      </c>
      <c r="C490" s="41">
        <f>VLOOKUP(B490,'Dataset-1'!B491:N1101,2,)</f>
        <v>1</v>
      </c>
      <c r="D490" s="41">
        <f>VLOOKUP(C490,'Dataset-1'!C491:O1101,2,)</f>
        <v>0</v>
      </c>
      <c r="E490" s="41">
        <f>VLOOKUP(D490,'Dataset-1'!D491:P1101,2,)</f>
        <v>1</v>
      </c>
      <c r="F490" s="41">
        <f>VLOOKUP(E490,'Dataset-1'!E491:Q1101,2,)</f>
        <v>10</v>
      </c>
      <c r="G490" s="71" t="str">
        <f>VLOOKUP(F490,'Dataset-1'!F491:R1101,2,)</f>
        <v>Morning</v>
      </c>
      <c r="H490" s="41" t="b">
        <f>VLOOKUP(G490,'Dataset-1'!G491:S1101,2,)</f>
        <v>0</v>
      </c>
      <c r="I490" s="41">
        <f>VLOOKUP(H490,'Dataset-1'!H491:T1101,2,)</f>
        <v>6</v>
      </c>
      <c r="J490" s="71" t="str">
        <f>VLOOKUP(I490,'Dataset-1'!I491:U1101,2,)</f>
        <v>Friday</v>
      </c>
      <c r="K490" s="41">
        <f>VLOOKUP(J490,'Dataset-1'!J491:V1101,2,)</f>
        <v>2</v>
      </c>
      <c r="L490" s="41">
        <f>VLOOKUP(K490,'Dataset-1'!K491:W1101,2,)</f>
        <v>0.04</v>
      </c>
      <c r="M490" s="71" t="str">
        <f>VLOOKUP(L490,'Dataset-1'!L491:X1101,2,)</f>
        <v>Stromy</v>
      </c>
      <c r="N490" s="41">
        <f>VLOOKUP(A490,'Dataset-2'!B491:H1101,2,)</f>
        <v>6.0600000000000001E-2</v>
      </c>
      <c r="O490" s="41">
        <f>VLOOKUP(N490,'Dataset-2'!C491:I1101,2,)</f>
        <v>0.41</v>
      </c>
      <c r="P490" s="41">
        <f>VLOOKUP(O490,'Dataset-2'!D491:J1101,2,)</f>
        <v>0.16420000000000001</v>
      </c>
      <c r="Q490" s="41">
        <f>VLOOKUP(P490,'Dataset-2'!E491:K1101,2,)</f>
        <v>3</v>
      </c>
      <c r="R490" s="41">
        <f>VLOOKUP(Q490,'Dataset-2'!F491:L1101,2,)</f>
        <v>50</v>
      </c>
      <c r="S490" s="41">
        <f>VLOOKUP(R490,'Dataset-2'!G491:M1101,2,)</f>
        <v>53</v>
      </c>
    </row>
    <row r="491" spans="1:19" x14ac:dyDescent="0.35">
      <c r="A491" s="40">
        <v>490</v>
      </c>
      <c r="B491" s="62">
        <f>VLOOKUP(A491,'Dataset-1'!A492:M1102,2,)</f>
        <v>40565</v>
      </c>
      <c r="C491" s="41">
        <f>VLOOKUP(B491,'Dataset-1'!B492:N1102,2,)</f>
        <v>1</v>
      </c>
      <c r="D491" s="41">
        <f>VLOOKUP(C491,'Dataset-1'!C492:O1102,2,)</f>
        <v>0</v>
      </c>
      <c r="E491" s="41">
        <f>VLOOKUP(D491,'Dataset-1'!D492:P1102,2,)</f>
        <v>1</v>
      </c>
      <c r="F491" s="41">
        <f>VLOOKUP(E491,'Dataset-1'!E492:Q1102,2,)</f>
        <v>11</v>
      </c>
      <c r="G491" s="71" t="str">
        <f>VLOOKUP(F491,'Dataset-1'!F492:R1102,2,)</f>
        <v>Morning</v>
      </c>
      <c r="H491" s="41" t="b">
        <f>VLOOKUP(G491,'Dataset-1'!G492:S1102,2,)</f>
        <v>0</v>
      </c>
      <c r="I491" s="41">
        <f>VLOOKUP(H491,'Dataset-1'!H492:T1102,2,)</f>
        <v>6</v>
      </c>
      <c r="J491" s="71" t="str">
        <f>VLOOKUP(I491,'Dataset-1'!I492:U1102,2,)</f>
        <v>Friday</v>
      </c>
      <c r="K491" s="41">
        <f>VLOOKUP(J491,'Dataset-1'!J492:V1102,2,)</f>
        <v>2</v>
      </c>
      <c r="L491" s="41">
        <f>VLOOKUP(K491,'Dataset-1'!K492:W1102,2,)</f>
        <v>0.06</v>
      </c>
      <c r="M491" s="71" t="str">
        <f>VLOOKUP(L491,'Dataset-1'!L492:X1102,2,)</f>
        <v>Stromy</v>
      </c>
      <c r="N491" s="41">
        <f>VLOOKUP(A491,'Dataset-2'!B492:H1102,2,)</f>
        <v>7.5800000000000006E-2</v>
      </c>
      <c r="O491" s="41">
        <f>VLOOKUP(N491,'Dataset-2'!C492:I1102,2,)</f>
        <v>0.38</v>
      </c>
      <c r="P491" s="41">
        <f>VLOOKUP(O491,'Dataset-2'!D492:J1102,2,)</f>
        <v>0.1343</v>
      </c>
      <c r="Q491" s="41">
        <f>VLOOKUP(P491,'Dataset-2'!E492:K1102,2,)</f>
        <v>4</v>
      </c>
      <c r="R491" s="41">
        <f>VLOOKUP(Q491,'Dataset-2'!F492:L1102,2,)</f>
        <v>59</v>
      </c>
      <c r="S491" s="41">
        <f>VLOOKUP(R491,'Dataset-2'!G492:M1102,2,)</f>
        <v>63</v>
      </c>
    </row>
    <row r="492" spans="1:19" x14ac:dyDescent="0.35">
      <c r="A492" s="40">
        <v>491</v>
      </c>
      <c r="B492" s="62">
        <f>VLOOKUP(A492,'Dataset-1'!A493:M1103,2,)</f>
        <v>40565</v>
      </c>
      <c r="C492" s="41">
        <f>VLOOKUP(B492,'Dataset-1'!B493:N1103,2,)</f>
        <v>1</v>
      </c>
      <c r="D492" s="41">
        <f>VLOOKUP(C492,'Dataset-1'!C493:O1103,2,)</f>
        <v>0</v>
      </c>
      <c r="E492" s="41">
        <f>VLOOKUP(D492,'Dataset-1'!D493:P1103,2,)</f>
        <v>1</v>
      </c>
      <c r="F492" s="41">
        <f>VLOOKUP(E492,'Dataset-1'!E493:Q1103,2,)</f>
        <v>12</v>
      </c>
      <c r="G492" s="71" t="str">
        <f>VLOOKUP(F492,'Dataset-1'!F493:R1103,2,)</f>
        <v>AfterNoon</v>
      </c>
      <c r="H492" s="41" t="b">
        <f>VLOOKUP(G492,'Dataset-1'!G493:S1103,2,)</f>
        <v>0</v>
      </c>
      <c r="I492" s="41">
        <f>VLOOKUP(H492,'Dataset-1'!H493:T1103,2,)</f>
        <v>6</v>
      </c>
      <c r="J492" s="71" t="str">
        <f>VLOOKUP(I492,'Dataset-1'!I493:U1103,2,)</f>
        <v>Friday</v>
      </c>
      <c r="K492" s="41">
        <f>VLOOKUP(J492,'Dataset-1'!J493:V1103,2,)</f>
        <v>2</v>
      </c>
      <c r="L492" s="41">
        <f>VLOOKUP(K492,'Dataset-1'!K493:W1103,2,)</f>
        <v>0.06</v>
      </c>
      <c r="M492" s="71" t="str">
        <f>VLOOKUP(L492,'Dataset-1'!L493:X1103,2,)</f>
        <v>Stromy</v>
      </c>
      <c r="N492" s="41">
        <f>VLOOKUP(A492,'Dataset-2'!B493:H1103,2,)</f>
        <v>0.1061</v>
      </c>
      <c r="O492" s="41">
        <f>VLOOKUP(N492,'Dataset-2'!C493:I1103,2,)</f>
        <v>0.38</v>
      </c>
      <c r="P492" s="41">
        <f>VLOOKUP(O492,'Dataset-2'!D493:J1103,2,)</f>
        <v>0.1045</v>
      </c>
      <c r="Q492" s="41">
        <f>VLOOKUP(P492,'Dataset-2'!E493:K1103,2,)</f>
        <v>10</v>
      </c>
      <c r="R492" s="41">
        <f>VLOOKUP(Q492,'Dataset-2'!F493:L1103,2,)</f>
        <v>60</v>
      </c>
      <c r="S492" s="41">
        <f>VLOOKUP(R492,'Dataset-2'!G493:M1103,2,)</f>
        <v>70</v>
      </c>
    </row>
    <row r="493" spans="1:19" x14ac:dyDescent="0.35">
      <c r="A493" s="40">
        <v>492</v>
      </c>
      <c r="B493" s="62">
        <f>VLOOKUP(A493,'Dataset-1'!A494:M1104,2,)</f>
        <v>40565</v>
      </c>
      <c r="C493" s="41">
        <f>VLOOKUP(B493,'Dataset-1'!B494:N1104,2,)</f>
        <v>1</v>
      </c>
      <c r="D493" s="41">
        <f>VLOOKUP(C493,'Dataset-1'!C494:O1104,2,)</f>
        <v>0</v>
      </c>
      <c r="E493" s="41">
        <f>VLOOKUP(D493,'Dataset-1'!D494:P1104,2,)</f>
        <v>1</v>
      </c>
      <c r="F493" s="41">
        <f>VLOOKUP(E493,'Dataset-1'!E494:Q1104,2,)</f>
        <v>13</v>
      </c>
      <c r="G493" s="71" t="str">
        <f>VLOOKUP(F493,'Dataset-1'!F494:R1104,2,)</f>
        <v>AfterNoon</v>
      </c>
      <c r="H493" s="41" t="b">
        <f>VLOOKUP(G493,'Dataset-1'!G494:S1104,2,)</f>
        <v>0</v>
      </c>
      <c r="I493" s="41">
        <f>VLOOKUP(H493,'Dataset-1'!H494:T1104,2,)</f>
        <v>6</v>
      </c>
      <c r="J493" s="71" t="str">
        <f>VLOOKUP(I493,'Dataset-1'!I494:U1104,2,)</f>
        <v>Friday</v>
      </c>
      <c r="K493" s="41">
        <f>VLOOKUP(J493,'Dataset-1'!J494:V1104,2,)</f>
        <v>1</v>
      </c>
      <c r="L493" s="41">
        <f>VLOOKUP(K493,'Dataset-1'!K494:W1104,2,)</f>
        <v>0.08</v>
      </c>
      <c r="M493" s="71" t="str">
        <f>VLOOKUP(L493,'Dataset-1'!L494:X1104,2,)</f>
        <v>Stromy</v>
      </c>
      <c r="N493" s="41">
        <f>VLOOKUP(A493,'Dataset-2'!B494:H1104,2,)</f>
        <v>0.16669999999999999</v>
      </c>
      <c r="O493" s="41">
        <f>VLOOKUP(N493,'Dataset-2'!C494:I1104,2,)</f>
        <v>0.35</v>
      </c>
      <c r="P493" s="41">
        <f>VLOOKUP(O493,'Dataset-2'!D494:J1104,2,)</f>
        <v>0</v>
      </c>
      <c r="Q493" s="41">
        <f>VLOOKUP(P493,'Dataset-2'!E494:K1104,2,)</f>
        <v>12</v>
      </c>
      <c r="R493" s="41">
        <f>VLOOKUP(Q493,'Dataset-2'!F494:L1104,2,)</f>
        <v>72</v>
      </c>
      <c r="S493" s="41">
        <f>VLOOKUP(R493,'Dataset-2'!G494:M1104,2,)</f>
        <v>84</v>
      </c>
    </row>
    <row r="494" spans="1:19" x14ac:dyDescent="0.35">
      <c r="A494" s="40">
        <v>493</v>
      </c>
      <c r="B494" s="62">
        <f>VLOOKUP(A494,'Dataset-1'!A495:M1105,2,)</f>
        <v>40565</v>
      </c>
      <c r="C494" s="41">
        <f>VLOOKUP(B494,'Dataset-1'!B495:N1105,2,)</f>
        <v>1</v>
      </c>
      <c r="D494" s="41">
        <f>VLOOKUP(C494,'Dataset-1'!C495:O1105,2,)</f>
        <v>0</v>
      </c>
      <c r="E494" s="41">
        <f>VLOOKUP(D494,'Dataset-1'!D495:P1105,2,)</f>
        <v>1</v>
      </c>
      <c r="F494" s="41">
        <f>VLOOKUP(E494,'Dataset-1'!E495:Q1105,2,)</f>
        <v>14</v>
      </c>
      <c r="G494" s="71" t="str">
        <f>VLOOKUP(F494,'Dataset-1'!F495:R1105,2,)</f>
        <v>AfterNoon</v>
      </c>
      <c r="H494" s="41" t="b">
        <f>VLOOKUP(G494,'Dataset-1'!G495:S1105,2,)</f>
        <v>0</v>
      </c>
      <c r="I494" s="41">
        <f>VLOOKUP(H494,'Dataset-1'!H495:T1105,2,)</f>
        <v>6</v>
      </c>
      <c r="J494" s="71" t="str">
        <f>VLOOKUP(I494,'Dataset-1'!I495:U1105,2,)</f>
        <v>Friday</v>
      </c>
      <c r="K494" s="41">
        <f>VLOOKUP(J494,'Dataset-1'!J495:V1105,2,)</f>
        <v>1</v>
      </c>
      <c r="L494" s="41">
        <f>VLOOKUP(K494,'Dataset-1'!K495:W1105,2,)</f>
        <v>0.1</v>
      </c>
      <c r="M494" s="71" t="str">
        <f>VLOOKUP(L494,'Dataset-1'!L495:X1105,2,)</f>
        <v>Stromy</v>
      </c>
      <c r="N494" s="41">
        <f>VLOOKUP(A494,'Dataset-2'!B495:H1105,2,)</f>
        <v>0.13639999999999999</v>
      </c>
      <c r="O494" s="41">
        <f>VLOOKUP(N494,'Dataset-2'!C495:I1105,2,)</f>
        <v>0.33</v>
      </c>
      <c r="P494" s="41">
        <f>VLOOKUP(O494,'Dataset-2'!D495:J1105,2,)</f>
        <v>0.1045</v>
      </c>
      <c r="Q494" s="41">
        <f>VLOOKUP(P494,'Dataset-2'!E495:K1105,2,)</f>
        <v>11</v>
      </c>
      <c r="R494" s="41">
        <f>VLOOKUP(Q494,'Dataset-2'!F495:L1105,2,)</f>
        <v>64</v>
      </c>
      <c r="S494" s="41">
        <f>VLOOKUP(R494,'Dataset-2'!G495:M1105,2,)</f>
        <v>75</v>
      </c>
    </row>
    <row r="495" spans="1:19" x14ac:dyDescent="0.35">
      <c r="A495" s="40">
        <v>494</v>
      </c>
      <c r="B495" s="62">
        <f>VLOOKUP(A495,'Dataset-1'!A496:M1106,2,)</f>
        <v>40565</v>
      </c>
      <c r="C495" s="41">
        <f>VLOOKUP(B495,'Dataset-1'!B496:N1106,2,)</f>
        <v>1</v>
      </c>
      <c r="D495" s="41">
        <f>VLOOKUP(C495,'Dataset-1'!C496:O1106,2,)</f>
        <v>0</v>
      </c>
      <c r="E495" s="41">
        <f>VLOOKUP(D495,'Dataset-1'!D496:P1106,2,)</f>
        <v>1</v>
      </c>
      <c r="F495" s="41">
        <f>VLOOKUP(E495,'Dataset-1'!E496:Q1106,2,)</f>
        <v>15</v>
      </c>
      <c r="G495" s="71" t="str">
        <f>VLOOKUP(F495,'Dataset-1'!F496:R1106,2,)</f>
        <v>AfterNoon</v>
      </c>
      <c r="H495" s="41" t="b">
        <f>VLOOKUP(G495,'Dataset-1'!G496:S1106,2,)</f>
        <v>0</v>
      </c>
      <c r="I495" s="41">
        <f>VLOOKUP(H495,'Dataset-1'!H496:T1106,2,)</f>
        <v>6</v>
      </c>
      <c r="J495" s="71" t="str">
        <f>VLOOKUP(I495,'Dataset-1'!I496:U1106,2,)</f>
        <v>Friday</v>
      </c>
      <c r="K495" s="41">
        <f>VLOOKUP(J495,'Dataset-1'!J496:V1106,2,)</f>
        <v>1</v>
      </c>
      <c r="L495" s="41">
        <f>VLOOKUP(K495,'Dataset-1'!K496:W1106,2,)</f>
        <v>0.12</v>
      </c>
      <c r="M495" s="71" t="str">
        <f>VLOOKUP(L495,'Dataset-1'!L496:X1106,2,)</f>
        <v>Rainy</v>
      </c>
      <c r="N495" s="41">
        <f>VLOOKUP(A495,'Dataset-2'!B496:H1106,2,)</f>
        <v>0.1515</v>
      </c>
      <c r="O495" s="41">
        <f>VLOOKUP(N495,'Dataset-2'!C496:I1106,2,)</f>
        <v>0.28000000000000003</v>
      </c>
      <c r="P495" s="41">
        <f>VLOOKUP(O495,'Dataset-2'!D496:J1106,2,)</f>
        <v>0</v>
      </c>
      <c r="Q495" s="41">
        <f>VLOOKUP(P495,'Dataset-2'!E496:K1106,2,)</f>
        <v>10</v>
      </c>
      <c r="R495" s="41">
        <f>VLOOKUP(Q495,'Dataset-2'!F496:L1106,2,)</f>
        <v>93</v>
      </c>
      <c r="S495" s="41">
        <f>VLOOKUP(R495,'Dataset-2'!G496:M1106,2,)</f>
        <v>103</v>
      </c>
    </row>
    <row r="496" spans="1:19" x14ac:dyDescent="0.35">
      <c r="A496" s="40">
        <v>495</v>
      </c>
      <c r="B496" s="62">
        <f>VLOOKUP(A496,'Dataset-1'!A497:M1107,2,)</f>
        <v>40565</v>
      </c>
      <c r="C496" s="41">
        <f>VLOOKUP(B496,'Dataset-1'!B497:N1107,2,)</f>
        <v>1</v>
      </c>
      <c r="D496" s="41">
        <f>VLOOKUP(C496,'Dataset-1'!C497:O1107,2,)</f>
        <v>0</v>
      </c>
      <c r="E496" s="41">
        <f>VLOOKUP(D496,'Dataset-1'!D497:P1107,2,)</f>
        <v>1</v>
      </c>
      <c r="F496" s="41">
        <f>VLOOKUP(E496,'Dataset-1'!E497:Q1107,2,)</f>
        <v>16</v>
      </c>
      <c r="G496" s="71" t="str">
        <f>VLOOKUP(F496,'Dataset-1'!F497:R1107,2,)</f>
        <v>AfterNoon</v>
      </c>
      <c r="H496" s="41" t="b">
        <f>VLOOKUP(G496,'Dataset-1'!G497:S1107,2,)</f>
        <v>0</v>
      </c>
      <c r="I496" s="41">
        <f>VLOOKUP(H496,'Dataset-1'!H497:T1107,2,)</f>
        <v>6</v>
      </c>
      <c r="J496" s="71" t="str">
        <f>VLOOKUP(I496,'Dataset-1'!I497:U1107,2,)</f>
        <v>Friday</v>
      </c>
      <c r="K496" s="41">
        <f>VLOOKUP(J496,'Dataset-1'!J497:V1107,2,)</f>
        <v>1</v>
      </c>
      <c r="L496" s="41">
        <f>VLOOKUP(K496,'Dataset-1'!K497:W1107,2,)</f>
        <v>0.12</v>
      </c>
      <c r="M496" s="71" t="str">
        <f>VLOOKUP(L496,'Dataset-1'!L497:X1107,2,)</f>
        <v>Rainy</v>
      </c>
      <c r="N496" s="41">
        <f>VLOOKUP(A496,'Dataset-2'!B497:H1107,2,)</f>
        <v>0.13639999999999999</v>
      </c>
      <c r="O496" s="41">
        <f>VLOOKUP(N496,'Dataset-2'!C497:I1107,2,)</f>
        <v>0.28000000000000003</v>
      </c>
      <c r="P496" s="41">
        <f>VLOOKUP(O496,'Dataset-2'!D497:J1107,2,)</f>
        <v>0.19400000000000001</v>
      </c>
      <c r="Q496" s="41">
        <f>VLOOKUP(P496,'Dataset-2'!E497:K1107,2,)</f>
        <v>11</v>
      </c>
      <c r="R496" s="41">
        <f>VLOOKUP(Q496,'Dataset-2'!F497:L1107,2,)</f>
        <v>72</v>
      </c>
      <c r="S496" s="41">
        <f>VLOOKUP(R496,'Dataset-2'!G497:M1107,2,)</f>
        <v>83</v>
      </c>
    </row>
    <row r="497" spans="1:19" x14ac:dyDescent="0.35">
      <c r="A497" s="40">
        <v>496</v>
      </c>
      <c r="B497" s="62">
        <f>VLOOKUP(A497,'Dataset-1'!A498:M1108,2,)</f>
        <v>40565</v>
      </c>
      <c r="C497" s="41">
        <f>VLOOKUP(B497,'Dataset-1'!B498:N1108,2,)</f>
        <v>1</v>
      </c>
      <c r="D497" s="41">
        <f>VLOOKUP(C497,'Dataset-1'!C498:O1108,2,)</f>
        <v>0</v>
      </c>
      <c r="E497" s="41">
        <f>VLOOKUP(D497,'Dataset-1'!D498:P1108,2,)</f>
        <v>1</v>
      </c>
      <c r="F497" s="41">
        <f>VLOOKUP(E497,'Dataset-1'!E498:Q1108,2,)</f>
        <v>17</v>
      </c>
      <c r="G497" s="71" t="str">
        <f>VLOOKUP(F497,'Dataset-1'!F498:R1108,2,)</f>
        <v>Evening</v>
      </c>
      <c r="H497" s="41" t="b">
        <f>VLOOKUP(G497,'Dataset-1'!G498:S1108,2,)</f>
        <v>0</v>
      </c>
      <c r="I497" s="41">
        <f>VLOOKUP(H497,'Dataset-1'!H498:T1108,2,)</f>
        <v>6</v>
      </c>
      <c r="J497" s="71" t="str">
        <f>VLOOKUP(I497,'Dataset-1'!I498:U1108,2,)</f>
        <v>Friday</v>
      </c>
      <c r="K497" s="41">
        <f>VLOOKUP(J497,'Dataset-1'!J498:V1108,2,)</f>
        <v>1</v>
      </c>
      <c r="L497" s="41">
        <f>VLOOKUP(K497,'Dataset-1'!K498:W1108,2,)</f>
        <v>0.12</v>
      </c>
      <c r="M497" s="71" t="str">
        <f>VLOOKUP(L497,'Dataset-1'!L498:X1108,2,)</f>
        <v>Rainy</v>
      </c>
      <c r="N497" s="41">
        <f>VLOOKUP(A497,'Dataset-2'!B498:H1108,2,)</f>
        <v>0.19700000000000001</v>
      </c>
      <c r="O497" s="41">
        <f>VLOOKUP(N497,'Dataset-2'!C498:I1108,2,)</f>
        <v>0.28000000000000003</v>
      </c>
      <c r="P497" s="41">
        <f>VLOOKUP(O497,'Dataset-2'!D498:J1108,2,)</f>
        <v>0</v>
      </c>
      <c r="Q497" s="41">
        <f>VLOOKUP(P497,'Dataset-2'!E498:K1108,2,)</f>
        <v>8</v>
      </c>
      <c r="R497" s="41">
        <f>VLOOKUP(Q497,'Dataset-2'!F498:L1108,2,)</f>
        <v>59</v>
      </c>
      <c r="S497" s="41">
        <f>VLOOKUP(R497,'Dataset-2'!G498:M1108,2,)</f>
        <v>67</v>
      </c>
    </row>
    <row r="498" spans="1:19" x14ac:dyDescent="0.35">
      <c r="A498" s="40">
        <v>497</v>
      </c>
      <c r="B498" s="62">
        <f>VLOOKUP(A498,'Dataset-1'!A499:M1109,2,)</f>
        <v>40565</v>
      </c>
      <c r="C498" s="41">
        <f>VLOOKUP(B498,'Dataset-1'!B499:N1109,2,)</f>
        <v>1</v>
      </c>
      <c r="D498" s="41">
        <f>VLOOKUP(C498,'Dataset-1'!C499:O1109,2,)</f>
        <v>0</v>
      </c>
      <c r="E498" s="41">
        <f>VLOOKUP(D498,'Dataset-1'!D499:P1109,2,)</f>
        <v>1</v>
      </c>
      <c r="F498" s="41">
        <f>VLOOKUP(E498,'Dataset-1'!E499:Q1109,2,)</f>
        <v>18</v>
      </c>
      <c r="G498" s="71" t="str">
        <f>VLOOKUP(F498,'Dataset-1'!F499:R1109,2,)</f>
        <v>Evening</v>
      </c>
      <c r="H498" s="41" t="b">
        <f>VLOOKUP(G498,'Dataset-1'!G499:S1109,2,)</f>
        <v>0</v>
      </c>
      <c r="I498" s="41">
        <f>VLOOKUP(H498,'Dataset-1'!H499:T1109,2,)</f>
        <v>6</v>
      </c>
      <c r="J498" s="71" t="str">
        <f>VLOOKUP(I498,'Dataset-1'!I499:U1109,2,)</f>
        <v>Friday</v>
      </c>
      <c r="K498" s="41">
        <f>VLOOKUP(J498,'Dataset-1'!J499:V1109,2,)</f>
        <v>1</v>
      </c>
      <c r="L498" s="41">
        <f>VLOOKUP(K498,'Dataset-1'!K499:W1109,2,)</f>
        <v>0.08</v>
      </c>
      <c r="M498" s="71" t="str">
        <f>VLOOKUP(L498,'Dataset-1'!L499:X1109,2,)</f>
        <v>Stromy</v>
      </c>
      <c r="N498" s="41">
        <f>VLOOKUP(A498,'Dataset-2'!B499:H1109,2,)</f>
        <v>9.0899999999999995E-2</v>
      </c>
      <c r="O498" s="41">
        <f>VLOOKUP(N498,'Dataset-2'!C499:I1109,2,)</f>
        <v>0.35</v>
      </c>
      <c r="P498" s="41">
        <f>VLOOKUP(O498,'Dataset-2'!D499:J1109,2,)</f>
        <v>0.19400000000000001</v>
      </c>
      <c r="Q498" s="41">
        <f>VLOOKUP(P498,'Dataset-2'!E499:K1109,2,)</f>
        <v>0</v>
      </c>
      <c r="R498" s="41">
        <f>VLOOKUP(Q498,'Dataset-2'!F499:L1109,2,)</f>
        <v>54</v>
      </c>
      <c r="S498" s="41">
        <f>VLOOKUP(R498,'Dataset-2'!G499:M1109,2,)</f>
        <v>54</v>
      </c>
    </row>
    <row r="499" spans="1:19" x14ac:dyDescent="0.35">
      <c r="A499" s="40">
        <v>498</v>
      </c>
      <c r="B499" s="62">
        <f>VLOOKUP(A499,'Dataset-1'!A500:M1110,2,)</f>
        <v>40565</v>
      </c>
      <c r="C499" s="41">
        <f>VLOOKUP(B499,'Dataset-1'!B500:N1110,2,)</f>
        <v>1</v>
      </c>
      <c r="D499" s="41">
        <f>VLOOKUP(C499,'Dataset-1'!C500:O1110,2,)</f>
        <v>0</v>
      </c>
      <c r="E499" s="41">
        <f>VLOOKUP(D499,'Dataset-1'!D500:P1110,2,)</f>
        <v>1</v>
      </c>
      <c r="F499" s="41">
        <f>VLOOKUP(E499,'Dataset-1'!E500:Q1110,2,)</f>
        <v>19</v>
      </c>
      <c r="G499" s="71" t="str">
        <f>VLOOKUP(F499,'Dataset-1'!F500:R1110,2,)</f>
        <v>Evening</v>
      </c>
      <c r="H499" s="41" t="b">
        <f>VLOOKUP(G499,'Dataset-1'!G500:S1110,2,)</f>
        <v>0</v>
      </c>
      <c r="I499" s="41">
        <f>VLOOKUP(H499,'Dataset-1'!H500:T1110,2,)</f>
        <v>6</v>
      </c>
      <c r="J499" s="71" t="str">
        <f>VLOOKUP(I499,'Dataset-1'!I500:U1110,2,)</f>
        <v>Friday</v>
      </c>
      <c r="K499" s="41">
        <f>VLOOKUP(J499,'Dataset-1'!J500:V1110,2,)</f>
        <v>1</v>
      </c>
      <c r="L499" s="41">
        <f>VLOOKUP(K499,'Dataset-1'!K500:W1110,2,)</f>
        <v>0.08</v>
      </c>
      <c r="M499" s="71" t="str">
        <f>VLOOKUP(L499,'Dataset-1'!L500:X1110,2,)</f>
        <v>Stromy</v>
      </c>
      <c r="N499" s="41">
        <f>VLOOKUP(A499,'Dataset-2'!B500:H1110,2,)</f>
        <v>0.1061</v>
      </c>
      <c r="O499" s="41">
        <f>VLOOKUP(N499,'Dataset-2'!C500:I1110,2,)</f>
        <v>0.35</v>
      </c>
      <c r="P499" s="41">
        <f>VLOOKUP(O499,'Dataset-2'!D500:J1110,2,)</f>
        <v>0.1343</v>
      </c>
      <c r="Q499" s="41">
        <f>VLOOKUP(P499,'Dataset-2'!E500:K1110,2,)</f>
        <v>6</v>
      </c>
      <c r="R499" s="41">
        <f>VLOOKUP(Q499,'Dataset-2'!F500:L1110,2,)</f>
        <v>53</v>
      </c>
      <c r="S499" s="41">
        <f>VLOOKUP(R499,'Dataset-2'!G500:M1110,2,)</f>
        <v>59</v>
      </c>
    </row>
    <row r="500" spans="1:19" x14ac:dyDescent="0.35">
      <c r="A500" s="40">
        <v>499</v>
      </c>
      <c r="B500" s="62">
        <f>VLOOKUP(A500,'Dataset-1'!A501:M1111,2,)</f>
        <v>40565</v>
      </c>
      <c r="C500" s="41">
        <f>VLOOKUP(B500,'Dataset-1'!B501:N1111,2,)</f>
        <v>1</v>
      </c>
      <c r="D500" s="41">
        <f>VLOOKUP(C500,'Dataset-1'!C501:O1111,2,)</f>
        <v>0</v>
      </c>
      <c r="E500" s="41">
        <f>VLOOKUP(D500,'Dataset-1'!D501:P1111,2,)</f>
        <v>1</v>
      </c>
      <c r="F500" s="41">
        <f>VLOOKUP(E500,'Dataset-1'!E501:Q1111,2,)</f>
        <v>20</v>
      </c>
      <c r="G500" s="71" t="str">
        <f>VLOOKUP(F500,'Dataset-1'!F501:R1111,2,)</f>
        <v>Night</v>
      </c>
      <c r="H500" s="41" t="b">
        <f>VLOOKUP(G500,'Dataset-1'!G501:S1111,2,)</f>
        <v>0</v>
      </c>
      <c r="I500" s="41">
        <f>VLOOKUP(H500,'Dataset-1'!H501:T1111,2,)</f>
        <v>6</v>
      </c>
      <c r="J500" s="71" t="str">
        <f>VLOOKUP(I500,'Dataset-1'!I501:U1111,2,)</f>
        <v>Friday</v>
      </c>
      <c r="K500" s="41">
        <f>VLOOKUP(J500,'Dataset-1'!J501:V1111,2,)</f>
        <v>1</v>
      </c>
      <c r="L500" s="41">
        <f>VLOOKUP(K500,'Dataset-1'!K501:W1111,2,)</f>
        <v>0.06</v>
      </c>
      <c r="M500" s="71" t="str">
        <f>VLOOKUP(L500,'Dataset-1'!L501:X1111,2,)</f>
        <v>Stromy</v>
      </c>
      <c r="N500" s="41">
        <f>VLOOKUP(A500,'Dataset-2'!B501:H1111,2,)</f>
        <v>7.5800000000000006E-2</v>
      </c>
      <c r="O500" s="41">
        <f>VLOOKUP(N500,'Dataset-2'!C501:I1111,2,)</f>
        <v>0.45</v>
      </c>
      <c r="P500" s="41">
        <f>VLOOKUP(O500,'Dataset-2'!D501:J1111,2,)</f>
        <v>0.16420000000000001</v>
      </c>
      <c r="Q500" s="41">
        <f>VLOOKUP(P500,'Dataset-2'!E501:K1111,2,)</f>
        <v>1</v>
      </c>
      <c r="R500" s="41">
        <f>VLOOKUP(Q500,'Dataset-2'!F501:L1111,2,)</f>
        <v>44</v>
      </c>
      <c r="S500" s="41">
        <f>VLOOKUP(R500,'Dataset-2'!G501:M1111,2,)</f>
        <v>45</v>
      </c>
    </row>
    <row r="501" spans="1:19" x14ac:dyDescent="0.35">
      <c r="A501" s="40">
        <v>500</v>
      </c>
      <c r="B501" s="62">
        <f>VLOOKUP(A501,'Dataset-1'!A502:M1112,2,)</f>
        <v>40565</v>
      </c>
      <c r="C501" s="41">
        <f>VLOOKUP(B501,'Dataset-1'!B502:N1112,2,)</f>
        <v>1</v>
      </c>
      <c r="D501" s="41">
        <f>VLOOKUP(C501,'Dataset-1'!C502:O1112,2,)</f>
        <v>0</v>
      </c>
      <c r="E501" s="41">
        <f>VLOOKUP(D501,'Dataset-1'!D502:P1112,2,)</f>
        <v>1</v>
      </c>
      <c r="F501" s="41">
        <f>VLOOKUP(E501,'Dataset-1'!E502:Q1112,2,)</f>
        <v>21</v>
      </c>
      <c r="G501" s="71" t="str">
        <f>VLOOKUP(F501,'Dataset-1'!F502:R1112,2,)</f>
        <v>Night</v>
      </c>
      <c r="H501" s="41" t="b">
        <f>VLOOKUP(G501,'Dataset-1'!G502:S1112,2,)</f>
        <v>0</v>
      </c>
      <c r="I501" s="41">
        <f>VLOOKUP(H501,'Dataset-1'!H502:T1112,2,)</f>
        <v>6</v>
      </c>
      <c r="J501" s="71" t="str">
        <f>VLOOKUP(I501,'Dataset-1'!I502:U1112,2,)</f>
        <v>Friday</v>
      </c>
      <c r="K501" s="41">
        <f>VLOOKUP(J501,'Dataset-1'!J502:V1112,2,)</f>
        <v>1</v>
      </c>
      <c r="L501" s="41">
        <f>VLOOKUP(K501,'Dataset-1'!K502:W1112,2,)</f>
        <v>0.06</v>
      </c>
      <c r="M501" s="71" t="str">
        <f>VLOOKUP(L501,'Dataset-1'!L502:X1112,2,)</f>
        <v>Stromy</v>
      </c>
      <c r="N501" s="41">
        <f>VLOOKUP(A501,'Dataset-2'!B502:H1112,2,)</f>
        <v>0.1061</v>
      </c>
      <c r="O501" s="41">
        <f>VLOOKUP(N501,'Dataset-2'!C502:I1112,2,)</f>
        <v>0.41</v>
      </c>
      <c r="P501" s="41">
        <f>VLOOKUP(O501,'Dataset-2'!D502:J1112,2,)</f>
        <v>8.9599999999999999E-2</v>
      </c>
      <c r="Q501" s="41">
        <f>VLOOKUP(P501,'Dataset-2'!E502:K1112,2,)</f>
        <v>0</v>
      </c>
      <c r="R501" s="41">
        <f>VLOOKUP(Q501,'Dataset-2'!F502:L1112,2,)</f>
        <v>39</v>
      </c>
      <c r="S501" s="41">
        <f>VLOOKUP(R501,'Dataset-2'!G502:M1112,2,)</f>
        <v>39</v>
      </c>
    </row>
    <row r="502" spans="1:19" x14ac:dyDescent="0.35">
      <c r="A502" s="40">
        <v>501</v>
      </c>
      <c r="B502" s="62">
        <f>VLOOKUP(A502,'Dataset-1'!A503:M1113,2,)</f>
        <v>40565</v>
      </c>
      <c r="C502" s="41">
        <f>VLOOKUP(B502,'Dataset-1'!B503:N1113,2,)</f>
        <v>1</v>
      </c>
      <c r="D502" s="41">
        <f>VLOOKUP(C502,'Dataset-1'!C503:O1113,2,)</f>
        <v>0</v>
      </c>
      <c r="E502" s="41">
        <f>VLOOKUP(D502,'Dataset-1'!D503:P1113,2,)</f>
        <v>1</v>
      </c>
      <c r="F502" s="41">
        <f>VLOOKUP(E502,'Dataset-1'!E503:Q1113,2,)</f>
        <v>22</v>
      </c>
      <c r="G502" s="71" t="str">
        <f>VLOOKUP(F502,'Dataset-1'!F503:R1113,2,)</f>
        <v>Night</v>
      </c>
      <c r="H502" s="41" t="b">
        <f>VLOOKUP(G502,'Dataset-1'!G503:S1113,2,)</f>
        <v>0</v>
      </c>
      <c r="I502" s="41">
        <f>VLOOKUP(H502,'Dataset-1'!H503:T1113,2,)</f>
        <v>6</v>
      </c>
      <c r="J502" s="71" t="str">
        <f>VLOOKUP(I502,'Dataset-1'!I503:U1113,2,)</f>
        <v>Friday</v>
      </c>
      <c r="K502" s="41">
        <f>VLOOKUP(J502,'Dataset-1'!J503:V1113,2,)</f>
        <v>1</v>
      </c>
      <c r="L502" s="41">
        <f>VLOOKUP(K502,'Dataset-1'!K503:W1113,2,)</f>
        <v>0.06</v>
      </c>
      <c r="M502" s="71" t="str">
        <f>VLOOKUP(L502,'Dataset-1'!L503:X1113,2,)</f>
        <v>Stromy</v>
      </c>
      <c r="N502" s="41">
        <f>VLOOKUP(A502,'Dataset-2'!B503:H1113,2,)</f>
        <v>0.1515</v>
      </c>
      <c r="O502" s="41">
        <f>VLOOKUP(N502,'Dataset-2'!C503:I1113,2,)</f>
        <v>0.49</v>
      </c>
      <c r="P502" s="41">
        <f>VLOOKUP(O502,'Dataset-2'!D503:J1113,2,)</f>
        <v>0</v>
      </c>
      <c r="Q502" s="41">
        <f>VLOOKUP(P502,'Dataset-2'!E503:K1113,2,)</f>
        <v>7</v>
      </c>
      <c r="R502" s="41">
        <f>VLOOKUP(Q502,'Dataset-2'!F503:L1113,2,)</f>
        <v>23</v>
      </c>
      <c r="S502" s="41">
        <f>VLOOKUP(R502,'Dataset-2'!G503:M1113,2,)</f>
        <v>30</v>
      </c>
    </row>
    <row r="503" spans="1:19" x14ac:dyDescent="0.35">
      <c r="A503" s="40">
        <v>502</v>
      </c>
      <c r="B503" s="62">
        <f>VLOOKUP(A503,'Dataset-1'!A504:M1114,2,)</f>
        <v>40565</v>
      </c>
      <c r="C503" s="41">
        <f>VLOOKUP(B503,'Dataset-1'!B504:N1114,2,)</f>
        <v>1</v>
      </c>
      <c r="D503" s="41">
        <f>VLOOKUP(C503,'Dataset-1'!C504:O1114,2,)</f>
        <v>0</v>
      </c>
      <c r="E503" s="41">
        <f>VLOOKUP(D503,'Dataset-1'!D504:P1114,2,)</f>
        <v>1</v>
      </c>
      <c r="F503" s="41">
        <f>VLOOKUP(E503,'Dataset-1'!E504:Q1114,2,)</f>
        <v>23</v>
      </c>
      <c r="G503" s="71" t="str">
        <f>VLOOKUP(F503,'Dataset-1'!F504:R1114,2,)</f>
        <v>Night</v>
      </c>
      <c r="H503" s="41" t="b">
        <f>VLOOKUP(G503,'Dataset-1'!G504:S1114,2,)</f>
        <v>0</v>
      </c>
      <c r="I503" s="41">
        <f>VLOOKUP(H503,'Dataset-1'!H504:T1114,2,)</f>
        <v>6</v>
      </c>
      <c r="J503" s="71" t="str">
        <f>VLOOKUP(I503,'Dataset-1'!I504:U1114,2,)</f>
        <v>Friday</v>
      </c>
      <c r="K503" s="41">
        <f>VLOOKUP(J503,'Dataset-1'!J504:V1114,2,)</f>
        <v>1</v>
      </c>
      <c r="L503" s="41">
        <f>VLOOKUP(K503,'Dataset-1'!K504:W1114,2,)</f>
        <v>0.04</v>
      </c>
      <c r="M503" s="71" t="str">
        <f>VLOOKUP(L503,'Dataset-1'!L504:X1114,2,)</f>
        <v>Stromy</v>
      </c>
      <c r="N503" s="41">
        <f>VLOOKUP(A503,'Dataset-2'!B504:H1114,2,)</f>
        <v>7.5800000000000006E-2</v>
      </c>
      <c r="O503" s="41">
        <f>VLOOKUP(N503,'Dataset-2'!C504:I1114,2,)</f>
        <v>0.56999999999999995</v>
      </c>
      <c r="P503" s="41">
        <f>VLOOKUP(O503,'Dataset-2'!D504:J1114,2,)</f>
        <v>0.1045</v>
      </c>
      <c r="Q503" s="41">
        <f>VLOOKUP(P503,'Dataset-2'!E504:K1114,2,)</f>
        <v>2</v>
      </c>
      <c r="R503" s="41">
        <f>VLOOKUP(Q503,'Dataset-2'!F504:L1114,2,)</f>
        <v>31</v>
      </c>
      <c r="S503" s="41">
        <f>VLOOKUP(R503,'Dataset-2'!G504:M1114,2,)</f>
        <v>33</v>
      </c>
    </row>
    <row r="504" spans="1:19" x14ac:dyDescent="0.35">
      <c r="A504" s="40">
        <v>503</v>
      </c>
      <c r="B504" s="62">
        <f>VLOOKUP(A504,'Dataset-1'!A505:M1115,2,)</f>
        <v>40566</v>
      </c>
      <c r="C504" s="41">
        <f>VLOOKUP(B504,'Dataset-1'!B505:N1115,2,)</f>
        <v>1</v>
      </c>
      <c r="D504" s="41">
        <f>VLOOKUP(C504,'Dataset-1'!C505:O1115,2,)</f>
        <v>0</v>
      </c>
      <c r="E504" s="41">
        <f>VLOOKUP(D504,'Dataset-1'!D505:P1115,2,)</f>
        <v>1</v>
      </c>
      <c r="F504" s="41">
        <f>VLOOKUP(E504,'Dataset-1'!E505:Q1115,2,)</f>
        <v>0</v>
      </c>
      <c r="G504" s="71" t="str">
        <f>VLOOKUP(F504,'Dataset-1'!F505:R1115,2,)</f>
        <v>Night</v>
      </c>
      <c r="H504" s="41" t="b">
        <f>VLOOKUP(G504,'Dataset-1'!G505:S1115,2,)</f>
        <v>0</v>
      </c>
      <c r="I504" s="41">
        <f>VLOOKUP(H504,'Dataset-1'!H505:T1115,2,)</f>
        <v>0</v>
      </c>
      <c r="J504" s="71" t="str">
        <f>VLOOKUP(I504,'Dataset-1'!I505:U1115,2,)</f>
        <v>Saturday</v>
      </c>
      <c r="K504" s="41">
        <f>VLOOKUP(J504,'Dataset-1'!J505:V1115,2,)</f>
        <v>1</v>
      </c>
      <c r="L504" s="41">
        <f>VLOOKUP(K504,'Dataset-1'!K505:W1115,2,)</f>
        <v>0.04</v>
      </c>
      <c r="M504" s="71" t="str">
        <f>VLOOKUP(L504,'Dataset-1'!L505:X1115,2,)</f>
        <v>Stromy</v>
      </c>
      <c r="N504" s="41">
        <f>VLOOKUP(A504,'Dataset-2'!B505:H1115,2,)</f>
        <v>7.5800000000000006E-2</v>
      </c>
      <c r="O504" s="41">
        <f>VLOOKUP(N504,'Dataset-2'!C505:I1115,2,)</f>
        <v>0.56999999999999995</v>
      </c>
      <c r="P504" s="41">
        <f>VLOOKUP(O504,'Dataset-2'!D505:J1115,2,)</f>
        <v>0.1045</v>
      </c>
      <c r="Q504" s="41">
        <f>VLOOKUP(P504,'Dataset-2'!E505:K1115,2,)</f>
        <v>2</v>
      </c>
      <c r="R504" s="41">
        <f>VLOOKUP(Q504,'Dataset-2'!F505:L1115,2,)</f>
        <v>20</v>
      </c>
      <c r="S504" s="41">
        <f>VLOOKUP(R504,'Dataset-2'!G505:M1115,2,)</f>
        <v>22</v>
      </c>
    </row>
    <row r="505" spans="1:19" x14ac:dyDescent="0.35">
      <c r="A505" s="40">
        <v>504</v>
      </c>
      <c r="B505" s="62">
        <f>VLOOKUP(A505,'Dataset-1'!A506:M1116,2,)</f>
        <v>40566</v>
      </c>
      <c r="C505" s="41">
        <f>VLOOKUP(B505,'Dataset-1'!B506:N1116,2,)</f>
        <v>1</v>
      </c>
      <c r="D505" s="41">
        <f>VLOOKUP(C505,'Dataset-1'!C506:O1116,2,)</f>
        <v>0</v>
      </c>
      <c r="E505" s="41">
        <f>VLOOKUP(D505,'Dataset-1'!D506:P1116,2,)</f>
        <v>1</v>
      </c>
      <c r="F505" s="41">
        <f>VLOOKUP(E505,'Dataset-1'!E506:Q1116,2,)</f>
        <v>1</v>
      </c>
      <c r="G505" s="71" t="str">
        <f>VLOOKUP(F505,'Dataset-1'!F506:R1116,2,)</f>
        <v>Night</v>
      </c>
      <c r="H505" s="41" t="b">
        <f>VLOOKUP(G505,'Dataset-1'!G506:S1116,2,)</f>
        <v>0</v>
      </c>
      <c r="I505" s="41">
        <f>VLOOKUP(H505,'Dataset-1'!H506:T1116,2,)</f>
        <v>0</v>
      </c>
      <c r="J505" s="71" t="str">
        <f>VLOOKUP(I505,'Dataset-1'!I506:U1116,2,)</f>
        <v>Saturday</v>
      </c>
      <c r="K505" s="41">
        <f>VLOOKUP(J505,'Dataset-1'!J506:V1116,2,)</f>
        <v>1</v>
      </c>
      <c r="L505" s="41">
        <f>VLOOKUP(K505,'Dataset-1'!K506:W1116,2,)</f>
        <v>0.04</v>
      </c>
      <c r="M505" s="71" t="str">
        <f>VLOOKUP(L505,'Dataset-1'!L506:X1116,2,)</f>
        <v>Stromy</v>
      </c>
      <c r="N505" s="41">
        <f>VLOOKUP(A505,'Dataset-2'!B506:H1116,2,)</f>
        <v>7.5800000000000006E-2</v>
      </c>
      <c r="O505" s="41">
        <f>VLOOKUP(N505,'Dataset-2'!C506:I1116,2,)</f>
        <v>0.56999999999999995</v>
      </c>
      <c r="P505" s="41">
        <f>VLOOKUP(O505,'Dataset-2'!D506:J1116,2,)</f>
        <v>0.1045</v>
      </c>
      <c r="Q505" s="41">
        <f>VLOOKUP(P505,'Dataset-2'!E506:K1116,2,)</f>
        <v>1</v>
      </c>
      <c r="R505" s="41">
        <f>VLOOKUP(Q505,'Dataset-2'!F506:L1116,2,)</f>
        <v>12</v>
      </c>
      <c r="S505" s="41">
        <f>VLOOKUP(R505,'Dataset-2'!G506:M1116,2,)</f>
        <v>13</v>
      </c>
    </row>
    <row r="506" spans="1:19" x14ac:dyDescent="0.35">
      <c r="A506" s="40">
        <v>505</v>
      </c>
      <c r="B506" s="62">
        <f>VLOOKUP(A506,'Dataset-1'!A507:M1117,2,)</f>
        <v>40566</v>
      </c>
      <c r="C506" s="41">
        <f>VLOOKUP(B506,'Dataset-1'!B507:N1117,2,)</f>
        <v>1</v>
      </c>
      <c r="D506" s="41">
        <f>VLOOKUP(C506,'Dataset-1'!C507:O1117,2,)</f>
        <v>0</v>
      </c>
      <c r="E506" s="41">
        <f>VLOOKUP(D506,'Dataset-1'!D507:P1117,2,)</f>
        <v>1</v>
      </c>
      <c r="F506" s="41">
        <f>VLOOKUP(E506,'Dataset-1'!E507:Q1117,2,)</f>
        <v>2</v>
      </c>
      <c r="G506" s="71" t="str">
        <f>VLOOKUP(F506,'Dataset-1'!F507:R1117,2,)</f>
        <v>Night</v>
      </c>
      <c r="H506" s="41" t="b">
        <f>VLOOKUP(G506,'Dataset-1'!G507:S1117,2,)</f>
        <v>0</v>
      </c>
      <c r="I506" s="41">
        <f>VLOOKUP(H506,'Dataset-1'!H507:T1117,2,)</f>
        <v>0</v>
      </c>
      <c r="J506" s="71" t="str">
        <f>VLOOKUP(I506,'Dataset-1'!I507:U1117,2,)</f>
        <v>Saturday</v>
      </c>
      <c r="K506" s="41">
        <f>VLOOKUP(J506,'Dataset-1'!J507:V1117,2,)</f>
        <v>1</v>
      </c>
      <c r="L506" s="41">
        <f>VLOOKUP(K506,'Dataset-1'!K507:W1117,2,)</f>
        <v>0.02</v>
      </c>
      <c r="M506" s="71" t="str">
        <f>VLOOKUP(L506,'Dataset-1'!L507:X1117,2,)</f>
        <v>Stromy</v>
      </c>
      <c r="N506" s="41">
        <f>VLOOKUP(A506,'Dataset-2'!B507:H1117,2,)</f>
        <v>6.0600000000000001E-2</v>
      </c>
      <c r="O506" s="41">
        <f>VLOOKUP(N506,'Dataset-2'!C507:I1117,2,)</f>
        <v>0.62</v>
      </c>
      <c r="P506" s="41">
        <f>VLOOKUP(O506,'Dataset-2'!D507:J1117,2,)</f>
        <v>0.1343</v>
      </c>
      <c r="Q506" s="41">
        <f>VLOOKUP(P506,'Dataset-2'!E507:K1117,2,)</f>
        <v>3</v>
      </c>
      <c r="R506" s="41">
        <f>VLOOKUP(Q506,'Dataset-2'!F507:L1117,2,)</f>
        <v>15</v>
      </c>
      <c r="S506" s="41">
        <f>VLOOKUP(R506,'Dataset-2'!G507:M1117,2,)</f>
        <v>18</v>
      </c>
    </row>
    <row r="507" spans="1:19" x14ac:dyDescent="0.35">
      <c r="A507" s="40">
        <v>506</v>
      </c>
      <c r="B507" s="62">
        <f>VLOOKUP(A507,'Dataset-1'!A508:M1118,2,)</f>
        <v>40566</v>
      </c>
      <c r="C507" s="41">
        <f>VLOOKUP(B507,'Dataset-1'!B508:N1118,2,)</f>
        <v>1</v>
      </c>
      <c r="D507" s="41">
        <f>VLOOKUP(C507,'Dataset-1'!C508:O1118,2,)</f>
        <v>0</v>
      </c>
      <c r="E507" s="41">
        <f>VLOOKUP(D507,'Dataset-1'!D508:P1118,2,)</f>
        <v>1</v>
      </c>
      <c r="F507" s="41">
        <f>VLOOKUP(E507,'Dataset-1'!E508:Q1118,2,)</f>
        <v>3</v>
      </c>
      <c r="G507" s="71" t="str">
        <f>VLOOKUP(F507,'Dataset-1'!F508:R1118,2,)</f>
        <v>Night</v>
      </c>
      <c r="H507" s="41" t="b">
        <f>VLOOKUP(G507,'Dataset-1'!G508:S1118,2,)</f>
        <v>0</v>
      </c>
      <c r="I507" s="41">
        <f>VLOOKUP(H507,'Dataset-1'!H508:T1118,2,)</f>
        <v>0</v>
      </c>
      <c r="J507" s="71" t="str">
        <f>VLOOKUP(I507,'Dataset-1'!I508:U1118,2,)</f>
        <v>Saturday</v>
      </c>
      <c r="K507" s="41">
        <f>VLOOKUP(J507,'Dataset-1'!J508:V1118,2,)</f>
        <v>1</v>
      </c>
      <c r="L507" s="41">
        <f>VLOOKUP(K507,'Dataset-1'!K508:W1118,2,)</f>
        <v>0.02</v>
      </c>
      <c r="M507" s="71" t="str">
        <f>VLOOKUP(L507,'Dataset-1'!L508:X1118,2,)</f>
        <v>Stromy</v>
      </c>
      <c r="N507" s="41">
        <f>VLOOKUP(A507,'Dataset-2'!B508:H1118,2,)</f>
        <v>6.0600000000000001E-2</v>
      </c>
      <c r="O507" s="41">
        <f>VLOOKUP(N507,'Dataset-2'!C508:I1118,2,)</f>
        <v>0.62</v>
      </c>
      <c r="P507" s="41">
        <f>VLOOKUP(O507,'Dataset-2'!D508:J1118,2,)</f>
        <v>0.1343</v>
      </c>
      <c r="Q507" s="41">
        <f>VLOOKUP(P507,'Dataset-2'!E508:K1118,2,)</f>
        <v>1</v>
      </c>
      <c r="R507" s="41">
        <f>VLOOKUP(Q507,'Dataset-2'!F508:L1118,2,)</f>
        <v>4</v>
      </c>
      <c r="S507" s="41">
        <f>VLOOKUP(R507,'Dataset-2'!G508:M1118,2,)</f>
        <v>5</v>
      </c>
    </row>
    <row r="508" spans="1:19" x14ac:dyDescent="0.35">
      <c r="A508" s="40">
        <v>507</v>
      </c>
      <c r="B508" s="62">
        <f>VLOOKUP(A508,'Dataset-1'!A509:M1119,2,)</f>
        <v>40566</v>
      </c>
      <c r="C508" s="41">
        <f>VLOOKUP(B508,'Dataset-1'!B509:N1119,2,)</f>
        <v>1</v>
      </c>
      <c r="D508" s="41">
        <f>VLOOKUP(C508,'Dataset-1'!C509:O1119,2,)</f>
        <v>0</v>
      </c>
      <c r="E508" s="41">
        <f>VLOOKUP(D508,'Dataset-1'!D509:P1119,2,)</f>
        <v>1</v>
      </c>
      <c r="F508" s="41">
        <f>VLOOKUP(E508,'Dataset-1'!E509:Q1119,2,)</f>
        <v>5</v>
      </c>
      <c r="G508" s="71" t="str">
        <f>VLOOKUP(F508,'Dataset-1'!F509:R1119,2,)</f>
        <v>Morning</v>
      </c>
      <c r="H508" s="41" t="b">
        <f>VLOOKUP(G508,'Dataset-1'!G509:S1119,2,)</f>
        <v>0</v>
      </c>
      <c r="I508" s="41">
        <f>VLOOKUP(H508,'Dataset-1'!H509:T1119,2,)</f>
        <v>0</v>
      </c>
      <c r="J508" s="71" t="str">
        <f>VLOOKUP(I508,'Dataset-1'!I509:U1119,2,)</f>
        <v>Saturday</v>
      </c>
      <c r="K508" s="41">
        <f>VLOOKUP(J508,'Dataset-1'!J509:V1119,2,)</f>
        <v>2</v>
      </c>
      <c r="L508" s="41">
        <f>VLOOKUP(K508,'Dataset-1'!K509:W1119,2,)</f>
        <v>0.04</v>
      </c>
      <c r="M508" s="71" t="str">
        <f>VLOOKUP(L508,'Dataset-1'!L509:X1119,2,)</f>
        <v>Stromy</v>
      </c>
      <c r="N508" s="41">
        <f>VLOOKUP(A508,'Dataset-2'!B509:H1119,2,)</f>
        <v>7.5800000000000006E-2</v>
      </c>
      <c r="O508" s="41">
        <f>VLOOKUP(N508,'Dataset-2'!C509:I1119,2,)</f>
        <v>0.56999999999999995</v>
      </c>
      <c r="P508" s="41">
        <f>VLOOKUP(O508,'Dataset-2'!D509:J1119,2,)</f>
        <v>0.1045</v>
      </c>
      <c r="Q508" s="41">
        <f>VLOOKUP(P508,'Dataset-2'!E509:K1119,2,)</f>
        <v>0</v>
      </c>
      <c r="R508" s="41">
        <f>VLOOKUP(Q508,'Dataset-2'!F509:L1119,2,)</f>
        <v>3</v>
      </c>
      <c r="S508" s="41">
        <f>VLOOKUP(R508,'Dataset-2'!G509:M1119,2,)</f>
        <v>3</v>
      </c>
    </row>
    <row r="509" spans="1:19" x14ac:dyDescent="0.35">
      <c r="A509" s="40">
        <v>508</v>
      </c>
      <c r="B509" s="62">
        <f>VLOOKUP(A509,'Dataset-1'!A510:M1120,2,)</f>
        <v>40566</v>
      </c>
      <c r="C509" s="41">
        <f>VLOOKUP(B509,'Dataset-1'!B510:N1120,2,)</f>
        <v>1</v>
      </c>
      <c r="D509" s="41">
        <f>VLOOKUP(C509,'Dataset-1'!C510:O1120,2,)</f>
        <v>0</v>
      </c>
      <c r="E509" s="41">
        <f>VLOOKUP(D509,'Dataset-1'!D510:P1120,2,)</f>
        <v>1</v>
      </c>
      <c r="F509" s="41">
        <f>VLOOKUP(E509,'Dataset-1'!E510:Q1120,2,)</f>
        <v>6</v>
      </c>
      <c r="G509" s="71" t="str">
        <f>VLOOKUP(F509,'Dataset-1'!F510:R1120,2,)</f>
        <v>Morning</v>
      </c>
      <c r="H509" s="41" t="b">
        <f>VLOOKUP(G509,'Dataset-1'!G510:S1120,2,)</f>
        <v>0</v>
      </c>
      <c r="I509" s="41">
        <f>VLOOKUP(H509,'Dataset-1'!H510:T1120,2,)</f>
        <v>0</v>
      </c>
      <c r="J509" s="71" t="str">
        <f>VLOOKUP(I509,'Dataset-1'!I510:U1120,2,)</f>
        <v>Saturday</v>
      </c>
      <c r="K509" s="41">
        <f>VLOOKUP(J509,'Dataset-1'!J510:V1120,2,)</f>
        <v>2</v>
      </c>
      <c r="L509" s="41">
        <f>VLOOKUP(K509,'Dataset-1'!K510:W1120,2,)</f>
        <v>0.04</v>
      </c>
      <c r="M509" s="71" t="str">
        <f>VLOOKUP(L509,'Dataset-1'!L510:X1120,2,)</f>
        <v>Stromy</v>
      </c>
      <c r="N509" s="41">
        <f>VLOOKUP(A509,'Dataset-2'!B510:H1120,2,)</f>
        <v>7.5800000000000006E-2</v>
      </c>
      <c r="O509" s="41">
        <f>VLOOKUP(N509,'Dataset-2'!C510:I1120,2,)</f>
        <v>0.56999999999999995</v>
      </c>
      <c r="P509" s="41">
        <f>VLOOKUP(O509,'Dataset-2'!D510:J1120,2,)</f>
        <v>0.1045</v>
      </c>
      <c r="Q509" s="41">
        <f>VLOOKUP(P509,'Dataset-2'!E510:K1120,2,)</f>
        <v>0</v>
      </c>
      <c r="R509" s="41">
        <f>VLOOKUP(Q509,'Dataset-2'!F510:L1120,2,)</f>
        <v>1</v>
      </c>
      <c r="S509" s="41">
        <f>VLOOKUP(R509,'Dataset-2'!G510:M1120,2,)</f>
        <v>1</v>
      </c>
    </row>
    <row r="510" spans="1:19" x14ac:dyDescent="0.35">
      <c r="A510" s="40">
        <v>509</v>
      </c>
      <c r="B510" s="62">
        <f>VLOOKUP(A510,'Dataset-1'!A511:M1121,2,)</f>
        <v>40566</v>
      </c>
      <c r="C510" s="41">
        <f>VLOOKUP(B510,'Dataset-1'!B511:N1121,2,)</f>
        <v>1</v>
      </c>
      <c r="D510" s="41">
        <f>VLOOKUP(C510,'Dataset-1'!C511:O1121,2,)</f>
        <v>0</v>
      </c>
      <c r="E510" s="41">
        <f>VLOOKUP(D510,'Dataset-1'!D511:P1121,2,)</f>
        <v>1</v>
      </c>
      <c r="F510" s="41">
        <f>VLOOKUP(E510,'Dataset-1'!E511:Q1121,2,)</f>
        <v>7</v>
      </c>
      <c r="G510" s="71" t="str">
        <f>VLOOKUP(F510,'Dataset-1'!F511:R1121,2,)</f>
        <v>Morning</v>
      </c>
      <c r="H510" s="41" t="b">
        <f>VLOOKUP(G510,'Dataset-1'!G511:S1121,2,)</f>
        <v>0</v>
      </c>
      <c r="I510" s="41">
        <f>VLOOKUP(H510,'Dataset-1'!H511:T1121,2,)</f>
        <v>0</v>
      </c>
      <c r="J510" s="71" t="str">
        <f>VLOOKUP(I510,'Dataset-1'!I511:U1121,2,)</f>
        <v>Saturday</v>
      </c>
      <c r="K510" s="41">
        <f>VLOOKUP(J510,'Dataset-1'!J511:V1121,2,)</f>
        <v>1</v>
      </c>
      <c r="L510" s="41">
        <f>VLOOKUP(K510,'Dataset-1'!K511:W1121,2,)</f>
        <v>0.08</v>
      </c>
      <c r="M510" s="71" t="str">
        <f>VLOOKUP(L510,'Dataset-1'!L511:X1121,2,)</f>
        <v>Stromy</v>
      </c>
      <c r="N510" s="41">
        <f>VLOOKUP(A510,'Dataset-2'!B511:H1121,2,)</f>
        <v>0.1061</v>
      </c>
      <c r="O510" s="41">
        <f>VLOOKUP(N510,'Dataset-2'!C511:I1121,2,)</f>
        <v>0.57999999999999996</v>
      </c>
      <c r="P510" s="41">
        <f>VLOOKUP(O510,'Dataset-2'!D511:J1121,2,)</f>
        <v>0.16420000000000001</v>
      </c>
      <c r="Q510" s="41">
        <f>VLOOKUP(P510,'Dataset-2'!E511:K1121,2,)</f>
        <v>1</v>
      </c>
      <c r="R510" s="41">
        <f>VLOOKUP(Q510,'Dataset-2'!F511:L1121,2,)</f>
        <v>1</v>
      </c>
      <c r="S510" s="41">
        <f>VLOOKUP(R510,'Dataset-2'!G511:M1121,2,)</f>
        <v>2</v>
      </c>
    </row>
    <row r="511" spans="1:19" x14ac:dyDescent="0.35">
      <c r="A511" s="40">
        <v>510</v>
      </c>
      <c r="B511" s="62">
        <f>VLOOKUP(A511,'Dataset-1'!A512:M1122,2,)</f>
        <v>40566</v>
      </c>
      <c r="C511" s="41">
        <f>VLOOKUP(B511,'Dataset-1'!B512:N1122,2,)</f>
        <v>1</v>
      </c>
      <c r="D511" s="41">
        <f>VLOOKUP(C511,'Dataset-1'!C512:O1122,2,)</f>
        <v>0</v>
      </c>
      <c r="E511" s="41">
        <f>VLOOKUP(D511,'Dataset-1'!D512:P1122,2,)</f>
        <v>1</v>
      </c>
      <c r="F511" s="41">
        <f>VLOOKUP(E511,'Dataset-1'!E512:Q1122,2,)</f>
        <v>8</v>
      </c>
      <c r="G511" s="71" t="str">
        <f>VLOOKUP(F511,'Dataset-1'!F512:R1122,2,)</f>
        <v>Morning</v>
      </c>
      <c r="H511" s="41" t="b">
        <f>VLOOKUP(G511,'Dataset-1'!G512:S1122,2,)</f>
        <v>0</v>
      </c>
      <c r="I511" s="41">
        <f>VLOOKUP(H511,'Dataset-1'!H512:T1122,2,)</f>
        <v>0</v>
      </c>
      <c r="J511" s="71" t="str">
        <f>VLOOKUP(I511,'Dataset-1'!I512:U1122,2,)</f>
        <v>Saturday</v>
      </c>
      <c r="K511" s="41">
        <f>VLOOKUP(J511,'Dataset-1'!J512:V1122,2,)</f>
        <v>1</v>
      </c>
      <c r="L511" s="41">
        <f>VLOOKUP(K511,'Dataset-1'!K512:W1122,2,)</f>
        <v>0.06</v>
      </c>
      <c r="M511" s="71" t="str">
        <f>VLOOKUP(L511,'Dataset-1'!L512:X1122,2,)</f>
        <v>Stromy</v>
      </c>
      <c r="N511" s="41">
        <f>VLOOKUP(A511,'Dataset-2'!B512:H1122,2,)</f>
        <v>7.5800000000000006E-2</v>
      </c>
      <c r="O511" s="41">
        <f>VLOOKUP(N511,'Dataset-2'!C512:I1122,2,)</f>
        <v>0.62</v>
      </c>
      <c r="P511" s="41">
        <f>VLOOKUP(O511,'Dataset-2'!D512:J1122,2,)</f>
        <v>0.16420000000000001</v>
      </c>
      <c r="Q511" s="41">
        <f>VLOOKUP(P511,'Dataset-2'!E512:K1122,2,)</f>
        <v>2</v>
      </c>
      <c r="R511" s="41">
        <f>VLOOKUP(Q511,'Dataset-2'!F512:L1122,2,)</f>
        <v>17</v>
      </c>
      <c r="S511" s="41">
        <f>VLOOKUP(R511,'Dataset-2'!G512:M1122,2,)</f>
        <v>19</v>
      </c>
    </row>
    <row r="512" spans="1:19" x14ac:dyDescent="0.35">
      <c r="A512" s="40">
        <v>511</v>
      </c>
      <c r="B512" s="62">
        <f>VLOOKUP(A512,'Dataset-1'!A513:M1123,2,)</f>
        <v>40566</v>
      </c>
      <c r="C512" s="41">
        <f>VLOOKUP(B512,'Dataset-1'!B513:N1123,2,)</f>
        <v>1</v>
      </c>
      <c r="D512" s="41">
        <f>VLOOKUP(C512,'Dataset-1'!C513:O1123,2,)</f>
        <v>0</v>
      </c>
      <c r="E512" s="41">
        <f>VLOOKUP(D512,'Dataset-1'!D513:P1123,2,)</f>
        <v>1</v>
      </c>
      <c r="F512" s="41">
        <f>VLOOKUP(E512,'Dataset-1'!E513:Q1123,2,)</f>
        <v>9</v>
      </c>
      <c r="G512" s="71" t="str">
        <f>VLOOKUP(F512,'Dataset-1'!F513:R1123,2,)</f>
        <v>Morning</v>
      </c>
      <c r="H512" s="41" t="b">
        <f>VLOOKUP(G512,'Dataset-1'!G513:S1123,2,)</f>
        <v>0</v>
      </c>
      <c r="I512" s="41">
        <f>VLOOKUP(H512,'Dataset-1'!H513:T1123,2,)</f>
        <v>0</v>
      </c>
      <c r="J512" s="71" t="str">
        <f>VLOOKUP(I512,'Dataset-1'!I513:U1123,2,)</f>
        <v>Saturday</v>
      </c>
      <c r="K512" s="41">
        <f>VLOOKUP(J512,'Dataset-1'!J513:V1123,2,)</f>
        <v>1</v>
      </c>
      <c r="L512" s="41">
        <f>VLOOKUP(K512,'Dataset-1'!K513:W1123,2,)</f>
        <v>0.1</v>
      </c>
      <c r="M512" s="71" t="str">
        <f>VLOOKUP(L512,'Dataset-1'!L513:X1123,2,)</f>
        <v>Stromy</v>
      </c>
      <c r="N512" s="41">
        <f>VLOOKUP(A512,'Dataset-2'!B513:H1123,2,)</f>
        <v>7.5800000000000006E-2</v>
      </c>
      <c r="O512" s="41">
        <f>VLOOKUP(N512,'Dataset-2'!C513:I1123,2,)</f>
        <v>0.54</v>
      </c>
      <c r="P512" s="41">
        <f>VLOOKUP(O512,'Dataset-2'!D513:J1123,2,)</f>
        <v>0.35820000000000002</v>
      </c>
      <c r="Q512" s="41">
        <f>VLOOKUP(P512,'Dataset-2'!E513:K1123,2,)</f>
        <v>3</v>
      </c>
      <c r="R512" s="41">
        <f>VLOOKUP(Q512,'Dataset-2'!F513:L1123,2,)</f>
        <v>25</v>
      </c>
      <c r="S512" s="41">
        <f>VLOOKUP(R512,'Dataset-2'!G513:M1123,2,)</f>
        <v>28</v>
      </c>
    </row>
    <row r="513" spans="1:19" x14ac:dyDescent="0.35">
      <c r="A513" s="40">
        <v>512</v>
      </c>
      <c r="B513" s="62">
        <f>VLOOKUP(A513,'Dataset-1'!A514:M1124,2,)</f>
        <v>40566</v>
      </c>
      <c r="C513" s="41">
        <f>VLOOKUP(B513,'Dataset-1'!B514:N1124,2,)</f>
        <v>1</v>
      </c>
      <c r="D513" s="41">
        <f>VLOOKUP(C513,'Dataset-1'!C514:O1124,2,)</f>
        <v>0</v>
      </c>
      <c r="E513" s="41">
        <f>VLOOKUP(D513,'Dataset-1'!D514:P1124,2,)</f>
        <v>1</v>
      </c>
      <c r="F513" s="41">
        <f>VLOOKUP(E513,'Dataset-1'!E514:Q1124,2,)</f>
        <v>10</v>
      </c>
      <c r="G513" s="71" t="str">
        <f>VLOOKUP(F513,'Dataset-1'!F514:R1124,2,)</f>
        <v>Morning</v>
      </c>
      <c r="H513" s="41" t="b">
        <f>VLOOKUP(G513,'Dataset-1'!G514:S1124,2,)</f>
        <v>0</v>
      </c>
      <c r="I513" s="41">
        <f>VLOOKUP(H513,'Dataset-1'!H514:T1124,2,)</f>
        <v>0</v>
      </c>
      <c r="J513" s="71" t="str">
        <f>VLOOKUP(I513,'Dataset-1'!I514:U1124,2,)</f>
        <v>Saturday</v>
      </c>
      <c r="K513" s="41">
        <f>VLOOKUP(J513,'Dataset-1'!J514:V1124,2,)</f>
        <v>1</v>
      </c>
      <c r="L513" s="41">
        <f>VLOOKUP(K513,'Dataset-1'!K514:W1124,2,)</f>
        <v>0.14000000000000001</v>
      </c>
      <c r="M513" s="71" t="str">
        <f>VLOOKUP(L513,'Dataset-1'!L514:X1124,2,)</f>
        <v>Rainy</v>
      </c>
      <c r="N513" s="41">
        <f>VLOOKUP(A513,'Dataset-2'!B514:H1124,2,)</f>
        <v>0.1061</v>
      </c>
      <c r="O513" s="41">
        <f>VLOOKUP(N513,'Dataset-2'!C514:I1124,2,)</f>
        <v>0.46</v>
      </c>
      <c r="P513" s="41">
        <f>VLOOKUP(O513,'Dataset-2'!D514:J1124,2,)</f>
        <v>0.3881</v>
      </c>
      <c r="Q513" s="41">
        <f>VLOOKUP(P513,'Dataset-2'!E514:K1124,2,)</f>
        <v>7</v>
      </c>
      <c r="R513" s="41">
        <f>VLOOKUP(Q513,'Dataset-2'!F514:L1124,2,)</f>
        <v>51</v>
      </c>
      <c r="S513" s="41">
        <f>VLOOKUP(R513,'Dataset-2'!G514:M1124,2,)</f>
        <v>58</v>
      </c>
    </row>
    <row r="514" spans="1:19" x14ac:dyDescent="0.35">
      <c r="A514" s="40">
        <v>513</v>
      </c>
      <c r="B514" s="62">
        <f>VLOOKUP(A514,'Dataset-1'!A515:M1125,2,)</f>
        <v>40566</v>
      </c>
      <c r="C514" s="41">
        <f>VLOOKUP(B514,'Dataset-1'!B515:N1125,2,)</f>
        <v>1</v>
      </c>
      <c r="D514" s="41">
        <f>VLOOKUP(C514,'Dataset-1'!C515:O1125,2,)</f>
        <v>0</v>
      </c>
      <c r="E514" s="41">
        <f>VLOOKUP(D514,'Dataset-1'!D515:P1125,2,)</f>
        <v>1</v>
      </c>
      <c r="F514" s="41">
        <f>VLOOKUP(E514,'Dataset-1'!E515:Q1125,2,)</f>
        <v>11</v>
      </c>
      <c r="G514" s="71" t="str">
        <f>VLOOKUP(F514,'Dataset-1'!F515:R1125,2,)</f>
        <v>Morning</v>
      </c>
      <c r="H514" s="41" t="b">
        <f>VLOOKUP(G514,'Dataset-1'!G515:S1125,2,)</f>
        <v>0</v>
      </c>
      <c r="I514" s="41">
        <f>VLOOKUP(H514,'Dataset-1'!H515:T1125,2,)</f>
        <v>0</v>
      </c>
      <c r="J514" s="71" t="str">
        <f>VLOOKUP(I514,'Dataset-1'!I515:U1125,2,)</f>
        <v>Saturday</v>
      </c>
      <c r="K514" s="41">
        <f>VLOOKUP(J514,'Dataset-1'!J515:V1125,2,)</f>
        <v>1</v>
      </c>
      <c r="L514" s="41">
        <f>VLOOKUP(K514,'Dataset-1'!K515:W1125,2,)</f>
        <v>0.14000000000000001</v>
      </c>
      <c r="M514" s="71" t="str">
        <f>VLOOKUP(L514,'Dataset-1'!L515:X1125,2,)</f>
        <v>Rainy</v>
      </c>
      <c r="N514" s="41">
        <f>VLOOKUP(A514,'Dataset-2'!B515:H1125,2,)</f>
        <v>0.13639999999999999</v>
      </c>
      <c r="O514" s="41">
        <f>VLOOKUP(N514,'Dataset-2'!C515:I1125,2,)</f>
        <v>0.43</v>
      </c>
      <c r="P514" s="41">
        <f>VLOOKUP(O514,'Dataset-2'!D515:J1125,2,)</f>
        <v>0.22389999999999999</v>
      </c>
      <c r="Q514" s="41">
        <f>VLOOKUP(P514,'Dataset-2'!E515:K1125,2,)</f>
        <v>22</v>
      </c>
      <c r="R514" s="41">
        <f>VLOOKUP(Q514,'Dataset-2'!F515:L1125,2,)</f>
        <v>77</v>
      </c>
      <c r="S514" s="41">
        <f>VLOOKUP(R514,'Dataset-2'!G515:M1125,2,)</f>
        <v>99</v>
      </c>
    </row>
    <row r="515" spans="1:19" x14ac:dyDescent="0.35">
      <c r="A515" s="40">
        <v>514</v>
      </c>
      <c r="B515" s="62">
        <f>VLOOKUP(A515,'Dataset-1'!A516:M1126,2,)</f>
        <v>40566</v>
      </c>
      <c r="C515" s="41">
        <f>VLOOKUP(B515,'Dataset-1'!B516:N1126,2,)</f>
        <v>1</v>
      </c>
      <c r="D515" s="41">
        <f>VLOOKUP(C515,'Dataset-1'!C516:O1126,2,)</f>
        <v>0</v>
      </c>
      <c r="E515" s="41">
        <f>VLOOKUP(D515,'Dataset-1'!D516:P1126,2,)</f>
        <v>1</v>
      </c>
      <c r="F515" s="41">
        <f>VLOOKUP(E515,'Dataset-1'!E516:Q1126,2,)</f>
        <v>12</v>
      </c>
      <c r="G515" s="71" t="str">
        <f>VLOOKUP(F515,'Dataset-1'!F516:R1126,2,)</f>
        <v>AfterNoon</v>
      </c>
      <c r="H515" s="41" t="b">
        <f>VLOOKUP(G515,'Dataset-1'!G516:S1126,2,)</f>
        <v>0</v>
      </c>
      <c r="I515" s="41">
        <f>VLOOKUP(H515,'Dataset-1'!H516:T1126,2,)</f>
        <v>0</v>
      </c>
      <c r="J515" s="71" t="str">
        <f>VLOOKUP(I515,'Dataset-1'!I516:U1126,2,)</f>
        <v>Saturday</v>
      </c>
      <c r="K515" s="41">
        <f>VLOOKUP(J515,'Dataset-1'!J516:V1126,2,)</f>
        <v>1</v>
      </c>
      <c r="L515" s="41">
        <f>VLOOKUP(K515,'Dataset-1'!K516:W1126,2,)</f>
        <v>0.16</v>
      </c>
      <c r="M515" s="71" t="str">
        <f>VLOOKUP(L515,'Dataset-1'!L516:X1126,2,)</f>
        <v>Rainy</v>
      </c>
      <c r="N515" s="41">
        <f>VLOOKUP(A515,'Dataset-2'!B516:H1126,2,)</f>
        <v>0.1212</v>
      </c>
      <c r="O515" s="41">
        <f>VLOOKUP(N515,'Dataset-2'!C516:I1126,2,)</f>
        <v>0.37</v>
      </c>
      <c r="P515" s="41">
        <f>VLOOKUP(O515,'Dataset-2'!D516:J1126,2,)</f>
        <v>0.4627</v>
      </c>
      <c r="Q515" s="41">
        <f>VLOOKUP(P515,'Dataset-2'!E516:K1126,2,)</f>
        <v>24</v>
      </c>
      <c r="R515" s="41">
        <f>VLOOKUP(Q515,'Dataset-2'!F516:L1126,2,)</f>
        <v>92</v>
      </c>
      <c r="S515" s="41">
        <f>VLOOKUP(R515,'Dataset-2'!G516:M1126,2,)</f>
        <v>116</v>
      </c>
    </row>
    <row r="516" spans="1:19" x14ac:dyDescent="0.35">
      <c r="A516" s="40">
        <v>515</v>
      </c>
      <c r="B516" s="62">
        <f>VLOOKUP(A516,'Dataset-1'!A517:M1127,2,)</f>
        <v>40566</v>
      </c>
      <c r="C516" s="41">
        <f>VLOOKUP(B516,'Dataset-1'!B517:N1127,2,)</f>
        <v>1</v>
      </c>
      <c r="D516" s="41">
        <f>VLOOKUP(C516,'Dataset-1'!C517:O1127,2,)</f>
        <v>0</v>
      </c>
      <c r="E516" s="41">
        <f>VLOOKUP(D516,'Dataset-1'!D517:P1127,2,)</f>
        <v>1</v>
      </c>
      <c r="F516" s="41">
        <f>VLOOKUP(E516,'Dataset-1'!E517:Q1127,2,)</f>
        <v>13</v>
      </c>
      <c r="G516" s="71" t="str">
        <f>VLOOKUP(F516,'Dataset-1'!F517:R1127,2,)</f>
        <v>AfterNoon</v>
      </c>
      <c r="H516" s="41" t="b">
        <f>VLOOKUP(G516,'Dataset-1'!G517:S1127,2,)</f>
        <v>0</v>
      </c>
      <c r="I516" s="41">
        <f>VLOOKUP(H516,'Dataset-1'!H517:T1127,2,)</f>
        <v>0</v>
      </c>
      <c r="J516" s="71" t="str">
        <f>VLOOKUP(I516,'Dataset-1'!I517:U1127,2,)</f>
        <v>Saturday</v>
      </c>
      <c r="K516" s="41">
        <f>VLOOKUP(J516,'Dataset-1'!J517:V1127,2,)</f>
        <v>1</v>
      </c>
      <c r="L516" s="41">
        <f>VLOOKUP(K516,'Dataset-1'!K517:W1127,2,)</f>
        <v>0.14000000000000001</v>
      </c>
      <c r="M516" s="71" t="str">
        <f>VLOOKUP(L516,'Dataset-1'!L517:X1127,2,)</f>
        <v>Rainy</v>
      </c>
      <c r="N516" s="41">
        <f>VLOOKUP(A516,'Dataset-2'!B517:H1127,2,)</f>
        <v>0.1061</v>
      </c>
      <c r="O516" s="41">
        <f>VLOOKUP(N516,'Dataset-2'!C517:I1127,2,)</f>
        <v>0.33</v>
      </c>
      <c r="P516" s="41">
        <f>VLOOKUP(O516,'Dataset-2'!D517:J1127,2,)</f>
        <v>0.3881</v>
      </c>
      <c r="Q516" s="41">
        <f>VLOOKUP(P516,'Dataset-2'!E517:K1127,2,)</f>
        <v>12</v>
      </c>
      <c r="R516" s="41">
        <f>VLOOKUP(Q516,'Dataset-2'!F517:L1127,2,)</f>
        <v>75</v>
      </c>
      <c r="S516" s="41">
        <f>VLOOKUP(R516,'Dataset-2'!G517:M1127,2,)</f>
        <v>87</v>
      </c>
    </row>
    <row r="517" spans="1:19" x14ac:dyDescent="0.35">
      <c r="A517" s="40">
        <v>516</v>
      </c>
      <c r="B517" s="62">
        <f>VLOOKUP(A517,'Dataset-1'!A518:M1128,2,)</f>
        <v>40566</v>
      </c>
      <c r="C517" s="41">
        <f>VLOOKUP(B517,'Dataset-1'!B518:N1128,2,)</f>
        <v>1</v>
      </c>
      <c r="D517" s="41">
        <f>VLOOKUP(C517,'Dataset-1'!C518:O1128,2,)</f>
        <v>0</v>
      </c>
      <c r="E517" s="41">
        <f>VLOOKUP(D517,'Dataset-1'!D518:P1128,2,)</f>
        <v>1</v>
      </c>
      <c r="F517" s="41">
        <f>VLOOKUP(E517,'Dataset-1'!E518:Q1128,2,)</f>
        <v>14</v>
      </c>
      <c r="G517" s="71" t="str">
        <f>VLOOKUP(F517,'Dataset-1'!F518:R1128,2,)</f>
        <v>AfterNoon</v>
      </c>
      <c r="H517" s="41" t="b">
        <f>VLOOKUP(G517,'Dataset-1'!G518:S1128,2,)</f>
        <v>0</v>
      </c>
      <c r="I517" s="41">
        <f>VLOOKUP(H517,'Dataset-1'!H518:T1128,2,)</f>
        <v>0</v>
      </c>
      <c r="J517" s="71" t="str">
        <f>VLOOKUP(I517,'Dataset-1'!I518:U1128,2,)</f>
        <v>Saturday</v>
      </c>
      <c r="K517" s="41">
        <f>VLOOKUP(J517,'Dataset-1'!J518:V1128,2,)</f>
        <v>1</v>
      </c>
      <c r="L517" s="41">
        <f>VLOOKUP(K517,'Dataset-1'!K518:W1128,2,)</f>
        <v>0.16</v>
      </c>
      <c r="M517" s="71" t="str">
        <f>VLOOKUP(L517,'Dataset-1'!L518:X1128,2,)</f>
        <v>Rainy</v>
      </c>
      <c r="N517" s="41">
        <f>VLOOKUP(A517,'Dataset-2'!B518:H1128,2,)</f>
        <v>0.13639999999999999</v>
      </c>
      <c r="O517" s="41">
        <f>VLOOKUP(N517,'Dataset-2'!C518:I1128,2,)</f>
        <v>0.28000000000000003</v>
      </c>
      <c r="P517" s="41">
        <f>VLOOKUP(O517,'Dataset-2'!D518:J1128,2,)</f>
        <v>0.35820000000000002</v>
      </c>
      <c r="Q517" s="41">
        <f>VLOOKUP(P517,'Dataset-2'!E518:K1128,2,)</f>
        <v>17</v>
      </c>
      <c r="R517" s="41">
        <f>VLOOKUP(Q517,'Dataset-2'!F518:L1128,2,)</f>
        <v>93</v>
      </c>
      <c r="S517" s="41">
        <f>VLOOKUP(R517,'Dataset-2'!G518:M1128,2,)</f>
        <v>110</v>
      </c>
    </row>
    <row r="518" spans="1:19" x14ac:dyDescent="0.35">
      <c r="A518" s="40">
        <v>517</v>
      </c>
      <c r="B518" s="62">
        <f>VLOOKUP(A518,'Dataset-1'!A519:M1129,2,)</f>
        <v>40566</v>
      </c>
      <c r="C518" s="41">
        <f>VLOOKUP(B518,'Dataset-1'!B519:N1129,2,)</f>
        <v>1</v>
      </c>
      <c r="D518" s="41">
        <f>VLOOKUP(C518,'Dataset-1'!C519:O1129,2,)</f>
        <v>0</v>
      </c>
      <c r="E518" s="41">
        <f>VLOOKUP(D518,'Dataset-1'!D519:P1129,2,)</f>
        <v>1</v>
      </c>
      <c r="F518" s="41">
        <f>VLOOKUP(E518,'Dataset-1'!E519:Q1129,2,)</f>
        <v>15</v>
      </c>
      <c r="G518" s="71" t="str">
        <f>VLOOKUP(F518,'Dataset-1'!F519:R1129,2,)</f>
        <v>AfterNoon</v>
      </c>
      <c r="H518" s="41" t="b">
        <f>VLOOKUP(G518,'Dataset-1'!G519:S1129,2,)</f>
        <v>0</v>
      </c>
      <c r="I518" s="41">
        <f>VLOOKUP(H518,'Dataset-1'!H519:T1129,2,)</f>
        <v>0</v>
      </c>
      <c r="J518" s="71" t="str">
        <f>VLOOKUP(I518,'Dataset-1'!I519:U1129,2,)</f>
        <v>Saturday</v>
      </c>
      <c r="K518" s="41">
        <f>VLOOKUP(J518,'Dataset-1'!J519:V1129,2,)</f>
        <v>1</v>
      </c>
      <c r="L518" s="41">
        <f>VLOOKUP(K518,'Dataset-1'!K519:W1129,2,)</f>
        <v>0.16</v>
      </c>
      <c r="M518" s="71" t="str">
        <f>VLOOKUP(L518,'Dataset-1'!L519:X1129,2,)</f>
        <v>Rainy</v>
      </c>
      <c r="N518" s="41">
        <f>VLOOKUP(A518,'Dataset-2'!B519:H1129,2,)</f>
        <v>0.13639999999999999</v>
      </c>
      <c r="O518" s="41">
        <f>VLOOKUP(N518,'Dataset-2'!C519:I1129,2,)</f>
        <v>0.28000000000000003</v>
      </c>
      <c r="P518" s="41">
        <f>VLOOKUP(O518,'Dataset-2'!D519:J1129,2,)</f>
        <v>0.35820000000000002</v>
      </c>
      <c r="Q518" s="41">
        <f>VLOOKUP(P518,'Dataset-2'!E519:K1129,2,)</f>
        <v>13</v>
      </c>
      <c r="R518" s="41">
        <f>VLOOKUP(Q518,'Dataset-2'!F519:L1129,2,)</f>
        <v>64</v>
      </c>
      <c r="S518" s="41">
        <f>VLOOKUP(R518,'Dataset-2'!G519:M1129,2,)</f>
        <v>77</v>
      </c>
    </row>
    <row r="519" spans="1:19" x14ac:dyDescent="0.35">
      <c r="A519" s="40">
        <v>518</v>
      </c>
      <c r="B519" s="62">
        <f>VLOOKUP(A519,'Dataset-1'!A520:M1130,2,)</f>
        <v>40566</v>
      </c>
      <c r="C519" s="41">
        <f>VLOOKUP(B519,'Dataset-1'!B520:N1130,2,)</f>
        <v>1</v>
      </c>
      <c r="D519" s="41">
        <f>VLOOKUP(C519,'Dataset-1'!C520:O1130,2,)</f>
        <v>0</v>
      </c>
      <c r="E519" s="41">
        <f>VLOOKUP(D519,'Dataset-1'!D520:P1130,2,)</f>
        <v>1</v>
      </c>
      <c r="F519" s="41">
        <f>VLOOKUP(E519,'Dataset-1'!E520:Q1130,2,)</f>
        <v>16</v>
      </c>
      <c r="G519" s="71" t="str">
        <f>VLOOKUP(F519,'Dataset-1'!F520:R1130,2,)</f>
        <v>AfterNoon</v>
      </c>
      <c r="H519" s="41" t="b">
        <f>VLOOKUP(G519,'Dataset-1'!G520:S1130,2,)</f>
        <v>0</v>
      </c>
      <c r="I519" s="41">
        <f>VLOOKUP(H519,'Dataset-1'!H520:T1130,2,)</f>
        <v>0</v>
      </c>
      <c r="J519" s="71" t="str">
        <f>VLOOKUP(I519,'Dataset-1'!I520:U1130,2,)</f>
        <v>Saturday</v>
      </c>
      <c r="K519" s="41">
        <f>VLOOKUP(J519,'Dataset-1'!J520:V1130,2,)</f>
        <v>1</v>
      </c>
      <c r="L519" s="41">
        <f>VLOOKUP(K519,'Dataset-1'!K520:W1130,2,)</f>
        <v>0.16</v>
      </c>
      <c r="M519" s="71" t="str">
        <f>VLOOKUP(L519,'Dataset-1'!L520:X1130,2,)</f>
        <v>Rainy</v>
      </c>
      <c r="N519" s="41">
        <f>VLOOKUP(A519,'Dataset-2'!B520:H1130,2,)</f>
        <v>0.13639999999999999</v>
      </c>
      <c r="O519" s="41">
        <f>VLOOKUP(N519,'Dataset-2'!C520:I1130,2,)</f>
        <v>0.26</v>
      </c>
      <c r="P519" s="41">
        <f>VLOOKUP(O519,'Dataset-2'!D520:J1130,2,)</f>
        <v>0.32840000000000003</v>
      </c>
      <c r="Q519" s="41">
        <f>VLOOKUP(P519,'Dataset-2'!E520:K1130,2,)</f>
        <v>9</v>
      </c>
      <c r="R519" s="41">
        <f>VLOOKUP(Q519,'Dataset-2'!F520:L1130,2,)</f>
        <v>56</v>
      </c>
      <c r="S519" s="41">
        <f>VLOOKUP(R519,'Dataset-2'!G520:M1130,2,)</f>
        <v>65</v>
      </c>
    </row>
    <row r="520" spans="1:19" x14ac:dyDescent="0.35">
      <c r="A520" s="40">
        <v>519</v>
      </c>
      <c r="B520" s="62">
        <f>VLOOKUP(A520,'Dataset-1'!A521:M1131,2,)</f>
        <v>40566</v>
      </c>
      <c r="C520" s="41">
        <f>VLOOKUP(B520,'Dataset-1'!B521:N1131,2,)</f>
        <v>1</v>
      </c>
      <c r="D520" s="41">
        <f>VLOOKUP(C520,'Dataset-1'!C521:O1131,2,)</f>
        <v>0</v>
      </c>
      <c r="E520" s="41">
        <f>VLOOKUP(D520,'Dataset-1'!D521:P1131,2,)</f>
        <v>1</v>
      </c>
      <c r="F520" s="41">
        <f>VLOOKUP(E520,'Dataset-1'!E521:Q1131,2,)</f>
        <v>17</v>
      </c>
      <c r="G520" s="71" t="str">
        <f>VLOOKUP(F520,'Dataset-1'!F521:R1131,2,)</f>
        <v>Evening</v>
      </c>
      <c r="H520" s="41" t="b">
        <f>VLOOKUP(G520,'Dataset-1'!G521:S1131,2,)</f>
        <v>0</v>
      </c>
      <c r="I520" s="41">
        <f>VLOOKUP(H520,'Dataset-1'!H521:T1131,2,)</f>
        <v>0</v>
      </c>
      <c r="J520" s="71" t="str">
        <f>VLOOKUP(I520,'Dataset-1'!I521:U1131,2,)</f>
        <v>Saturday</v>
      </c>
      <c r="K520" s="41">
        <f>VLOOKUP(J520,'Dataset-1'!J521:V1131,2,)</f>
        <v>1</v>
      </c>
      <c r="L520" s="41">
        <f>VLOOKUP(K520,'Dataset-1'!K521:W1131,2,)</f>
        <v>0.14000000000000001</v>
      </c>
      <c r="M520" s="71" t="str">
        <f>VLOOKUP(L520,'Dataset-1'!L521:X1131,2,)</f>
        <v>Rainy</v>
      </c>
      <c r="N520" s="41">
        <f>VLOOKUP(A520,'Dataset-2'!B521:H1131,2,)</f>
        <v>0.1061</v>
      </c>
      <c r="O520" s="41">
        <f>VLOOKUP(N520,'Dataset-2'!C521:I1131,2,)</f>
        <v>0.26</v>
      </c>
      <c r="P520" s="41">
        <f>VLOOKUP(O520,'Dataset-2'!D521:J1131,2,)</f>
        <v>0.3881</v>
      </c>
      <c r="Q520" s="41">
        <f>VLOOKUP(P520,'Dataset-2'!E521:K1131,2,)</f>
        <v>5</v>
      </c>
      <c r="R520" s="41">
        <f>VLOOKUP(Q520,'Dataset-2'!F521:L1131,2,)</f>
        <v>50</v>
      </c>
      <c r="S520" s="41">
        <f>VLOOKUP(R520,'Dataset-2'!G521:M1131,2,)</f>
        <v>55</v>
      </c>
    </row>
    <row r="521" spans="1:19" x14ac:dyDescent="0.35">
      <c r="A521" s="40">
        <v>520</v>
      </c>
      <c r="B521" s="62">
        <f>VLOOKUP(A521,'Dataset-1'!A522:M1132,2,)</f>
        <v>40566</v>
      </c>
      <c r="C521" s="41">
        <f>VLOOKUP(B521,'Dataset-1'!B522:N1132,2,)</f>
        <v>1</v>
      </c>
      <c r="D521" s="41">
        <f>VLOOKUP(C521,'Dataset-1'!C522:O1132,2,)</f>
        <v>0</v>
      </c>
      <c r="E521" s="41">
        <f>VLOOKUP(D521,'Dataset-1'!D522:P1132,2,)</f>
        <v>1</v>
      </c>
      <c r="F521" s="41">
        <f>VLOOKUP(E521,'Dataset-1'!E522:Q1132,2,)</f>
        <v>18</v>
      </c>
      <c r="G521" s="71" t="str">
        <f>VLOOKUP(F521,'Dataset-1'!F522:R1132,2,)</f>
        <v>Evening</v>
      </c>
      <c r="H521" s="41" t="b">
        <f>VLOOKUP(G521,'Dataset-1'!G522:S1132,2,)</f>
        <v>0</v>
      </c>
      <c r="I521" s="41">
        <f>VLOOKUP(H521,'Dataset-1'!H522:T1132,2,)</f>
        <v>0</v>
      </c>
      <c r="J521" s="71" t="str">
        <f>VLOOKUP(I521,'Dataset-1'!I522:U1132,2,)</f>
        <v>Saturday</v>
      </c>
      <c r="K521" s="41">
        <f>VLOOKUP(J521,'Dataset-1'!J522:V1132,2,)</f>
        <v>1</v>
      </c>
      <c r="L521" s="41">
        <f>VLOOKUP(K521,'Dataset-1'!K522:W1132,2,)</f>
        <v>0.12</v>
      </c>
      <c r="M521" s="71" t="str">
        <f>VLOOKUP(L521,'Dataset-1'!L522:X1132,2,)</f>
        <v>Rainy</v>
      </c>
      <c r="N521" s="41">
        <f>VLOOKUP(A521,'Dataset-2'!B522:H1132,2,)</f>
        <v>0.1212</v>
      </c>
      <c r="O521" s="41">
        <f>VLOOKUP(N521,'Dataset-2'!C522:I1132,2,)</f>
        <v>0.3</v>
      </c>
      <c r="P521" s="41">
        <f>VLOOKUP(O521,'Dataset-2'!D522:J1132,2,)</f>
        <v>0.25369999999999998</v>
      </c>
      <c r="Q521" s="41">
        <f>VLOOKUP(P521,'Dataset-2'!E522:K1132,2,)</f>
        <v>5</v>
      </c>
      <c r="R521" s="41">
        <f>VLOOKUP(Q521,'Dataset-2'!F522:L1132,2,)</f>
        <v>44</v>
      </c>
      <c r="S521" s="41">
        <f>VLOOKUP(R521,'Dataset-2'!G522:M1132,2,)</f>
        <v>49</v>
      </c>
    </row>
    <row r="522" spans="1:19" x14ac:dyDescent="0.35">
      <c r="A522" s="40">
        <v>521</v>
      </c>
      <c r="B522" s="62">
        <f>VLOOKUP(A522,'Dataset-1'!A523:M1133,2,)</f>
        <v>40566</v>
      </c>
      <c r="C522" s="41">
        <f>VLOOKUP(B522,'Dataset-1'!B523:N1133,2,)</f>
        <v>1</v>
      </c>
      <c r="D522" s="41">
        <f>VLOOKUP(C522,'Dataset-1'!C523:O1133,2,)</f>
        <v>0</v>
      </c>
      <c r="E522" s="41">
        <f>VLOOKUP(D522,'Dataset-1'!D523:P1133,2,)</f>
        <v>1</v>
      </c>
      <c r="F522" s="41">
        <f>VLOOKUP(E522,'Dataset-1'!E523:Q1133,2,)</f>
        <v>19</v>
      </c>
      <c r="G522" s="71" t="str">
        <f>VLOOKUP(F522,'Dataset-1'!F523:R1133,2,)</f>
        <v>Evening</v>
      </c>
      <c r="H522" s="41" t="b">
        <f>VLOOKUP(G522,'Dataset-1'!G523:S1133,2,)</f>
        <v>0</v>
      </c>
      <c r="I522" s="41">
        <f>VLOOKUP(H522,'Dataset-1'!H523:T1133,2,)</f>
        <v>0</v>
      </c>
      <c r="J522" s="71" t="str">
        <f>VLOOKUP(I522,'Dataset-1'!I523:U1133,2,)</f>
        <v>Saturday</v>
      </c>
      <c r="K522" s="41">
        <f>VLOOKUP(J522,'Dataset-1'!J523:V1133,2,)</f>
        <v>1</v>
      </c>
      <c r="L522" s="41">
        <f>VLOOKUP(K522,'Dataset-1'!K523:W1133,2,)</f>
        <v>0.12</v>
      </c>
      <c r="M522" s="71" t="str">
        <f>VLOOKUP(L522,'Dataset-1'!L523:X1133,2,)</f>
        <v>Rainy</v>
      </c>
      <c r="N522" s="41">
        <f>VLOOKUP(A522,'Dataset-2'!B523:H1133,2,)</f>
        <v>0.1212</v>
      </c>
      <c r="O522" s="41">
        <f>VLOOKUP(N522,'Dataset-2'!C523:I1133,2,)</f>
        <v>0.3</v>
      </c>
      <c r="P522" s="41">
        <f>VLOOKUP(O522,'Dataset-2'!D523:J1133,2,)</f>
        <v>0.28360000000000002</v>
      </c>
      <c r="Q522" s="41">
        <f>VLOOKUP(P522,'Dataset-2'!E523:K1133,2,)</f>
        <v>5</v>
      </c>
      <c r="R522" s="41">
        <f>VLOOKUP(Q522,'Dataset-2'!F523:L1133,2,)</f>
        <v>45</v>
      </c>
      <c r="S522" s="41">
        <f>VLOOKUP(R522,'Dataset-2'!G523:M1133,2,)</f>
        <v>50</v>
      </c>
    </row>
    <row r="523" spans="1:19" x14ac:dyDescent="0.35">
      <c r="A523" s="40">
        <v>522</v>
      </c>
      <c r="B523" s="62">
        <f>VLOOKUP(A523,'Dataset-1'!A524:M1134,2,)</f>
        <v>40566</v>
      </c>
      <c r="C523" s="41">
        <f>VLOOKUP(B523,'Dataset-1'!B524:N1134,2,)</f>
        <v>1</v>
      </c>
      <c r="D523" s="41">
        <f>VLOOKUP(C523,'Dataset-1'!C524:O1134,2,)</f>
        <v>0</v>
      </c>
      <c r="E523" s="41">
        <f>VLOOKUP(D523,'Dataset-1'!D524:P1134,2,)</f>
        <v>1</v>
      </c>
      <c r="F523" s="41">
        <f>VLOOKUP(E523,'Dataset-1'!E524:Q1134,2,)</f>
        <v>20</v>
      </c>
      <c r="G523" s="71" t="str">
        <f>VLOOKUP(F523,'Dataset-1'!F524:R1134,2,)</f>
        <v>Night</v>
      </c>
      <c r="H523" s="41" t="b">
        <f>VLOOKUP(G523,'Dataset-1'!G524:S1134,2,)</f>
        <v>0</v>
      </c>
      <c r="I523" s="41">
        <f>VLOOKUP(H523,'Dataset-1'!H524:T1134,2,)</f>
        <v>0</v>
      </c>
      <c r="J523" s="71" t="str">
        <f>VLOOKUP(I523,'Dataset-1'!I524:U1134,2,)</f>
        <v>Saturday</v>
      </c>
      <c r="K523" s="41">
        <f>VLOOKUP(J523,'Dataset-1'!J524:V1134,2,)</f>
        <v>1</v>
      </c>
      <c r="L523" s="41">
        <f>VLOOKUP(K523,'Dataset-1'!K524:W1134,2,)</f>
        <v>0.1</v>
      </c>
      <c r="M523" s="71" t="str">
        <f>VLOOKUP(L523,'Dataset-1'!L524:X1134,2,)</f>
        <v>Stromy</v>
      </c>
      <c r="N523" s="41">
        <f>VLOOKUP(A523,'Dataset-2'!B524:H1134,2,)</f>
        <v>0.1061</v>
      </c>
      <c r="O523" s="41">
        <f>VLOOKUP(N523,'Dataset-2'!C524:I1134,2,)</f>
        <v>0.36</v>
      </c>
      <c r="P523" s="41">
        <f>VLOOKUP(O523,'Dataset-2'!D524:J1134,2,)</f>
        <v>0.25369999999999998</v>
      </c>
      <c r="Q523" s="41">
        <f>VLOOKUP(P523,'Dataset-2'!E524:K1134,2,)</f>
        <v>4</v>
      </c>
      <c r="R523" s="41">
        <f>VLOOKUP(Q523,'Dataset-2'!F524:L1134,2,)</f>
        <v>31</v>
      </c>
      <c r="S523" s="41">
        <f>VLOOKUP(R523,'Dataset-2'!G524:M1134,2,)</f>
        <v>35</v>
      </c>
    </row>
    <row r="524" spans="1:19" x14ac:dyDescent="0.35">
      <c r="A524" s="40">
        <v>523</v>
      </c>
      <c r="B524" s="62">
        <f>VLOOKUP(A524,'Dataset-1'!A525:M1135,2,)</f>
        <v>40566</v>
      </c>
      <c r="C524" s="41">
        <f>VLOOKUP(B524,'Dataset-1'!B525:N1135,2,)</f>
        <v>1</v>
      </c>
      <c r="D524" s="41">
        <f>VLOOKUP(C524,'Dataset-1'!C525:O1135,2,)</f>
        <v>0</v>
      </c>
      <c r="E524" s="41">
        <f>VLOOKUP(D524,'Dataset-1'!D525:P1135,2,)</f>
        <v>1</v>
      </c>
      <c r="F524" s="41">
        <f>VLOOKUP(E524,'Dataset-1'!E525:Q1135,2,)</f>
        <v>21</v>
      </c>
      <c r="G524" s="71" t="str">
        <f>VLOOKUP(F524,'Dataset-1'!F525:R1135,2,)</f>
        <v>Night</v>
      </c>
      <c r="H524" s="41" t="b">
        <f>VLOOKUP(G524,'Dataset-1'!G525:S1135,2,)</f>
        <v>0</v>
      </c>
      <c r="I524" s="41">
        <f>VLOOKUP(H524,'Dataset-1'!H525:T1135,2,)</f>
        <v>0</v>
      </c>
      <c r="J524" s="71" t="str">
        <f>VLOOKUP(I524,'Dataset-1'!I525:U1135,2,)</f>
        <v>Saturday</v>
      </c>
      <c r="K524" s="41">
        <f>VLOOKUP(J524,'Dataset-1'!J525:V1135,2,)</f>
        <v>1</v>
      </c>
      <c r="L524" s="41">
        <f>VLOOKUP(K524,'Dataset-1'!K525:W1135,2,)</f>
        <v>0.1</v>
      </c>
      <c r="M524" s="71" t="str">
        <f>VLOOKUP(L524,'Dataset-1'!L525:X1135,2,)</f>
        <v>Stromy</v>
      </c>
      <c r="N524" s="41">
        <f>VLOOKUP(A524,'Dataset-2'!B525:H1135,2,)</f>
        <v>0.1061</v>
      </c>
      <c r="O524" s="41">
        <f>VLOOKUP(N524,'Dataset-2'!C525:I1135,2,)</f>
        <v>0.36</v>
      </c>
      <c r="P524" s="41">
        <f>VLOOKUP(O524,'Dataset-2'!D525:J1135,2,)</f>
        <v>0.19400000000000001</v>
      </c>
      <c r="Q524" s="41">
        <f>VLOOKUP(P524,'Dataset-2'!E525:K1135,2,)</f>
        <v>5</v>
      </c>
      <c r="R524" s="41">
        <f>VLOOKUP(Q524,'Dataset-2'!F525:L1135,2,)</f>
        <v>20</v>
      </c>
      <c r="S524" s="41">
        <f>VLOOKUP(R524,'Dataset-2'!G525:M1135,2,)</f>
        <v>25</v>
      </c>
    </row>
    <row r="525" spans="1:19" x14ac:dyDescent="0.35">
      <c r="A525" s="40">
        <v>524</v>
      </c>
      <c r="B525" s="62">
        <f>VLOOKUP(A525,'Dataset-1'!A526:M1136,2,)</f>
        <v>40566</v>
      </c>
      <c r="C525" s="41">
        <f>VLOOKUP(B525,'Dataset-1'!B526:N1136,2,)</f>
        <v>1</v>
      </c>
      <c r="D525" s="41">
        <f>VLOOKUP(C525,'Dataset-1'!C526:O1136,2,)</f>
        <v>0</v>
      </c>
      <c r="E525" s="41">
        <f>VLOOKUP(D525,'Dataset-1'!D526:P1136,2,)</f>
        <v>1</v>
      </c>
      <c r="F525" s="41">
        <f>VLOOKUP(E525,'Dataset-1'!E526:Q1136,2,)</f>
        <v>22</v>
      </c>
      <c r="G525" s="71" t="str">
        <f>VLOOKUP(F525,'Dataset-1'!F526:R1136,2,)</f>
        <v>Night</v>
      </c>
      <c r="H525" s="41" t="b">
        <f>VLOOKUP(G525,'Dataset-1'!G526:S1136,2,)</f>
        <v>0</v>
      </c>
      <c r="I525" s="41">
        <f>VLOOKUP(H525,'Dataset-1'!H526:T1136,2,)</f>
        <v>0</v>
      </c>
      <c r="J525" s="71" t="str">
        <f>VLOOKUP(I525,'Dataset-1'!I526:U1136,2,)</f>
        <v>Saturday</v>
      </c>
      <c r="K525" s="41">
        <f>VLOOKUP(J525,'Dataset-1'!J526:V1136,2,)</f>
        <v>1</v>
      </c>
      <c r="L525" s="41">
        <f>VLOOKUP(K525,'Dataset-1'!K526:W1136,2,)</f>
        <v>0.08</v>
      </c>
      <c r="M525" s="71" t="str">
        <f>VLOOKUP(L525,'Dataset-1'!L526:X1136,2,)</f>
        <v>Stromy</v>
      </c>
      <c r="N525" s="41">
        <f>VLOOKUP(A525,'Dataset-2'!B526:H1136,2,)</f>
        <v>9.0899999999999995E-2</v>
      </c>
      <c r="O525" s="41">
        <f>VLOOKUP(N525,'Dataset-2'!C526:I1136,2,)</f>
        <v>0.38</v>
      </c>
      <c r="P525" s="41">
        <f>VLOOKUP(O525,'Dataset-2'!D526:J1136,2,)</f>
        <v>0.19400000000000001</v>
      </c>
      <c r="Q525" s="41">
        <f>VLOOKUP(P525,'Dataset-2'!E526:K1136,2,)</f>
        <v>5</v>
      </c>
      <c r="R525" s="41">
        <f>VLOOKUP(Q525,'Dataset-2'!F526:L1136,2,)</f>
        <v>23</v>
      </c>
      <c r="S525" s="41">
        <f>VLOOKUP(R525,'Dataset-2'!G526:M1136,2,)</f>
        <v>28</v>
      </c>
    </row>
    <row r="526" spans="1:19" x14ac:dyDescent="0.35">
      <c r="A526" s="40">
        <v>525</v>
      </c>
      <c r="B526" s="62">
        <f>VLOOKUP(A526,'Dataset-1'!A527:M1137,2,)</f>
        <v>40566</v>
      </c>
      <c r="C526" s="41">
        <f>VLOOKUP(B526,'Dataset-1'!B527:N1137,2,)</f>
        <v>1</v>
      </c>
      <c r="D526" s="41">
        <f>VLOOKUP(C526,'Dataset-1'!C527:O1137,2,)</f>
        <v>0</v>
      </c>
      <c r="E526" s="41">
        <f>VLOOKUP(D526,'Dataset-1'!D527:P1137,2,)</f>
        <v>1</v>
      </c>
      <c r="F526" s="41">
        <f>VLOOKUP(E526,'Dataset-1'!E527:Q1137,2,)</f>
        <v>23</v>
      </c>
      <c r="G526" s="71" t="str">
        <f>VLOOKUP(F526,'Dataset-1'!F527:R1137,2,)</f>
        <v>Night</v>
      </c>
      <c r="H526" s="41" t="b">
        <f>VLOOKUP(G526,'Dataset-1'!G527:S1137,2,)</f>
        <v>0</v>
      </c>
      <c r="I526" s="41">
        <f>VLOOKUP(H526,'Dataset-1'!H527:T1137,2,)</f>
        <v>0</v>
      </c>
      <c r="J526" s="71" t="str">
        <f>VLOOKUP(I526,'Dataset-1'!I527:U1137,2,)</f>
        <v>Saturday</v>
      </c>
      <c r="K526" s="41">
        <f>VLOOKUP(J526,'Dataset-1'!J527:V1137,2,)</f>
        <v>1</v>
      </c>
      <c r="L526" s="41">
        <f>VLOOKUP(K526,'Dataset-1'!K527:W1137,2,)</f>
        <v>0.06</v>
      </c>
      <c r="M526" s="71" t="str">
        <f>VLOOKUP(L526,'Dataset-1'!L527:X1137,2,)</f>
        <v>Stromy</v>
      </c>
      <c r="N526" s="41">
        <f>VLOOKUP(A526,'Dataset-2'!B527:H1137,2,)</f>
        <v>6.0600000000000001E-2</v>
      </c>
      <c r="O526" s="41">
        <f>VLOOKUP(N526,'Dataset-2'!C527:I1137,2,)</f>
        <v>0.41</v>
      </c>
      <c r="P526" s="41">
        <f>VLOOKUP(O526,'Dataset-2'!D527:J1137,2,)</f>
        <v>0.22389999999999999</v>
      </c>
      <c r="Q526" s="41">
        <f>VLOOKUP(P526,'Dataset-2'!E527:K1137,2,)</f>
        <v>4</v>
      </c>
      <c r="R526" s="41">
        <f>VLOOKUP(Q526,'Dataset-2'!F527:L1137,2,)</f>
        <v>17</v>
      </c>
      <c r="S526" s="41">
        <f>VLOOKUP(R526,'Dataset-2'!G527:M1137,2,)</f>
        <v>21</v>
      </c>
    </row>
    <row r="527" spans="1:19" x14ac:dyDescent="0.35">
      <c r="A527" s="40">
        <v>526</v>
      </c>
      <c r="B527" s="62">
        <f>VLOOKUP(A527,'Dataset-1'!A528:M1138,2,)</f>
        <v>40567</v>
      </c>
      <c r="C527" s="41">
        <f>VLOOKUP(B527,'Dataset-1'!B528:N1138,2,)</f>
        <v>1</v>
      </c>
      <c r="D527" s="41">
        <f>VLOOKUP(C527,'Dataset-1'!C528:O1138,2,)</f>
        <v>0</v>
      </c>
      <c r="E527" s="41">
        <f>VLOOKUP(D527,'Dataset-1'!D528:P1138,2,)</f>
        <v>1</v>
      </c>
      <c r="F527" s="41">
        <f>VLOOKUP(E527,'Dataset-1'!E528:Q1138,2,)</f>
        <v>0</v>
      </c>
      <c r="G527" s="71" t="str">
        <f>VLOOKUP(F527,'Dataset-1'!F528:R1138,2,)</f>
        <v>Night</v>
      </c>
      <c r="H527" s="41" t="b">
        <f>VLOOKUP(G527,'Dataset-1'!G528:S1138,2,)</f>
        <v>0</v>
      </c>
      <c r="I527" s="41">
        <f>VLOOKUP(H527,'Dataset-1'!H528:T1138,2,)</f>
        <v>1</v>
      </c>
      <c r="J527" s="71" t="str">
        <f>VLOOKUP(I527,'Dataset-1'!I528:U1138,2,)</f>
        <v>Sunday</v>
      </c>
      <c r="K527" s="41">
        <f>VLOOKUP(J527,'Dataset-1'!J528:V1138,2,)</f>
        <v>1</v>
      </c>
      <c r="L527" s="41">
        <f>VLOOKUP(K527,'Dataset-1'!K528:W1138,2,)</f>
        <v>0.06</v>
      </c>
      <c r="M527" s="71" t="str">
        <f>VLOOKUP(L527,'Dataset-1'!L528:X1138,2,)</f>
        <v>Stromy</v>
      </c>
      <c r="N527" s="41">
        <f>VLOOKUP(A527,'Dataset-2'!B528:H1138,2,)</f>
        <v>6.0600000000000001E-2</v>
      </c>
      <c r="O527" s="41">
        <f>VLOOKUP(N527,'Dataset-2'!C528:I1138,2,)</f>
        <v>0.41</v>
      </c>
      <c r="P527" s="41">
        <f>VLOOKUP(O527,'Dataset-2'!D528:J1138,2,)</f>
        <v>0.19400000000000001</v>
      </c>
      <c r="Q527" s="41">
        <f>VLOOKUP(P527,'Dataset-2'!E528:K1138,2,)</f>
        <v>0</v>
      </c>
      <c r="R527" s="41">
        <f>VLOOKUP(Q527,'Dataset-2'!F528:L1138,2,)</f>
        <v>7</v>
      </c>
      <c r="S527" s="41">
        <f>VLOOKUP(R527,'Dataset-2'!G528:M1138,2,)</f>
        <v>7</v>
      </c>
    </row>
    <row r="528" spans="1:19" x14ac:dyDescent="0.35">
      <c r="A528" s="40">
        <v>527</v>
      </c>
      <c r="B528" s="62">
        <f>VLOOKUP(A528,'Dataset-1'!A529:M1139,2,)</f>
        <v>40567</v>
      </c>
      <c r="C528" s="41">
        <f>VLOOKUP(B528,'Dataset-1'!B529:N1139,2,)</f>
        <v>1</v>
      </c>
      <c r="D528" s="41">
        <f>VLOOKUP(C528,'Dataset-1'!C529:O1139,2,)</f>
        <v>0</v>
      </c>
      <c r="E528" s="41">
        <f>VLOOKUP(D528,'Dataset-1'!D529:P1139,2,)</f>
        <v>1</v>
      </c>
      <c r="F528" s="41">
        <f>VLOOKUP(E528,'Dataset-1'!E529:Q1139,2,)</f>
        <v>1</v>
      </c>
      <c r="G528" s="71" t="str">
        <f>VLOOKUP(F528,'Dataset-1'!F529:R1139,2,)</f>
        <v>Night</v>
      </c>
      <c r="H528" s="41" t="b">
        <f>VLOOKUP(G528,'Dataset-1'!G529:S1139,2,)</f>
        <v>0</v>
      </c>
      <c r="I528" s="41">
        <f>VLOOKUP(H528,'Dataset-1'!H529:T1139,2,)</f>
        <v>1</v>
      </c>
      <c r="J528" s="71" t="str">
        <f>VLOOKUP(I528,'Dataset-1'!I529:U1139,2,)</f>
        <v>Sunday</v>
      </c>
      <c r="K528" s="41">
        <f>VLOOKUP(J528,'Dataset-1'!J529:V1139,2,)</f>
        <v>1</v>
      </c>
      <c r="L528" s="41">
        <f>VLOOKUP(K528,'Dataset-1'!K529:W1139,2,)</f>
        <v>0.04</v>
      </c>
      <c r="M528" s="71" t="str">
        <f>VLOOKUP(L528,'Dataset-1'!L529:X1139,2,)</f>
        <v>Stromy</v>
      </c>
      <c r="N528" s="41">
        <f>VLOOKUP(A528,'Dataset-2'!B529:H1139,2,)</f>
        <v>4.5499999999999999E-2</v>
      </c>
      <c r="O528" s="41">
        <f>VLOOKUP(N528,'Dataset-2'!C529:I1139,2,)</f>
        <v>0.45</v>
      </c>
      <c r="P528" s="41">
        <f>VLOOKUP(O528,'Dataset-2'!D529:J1139,2,)</f>
        <v>0.19400000000000001</v>
      </c>
      <c r="Q528" s="41">
        <f>VLOOKUP(P528,'Dataset-2'!E529:K1139,2,)</f>
        <v>0</v>
      </c>
      <c r="R528" s="41">
        <f>VLOOKUP(Q528,'Dataset-2'!F529:L1139,2,)</f>
        <v>1</v>
      </c>
      <c r="S528" s="41">
        <f>VLOOKUP(R528,'Dataset-2'!G529:M1139,2,)</f>
        <v>1</v>
      </c>
    </row>
    <row r="529" spans="1:19" x14ac:dyDescent="0.35">
      <c r="A529" s="40">
        <v>528</v>
      </c>
      <c r="B529" s="62">
        <f>VLOOKUP(A529,'Dataset-1'!A530:M1140,2,)</f>
        <v>40567</v>
      </c>
      <c r="C529" s="41">
        <f>VLOOKUP(B529,'Dataset-1'!B530:N1140,2,)</f>
        <v>1</v>
      </c>
      <c r="D529" s="41">
        <f>VLOOKUP(C529,'Dataset-1'!C530:O1140,2,)</f>
        <v>0</v>
      </c>
      <c r="E529" s="41">
        <f>VLOOKUP(D529,'Dataset-1'!D530:P1140,2,)</f>
        <v>1</v>
      </c>
      <c r="F529" s="41">
        <f>VLOOKUP(E529,'Dataset-1'!E530:Q1140,2,)</f>
        <v>3</v>
      </c>
      <c r="G529" s="71" t="str">
        <f>VLOOKUP(F529,'Dataset-1'!F530:R1140,2,)</f>
        <v>Night</v>
      </c>
      <c r="H529" s="41" t="b">
        <f>VLOOKUP(G529,'Dataset-1'!G530:S1140,2,)</f>
        <v>0</v>
      </c>
      <c r="I529" s="41">
        <f>VLOOKUP(H529,'Dataset-1'!H530:T1140,2,)</f>
        <v>1</v>
      </c>
      <c r="J529" s="71" t="str">
        <f>VLOOKUP(I529,'Dataset-1'!I530:U1140,2,)</f>
        <v>Sunday</v>
      </c>
      <c r="K529" s="41">
        <f>VLOOKUP(J529,'Dataset-1'!J530:V1140,2,)</f>
        <v>1</v>
      </c>
      <c r="L529" s="41">
        <f>VLOOKUP(K529,'Dataset-1'!K530:W1140,2,)</f>
        <v>0.04</v>
      </c>
      <c r="M529" s="71" t="str">
        <f>VLOOKUP(L529,'Dataset-1'!L530:X1140,2,)</f>
        <v>Stromy</v>
      </c>
      <c r="N529" s="41">
        <f>VLOOKUP(A529,'Dataset-2'!B530:H1140,2,)</f>
        <v>3.0300000000000001E-2</v>
      </c>
      <c r="O529" s="41">
        <f>VLOOKUP(N529,'Dataset-2'!C530:I1140,2,)</f>
        <v>0.45</v>
      </c>
      <c r="P529" s="41">
        <f>VLOOKUP(O529,'Dataset-2'!D530:J1140,2,)</f>
        <v>0.25369999999999998</v>
      </c>
      <c r="Q529" s="41">
        <f>VLOOKUP(P529,'Dataset-2'!E530:K1140,2,)</f>
        <v>0</v>
      </c>
      <c r="R529" s="41">
        <f>VLOOKUP(Q529,'Dataset-2'!F530:L1140,2,)</f>
        <v>1</v>
      </c>
      <c r="S529" s="41">
        <f>VLOOKUP(R529,'Dataset-2'!G530:M1140,2,)</f>
        <v>1</v>
      </c>
    </row>
    <row r="530" spans="1:19" x14ac:dyDescent="0.35">
      <c r="A530" s="40">
        <v>529</v>
      </c>
      <c r="B530" s="62">
        <f>VLOOKUP(A530,'Dataset-1'!A531:M1141,2,)</f>
        <v>40567</v>
      </c>
      <c r="C530" s="41">
        <f>VLOOKUP(B530,'Dataset-1'!B531:N1141,2,)</f>
        <v>1</v>
      </c>
      <c r="D530" s="41">
        <f>VLOOKUP(C530,'Dataset-1'!C531:O1141,2,)</f>
        <v>0</v>
      </c>
      <c r="E530" s="41">
        <f>VLOOKUP(D530,'Dataset-1'!D531:P1141,2,)</f>
        <v>1</v>
      </c>
      <c r="F530" s="41">
        <f>VLOOKUP(E530,'Dataset-1'!E531:Q1141,2,)</f>
        <v>4</v>
      </c>
      <c r="G530" s="71" t="str">
        <f>VLOOKUP(F530,'Dataset-1'!F531:R1141,2,)</f>
        <v>Night</v>
      </c>
      <c r="H530" s="41" t="b">
        <f>VLOOKUP(G530,'Dataset-1'!G531:S1141,2,)</f>
        <v>0</v>
      </c>
      <c r="I530" s="41">
        <f>VLOOKUP(H530,'Dataset-1'!H531:T1141,2,)</f>
        <v>1</v>
      </c>
      <c r="J530" s="71" t="str">
        <f>VLOOKUP(I530,'Dataset-1'!I531:U1141,2,)</f>
        <v>Sunday</v>
      </c>
      <c r="K530" s="41">
        <f>VLOOKUP(J530,'Dataset-1'!J531:V1141,2,)</f>
        <v>1</v>
      </c>
      <c r="L530" s="41">
        <f>VLOOKUP(K530,'Dataset-1'!K531:W1141,2,)</f>
        <v>0.02</v>
      </c>
      <c r="M530" s="71" t="str">
        <f>VLOOKUP(L530,'Dataset-1'!L531:X1141,2,)</f>
        <v>Stromy</v>
      </c>
      <c r="N530" s="41">
        <f>VLOOKUP(A530,'Dataset-2'!B531:H1141,2,)</f>
        <v>6.0600000000000001E-2</v>
      </c>
      <c r="O530" s="41">
        <f>VLOOKUP(N530,'Dataset-2'!C531:I1141,2,)</f>
        <v>0.48</v>
      </c>
      <c r="P530" s="41">
        <f>VLOOKUP(O530,'Dataset-2'!D531:J1141,2,)</f>
        <v>0.1343</v>
      </c>
      <c r="Q530" s="41">
        <f>VLOOKUP(P530,'Dataset-2'!E531:K1141,2,)</f>
        <v>0</v>
      </c>
      <c r="R530" s="41">
        <f>VLOOKUP(Q530,'Dataset-2'!F531:L1141,2,)</f>
        <v>1</v>
      </c>
      <c r="S530" s="41">
        <f>VLOOKUP(R530,'Dataset-2'!G531:M1141,2,)</f>
        <v>1</v>
      </c>
    </row>
    <row r="531" spans="1:19" x14ac:dyDescent="0.35">
      <c r="A531" s="40">
        <v>530</v>
      </c>
      <c r="B531" s="62">
        <f>VLOOKUP(A531,'Dataset-1'!A532:M1142,2,)</f>
        <v>40567</v>
      </c>
      <c r="C531" s="41">
        <f>VLOOKUP(B531,'Dataset-1'!B532:N1142,2,)</f>
        <v>1</v>
      </c>
      <c r="D531" s="41">
        <f>VLOOKUP(C531,'Dataset-1'!C532:O1142,2,)</f>
        <v>0</v>
      </c>
      <c r="E531" s="41">
        <f>VLOOKUP(D531,'Dataset-1'!D532:P1142,2,)</f>
        <v>1</v>
      </c>
      <c r="F531" s="41">
        <f>VLOOKUP(E531,'Dataset-1'!E532:Q1142,2,)</f>
        <v>5</v>
      </c>
      <c r="G531" s="71" t="str">
        <f>VLOOKUP(F531,'Dataset-1'!F532:R1142,2,)</f>
        <v>Morning</v>
      </c>
      <c r="H531" s="41" t="b">
        <f>VLOOKUP(G531,'Dataset-1'!G532:S1142,2,)</f>
        <v>0</v>
      </c>
      <c r="I531" s="41">
        <f>VLOOKUP(H531,'Dataset-1'!H532:T1142,2,)</f>
        <v>1</v>
      </c>
      <c r="J531" s="71" t="str">
        <f>VLOOKUP(I531,'Dataset-1'!I532:U1142,2,)</f>
        <v>Sunday</v>
      </c>
      <c r="K531" s="41">
        <f>VLOOKUP(J531,'Dataset-1'!J532:V1142,2,)</f>
        <v>1</v>
      </c>
      <c r="L531" s="41">
        <f>VLOOKUP(K531,'Dataset-1'!K532:W1142,2,)</f>
        <v>0.02</v>
      </c>
      <c r="M531" s="71" t="str">
        <f>VLOOKUP(L531,'Dataset-1'!L532:X1142,2,)</f>
        <v>Stromy</v>
      </c>
      <c r="N531" s="41">
        <f>VLOOKUP(A531,'Dataset-2'!B532:H1142,2,)</f>
        <v>6.0600000000000001E-2</v>
      </c>
      <c r="O531" s="41">
        <f>VLOOKUP(N531,'Dataset-2'!C532:I1142,2,)</f>
        <v>0.48</v>
      </c>
      <c r="P531" s="41">
        <f>VLOOKUP(O531,'Dataset-2'!D532:J1142,2,)</f>
        <v>0.1343</v>
      </c>
      <c r="Q531" s="41">
        <f>VLOOKUP(P531,'Dataset-2'!E532:K1142,2,)</f>
        <v>0</v>
      </c>
      <c r="R531" s="41">
        <f>VLOOKUP(Q531,'Dataset-2'!F532:L1142,2,)</f>
        <v>5</v>
      </c>
      <c r="S531" s="41">
        <f>VLOOKUP(R531,'Dataset-2'!G532:M1142,2,)</f>
        <v>5</v>
      </c>
    </row>
    <row r="532" spans="1:19" x14ac:dyDescent="0.35">
      <c r="A532" s="40">
        <v>531</v>
      </c>
      <c r="B532" s="62">
        <f>VLOOKUP(A532,'Dataset-1'!A533:M1143,2,)</f>
        <v>40567</v>
      </c>
      <c r="C532" s="41">
        <f>VLOOKUP(B532,'Dataset-1'!B533:N1143,2,)</f>
        <v>1</v>
      </c>
      <c r="D532" s="41">
        <f>VLOOKUP(C532,'Dataset-1'!C533:O1143,2,)</f>
        <v>0</v>
      </c>
      <c r="E532" s="41">
        <f>VLOOKUP(D532,'Dataset-1'!D533:P1143,2,)</f>
        <v>1</v>
      </c>
      <c r="F532" s="41">
        <f>VLOOKUP(E532,'Dataset-1'!E533:Q1143,2,)</f>
        <v>6</v>
      </c>
      <c r="G532" s="71" t="str">
        <f>VLOOKUP(F532,'Dataset-1'!F533:R1143,2,)</f>
        <v>Morning</v>
      </c>
      <c r="H532" s="41" t="b">
        <f>VLOOKUP(G532,'Dataset-1'!G533:S1143,2,)</f>
        <v>0</v>
      </c>
      <c r="I532" s="41">
        <f>VLOOKUP(H532,'Dataset-1'!H533:T1143,2,)</f>
        <v>1</v>
      </c>
      <c r="J532" s="71" t="str">
        <f>VLOOKUP(I532,'Dataset-1'!I533:U1143,2,)</f>
        <v>Sunday</v>
      </c>
      <c r="K532" s="41">
        <f>VLOOKUP(J532,'Dataset-1'!J533:V1143,2,)</f>
        <v>1</v>
      </c>
      <c r="L532" s="41">
        <f>VLOOKUP(K532,'Dataset-1'!K533:W1143,2,)</f>
        <v>0.02</v>
      </c>
      <c r="M532" s="71" t="str">
        <f>VLOOKUP(L532,'Dataset-1'!L533:X1143,2,)</f>
        <v>Stromy</v>
      </c>
      <c r="N532" s="41">
        <f>VLOOKUP(A532,'Dataset-2'!B533:H1143,2,)</f>
        <v>7.5800000000000006E-2</v>
      </c>
      <c r="O532" s="41">
        <f>VLOOKUP(N532,'Dataset-2'!C533:I1143,2,)</f>
        <v>0.48</v>
      </c>
      <c r="P532" s="41">
        <f>VLOOKUP(O532,'Dataset-2'!D533:J1143,2,)</f>
        <v>8.9599999999999999E-2</v>
      </c>
      <c r="Q532" s="41">
        <f>VLOOKUP(P532,'Dataset-2'!E533:K1143,2,)</f>
        <v>0</v>
      </c>
      <c r="R532" s="41">
        <f>VLOOKUP(Q532,'Dataset-2'!F533:L1143,2,)</f>
        <v>15</v>
      </c>
      <c r="S532" s="41">
        <f>VLOOKUP(R532,'Dataset-2'!G533:M1143,2,)</f>
        <v>15</v>
      </c>
    </row>
    <row r="533" spans="1:19" x14ac:dyDescent="0.35">
      <c r="A533" s="40">
        <v>532</v>
      </c>
      <c r="B533" s="62">
        <f>VLOOKUP(A533,'Dataset-1'!A534:M1144,2,)</f>
        <v>40567</v>
      </c>
      <c r="C533" s="41">
        <f>VLOOKUP(B533,'Dataset-1'!B534:N1144,2,)</f>
        <v>1</v>
      </c>
      <c r="D533" s="41">
        <f>VLOOKUP(C533,'Dataset-1'!C534:O1144,2,)</f>
        <v>0</v>
      </c>
      <c r="E533" s="41">
        <f>VLOOKUP(D533,'Dataset-1'!D534:P1144,2,)</f>
        <v>1</v>
      </c>
      <c r="F533" s="41">
        <f>VLOOKUP(E533,'Dataset-1'!E534:Q1144,2,)</f>
        <v>7</v>
      </c>
      <c r="G533" s="71" t="str">
        <f>VLOOKUP(F533,'Dataset-1'!F534:R1144,2,)</f>
        <v>Morning</v>
      </c>
      <c r="H533" s="41" t="b">
        <f>VLOOKUP(G533,'Dataset-1'!G534:S1144,2,)</f>
        <v>0</v>
      </c>
      <c r="I533" s="41">
        <f>VLOOKUP(H533,'Dataset-1'!H534:T1144,2,)</f>
        <v>1</v>
      </c>
      <c r="J533" s="71" t="str">
        <f>VLOOKUP(I533,'Dataset-1'!I534:U1144,2,)</f>
        <v>Sunday</v>
      </c>
      <c r="K533" s="41">
        <f>VLOOKUP(J533,'Dataset-1'!J534:V1144,2,)</f>
        <v>1</v>
      </c>
      <c r="L533" s="41">
        <f>VLOOKUP(K533,'Dataset-1'!K534:W1144,2,)</f>
        <v>0.02</v>
      </c>
      <c r="M533" s="71" t="str">
        <f>VLOOKUP(L533,'Dataset-1'!L534:X1144,2,)</f>
        <v>Stromy</v>
      </c>
      <c r="N533" s="41">
        <f>VLOOKUP(A533,'Dataset-2'!B534:H1144,2,)</f>
        <v>0.1212</v>
      </c>
      <c r="O533" s="41">
        <f>VLOOKUP(N533,'Dataset-2'!C534:I1144,2,)</f>
        <v>0.48</v>
      </c>
      <c r="P533" s="41">
        <f>VLOOKUP(O533,'Dataset-2'!D534:J1144,2,)</f>
        <v>0</v>
      </c>
      <c r="Q533" s="41">
        <f>VLOOKUP(P533,'Dataset-2'!E534:K1144,2,)</f>
        <v>5</v>
      </c>
      <c r="R533" s="41">
        <f>VLOOKUP(Q533,'Dataset-2'!F534:L1144,2,)</f>
        <v>79</v>
      </c>
      <c r="S533" s="41">
        <f>VLOOKUP(R533,'Dataset-2'!G534:M1144,2,)</f>
        <v>84</v>
      </c>
    </row>
    <row r="534" spans="1:19" x14ac:dyDescent="0.35">
      <c r="A534" s="40">
        <v>533</v>
      </c>
      <c r="B534" s="62">
        <f>VLOOKUP(A534,'Dataset-1'!A535:M1145,2,)</f>
        <v>40567</v>
      </c>
      <c r="C534" s="41">
        <f>VLOOKUP(B534,'Dataset-1'!B535:N1145,2,)</f>
        <v>1</v>
      </c>
      <c r="D534" s="41">
        <f>VLOOKUP(C534,'Dataset-1'!C535:O1145,2,)</f>
        <v>0</v>
      </c>
      <c r="E534" s="41">
        <f>VLOOKUP(D534,'Dataset-1'!D535:P1145,2,)</f>
        <v>1</v>
      </c>
      <c r="F534" s="41">
        <f>VLOOKUP(E534,'Dataset-1'!E535:Q1145,2,)</f>
        <v>8</v>
      </c>
      <c r="G534" s="71" t="str">
        <f>VLOOKUP(F534,'Dataset-1'!F535:R1145,2,)</f>
        <v>Morning</v>
      </c>
      <c r="H534" s="41" t="b">
        <f>VLOOKUP(G534,'Dataset-1'!G535:S1145,2,)</f>
        <v>0</v>
      </c>
      <c r="I534" s="41">
        <f>VLOOKUP(H534,'Dataset-1'!H535:T1145,2,)</f>
        <v>1</v>
      </c>
      <c r="J534" s="71" t="str">
        <f>VLOOKUP(I534,'Dataset-1'!I535:U1145,2,)</f>
        <v>Sunday</v>
      </c>
      <c r="K534" s="41">
        <f>VLOOKUP(J534,'Dataset-1'!J535:V1145,2,)</f>
        <v>1</v>
      </c>
      <c r="L534" s="41">
        <f>VLOOKUP(K534,'Dataset-1'!K535:W1145,2,)</f>
        <v>0.04</v>
      </c>
      <c r="M534" s="71" t="str">
        <f>VLOOKUP(L534,'Dataset-1'!L535:X1145,2,)</f>
        <v>Stromy</v>
      </c>
      <c r="N534" s="41">
        <f>VLOOKUP(A534,'Dataset-2'!B535:H1145,2,)</f>
        <v>0.13639999999999999</v>
      </c>
      <c r="O534" s="41">
        <f>VLOOKUP(N534,'Dataset-2'!C535:I1145,2,)</f>
        <v>0.49</v>
      </c>
      <c r="P534" s="41">
        <f>VLOOKUP(O534,'Dataset-2'!D535:J1145,2,)</f>
        <v>0</v>
      </c>
      <c r="Q534" s="41">
        <f>VLOOKUP(P534,'Dataset-2'!E535:K1145,2,)</f>
        <v>6</v>
      </c>
      <c r="R534" s="41">
        <f>VLOOKUP(Q534,'Dataset-2'!F535:L1145,2,)</f>
        <v>171</v>
      </c>
      <c r="S534" s="41">
        <f>VLOOKUP(R534,'Dataset-2'!G535:M1145,2,)</f>
        <v>177</v>
      </c>
    </row>
    <row r="535" spans="1:19" x14ac:dyDescent="0.35">
      <c r="A535" s="40">
        <v>534</v>
      </c>
      <c r="B535" s="62">
        <f>VLOOKUP(A535,'Dataset-1'!A536:M1146,2,)</f>
        <v>40567</v>
      </c>
      <c r="C535" s="41">
        <f>VLOOKUP(B535,'Dataset-1'!B536:N1146,2,)</f>
        <v>1</v>
      </c>
      <c r="D535" s="41">
        <f>VLOOKUP(C535,'Dataset-1'!C536:O1146,2,)</f>
        <v>0</v>
      </c>
      <c r="E535" s="41">
        <f>VLOOKUP(D535,'Dataset-1'!D536:P1146,2,)</f>
        <v>1</v>
      </c>
      <c r="F535" s="41">
        <f>VLOOKUP(E535,'Dataset-1'!E536:Q1146,2,)</f>
        <v>9</v>
      </c>
      <c r="G535" s="71" t="str">
        <f>VLOOKUP(F535,'Dataset-1'!F536:R1146,2,)</f>
        <v>Morning</v>
      </c>
      <c r="H535" s="41" t="b">
        <f>VLOOKUP(G535,'Dataset-1'!G536:S1146,2,)</f>
        <v>0</v>
      </c>
      <c r="I535" s="41">
        <f>VLOOKUP(H535,'Dataset-1'!H536:T1146,2,)</f>
        <v>1</v>
      </c>
      <c r="J535" s="71" t="str">
        <f>VLOOKUP(I535,'Dataset-1'!I536:U1146,2,)</f>
        <v>Sunday</v>
      </c>
      <c r="K535" s="41">
        <f>VLOOKUP(J535,'Dataset-1'!J536:V1146,2,)</f>
        <v>1</v>
      </c>
      <c r="L535" s="41">
        <f>VLOOKUP(K535,'Dataset-1'!K536:W1146,2,)</f>
        <v>0.06</v>
      </c>
      <c r="M535" s="71" t="str">
        <f>VLOOKUP(L535,'Dataset-1'!L536:X1146,2,)</f>
        <v>Stromy</v>
      </c>
      <c r="N535" s="41">
        <f>VLOOKUP(A535,'Dataset-2'!B536:H1146,2,)</f>
        <v>0.1515</v>
      </c>
      <c r="O535" s="41">
        <f>VLOOKUP(N535,'Dataset-2'!C536:I1146,2,)</f>
        <v>0.41</v>
      </c>
      <c r="P535" s="41">
        <f>VLOOKUP(O535,'Dataset-2'!D536:J1146,2,)</f>
        <v>0</v>
      </c>
      <c r="Q535" s="41">
        <f>VLOOKUP(P535,'Dataset-2'!E536:K1146,2,)</f>
        <v>4</v>
      </c>
      <c r="R535" s="41">
        <f>VLOOKUP(Q535,'Dataset-2'!F536:L1146,2,)</f>
        <v>98</v>
      </c>
      <c r="S535" s="41">
        <f>VLOOKUP(R535,'Dataset-2'!G536:M1146,2,)</f>
        <v>102</v>
      </c>
    </row>
    <row r="536" spans="1:19" x14ac:dyDescent="0.35">
      <c r="A536" s="40">
        <v>535</v>
      </c>
      <c r="B536" s="62">
        <f>VLOOKUP(A536,'Dataset-1'!A537:M1147,2,)</f>
        <v>40567</v>
      </c>
      <c r="C536" s="41">
        <f>VLOOKUP(B536,'Dataset-1'!B537:N1147,2,)</f>
        <v>1</v>
      </c>
      <c r="D536" s="41">
        <f>VLOOKUP(C536,'Dataset-1'!C537:O1147,2,)</f>
        <v>0</v>
      </c>
      <c r="E536" s="41">
        <f>VLOOKUP(D536,'Dataset-1'!D537:P1147,2,)</f>
        <v>1</v>
      </c>
      <c r="F536" s="41">
        <f>VLOOKUP(E536,'Dataset-1'!E537:Q1147,2,)</f>
        <v>10</v>
      </c>
      <c r="G536" s="71" t="str">
        <f>VLOOKUP(F536,'Dataset-1'!F537:R1147,2,)</f>
        <v>Morning</v>
      </c>
      <c r="H536" s="41" t="b">
        <f>VLOOKUP(G536,'Dataset-1'!G537:S1147,2,)</f>
        <v>0</v>
      </c>
      <c r="I536" s="41">
        <f>VLOOKUP(H536,'Dataset-1'!H537:T1147,2,)</f>
        <v>1</v>
      </c>
      <c r="J536" s="71" t="str">
        <f>VLOOKUP(I536,'Dataset-1'!I537:U1147,2,)</f>
        <v>Sunday</v>
      </c>
      <c r="K536" s="41">
        <f>VLOOKUP(J536,'Dataset-1'!J537:V1147,2,)</f>
        <v>1</v>
      </c>
      <c r="L536" s="41">
        <f>VLOOKUP(K536,'Dataset-1'!K537:W1147,2,)</f>
        <v>0.1</v>
      </c>
      <c r="M536" s="71" t="str">
        <f>VLOOKUP(L536,'Dataset-1'!L537:X1147,2,)</f>
        <v>Stromy</v>
      </c>
      <c r="N536" s="41">
        <f>VLOOKUP(A536,'Dataset-2'!B537:H1147,2,)</f>
        <v>0.13639999999999999</v>
      </c>
      <c r="O536" s="41">
        <f>VLOOKUP(N536,'Dataset-2'!C537:I1147,2,)</f>
        <v>0.42</v>
      </c>
      <c r="P536" s="41">
        <f>VLOOKUP(O536,'Dataset-2'!D537:J1147,2,)</f>
        <v>0</v>
      </c>
      <c r="Q536" s="41">
        <f>VLOOKUP(P536,'Dataset-2'!E537:K1147,2,)</f>
        <v>6</v>
      </c>
      <c r="R536" s="41">
        <f>VLOOKUP(Q536,'Dataset-2'!F537:L1147,2,)</f>
        <v>34</v>
      </c>
      <c r="S536" s="41">
        <f>VLOOKUP(R536,'Dataset-2'!G537:M1147,2,)</f>
        <v>40</v>
      </c>
    </row>
    <row r="537" spans="1:19" x14ac:dyDescent="0.35">
      <c r="A537" s="40">
        <v>536</v>
      </c>
      <c r="B537" s="62">
        <f>VLOOKUP(A537,'Dataset-1'!A538:M1148,2,)</f>
        <v>40567</v>
      </c>
      <c r="C537" s="41">
        <f>VLOOKUP(B537,'Dataset-1'!B538:N1148,2,)</f>
        <v>1</v>
      </c>
      <c r="D537" s="41">
        <f>VLOOKUP(C537,'Dataset-1'!C538:O1148,2,)</f>
        <v>0</v>
      </c>
      <c r="E537" s="41">
        <f>VLOOKUP(D537,'Dataset-1'!D538:P1148,2,)</f>
        <v>1</v>
      </c>
      <c r="F537" s="41">
        <f>VLOOKUP(E537,'Dataset-1'!E538:Q1148,2,)</f>
        <v>11</v>
      </c>
      <c r="G537" s="71" t="str">
        <f>VLOOKUP(F537,'Dataset-1'!F538:R1148,2,)</f>
        <v>Morning</v>
      </c>
      <c r="H537" s="41" t="b">
        <f>VLOOKUP(G537,'Dataset-1'!G538:S1148,2,)</f>
        <v>0</v>
      </c>
      <c r="I537" s="41">
        <f>VLOOKUP(H537,'Dataset-1'!H538:T1148,2,)</f>
        <v>1</v>
      </c>
      <c r="J537" s="71" t="str">
        <f>VLOOKUP(I537,'Dataset-1'!I538:U1148,2,)</f>
        <v>Sunday</v>
      </c>
      <c r="K537" s="41">
        <f>VLOOKUP(J537,'Dataset-1'!J538:V1148,2,)</f>
        <v>1</v>
      </c>
      <c r="L537" s="41">
        <f>VLOOKUP(K537,'Dataset-1'!K538:W1148,2,)</f>
        <v>0.1</v>
      </c>
      <c r="M537" s="71" t="str">
        <f>VLOOKUP(L537,'Dataset-1'!L538:X1148,2,)</f>
        <v>Stromy</v>
      </c>
      <c r="N537" s="41">
        <f>VLOOKUP(A537,'Dataset-2'!B538:H1148,2,)</f>
        <v>0.1212</v>
      </c>
      <c r="O537" s="41">
        <f>VLOOKUP(N537,'Dataset-2'!C538:I1148,2,)</f>
        <v>0.46</v>
      </c>
      <c r="P537" s="41">
        <f>VLOOKUP(O537,'Dataset-2'!D538:J1148,2,)</f>
        <v>0.1343</v>
      </c>
      <c r="Q537" s="41">
        <f>VLOOKUP(P537,'Dataset-2'!E538:K1148,2,)</f>
        <v>3</v>
      </c>
      <c r="R537" s="41">
        <f>VLOOKUP(Q537,'Dataset-2'!F538:L1148,2,)</f>
        <v>43</v>
      </c>
      <c r="S537" s="41">
        <f>VLOOKUP(R537,'Dataset-2'!G538:M1148,2,)</f>
        <v>46</v>
      </c>
    </row>
    <row r="538" spans="1:19" x14ac:dyDescent="0.35">
      <c r="A538" s="40">
        <v>537</v>
      </c>
      <c r="B538" s="62">
        <f>VLOOKUP(A538,'Dataset-1'!A539:M1149,2,)</f>
        <v>40567</v>
      </c>
      <c r="C538" s="41">
        <f>VLOOKUP(B538,'Dataset-1'!B539:N1149,2,)</f>
        <v>1</v>
      </c>
      <c r="D538" s="41">
        <f>VLOOKUP(C538,'Dataset-1'!C539:O1149,2,)</f>
        <v>0</v>
      </c>
      <c r="E538" s="41">
        <f>VLOOKUP(D538,'Dataset-1'!D539:P1149,2,)</f>
        <v>1</v>
      </c>
      <c r="F538" s="41">
        <f>VLOOKUP(E538,'Dataset-1'!E539:Q1149,2,)</f>
        <v>12</v>
      </c>
      <c r="G538" s="71" t="str">
        <f>VLOOKUP(F538,'Dataset-1'!F539:R1149,2,)</f>
        <v>AfterNoon</v>
      </c>
      <c r="H538" s="41" t="b">
        <f>VLOOKUP(G538,'Dataset-1'!G539:S1149,2,)</f>
        <v>0</v>
      </c>
      <c r="I538" s="41">
        <f>VLOOKUP(H538,'Dataset-1'!H539:T1149,2,)</f>
        <v>1</v>
      </c>
      <c r="J538" s="71" t="str">
        <f>VLOOKUP(I538,'Dataset-1'!I539:U1149,2,)</f>
        <v>Sunday</v>
      </c>
      <c r="K538" s="41">
        <f>VLOOKUP(J538,'Dataset-1'!J539:V1149,2,)</f>
        <v>2</v>
      </c>
      <c r="L538" s="41">
        <f>VLOOKUP(K538,'Dataset-1'!K539:W1149,2,)</f>
        <v>0.12</v>
      </c>
      <c r="M538" s="71" t="str">
        <f>VLOOKUP(L538,'Dataset-1'!L539:X1149,2,)</f>
        <v>Rainy</v>
      </c>
      <c r="N538" s="41">
        <f>VLOOKUP(A538,'Dataset-2'!B539:H1149,2,)</f>
        <v>0.13639999999999999</v>
      </c>
      <c r="O538" s="41">
        <f>VLOOKUP(N538,'Dataset-2'!C539:I1149,2,)</f>
        <v>0.42</v>
      </c>
      <c r="P538" s="41">
        <f>VLOOKUP(O538,'Dataset-2'!D539:J1149,2,)</f>
        <v>0.19400000000000001</v>
      </c>
      <c r="Q538" s="41">
        <f>VLOOKUP(P538,'Dataset-2'!E539:K1149,2,)</f>
        <v>11</v>
      </c>
      <c r="R538" s="41">
        <f>VLOOKUP(Q538,'Dataset-2'!F539:L1149,2,)</f>
        <v>52</v>
      </c>
      <c r="S538" s="41">
        <f>VLOOKUP(R538,'Dataset-2'!G539:M1149,2,)</f>
        <v>63</v>
      </c>
    </row>
    <row r="539" spans="1:19" x14ac:dyDescent="0.35">
      <c r="A539" s="40">
        <v>538</v>
      </c>
      <c r="B539" s="62">
        <f>VLOOKUP(A539,'Dataset-1'!A540:M1150,2,)</f>
        <v>40567</v>
      </c>
      <c r="C539" s="41">
        <f>VLOOKUP(B539,'Dataset-1'!B540:N1150,2,)</f>
        <v>1</v>
      </c>
      <c r="D539" s="41">
        <f>VLOOKUP(C539,'Dataset-1'!C540:O1150,2,)</f>
        <v>0</v>
      </c>
      <c r="E539" s="41">
        <f>VLOOKUP(D539,'Dataset-1'!D540:P1150,2,)</f>
        <v>1</v>
      </c>
      <c r="F539" s="41">
        <f>VLOOKUP(E539,'Dataset-1'!E540:Q1150,2,)</f>
        <v>13</v>
      </c>
      <c r="G539" s="71" t="str">
        <f>VLOOKUP(F539,'Dataset-1'!F540:R1150,2,)</f>
        <v>AfterNoon</v>
      </c>
      <c r="H539" s="41" t="b">
        <f>VLOOKUP(G539,'Dataset-1'!G540:S1150,2,)</f>
        <v>0</v>
      </c>
      <c r="I539" s="41">
        <f>VLOOKUP(H539,'Dataset-1'!H540:T1150,2,)</f>
        <v>1</v>
      </c>
      <c r="J539" s="71" t="str">
        <f>VLOOKUP(I539,'Dataset-1'!I540:U1150,2,)</f>
        <v>Sunday</v>
      </c>
      <c r="K539" s="41">
        <f>VLOOKUP(J539,'Dataset-1'!J540:V1150,2,)</f>
        <v>2</v>
      </c>
      <c r="L539" s="41">
        <f>VLOOKUP(K539,'Dataset-1'!K540:W1150,2,)</f>
        <v>0.14000000000000001</v>
      </c>
      <c r="M539" s="71" t="str">
        <f>VLOOKUP(L539,'Dataset-1'!L540:X1150,2,)</f>
        <v>Rainy</v>
      </c>
      <c r="N539" s="41">
        <f>VLOOKUP(A539,'Dataset-2'!B540:H1150,2,)</f>
        <v>0.13639999999999999</v>
      </c>
      <c r="O539" s="41">
        <f>VLOOKUP(N539,'Dataset-2'!C540:I1150,2,)</f>
        <v>0.43</v>
      </c>
      <c r="P539" s="41">
        <f>VLOOKUP(O539,'Dataset-2'!D540:J1150,2,)</f>
        <v>0.22389999999999999</v>
      </c>
      <c r="Q539" s="41">
        <f>VLOOKUP(P539,'Dataset-2'!E540:K1150,2,)</f>
        <v>6</v>
      </c>
      <c r="R539" s="41">
        <f>VLOOKUP(Q539,'Dataset-2'!F540:L1150,2,)</f>
        <v>54</v>
      </c>
      <c r="S539" s="41">
        <f>VLOOKUP(R539,'Dataset-2'!G540:M1150,2,)</f>
        <v>60</v>
      </c>
    </row>
    <row r="540" spans="1:19" x14ac:dyDescent="0.35">
      <c r="A540" s="40">
        <v>539</v>
      </c>
      <c r="B540" s="62">
        <f>VLOOKUP(A540,'Dataset-1'!A541:M1151,2,)</f>
        <v>40567</v>
      </c>
      <c r="C540" s="41">
        <f>VLOOKUP(B540,'Dataset-1'!B541:N1151,2,)</f>
        <v>1</v>
      </c>
      <c r="D540" s="41">
        <f>VLOOKUP(C540,'Dataset-1'!C541:O1151,2,)</f>
        <v>0</v>
      </c>
      <c r="E540" s="41">
        <f>VLOOKUP(D540,'Dataset-1'!D541:P1151,2,)</f>
        <v>1</v>
      </c>
      <c r="F540" s="41">
        <f>VLOOKUP(E540,'Dataset-1'!E541:Q1151,2,)</f>
        <v>14</v>
      </c>
      <c r="G540" s="71" t="str">
        <f>VLOOKUP(F540,'Dataset-1'!F541:R1151,2,)</f>
        <v>AfterNoon</v>
      </c>
      <c r="H540" s="41" t="b">
        <f>VLOOKUP(G540,'Dataset-1'!G541:S1151,2,)</f>
        <v>0</v>
      </c>
      <c r="I540" s="41">
        <f>VLOOKUP(H540,'Dataset-1'!H541:T1151,2,)</f>
        <v>1</v>
      </c>
      <c r="J540" s="71" t="str">
        <f>VLOOKUP(I540,'Dataset-1'!I541:U1151,2,)</f>
        <v>Sunday</v>
      </c>
      <c r="K540" s="41">
        <f>VLOOKUP(J540,'Dataset-1'!J541:V1151,2,)</f>
        <v>2</v>
      </c>
      <c r="L540" s="41">
        <f>VLOOKUP(K540,'Dataset-1'!K541:W1151,2,)</f>
        <v>0.14000000000000001</v>
      </c>
      <c r="M540" s="71" t="str">
        <f>VLOOKUP(L540,'Dataset-1'!L541:X1151,2,)</f>
        <v>Rainy</v>
      </c>
      <c r="N540" s="41">
        <f>VLOOKUP(A540,'Dataset-2'!B541:H1151,2,)</f>
        <v>0.13639999999999999</v>
      </c>
      <c r="O540" s="41">
        <f>VLOOKUP(N540,'Dataset-2'!C541:I1151,2,)</f>
        <v>0.46</v>
      </c>
      <c r="P540" s="41">
        <f>VLOOKUP(O540,'Dataset-2'!D541:J1151,2,)</f>
        <v>0.22389999999999999</v>
      </c>
      <c r="Q540" s="41">
        <f>VLOOKUP(P540,'Dataset-2'!E541:K1151,2,)</f>
        <v>2</v>
      </c>
      <c r="R540" s="41">
        <f>VLOOKUP(Q540,'Dataset-2'!F541:L1151,2,)</f>
        <v>43</v>
      </c>
      <c r="S540" s="41">
        <f>VLOOKUP(R540,'Dataset-2'!G541:M1151,2,)</f>
        <v>45</v>
      </c>
    </row>
    <row r="541" spans="1:19" x14ac:dyDescent="0.35">
      <c r="A541" s="40">
        <v>540</v>
      </c>
      <c r="B541" s="62">
        <f>VLOOKUP(A541,'Dataset-1'!A542:M1152,2,)</f>
        <v>40567</v>
      </c>
      <c r="C541" s="41">
        <f>VLOOKUP(B541,'Dataset-1'!B542:N1152,2,)</f>
        <v>1</v>
      </c>
      <c r="D541" s="41">
        <f>VLOOKUP(C541,'Dataset-1'!C542:O1152,2,)</f>
        <v>0</v>
      </c>
      <c r="E541" s="41">
        <f>VLOOKUP(D541,'Dataset-1'!D542:P1152,2,)</f>
        <v>1</v>
      </c>
      <c r="F541" s="41">
        <f>VLOOKUP(E541,'Dataset-1'!E542:Q1152,2,)</f>
        <v>15</v>
      </c>
      <c r="G541" s="71" t="str">
        <f>VLOOKUP(F541,'Dataset-1'!F542:R1152,2,)</f>
        <v>AfterNoon</v>
      </c>
      <c r="H541" s="41" t="b">
        <f>VLOOKUP(G541,'Dataset-1'!G542:S1152,2,)</f>
        <v>0</v>
      </c>
      <c r="I541" s="41">
        <f>VLOOKUP(H541,'Dataset-1'!H542:T1152,2,)</f>
        <v>1</v>
      </c>
      <c r="J541" s="71" t="str">
        <f>VLOOKUP(I541,'Dataset-1'!I542:U1152,2,)</f>
        <v>Sunday</v>
      </c>
      <c r="K541" s="41">
        <f>VLOOKUP(J541,'Dataset-1'!J542:V1152,2,)</f>
        <v>1</v>
      </c>
      <c r="L541" s="41">
        <f>VLOOKUP(K541,'Dataset-1'!K542:W1152,2,)</f>
        <v>0.16</v>
      </c>
      <c r="M541" s="71" t="str">
        <f>VLOOKUP(L541,'Dataset-1'!L542:X1152,2,)</f>
        <v>Rainy</v>
      </c>
      <c r="N541" s="41">
        <f>VLOOKUP(A541,'Dataset-2'!B542:H1152,2,)</f>
        <v>0.16669999999999999</v>
      </c>
      <c r="O541" s="41">
        <f>VLOOKUP(N541,'Dataset-2'!C542:I1152,2,)</f>
        <v>0.4</v>
      </c>
      <c r="P541" s="41">
        <f>VLOOKUP(O541,'Dataset-2'!D542:J1152,2,)</f>
        <v>0.16420000000000001</v>
      </c>
      <c r="Q541" s="41">
        <f>VLOOKUP(P541,'Dataset-2'!E542:K1152,2,)</f>
        <v>7</v>
      </c>
      <c r="R541" s="41">
        <f>VLOOKUP(Q541,'Dataset-2'!F542:L1152,2,)</f>
        <v>50</v>
      </c>
      <c r="S541" s="41">
        <f>VLOOKUP(R541,'Dataset-2'!G542:M1152,2,)</f>
        <v>57</v>
      </c>
    </row>
    <row r="542" spans="1:19" x14ac:dyDescent="0.35">
      <c r="A542" s="40">
        <v>541</v>
      </c>
      <c r="B542" s="62">
        <f>VLOOKUP(A542,'Dataset-1'!A543:M1153,2,)</f>
        <v>40567</v>
      </c>
      <c r="C542" s="41">
        <f>VLOOKUP(B542,'Dataset-1'!B543:N1153,2,)</f>
        <v>1</v>
      </c>
      <c r="D542" s="41">
        <f>VLOOKUP(C542,'Dataset-1'!C543:O1153,2,)</f>
        <v>0</v>
      </c>
      <c r="E542" s="41">
        <f>VLOOKUP(D542,'Dataset-1'!D543:P1153,2,)</f>
        <v>1</v>
      </c>
      <c r="F542" s="41">
        <f>VLOOKUP(E542,'Dataset-1'!E543:Q1153,2,)</f>
        <v>16</v>
      </c>
      <c r="G542" s="71" t="str">
        <f>VLOOKUP(F542,'Dataset-1'!F543:R1153,2,)</f>
        <v>AfterNoon</v>
      </c>
      <c r="H542" s="41" t="b">
        <f>VLOOKUP(G542,'Dataset-1'!G543:S1153,2,)</f>
        <v>0</v>
      </c>
      <c r="I542" s="41">
        <f>VLOOKUP(H542,'Dataset-1'!H543:T1153,2,)</f>
        <v>1</v>
      </c>
      <c r="J542" s="71" t="str">
        <f>VLOOKUP(I542,'Dataset-1'!I543:U1153,2,)</f>
        <v>Sunday</v>
      </c>
      <c r="K542" s="41">
        <f>VLOOKUP(J542,'Dataset-1'!J543:V1153,2,)</f>
        <v>1</v>
      </c>
      <c r="L542" s="41">
        <f>VLOOKUP(K542,'Dataset-1'!K543:W1153,2,)</f>
        <v>0.16</v>
      </c>
      <c r="M542" s="71" t="str">
        <f>VLOOKUP(L542,'Dataset-1'!L543:X1153,2,)</f>
        <v>Rainy</v>
      </c>
      <c r="N542" s="41">
        <f>VLOOKUP(A542,'Dataset-2'!B543:H1153,2,)</f>
        <v>0.1515</v>
      </c>
      <c r="O542" s="41">
        <f>VLOOKUP(N542,'Dataset-2'!C543:I1153,2,)</f>
        <v>0.47</v>
      </c>
      <c r="P542" s="41">
        <f>VLOOKUP(O542,'Dataset-2'!D543:J1153,2,)</f>
        <v>0.25369999999999998</v>
      </c>
      <c r="Q542" s="41">
        <f>VLOOKUP(P542,'Dataset-2'!E543:K1153,2,)</f>
        <v>4</v>
      </c>
      <c r="R542" s="41">
        <f>VLOOKUP(Q542,'Dataset-2'!F543:L1153,2,)</f>
        <v>66</v>
      </c>
      <c r="S542" s="41">
        <f>VLOOKUP(R542,'Dataset-2'!G543:M1153,2,)</f>
        <v>70</v>
      </c>
    </row>
    <row r="543" spans="1:19" x14ac:dyDescent="0.35">
      <c r="A543" s="40">
        <v>542</v>
      </c>
      <c r="B543" s="62">
        <f>VLOOKUP(A543,'Dataset-1'!A544:M1154,2,)</f>
        <v>40567</v>
      </c>
      <c r="C543" s="41">
        <f>VLOOKUP(B543,'Dataset-1'!B544:N1154,2,)</f>
        <v>1</v>
      </c>
      <c r="D543" s="41">
        <f>VLOOKUP(C543,'Dataset-1'!C544:O1154,2,)</f>
        <v>0</v>
      </c>
      <c r="E543" s="41">
        <f>VLOOKUP(D543,'Dataset-1'!D544:P1154,2,)</f>
        <v>1</v>
      </c>
      <c r="F543" s="41">
        <f>VLOOKUP(E543,'Dataset-1'!E544:Q1154,2,)</f>
        <v>17</v>
      </c>
      <c r="G543" s="71" t="str">
        <f>VLOOKUP(F543,'Dataset-1'!F544:R1154,2,)</f>
        <v>Evening</v>
      </c>
      <c r="H543" s="41" t="b">
        <f>VLOOKUP(G543,'Dataset-1'!G544:S1154,2,)</f>
        <v>0</v>
      </c>
      <c r="I543" s="41">
        <f>VLOOKUP(H543,'Dataset-1'!H544:T1154,2,)</f>
        <v>1</v>
      </c>
      <c r="J543" s="71" t="str">
        <f>VLOOKUP(I543,'Dataset-1'!I544:U1154,2,)</f>
        <v>Sunday</v>
      </c>
      <c r="K543" s="41">
        <f>VLOOKUP(J543,'Dataset-1'!J544:V1154,2,)</f>
        <v>1</v>
      </c>
      <c r="L543" s="41">
        <f>VLOOKUP(K543,'Dataset-1'!K544:W1154,2,)</f>
        <v>0.14000000000000001</v>
      </c>
      <c r="M543" s="71" t="str">
        <f>VLOOKUP(L543,'Dataset-1'!L544:X1154,2,)</f>
        <v>Rainy</v>
      </c>
      <c r="N543" s="41">
        <f>VLOOKUP(A543,'Dataset-2'!B544:H1154,2,)</f>
        <v>0.1212</v>
      </c>
      <c r="O543" s="41">
        <f>VLOOKUP(N543,'Dataset-2'!C544:I1154,2,)</f>
        <v>0.5</v>
      </c>
      <c r="P543" s="41">
        <f>VLOOKUP(O543,'Dataset-2'!D544:J1154,2,)</f>
        <v>0.25369999999999998</v>
      </c>
      <c r="Q543" s="41">
        <f>VLOOKUP(P543,'Dataset-2'!E544:K1154,2,)</f>
        <v>6</v>
      </c>
      <c r="R543" s="41">
        <f>VLOOKUP(Q543,'Dataset-2'!F544:L1154,2,)</f>
        <v>178</v>
      </c>
      <c r="S543" s="41">
        <f>VLOOKUP(R543,'Dataset-2'!G544:M1154,2,)</f>
        <v>184</v>
      </c>
    </row>
    <row r="544" spans="1:19" x14ac:dyDescent="0.35">
      <c r="A544" s="40">
        <v>543</v>
      </c>
      <c r="B544" s="62">
        <f>VLOOKUP(A544,'Dataset-1'!A545:M1155,2,)</f>
        <v>40567</v>
      </c>
      <c r="C544" s="41">
        <f>VLOOKUP(B544,'Dataset-1'!B545:N1155,2,)</f>
        <v>1</v>
      </c>
      <c r="D544" s="41">
        <f>VLOOKUP(C544,'Dataset-1'!C545:O1155,2,)</f>
        <v>0</v>
      </c>
      <c r="E544" s="41">
        <f>VLOOKUP(D544,'Dataset-1'!D545:P1155,2,)</f>
        <v>1</v>
      </c>
      <c r="F544" s="41">
        <f>VLOOKUP(E544,'Dataset-1'!E545:Q1155,2,)</f>
        <v>18</v>
      </c>
      <c r="G544" s="71" t="str">
        <f>VLOOKUP(F544,'Dataset-1'!F545:R1155,2,)</f>
        <v>Evening</v>
      </c>
      <c r="H544" s="41" t="b">
        <f>VLOOKUP(G544,'Dataset-1'!G545:S1155,2,)</f>
        <v>0</v>
      </c>
      <c r="I544" s="41">
        <f>VLOOKUP(H544,'Dataset-1'!H545:T1155,2,)</f>
        <v>1</v>
      </c>
      <c r="J544" s="71" t="str">
        <f>VLOOKUP(I544,'Dataset-1'!I545:U1155,2,)</f>
        <v>Sunday</v>
      </c>
      <c r="K544" s="41">
        <f>VLOOKUP(J544,'Dataset-1'!J545:V1155,2,)</f>
        <v>1</v>
      </c>
      <c r="L544" s="41">
        <f>VLOOKUP(K544,'Dataset-1'!K545:W1155,2,)</f>
        <v>0.14000000000000001</v>
      </c>
      <c r="M544" s="71" t="str">
        <f>VLOOKUP(L544,'Dataset-1'!L545:X1155,2,)</f>
        <v>Rainy</v>
      </c>
      <c r="N544" s="41">
        <f>VLOOKUP(A544,'Dataset-2'!B545:H1155,2,)</f>
        <v>0.13639999999999999</v>
      </c>
      <c r="O544" s="41">
        <f>VLOOKUP(N544,'Dataset-2'!C545:I1155,2,)</f>
        <v>0.59</v>
      </c>
      <c r="P544" s="41">
        <f>VLOOKUP(O544,'Dataset-2'!D545:J1155,2,)</f>
        <v>0.19400000000000001</v>
      </c>
      <c r="Q544" s="41">
        <f>VLOOKUP(P544,'Dataset-2'!E545:K1155,2,)</f>
        <v>8</v>
      </c>
      <c r="R544" s="41">
        <f>VLOOKUP(Q544,'Dataset-2'!F545:L1155,2,)</f>
        <v>145</v>
      </c>
      <c r="S544" s="41">
        <f>VLOOKUP(R544,'Dataset-2'!G545:M1155,2,)</f>
        <v>153</v>
      </c>
    </row>
    <row r="545" spans="1:19" x14ac:dyDescent="0.35">
      <c r="A545" s="40">
        <v>544</v>
      </c>
      <c r="B545" s="62">
        <f>VLOOKUP(A545,'Dataset-1'!A546:M1156,2,)</f>
        <v>40567</v>
      </c>
      <c r="C545" s="41">
        <f>VLOOKUP(B545,'Dataset-1'!B546:N1156,2,)</f>
        <v>1</v>
      </c>
      <c r="D545" s="41">
        <f>VLOOKUP(C545,'Dataset-1'!C546:O1156,2,)</f>
        <v>0</v>
      </c>
      <c r="E545" s="41">
        <f>VLOOKUP(D545,'Dataset-1'!D546:P1156,2,)</f>
        <v>1</v>
      </c>
      <c r="F545" s="41">
        <f>VLOOKUP(E545,'Dataset-1'!E546:Q1156,2,)</f>
        <v>19</v>
      </c>
      <c r="G545" s="71" t="str">
        <f>VLOOKUP(F545,'Dataset-1'!F546:R1156,2,)</f>
        <v>Evening</v>
      </c>
      <c r="H545" s="41" t="b">
        <f>VLOOKUP(G545,'Dataset-1'!G546:S1156,2,)</f>
        <v>0</v>
      </c>
      <c r="I545" s="41">
        <f>VLOOKUP(H545,'Dataset-1'!H546:T1156,2,)</f>
        <v>1</v>
      </c>
      <c r="J545" s="71" t="str">
        <f>VLOOKUP(I545,'Dataset-1'!I546:U1156,2,)</f>
        <v>Sunday</v>
      </c>
      <c r="K545" s="41">
        <f>VLOOKUP(J545,'Dataset-1'!J546:V1156,2,)</f>
        <v>1</v>
      </c>
      <c r="L545" s="41">
        <f>VLOOKUP(K545,'Dataset-1'!K546:W1156,2,)</f>
        <v>0.14000000000000001</v>
      </c>
      <c r="M545" s="71" t="str">
        <f>VLOOKUP(L545,'Dataset-1'!L546:X1156,2,)</f>
        <v>Rainy</v>
      </c>
      <c r="N545" s="41">
        <f>VLOOKUP(A545,'Dataset-2'!B546:H1156,2,)</f>
        <v>0.1515</v>
      </c>
      <c r="O545" s="41">
        <f>VLOOKUP(N545,'Dataset-2'!C546:I1156,2,)</f>
        <v>0.54</v>
      </c>
      <c r="P545" s="41">
        <f>VLOOKUP(O545,'Dataset-2'!D546:J1156,2,)</f>
        <v>0.16420000000000001</v>
      </c>
      <c r="Q545" s="41">
        <f>VLOOKUP(P545,'Dataset-2'!E546:K1156,2,)</f>
        <v>5</v>
      </c>
      <c r="R545" s="41">
        <f>VLOOKUP(Q545,'Dataset-2'!F546:L1156,2,)</f>
        <v>101</v>
      </c>
      <c r="S545" s="41">
        <f>VLOOKUP(R545,'Dataset-2'!G546:M1156,2,)</f>
        <v>106</v>
      </c>
    </row>
    <row r="546" spans="1:19" x14ac:dyDescent="0.35">
      <c r="A546" s="40">
        <v>545</v>
      </c>
      <c r="B546" s="62">
        <f>VLOOKUP(A546,'Dataset-1'!A547:M1157,2,)</f>
        <v>40567</v>
      </c>
      <c r="C546" s="41">
        <f>VLOOKUP(B546,'Dataset-1'!B547:N1157,2,)</f>
        <v>1</v>
      </c>
      <c r="D546" s="41">
        <f>VLOOKUP(C546,'Dataset-1'!C547:O1157,2,)</f>
        <v>0</v>
      </c>
      <c r="E546" s="41">
        <f>VLOOKUP(D546,'Dataset-1'!D547:P1157,2,)</f>
        <v>1</v>
      </c>
      <c r="F546" s="41">
        <f>VLOOKUP(E546,'Dataset-1'!E547:Q1157,2,)</f>
        <v>20</v>
      </c>
      <c r="G546" s="71" t="str">
        <f>VLOOKUP(F546,'Dataset-1'!F547:R1157,2,)</f>
        <v>Night</v>
      </c>
      <c r="H546" s="41" t="b">
        <f>VLOOKUP(G546,'Dataset-1'!G547:S1157,2,)</f>
        <v>0</v>
      </c>
      <c r="I546" s="41">
        <f>VLOOKUP(H546,'Dataset-1'!H547:T1157,2,)</f>
        <v>1</v>
      </c>
      <c r="J546" s="71" t="str">
        <f>VLOOKUP(I546,'Dataset-1'!I547:U1157,2,)</f>
        <v>Sunday</v>
      </c>
      <c r="K546" s="41">
        <f>VLOOKUP(J546,'Dataset-1'!J547:V1157,2,)</f>
        <v>1</v>
      </c>
      <c r="L546" s="41">
        <f>VLOOKUP(K546,'Dataset-1'!K547:W1157,2,)</f>
        <v>0.14000000000000001</v>
      </c>
      <c r="M546" s="71" t="str">
        <f>VLOOKUP(L546,'Dataset-1'!L547:X1157,2,)</f>
        <v>Rainy</v>
      </c>
      <c r="N546" s="41">
        <f>VLOOKUP(A546,'Dataset-2'!B547:H1157,2,)</f>
        <v>0.13639999999999999</v>
      </c>
      <c r="O546" s="41">
        <f>VLOOKUP(N546,'Dataset-2'!C547:I1157,2,)</f>
        <v>0.59</v>
      </c>
      <c r="P546" s="41">
        <f>VLOOKUP(O546,'Dataset-2'!D547:J1157,2,)</f>
        <v>0.19400000000000001</v>
      </c>
      <c r="Q546" s="41">
        <f>VLOOKUP(P546,'Dataset-2'!E547:K1157,2,)</f>
        <v>1</v>
      </c>
      <c r="R546" s="41">
        <f>VLOOKUP(Q546,'Dataset-2'!F547:L1157,2,)</f>
        <v>80</v>
      </c>
      <c r="S546" s="41">
        <f>VLOOKUP(R546,'Dataset-2'!G547:M1157,2,)</f>
        <v>81</v>
      </c>
    </row>
    <row r="547" spans="1:19" x14ac:dyDescent="0.35">
      <c r="A547" s="40">
        <v>546</v>
      </c>
      <c r="B547" s="62">
        <f>VLOOKUP(A547,'Dataset-1'!A548:M1158,2,)</f>
        <v>40567</v>
      </c>
      <c r="C547" s="41">
        <f>VLOOKUP(B547,'Dataset-1'!B548:N1158,2,)</f>
        <v>1</v>
      </c>
      <c r="D547" s="41">
        <f>VLOOKUP(C547,'Dataset-1'!C548:O1158,2,)</f>
        <v>0</v>
      </c>
      <c r="E547" s="41">
        <f>VLOOKUP(D547,'Dataset-1'!D548:P1158,2,)</f>
        <v>1</v>
      </c>
      <c r="F547" s="41">
        <f>VLOOKUP(E547,'Dataset-1'!E548:Q1158,2,)</f>
        <v>21</v>
      </c>
      <c r="G547" s="71" t="str">
        <f>VLOOKUP(F547,'Dataset-1'!F548:R1158,2,)</f>
        <v>Night</v>
      </c>
      <c r="H547" s="41" t="b">
        <f>VLOOKUP(G547,'Dataset-1'!G548:S1158,2,)</f>
        <v>0</v>
      </c>
      <c r="I547" s="41">
        <f>VLOOKUP(H547,'Dataset-1'!H548:T1158,2,)</f>
        <v>1</v>
      </c>
      <c r="J547" s="71" t="str">
        <f>VLOOKUP(I547,'Dataset-1'!I548:U1158,2,)</f>
        <v>Sunday</v>
      </c>
      <c r="K547" s="41">
        <f>VLOOKUP(J547,'Dataset-1'!J548:V1158,2,)</f>
        <v>1</v>
      </c>
      <c r="L547" s="41">
        <f>VLOOKUP(K547,'Dataset-1'!K548:W1158,2,)</f>
        <v>0.14000000000000001</v>
      </c>
      <c r="M547" s="71" t="str">
        <f>VLOOKUP(L547,'Dataset-1'!L548:X1158,2,)</f>
        <v>Rainy</v>
      </c>
      <c r="N547" s="41">
        <f>VLOOKUP(A547,'Dataset-2'!B548:H1158,2,)</f>
        <v>0.1515</v>
      </c>
      <c r="O547" s="41">
        <f>VLOOKUP(N547,'Dataset-2'!C548:I1158,2,)</f>
        <v>0.63</v>
      </c>
      <c r="P547" s="41">
        <f>VLOOKUP(O547,'Dataset-2'!D548:J1158,2,)</f>
        <v>0.16420000000000001</v>
      </c>
      <c r="Q547" s="41">
        <f>VLOOKUP(P547,'Dataset-2'!E548:K1158,2,)</f>
        <v>6</v>
      </c>
      <c r="R547" s="41">
        <f>VLOOKUP(Q547,'Dataset-2'!F548:L1158,2,)</f>
        <v>53</v>
      </c>
      <c r="S547" s="41">
        <f>VLOOKUP(R547,'Dataset-2'!G548:M1158,2,)</f>
        <v>59</v>
      </c>
    </row>
    <row r="548" spans="1:19" x14ac:dyDescent="0.35">
      <c r="A548" s="40">
        <v>547</v>
      </c>
      <c r="B548" s="62">
        <f>VLOOKUP(A548,'Dataset-1'!A549:M1159,2,)</f>
        <v>40567</v>
      </c>
      <c r="C548" s="41">
        <f>VLOOKUP(B548,'Dataset-1'!B549:N1159,2,)</f>
        <v>1</v>
      </c>
      <c r="D548" s="41">
        <f>VLOOKUP(C548,'Dataset-1'!C549:O1159,2,)</f>
        <v>0</v>
      </c>
      <c r="E548" s="41">
        <f>VLOOKUP(D548,'Dataset-1'!D549:P1159,2,)</f>
        <v>1</v>
      </c>
      <c r="F548" s="41">
        <f>VLOOKUP(E548,'Dataset-1'!E549:Q1159,2,)</f>
        <v>22</v>
      </c>
      <c r="G548" s="71" t="str">
        <f>VLOOKUP(F548,'Dataset-1'!F549:R1159,2,)</f>
        <v>Night</v>
      </c>
      <c r="H548" s="41" t="b">
        <f>VLOOKUP(G548,'Dataset-1'!G549:S1159,2,)</f>
        <v>0</v>
      </c>
      <c r="I548" s="41">
        <f>VLOOKUP(H548,'Dataset-1'!H549:T1159,2,)</f>
        <v>1</v>
      </c>
      <c r="J548" s="71" t="str">
        <f>VLOOKUP(I548,'Dataset-1'!I549:U1159,2,)</f>
        <v>Sunday</v>
      </c>
      <c r="K548" s="41">
        <f>VLOOKUP(J548,'Dataset-1'!J549:V1159,2,)</f>
        <v>2</v>
      </c>
      <c r="L548" s="41">
        <f>VLOOKUP(K548,'Dataset-1'!K549:W1159,2,)</f>
        <v>0.14000000000000001</v>
      </c>
      <c r="M548" s="71" t="str">
        <f>VLOOKUP(L548,'Dataset-1'!L549:X1159,2,)</f>
        <v>Rainy</v>
      </c>
      <c r="N548" s="41">
        <f>VLOOKUP(A548,'Dataset-2'!B549:H1159,2,)</f>
        <v>0.13639999999999999</v>
      </c>
      <c r="O548" s="41">
        <f>VLOOKUP(N548,'Dataset-2'!C549:I1159,2,)</f>
        <v>0.63</v>
      </c>
      <c r="P548" s="41">
        <f>VLOOKUP(O548,'Dataset-2'!D549:J1159,2,)</f>
        <v>0.22389999999999999</v>
      </c>
      <c r="Q548" s="41">
        <f>VLOOKUP(P548,'Dataset-2'!E549:K1159,2,)</f>
        <v>3</v>
      </c>
      <c r="R548" s="41">
        <f>VLOOKUP(Q548,'Dataset-2'!F549:L1159,2,)</f>
        <v>32</v>
      </c>
      <c r="S548" s="41">
        <f>VLOOKUP(R548,'Dataset-2'!G549:M1159,2,)</f>
        <v>35</v>
      </c>
    </row>
    <row r="549" spans="1:19" x14ac:dyDescent="0.35">
      <c r="A549" s="40">
        <v>548</v>
      </c>
      <c r="B549" s="62">
        <f>VLOOKUP(A549,'Dataset-1'!A550:M1160,2,)</f>
        <v>40567</v>
      </c>
      <c r="C549" s="41">
        <f>VLOOKUP(B549,'Dataset-1'!B550:N1160,2,)</f>
        <v>1</v>
      </c>
      <c r="D549" s="41">
        <f>VLOOKUP(C549,'Dataset-1'!C550:O1160,2,)</f>
        <v>0</v>
      </c>
      <c r="E549" s="41">
        <f>VLOOKUP(D549,'Dataset-1'!D550:P1160,2,)</f>
        <v>1</v>
      </c>
      <c r="F549" s="41">
        <f>VLOOKUP(E549,'Dataset-1'!E550:Q1160,2,)</f>
        <v>23</v>
      </c>
      <c r="G549" s="71" t="str">
        <f>VLOOKUP(F549,'Dataset-1'!F550:R1160,2,)</f>
        <v>Night</v>
      </c>
      <c r="H549" s="41" t="b">
        <f>VLOOKUP(G549,'Dataset-1'!G550:S1160,2,)</f>
        <v>0</v>
      </c>
      <c r="I549" s="41">
        <f>VLOOKUP(H549,'Dataset-1'!H550:T1160,2,)</f>
        <v>1</v>
      </c>
      <c r="J549" s="71" t="str">
        <f>VLOOKUP(I549,'Dataset-1'!I550:U1160,2,)</f>
        <v>Sunday</v>
      </c>
      <c r="K549" s="41">
        <f>VLOOKUP(J549,'Dataset-1'!J550:V1160,2,)</f>
        <v>2</v>
      </c>
      <c r="L549" s="41">
        <f>VLOOKUP(K549,'Dataset-1'!K550:W1160,2,)</f>
        <v>0.16</v>
      </c>
      <c r="M549" s="71" t="str">
        <f>VLOOKUP(L549,'Dataset-1'!L550:X1160,2,)</f>
        <v>Rainy</v>
      </c>
      <c r="N549" s="41">
        <f>VLOOKUP(A549,'Dataset-2'!B550:H1160,2,)</f>
        <v>0.1515</v>
      </c>
      <c r="O549" s="41">
        <f>VLOOKUP(N549,'Dataset-2'!C550:I1160,2,)</f>
        <v>0.64</v>
      </c>
      <c r="P549" s="41">
        <f>VLOOKUP(O549,'Dataset-2'!D550:J1160,2,)</f>
        <v>0.25369999999999998</v>
      </c>
      <c r="Q549" s="41">
        <f>VLOOKUP(P549,'Dataset-2'!E550:K1160,2,)</f>
        <v>3</v>
      </c>
      <c r="R549" s="41">
        <f>VLOOKUP(Q549,'Dataset-2'!F550:L1160,2,)</f>
        <v>21</v>
      </c>
      <c r="S549" s="41">
        <f>VLOOKUP(R549,'Dataset-2'!G550:M1160,2,)</f>
        <v>24</v>
      </c>
    </row>
    <row r="550" spans="1:19" x14ac:dyDescent="0.35">
      <c r="A550" s="40">
        <v>549</v>
      </c>
      <c r="B550" s="62">
        <f>VLOOKUP(A550,'Dataset-1'!A551:M1161,2,)</f>
        <v>40568</v>
      </c>
      <c r="C550" s="41">
        <f>VLOOKUP(B550,'Dataset-1'!B551:N1161,2,)</f>
        <v>1</v>
      </c>
      <c r="D550" s="41">
        <f>VLOOKUP(C550,'Dataset-1'!C551:O1161,2,)</f>
        <v>0</v>
      </c>
      <c r="E550" s="41">
        <f>VLOOKUP(D550,'Dataset-1'!D551:P1161,2,)</f>
        <v>1</v>
      </c>
      <c r="F550" s="41">
        <f>VLOOKUP(E550,'Dataset-1'!E551:Q1161,2,)</f>
        <v>0</v>
      </c>
      <c r="G550" s="71" t="str">
        <f>VLOOKUP(F550,'Dataset-1'!F551:R1161,2,)</f>
        <v>Night</v>
      </c>
      <c r="H550" s="41" t="b">
        <f>VLOOKUP(G550,'Dataset-1'!G551:S1161,2,)</f>
        <v>0</v>
      </c>
      <c r="I550" s="41">
        <f>VLOOKUP(H550,'Dataset-1'!H551:T1161,2,)</f>
        <v>2</v>
      </c>
      <c r="J550" s="71" t="str">
        <f>VLOOKUP(I550,'Dataset-1'!I551:U1161,2,)</f>
        <v>Monday</v>
      </c>
      <c r="K550" s="41">
        <f>VLOOKUP(J550,'Dataset-1'!J551:V1161,2,)</f>
        <v>2</v>
      </c>
      <c r="L550" s="41">
        <f>VLOOKUP(K550,'Dataset-1'!K551:W1161,2,)</f>
        <v>0.16</v>
      </c>
      <c r="M550" s="71" t="str">
        <f>VLOOKUP(L550,'Dataset-1'!L551:X1161,2,)</f>
        <v>Rainy</v>
      </c>
      <c r="N550" s="41">
        <f>VLOOKUP(A550,'Dataset-2'!B551:H1161,2,)</f>
        <v>0.13639999999999999</v>
      </c>
      <c r="O550" s="41">
        <f>VLOOKUP(N550,'Dataset-2'!C551:I1161,2,)</f>
        <v>0.69</v>
      </c>
      <c r="P550" s="41">
        <f>VLOOKUP(O550,'Dataset-2'!D551:J1161,2,)</f>
        <v>0.28360000000000002</v>
      </c>
      <c r="Q550" s="41">
        <f>VLOOKUP(P550,'Dataset-2'!E551:K1161,2,)</f>
        <v>3</v>
      </c>
      <c r="R550" s="41">
        <f>VLOOKUP(Q550,'Dataset-2'!F551:L1161,2,)</f>
        <v>6</v>
      </c>
      <c r="S550" s="41">
        <f>VLOOKUP(R550,'Dataset-2'!G551:M1161,2,)</f>
        <v>9</v>
      </c>
    </row>
    <row r="551" spans="1:19" x14ac:dyDescent="0.35">
      <c r="A551" s="40">
        <v>550</v>
      </c>
      <c r="B551" s="62">
        <f>VLOOKUP(A551,'Dataset-1'!A552:M1162,2,)</f>
        <v>40568</v>
      </c>
      <c r="C551" s="41">
        <f>VLOOKUP(B551,'Dataset-1'!B552:N1162,2,)</f>
        <v>1</v>
      </c>
      <c r="D551" s="41">
        <f>VLOOKUP(C551,'Dataset-1'!C552:O1162,2,)</f>
        <v>0</v>
      </c>
      <c r="E551" s="41">
        <f>VLOOKUP(D551,'Dataset-1'!D552:P1162,2,)</f>
        <v>1</v>
      </c>
      <c r="F551" s="41">
        <f>VLOOKUP(E551,'Dataset-1'!E552:Q1162,2,)</f>
        <v>1</v>
      </c>
      <c r="G551" s="71" t="str">
        <f>VLOOKUP(F551,'Dataset-1'!F552:R1162,2,)</f>
        <v>Night</v>
      </c>
      <c r="H551" s="41" t="b">
        <f>VLOOKUP(G551,'Dataset-1'!G552:S1162,2,)</f>
        <v>0</v>
      </c>
      <c r="I551" s="41">
        <f>VLOOKUP(H551,'Dataset-1'!H552:T1162,2,)</f>
        <v>2</v>
      </c>
      <c r="J551" s="71" t="str">
        <f>VLOOKUP(I551,'Dataset-1'!I552:U1162,2,)</f>
        <v>Monday</v>
      </c>
      <c r="K551" s="41">
        <f>VLOOKUP(J551,'Dataset-1'!J552:V1162,2,)</f>
        <v>2</v>
      </c>
      <c r="L551" s="41">
        <f>VLOOKUP(K551,'Dataset-1'!K552:W1162,2,)</f>
        <v>0.16</v>
      </c>
      <c r="M551" s="71" t="str">
        <f>VLOOKUP(L551,'Dataset-1'!L552:X1162,2,)</f>
        <v>Rainy</v>
      </c>
      <c r="N551" s="41">
        <f>VLOOKUP(A551,'Dataset-2'!B552:H1162,2,)</f>
        <v>0.16669999999999999</v>
      </c>
      <c r="O551" s="41">
        <f>VLOOKUP(N551,'Dataset-2'!C552:I1162,2,)</f>
        <v>0.69</v>
      </c>
      <c r="P551" s="41">
        <f>VLOOKUP(O551,'Dataset-2'!D552:J1162,2,)</f>
        <v>0.16420000000000001</v>
      </c>
      <c r="Q551" s="41">
        <f>VLOOKUP(P551,'Dataset-2'!E552:K1162,2,)</f>
        <v>0</v>
      </c>
      <c r="R551" s="41">
        <f>VLOOKUP(Q551,'Dataset-2'!F552:L1162,2,)</f>
        <v>5</v>
      </c>
      <c r="S551" s="41">
        <f>VLOOKUP(R551,'Dataset-2'!G552:M1162,2,)</f>
        <v>5</v>
      </c>
    </row>
    <row r="552" spans="1:19" x14ac:dyDescent="0.35">
      <c r="A552" s="40">
        <v>551</v>
      </c>
      <c r="B552" s="62">
        <f>VLOOKUP(A552,'Dataset-1'!A553:M1163,2,)</f>
        <v>40568</v>
      </c>
      <c r="C552" s="41">
        <f>VLOOKUP(B552,'Dataset-1'!B553:N1163,2,)</f>
        <v>1</v>
      </c>
      <c r="D552" s="41">
        <f>VLOOKUP(C552,'Dataset-1'!C553:O1163,2,)</f>
        <v>0</v>
      </c>
      <c r="E552" s="41">
        <f>VLOOKUP(D552,'Dataset-1'!D553:P1163,2,)</f>
        <v>1</v>
      </c>
      <c r="F552" s="41">
        <f>VLOOKUP(E552,'Dataset-1'!E553:Q1163,2,)</f>
        <v>2</v>
      </c>
      <c r="G552" s="71" t="str">
        <f>VLOOKUP(F552,'Dataset-1'!F553:R1163,2,)</f>
        <v>Night</v>
      </c>
      <c r="H552" s="41" t="b">
        <f>VLOOKUP(G552,'Dataset-1'!G553:S1163,2,)</f>
        <v>0</v>
      </c>
      <c r="I552" s="41">
        <f>VLOOKUP(H552,'Dataset-1'!H553:T1163,2,)</f>
        <v>2</v>
      </c>
      <c r="J552" s="71" t="str">
        <f>VLOOKUP(I552,'Dataset-1'!I553:U1163,2,)</f>
        <v>Monday</v>
      </c>
      <c r="K552" s="41">
        <f>VLOOKUP(J552,'Dataset-1'!J553:V1163,2,)</f>
        <v>1</v>
      </c>
      <c r="L552" s="41">
        <f>VLOOKUP(K552,'Dataset-1'!K553:W1163,2,)</f>
        <v>0.16</v>
      </c>
      <c r="M552" s="71" t="str">
        <f>VLOOKUP(L552,'Dataset-1'!L553:X1163,2,)</f>
        <v>Rainy</v>
      </c>
      <c r="N552" s="41">
        <f>VLOOKUP(A552,'Dataset-2'!B553:H1163,2,)</f>
        <v>0.1515</v>
      </c>
      <c r="O552" s="41">
        <f>VLOOKUP(N552,'Dataset-2'!C553:I1163,2,)</f>
        <v>0.69</v>
      </c>
      <c r="P552" s="41">
        <f>VLOOKUP(O552,'Dataset-2'!D553:J1163,2,)</f>
        <v>0.22389999999999999</v>
      </c>
      <c r="Q552" s="41">
        <f>VLOOKUP(P552,'Dataset-2'!E553:K1163,2,)</f>
        <v>0</v>
      </c>
      <c r="R552" s="41">
        <f>VLOOKUP(Q552,'Dataset-2'!F553:L1163,2,)</f>
        <v>2</v>
      </c>
      <c r="S552" s="41">
        <f>VLOOKUP(R552,'Dataset-2'!G553:M1163,2,)</f>
        <v>2</v>
      </c>
    </row>
    <row r="553" spans="1:19" x14ac:dyDescent="0.35">
      <c r="A553" s="40">
        <v>552</v>
      </c>
      <c r="B553" s="62">
        <f>VLOOKUP(A553,'Dataset-1'!A554:M1164,2,)</f>
        <v>40568</v>
      </c>
      <c r="C553" s="41">
        <f>VLOOKUP(B553,'Dataset-1'!B554:N1164,2,)</f>
        <v>1</v>
      </c>
      <c r="D553" s="41">
        <f>VLOOKUP(C553,'Dataset-1'!C554:O1164,2,)</f>
        <v>0</v>
      </c>
      <c r="E553" s="41">
        <f>VLOOKUP(D553,'Dataset-1'!D554:P1164,2,)</f>
        <v>1</v>
      </c>
      <c r="F553" s="41">
        <f>VLOOKUP(E553,'Dataset-1'!E554:Q1164,2,)</f>
        <v>4</v>
      </c>
      <c r="G553" s="71" t="str">
        <f>VLOOKUP(F553,'Dataset-1'!F554:R1164,2,)</f>
        <v>Night</v>
      </c>
      <c r="H553" s="41" t="b">
        <f>VLOOKUP(G553,'Dataset-1'!G554:S1164,2,)</f>
        <v>0</v>
      </c>
      <c r="I553" s="41">
        <f>VLOOKUP(H553,'Dataset-1'!H554:T1164,2,)</f>
        <v>2</v>
      </c>
      <c r="J553" s="71" t="str">
        <f>VLOOKUP(I553,'Dataset-1'!I554:U1164,2,)</f>
        <v>Monday</v>
      </c>
      <c r="K553" s="41">
        <f>VLOOKUP(J553,'Dataset-1'!J554:V1164,2,)</f>
        <v>1</v>
      </c>
      <c r="L553" s="41">
        <f>VLOOKUP(K553,'Dataset-1'!K554:W1164,2,)</f>
        <v>0.14000000000000001</v>
      </c>
      <c r="M553" s="71" t="str">
        <f>VLOOKUP(L553,'Dataset-1'!L554:X1164,2,)</f>
        <v>Rainy</v>
      </c>
      <c r="N553" s="41">
        <f>VLOOKUP(A553,'Dataset-2'!B554:H1164,2,)</f>
        <v>0.16669999999999999</v>
      </c>
      <c r="O553" s="41">
        <f>VLOOKUP(N553,'Dataset-2'!C554:I1164,2,)</f>
        <v>0.74</v>
      </c>
      <c r="P553" s="41">
        <f>VLOOKUP(O553,'Dataset-2'!D554:J1164,2,)</f>
        <v>0.1045</v>
      </c>
      <c r="Q553" s="41">
        <f>VLOOKUP(P553,'Dataset-2'!E554:K1164,2,)</f>
        <v>0</v>
      </c>
      <c r="R553" s="41">
        <f>VLOOKUP(Q553,'Dataset-2'!F554:L1164,2,)</f>
        <v>1</v>
      </c>
      <c r="S553" s="41">
        <f>VLOOKUP(R553,'Dataset-2'!G554:M1164,2,)</f>
        <v>1</v>
      </c>
    </row>
    <row r="554" spans="1:19" x14ac:dyDescent="0.35">
      <c r="A554" s="40">
        <v>553</v>
      </c>
      <c r="B554" s="62">
        <f>VLOOKUP(A554,'Dataset-1'!A555:M1165,2,)</f>
        <v>40568</v>
      </c>
      <c r="C554" s="41">
        <f>VLOOKUP(B554,'Dataset-1'!B555:N1165,2,)</f>
        <v>1</v>
      </c>
      <c r="D554" s="41">
        <f>VLOOKUP(C554,'Dataset-1'!C555:O1165,2,)</f>
        <v>0</v>
      </c>
      <c r="E554" s="41">
        <f>VLOOKUP(D554,'Dataset-1'!D555:P1165,2,)</f>
        <v>1</v>
      </c>
      <c r="F554" s="41">
        <f>VLOOKUP(E554,'Dataset-1'!E555:Q1165,2,)</f>
        <v>5</v>
      </c>
      <c r="G554" s="71" t="str">
        <f>VLOOKUP(F554,'Dataset-1'!F555:R1165,2,)</f>
        <v>Morning</v>
      </c>
      <c r="H554" s="41" t="b">
        <f>VLOOKUP(G554,'Dataset-1'!G555:S1165,2,)</f>
        <v>0</v>
      </c>
      <c r="I554" s="41">
        <f>VLOOKUP(H554,'Dataset-1'!H555:T1165,2,)</f>
        <v>2</v>
      </c>
      <c r="J554" s="71" t="str">
        <f>VLOOKUP(I554,'Dataset-1'!I555:U1165,2,)</f>
        <v>Monday</v>
      </c>
      <c r="K554" s="41">
        <f>VLOOKUP(J554,'Dataset-1'!J555:V1165,2,)</f>
        <v>1</v>
      </c>
      <c r="L554" s="41">
        <f>VLOOKUP(K554,'Dataset-1'!K555:W1165,2,)</f>
        <v>0.14000000000000001</v>
      </c>
      <c r="M554" s="71" t="str">
        <f>VLOOKUP(L554,'Dataset-1'!L555:X1165,2,)</f>
        <v>Rainy</v>
      </c>
      <c r="N554" s="41">
        <f>VLOOKUP(A554,'Dataset-2'!B555:H1165,2,)</f>
        <v>0.13639999999999999</v>
      </c>
      <c r="O554" s="41">
        <f>VLOOKUP(N554,'Dataset-2'!C555:I1165,2,)</f>
        <v>0.74</v>
      </c>
      <c r="P554" s="41">
        <f>VLOOKUP(O554,'Dataset-2'!D555:J1165,2,)</f>
        <v>0.22389999999999999</v>
      </c>
      <c r="Q554" s="41">
        <f>VLOOKUP(P554,'Dataset-2'!E555:K1165,2,)</f>
        <v>0</v>
      </c>
      <c r="R554" s="41">
        <f>VLOOKUP(Q554,'Dataset-2'!F555:L1165,2,)</f>
        <v>9</v>
      </c>
      <c r="S554" s="41">
        <f>VLOOKUP(R554,'Dataset-2'!G555:M1165,2,)</f>
        <v>9</v>
      </c>
    </row>
    <row r="555" spans="1:19" x14ac:dyDescent="0.35">
      <c r="A555" s="40">
        <v>554</v>
      </c>
      <c r="B555" s="62">
        <f>VLOOKUP(A555,'Dataset-1'!A556:M1166,2,)</f>
        <v>40568</v>
      </c>
      <c r="C555" s="41">
        <f>VLOOKUP(B555,'Dataset-1'!B556:N1166,2,)</f>
        <v>1</v>
      </c>
      <c r="D555" s="41">
        <f>VLOOKUP(C555,'Dataset-1'!C556:O1166,2,)</f>
        <v>0</v>
      </c>
      <c r="E555" s="41">
        <f>VLOOKUP(D555,'Dataset-1'!D556:P1166,2,)</f>
        <v>1</v>
      </c>
      <c r="F555" s="41">
        <f>VLOOKUP(E555,'Dataset-1'!E556:Q1166,2,)</f>
        <v>6</v>
      </c>
      <c r="G555" s="71" t="str">
        <f>VLOOKUP(F555,'Dataset-1'!F556:R1166,2,)</f>
        <v>Morning</v>
      </c>
      <c r="H555" s="41" t="b">
        <f>VLOOKUP(G555,'Dataset-1'!G556:S1166,2,)</f>
        <v>0</v>
      </c>
      <c r="I555" s="41">
        <f>VLOOKUP(H555,'Dataset-1'!H556:T1166,2,)</f>
        <v>2</v>
      </c>
      <c r="J555" s="71" t="str">
        <f>VLOOKUP(I555,'Dataset-1'!I556:U1166,2,)</f>
        <v>Monday</v>
      </c>
      <c r="K555" s="41">
        <f>VLOOKUP(J555,'Dataset-1'!J556:V1166,2,)</f>
        <v>1</v>
      </c>
      <c r="L555" s="41">
        <f>VLOOKUP(K555,'Dataset-1'!K556:W1166,2,)</f>
        <v>0.16</v>
      </c>
      <c r="M555" s="71" t="str">
        <f>VLOOKUP(L555,'Dataset-1'!L556:X1166,2,)</f>
        <v>Rainy</v>
      </c>
      <c r="N555" s="41">
        <f>VLOOKUP(A555,'Dataset-2'!B556:H1166,2,)</f>
        <v>0.18179999999999999</v>
      </c>
      <c r="O555" s="41">
        <f>VLOOKUP(N555,'Dataset-2'!C556:I1166,2,)</f>
        <v>0.74</v>
      </c>
      <c r="P555" s="41">
        <f>VLOOKUP(O555,'Dataset-2'!D556:J1166,2,)</f>
        <v>0.1045</v>
      </c>
      <c r="Q555" s="41">
        <f>VLOOKUP(P555,'Dataset-2'!E556:K1166,2,)</f>
        <v>1</v>
      </c>
      <c r="R555" s="41">
        <f>VLOOKUP(Q555,'Dataset-2'!F556:L1166,2,)</f>
        <v>35</v>
      </c>
      <c r="S555" s="41">
        <f>VLOOKUP(R555,'Dataset-2'!G556:M1166,2,)</f>
        <v>36</v>
      </c>
    </row>
    <row r="556" spans="1:19" x14ac:dyDescent="0.35">
      <c r="A556" s="40">
        <v>555</v>
      </c>
      <c r="B556" s="62">
        <f>VLOOKUP(A556,'Dataset-1'!A557:M1167,2,)</f>
        <v>40568</v>
      </c>
      <c r="C556" s="41">
        <f>VLOOKUP(B556,'Dataset-1'!B557:N1167,2,)</f>
        <v>1</v>
      </c>
      <c r="D556" s="41">
        <f>VLOOKUP(C556,'Dataset-1'!C557:O1167,2,)</f>
        <v>0</v>
      </c>
      <c r="E556" s="41">
        <f>VLOOKUP(D556,'Dataset-1'!D557:P1167,2,)</f>
        <v>1</v>
      </c>
      <c r="F556" s="41">
        <f>VLOOKUP(E556,'Dataset-1'!E557:Q1167,2,)</f>
        <v>7</v>
      </c>
      <c r="G556" s="71" t="str">
        <f>VLOOKUP(F556,'Dataset-1'!F557:R1167,2,)</f>
        <v>Morning</v>
      </c>
      <c r="H556" s="41" t="b">
        <f>VLOOKUP(G556,'Dataset-1'!G557:S1167,2,)</f>
        <v>0</v>
      </c>
      <c r="I556" s="41">
        <f>VLOOKUP(H556,'Dataset-1'!H557:T1167,2,)</f>
        <v>2</v>
      </c>
      <c r="J556" s="71" t="str">
        <f>VLOOKUP(I556,'Dataset-1'!I557:U1167,2,)</f>
        <v>Monday</v>
      </c>
      <c r="K556" s="41">
        <f>VLOOKUP(J556,'Dataset-1'!J557:V1167,2,)</f>
        <v>1</v>
      </c>
      <c r="L556" s="41">
        <f>VLOOKUP(K556,'Dataset-1'!K557:W1167,2,)</f>
        <v>0.16</v>
      </c>
      <c r="M556" s="71" t="str">
        <f>VLOOKUP(L556,'Dataset-1'!L557:X1167,2,)</f>
        <v>Rainy</v>
      </c>
      <c r="N556" s="41">
        <f>VLOOKUP(A556,'Dataset-2'!B557:H1167,2,)</f>
        <v>0.1515</v>
      </c>
      <c r="O556" s="41">
        <f>VLOOKUP(N556,'Dataset-2'!C557:I1167,2,)</f>
        <v>0.74</v>
      </c>
      <c r="P556" s="41">
        <f>VLOOKUP(O556,'Dataset-2'!D557:J1167,2,)</f>
        <v>0.22389999999999999</v>
      </c>
      <c r="Q556" s="41">
        <f>VLOOKUP(P556,'Dataset-2'!E557:K1167,2,)</f>
        <v>5</v>
      </c>
      <c r="R556" s="41">
        <f>VLOOKUP(Q556,'Dataset-2'!F557:L1167,2,)</f>
        <v>103</v>
      </c>
      <c r="S556" s="41">
        <f>VLOOKUP(R556,'Dataset-2'!G557:M1167,2,)</f>
        <v>108</v>
      </c>
    </row>
    <row r="557" spans="1:19" x14ac:dyDescent="0.35">
      <c r="A557" s="40">
        <v>556</v>
      </c>
      <c r="B557" s="62">
        <f>VLOOKUP(A557,'Dataset-1'!A558:M1168,2,)</f>
        <v>40568</v>
      </c>
      <c r="C557" s="41">
        <f>VLOOKUP(B557,'Dataset-1'!B558:N1168,2,)</f>
        <v>1</v>
      </c>
      <c r="D557" s="41">
        <f>VLOOKUP(C557,'Dataset-1'!C558:O1168,2,)</f>
        <v>0</v>
      </c>
      <c r="E557" s="41">
        <f>VLOOKUP(D557,'Dataset-1'!D558:P1168,2,)</f>
        <v>1</v>
      </c>
      <c r="F557" s="41">
        <f>VLOOKUP(E557,'Dataset-1'!E558:Q1168,2,)</f>
        <v>8</v>
      </c>
      <c r="G557" s="71" t="str">
        <f>VLOOKUP(F557,'Dataset-1'!F558:R1168,2,)</f>
        <v>Morning</v>
      </c>
      <c r="H557" s="41" t="b">
        <f>VLOOKUP(G557,'Dataset-1'!G558:S1168,2,)</f>
        <v>0</v>
      </c>
      <c r="I557" s="41">
        <f>VLOOKUP(H557,'Dataset-1'!H558:T1168,2,)</f>
        <v>2</v>
      </c>
      <c r="J557" s="71" t="str">
        <f>VLOOKUP(I557,'Dataset-1'!I558:U1168,2,)</f>
        <v>Monday</v>
      </c>
      <c r="K557" s="41">
        <f>VLOOKUP(J557,'Dataset-1'!J558:V1168,2,)</f>
        <v>2</v>
      </c>
      <c r="L557" s="41">
        <f>VLOOKUP(K557,'Dataset-1'!K558:W1168,2,)</f>
        <v>0.16</v>
      </c>
      <c r="M557" s="71" t="str">
        <f>VLOOKUP(L557,'Dataset-1'!L558:X1168,2,)</f>
        <v>Rainy</v>
      </c>
      <c r="N557" s="41">
        <f>VLOOKUP(A557,'Dataset-2'!B558:H1168,2,)</f>
        <v>0.18179999999999999</v>
      </c>
      <c r="O557" s="41">
        <f>VLOOKUP(N557,'Dataset-2'!C558:I1168,2,)</f>
        <v>0.74</v>
      </c>
      <c r="P557" s="41">
        <f>VLOOKUP(O557,'Dataset-2'!D558:J1168,2,)</f>
        <v>0.1343</v>
      </c>
      <c r="Q557" s="41">
        <f>VLOOKUP(P557,'Dataset-2'!E558:K1168,2,)</f>
        <v>5</v>
      </c>
      <c r="R557" s="41">
        <f>VLOOKUP(Q557,'Dataset-2'!F558:L1168,2,)</f>
        <v>233</v>
      </c>
      <c r="S557" s="41">
        <f>VLOOKUP(R557,'Dataset-2'!G558:M1168,2,)</f>
        <v>238</v>
      </c>
    </row>
    <row r="558" spans="1:19" x14ac:dyDescent="0.35">
      <c r="A558" s="40">
        <v>557</v>
      </c>
      <c r="B558" s="62">
        <f>VLOOKUP(A558,'Dataset-1'!A559:M1169,2,)</f>
        <v>40568</v>
      </c>
      <c r="C558" s="41">
        <f>VLOOKUP(B558,'Dataset-1'!B559:N1169,2,)</f>
        <v>1</v>
      </c>
      <c r="D558" s="41">
        <f>VLOOKUP(C558,'Dataset-1'!C559:O1169,2,)</f>
        <v>0</v>
      </c>
      <c r="E558" s="41">
        <f>VLOOKUP(D558,'Dataset-1'!D559:P1169,2,)</f>
        <v>1</v>
      </c>
      <c r="F558" s="41">
        <f>VLOOKUP(E558,'Dataset-1'!E559:Q1169,2,)</f>
        <v>9</v>
      </c>
      <c r="G558" s="71" t="str">
        <f>VLOOKUP(F558,'Dataset-1'!F559:R1169,2,)</f>
        <v>Morning</v>
      </c>
      <c r="H558" s="41" t="b">
        <f>VLOOKUP(G558,'Dataset-1'!G559:S1169,2,)</f>
        <v>0</v>
      </c>
      <c r="I558" s="41">
        <f>VLOOKUP(H558,'Dataset-1'!H559:T1169,2,)</f>
        <v>2</v>
      </c>
      <c r="J558" s="71" t="str">
        <f>VLOOKUP(I558,'Dataset-1'!I559:U1169,2,)</f>
        <v>Monday</v>
      </c>
      <c r="K558" s="41">
        <f>VLOOKUP(J558,'Dataset-1'!J559:V1169,2,)</f>
        <v>2</v>
      </c>
      <c r="L558" s="41">
        <f>VLOOKUP(K558,'Dataset-1'!K559:W1169,2,)</f>
        <v>0.2</v>
      </c>
      <c r="M558" s="71" t="str">
        <f>VLOOKUP(L558,'Dataset-1'!L559:X1169,2,)</f>
        <v>Rainy</v>
      </c>
      <c r="N558" s="41">
        <f>VLOOKUP(A558,'Dataset-2'!B559:H1169,2,)</f>
        <v>0.2273</v>
      </c>
      <c r="O558" s="41">
        <f>VLOOKUP(N558,'Dataset-2'!C559:I1169,2,)</f>
        <v>0.64</v>
      </c>
      <c r="P558" s="41">
        <f>VLOOKUP(O558,'Dataset-2'!D559:J1169,2,)</f>
        <v>8.9599999999999999E-2</v>
      </c>
      <c r="Q558" s="41">
        <f>VLOOKUP(P558,'Dataset-2'!E559:K1169,2,)</f>
        <v>10</v>
      </c>
      <c r="R558" s="41">
        <f>VLOOKUP(Q558,'Dataset-2'!F559:L1169,2,)</f>
        <v>134</v>
      </c>
      <c r="S558" s="41">
        <f>VLOOKUP(R558,'Dataset-2'!G559:M1169,2,)</f>
        <v>144</v>
      </c>
    </row>
    <row r="559" spans="1:19" x14ac:dyDescent="0.35">
      <c r="A559" s="40">
        <v>558</v>
      </c>
      <c r="B559" s="62">
        <f>VLOOKUP(A559,'Dataset-1'!A560:M1170,2,)</f>
        <v>40568</v>
      </c>
      <c r="C559" s="41">
        <f>VLOOKUP(B559,'Dataset-1'!B560:N1170,2,)</f>
        <v>1</v>
      </c>
      <c r="D559" s="41">
        <f>VLOOKUP(C559,'Dataset-1'!C560:O1170,2,)</f>
        <v>0</v>
      </c>
      <c r="E559" s="41">
        <f>VLOOKUP(D559,'Dataset-1'!D560:P1170,2,)</f>
        <v>1</v>
      </c>
      <c r="F559" s="41">
        <f>VLOOKUP(E559,'Dataset-1'!E560:Q1170,2,)</f>
        <v>10</v>
      </c>
      <c r="G559" s="71" t="str">
        <f>VLOOKUP(F559,'Dataset-1'!F560:R1170,2,)</f>
        <v>Morning</v>
      </c>
      <c r="H559" s="41" t="b">
        <f>VLOOKUP(G559,'Dataset-1'!G560:S1170,2,)</f>
        <v>0</v>
      </c>
      <c r="I559" s="41">
        <f>VLOOKUP(H559,'Dataset-1'!H560:T1170,2,)</f>
        <v>2</v>
      </c>
      <c r="J559" s="71" t="str">
        <f>VLOOKUP(I559,'Dataset-1'!I560:U1170,2,)</f>
        <v>Monday</v>
      </c>
      <c r="K559" s="41">
        <f>VLOOKUP(J559,'Dataset-1'!J560:V1170,2,)</f>
        <v>2</v>
      </c>
      <c r="L559" s="41">
        <f>VLOOKUP(K559,'Dataset-1'!K560:W1170,2,)</f>
        <v>0.22</v>
      </c>
      <c r="M559" s="71" t="str">
        <f>VLOOKUP(L559,'Dataset-1'!L560:X1170,2,)</f>
        <v>Cloudy</v>
      </c>
      <c r="N559" s="41">
        <f>VLOOKUP(A559,'Dataset-2'!B560:H1170,2,)</f>
        <v>0.2424</v>
      </c>
      <c r="O559" s="41">
        <f>VLOOKUP(N559,'Dataset-2'!C560:I1170,2,)</f>
        <v>0.6</v>
      </c>
      <c r="P559" s="41">
        <f>VLOOKUP(O559,'Dataset-2'!D560:J1170,2,)</f>
        <v>0.1045</v>
      </c>
      <c r="Q559" s="41">
        <f>VLOOKUP(P559,'Dataset-2'!E560:K1170,2,)</f>
        <v>6</v>
      </c>
      <c r="R559" s="41">
        <f>VLOOKUP(Q559,'Dataset-2'!F560:L1170,2,)</f>
        <v>49</v>
      </c>
      <c r="S559" s="41">
        <f>VLOOKUP(R559,'Dataset-2'!G560:M1170,2,)</f>
        <v>55</v>
      </c>
    </row>
    <row r="560" spans="1:19" x14ac:dyDescent="0.35">
      <c r="A560" s="40">
        <v>559</v>
      </c>
      <c r="B560" s="62">
        <f>VLOOKUP(A560,'Dataset-1'!A561:M1171,2,)</f>
        <v>40568</v>
      </c>
      <c r="C560" s="41">
        <f>VLOOKUP(B560,'Dataset-1'!B561:N1171,2,)</f>
        <v>1</v>
      </c>
      <c r="D560" s="41">
        <f>VLOOKUP(C560,'Dataset-1'!C561:O1171,2,)</f>
        <v>0</v>
      </c>
      <c r="E560" s="41">
        <f>VLOOKUP(D560,'Dataset-1'!D561:P1171,2,)</f>
        <v>1</v>
      </c>
      <c r="F560" s="41">
        <f>VLOOKUP(E560,'Dataset-1'!E561:Q1171,2,)</f>
        <v>11</v>
      </c>
      <c r="G560" s="71" t="str">
        <f>VLOOKUP(F560,'Dataset-1'!F561:R1171,2,)</f>
        <v>Morning</v>
      </c>
      <c r="H560" s="41" t="b">
        <f>VLOOKUP(G560,'Dataset-1'!G561:S1171,2,)</f>
        <v>0</v>
      </c>
      <c r="I560" s="41">
        <f>VLOOKUP(H560,'Dataset-1'!H561:T1171,2,)</f>
        <v>2</v>
      </c>
      <c r="J560" s="71" t="str">
        <f>VLOOKUP(I560,'Dataset-1'!I561:U1171,2,)</f>
        <v>Monday</v>
      </c>
      <c r="K560" s="41">
        <f>VLOOKUP(J560,'Dataset-1'!J561:V1171,2,)</f>
        <v>2</v>
      </c>
      <c r="L560" s="41">
        <f>VLOOKUP(K560,'Dataset-1'!K561:W1171,2,)</f>
        <v>0.24</v>
      </c>
      <c r="M560" s="71" t="str">
        <f>VLOOKUP(L560,'Dataset-1'!L561:X1171,2,)</f>
        <v>Cloudy</v>
      </c>
      <c r="N560" s="41">
        <f>VLOOKUP(A560,'Dataset-2'!B561:H1171,2,)</f>
        <v>0.2424</v>
      </c>
      <c r="O560" s="41">
        <f>VLOOKUP(N560,'Dataset-2'!C561:I1171,2,)</f>
        <v>0.6</v>
      </c>
      <c r="P560" s="41">
        <f>VLOOKUP(O560,'Dataset-2'!D561:J1171,2,)</f>
        <v>0.1343</v>
      </c>
      <c r="Q560" s="41">
        <f>VLOOKUP(P560,'Dataset-2'!E561:K1171,2,)</f>
        <v>6</v>
      </c>
      <c r="R560" s="41">
        <f>VLOOKUP(Q560,'Dataset-2'!F561:L1171,2,)</f>
        <v>55</v>
      </c>
      <c r="S560" s="41">
        <f>VLOOKUP(R560,'Dataset-2'!G561:M1171,2,)</f>
        <v>61</v>
      </c>
    </row>
    <row r="561" spans="1:19" x14ac:dyDescent="0.35">
      <c r="A561" s="40">
        <v>560</v>
      </c>
      <c r="B561" s="62">
        <f>VLOOKUP(A561,'Dataset-1'!A562:M1172,2,)</f>
        <v>40568</v>
      </c>
      <c r="C561" s="41">
        <f>VLOOKUP(B561,'Dataset-1'!B562:N1172,2,)</f>
        <v>1</v>
      </c>
      <c r="D561" s="41">
        <f>VLOOKUP(C561,'Dataset-1'!C562:O1172,2,)</f>
        <v>0</v>
      </c>
      <c r="E561" s="41">
        <f>VLOOKUP(D561,'Dataset-1'!D562:P1172,2,)</f>
        <v>1</v>
      </c>
      <c r="F561" s="41">
        <f>VLOOKUP(E561,'Dataset-1'!E562:Q1172,2,)</f>
        <v>12</v>
      </c>
      <c r="G561" s="71" t="str">
        <f>VLOOKUP(F561,'Dataset-1'!F562:R1172,2,)</f>
        <v>AfterNoon</v>
      </c>
      <c r="H561" s="41" t="b">
        <f>VLOOKUP(G561,'Dataset-1'!G562:S1172,2,)</f>
        <v>0</v>
      </c>
      <c r="I561" s="41">
        <f>VLOOKUP(H561,'Dataset-1'!H562:T1172,2,)</f>
        <v>2</v>
      </c>
      <c r="J561" s="71" t="str">
        <f>VLOOKUP(I561,'Dataset-1'!I562:U1172,2,)</f>
        <v>Monday</v>
      </c>
      <c r="K561" s="41">
        <f>VLOOKUP(J561,'Dataset-1'!J562:V1172,2,)</f>
        <v>2</v>
      </c>
      <c r="L561" s="41">
        <f>VLOOKUP(K561,'Dataset-1'!K562:W1172,2,)</f>
        <v>0.26</v>
      </c>
      <c r="M561" s="71" t="str">
        <f>VLOOKUP(L561,'Dataset-1'!L562:X1172,2,)</f>
        <v>Cloudy</v>
      </c>
      <c r="N561" s="41">
        <f>VLOOKUP(A561,'Dataset-2'!B562:H1172,2,)</f>
        <v>0.28789999999999999</v>
      </c>
      <c r="O561" s="41">
        <f>VLOOKUP(N561,'Dataset-2'!C562:I1172,2,)</f>
        <v>0.56000000000000005</v>
      </c>
      <c r="P561" s="41">
        <f>VLOOKUP(O561,'Dataset-2'!D562:J1172,2,)</f>
        <v>8.9599999999999999E-2</v>
      </c>
      <c r="Q561" s="41">
        <f>VLOOKUP(P561,'Dataset-2'!E562:K1172,2,)</f>
        <v>21</v>
      </c>
      <c r="R561" s="41">
        <f>VLOOKUP(Q561,'Dataset-2'!F562:L1172,2,)</f>
        <v>85</v>
      </c>
      <c r="S561" s="41">
        <f>VLOOKUP(R561,'Dataset-2'!G562:M1172,2,)</f>
        <v>106</v>
      </c>
    </row>
    <row r="562" spans="1:19" x14ac:dyDescent="0.35">
      <c r="A562" s="40">
        <v>561</v>
      </c>
      <c r="B562" s="62">
        <f>VLOOKUP(A562,'Dataset-1'!A563:M1173,2,)</f>
        <v>40568</v>
      </c>
      <c r="C562" s="41">
        <f>VLOOKUP(B562,'Dataset-1'!B563:N1173,2,)</f>
        <v>1</v>
      </c>
      <c r="D562" s="41">
        <f>VLOOKUP(C562,'Dataset-1'!C563:O1173,2,)</f>
        <v>0</v>
      </c>
      <c r="E562" s="41">
        <f>VLOOKUP(D562,'Dataset-1'!D563:P1173,2,)</f>
        <v>1</v>
      </c>
      <c r="F562" s="41">
        <f>VLOOKUP(E562,'Dataset-1'!E563:Q1173,2,)</f>
        <v>13</v>
      </c>
      <c r="G562" s="71" t="str">
        <f>VLOOKUP(F562,'Dataset-1'!F563:R1173,2,)</f>
        <v>AfterNoon</v>
      </c>
      <c r="H562" s="41" t="b">
        <f>VLOOKUP(G562,'Dataset-1'!G563:S1173,2,)</f>
        <v>0</v>
      </c>
      <c r="I562" s="41">
        <f>VLOOKUP(H562,'Dataset-1'!H563:T1173,2,)</f>
        <v>2</v>
      </c>
      <c r="J562" s="71" t="str">
        <f>VLOOKUP(I562,'Dataset-1'!I563:U1173,2,)</f>
        <v>Monday</v>
      </c>
      <c r="K562" s="41">
        <f>VLOOKUP(J562,'Dataset-1'!J563:V1173,2,)</f>
        <v>2</v>
      </c>
      <c r="L562" s="41">
        <f>VLOOKUP(K562,'Dataset-1'!K563:W1173,2,)</f>
        <v>0.26</v>
      </c>
      <c r="M562" s="71" t="str">
        <f>VLOOKUP(L562,'Dataset-1'!L563:X1173,2,)</f>
        <v>Cloudy</v>
      </c>
      <c r="N562" s="41">
        <f>VLOOKUP(A562,'Dataset-2'!B563:H1173,2,)</f>
        <v>0.2727</v>
      </c>
      <c r="O562" s="41">
        <f>VLOOKUP(N562,'Dataset-2'!C563:I1173,2,)</f>
        <v>0.56000000000000005</v>
      </c>
      <c r="P562" s="41">
        <f>VLOOKUP(O562,'Dataset-2'!D563:J1173,2,)</f>
        <v>0.1343</v>
      </c>
      <c r="Q562" s="41">
        <f>VLOOKUP(P562,'Dataset-2'!E563:K1173,2,)</f>
        <v>21</v>
      </c>
      <c r="R562" s="41">
        <f>VLOOKUP(Q562,'Dataset-2'!F563:L1173,2,)</f>
        <v>72</v>
      </c>
      <c r="S562" s="41">
        <f>VLOOKUP(R562,'Dataset-2'!G563:M1173,2,)</f>
        <v>93</v>
      </c>
    </row>
    <row r="563" spans="1:19" x14ac:dyDescent="0.35">
      <c r="A563" s="40">
        <v>562</v>
      </c>
      <c r="B563" s="62">
        <f>VLOOKUP(A563,'Dataset-1'!A564:M1174,2,)</f>
        <v>40568</v>
      </c>
      <c r="C563" s="41">
        <f>VLOOKUP(B563,'Dataset-1'!B564:N1174,2,)</f>
        <v>1</v>
      </c>
      <c r="D563" s="41">
        <f>VLOOKUP(C563,'Dataset-1'!C564:O1174,2,)</f>
        <v>0</v>
      </c>
      <c r="E563" s="41">
        <f>VLOOKUP(D563,'Dataset-1'!D564:P1174,2,)</f>
        <v>1</v>
      </c>
      <c r="F563" s="41">
        <f>VLOOKUP(E563,'Dataset-1'!E564:Q1174,2,)</f>
        <v>14</v>
      </c>
      <c r="G563" s="71" t="str">
        <f>VLOOKUP(F563,'Dataset-1'!F564:R1174,2,)</f>
        <v>AfterNoon</v>
      </c>
      <c r="H563" s="41" t="b">
        <f>VLOOKUP(G563,'Dataset-1'!G564:S1174,2,)</f>
        <v>0</v>
      </c>
      <c r="I563" s="41">
        <f>VLOOKUP(H563,'Dataset-1'!H564:T1174,2,)</f>
        <v>2</v>
      </c>
      <c r="J563" s="71" t="str">
        <f>VLOOKUP(I563,'Dataset-1'!I564:U1174,2,)</f>
        <v>Monday</v>
      </c>
      <c r="K563" s="41">
        <f>VLOOKUP(J563,'Dataset-1'!J564:V1174,2,)</f>
        <v>2</v>
      </c>
      <c r="L563" s="41">
        <f>VLOOKUP(K563,'Dataset-1'!K564:W1174,2,)</f>
        <v>0.3</v>
      </c>
      <c r="M563" s="71" t="str">
        <f>VLOOKUP(L563,'Dataset-1'!L564:X1174,2,)</f>
        <v>Cloudy</v>
      </c>
      <c r="N563" s="41">
        <f>VLOOKUP(A563,'Dataset-2'!B564:H1174,2,)</f>
        <v>0.33329999999999999</v>
      </c>
      <c r="O563" s="41">
        <f>VLOOKUP(N563,'Dataset-2'!C564:I1174,2,)</f>
        <v>0.45</v>
      </c>
      <c r="P563" s="41">
        <f>VLOOKUP(O563,'Dataset-2'!D564:J1174,2,)</f>
        <v>0</v>
      </c>
      <c r="Q563" s="41">
        <f>VLOOKUP(P563,'Dataset-2'!E564:K1174,2,)</f>
        <v>11</v>
      </c>
      <c r="R563" s="41">
        <f>VLOOKUP(Q563,'Dataset-2'!F564:L1174,2,)</f>
        <v>57</v>
      </c>
      <c r="S563" s="41">
        <f>VLOOKUP(R563,'Dataset-2'!G564:M1174,2,)</f>
        <v>68</v>
      </c>
    </row>
    <row r="564" spans="1:19" x14ac:dyDescent="0.35">
      <c r="A564" s="40">
        <v>563</v>
      </c>
      <c r="B564" s="62">
        <f>VLOOKUP(A564,'Dataset-1'!A565:M1175,2,)</f>
        <v>40568</v>
      </c>
      <c r="C564" s="41">
        <f>VLOOKUP(B564,'Dataset-1'!B565:N1175,2,)</f>
        <v>1</v>
      </c>
      <c r="D564" s="41">
        <f>VLOOKUP(C564,'Dataset-1'!C565:O1175,2,)</f>
        <v>0</v>
      </c>
      <c r="E564" s="41">
        <f>VLOOKUP(D564,'Dataset-1'!D565:P1175,2,)</f>
        <v>1</v>
      </c>
      <c r="F564" s="41">
        <f>VLOOKUP(E564,'Dataset-1'!E565:Q1175,2,)</f>
        <v>15</v>
      </c>
      <c r="G564" s="71" t="str">
        <f>VLOOKUP(F564,'Dataset-1'!F565:R1175,2,)</f>
        <v>AfterNoon</v>
      </c>
      <c r="H564" s="41" t="b">
        <f>VLOOKUP(G564,'Dataset-1'!G565:S1175,2,)</f>
        <v>0</v>
      </c>
      <c r="I564" s="41">
        <f>VLOOKUP(H564,'Dataset-1'!H565:T1175,2,)</f>
        <v>2</v>
      </c>
      <c r="J564" s="71" t="str">
        <f>VLOOKUP(I564,'Dataset-1'!I565:U1175,2,)</f>
        <v>Monday</v>
      </c>
      <c r="K564" s="41">
        <f>VLOOKUP(J564,'Dataset-1'!J565:V1175,2,)</f>
        <v>2</v>
      </c>
      <c r="L564" s="41">
        <f>VLOOKUP(K564,'Dataset-1'!K565:W1175,2,)</f>
        <v>0.32</v>
      </c>
      <c r="M564" s="71" t="str">
        <f>VLOOKUP(L564,'Dataset-1'!L565:X1175,2,)</f>
        <v>Sunny</v>
      </c>
      <c r="N564" s="41">
        <f>VLOOKUP(A564,'Dataset-2'!B565:H1175,2,)</f>
        <v>0.34849999999999998</v>
      </c>
      <c r="O564" s="41">
        <f>VLOOKUP(N564,'Dataset-2'!C565:I1175,2,)</f>
        <v>0.42</v>
      </c>
      <c r="P564" s="41">
        <f>VLOOKUP(O564,'Dataset-2'!D565:J1175,2,)</f>
        <v>0</v>
      </c>
      <c r="Q564" s="41">
        <f>VLOOKUP(P564,'Dataset-2'!E565:K1175,2,)</f>
        <v>21</v>
      </c>
      <c r="R564" s="41">
        <f>VLOOKUP(Q564,'Dataset-2'!F565:L1175,2,)</f>
        <v>63</v>
      </c>
      <c r="S564" s="41">
        <f>VLOOKUP(R564,'Dataset-2'!G565:M1175,2,)</f>
        <v>84</v>
      </c>
    </row>
    <row r="565" spans="1:19" x14ac:dyDescent="0.35">
      <c r="A565" s="40">
        <v>564</v>
      </c>
      <c r="B565" s="62">
        <f>VLOOKUP(A565,'Dataset-1'!A566:M1176,2,)</f>
        <v>40568</v>
      </c>
      <c r="C565" s="41">
        <f>VLOOKUP(B565,'Dataset-1'!B566:N1176,2,)</f>
        <v>1</v>
      </c>
      <c r="D565" s="41">
        <f>VLOOKUP(C565,'Dataset-1'!C566:O1176,2,)</f>
        <v>0</v>
      </c>
      <c r="E565" s="41">
        <f>VLOOKUP(D565,'Dataset-1'!D566:P1176,2,)</f>
        <v>1</v>
      </c>
      <c r="F565" s="41">
        <f>VLOOKUP(E565,'Dataset-1'!E566:Q1176,2,)</f>
        <v>16</v>
      </c>
      <c r="G565" s="71" t="str">
        <f>VLOOKUP(F565,'Dataset-1'!F566:R1176,2,)</f>
        <v>AfterNoon</v>
      </c>
      <c r="H565" s="41" t="b">
        <f>VLOOKUP(G565,'Dataset-1'!G566:S1176,2,)</f>
        <v>0</v>
      </c>
      <c r="I565" s="41">
        <f>VLOOKUP(H565,'Dataset-1'!H566:T1176,2,)</f>
        <v>2</v>
      </c>
      <c r="J565" s="71" t="str">
        <f>VLOOKUP(I565,'Dataset-1'!I566:U1176,2,)</f>
        <v>Monday</v>
      </c>
      <c r="K565" s="41">
        <f>VLOOKUP(J565,'Dataset-1'!J566:V1176,2,)</f>
        <v>2</v>
      </c>
      <c r="L565" s="41">
        <f>VLOOKUP(K565,'Dataset-1'!K566:W1176,2,)</f>
        <v>0.32</v>
      </c>
      <c r="M565" s="71" t="str">
        <f>VLOOKUP(L565,'Dataset-1'!L566:X1176,2,)</f>
        <v>Sunny</v>
      </c>
      <c r="N565" s="41">
        <f>VLOOKUP(A565,'Dataset-2'!B566:H1176,2,)</f>
        <v>0.34849999999999998</v>
      </c>
      <c r="O565" s="41">
        <f>VLOOKUP(N565,'Dataset-2'!C566:I1176,2,)</f>
        <v>0.42</v>
      </c>
      <c r="P565" s="41">
        <f>VLOOKUP(O565,'Dataset-2'!D566:J1176,2,)</f>
        <v>0</v>
      </c>
      <c r="Q565" s="41">
        <f>VLOOKUP(P565,'Dataset-2'!E566:K1176,2,)</f>
        <v>14</v>
      </c>
      <c r="R565" s="41">
        <f>VLOOKUP(Q565,'Dataset-2'!F566:L1176,2,)</f>
        <v>102</v>
      </c>
      <c r="S565" s="41">
        <f>VLOOKUP(R565,'Dataset-2'!G566:M1176,2,)</f>
        <v>116</v>
      </c>
    </row>
    <row r="566" spans="1:19" x14ac:dyDescent="0.35">
      <c r="A566" s="40">
        <v>565</v>
      </c>
      <c r="B566" s="62">
        <f>VLOOKUP(A566,'Dataset-1'!A567:M1177,2,)</f>
        <v>40568</v>
      </c>
      <c r="C566" s="41">
        <f>VLOOKUP(B566,'Dataset-1'!B567:N1177,2,)</f>
        <v>1</v>
      </c>
      <c r="D566" s="41">
        <f>VLOOKUP(C566,'Dataset-1'!C567:O1177,2,)</f>
        <v>0</v>
      </c>
      <c r="E566" s="41">
        <f>VLOOKUP(D566,'Dataset-1'!D567:P1177,2,)</f>
        <v>1</v>
      </c>
      <c r="F566" s="41">
        <f>VLOOKUP(E566,'Dataset-1'!E567:Q1177,2,)</f>
        <v>17</v>
      </c>
      <c r="G566" s="71" t="str">
        <f>VLOOKUP(F566,'Dataset-1'!F567:R1177,2,)</f>
        <v>Evening</v>
      </c>
      <c r="H566" s="41" t="b">
        <f>VLOOKUP(G566,'Dataset-1'!G567:S1177,2,)</f>
        <v>0</v>
      </c>
      <c r="I566" s="41">
        <f>VLOOKUP(H566,'Dataset-1'!H567:T1177,2,)</f>
        <v>2</v>
      </c>
      <c r="J566" s="71" t="str">
        <f>VLOOKUP(I566,'Dataset-1'!I567:U1177,2,)</f>
        <v>Monday</v>
      </c>
      <c r="K566" s="41">
        <f>VLOOKUP(J566,'Dataset-1'!J567:V1177,2,)</f>
        <v>1</v>
      </c>
      <c r="L566" s="41">
        <f>VLOOKUP(K566,'Dataset-1'!K567:W1177,2,)</f>
        <v>0.3</v>
      </c>
      <c r="M566" s="71" t="str">
        <f>VLOOKUP(L566,'Dataset-1'!L567:X1177,2,)</f>
        <v>Cloudy</v>
      </c>
      <c r="N566" s="41">
        <f>VLOOKUP(A566,'Dataset-2'!B567:H1177,2,)</f>
        <v>0.33329999999999999</v>
      </c>
      <c r="O566" s="41">
        <f>VLOOKUP(N566,'Dataset-2'!C567:I1177,2,)</f>
        <v>0.45</v>
      </c>
      <c r="P566" s="41">
        <f>VLOOKUP(O566,'Dataset-2'!D567:J1177,2,)</f>
        <v>0</v>
      </c>
      <c r="Q566" s="41">
        <f>VLOOKUP(P566,'Dataset-2'!E567:K1177,2,)</f>
        <v>14</v>
      </c>
      <c r="R566" s="41">
        <f>VLOOKUP(Q566,'Dataset-2'!F567:L1177,2,)</f>
        <v>208</v>
      </c>
      <c r="S566" s="41">
        <f>VLOOKUP(R566,'Dataset-2'!G567:M1177,2,)</f>
        <v>222</v>
      </c>
    </row>
    <row r="567" spans="1:19" x14ac:dyDescent="0.35">
      <c r="A567" s="40">
        <v>566</v>
      </c>
      <c r="B567" s="62">
        <f>VLOOKUP(A567,'Dataset-1'!A568:M1178,2,)</f>
        <v>40568</v>
      </c>
      <c r="C567" s="41">
        <f>VLOOKUP(B567,'Dataset-1'!B568:N1178,2,)</f>
        <v>1</v>
      </c>
      <c r="D567" s="41">
        <f>VLOOKUP(C567,'Dataset-1'!C568:O1178,2,)</f>
        <v>0</v>
      </c>
      <c r="E567" s="41">
        <f>VLOOKUP(D567,'Dataset-1'!D568:P1178,2,)</f>
        <v>1</v>
      </c>
      <c r="F567" s="41">
        <f>VLOOKUP(E567,'Dataset-1'!E568:Q1178,2,)</f>
        <v>18</v>
      </c>
      <c r="G567" s="71" t="str">
        <f>VLOOKUP(F567,'Dataset-1'!F568:R1178,2,)</f>
        <v>Evening</v>
      </c>
      <c r="H567" s="41" t="b">
        <f>VLOOKUP(G567,'Dataset-1'!G568:S1178,2,)</f>
        <v>0</v>
      </c>
      <c r="I567" s="41">
        <f>VLOOKUP(H567,'Dataset-1'!H568:T1178,2,)</f>
        <v>2</v>
      </c>
      <c r="J567" s="71" t="str">
        <f>VLOOKUP(I567,'Dataset-1'!I568:U1178,2,)</f>
        <v>Monday</v>
      </c>
      <c r="K567" s="41">
        <f>VLOOKUP(J567,'Dataset-1'!J568:V1178,2,)</f>
        <v>2</v>
      </c>
      <c r="L567" s="41">
        <f>VLOOKUP(K567,'Dataset-1'!K568:W1178,2,)</f>
        <v>0.3</v>
      </c>
      <c r="M567" s="71" t="str">
        <f>VLOOKUP(L567,'Dataset-1'!L568:X1178,2,)</f>
        <v>Cloudy</v>
      </c>
      <c r="N567" s="41">
        <f>VLOOKUP(A567,'Dataset-2'!B568:H1178,2,)</f>
        <v>0.31819999999999998</v>
      </c>
      <c r="O567" s="41">
        <f>VLOOKUP(N567,'Dataset-2'!C568:I1178,2,)</f>
        <v>0.49</v>
      </c>
      <c r="P567" s="41">
        <f>VLOOKUP(O567,'Dataset-2'!D568:J1178,2,)</f>
        <v>8.9599999999999999E-2</v>
      </c>
      <c r="Q567" s="41">
        <f>VLOOKUP(P567,'Dataset-2'!E568:K1178,2,)</f>
        <v>7</v>
      </c>
      <c r="R567" s="41">
        <f>VLOOKUP(Q567,'Dataset-2'!F568:L1178,2,)</f>
        <v>218</v>
      </c>
      <c r="S567" s="41">
        <f>VLOOKUP(R567,'Dataset-2'!G568:M1178,2,)</f>
        <v>225</v>
      </c>
    </row>
    <row r="568" spans="1:19" x14ac:dyDescent="0.35">
      <c r="A568" s="40">
        <v>567</v>
      </c>
      <c r="B568" s="62">
        <f>VLOOKUP(A568,'Dataset-1'!A569:M1179,2,)</f>
        <v>40568</v>
      </c>
      <c r="C568" s="41">
        <f>VLOOKUP(B568,'Dataset-1'!B569:N1179,2,)</f>
        <v>1</v>
      </c>
      <c r="D568" s="41">
        <f>VLOOKUP(C568,'Dataset-1'!C569:O1179,2,)</f>
        <v>0</v>
      </c>
      <c r="E568" s="41">
        <f>VLOOKUP(D568,'Dataset-1'!D569:P1179,2,)</f>
        <v>1</v>
      </c>
      <c r="F568" s="41">
        <f>VLOOKUP(E568,'Dataset-1'!E569:Q1179,2,)</f>
        <v>19</v>
      </c>
      <c r="G568" s="71" t="str">
        <f>VLOOKUP(F568,'Dataset-1'!F569:R1179,2,)</f>
        <v>Evening</v>
      </c>
      <c r="H568" s="41" t="b">
        <f>VLOOKUP(G568,'Dataset-1'!G569:S1179,2,)</f>
        <v>0</v>
      </c>
      <c r="I568" s="41">
        <f>VLOOKUP(H568,'Dataset-1'!H569:T1179,2,)</f>
        <v>2</v>
      </c>
      <c r="J568" s="71" t="str">
        <f>VLOOKUP(I568,'Dataset-1'!I569:U1179,2,)</f>
        <v>Monday</v>
      </c>
      <c r="K568" s="41">
        <f>VLOOKUP(J568,'Dataset-1'!J569:V1179,2,)</f>
        <v>2</v>
      </c>
      <c r="L568" s="41">
        <f>VLOOKUP(K568,'Dataset-1'!K569:W1179,2,)</f>
        <v>0.26</v>
      </c>
      <c r="M568" s="71" t="str">
        <f>VLOOKUP(L568,'Dataset-1'!L569:X1179,2,)</f>
        <v>Cloudy</v>
      </c>
      <c r="N568" s="41">
        <f>VLOOKUP(A568,'Dataset-2'!B569:H1179,2,)</f>
        <v>0.2576</v>
      </c>
      <c r="O568" s="41">
        <f>VLOOKUP(N568,'Dataset-2'!C569:I1179,2,)</f>
        <v>0.65</v>
      </c>
      <c r="P568" s="41">
        <f>VLOOKUP(O568,'Dataset-2'!D569:J1179,2,)</f>
        <v>0.16420000000000001</v>
      </c>
      <c r="Q568" s="41">
        <f>VLOOKUP(P568,'Dataset-2'!E569:K1179,2,)</f>
        <v>13</v>
      </c>
      <c r="R568" s="41">
        <f>VLOOKUP(Q568,'Dataset-2'!F569:L1179,2,)</f>
        <v>133</v>
      </c>
      <c r="S568" s="41">
        <f>VLOOKUP(R568,'Dataset-2'!G569:M1179,2,)</f>
        <v>146</v>
      </c>
    </row>
    <row r="569" spans="1:19" x14ac:dyDescent="0.35">
      <c r="A569" s="40">
        <v>568</v>
      </c>
      <c r="B569" s="62">
        <f>VLOOKUP(A569,'Dataset-1'!A570:M1180,2,)</f>
        <v>40568</v>
      </c>
      <c r="C569" s="41">
        <f>VLOOKUP(B569,'Dataset-1'!B570:N1180,2,)</f>
        <v>1</v>
      </c>
      <c r="D569" s="41">
        <f>VLOOKUP(C569,'Dataset-1'!C570:O1180,2,)</f>
        <v>0</v>
      </c>
      <c r="E569" s="41">
        <f>VLOOKUP(D569,'Dataset-1'!D570:P1180,2,)</f>
        <v>1</v>
      </c>
      <c r="F569" s="41">
        <f>VLOOKUP(E569,'Dataset-1'!E570:Q1180,2,)</f>
        <v>20</v>
      </c>
      <c r="G569" s="71" t="str">
        <f>VLOOKUP(F569,'Dataset-1'!F570:R1180,2,)</f>
        <v>Night</v>
      </c>
      <c r="H569" s="41" t="b">
        <f>VLOOKUP(G569,'Dataset-1'!G570:S1180,2,)</f>
        <v>0</v>
      </c>
      <c r="I569" s="41">
        <f>VLOOKUP(H569,'Dataset-1'!H570:T1180,2,)</f>
        <v>2</v>
      </c>
      <c r="J569" s="71" t="str">
        <f>VLOOKUP(I569,'Dataset-1'!I570:U1180,2,)</f>
        <v>Monday</v>
      </c>
      <c r="K569" s="41">
        <f>VLOOKUP(J569,'Dataset-1'!J570:V1180,2,)</f>
        <v>1</v>
      </c>
      <c r="L569" s="41">
        <f>VLOOKUP(K569,'Dataset-1'!K570:W1180,2,)</f>
        <v>0.24</v>
      </c>
      <c r="M569" s="71" t="str">
        <f>VLOOKUP(L569,'Dataset-1'!L570:X1180,2,)</f>
        <v>Cloudy</v>
      </c>
      <c r="N569" s="41">
        <f>VLOOKUP(A569,'Dataset-2'!B570:H1180,2,)</f>
        <v>0.2273</v>
      </c>
      <c r="O569" s="41">
        <f>VLOOKUP(N569,'Dataset-2'!C570:I1180,2,)</f>
        <v>0.65</v>
      </c>
      <c r="P569" s="41">
        <f>VLOOKUP(O569,'Dataset-2'!D570:J1180,2,)</f>
        <v>0.19400000000000001</v>
      </c>
      <c r="Q569" s="41">
        <f>VLOOKUP(P569,'Dataset-2'!E570:K1180,2,)</f>
        <v>16</v>
      </c>
      <c r="R569" s="41">
        <f>VLOOKUP(Q569,'Dataset-2'!F570:L1180,2,)</f>
        <v>103</v>
      </c>
      <c r="S569" s="41">
        <f>VLOOKUP(R569,'Dataset-2'!G570:M1180,2,)</f>
        <v>119</v>
      </c>
    </row>
    <row r="570" spans="1:19" x14ac:dyDescent="0.35">
      <c r="A570" s="40">
        <v>569</v>
      </c>
      <c r="B570" s="62">
        <f>VLOOKUP(A570,'Dataset-1'!A571:M1181,2,)</f>
        <v>40568</v>
      </c>
      <c r="C570" s="41">
        <f>VLOOKUP(B570,'Dataset-1'!B571:N1181,2,)</f>
        <v>1</v>
      </c>
      <c r="D570" s="41">
        <f>VLOOKUP(C570,'Dataset-1'!C571:O1181,2,)</f>
        <v>0</v>
      </c>
      <c r="E570" s="41">
        <f>VLOOKUP(D570,'Dataset-1'!D571:P1181,2,)</f>
        <v>1</v>
      </c>
      <c r="F570" s="41">
        <f>VLOOKUP(E570,'Dataset-1'!E571:Q1181,2,)</f>
        <v>21</v>
      </c>
      <c r="G570" s="71" t="str">
        <f>VLOOKUP(F570,'Dataset-1'!F571:R1181,2,)</f>
        <v>Night</v>
      </c>
      <c r="H570" s="41" t="b">
        <f>VLOOKUP(G570,'Dataset-1'!G571:S1181,2,)</f>
        <v>0</v>
      </c>
      <c r="I570" s="41">
        <f>VLOOKUP(H570,'Dataset-1'!H571:T1181,2,)</f>
        <v>2</v>
      </c>
      <c r="J570" s="71" t="str">
        <f>VLOOKUP(I570,'Dataset-1'!I571:U1181,2,)</f>
        <v>Monday</v>
      </c>
      <c r="K570" s="41">
        <f>VLOOKUP(J570,'Dataset-1'!J571:V1181,2,)</f>
        <v>1</v>
      </c>
      <c r="L570" s="41">
        <f>VLOOKUP(K570,'Dataset-1'!K571:W1181,2,)</f>
        <v>0.24</v>
      </c>
      <c r="M570" s="71" t="str">
        <f>VLOOKUP(L570,'Dataset-1'!L571:X1181,2,)</f>
        <v>Cloudy</v>
      </c>
      <c r="N570" s="41">
        <f>VLOOKUP(A570,'Dataset-2'!B571:H1181,2,)</f>
        <v>0.2273</v>
      </c>
      <c r="O570" s="41">
        <f>VLOOKUP(N570,'Dataset-2'!C571:I1181,2,)</f>
        <v>0.65</v>
      </c>
      <c r="P570" s="41">
        <f>VLOOKUP(O570,'Dataset-2'!D571:J1181,2,)</f>
        <v>0.19400000000000001</v>
      </c>
      <c r="Q570" s="41">
        <f>VLOOKUP(P570,'Dataset-2'!E571:K1181,2,)</f>
        <v>5</v>
      </c>
      <c r="R570" s="41">
        <f>VLOOKUP(Q570,'Dataset-2'!F571:L1181,2,)</f>
        <v>40</v>
      </c>
      <c r="S570" s="41">
        <f>VLOOKUP(R570,'Dataset-2'!G571:M1181,2,)</f>
        <v>45</v>
      </c>
    </row>
    <row r="571" spans="1:19" x14ac:dyDescent="0.35">
      <c r="A571" s="40">
        <v>570</v>
      </c>
      <c r="B571" s="62">
        <f>VLOOKUP(A571,'Dataset-1'!A572:M1182,2,)</f>
        <v>40568</v>
      </c>
      <c r="C571" s="41">
        <f>VLOOKUP(B571,'Dataset-1'!B572:N1182,2,)</f>
        <v>1</v>
      </c>
      <c r="D571" s="41">
        <f>VLOOKUP(C571,'Dataset-1'!C572:O1182,2,)</f>
        <v>0</v>
      </c>
      <c r="E571" s="41">
        <f>VLOOKUP(D571,'Dataset-1'!D572:P1182,2,)</f>
        <v>1</v>
      </c>
      <c r="F571" s="41">
        <f>VLOOKUP(E571,'Dataset-1'!E572:Q1182,2,)</f>
        <v>22</v>
      </c>
      <c r="G571" s="71" t="str">
        <f>VLOOKUP(F571,'Dataset-1'!F572:R1182,2,)</f>
        <v>Night</v>
      </c>
      <c r="H571" s="41" t="b">
        <f>VLOOKUP(G571,'Dataset-1'!G572:S1182,2,)</f>
        <v>0</v>
      </c>
      <c r="I571" s="41">
        <f>VLOOKUP(H571,'Dataset-1'!H572:T1182,2,)</f>
        <v>2</v>
      </c>
      <c r="J571" s="71" t="str">
        <f>VLOOKUP(I571,'Dataset-1'!I572:U1182,2,)</f>
        <v>Monday</v>
      </c>
      <c r="K571" s="41">
        <f>VLOOKUP(J571,'Dataset-1'!J572:V1182,2,)</f>
        <v>1</v>
      </c>
      <c r="L571" s="41">
        <f>VLOOKUP(K571,'Dataset-1'!K572:W1182,2,)</f>
        <v>0.22</v>
      </c>
      <c r="M571" s="71" t="str">
        <f>VLOOKUP(L571,'Dataset-1'!L572:X1182,2,)</f>
        <v>Cloudy</v>
      </c>
      <c r="N571" s="41">
        <f>VLOOKUP(A571,'Dataset-2'!B572:H1182,2,)</f>
        <v>0.2273</v>
      </c>
      <c r="O571" s="41">
        <f>VLOOKUP(N571,'Dataset-2'!C572:I1182,2,)</f>
        <v>0.64</v>
      </c>
      <c r="P571" s="41">
        <f>VLOOKUP(O571,'Dataset-2'!D572:J1182,2,)</f>
        <v>0.16420000000000001</v>
      </c>
      <c r="Q571" s="41">
        <f>VLOOKUP(P571,'Dataset-2'!E572:K1182,2,)</f>
        <v>4</v>
      </c>
      <c r="R571" s="41">
        <f>VLOOKUP(Q571,'Dataset-2'!F572:L1182,2,)</f>
        <v>49</v>
      </c>
      <c r="S571" s="41">
        <f>VLOOKUP(R571,'Dataset-2'!G572:M1182,2,)</f>
        <v>53</v>
      </c>
    </row>
    <row r="572" spans="1:19" x14ac:dyDescent="0.35">
      <c r="A572" s="40">
        <v>571</v>
      </c>
      <c r="B572" s="62">
        <f>VLOOKUP(A572,'Dataset-1'!A573:M1183,2,)</f>
        <v>40568</v>
      </c>
      <c r="C572" s="41">
        <f>VLOOKUP(B572,'Dataset-1'!B573:N1183,2,)</f>
        <v>1</v>
      </c>
      <c r="D572" s="41">
        <f>VLOOKUP(C572,'Dataset-1'!C573:O1183,2,)</f>
        <v>0</v>
      </c>
      <c r="E572" s="41">
        <f>VLOOKUP(D572,'Dataset-1'!D573:P1183,2,)</f>
        <v>1</v>
      </c>
      <c r="F572" s="41">
        <f>VLOOKUP(E572,'Dataset-1'!E573:Q1183,2,)</f>
        <v>23</v>
      </c>
      <c r="G572" s="71" t="str">
        <f>VLOOKUP(F572,'Dataset-1'!F573:R1183,2,)</f>
        <v>Night</v>
      </c>
      <c r="H572" s="41" t="b">
        <f>VLOOKUP(G572,'Dataset-1'!G573:S1183,2,)</f>
        <v>0</v>
      </c>
      <c r="I572" s="41">
        <f>VLOOKUP(H572,'Dataset-1'!H573:T1183,2,)</f>
        <v>2</v>
      </c>
      <c r="J572" s="71" t="str">
        <f>VLOOKUP(I572,'Dataset-1'!I573:U1183,2,)</f>
        <v>Monday</v>
      </c>
      <c r="K572" s="41">
        <f>VLOOKUP(J572,'Dataset-1'!J573:V1183,2,)</f>
        <v>2</v>
      </c>
      <c r="L572" s="41">
        <f>VLOOKUP(K572,'Dataset-1'!K573:W1183,2,)</f>
        <v>0.22</v>
      </c>
      <c r="M572" s="71" t="str">
        <f>VLOOKUP(L572,'Dataset-1'!L573:X1183,2,)</f>
        <v>Cloudy</v>
      </c>
      <c r="N572" s="41">
        <f>VLOOKUP(A572,'Dataset-2'!B573:H1183,2,)</f>
        <v>0.2273</v>
      </c>
      <c r="O572" s="41">
        <f>VLOOKUP(N572,'Dataset-2'!C573:I1183,2,)</f>
        <v>0.64</v>
      </c>
      <c r="P572" s="41">
        <f>VLOOKUP(O572,'Dataset-2'!D573:J1183,2,)</f>
        <v>0.16420000000000001</v>
      </c>
      <c r="Q572" s="41">
        <f>VLOOKUP(P572,'Dataset-2'!E573:K1183,2,)</f>
        <v>3</v>
      </c>
      <c r="R572" s="41">
        <f>VLOOKUP(Q572,'Dataset-2'!F573:L1183,2,)</f>
        <v>37</v>
      </c>
      <c r="S572" s="41">
        <f>VLOOKUP(R572,'Dataset-2'!G573:M1183,2,)</f>
        <v>40</v>
      </c>
    </row>
    <row r="573" spans="1:19" x14ac:dyDescent="0.35">
      <c r="A573" s="40">
        <v>572</v>
      </c>
      <c r="B573" s="62">
        <f>VLOOKUP(A573,'Dataset-1'!A574:M1184,2,)</f>
        <v>40569</v>
      </c>
      <c r="C573" s="41">
        <f>VLOOKUP(B573,'Dataset-1'!B574:N1184,2,)</f>
        <v>1</v>
      </c>
      <c r="D573" s="41">
        <f>VLOOKUP(C573,'Dataset-1'!C574:O1184,2,)</f>
        <v>0</v>
      </c>
      <c r="E573" s="41">
        <f>VLOOKUP(D573,'Dataset-1'!D574:P1184,2,)</f>
        <v>1</v>
      </c>
      <c r="F573" s="41">
        <f>VLOOKUP(E573,'Dataset-1'!E574:Q1184,2,)</f>
        <v>0</v>
      </c>
      <c r="G573" s="71" t="str">
        <f>VLOOKUP(F573,'Dataset-1'!F574:R1184,2,)</f>
        <v>Night</v>
      </c>
      <c r="H573" s="41" t="b">
        <f>VLOOKUP(G573,'Dataset-1'!G574:S1184,2,)</f>
        <v>0</v>
      </c>
      <c r="I573" s="41">
        <f>VLOOKUP(H573,'Dataset-1'!H574:T1184,2,)</f>
        <v>3</v>
      </c>
      <c r="J573" s="71" t="str">
        <f>VLOOKUP(I573,'Dataset-1'!I574:U1184,2,)</f>
        <v>Tuesday</v>
      </c>
      <c r="K573" s="41">
        <f>VLOOKUP(J573,'Dataset-1'!J574:V1184,2,)</f>
        <v>2</v>
      </c>
      <c r="L573" s="41">
        <f>VLOOKUP(K573,'Dataset-1'!K574:W1184,2,)</f>
        <v>0.22</v>
      </c>
      <c r="M573" s="71" t="str">
        <f>VLOOKUP(L573,'Dataset-1'!L574:X1184,2,)</f>
        <v>Cloudy</v>
      </c>
      <c r="N573" s="41">
        <f>VLOOKUP(A573,'Dataset-2'!B574:H1184,2,)</f>
        <v>0.2273</v>
      </c>
      <c r="O573" s="41">
        <f>VLOOKUP(N573,'Dataset-2'!C574:I1184,2,)</f>
        <v>0.69</v>
      </c>
      <c r="P573" s="41">
        <f>VLOOKUP(O573,'Dataset-2'!D574:J1184,2,)</f>
        <v>0.1343</v>
      </c>
      <c r="Q573" s="41">
        <f>VLOOKUP(P573,'Dataset-2'!E574:K1184,2,)</f>
        <v>3</v>
      </c>
      <c r="R573" s="41">
        <f>VLOOKUP(Q573,'Dataset-2'!F574:L1184,2,)</f>
        <v>14</v>
      </c>
      <c r="S573" s="41">
        <f>VLOOKUP(R573,'Dataset-2'!G574:M1184,2,)</f>
        <v>17</v>
      </c>
    </row>
    <row r="574" spans="1:19" x14ac:dyDescent="0.35">
      <c r="A574" s="40">
        <v>573</v>
      </c>
      <c r="B574" s="62">
        <f>VLOOKUP(A574,'Dataset-1'!A575:M1185,2,)</f>
        <v>40569</v>
      </c>
      <c r="C574" s="41">
        <f>VLOOKUP(B574,'Dataset-1'!B575:N1185,2,)</f>
        <v>1</v>
      </c>
      <c r="D574" s="41">
        <f>VLOOKUP(C574,'Dataset-1'!C575:O1185,2,)</f>
        <v>0</v>
      </c>
      <c r="E574" s="41">
        <f>VLOOKUP(D574,'Dataset-1'!D575:P1185,2,)</f>
        <v>1</v>
      </c>
      <c r="F574" s="41">
        <f>VLOOKUP(E574,'Dataset-1'!E575:Q1185,2,)</f>
        <v>1</v>
      </c>
      <c r="G574" s="71" t="str">
        <f>VLOOKUP(F574,'Dataset-1'!F575:R1185,2,)</f>
        <v>Night</v>
      </c>
      <c r="H574" s="41" t="b">
        <f>VLOOKUP(G574,'Dataset-1'!G575:S1185,2,)</f>
        <v>0</v>
      </c>
      <c r="I574" s="41">
        <f>VLOOKUP(H574,'Dataset-1'!H575:T1185,2,)</f>
        <v>3</v>
      </c>
      <c r="J574" s="71" t="str">
        <f>VLOOKUP(I574,'Dataset-1'!I575:U1185,2,)</f>
        <v>Tuesday</v>
      </c>
      <c r="K574" s="41">
        <f>VLOOKUP(J574,'Dataset-1'!J575:V1185,2,)</f>
        <v>2</v>
      </c>
      <c r="L574" s="41">
        <f>VLOOKUP(K574,'Dataset-1'!K575:W1185,2,)</f>
        <v>0.24</v>
      </c>
      <c r="M574" s="71" t="str">
        <f>VLOOKUP(L574,'Dataset-1'!L575:X1185,2,)</f>
        <v>Cloudy</v>
      </c>
      <c r="N574" s="41">
        <f>VLOOKUP(A574,'Dataset-2'!B575:H1185,2,)</f>
        <v>0.2424</v>
      </c>
      <c r="O574" s="41">
        <f>VLOOKUP(N574,'Dataset-2'!C575:I1185,2,)</f>
        <v>0.65</v>
      </c>
      <c r="P574" s="41">
        <f>VLOOKUP(O574,'Dataset-2'!D575:J1185,2,)</f>
        <v>0.1343</v>
      </c>
      <c r="Q574" s="41">
        <f>VLOOKUP(P574,'Dataset-2'!E575:K1185,2,)</f>
        <v>0</v>
      </c>
      <c r="R574" s="41">
        <f>VLOOKUP(Q574,'Dataset-2'!F575:L1185,2,)</f>
        <v>5</v>
      </c>
      <c r="S574" s="41">
        <f>VLOOKUP(R574,'Dataset-2'!G575:M1185,2,)</f>
        <v>5</v>
      </c>
    </row>
    <row r="575" spans="1:19" x14ac:dyDescent="0.35">
      <c r="A575" s="40">
        <v>574</v>
      </c>
      <c r="B575" s="62">
        <f>VLOOKUP(A575,'Dataset-1'!A576:M1186,2,)</f>
        <v>40569</v>
      </c>
      <c r="C575" s="41">
        <f>VLOOKUP(B575,'Dataset-1'!B576:N1186,2,)</f>
        <v>1</v>
      </c>
      <c r="D575" s="41">
        <f>VLOOKUP(C575,'Dataset-1'!C576:O1186,2,)</f>
        <v>0</v>
      </c>
      <c r="E575" s="41">
        <f>VLOOKUP(D575,'Dataset-1'!D576:P1186,2,)</f>
        <v>1</v>
      </c>
      <c r="F575" s="41">
        <f>VLOOKUP(E575,'Dataset-1'!E576:Q1186,2,)</f>
        <v>2</v>
      </c>
      <c r="G575" s="71" t="str">
        <f>VLOOKUP(F575,'Dataset-1'!F576:R1186,2,)</f>
        <v>Night</v>
      </c>
      <c r="H575" s="41" t="b">
        <f>VLOOKUP(G575,'Dataset-1'!G576:S1186,2,)</f>
        <v>0</v>
      </c>
      <c r="I575" s="41">
        <f>VLOOKUP(H575,'Dataset-1'!H576:T1186,2,)</f>
        <v>3</v>
      </c>
      <c r="J575" s="71" t="str">
        <f>VLOOKUP(I575,'Dataset-1'!I576:U1186,2,)</f>
        <v>Tuesday</v>
      </c>
      <c r="K575" s="41">
        <f>VLOOKUP(J575,'Dataset-1'!J576:V1186,2,)</f>
        <v>3</v>
      </c>
      <c r="L575" s="41">
        <f>VLOOKUP(K575,'Dataset-1'!K576:W1186,2,)</f>
        <v>0.22</v>
      </c>
      <c r="M575" s="71" t="str">
        <f>VLOOKUP(L575,'Dataset-1'!L576:X1186,2,)</f>
        <v>Cloudy</v>
      </c>
      <c r="N575" s="41">
        <f>VLOOKUP(A575,'Dataset-2'!B576:H1186,2,)</f>
        <v>0.2273</v>
      </c>
      <c r="O575" s="41">
        <f>VLOOKUP(N575,'Dataset-2'!C576:I1186,2,)</f>
        <v>0.69</v>
      </c>
      <c r="P575" s="41">
        <f>VLOOKUP(O575,'Dataset-2'!D576:J1186,2,)</f>
        <v>0.19400000000000001</v>
      </c>
      <c r="Q575" s="41">
        <f>VLOOKUP(P575,'Dataset-2'!E576:K1186,2,)</f>
        <v>3</v>
      </c>
      <c r="R575" s="41">
        <f>VLOOKUP(Q575,'Dataset-2'!F576:L1186,2,)</f>
        <v>7</v>
      </c>
      <c r="S575" s="41">
        <f>VLOOKUP(R575,'Dataset-2'!G576:M1186,2,)</f>
        <v>10</v>
      </c>
    </row>
    <row r="576" spans="1:19" x14ac:dyDescent="0.35">
      <c r="A576" s="40">
        <v>575</v>
      </c>
      <c r="B576" s="62">
        <f>VLOOKUP(A576,'Dataset-1'!A577:M1187,2,)</f>
        <v>40569</v>
      </c>
      <c r="C576" s="41">
        <f>VLOOKUP(B576,'Dataset-1'!B577:N1187,2,)</f>
        <v>1</v>
      </c>
      <c r="D576" s="41">
        <f>VLOOKUP(C576,'Dataset-1'!C577:O1187,2,)</f>
        <v>0</v>
      </c>
      <c r="E576" s="41">
        <f>VLOOKUP(D576,'Dataset-1'!D577:P1187,2,)</f>
        <v>1</v>
      </c>
      <c r="F576" s="41">
        <f>VLOOKUP(E576,'Dataset-1'!E577:Q1187,2,)</f>
        <v>5</v>
      </c>
      <c r="G576" s="71" t="str">
        <f>VLOOKUP(F576,'Dataset-1'!F577:R1187,2,)</f>
        <v>Morning</v>
      </c>
      <c r="H576" s="41" t="b">
        <f>VLOOKUP(G576,'Dataset-1'!G577:S1187,2,)</f>
        <v>0</v>
      </c>
      <c r="I576" s="41">
        <f>VLOOKUP(H576,'Dataset-1'!H577:T1187,2,)</f>
        <v>3</v>
      </c>
      <c r="J576" s="71" t="str">
        <f>VLOOKUP(I576,'Dataset-1'!I577:U1187,2,)</f>
        <v>Tuesday</v>
      </c>
      <c r="K576" s="41">
        <f>VLOOKUP(J576,'Dataset-1'!J577:V1187,2,)</f>
        <v>3</v>
      </c>
      <c r="L576" s="41">
        <f>VLOOKUP(K576,'Dataset-1'!K577:W1187,2,)</f>
        <v>0.2</v>
      </c>
      <c r="M576" s="71" t="str">
        <f>VLOOKUP(L576,'Dataset-1'!L577:X1187,2,)</f>
        <v>Rainy</v>
      </c>
      <c r="N576" s="41">
        <f>VLOOKUP(A576,'Dataset-2'!B577:H1187,2,)</f>
        <v>0.18179999999999999</v>
      </c>
      <c r="O576" s="41">
        <f>VLOOKUP(N576,'Dataset-2'!C577:I1187,2,)</f>
        <v>0.86</v>
      </c>
      <c r="P576" s="41">
        <f>VLOOKUP(O576,'Dataset-2'!D577:J1187,2,)</f>
        <v>0.28360000000000002</v>
      </c>
      <c r="Q576" s="41">
        <f>VLOOKUP(P576,'Dataset-2'!E577:K1187,2,)</f>
        <v>0</v>
      </c>
      <c r="R576" s="41">
        <f>VLOOKUP(Q576,'Dataset-2'!F577:L1187,2,)</f>
        <v>1</v>
      </c>
      <c r="S576" s="41">
        <f>VLOOKUP(R576,'Dataset-2'!G577:M1187,2,)</f>
        <v>1</v>
      </c>
    </row>
    <row r="577" spans="1:19" x14ac:dyDescent="0.35">
      <c r="A577" s="40">
        <v>576</v>
      </c>
      <c r="B577" s="62">
        <f>VLOOKUP(A577,'Dataset-1'!A578:M1188,2,)</f>
        <v>40569</v>
      </c>
      <c r="C577" s="41">
        <f>VLOOKUP(B577,'Dataset-1'!B578:N1188,2,)</f>
        <v>1</v>
      </c>
      <c r="D577" s="41">
        <f>VLOOKUP(C577,'Dataset-1'!C578:O1188,2,)</f>
        <v>0</v>
      </c>
      <c r="E577" s="41">
        <f>VLOOKUP(D577,'Dataset-1'!D578:P1188,2,)</f>
        <v>1</v>
      </c>
      <c r="F577" s="41">
        <f>VLOOKUP(E577,'Dataset-1'!E578:Q1188,2,)</f>
        <v>6</v>
      </c>
      <c r="G577" s="71" t="str">
        <f>VLOOKUP(F577,'Dataset-1'!F578:R1188,2,)</f>
        <v>Morning</v>
      </c>
      <c r="H577" s="41" t="b">
        <f>VLOOKUP(G577,'Dataset-1'!G578:S1188,2,)</f>
        <v>0</v>
      </c>
      <c r="I577" s="41">
        <f>VLOOKUP(H577,'Dataset-1'!H578:T1188,2,)</f>
        <v>3</v>
      </c>
      <c r="J577" s="71" t="str">
        <f>VLOOKUP(I577,'Dataset-1'!I578:U1188,2,)</f>
        <v>Tuesday</v>
      </c>
      <c r="K577" s="41">
        <f>VLOOKUP(J577,'Dataset-1'!J578:V1188,2,)</f>
        <v>3</v>
      </c>
      <c r="L577" s="41">
        <f>VLOOKUP(K577,'Dataset-1'!K578:W1188,2,)</f>
        <v>0.2</v>
      </c>
      <c r="M577" s="71" t="str">
        <f>VLOOKUP(L577,'Dataset-1'!L578:X1188,2,)</f>
        <v>Rainy</v>
      </c>
      <c r="N577" s="41">
        <f>VLOOKUP(A577,'Dataset-2'!B578:H1188,2,)</f>
        <v>0.18179999999999999</v>
      </c>
      <c r="O577" s="41">
        <f>VLOOKUP(N577,'Dataset-2'!C578:I1188,2,)</f>
        <v>0.86</v>
      </c>
      <c r="P577" s="41">
        <f>VLOOKUP(O577,'Dataset-2'!D578:J1188,2,)</f>
        <v>0.28360000000000002</v>
      </c>
      <c r="Q577" s="41">
        <f>VLOOKUP(P577,'Dataset-2'!E578:K1188,2,)</f>
        <v>0</v>
      </c>
      <c r="R577" s="41">
        <f>VLOOKUP(Q577,'Dataset-2'!F578:L1188,2,)</f>
        <v>8</v>
      </c>
      <c r="S577" s="41">
        <f>VLOOKUP(R577,'Dataset-2'!G578:M1188,2,)</f>
        <v>8</v>
      </c>
    </row>
    <row r="578" spans="1:19" x14ac:dyDescent="0.35">
      <c r="A578" s="40">
        <v>577</v>
      </c>
      <c r="B578" s="62">
        <f>VLOOKUP(A578,'Dataset-1'!A579:M1189,2,)</f>
        <v>40569</v>
      </c>
      <c r="C578" s="41">
        <f>VLOOKUP(B578,'Dataset-1'!B579:N1189,2,)</f>
        <v>1</v>
      </c>
      <c r="D578" s="41">
        <f>VLOOKUP(C578,'Dataset-1'!C579:O1189,2,)</f>
        <v>0</v>
      </c>
      <c r="E578" s="41">
        <f>VLOOKUP(D578,'Dataset-1'!D579:P1189,2,)</f>
        <v>1</v>
      </c>
      <c r="F578" s="41">
        <f>VLOOKUP(E578,'Dataset-1'!E579:Q1189,2,)</f>
        <v>7</v>
      </c>
      <c r="G578" s="71" t="str">
        <f>VLOOKUP(F578,'Dataset-1'!F579:R1189,2,)</f>
        <v>Morning</v>
      </c>
      <c r="H578" s="41" t="b">
        <f>VLOOKUP(G578,'Dataset-1'!G579:S1189,2,)</f>
        <v>0</v>
      </c>
      <c r="I578" s="41">
        <f>VLOOKUP(H578,'Dataset-1'!H579:T1189,2,)</f>
        <v>3</v>
      </c>
      <c r="J578" s="71" t="str">
        <f>VLOOKUP(I578,'Dataset-1'!I579:U1189,2,)</f>
        <v>Tuesday</v>
      </c>
      <c r="K578" s="41">
        <f>VLOOKUP(J578,'Dataset-1'!J579:V1189,2,)</f>
        <v>3</v>
      </c>
      <c r="L578" s="41">
        <f>VLOOKUP(K578,'Dataset-1'!K579:W1189,2,)</f>
        <v>0.22</v>
      </c>
      <c r="M578" s="71" t="str">
        <f>VLOOKUP(L578,'Dataset-1'!L579:X1189,2,)</f>
        <v>Cloudy</v>
      </c>
      <c r="N578" s="41">
        <f>VLOOKUP(A578,'Dataset-2'!B579:H1189,2,)</f>
        <v>0.21210000000000001</v>
      </c>
      <c r="O578" s="41">
        <f>VLOOKUP(N578,'Dataset-2'!C579:I1189,2,)</f>
        <v>0.87</v>
      </c>
      <c r="P578" s="41">
        <f>VLOOKUP(O578,'Dataset-2'!D579:J1189,2,)</f>
        <v>0.29849999999999999</v>
      </c>
      <c r="Q578" s="41">
        <f>VLOOKUP(P578,'Dataset-2'!E579:K1189,2,)</f>
        <v>1</v>
      </c>
      <c r="R578" s="41">
        <f>VLOOKUP(Q578,'Dataset-2'!F579:L1189,2,)</f>
        <v>29</v>
      </c>
      <c r="S578" s="41">
        <f>VLOOKUP(R578,'Dataset-2'!G579:M1189,2,)</f>
        <v>30</v>
      </c>
    </row>
    <row r="579" spans="1:19" x14ac:dyDescent="0.35">
      <c r="A579" s="40">
        <v>578</v>
      </c>
      <c r="B579" s="62">
        <f>VLOOKUP(A579,'Dataset-1'!A580:M1190,2,)</f>
        <v>40569</v>
      </c>
      <c r="C579" s="41">
        <f>VLOOKUP(B579,'Dataset-1'!B580:N1190,2,)</f>
        <v>1</v>
      </c>
      <c r="D579" s="41">
        <f>VLOOKUP(C579,'Dataset-1'!C580:O1190,2,)</f>
        <v>0</v>
      </c>
      <c r="E579" s="41">
        <f>VLOOKUP(D579,'Dataset-1'!D580:P1190,2,)</f>
        <v>1</v>
      </c>
      <c r="F579" s="41">
        <f>VLOOKUP(E579,'Dataset-1'!E580:Q1190,2,)</f>
        <v>8</v>
      </c>
      <c r="G579" s="71" t="str">
        <f>VLOOKUP(F579,'Dataset-1'!F580:R1190,2,)</f>
        <v>Morning</v>
      </c>
      <c r="H579" s="41" t="b">
        <f>VLOOKUP(G579,'Dataset-1'!G580:S1190,2,)</f>
        <v>0</v>
      </c>
      <c r="I579" s="41">
        <f>VLOOKUP(H579,'Dataset-1'!H580:T1190,2,)</f>
        <v>3</v>
      </c>
      <c r="J579" s="71" t="str">
        <f>VLOOKUP(I579,'Dataset-1'!I580:U1190,2,)</f>
        <v>Tuesday</v>
      </c>
      <c r="K579" s="41">
        <f>VLOOKUP(J579,'Dataset-1'!J580:V1190,2,)</f>
        <v>3</v>
      </c>
      <c r="L579" s="41">
        <f>VLOOKUP(K579,'Dataset-1'!K580:W1190,2,)</f>
        <v>0.22</v>
      </c>
      <c r="M579" s="71" t="str">
        <f>VLOOKUP(L579,'Dataset-1'!L580:X1190,2,)</f>
        <v>Cloudy</v>
      </c>
      <c r="N579" s="41">
        <f>VLOOKUP(A579,'Dataset-2'!B580:H1190,2,)</f>
        <v>0.21210000000000001</v>
      </c>
      <c r="O579" s="41">
        <f>VLOOKUP(N579,'Dataset-2'!C580:I1190,2,)</f>
        <v>0.87</v>
      </c>
      <c r="P579" s="41">
        <f>VLOOKUP(O579,'Dataset-2'!D580:J1190,2,)</f>
        <v>0.29849999999999999</v>
      </c>
      <c r="Q579" s="41">
        <f>VLOOKUP(P579,'Dataset-2'!E580:K1190,2,)</f>
        <v>3</v>
      </c>
      <c r="R579" s="41">
        <f>VLOOKUP(Q579,'Dataset-2'!F580:L1190,2,)</f>
        <v>69</v>
      </c>
      <c r="S579" s="41">
        <f>VLOOKUP(R579,'Dataset-2'!G580:M1190,2,)</f>
        <v>72</v>
      </c>
    </row>
    <row r="580" spans="1:19" x14ac:dyDescent="0.35">
      <c r="A580" s="40">
        <v>579</v>
      </c>
      <c r="B580" s="62">
        <f>VLOOKUP(A580,'Dataset-1'!A581:M1191,2,)</f>
        <v>40569</v>
      </c>
      <c r="C580" s="41">
        <f>VLOOKUP(B580,'Dataset-1'!B581:N1191,2,)</f>
        <v>1</v>
      </c>
      <c r="D580" s="41">
        <f>VLOOKUP(C580,'Dataset-1'!C581:O1191,2,)</f>
        <v>0</v>
      </c>
      <c r="E580" s="41">
        <f>VLOOKUP(D580,'Dataset-1'!D581:P1191,2,)</f>
        <v>1</v>
      </c>
      <c r="F580" s="41">
        <f>VLOOKUP(E580,'Dataset-1'!E581:Q1191,2,)</f>
        <v>9</v>
      </c>
      <c r="G580" s="71" t="str">
        <f>VLOOKUP(F580,'Dataset-1'!F581:R1191,2,)</f>
        <v>Morning</v>
      </c>
      <c r="H580" s="41" t="b">
        <f>VLOOKUP(G580,'Dataset-1'!G581:S1191,2,)</f>
        <v>0</v>
      </c>
      <c r="I580" s="41">
        <f>VLOOKUP(H580,'Dataset-1'!H581:T1191,2,)</f>
        <v>3</v>
      </c>
      <c r="J580" s="71" t="str">
        <f>VLOOKUP(I580,'Dataset-1'!I581:U1191,2,)</f>
        <v>Tuesday</v>
      </c>
      <c r="K580" s="41">
        <f>VLOOKUP(J580,'Dataset-1'!J581:V1191,2,)</f>
        <v>3</v>
      </c>
      <c r="L580" s="41">
        <f>VLOOKUP(K580,'Dataset-1'!K581:W1191,2,)</f>
        <v>0.22</v>
      </c>
      <c r="M580" s="71" t="str">
        <f>VLOOKUP(L580,'Dataset-1'!L581:X1191,2,)</f>
        <v>Cloudy</v>
      </c>
      <c r="N580" s="41">
        <f>VLOOKUP(A580,'Dataset-2'!B581:H1191,2,)</f>
        <v>0.21210000000000001</v>
      </c>
      <c r="O580" s="41">
        <f>VLOOKUP(N580,'Dataset-2'!C581:I1191,2,)</f>
        <v>0.87</v>
      </c>
      <c r="P580" s="41">
        <f>VLOOKUP(O580,'Dataset-2'!D581:J1191,2,)</f>
        <v>0.29849999999999999</v>
      </c>
      <c r="Q580" s="41">
        <f>VLOOKUP(P580,'Dataset-2'!E581:K1191,2,)</f>
        <v>3</v>
      </c>
      <c r="R580" s="41">
        <f>VLOOKUP(Q580,'Dataset-2'!F581:L1191,2,)</f>
        <v>55</v>
      </c>
      <c r="S580" s="41">
        <f>VLOOKUP(R580,'Dataset-2'!G581:M1191,2,)</f>
        <v>58</v>
      </c>
    </row>
    <row r="581" spans="1:19" x14ac:dyDescent="0.35">
      <c r="A581" s="40">
        <v>580</v>
      </c>
      <c r="B581" s="62">
        <f>VLOOKUP(A581,'Dataset-1'!A582:M1192,2,)</f>
        <v>40569</v>
      </c>
      <c r="C581" s="41">
        <f>VLOOKUP(B581,'Dataset-1'!B582:N1192,2,)</f>
        <v>1</v>
      </c>
      <c r="D581" s="41">
        <f>VLOOKUP(C581,'Dataset-1'!C582:O1192,2,)</f>
        <v>0</v>
      </c>
      <c r="E581" s="41">
        <f>VLOOKUP(D581,'Dataset-1'!D582:P1192,2,)</f>
        <v>1</v>
      </c>
      <c r="F581" s="41">
        <f>VLOOKUP(E581,'Dataset-1'!E582:Q1192,2,)</f>
        <v>10</v>
      </c>
      <c r="G581" s="71" t="str">
        <f>VLOOKUP(F581,'Dataset-1'!F582:R1192,2,)</f>
        <v>Morning</v>
      </c>
      <c r="H581" s="41" t="b">
        <f>VLOOKUP(G581,'Dataset-1'!G582:S1192,2,)</f>
        <v>0</v>
      </c>
      <c r="I581" s="41">
        <f>VLOOKUP(H581,'Dataset-1'!H582:T1192,2,)</f>
        <v>3</v>
      </c>
      <c r="J581" s="71" t="str">
        <f>VLOOKUP(I581,'Dataset-1'!I582:U1192,2,)</f>
        <v>Tuesday</v>
      </c>
      <c r="K581" s="41">
        <f>VLOOKUP(J581,'Dataset-1'!J582:V1192,2,)</f>
        <v>3</v>
      </c>
      <c r="L581" s="41">
        <f>VLOOKUP(K581,'Dataset-1'!K582:W1192,2,)</f>
        <v>0.22</v>
      </c>
      <c r="M581" s="71" t="str">
        <f>VLOOKUP(L581,'Dataset-1'!L582:X1192,2,)</f>
        <v>Cloudy</v>
      </c>
      <c r="N581" s="41">
        <f>VLOOKUP(A581,'Dataset-2'!B582:H1192,2,)</f>
        <v>0.21210000000000001</v>
      </c>
      <c r="O581" s="41">
        <f>VLOOKUP(N581,'Dataset-2'!C582:I1192,2,)</f>
        <v>0.93</v>
      </c>
      <c r="P581" s="41">
        <f>VLOOKUP(O581,'Dataset-2'!D582:J1192,2,)</f>
        <v>0.28360000000000002</v>
      </c>
      <c r="Q581" s="41">
        <f>VLOOKUP(P581,'Dataset-2'!E582:K1192,2,)</f>
        <v>2</v>
      </c>
      <c r="R581" s="41">
        <f>VLOOKUP(Q581,'Dataset-2'!F582:L1192,2,)</f>
        <v>26</v>
      </c>
      <c r="S581" s="41">
        <f>VLOOKUP(R581,'Dataset-2'!G582:M1192,2,)</f>
        <v>28</v>
      </c>
    </row>
    <row r="582" spans="1:19" x14ac:dyDescent="0.35">
      <c r="A582" s="40">
        <v>581</v>
      </c>
      <c r="B582" s="62">
        <f>VLOOKUP(A582,'Dataset-1'!A583:M1193,2,)</f>
        <v>40569</v>
      </c>
      <c r="C582" s="41">
        <f>VLOOKUP(B582,'Dataset-1'!B583:N1193,2,)</f>
        <v>1</v>
      </c>
      <c r="D582" s="41">
        <f>VLOOKUP(C582,'Dataset-1'!C583:O1193,2,)</f>
        <v>0</v>
      </c>
      <c r="E582" s="41">
        <f>VLOOKUP(D582,'Dataset-1'!D583:P1193,2,)</f>
        <v>1</v>
      </c>
      <c r="F582" s="41">
        <f>VLOOKUP(E582,'Dataset-1'!E583:Q1193,2,)</f>
        <v>11</v>
      </c>
      <c r="G582" s="71" t="str">
        <f>VLOOKUP(F582,'Dataset-1'!F583:R1193,2,)</f>
        <v>Morning</v>
      </c>
      <c r="H582" s="41" t="b">
        <f>VLOOKUP(G582,'Dataset-1'!G583:S1193,2,)</f>
        <v>0</v>
      </c>
      <c r="I582" s="41">
        <f>VLOOKUP(H582,'Dataset-1'!H583:T1193,2,)</f>
        <v>3</v>
      </c>
      <c r="J582" s="71" t="str">
        <f>VLOOKUP(I582,'Dataset-1'!I583:U1193,2,)</f>
        <v>Tuesday</v>
      </c>
      <c r="K582" s="41">
        <f>VLOOKUP(J582,'Dataset-1'!J583:V1193,2,)</f>
        <v>3</v>
      </c>
      <c r="L582" s="41">
        <f>VLOOKUP(K582,'Dataset-1'!K583:W1193,2,)</f>
        <v>0.22</v>
      </c>
      <c r="M582" s="71" t="str">
        <f>VLOOKUP(L582,'Dataset-1'!L583:X1193,2,)</f>
        <v>Cloudy</v>
      </c>
      <c r="N582" s="41">
        <f>VLOOKUP(A582,'Dataset-2'!B583:H1193,2,)</f>
        <v>0.19700000000000001</v>
      </c>
      <c r="O582" s="41">
        <f>VLOOKUP(N582,'Dataset-2'!C583:I1193,2,)</f>
        <v>0.93</v>
      </c>
      <c r="P582" s="41">
        <f>VLOOKUP(O582,'Dataset-2'!D583:J1193,2,)</f>
        <v>0.32840000000000003</v>
      </c>
      <c r="Q582" s="41">
        <f>VLOOKUP(P582,'Dataset-2'!E583:K1193,2,)</f>
        <v>6</v>
      </c>
      <c r="R582" s="41">
        <f>VLOOKUP(Q582,'Dataset-2'!F583:L1193,2,)</f>
        <v>35</v>
      </c>
      <c r="S582" s="41">
        <f>VLOOKUP(R582,'Dataset-2'!G583:M1193,2,)</f>
        <v>41</v>
      </c>
    </row>
    <row r="583" spans="1:19" x14ac:dyDescent="0.35">
      <c r="A583" s="40">
        <v>582</v>
      </c>
      <c r="B583" s="62">
        <f>VLOOKUP(A583,'Dataset-1'!A584:M1194,2,)</f>
        <v>40569</v>
      </c>
      <c r="C583" s="41">
        <f>VLOOKUP(B583,'Dataset-1'!B584:N1194,2,)</f>
        <v>1</v>
      </c>
      <c r="D583" s="41">
        <f>VLOOKUP(C583,'Dataset-1'!C584:O1194,2,)</f>
        <v>0</v>
      </c>
      <c r="E583" s="41">
        <f>VLOOKUP(D583,'Dataset-1'!D584:P1194,2,)</f>
        <v>1</v>
      </c>
      <c r="F583" s="41">
        <f>VLOOKUP(E583,'Dataset-1'!E584:Q1194,2,)</f>
        <v>12</v>
      </c>
      <c r="G583" s="71" t="str">
        <f>VLOOKUP(F583,'Dataset-1'!F584:R1194,2,)</f>
        <v>AfterNoon</v>
      </c>
      <c r="H583" s="41" t="b">
        <f>VLOOKUP(G583,'Dataset-1'!G584:S1194,2,)</f>
        <v>0</v>
      </c>
      <c r="I583" s="41">
        <f>VLOOKUP(H583,'Dataset-1'!H584:T1194,2,)</f>
        <v>3</v>
      </c>
      <c r="J583" s="71" t="str">
        <f>VLOOKUP(I583,'Dataset-1'!I584:U1194,2,)</f>
        <v>Tuesday</v>
      </c>
      <c r="K583" s="41">
        <f>VLOOKUP(J583,'Dataset-1'!J584:V1194,2,)</f>
        <v>3</v>
      </c>
      <c r="L583" s="41">
        <f>VLOOKUP(K583,'Dataset-1'!K584:W1194,2,)</f>
        <v>0.22</v>
      </c>
      <c r="M583" s="71" t="str">
        <f>VLOOKUP(L583,'Dataset-1'!L584:X1194,2,)</f>
        <v>Cloudy</v>
      </c>
      <c r="N583" s="41">
        <f>VLOOKUP(A583,'Dataset-2'!B584:H1194,2,)</f>
        <v>0.19700000000000001</v>
      </c>
      <c r="O583" s="41">
        <f>VLOOKUP(N583,'Dataset-2'!C584:I1194,2,)</f>
        <v>0.93</v>
      </c>
      <c r="P583" s="41">
        <f>VLOOKUP(O583,'Dataset-2'!D584:J1194,2,)</f>
        <v>0.32840000000000003</v>
      </c>
      <c r="Q583" s="41">
        <f>VLOOKUP(P583,'Dataset-2'!E584:K1194,2,)</f>
        <v>7</v>
      </c>
      <c r="R583" s="41">
        <f>VLOOKUP(Q583,'Dataset-2'!F584:L1194,2,)</f>
        <v>41</v>
      </c>
      <c r="S583" s="41">
        <f>VLOOKUP(R583,'Dataset-2'!G584:M1194,2,)</f>
        <v>48</v>
      </c>
    </row>
    <row r="584" spans="1:19" x14ac:dyDescent="0.35">
      <c r="A584" s="40">
        <v>583</v>
      </c>
      <c r="B584" s="62">
        <f>VLOOKUP(A584,'Dataset-1'!A585:M1195,2,)</f>
        <v>40569</v>
      </c>
      <c r="C584" s="41">
        <f>VLOOKUP(B584,'Dataset-1'!B585:N1195,2,)</f>
        <v>1</v>
      </c>
      <c r="D584" s="41">
        <f>VLOOKUP(C584,'Dataset-1'!C585:O1195,2,)</f>
        <v>0</v>
      </c>
      <c r="E584" s="41">
        <f>VLOOKUP(D584,'Dataset-1'!D585:P1195,2,)</f>
        <v>1</v>
      </c>
      <c r="F584" s="41">
        <f>VLOOKUP(E584,'Dataset-1'!E585:Q1195,2,)</f>
        <v>13</v>
      </c>
      <c r="G584" s="71" t="str">
        <f>VLOOKUP(F584,'Dataset-1'!F585:R1195,2,)</f>
        <v>AfterNoon</v>
      </c>
      <c r="H584" s="41" t="b">
        <f>VLOOKUP(G584,'Dataset-1'!G585:S1195,2,)</f>
        <v>0</v>
      </c>
      <c r="I584" s="41">
        <f>VLOOKUP(H584,'Dataset-1'!H585:T1195,2,)</f>
        <v>3</v>
      </c>
      <c r="J584" s="71" t="str">
        <f>VLOOKUP(I584,'Dataset-1'!I585:U1195,2,)</f>
        <v>Tuesday</v>
      </c>
      <c r="K584" s="41">
        <f>VLOOKUP(J584,'Dataset-1'!J585:V1195,2,)</f>
        <v>3</v>
      </c>
      <c r="L584" s="41">
        <f>VLOOKUP(K584,'Dataset-1'!K585:W1195,2,)</f>
        <v>0.22</v>
      </c>
      <c r="M584" s="71" t="str">
        <f>VLOOKUP(L584,'Dataset-1'!L585:X1195,2,)</f>
        <v>Cloudy</v>
      </c>
      <c r="N584" s="41">
        <f>VLOOKUP(A584,'Dataset-2'!B585:H1195,2,)</f>
        <v>0.19700000000000001</v>
      </c>
      <c r="O584" s="41">
        <f>VLOOKUP(N584,'Dataset-2'!C585:I1195,2,)</f>
        <v>0.93</v>
      </c>
      <c r="P584" s="41">
        <f>VLOOKUP(O584,'Dataset-2'!D585:J1195,2,)</f>
        <v>0.32840000000000003</v>
      </c>
      <c r="Q584" s="41">
        <f>VLOOKUP(P584,'Dataset-2'!E585:K1195,2,)</f>
        <v>4</v>
      </c>
      <c r="R584" s="41">
        <f>VLOOKUP(Q584,'Dataset-2'!F585:L1195,2,)</f>
        <v>43</v>
      </c>
      <c r="S584" s="41">
        <f>VLOOKUP(R584,'Dataset-2'!G585:M1195,2,)</f>
        <v>47</v>
      </c>
    </row>
    <row r="585" spans="1:19" x14ac:dyDescent="0.35">
      <c r="A585" s="40">
        <v>584</v>
      </c>
      <c r="B585" s="62">
        <f>VLOOKUP(A585,'Dataset-1'!A586:M1196,2,)</f>
        <v>40569</v>
      </c>
      <c r="C585" s="41">
        <f>VLOOKUP(B585,'Dataset-1'!B586:N1196,2,)</f>
        <v>1</v>
      </c>
      <c r="D585" s="41">
        <f>VLOOKUP(C585,'Dataset-1'!C586:O1196,2,)</f>
        <v>0</v>
      </c>
      <c r="E585" s="41">
        <f>VLOOKUP(D585,'Dataset-1'!D586:P1196,2,)</f>
        <v>1</v>
      </c>
      <c r="F585" s="41">
        <f>VLOOKUP(E585,'Dataset-1'!E586:Q1196,2,)</f>
        <v>14</v>
      </c>
      <c r="G585" s="71" t="str">
        <f>VLOOKUP(F585,'Dataset-1'!F586:R1196,2,)</f>
        <v>AfterNoon</v>
      </c>
      <c r="H585" s="41" t="b">
        <f>VLOOKUP(G585,'Dataset-1'!G586:S1196,2,)</f>
        <v>0</v>
      </c>
      <c r="I585" s="41">
        <f>VLOOKUP(H585,'Dataset-1'!H586:T1196,2,)</f>
        <v>3</v>
      </c>
      <c r="J585" s="71" t="str">
        <f>VLOOKUP(I585,'Dataset-1'!I586:U1196,2,)</f>
        <v>Tuesday</v>
      </c>
      <c r="K585" s="41">
        <f>VLOOKUP(J585,'Dataset-1'!J586:V1196,2,)</f>
        <v>3</v>
      </c>
      <c r="L585" s="41">
        <f>VLOOKUP(K585,'Dataset-1'!K586:W1196,2,)</f>
        <v>0.22</v>
      </c>
      <c r="M585" s="71" t="str">
        <f>VLOOKUP(L585,'Dataset-1'!L586:X1196,2,)</f>
        <v>Cloudy</v>
      </c>
      <c r="N585" s="41">
        <f>VLOOKUP(A585,'Dataset-2'!B586:H1196,2,)</f>
        <v>0.19700000000000001</v>
      </c>
      <c r="O585" s="41">
        <f>VLOOKUP(N585,'Dataset-2'!C586:I1196,2,)</f>
        <v>0.93</v>
      </c>
      <c r="P585" s="41">
        <f>VLOOKUP(O585,'Dataset-2'!D586:J1196,2,)</f>
        <v>0.35820000000000002</v>
      </c>
      <c r="Q585" s="41">
        <f>VLOOKUP(P585,'Dataset-2'!E586:K1196,2,)</f>
        <v>0</v>
      </c>
      <c r="R585" s="41">
        <f>VLOOKUP(Q585,'Dataset-2'!F586:L1196,2,)</f>
        <v>36</v>
      </c>
      <c r="S585" s="41">
        <f>VLOOKUP(R585,'Dataset-2'!G586:M1196,2,)</f>
        <v>36</v>
      </c>
    </row>
    <row r="586" spans="1:19" x14ac:dyDescent="0.35">
      <c r="A586" s="40">
        <v>585</v>
      </c>
      <c r="B586" s="62">
        <f>VLOOKUP(A586,'Dataset-1'!A587:M1197,2,)</f>
        <v>40569</v>
      </c>
      <c r="C586" s="41">
        <f>VLOOKUP(B586,'Dataset-1'!B587:N1197,2,)</f>
        <v>1</v>
      </c>
      <c r="D586" s="41">
        <f>VLOOKUP(C586,'Dataset-1'!C587:O1197,2,)</f>
        <v>0</v>
      </c>
      <c r="E586" s="41">
        <f>VLOOKUP(D586,'Dataset-1'!D587:P1197,2,)</f>
        <v>1</v>
      </c>
      <c r="F586" s="41">
        <f>VLOOKUP(E586,'Dataset-1'!E587:Q1197,2,)</f>
        <v>15</v>
      </c>
      <c r="G586" s="71" t="str">
        <f>VLOOKUP(F586,'Dataset-1'!F587:R1197,2,)</f>
        <v>AfterNoon</v>
      </c>
      <c r="H586" s="41" t="b">
        <f>VLOOKUP(G586,'Dataset-1'!G587:S1197,2,)</f>
        <v>0</v>
      </c>
      <c r="I586" s="41">
        <f>VLOOKUP(H586,'Dataset-1'!H587:T1197,2,)</f>
        <v>3</v>
      </c>
      <c r="J586" s="71" t="str">
        <f>VLOOKUP(I586,'Dataset-1'!I587:U1197,2,)</f>
        <v>Tuesday</v>
      </c>
      <c r="K586" s="41">
        <f>VLOOKUP(J586,'Dataset-1'!J587:V1197,2,)</f>
        <v>3</v>
      </c>
      <c r="L586" s="41">
        <f>VLOOKUP(K586,'Dataset-1'!K587:W1197,2,)</f>
        <v>0.22</v>
      </c>
      <c r="M586" s="71" t="str">
        <f>VLOOKUP(L586,'Dataset-1'!L587:X1197,2,)</f>
        <v>Cloudy</v>
      </c>
      <c r="N586" s="41">
        <f>VLOOKUP(A586,'Dataset-2'!B587:H1197,2,)</f>
        <v>0.18179999999999999</v>
      </c>
      <c r="O586" s="41">
        <f>VLOOKUP(N586,'Dataset-2'!C587:I1197,2,)</f>
        <v>0.93</v>
      </c>
      <c r="P586" s="41">
        <f>VLOOKUP(O586,'Dataset-2'!D587:J1197,2,)</f>
        <v>0.4627</v>
      </c>
      <c r="Q586" s="41">
        <f>VLOOKUP(P586,'Dataset-2'!E587:K1197,2,)</f>
        <v>1</v>
      </c>
      <c r="R586" s="41">
        <f>VLOOKUP(Q586,'Dataset-2'!F587:L1197,2,)</f>
        <v>42</v>
      </c>
      <c r="S586" s="41">
        <f>VLOOKUP(R586,'Dataset-2'!G587:M1197,2,)</f>
        <v>43</v>
      </c>
    </row>
    <row r="587" spans="1:19" x14ac:dyDescent="0.35">
      <c r="A587" s="40">
        <v>586</v>
      </c>
      <c r="B587" s="62">
        <f>VLOOKUP(A587,'Dataset-1'!A588:M1198,2,)</f>
        <v>40569</v>
      </c>
      <c r="C587" s="41">
        <f>VLOOKUP(B587,'Dataset-1'!B588:N1198,2,)</f>
        <v>1</v>
      </c>
      <c r="D587" s="41">
        <f>VLOOKUP(C587,'Dataset-1'!C588:O1198,2,)</f>
        <v>0</v>
      </c>
      <c r="E587" s="41">
        <f>VLOOKUP(D587,'Dataset-1'!D588:P1198,2,)</f>
        <v>1</v>
      </c>
      <c r="F587" s="41">
        <f>VLOOKUP(E587,'Dataset-1'!E588:Q1198,2,)</f>
        <v>16</v>
      </c>
      <c r="G587" s="71" t="str">
        <f>VLOOKUP(F587,'Dataset-1'!F588:R1198,2,)</f>
        <v>AfterNoon</v>
      </c>
      <c r="H587" s="41" t="b">
        <f>VLOOKUP(G587,'Dataset-1'!G588:S1198,2,)</f>
        <v>0</v>
      </c>
      <c r="I587" s="41">
        <f>VLOOKUP(H587,'Dataset-1'!H588:T1198,2,)</f>
        <v>3</v>
      </c>
      <c r="J587" s="71" t="str">
        <f>VLOOKUP(I587,'Dataset-1'!I588:U1198,2,)</f>
        <v>Tuesday</v>
      </c>
      <c r="K587" s="41">
        <f>VLOOKUP(J587,'Dataset-1'!J588:V1198,2,)</f>
        <v>4</v>
      </c>
      <c r="L587" s="41">
        <f>VLOOKUP(K587,'Dataset-1'!K588:W1198,2,)</f>
        <v>0.22</v>
      </c>
      <c r="M587" s="71" t="str">
        <f>VLOOKUP(L587,'Dataset-1'!L588:X1198,2,)</f>
        <v>Cloudy</v>
      </c>
      <c r="N587" s="41">
        <f>VLOOKUP(A587,'Dataset-2'!B588:H1198,2,)</f>
        <v>0.19700000000000001</v>
      </c>
      <c r="O587" s="41">
        <f>VLOOKUP(N587,'Dataset-2'!C588:I1198,2,)</f>
        <v>0.93</v>
      </c>
      <c r="P587" s="41">
        <f>VLOOKUP(O587,'Dataset-2'!D588:J1198,2,)</f>
        <v>0.32840000000000003</v>
      </c>
      <c r="Q587" s="41">
        <f>VLOOKUP(P587,'Dataset-2'!E588:K1198,2,)</f>
        <v>1</v>
      </c>
      <c r="R587" s="41">
        <f>VLOOKUP(Q587,'Dataset-2'!F588:L1198,2,)</f>
        <v>35</v>
      </c>
      <c r="S587" s="41">
        <f>VLOOKUP(R587,'Dataset-2'!G588:M1198,2,)</f>
        <v>36</v>
      </c>
    </row>
    <row r="588" spans="1:19" x14ac:dyDescent="0.35">
      <c r="A588" s="40">
        <v>587</v>
      </c>
      <c r="B588" s="62">
        <f>VLOOKUP(A588,'Dataset-1'!A589:M1199,2,)</f>
        <v>40569</v>
      </c>
      <c r="C588" s="41">
        <f>VLOOKUP(B588,'Dataset-1'!B589:N1199,2,)</f>
        <v>1</v>
      </c>
      <c r="D588" s="41">
        <f>VLOOKUP(C588,'Dataset-1'!C589:O1199,2,)</f>
        <v>0</v>
      </c>
      <c r="E588" s="41">
        <f>VLOOKUP(D588,'Dataset-1'!D589:P1199,2,)</f>
        <v>1</v>
      </c>
      <c r="F588" s="41">
        <f>VLOOKUP(E588,'Dataset-1'!E589:Q1199,2,)</f>
        <v>17</v>
      </c>
      <c r="G588" s="71" t="str">
        <f>VLOOKUP(F588,'Dataset-1'!F589:R1199,2,)</f>
        <v>Evening</v>
      </c>
      <c r="H588" s="41" t="b">
        <f>VLOOKUP(G588,'Dataset-1'!G589:S1199,2,)</f>
        <v>0</v>
      </c>
      <c r="I588" s="41">
        <f>VLOOKUP(H588,'Dataset-1'!H589:T1199,2,)</f>
        <v>3</v>
      </c>
      <c r="J588" s="71" t="str">
        <f>VLOOKUP(I588,'Dataset-1'!I589:U1199,2,)</f>
        <v>Tuesday</v>
      </c>
      <c r="K588" s="41">
        <f>VLOOKUP(J588,'Dataset-1'!J589:V1199,2,)</f>
        <v>3</v>
      </c>
      <c r="L588" s="41">
        <f>VLOOKUP(K588,'Dataset-1'!K589:W1199,2,)</f>
        <v>0.2</v>
      </c>
      <c r="M588" s="71" t="str">
        <f>VLOOKUP(L588,'Dataset-1'!L589:X1199,2,)</f>
        <v>Rainy</v>
      </c>
      <c r="N588" s="41">
        <f>VLOOKUP(A588,'Dataset-2'!B589:H1199,2,)</f>
        <v>0.18179999999999999</v>
      </c>
      <c r="O588" s="41">
        <f>VLOOKUP(N588,'Dataset-2'!C589:I1199,2,)</f>
        <v>0.93</v>
      </c>
      <c r="P588" s="41">
        <f>VLOOKUP(O588,'Dataset-2'!D589:J1199,2,)</f>
        <v>0.35820000000000002</v>
      </c>
      <c r="Q588" s="41">
        <f>VLOOKUP(P588,'Dataset-2'!E589:K1199,2,)</f>
        <v>0</v>
      </c>
      <c r="R588" s="41">
        <f>VLOOKUP(Q588,'Dataset-2'!F589:L1199,2,)</f>
        <v>26</v>
      </c>
      <c r="S588" s="41">
        <f>VLOOKUP(R588,'Dataset-2'!G589:M1199,2,)</f>
        <v>26</v>
      </c>
    </row>
    <row r="589" spans="1:19" x14ac:dyDescent="0.35">
      <c r="A589" s="40">
        <v>588</v>
      </c>
      <c r="B589" s="62">
        <f>VLOOKUP(A589,'Dataset-1'!A590:M1200,2,)</f>
        <v>40570</v>
      </c>
      <c r="C589" s="41">
        <f>VLOOKUP(B589,'Dataset-1'!B590:N1200,2,)</f>
        <v>1</v>
      </c>
      <c r="D589" s="41">
        <f>VLOOKUP(C589,'Dataset-1'!C590:O1200,2,)</f>
        <v>0</v>
      </c>
      <c r="E589" s="41">
        <f>VLOOKUP(D589,'Dataset-1'!D590:P1200,2,)</f>
        <v>1</v>
      </c>
      <c r="F589" s="41">
        <f>VLOOKUP(E589,'Dataset-1'!E590:Q1200,2,)</f>
        <v>16</v>
      </c>
      <c r="G589" s="71" t="str">
        <f>VLOOKUP(F589,'Dataset-1'!F590:R1200,2,)</f>
        <v>AfterNoon</v>
      </c>
      <c r="H589" s="41" t="b">
        <f>VLOOKUP(G589,'Dataset-1'!G590:S1200,2,)</f>
        <v>0</v>
      </c>
      <c r="I589" s="41">
        <f>VLOOKUP(H589,'Dataset-1'!H590:T1200,2,)</f>
        <v>4</v>
      </c>
      <c r="J589" s="71" t="str">
        <f>VLOOKUP(I589,'Dataset-1'!I590:U1200,2,)</f>
        <v>Wednesday</v>
      </c>
      <c r="K589" s="41">
        <f>VLOOKUP(J589,'Dataset-1'!J590:V1200,2,)</f>
        <v>1</v>
      </c>
      <c r="L589" s="41">
        <f>VLOOKUP(K589,'Dataset-1'!K590:W1200,2,)</f>
        <v>0.22</v>
      </c>
      <c r="M589" s="71" t="str">
        <f>VLOOKUP(L589,'Dataset-1'!L590:X1200,2,)</f>
        <v>Cloudy</v>
      </c>
      <c r="N589" s="41">
        <f>VLOOKUP(A589,'Dataset-2'!B590:H1200,2,)</f>
        <v>0.2273</v>
      </c>
      <c r="O589" s="41">
        <f>VLOOKUP(N589,'Dataset-2'!C590:I1200,2,)</f>
        <v>0.55000000000000004</v>
      </c>
      <c r="P589" s="41">
        <f>VLOOKUP(O589,'Dataset-2'!D590:J1200,2,)</f>
        <v>0.19400000000000001</v>
      </c>
      <c r="Q589" s="41">
        <f>VLOOKUP(P589,'Dataset-2'!E590:K1200,2,)</f>
        <v>1</v>
      </c>
      <c r="R589" s="41">
        <f>VLOOKUP(Q589,'Dataset-2'!F590:L1200,2,)</f>
        <v>23</v>
      </c>
      <c r="S589" s="41">
        <f>VLOOKUP(R589,'Dataset-2'!G590:M1200,2,)</f>
        <v>24</v>
      </c>
    </row>
    <row r="590" spans="1:19" x14ac:dyDescent="0.35">
      <c r="A590" s="40">
        <v>589</v>
      </c>
      <c r="B590" s="62">
        <f>VLOOKUP(A590,'Dataset-1'!A591:M1201,2,)</f>
        <v>40570</v>
      </c>
      <c r="C590" s="41">
        <f>VLOOKUP(B590,'Dataset-1'!B591:N1201,2,)</f>
        <v>1</v>
      </c>
      <c r="D590" s="41">
        <f>VLOOKUP(C590,'Dataset-1'!C591:O1201,2,)</f>
        <v>0</v>
      </c>
      <c r="E590" s="41">
        <f>VLOOKUP(D590,'Dataset-1'!D591:P1201,2,)</f>
        <v>1</v>
      </c>
      <c r="F590" s="41">
        <f>VLOOKUP(E590,'Dataset-1'!E591:Q1201,2,)</f>
        <v>17</v>
      </c>
      <c r="G590" s="71" t="str">
        <f>VLOOKUP(F590,'Dataset-1'!F591:R1201,2,)</f>
        <v>Evening</v>
      </c>
      <c r="H590" s="41" t="b">
        <f>VLOOKUP(G590,'Dataset-1'!G591:S1201,2,)</f>
        <v>0</v>
      </c>
      <c r="I590" s="41">
        <f>VLOOKUP(H590,'Dataset-1'!H591:T1201,2,)</f>
        <v>4</v>
      </c>
      <c r="J590" s="71" t="str">
        <f>VLOOKUP(I590,'Dataset-1'!I591:U1201,2,)</f>
        <v>Wednesday</v>
      </c>
      <c r="K590" s="41">
        <f>VLOOKUP(J590,'Dataset-1'!J591:V1201,2,)</f>
        <v>1</v>
      </c>
      <c r="L590" s="41">
        <f>VLOOKUP(K590,'Dataset-1'!K591:W1201,2,)</f>
        <v>0.22</v>
      </c>
      <c r="M590" s="71" t="str">
        <f>VLOOKUP(L590,'Dataset-1'!L591:X1201,2,)</f>
        <v>Cloudy</v>
      </c>
      <c r="N590" s="41">
        <f>VLOOKUP(A590,'Dataset-2'!B591:H1201,2,)</f>
        <v>0.2424</v>
      </c>
      <c r="O590" s="41">
        <f>VLOOKUP(N590,'Dataset-2'!C591:I1201,2,)</f>
        <v>0.55000000000000004</v>
      </c>
      <c r="P590" s="41">
        <f>VLOOKUP(O590,'Dataset-2'!D591:J1201,2,)</f>
        <v>0.1045</v>
      </c>
      <c r="Q590" s="41">
        <f>VLOOKUP(P590,'Dataset-2'!E591:K1201,2,)</f>
        <v>2</v>
      </c>
      <c r="R590" s="41">
        <f>VLOOKUP(Q590,'Dataset-2'!F591:L1201,2,)</f>
        <v>82</v>
      </c>
      <c r="S590" s="41">
        <f>VLOOKUP(R590,'Dataset-2'!G591:M1201,2,)</f>
        <v>84</v>
      </c>
    </row>
    <row r="591" spans="1:19" x14ac:dyDescent="0.35">
      <c r="A591" s="40">
        <v>590</v>
      </c>
      <c r="B591" s="62">
        <f>VLOOKUP(A591,'Dataset-1'!A592:M1202,2,)</f>
        <v>40570</v>
      </c>
      <c r="C591" s="41">
        <f>VLOOKUP(B591,'Dataset-1'!B592:N1202,2,)</f>
        <v>1</v>
      </c>
      <c r="D591" s="41">
        <f>VLOOKUP(C591,'Dataset-1'!C592:O1202,2,)</f>
        <v>0</v>
      </c>
      <c r="E591" s="41">
        <f>VLOOKUP(D591,'Dataset-1'!D592:P1202,2,)</f>
        <v>1</v>
      </c>
      <c r="F591" s="41">
        <f>VLOOKUP(E591,'Dataset-1'!E592:Q1202,2,)</f>
        <v>18</v>
      </c>
      <c r="G591" s="71" t="str">
        <f>VLOOKUP(F591,'Dataset-1'!F592:R1202,2,)</f>
        <v>Evening</v>
      </c>
      <c r="H591" s="41" t="b">
        <f>VLOOKUP(G591,'Dataset-1'!G592:S1202,2,)</f>
        <v>0</v>
      </c>
      <c r="I591" s="41">
        <f>VLOOKUP(H591,'Dataset-1'!H592:T1202,2,)</f>
        <v>4</v>
      </c>
      <c r="J591" s="71" t="str">
        <f>VLOOKUP(I591,'Dataset-1'!I592:U1202,2,)</f>
        <v>Wednesday</v>
      </c>
      <c r="K591" s="41">
        <f>VLOOKUP(J591,'Dataset-1'!J592:V1202,2,)</f>
        <v>1</v>
      </c>
      <c r="L591" s="41">
        <f>VLOOKUP(K591,'Dataset-1'!K592:W1202,2,)</f>
        <v>0.2</v>
      </c>
      <c r="M591" s="71" t="str">
        <f>VLOOKUP(L591,'Dataset-1'!L592:X1202,2,)</f>
        <v>Rainy</v>
      </c>
      <c r="N591" s="41">
        <f>VLOOKUP(A591,'Dataset-2'!B592:H1202,2,)</f>
        <v>0.2273</v>
      </c>
      <c r="O591" s="41">
        <f>VLOOKUP(N591,'Dataset-2'!C592:I1202,2,)</f>
        <v>0.69</v>
      </c>
      <c r="P591" s="41">
        <f>VLOOKUP(O591,'Dataset-2'!D592:J1202,2,)</f>
        <v>8.9599999999999999E-2</v>
      </c>
      <c r="Q591" s="41">
        <f>VLOOKUP(P591,'Dataset-2'!E592:K1202,2,)</f>
        <v>3</v>
      </c>
      <c r="R591" s="41">
        <f>VLOOKUP(Q591,'Dataset-2'!F592:L1202,2,)</f>
        <v>101</v>
      </c>
      <c r="S591" s="41">
        <f>VLOOKUP(R591,'Dataset-2'!G592:M1202,2,)</f>
        <v>104</v>
      </c>
    </row>
    <row r="592" spans="1:19" x14ac:dyDescent="0.35">
      <c r="A592" s="40">
        <v>591</v>
      </c>
      <c r="B592" s="62">
        <f>VLOOKUP(A592,'Dataset-1'!A593:M1203,2,)</f>
        <v>40570</v>
      </c>
      <c r="C592" s="41">
        <f>VLOOKUP(B592,'Dataset-1'!B593:N1203,2,)</f>
        <v>1</v>
      </c>
      <c r="D592" s="41">
        <f>VLOOKUP(C592,'Dataset-1'!C593:O1203,2,)</f>
        <v>0</v>
      </c>
      <c r="E592" s="41">
        <f>VLOOKUP(D592,'Dataset-1'!D593:P1203,2,)</f>
        <v>1</v>
      </c>
      <c r="F592" s="41">
        <f>VLOOKUP(E592,'Dataset-1'!E593:Q1203,2,)</f>
        <v>19</v>
      </c>
      <c r="G592" s="71" t="str">
        <f>VLOOKUP(F592,'Dataset-1'!F593:R1203,2,)</f>
        <v>Evening</v>
      </c>
      <c r="H592" s="41" t="b">
        <f>VLOOKUP(G592,'Dataset-1'!G593:S1203,2,)</f>
        <v>0</v>
      </c>
      <c r="I592" s="41">
        <f>VLOOKUP(H592,'Dataset-1'!H593:T1203,2,)</f>
        <v>4</v>
      </c>
      <c r="J592" s="71" t="str">
        <f>VLOOKUP(I592,'Dataset-1'!I593:U1203,2,)</f>
        <v>Wednesday</v>
      </c>
      <c r="K592" s="41">
        <f>VLOOKUP(J592,'Dataset-1'!J593:V1203,2,)</f>
        <v>1</v>
      </c>
      <c r="L592" s="41">
        <f>VLOOKUP(K592,'Dataset-1'!K593:W1203,2,)</f>
        <v>0.2</v>
      </c>
      <c r="M592" s="71" t="str">
        <f>VLOOKUP(L592,'Dataset-1'!L593:X1203,2,)</f>
        <v>Rainy</v>
      </c>
      <c r="N592" s="41">
        <f>VLOOKUP(A592,'Dataset-2'!B593:H1203,2,)</f>
        <v>0.2273</v>
      </c>
      <c r="O592" s="41">
        <f>VLOOKUP(N592,'Dataset-2'!C593:I1203,2,)</f>
        <v>0.69</v>
      </c>
      <c r="P592" s="41">
        <f>VLOOKUP(O592,'Dataset-2'!D593:J1203,2,)</f>
        <v>8.9599999999999999E-2</v>
      </c>
      <c r="Q592" s="41">
        <f>VLOOKUP(P592,'Dataset-2'!E593:K1203,2,)</f>
        <v>3</v>
      </c>
      <c r="R592" s="41">
        <f>VLOOKUP(Q592,'Dataset-2'!F593:L1203,2,)</f>
        <v>76</v>
      </c>
      <c r="S592" s="41">
        <f>VLOOKUP(R592,'Dataset-2'!G593:M1203,2,)</f>
        <v>79</v>
      </c>
    </row>
    <row r="593" spans="1:19" x14ac:dyDescent="0.35">
      <c r="A593" s="40">
        <v>592</v>
      </c>
      <c r="B593" s="62">
        <f>VLOOKUP(A593,'Dataset-1'!A594:M1204,2,)</f>
        <v>40570</v>
      </c>
      <c r="C593" s="41">
        <f>VLOOKUP(B593,'Dataset-1'!B594:N1204,2,)</f>
        <v>1</v>
      </c>
      <c r="D593" s="41">
        <f>VLOOKUP(C593,'Dataset-1'!C594:O1204,2,)</f>
        <v>0</v>
      </c>
      <c r="E593" s="41">
        <f>VLOOKUP(D593,'Dataset-1'!D594:P1204,2,)</f>
        <v>1</v>
      </c>
      <c r="F593" s="41">
        <f>VLOOKUP(E593,'Dataset-1'!E594:Q1204,2,)</f>
        <v>20</v>
      </c>
      <c r="G593" s="71" t="str">
        <f>VLOOKUP(F593,'Dataset-1'!F594:R1204,2,)</f>
        <v>Night</v>
      </c>
      <c r="H593" s="41" t="b">
        <f>VLOOKUP(G593,'Dataset-1'!G594:S1204,2,)</f>
        <v>0</v>
      </c>
      <c r="I593" s="41">
        <f>VLOOKUP(H593,'Dataset-1'!H594:T1204,2,)</f>
        <v>4</v>
      </c>
      <c r="J593" s="71" t="str">
        <f>VLOOKUP(I593,'Dataset-1'!I594:U1204,2,)</f>
        <v>Wednesday</v>
      </c>
      <c r="K593" s="41">
        <f>VLOOKUP(J593,'Dataset-1'!J594:V1204,2,)</f>
        <v>1</v>
      </c>
      <c r="L593" s="41">
        <f>VLOOKUP(K593,'Dataset-1'!K594:W1204,2,)</f>
        <v>0.18</v>
      </c>
      <c r="M593" s="71" t="str">
        <f>VLOOKUP(L593,'Dataset-1'!L594:X1204,2,)</f>
        <v>Rainy</v>
      </c>
      <c r="N593" s="41">
        <f>VLOOKUP(A593,'Dataset-2'!B594:H1204,2,)</f>
        <v>0.21210000000000001</v>
      </c>
      <c r="O593" s="41">
        <f>VLOOKUP(N593,'Dataset-2'!C594:I1204,2,)</f>
        <v>0.74</v>
      </c>
      <c r="P593" s="41">
        <f>VLOOKUP(O593,'Dataset-2'!D594:J1204,2,)</f>
        <v>8.9599999999999999E-2</v>
      </c>
      <c r="Q593" s="41">
        <f>VLOOKUP(P593,'Dataset-2'!E594:K1204,2,)</f>
        <v>4</v>
      </c>
      <c r="R593" s="41">
        <f>VLOOKUP(Q593,'Dataset-2'!F594:L1204,2,)</f>
        <v>55</v>
      </c>
      <c r="S593" s="41">
        <f>VLOOKUP(R593,'Dataset-2'!G594:M1204,2,)</f>
        <v>59</v>
      </c>
    </row>
    <row r="594" spans="1:19" x14ac:dyDescent="0.35">
      <c r="A594" s="40">
        <v>593</v>
      </c>
      <c r="B594" s="62">
        <f>VLOOKUP(A594,'Dataset-1'!A595:M1205,2,)</f>
        <v>40570</v>
      </c>
      <c r="C594" s="41">
        <f>VLOOKUP(B594,'Dataset-1'!B595:N1205,2,)</f>
        <v>1</v>
      </c>
      <c r="D594" s="41">
        <f>VLOOKUP(C594,'Dataset-1'!C595:O1205,2,)</f>
        <v>0</v>
      </c>
      <c r="E594" s="41">
        <f>VLOOKUP(D594,'Dataset-1'!D595:P1205,2,)</f>
        <v>1</v>
      </c>
      <c r="F594" s="41">
        <f>VLOOKUP(E594,'Dataset-1'!E595:Q1205,2,)</f>
        <v>21</v>
      </c>
      <c r="G594" s="71" t="str">
        <f>VLOOKUP(F594,'Dataset-1'!F595:R1205,2,)</f>
        <v>Night</v>
      </c>
      <c r="H594" s="41" t="b">
        <f>VLOOKUP(G594,'Dataset-1'!G595:S1205,2,)</f>
        <v>0</v>
      </c>
      <c r="I594" s="41">
        <f>VLOOKUP(H594,'Dataset-1'!H595:T1205,2,)</f>
        <v>4</v>
      </c>
      <c r="J594" s="71" t="str">
        <f>VLOOKUP(I594,'Dataset-1'!I595:U1205,2,)</f>
        <v>Wednesday</v>
      </c>
      <c r="K594" s="41">
        <f>VLOOKUP(J594,'Dataset-1'!J595:V1205,2,)</f>
        <v>1</v>
      </c>
      <c r="L594" s="41">
        <f>VLOOKUP(K594,'Dataset-1'!K595:W1205,2,)</f>
        <v>0.18</v>
      </c>
      <c r="M594" s="71" t="str">
        <f>VLOOKUP(L594,'Dataset-1'!L595:X1205,2,)</f>
        <v>Rainy</v>
      </c>
      <c r="N594" s="41">
        <f>VLOOKUP(A594,'Dataset-2'!B595:H1205,2,)</f>
        <v>0.21210000000000001</v>
      </c>
      <c r="O594" s="41">
        <f>VLOOKUP(N594,'Dataset-2'!C595:I1205,2,)</f>
        <v>0.74</v>
      </c>
      <c r="P594" s="41">
        <f>VLOOKUP(O594,'Dataset-2'!D595:J1205,2,)</f>
        <v>8.9599999999999999E-2</v>
      </c>
      <c r="Q594" s="41">
        <f>VLOOKUP(P594,'Dataset-2'!E595:K1205,2,)</f>
        <v>2</v>
      </c>
      <c r="R594" s="41">
        <f>VLOOKUP(Q594,'Dataset-2'!F595:L1205,2,)</f>
        <v>36</v>
      </c>
      <c r="S594" s="41">
        <f>VLOOKUP(R594,'Dataset-2'!G595:M1205,2,)</f>
        <v>38</v>
      </c>
    </row>
    <row r="595" spans="1:19" x14ac:dyDescent="0.35">
      <c r="A595" s="40">
        <v>594</v>
      </c>
      <c r="B595" s="62">
        <f>VLOOKUP(A595,'Dataset-1'!A596:M1206,2,)</f>
        <v>40570</v>
      </c>
      <c r="C595" s="41">
        <f>VLOOKUP(B595,'Dataset-1'!B596:N1206,2,)</f>
        <v>1</v>
      </c>
      <c r="D595" s="41">
        <f>VLOOKUP(C595,'Dataset-1'!C596:O1206,2,)</f>
        <v>0</v>
      </c>
      <c r="E595" s="41">
        <f>VLOOKUP(D595,'Dataset-1'!D596:P1206,2,)</f>
        <v>1</v>
      </c>
      <c r="F595" s="41">
        <f>VLOOKUP(E595,'Dataset-1'!E596:Q1206,2,)</f>
        <v>22</v>
      </c>
      <c r="G595" s="71" t="str">
        <f>VLOOKUP(F595,'Dataset-1'!F596:R1206,2,)</f>
        <v>Night</v>
      </c>
      <c r="H595" s="41" t="b">
        <f>VLOOKUP(G595,'Dataset-1'!G596:S1206,2,)</f>
        <v>0</v>
      </c>
      <c r="I595" s="41">
        <f>VLOOKUP(H595,'Dataset-1'!H596:T1206,2,)</f>
        <v>4</v>
      </c>
      <c r="J595" s="71" t="str">
        <f>VLOOKUP(I595,'Dataset-1'!I596:U1206,2,)</f>
        <v>Wednesday</v>
      </c>
      <c r="K595" s="41">
        <f>VLOOKUP(J595,'Dataset-1'!J596:V1206,2,)</f>
        <v>1</v>
      </c>
      <c r="L595" s="41">
        <f>VLOOKUP(K595,'Dataset-1'!K596:W1206,2,)</f>
        <v>0.18</v>
      </c>
      <c r="M595" s="71" t="str">
        <f>VLOOKUP(L595,'Dataset-1'!L596:X1206,2,)</f>
        <v>Rainy</v>
      </c>
      <c r="N595" s="41">
        <f>VLOOKUP(A595,'Dataset-2'!B596:H1206,2,)</f>
        <v>0.21210000000000001</v>
      </c>
      <c r="O595" s="41">
        <f>VLOOKUP(N595,'Dataset-2'!C596:I1206,2,)</f>
        <v>0.74</v>
      </c>
      <c r="P595" s="41">
        <f>VLOOKUP(O595,'Dataset-2'!D596:J1206,2,)</f>
        <v>8.9599999999999999E-2</v>
      </c>
      <c r="Q595" s="41">
        <f>VLOOKUP(P595,'Dataset-2'!E596:K1206,2,)</f>
        <v>0</v>
      </c>
      <c r="R595" s="41">
        <f>VLOOKUP(Q595,'Dataset-2'!F596:L1206,2,)</f>
        <v>27</v>
      </c>
      <c r="S595" s="41">
        <f>VLOOKUP(R595,'Dataset-2'!G596:M1206,2,)</f>
        <v>27</v>
      </c>
    </row>
    <row r="596" spans="1:19" x14ac:dyDescent="0.35">
      <c r="A596" s="40">
        <v>595</v>
      </c>
      <c r="B596" s="62">
        <f>VLOOKUP(A596,'Dataset-1'!A597:M1207,2,)</f>
        <v>40570</v>
      </c>
      <c r="C596" s="41">
        <f>VLOOKUP(B596,'Dataset-1'!B597:N1207,2,)</f>
        <v>1</v>
      </c>
      <c r="D596" s="41">
        <f>VLOOKUP(C596,'Dataset-1'!C597:O1207,2,)</f>
        <v>0</v>
      </c>
      <c r="E596" s="41">
        <f>VLOOKUP(D596,'Dataset-1'!D597:P1207,2,)</f>
        <v>1</v>
      </c>
      <c r="F596" s="41">
        <f>VLOOKUP(E596,'Dataset-1'!E597:Q1207,2,)</f>
        <v>23</v>
      </c>
      <c r="G596" s="71" t="str">
        <f>VLOOKUP(F596,'Dataset-1'!F597:R1207,2,)</f>
        <v>Night</v>
      </c>
      <c r="H596" s="41" t="b">
        <f>VLOOKUP(G596,'Dataset-1'!G597:S1207,2,)</f>
        <v>0</v>
      </c>
      <c r="I596" s="41">
        <f>VLOOKUP(H596,'Dataset-1'!H597:T1207,2,)</f>
        <v>4</v>
      </c>
      <c r="J596" s="71" t="str">
        <f>VLOOKUP(I596,'Dataset-1'!I597:U1207,2,)</f>
        <v>Wednesday</v>
      </c>
      <c r="K596" s="41">
        <f>VLOOKUP(J596,'Dataset-1'!J597:V1207,2,)</f>
        <v>1</v>
      </c>
      <c r="L596" s="41">
        <f>VLOOKUP(K596,'Dataset-1'!K597:W1207,2,)</f>
        <v>0.18</v>
      </c>
      <c r="M596" s="71" t="str">
        <f>VLOOKUP(L596,'Dataset-1'!L597:X1207,2,)</f>
        <v>Rainy</v>
      </c>
      <c r="N596" s="41">
        <f>VLOOKUP(A596,'Dataset-2'!B597:H1207,2,)</f>
        <v>0.19700000000000001</v>
      </c>
      <c r="O596" s="41">
        <f>VLOOKUP(N596,'Dataset-2'!C597:I1207,2,)</f>
        <v>0.8</v>
      </c>
      <c r="P596" s="41">
        <f>VLOOKUP(O596,'Dataset-2'!D597:J1207,2,)</f>
        <v>0.16420000000000001</v>
      </c>
      <c r="Q596" s="41">
        <f>VLOOKUP(P596,'Dataset-2'!E597:K1207,2,)</f>
        <v>0</v>
      </c>
      <c r="R596" s="41">
        <f>VLOOKUP(Q596,'Dataset-2'!F597:L1207,2,)</f>
        <v>16</v>
      </c>
      <c r="S596" s="41">
        <f>VLOOKUP(R596,'Dataset-2'!G597:M1207,2,)</f>
        <v>16</v>
      </c>
    </row>
    <row r="597" spans="1:19" x14ac:dyDescent="0.35">
      <c r="A597" s="40">
        <v>596</v>
      </c>
      <c r="B597" s="62">
        <f>VLOOKUP(A597,'Dataset-1'!A598:M1208,2,)</f>
        <v>40571</v>
      </c>
      <c r="C597" s="41">
        <f>VLOOKUP(B597,'Dataset-1'!B598:N1208,2,)</f>
        <v>1</v>
      </c>
      <c r="D597" s="41">
        <f>VLOOKUP(C597,'Dataset-1'!C598:O1208,2,)</f>
        <v>0</v>
      </c>
      <c r="E597" s="41">
        <f>VLOOKUP(D597,'Dataset-1'!D598:P1208,2,)</f>
        <v>1</v>
      </c>
      <c r="F597" s="41">
        <f>VLOOKUP(E597,'Dataset-1'!E598:Q1208,2,)</f>
        <v>0</v>
      </c>
      <c r="G597" s="71" t="str">
        <f>VLOOKUP(F597,'Dataset-1'!F598:R1208,2,)</f>
        <v>Night</v>
      </c>
      <c r="H597" s="41" t="b">
        <f>VLOOKUP(G597,'Dataset-1'!G598:S1208,2,)</f>
        <v>0</v>
      </c>
      <c r="I597" s="41">
        <f>VLOOKUP(H597,'Dataset-1'!H598:T1208,2,)</f>
        <v>5</v>
      </c>
      <c r="J597" s="71" t="str">
        <f>VLOOKUP(I597,'Dataset-1'!I598:U1208,2,)</f>
        <v>Thusday</v>
      </c>
      <c r="K597" s="41">
        <f>VLOOKUP(J597,'Dataset-1'!J598:V1208,2,)</f>
        <v>2</v>
      </c>
      <c r="L597" s="41">
        <f>VLOOKUP(K597,'Dataset-1'!K598:W1208,2,)</f>
        <v>0.2</v>
      </c>
      <c r="M597" s="71" t="str">
        <f>VLOOKUP(L597,'Dataset-1'!L598:X1208,2,)</f>
        <v>Rainy</v>
      </c>
      <c r="N597" s="41">
        <f>VLOOKUP(A597,'Dataset-2'!B598:H1208,2,)</f>
        <v>0.21210000000000001</v>
      </c>
      <c r="O597" s="41">
        <f>VLOOKUP(N597,'Dataset-2'!C598:I1208,2,)</f>
        <v>0.75</v>
      </c>
      <c r="P597" s="41">
        <f>VLOOKUP(O597,'Dataset-2'!D598:J1208,2,)</f>
        <v>0.1343</v>
      </c>
      <c r="Q597" s="41">
        <f>VLOOKUP(P597,'Dataset-2'!E598:K1208,2,)</f>
        <v>0</v>
      </c>
      <c r="R597" s="41">
        <f>VLOOKUP(Q597,'Dataset-2'!F598:L1208,2,)</f>
        <v>9</v>
      </c>
      <c r="S597" s="41">
        <f>VLOOKUP(R597,'Dataset-2'!G598:M1208,2,)</f>
        <v>9</v>
      </c>
    </row>
    <row r="598" spans="1:19" x14ac:dyDescent="0.35">
      <c r="A598" s="40">
        <v>597</v>
      </c>
      <c r="B598" s="62">
        <f>VLOOKUP(A598,'Dataset-1'!A599:M1209,2,)</f>
        <v>40571</v>
      </c>
      <c r="C598" s="41">
        <f>VLOOKUP(B598,'Dataset-1'!B599:N1209,2,)</f>
        <v>1</v>
      </c>
      <c r="D598" s="41">
        <f>VLOOKUP(C598,'Dataset-1'!C599:O1209,2,)</f>
        <v>0</v>
      </c>
      <c r="E598" s="41">
        <f>VLOOKUP(D598,'Dataset-1'!D599:P1209,2,)</f>
        <v>1</v>
      </c>
      <c r="F598" s="41">
        <f>VLOOKUP(E598,'Dataset-1'!E599:Q1209,2,)</f>
        <v>1</v>
      </c>
      <c r="G598" s="71" t="str">
        <f>VLOOKUP(F598,'Dataset-1'!F599:R1209,2,)</f>
        <v>Night</v>
      </c>
      <c r="H598" s="41" t="b">
        <f>VLOOKUP(G598,'Dataset-1'!G599:S1209,2,)</f>
        <v>0</v>
      </c>
      <c r="I598" s="41">
        <f>VLOOKUP(H598,'Dataset-1'!H599:T1209,2,)</f>
        <v>5</v>
      </c>
      <c r="J598" s="71" t="str">
        <f>VLOOKUP(I598,'Dataset-1'!I599:U1209,2,)</f>
        <v>Thusday</v>
      </c>
      <c r="K598" s="41">
        <f>VLOOKUP(J598,'Dataset-1'!J599:V1209,2,)</f>
        <v>2</v>
      </c>
      <c r="L598" s="41">
        <f>VLOOKUP(K598,'Dataset-1'!K599:W1209,2,)</f>
        <v>0.2</v>
      </c>
      <c r="M598" s="71" t="str">
        <f>VLOOKUP(L598,'Dataset-1'!L599:X1209,2,)</f>
        <v>Rainy</v>
      </c>
      <c r="N598" s="41">
        <f>VLOOKUP(A598,'Dataset-2'!B599:H1209,2,)</f>
        <v>0.21210000000000001</v>
      </c>
      <c r="O598" s="41">
        <f>VLOOKUP(N598,'Dataset-2'!C599:I1209,2,)</f>
        <v>0.75</v>
      </c>
      <c r="P598" s="41">
        <f>VLOOKUP(O598,'Dataset-2'!D599:J1209,2,)</f>
        <v>0.1343</v>
      </c>
      <c r="Q598" s="41">
        <f>VLOOKUP(P598,'Dataset-2'!E599:K1209,2,)</f>
        <v>1</v>
      </c>
      <c r="R598" s="41">
        <f>VLOOKUP(Q598,'Dataset-2'!F599:L1209,2,)</f>
        <v>2</v>
      </c>
      <c r="S598" s="41">
        <f>VLOOKUP(R598,'Dataset-2'!G599:M1209,2,)</f>
        <v>3</v>
      </c>
    </row>
    <row r="599" spans="1:19" x14ac:dyDescent="0.35">
      <c r="A599" s="40">
        <v>598</v>
      </c>
      <c r="B599" s="62">
        <f>VLOOKUP(A599,'Dataset-1'!A600:M1210,2,)</f>
        <v>40571</v>
      </c>
      <c r="C599" s="41">
        <f>VLOOKUP(B599,'Dataset-1'!B600:N1210,2,)</f>
        <v>1</v>
      </c>
      <c r="D599" s="41">
        <f>VLOOKUP(C599,'Dataset-1'!C600:O1210,2,)</f>
        <v>0</v>
      </c>
      <c r="E599" s="41">
        <f>VLOOKUP(D599,'Dataset-1'!D600:P1210,2,)</f>
        <v>1</v>
      </c>
      <c r="F599" s="41">
        <f>VLOOKUP(E599,'Dataset-1'!E600:Q1210,2,)</f>
        <v>2</v>
      </c>
      <c r="G599" s="71" t="str">
        <f>VLOOKUP(F599,'Dataset-1'!F600:R1210,2,)</f>
        <v>Night</v>
      </c>
      <c r="H599" s="41" t="b">
        <f>VLOOKUP(G599,'Dataset-1'!G600:S1210,2,)</f>
        <v>0</v>
      </c>
      <c r="I599" s="41">
        <f>VLOOKUP(H599,'Dataset-1'!H600:T1210,2,)</f>
        <v>5</v>
      </c>
      <c r="J599" s="71" t="str">
        <f>VLOOKUP(I599,'Dataset-1'!I600:U1210,2,)</f>
        <v>Thusday</v>
      </c>
      <c r="K599" s="41">
        <f>VLOOKUP(J599,'Dataset-1'!J600:V1210,2,)</f>
        <v>2</v>
      </c>
      <c r="L599" s="41">
        <f>VLOOKUP(K599,'Dataset-1'!K600:W1210,2,)</f>
        <v>0.2</v>
      </c>
      <c r="M599" s="71" t="str">
        <f>VLOOKUP(L599,'Dataset-1'!L600:X1210,2,)</f>
        <v>Rainy</v>
      </c>
      <c r="N599" s="41">
        <f>VLOOKUP(A599,'Dataset-2'!B600:H1210,2,)</f>
        <v>0.21210000000000001</v>
      </c>
      <c r="O599" s="41">
        <f>VLOOKUP(N599,'Dataset-2'!C600:I1210,2,)</f>
        <v>0.75</v>
      </c>
      <c r="P599" s="41">
        <f>VLOOKUP(O599,'Dataset-2'!D600:J1210,2,)</f>
        <v>0.16420000000000001</v>
      </c>
      <c r="Q599" s="41">
        <f>VLOOKUP(P599,'Dataset-2'!E600:K1210,2,)</f>
        <v>0</v>
      </c>
      <c r="R599" s="41">
        <f>VLOOKUP(Q599,'Dataset-2'!F600:L1210,2,)</f>
        <v>2</v>
      </c>
      <c r="S599" s="41">
        <f>VLOOKUP(R599,'Dataset-2'!G600:M1210,2,)</f>
        <v>2</v>
      </c>
    </row>
    <row r="600" spans="1:19" x14ac:dyDescent="0.35">
      <c r="A600" s="40">
        <v>599</v>
      </c>
      <c r="B600" s="62">
        <f>VLOOKUP(A600,'Dataset-1'!A601:M1211,2,)</f>
        <v>40571</v>
      </c>
      <c r="C600" s="41">
        <f>VLOOKUP(B600,'Dataset-1'!B601:N1211,2,)</f>
        <v>1</v>
      </c>
      <c r="D600" s="41">
        <f>VLOOKUP(C600,'Dataset-1'!C601:O1211,2,)</f>
        <v>0</v>
      </c>
      <c r="E600" s="41">
        <f>VLOOKUP(D600,'Dataset-1'!D601:P1211,2,)</f>
        <v>1</v>
      </c>
      <c r="F600" s="41">
        <f>VLOOKUP(E600,'Dataset-1'!E601:Q1211,2,)</f>
        <v>3</v>
      </c>
      <c r="G600" s="71" t="str">
        <f>VLOOKUP(F600,'Dataset-1'!F601:R1211,2,)</f>
        <v>Night</v>
      </c>
      <c r="H600" s="41" t="b">
        <f>VLOOKUP(G600,'Dataset-1'!G601:S1211,2,)</f>
        <v>0</v>
      </c>
      <c r="I600" s="41">
        <f>VLOOKUP(H600,'Dataset-1'!H601:T1211,2,)</f>
        <v>5</v>
      </c>
      <c r="J600" s="71" t="str">
        <f>VLOOKUP(I600,'Dataset-1'!I601:U1211,2,)</f>
        <v>Thusday</v>
      </c>
      <c r="K600" s="41">
        <f>VLOOKUP(J600,'Dataset-1'!J601:V1211,2,)</f>
        <v>2</v>
      </c>
      <c r="L600" s="41">
        <f>VLOOKUP(K600,'Dataset-1'!K601:W1211,2,)</f>
        <v>0.2</v>
      </c>
      <c r="M600" s="71" t="str">
        <f>VLOOKUP(L600,'Dataset-1'!L601:X1211,2,)</f>
        <v>Rainy</v>
      </c>
      <c r="N600" s="41">
        <f>VLOOKUP(A600,'Dataset-2'!B601:H1211,2,)</f>
        <v>0.2273</v>
      </c>
      <c r="O600" s="41">
        <f>VLOOKUP(N600,'Dataset-2'!C601:I1211,2,)</f>
        <v>0.75</v>
      </c>
      <c r="P600" s="41">
        <f>VLOOKUP(O600,'Dataset-2'!D601:J1211,2,)</f>
        <v>0.1045</v>
      </c>
      <c r="Q600" s="41">
        <f>VLOOKUP(P600,'Dataset-2'!E601:K1211,2,)</f>
        <v>1</v>
      </c>
      <c r="R600" s="41">
        <f>VLOOKUP(Q600,'Dataset-2'!F601:L1211,2,)</f>
        <v>0</v>
      </c>
      <c r="S600" s="41">
        <f>VLOOKUP(R600,'Dataset-2'!G601:M1211,2,)</f>
        <v>1</v>
      </c>
    </row>
    <row r="601" spans="1:19" x14ac:dyDescent="0.35">
      <c r="A601" s="40">
        <v>600</v>
      </c>
      <c r="B601" s="62">
        <f>VLOOKUP(A601,'Dataset-1'!A602:M1212,2,)</f>
        <v>40571</v>
      </c>
      <c r="C601" s="41">
        <f>VLOOKUP(B601,'Dataset-1'!B602:N1212,2,)</f>
        <v>1</v>
      </c>
      <c r="D601" s="41">
        <f>VLOOKUP(C601,'Dataset-1'!C602:O1212,2,)</f>
        <v>0</v>
      </c>
      <c r="E601" s="41">
        <f>VLOOKUP(D601,'Dataset-1'!D602:P1212,2,)</f>
        <v>1</v>
      </c>
      <c r="F601" s="41">
        <f>VLOOKUP(E601,'Dataset-1'!E602:Q1212,2,)</f>
        <v>5</v>
      </c>
      <c r="G601" s="71" t="str">
        <f>VLOOKUP(F601,'Dataset-1'!F602:R1212,2,)</f>
        <v>Morning</v>
      </c>
      <c r="H601" s="41" t="b">
        <f>VLOOKUP(G601,'Dataset-1'!G602:S1212,2,)</f>
        <v>0</v>
      </c>
      <c r="I601" s="41">
        <f>VLOOKUP(H601,'Dataset-1'!H602:T1212,2,)</f>
        <v>5</v>
      </c>
      <c r="J601" s="71" t="str">
        <f>VLOOKUP(I601,'Dataset-1'!I602:U1212,2,)</f>
        <v>Thusday</v>
      </c>
      <c r="K601" s="41">
        <f>VLOOKUP(J601,'Dataset-1'!J602:V1212,2,)</f>
        <v>2</v>
      </c>
      <c r="L601" s="41">
        <f>VLOOKUP(K601,'Dataset-1'!K602:W1212,2,)</f>
        <v>0.18</v>
      </c>
      <c r="M601" s="71" t="str">
        <f>VLOOKUP(L601,'Dataset-1'!L602:X1212,2,)</f>
        <v>Rainy</v>
      </c>
      <c r="N601" s="41">
        <f>VLOOKUP(A601,'Dataset-2'!B602:H1212,2,)</f>
        <v>0.21210000000000001</v>
      </c>
      <c r="O601" s="41">
        <f>VLOOKUP(N601,'Dataset-2'!C602:I1212,2,)</f>
        <v>0.8</v>
      </c>
      <c r="P601" s="41">
        <f>VLOOKUP(O601,'Dataset-2'!D602:J1212,2,)</f>
        <v>0.1045</v>
      </c>
      <c r="Q601" s="41">
        <f>VLOOKUP(P601,'Dataset-2'!E602:K1212,2,)</f>
        <v>0</v>
      </c>
      <c r="R601" s="41">
        <f>VLOOKUP(Q601,'Dataset-2'!F602:L1212,2,)</f>
        <v>4</v>
      </c>
      <c r="S601" s="41">
        <f>VLOOKUP(R601,'Dataset-2'!G602:M1212,2,)</f>
        <v>4</v>
      </c>
    </row>
    <row r="602" spans="1:19" x14ac:dyDescent="0.35">
      <c r="A602" s="40">
        <v>601</v>
      </c>
      <c r="B602" s="62">
        <f>VLOOKUP(A602,'Dataset-1'!A603:M1213,2,)</f>
        <v>40571</v>
      </c>
      <c r="C602" s="41">
        <f>VLOOKUP(B602,'Dataset-1'!B603:N1213,2,)</f>
        <v>1</v>
      </c>
      <c r="D602" s="41">
        <f>VLOOKUP(C602,'Dataset-1'!C603:O1213,2,)</f>
        <v>0</v>
      </c>
      <c r="E602" s="41">
        <f>VLOOKUP(D602,'Dataset-1'!D603:P1213,2,)</f>
        <v>1</v>
      </c>
      <c r="F602" s="41">
        <f>VLOOKUP(E602,'Dataset-1'!E603:Q1213,2,)</f>
        <v>6</v>
      </c>
      <c r="G602" s="71" t="str">
        <f>VLOOKUP(F602,'Dataset-1'!F603:R1213,2,)</f>
        <v>Morning</v>
      </c>
      <c r="H602" s="41" t="b">
        <f>VLOOKUP(G602,'Dataset-1'!G603:S1213,2,)</f>
        <v>0</v>
      </c>
      <c r="I602" s="41">
        <f>VLOOKUP(H602,'Dataset-1'!H603:T1213,2,)</f>
        <v>5</v>
      </c>
      <c r="J602" s="71" t="str">
        <f>VLOOKUP(I602,'Dataset-1'!I603:U1213,2,)</f>
        <v>Thusday</v>
      </c>
      <c r="K602" s="41">
        <f>VLOOKUP(J602,'Dataset-1'!J603:V1213,2,)</f>
        <v>2</v>
      </c>
      <c r="L602" s="41">
        <f>VLOOKUP(K602,'Dataset-1'!K603:W1213,2,)</f>
        <v>0.18</v>
      </c>
      <c r="M602" s="71" t="str">
        <f>VLOOKUP(L602,'Dataset-1'!L603:X1213,2,)</f>
        <v>Rainy</v>
      </c>
      <c r="N602" s="41">
        <f>VLOOKUP(A602,'Dataset-2'!B603:H1213,2,)</f>
        <v>0.19700000000000001</v>
      </c>
      <c r="O602" s="41">
        <f>VLOOKUP(N602,'Dataset-2'!C603:I1213,2,)</f>
        <v>0.8</v>
      </c>
      <c r="P602" s="41">
        <f>VLOOKUP(O602,'Dataset-2'!D603:J1213,2,)</f>
        <v>0.1343</v>
      </c>
      <c r="Q602" s="41">
        <f>VLOOKUP(P602,'Dataset-2'!E603:K1213,2,)</f>
        <v>0</v>
      </c>
      <c r="R602" s="41">
        <f>VLOOKUP(Q602,'Dataset-2'!F603:L1213,2,)</f>
        <v>16</v>
      </c>
      <c r="S602" s="41">
        <f>VLOOKUP(R602,'Dataset-2'!G603:M1213,2,)</f>
        <v>16</v>
      </c>
    </row>
    <row r="603" spans="1:19" x14ac:dyDescent="0.35">
      <c r="A603" s="40">
        <v>602</v>
      </c>
      <c r="B603" s="62">
        <f>VLOOKUP(A603,'Dataset-1'!A604:M1214,2,)</f>
        <v>40571</v>
      </c>
      <c r="C603" s="41">
        <f>VLOOKUP(B603,'Dataset-1'!B604:N1214,2,)</f>
        <v>1</v>
      </c>
      <c r="D603" s="41">
        <f>VLOOKUP(C603,'Dataset-1'!C604:O1214,2,)</f>
        <v>0</v>
      </c>
      <c r="E603" s="41">
        <f>VLOOKUP(D603,'Dataset-1'!D604:P1214,2,)</f>
        <v>1</v>
      </c>
      <c r="F603" s="41">
        <f>VLOOKUP(E603,'Dataset-1'!E604:Q1214,2,)</f>
        <v>7</v>
      </c>
      <c r="G603" s="71" t="str">
        <f>VLOOKUP(F603,'Dataset-1'!F604:R1214,2,)</f>
        <v>Morning</v>
      </c>
      <c r="H603" s="41" t="b">
        <f>VLOOKUP(G603,'Dataset-1'!G604:S1214,2,)</f>
        <v>0</v>
      </c>
      <c r="I603" s="41">
        <f>VLOOKUP(H603,'Dataset-1'!H604:T1214,2,)</f>
        <v>5</v>
      </c>
      <c r="J603" s="71" t="str">
        <f>VLOOKUP(I603,'Dataset-1'!I604:U1214,2,)</f>
        <v>Thusday</v>
      </c>
      <c r="K603" s="41">
        <f>VLOOKUP(J603,'Dataset-1'!J604:V1214,2,)</f>
        <v>2</v>
      </c>
      <c r="L603" s="41">
        <f>VLOOKUP(K603,'Dataset-1'!K604:W1214,2,)</f>
        <v>0.16</v>
      </c>
      <c r="M603" s="71" t="str">
        <f>VLOOKUP(L603,'Dataset-1'!L604:X1214,2,)</f>
        <v>Rainy</v>
      </c>
      <c r="N603" s="41">
        <f>VLOOKUP(A603,'Dataset-2'!B604:H1214,2,)</f>
        <v>0.19700000000000001</v>
      </c>
      <c r="O603" s="41">
        <f>VLOOKUP(N603,'Dataset-2'!C604:I1214,2,)</f>
        <v>0.86</v>
      </c>
      <c r="P603" s="41">
        <f>VLOOKUP(O603,'Dataset-2'!D604:J1214,2,)</f>
        <v>8.9599999999999999E-2</v>
      </c>
      <c r="Q603" s="41">
        <f>VLOOKUP(P603,'Dataset-2'!E604:K1214,2,)</f>
        <v>2</v>
      </c>
      <c r="R603" s="41">
        <f>VLOOKUP(Q603,'Dataset-2'!F604:L1214,2,)</f>
        <v>58</v>
      </c>
      <c r="S603" s="41">
        <f>VLOOKUP(R603,'Dataset-2'!G604:M1214,2,)</f>
        <v>60</v>
      </c>
    </row>
    <row r="604" spans="1:19" x14ac:dyDescent="0.35">
      <c r="A604" s="40">
        <v>603</v>
      </c>
      <c r="B604" s="62">
        <f>VLOOKUP(A604,'Dataset-1'!A605:M1215,2,)</f>
        <v>40571</v>
      </c>
      <c r="C604" s="41">
        <f>VLOOKUP(B604,'Dataset-1'!B605:N1215,2,)</f>
        <v>1</v>
      </c>
      <c r="D604" s="41">
        <f>VLOOKUP(C604,'Dataset-1'!C605:O1215,2,)</f>
        <v>0</v>
      </c>
      <c r="E604" s="41">
        <f>VLOOKUP(D604,'Dataset-1'!D605:P1215,2,)</f>
        <v>1</v>
      </c>
      <c r="F604" s="41">
        <f>VLOOKUP(E604,'Dataset-1'!E605:Q1215,2,)</f>
        <v>8</v>
      </c>
      <c r="G604" s="71" t="str">
        <f>VLOOKUP(F604,'Dataset-1'!F605:R1215,2,)</f>
        <v>Morning</v>
      </c>
      <c r="H604" s="41" t="b">
        <f>VLOOKUP(G604,'Dataset-1'!G605:S1215,2,)</f>
        <v>0</v>
      </c>
      <c r="I604" s="41">
        <f>VLOOKUP(H604,'Dataset-1'!H605:T1215,2,)</f>
        <v>5</v>
      </c>
      <c r="J604" s="71" t="str">
        <f>VLOOKUP(I604,'Dataset-1'!I605:U1215,2,)</f>
        <v>Thusday</v>
      </c>
      <c r="K604" s="41">
        <f>VLOOKUP(J604,'Dataset-1'!J605:V1215,2,)</f>
        <v>2</v>
      </c>
      <c r="L604" s="41">
        <f>VLOOKUP(K604,'Dataset-1'!K605:W1215,2,)</f>
        <v>0.16</v>
      </c>
      <c r="M604" s="71" t="str">
        <f>VLOOKUP(L604,'Dataset-1'!L605:X1215,2,)</f>
        <v>Rainy</v>
      </c>
      <c r="N604" s="41">
        <f>VLOOKUP(A604,'Dataset-2'!B605:H1215,2,)</f>
        <v>0.19700000000000001</v>
      </c>
      <c r="O604" s="41">
        <f>VLOOKUP(N604,'Dataset-2'!C605:I1215,2,)</f>
        <v>0.86</v>
      </c>
      <c r="P604" s="41">
        <f>VLOOKUP(O604,'Dataset-2'!D605:J1215,2,)</f>
        <v>8.9599999999999999E-2</v>
      </c>
      <c r="Q604" s="41">
        <f>VLOOKUP(P604,'Dataset-2'!E605:K1215,2,)</f>
        <v>2</v>
      </c>
      <c r="R604" s="41">
        <f>VLOOKUP(Q604,'Dataset-2'!F605:L1215,2,)</f>
        <v>155</v>
      </c>
      <c r="S604" s="41">
        <f>VLOOKUP(R604,'Dataset-2'!G605:M1215,2,)</f>
        <v>157</v>
      </c>
    </row>
    <row r="605" spans="1:19" x14ac:dyDescent="0.35">
      <c r="A605" s="40">
        <v>604</v>
      </c>
      <c r="B605" s="62">
        <f>VLOOKUP(A605,'Dataset-1'!A606:M1216,2,)</f>
        <v>40571</v>
      </c>
      <c r="C605" s="41">
        <f>VLOOKUP(B605,'Dataset-1'!B606:N1216,2,)</f>
        <v>1</v>
      </c>
      <c r="D605" s="41">
        <f>VLOOKUP(C605,'Dataset-1'!C606:O1216,2,)</f>
        <v>0</v>
      </c>
      <c r="E605" s="41">
        <f>VLOOKUP(D605,'Dataset-1'!D606:P1216,2,)</f>
        <v>1</v>
      </c>
      <c r="F605" s="41">
        <f>VLOOKUP(E605,'Dataset-1'!E606:Q1216,2,)</f>
        <v>9</v>
      </c>
      <c r="G605" s="71" t="str">
        <f>VLOOKUP(F605,'Dataset-1'!F606:R1216,2,)</f>
        <v>Morning</v>
      </c>
      <c r="H605" s="41" t="b">
        <f>VLOOKUP(G605,'Dataset-1'!G606:S1216,2,)</f>
        <v>0</v>
      </c>
      <c r="I605" s="41">
        <f>VLOOKUP(H605,'Dataset-1'!H606:T1216,2,)</f>
        <v>5</v>
      </c>
      <c r="J605" s="71" t="str">
        <f>VLOOKUP(I605,'Dataset-1'!I606:U1216,2,)</f>
        <v>Thusday</v>
      </c>
      <c r="K605" s="41">
        <f>VLOOKUP(J605,'Dataset-1'!J606:V1216,2,)</f>
        <v>3</v>
      </c>
      <c r="L605" s="41">
        <f>VLOOKUP(K605,'Dataset-1'!K606:W1216,2,)</f>
        <v>0.18</v>
      </c>
      <c r="M605" s="71" t="str">
        <f>VLOOKUP(L605,'Dataset-1'!L606:X1216,2,)</f>
        <v>Rainy</v>
      </c>
      <c r="N605" s="41">
        <f>VLOOKUP(A605,'Dataset-2'!B606:H1216,2,)</f>
        <v>0.21210000000000001</v>
      </c>
      <c r="O605" s="41">
        <f>VLOOKUP(N605,'Dataset-2'!C606:I1216,2,)</f>
        <v>0.86</v>
      </c>
      <c r="P605" s="41">
        <f>VLOOKUP(O605,'Dataset-2'!D606:J1216,2,)</f>
        <v>8.9599999999999999E-2</v>
      </c>
      <c r="Q605" s="41">
        <f>VLOOKUP(P605,'Dataset-2'!E606:K1216,2,)</f>
        <v>6</v>
      </c>
      <c r="R605" s="41">
        <f>VLOOKUP(Q605,'Dataset-2'!F606:L1216,2,)</f>
        <v>95</v>
      </c>
      <c r="S605" s="41">
        <f>VLOOKUP(R605,'Dataset-2'!G606:M1216,2,)</f>
        <v>101</v>
      </c>
    </row>
    <row r="606" spans="1:19" x14ac:dyDescent="0.35">
      <c r="A606" s="40">
        <v>605</v>
      </c>
      <c r="B606" s="62">
        <f>VLOOKUP(A606,'Dataset-1'!A607:M1217,2,)</f>
        <v>40571</v>
      </c>
      <c r="C606" s="41">
        <f>VLOOKUP(B606,'Dataset-1'!B607:N1217,2,)</f>
        <v>1</v>
      </c>
      <c r="D606" s="41">
        <f>VLOOKUP(C606,'Dataset-1'!C607:O1217,2,)</f>
        <v>0</v>
      </c>
      <c r="E606" s="41">
        <f>VLOOKUP(D606,'Dataset-1'!D607:P1217,2,)</f>
        <v>1</v>
      </c>
      <c r="F606" s="41">
        <f>VLOOKUP(E606,'Dataset-1'!E607:Q1217,2,)</f>
        <v>10</v>
      </c>
      <c r="G606" s="71" t="str">
        <f>VLOOKUP(F606,'Dataset-1'!F607:R1217,2,)</f>
        <v>Morning</v>
      </c>
      <c r="H606" s="41" t="b">
        <f>VLOOKUP(G606,'Dataset-1'!G607:S1217,2,)</f>
        <v>0</v>
      </c>
      <c r="I606" s="41">
        <f>VLOOKUP(H606,'Dataset-1'!H607:T1217,2,)</f>
        <v>5</v>
      </c>
      <c r="J606" s="71" t="str">
        <f>VLOOKUP(I606,'Dataset-1'!I607:U1217,2,)</f>
        <v>Thusday</v>
      </c>
      <c r="K606" s="41">
        <f>VLOOKUP(J606,'Dataset-1'!J607:V1217,2,)</f>
        <v>3</v>
      </c>
      <c r="L606" s="41">
        <f>VLOOKUP(K606,'Dataset-1'!K607:W1217,2,)</f>
        <v>0.18</v>
      </c>
      <c r="M606" s="71" t="str">
        <f>VLOOKUP(L606,'Dataset-1'!L607:X1217,2,)</f>
        <v>Rainy</v>
      </c>
      <c r="N606" s="41">
        <f>VLOOKUP(A606,'Dataset-2'!B607:H1217,2,)</f>
        <v>0.21210000000000001</v>
      </c>
      <c r="O606" s="41">
        <f>VLOOKUP(N606,'Dataset-2'!C607:I1217,2,)</f>
        <v>0.86</v>
      </c>
      <c r="P606" s="41">
        <f>VLOOKUP(O606,'Dataset-2'!D607:J1217,2,)</f>
        <v>0.1045</v>
      </c>
      <c r="Q606" s="41">
        <f>VLOOKUP(P606,'Dataset-2'!E607:K1217,2,)</f>
        <v>0</v>
      </c>
      <c r="R606" s="41">
        <f>VLOOKUP(Q606,'Dataset-2'!F607:L1217,2,)</f>
        <v>49</v>
      </c>
      <c r="S606" s="41">
        <f>VLOOKUP(R606,'Dataset-2'!G607:M1217,2,)</f>
        <v>49</v>
      </c>
    </row>
    <row r="607" spans="1:19" x14ac:dyDescent="0.35">
      <c r="A607" s="40">
        <v>606</v>
      </c>
      <c r="B607" s="62">
        <f>VLOOKUP(A607,'Dataset-1'!A608:M1218,2,)</f>
        <v>40571</v>
      </c>
      <c r="C607" s="41">
        <f>VLOOKUP(B607,'Dataset-1'!B608:N1218,2,)</f>
        <v>1</v>
      </c>
      <c r="D607" s="41">
        <f>VLOOKUP(C607,'Dataset-1'!C608:O1218,2,)</f>
        <v>0</v>
      </c>
      <c r="E607" s="41">
        <f>VLOOKUP(D607,'Dataset-1'!D608:P1218,2,)</f>
        <v>1</v>
      </c>
      <c r="F607" s="41">
        <f>VLOOKUP(E607,'Dataset-1'!E608:Q1218,2,)</f>
        <v>11</v>
      </c>
      <c r="G607" s="71" t="str">
        <f>VLOOKUP(F607,'Dataset-1'!F608:R1218,2,)</f>
        <v>Morning</v>
      </c>
      <c r="H607" s="41" t="b">
        <f>VLOOKUP(G607,'Dataset-1'!G608:S1218,2,)</f>
        <v>0</v>
      </c>
      <c r="I607" s="41">
        <f>VLOOKUP(H607,'Dataset-1'!H608:T1218,2,)</f>
        <v>5</v>
      </c>
      <c r="J607" s="71" t="str">
        <f>VLOOKUP(I607,'Dataset-1'!I608:U1218,2,)</f>
        <v>Thusday</v>
      </c>
      <c r="K607" s="41">
        <f>VLOOKUP(J607,'Dataset-1'!J608:V1218,2,)</f>
        <v>3</v>
      </c>
      <c r="L607" s="41">
        <f>VLOOKUP(K607,'Dataset-1'!K608:W1218,2,)</f>
        <v>0.18</v>
      </c>
      <c r="M607" s="71" t="str">
        <f>VLOOKUP(L607,'Dataset-1'!L608:X1218,2,)</f>
        <v>Rainy</v>
      </c>
      <c r="N607" s="41">
        <f>VLOOKUP(A607,'Dataset-2'!B608:H1218,2,)</f>
        <v>0.21210000000000001</v>
      </c>
      <c r="O607" s="41">
        <f>VLOOKUP(N607,'Dataset-2'!C608:I1218,2,)</f>
        <v>0.93</v>
      </c>
      <c r="P607" s="41">
        <f>VLOOKUP(O607,'Dataset-2'!D608:J1218,2,)</f>
        <v>0.1045</v>
      </c>
      <c r="Q607" s="41">
        <f>VLOOKUP(P607,'Dataset-2'!E608:K1218,2,)</f>
        <v>0</v>
      </c>
      <c r="R607" s="41">
        <f>VLOOKUP(Q607,'Dataset-2'!F608:L1218,2,)</f>
        <v>30</v>
      </c>
      <c r="S607" s="41">
        <f>VLOOKUP(R607,'Dataset-2'!G608:M1218,2,)</f>
        <v>30</v>
      </c>
    </row>
    <row r="608" spans="1:19" x14ac:dyDescent="0.35">
      <c r="A608" s="40">
        <v>607</v>
      </c>
      <c r="B608" s="62">
        <f>VLOOKUP(A608,'Dataset-1'!A609:M1219,2,)</f>
        <v>40571</v>
      </c>
      <c r="C608" s="41">
        <f>VLOOKUP(B608,'Dataset-1'!B609:N1219,2,)</f>
        <v>1</v>
      </c>
      <c r="D608" s="41">
        <f>VLOOKUP(C608,'Dataset-1'!C609:O1219,2,)</f>
        <v>0</v>
      </c>
      <c r="E608" s="41">
        <f>VLOOKUP(D608,'Dataset-1'!D609:P1219,2,)</f>
        <v>1</v>
      </c>
      <c r="F608" s="41">
        <f>VLOOKUP(E608,'Dataset-1'!E609:Q1219,2,)</f>
        <v>12</v>
      </c>
      <c r="G608" s="71" t="str">
        <f>VLOOKUP(F608,'Dataset-1'!F609:R1219,2,)</f>
        <v>AfterNoon</v>
      </c>
      <c r="H608" s="41" t="b">
        <f>VLOOKUP(G608,'Dataset-1'!G609:S1219,2,)</f>
        <v>0</v>
      </c>
      <c r="I608" s="41">
        <f>VLOOKUP(H608,'Dataset-1'!H609:T1219,2,)</f>
        <v>5</v>
      </c>
      <c r="J608" s="71" t="str">
        <f>VLOOKUP(I608,'Dataset-1'!I609:U1219,2,)</f>
        <v>Thusday</v>
      </c>
      <c r="K608" s="41">
        <f>VLOOKUP(J608,'Dataset-1'!J609:V1219,2,)</f>
        <v>3</v>
      </c>
      <c r="L608" s="41">
        <f>VLOOKUP(K608,'Dataset-1'!K609:W1219,2,)</f>
        <v>0.18</v>
      </c>
      <c r="M608" s="71" t="str">
        <f>VLOOKUP(L608,'Dataset-1'!L609:X1219,2,)</f>
        <v>Rainy</v>
      </c>
      <c r="N608" s="41">
        <f>VLOOKUP(A608,'Dataset-2'!B609:H1219,2,)</f>
        <v>0.21210000000000001</v>
      </c>
      <c r="O608" s="41">
        <f>VLOOKUP(N608,'Dataset-2'!C609:I1219,2,)</f>
        <v>0.93</v>
      </c>
      <c r="P608" s="41">
        <f>VLOOKUP(O608,'Dataset-2'!D609:J1219,2,)</f>
        <v>0.1045</v>
      </c>
      <c r="Q608" s="41">
        <f>VLOOKUP(P608,'Dataset-2'!E609:K1219,2,)</f>
        <v>1</v>
      </c>
      <c r="R608" s="41">
        <f>VLOOKUP(Q608,'Dataset-2'!F609:L1219,2,)</f>
        <v>28</v>
      </c>
      <c r="S608" s="41">
        <f>VLOOKUP(R608,'Dataset-2'!G609:M1219,2,)</f>
        <v>29</v>
      </c>
    </row>
    <row r="609" spans="1:19" x14ac:dyDescent="0.35">
      <c r="A609" s="40">
        <v>608</v>
      </c>
      <c r="B609" s="62">
        <f>VLOOKUP(A609,'Dataset-1'!A610:M1220,2,)</f>
        <v>40571</v>
      </c>
      <c r="C609" s="41">
        <f>VLOOKUP(B609,'Dataset-1'!B610:N1220,2,)</f>
        <v>1</v>
      </c>
      <c r="D609" s="41">
        <f>VLOOKUP(C609,'Dataset-1'!C610:O1220,2,)</f>
        <v>0</v>
      </c>
      <c r="E609" s="41">
        <f>VLOOKUP(D609,'Dataset-1'!D610:P1220,2,)</f>
        <v>1</v>
      </c>
      <c r="F609" s="41">
        <f>VLOOKUP(E609,'Dataset-1'!E610:Q1220,2,)</f>
        <v>13</v>
      </c>
      <c r="G609" s="71" t="str">
        <f>VLOOKUP(F609,'Dataset-1'!F610:R1220,2,)</f>
        <v>AfterNoon</v>
      </c>
      <c r="H609" s="41" t="b">
        <f>VLOOKUP(G609,'Dataset-1'!G610:S1220,2,)</f>
        <v>0</v>
      </c>
      <c r="I609" s="41">
        <f>VLOOKUP(H609,'Dataset-1'!H610:T1220,2,)</f>
        <v>5</v>
      </c>
      <c r="J609" s="71" t="str">
        <f>VLOOKUP(I609,'Dataset-1'!I610:U1220,2,)</f>
        <v>Thusday</v>
      </c>
      <c r="K609" s="41">
        <f>VLOOKUP(J609,'Dataset-1'!J610:V1220,2,)</f>
        <v>3</v>
      </c>
      <c r="L609" s="41">
        <f>VLOOKUP(K609,'Dataset-1'!K610:W1220,2,)</f>
        <v>0.18</v>
      </c>
      <c r="M609" s="71" t="str">
        <f>VLOOKUP(L609,'Dataset-1'!L610:X1220,2,)</f>
        <v>Rainy</v>
      </c>
      <c r="N609" s="41">
        <f>VLOOKUP(A609,'Dataset-2'!B610:H1220,2,)</f>
        <v>0.21210000000000001</v>
      </c>
      <c r="O609" s="41">
        <f>VLOOKUP(N609,'Dataset-2'!C610:I1220,2,)</f>
        <v>0.93</v>
      </c>
      <c r="P609" s="41">
        <f>VLOOKUP(O609,'Dataset-2'!D610:J1220,2,)</f>
        <v>0.1045</v>
      </c>
      <c r="Q609" s="41">
        <f>VLOOKUP(P609,'Dataset-2'!E610:K1220,2,)</f>
        <v>0</v>
      </c>
      <c r="R609" s="41">
        <f>VLOOKUP(Q609,'Dataset-2'!F610:L1220,2,)</f>
        <v>31</v>
      </c>
      <c r="S609" s="41">
        <f>VLOOKUP(R609,'Dataset-2'!G610:M1220,2,)</f>
        <v>31</v>
      </c>
    </row>
    <row r="610" spans="1:19" x14ac:dyDescent="0.35">
      <c r="A610" s="40">
        <v>609</v>
      </c>
      <c r="B610" s="62">
        <f>VLOOKUP(A610,'Dataset-1'!A611:M1221,2,)</f>
        <v>40571</v>
      </c>
      <c r="C610" s="41">
        <f>VLOOKUP(B610,'Dataset-1'!B611:N1221,2,)</f>
        <v>1</v>
      </c>
      <c r="D610" s="41">
        <f>VLOOKUP(C610,'Dataset-1'!C611:O1221,2,)</f>
        <v>0</v>
      </c>
      <c r="E610" s="41">
        <f>VLOOKUP(D610,'Dataset-1'!D611:P1221,2,)</f>
        <v>1</v>
      </c>
      <c r="F610" s="41">
        <f>VLOOKUP(E610,'Dataset-1'!E611:Q1221,2,)</f>
        <v>14</v>
      </c>
      <c r="G610" s="71" t="str">
        <f>VLOOKUP(F610,'Dataset-1'!F611:R1221,2,)</f>
        <v>AfterNoon</v>
      </c>
      <c r="H610" s="41" t="b">
        <f>VLOOKUP(G610,'Dataset-1'!G611:S1221,2,)</f>
        <v>0</v>
      </c>
      <c r="I610" s="41">
        <f>VLOOKUP(H610,'Dataset-1'!H611:T1221,2,)</f>
        <v>5</v>
      </c>
      <c r="J610" s="71" t="str">
        <f>VLOOKUP(I610,'Dataset-1'!I611:U1221,2,)</f>
        <v>Thusday</v>
      </c>
      <c r="K610" s="41">
        <f>VLOOKUP(J610,'Dataset-1'!J611:V1221,2,)</f>
        <v>3</v>
      </c>
      <c r="L610" s="41">
        <f>VLOOKUP(K610,'Dataset-1'!K611:W1221,2,)</f>
        <v>0.22</v>
      </c>
      <c r="M610" s="71" t="str">
        <f>VLOOKUP(L610,'Dataset-1'!L611:X1221,2,)</f>
        <v>Cloudy</v>
      </c>
      <c r="N610" s="41">
        <f>VLOOKUP(A610,'Dataset-2'!B611:H1221,2,)</f>
        <v>0.2727</v>
      </c>
      <c r="O610" s="41">
        <f>VLOOKUP(N610,'Dataset-2'!C611:I1221,2,)</f>
        <v>0.8</v>
      </c>
      <c r="P610" s="41">
        <f>VLOOKUP(O610,'Dataset-2'!D611:J1221,2,)</f>
        <v>0</v>
      </c>
      <c r="Q610" s="41">
        <f>VLOOKUP(P610,'Dataset-2'!E611:K1221,2,)</f>
        <v>2</v>
      </c>
      <c r="R610" s="41">
        <f>VLOOKUP(Q610,'Dataset-2'!F611:L1221,2,)</f>
        <v>36</v>
      </c>
      <c r="S610" s="41">
        <f>VLOOKUP(R610,'Dataset-2'!G611:M1221,2,)</f>
        <v>38</v>
      </c>
    </row>
    <row r="611" spans="1:19" x14ac:dyDescent="0.35">
      <c r="A611" s="40">
        <v>610</v>
      </c>
      <c r="B611" s="62">
        <f>VLOOKUP(A611,'Dataset-1'!A612:M1222,2,)</f>
        <v>40571</v>
      </c>
      <c r="C611" s="41">
        <f>VLOOKUP(B611,'Dataset-1'!B612:N1222,2,)</f>
        <v>1</v>
      </c>
      <c r="D611" s="41">
        <f>VLOOKUP(C611,'Dataset-1'!C612:O1222,2,)</f>
        <v>0</v>
      </c>
      <c r="E611" s="41">
        <f>VLOOKUP(D611,'Dataset-1'!D612:P1222,2,)</f>
        <v>1</v>
      </c>
      <c r="F611" s="41">
        <f>VLOOKUP(E611,'Dataset-1'!E612:Q1222,2,)</f>
        <v>15</v>
      </c>
      <c r="G611" s="71" t="str">
        <f>VLOOKUP(F611,'Dataset-1'!F612:R1222,2,)</f>
        <v>AfterNoon</v>
      </c>
      <c r="H611" s="41" t="b">
        <f>VLOOKUP(G611,'Dataset-1'!G612:S1222,2,)</f>
        <v>0</v>
      </c>
      <c r="I611" s="41">
        <f>VLOOKUP(H611,'Dataset-1'!H612:T1222,2,)</f>
        <v>5</v>
      </c>
      <c r="J611" s="71" t="str">
        <f>VLOOKUP(I611,'Dataset-1'!I612:U1222,2,)</f>
        <v>Thusday</v>
      </c>
      <c r="K611" s="41">
        <f>VLOOKUP(J611,'Dataset-1'!J612:V1222,2,)</f>
        <v>2</v>
      </c>
      <c r="L611" s="41">
        <f>VLOOKUP(K611,'Dataset-1'!K612:W1222,2,)</f>
        <v>0.2</v>
      </c>
      <c r="M611" s="71" t="str">
        <f>VLOOKUP(L611,'Dataset-1'!L612:X1222,2,)</f>
        <v>Rainy</v>
      </c>
      <c r="N611" s="41">
        <f>VLOOKUP(A611,'Dataset-2'!B612:H1222,2,)</f>
        <v>0.2576</v>
      </c>
      <c r="O611" s="41">
        <f>VLOOKUP(N611,'Dataset-2'!C612:I1222,2,)</f>
        <v>0.86</v>
      </c>
      <c r="P611" s="41">
        <f>VLOOKUP(O611,'Dataset-2'!D612:J1222,2,)</f>
        <v>0</v>
      </c>
      <c r="Q611" s="41">
        <f>VLOOKUP(P611,'Dataset-2'!E612:K1222,2,)</f>
        <v>1</v>
      </c>
      <c r="R611" s="41">
        <f>VLOOKUP(Q611,'Dataset-2'!F612:L1222,2,)</f>
        <v>40</v>
      </c>
      <c r="S611" s="41">
        <f>VLOOKUP(R611,'Dataset-2'!G612:M1222,2,)</f>
        <v>41</v>
      </c>
    </row>
  </sheetData>
  <autoFilter ref="A1:S1" xr:uid="{BF97E09B-0250-4C86-A891-C5318BFB6C2D}"/>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E3B0-7C97-4564-A8B2-962181307C4B}">
  <sheetPr>
    <tabColor theme="9" tint="0.59999389629810485"/>
  </sheetPr>
  <dimension ref="A1:S1004"/>
  <sheetViews>
    <sheetView topLeftCell="F980" workbookViewId="0">
      <selection activeCell="R1003" sqref="R1003:S1004"/>
    </sheetView>
  </sheetViews>
  <sheetFormatPr defaultRowHeight="14.5" x14ac:dyDescent="0.35"/>
  <cols>
    <col min="1" max="1" width="10.7265625" bestFit="1" customWidth="1"/>
    <col min="2" max="2" width="11.26953125" style="18" bestFit="1" customWidth="1"/>
    <col min="3" max="3" width="11.26953125" bestFit="1" customWidth="1"/>
    <col min="4" max="4" width="7.08984375" bestFit="1" customWidth="1"/>
    <col min="5" max="5" width="9.90625" bestFit="1" customWidth="1"/>
    <col min="6" max="6" width="7.36328125" bestFit="1" customWidth="1"/>
    <col min="7" max="7" width="9.54296875" bestFit="1" customWidth="1"/>
    <col min="8" max="8" width="11.6328125" bestFit="1" customWidth="1"/>
    <col min="9" max="9" width="13.08984375" bestFit="1" customWidth="1"/>
    <col min="10" max="10" width="10.6328125" bestFit="1" customWidth="1"/>
    <col min="11" max="11" width="14.54296875" bestFit="1" customWidth="1"/>
    <col min="12" max="12" width="10.08984375" bestFit="1" customWidth="1"/>
    <col min="13" max="14" width="12.6328125" bestFit="1" customWidth="1"/>
    <col min="15" max="15" width="9.36328125" bestFit="1" customWidth="1"/>
    <col min="16" max="16" width="14.81640625" bestFit="1" customWidth="1"/>
    <col min="17" max="17" width="10.81640625" bestFit="1" customWidth="1"/>
    <col min="18" max="18" width="14.08984375" bestFit="1" customWidth="1"/>
    <col min="19" max="19" width="8.1796875" bestFit="1" customWidth="1"/>
  </cols>
  <sheetData>
    <row r="1" spans="1:19" x14ac:dyDescent="0.35">
      <c r="A1" s="35" t="s">
        <v>25</v>
      </c>
      <c r="B1" s="59" t="str">
        <f>VLOOKUP(A1,'Sheet A'!A1:S611,2,)</f>
        <v>Dteday</v>
      </c>
      <c r="C1" s="36" t="str">
        <f>VLOOKUP(B1,'Sheet A'!B1:T611,2,)</f>
        <v>Season</v>
      </c>
      <c r="D1" s="36" t="str">
        <f>VLOOKUP(C1,'Sheet A'!C1:U611,2,)</f>
        <v>Yr</v>
      </c>
      <c r="E1" s="36" t="str">
        <f>VLOOKUP(D1,'Sheet A'!D1:V611,2,)</f>
        <v>Mnth</v>
      </c>
      <c r="F1" s="36" t="str">
        <f>VLOOKUP(E1,'Sheet A'!E1:W611,2,)</f>
        <v>Hr</v>
      </c>
      <c r="G1" s="36" t="str">
        <f>VLOOKUP(F1,'Sheet A'!F1:X611,2,)</f>
        <v>Time</v>
      </c>
      <c r="H1" s="36" t="str">
        <f>VLOOKUP(G1,'Sheet A'!G1:Y611,2,)</f>
        <v>Holiday</v>
      </c>
      <c r="I1" s="36" t="str">
        <f>VLOOKUP(H1,'Sheet A'!H1:Z611,2,)</f>
        <v>Weekday</v>
      </c>
      <c r="J1" s="36" t="str">
        <f>VLOOKUP(I1,'Sheet A'!I1:AA611,2,)</f>
        <v>Days</v>
      </c>
      <c r="K1" s="36" t="str">
        <f>VLOOKUP(J1,'Sheet A'!J1:AB611,2,)</f>
        <v>Weathersit</v>
      </c>
      <c r="L1" s="36" t="str">
        <f>VLOOKUP(K1,'Sheet A'!K1:AC611,2,)</f>
        <v>Temp</v>
      </c>
      <c r="M1" s="36" t="str">
        <f>VLOOKUP(L1,'Sheet A'!L1:AD611,2,)</f>
        <v>Weather</v>
      </c>
      <c r="N1" s="36" t="str">
        <f>VLOOKUP(M1,'Sheet A'!M1:AE611,2,)</f>
        <v>N Atemp</v>
      </c>
      <c r="O1" s="36" t="str">
        <f>VLOOKUP(N1,'Sheet A'!N1:AF611,2,)</f>
        <v>Hum</v>
      </c>
      <c r="P1" s="36" t="str">
        <f>VLOOKUP(O1,'Sheet A'!O1:AG611,2,)</f>
        <v>Windspeed</v>
      </c>
      <c r="Q1" s="36" t="str">
        <f>VLOOKUP(P1,'Sheet A'!P1:AH611,2,)</f>
        <v>Casual</v>
      </c>
      <c r="R1" s="36" t="str">
        <f>VLOOKUP(Q1,'Sheet A'!Q1:AI611,2,)</f>
        <v>Registered</v>
      </c>
      <c r="S1" s="36" t="str">
        <f>VLOOKUP(R1,'Sheet A'!R1:AJ611,2,)</f>
        <v>Cnt</v>
      </c>
    </row>
    <row r="2" spans="1:19" x14ac:dyDescent="0.35">
      <c r="A2" s="37">
        <v>1</v>
      </c>
      <c r="B2" s="60">
        <f>VLOOKUP(A2,'Sheet A'!A2:S612,2,)</f>
        <v>40544</v>
      </c>
      <c r="C2" s="38">
        <f>VLOOKUP(B2,'Sheet A'!B2:T612,2,)</f>
        <v>1</v>
      </c>
      <c r="D2" s="38">
        <f>VLOOKUP(C2,'Sheet A'!C2:U612,2,)</f>
        <v>0</v>
      </c>
      <c r="E2" s="38">
        <f>VLOOKUP(D2,'Sheet A'!D2:V612,2,)</f>
        <v>1</v>
      </c>
      <c r="F2" s="38">
        <f>VLOOKUP(E2,'Sheet A'!E2:W612,2,)</f>
        <v>0</v>
      </c>
      <c r="G2" s="41" t="str">
        <f>VLOOKUP(F2,'Sheet A'!F2:X612,2,)</f>
        <v>Night</v>
      </c>
      <c r="H2" s="38" t="b">
        <f>VLOOKUP(G2,'Sheet A'!G2:Y612,2,)</f>
        <v>0</v>
      </c>
      <c r="I2" s="38">
        <f>VLOOKUP(H2,'Sheet A'!H2:Z612,2,)</f>
        <v>6</v>
      </c>
      <c r="J2" s="41" t="str">
        <f>VLOOKUP(I2,'Sheet A'!I2:AA612,2,)</f>
        <v>Friday</v>
      </c>
      <c r="K2" s="38">
        <f>VLOOKUP(J2,'Sheet A'!J2:AB612,2,)</f>
        <v>1</v>
      </c>
      <c r="L2" s="38">
        <f>VLOOKUP(K2,'Sheet A'!K2:AC612,2,)</f>
        <v>0.24</v>
      </c>
      <c r="M2" s="70" t="str">
        <f>VLOOKUP(L2,'Sheet A'!L2:AD612,2,)</f>
        <v>Cloudy</v>
      </c>
      <c r="N2" s="38">
        <f>VLOOKUP(M2,'Sheet A'!M2:AE612,2,)</f>
        <v>0.28789999999999999</v>
      </c>
      <c r="O2" s="38">
        <f>VLOOKUP(N2,'Sheet A'!N2:AF612,2,)</f>
        <v>0.81</v>
      </c>
      <c r="P2" s="38">
        <f>VLOOKUP(O2,'Sheet A'!O2:AG612,2,)</f>
        <v>0</v>
      </c>
      <c r="Q2" s="38">
        <f>VLOOKUP(P2,'Sheet A'!P2:AH612,2,)</f>
        <v>3</v>
      </c>
      <c r="R2" s="38">
        <f>VLOOKUP(Q2,'Sheet A'!Q2:AI612,2,)</f>
        <v>13</v>
      </c>
      <c r="S2" s="38">
        <f>VLOOKUP(R2,'Sheet A'!R2:AJ612,2,)</f>
        <v>16</v>
      </c>
    </row>
    <row r="3" spans="1:19" x14ac:dyDescent="0.35">
      <c r="A3" s="37">
        <v>2</v>
      </c>
      <c r="B3" s="60">
        <f>VLOOKUP(A3,'Sheet A'!A3:S613,2,)</f>
        <v>40544</v>
      </c>
      <c r="C3" s="38">
        <f>VLOOKUP(B3,'Sheet A'!B3:T613,2,)</f>
        <v>1</v>
      </c>
      <c r="D3" s="38">
        <f>VLOOKUP(C3,'Sheet A'!C3:U613,2,)</f>
        <v>0</v>
      </c>
      <c r="E3" s="38">
        <f>VLOOKUP(D3,'Sheet A'!D3:V613,2,)</f>
        <v>1</v>
      </c>
      <c r="F3" s="38">
        <f>VLOOKUP(E3,'Sheet A'!E3:W613,2,)</f>
        <v>1</v>
      </c>
      <c r="G3" s="41" t="str">
        <f>VLOOKUP(F3,'Sheet A'!F3:X613,2,)</f>
        <v>Night</v>
      </c>
      <c r="H3" s="38" t="b">
        <f>VLOOKUP(G3,'Sheet A'!G3:Y613,2,)</f>
        <v>0</v>
      </c>
      <c r="I3" s="38">
        <f>VLOOKUP(H3,'Sheet A'!H3:Z613,2,)</f>
        <v>6</v>
      </c>
      <c r="J3" s="41" t="str">
        <f>VLOOKUP(I3,'Sheet A'!I3:AA613,2,)</f>
        <v>Friday</v>
      </c>
      <c r="K3" s="38">
        <f>VLOOKUP(J3,'Sheet A'!J3:AB613,2,)</f>
        <v>1</v>
      </c>
      <c r="L3" s="38">
        <f>VLOOKUP(K3,'Sheet A'!K3:AC613,2,)</f>
        <v>0.22</v>
      </c>
      <c r="M3" s="70" t="str">
        <f>VLOOKUP(L3,'Sheet A'!L3:AD613,2,)</f>
        <v>Cloudy</v>
      </c>
      <c r="N3" s="38">
        <f>VLOOKUP(M3,'Sheet A'!M3:AE613,2,)</f>
        <v>0.2727</v>
      </c>
      <c r="O3" s="38">
        <f>VLOOKUP(N3,'Sheet A'!N3:AF613,2,)</f>
        <v>0.8</v>
      </c>
      <c r="P3" s="38">
        <f>VLOOKUP(O3,'Sheet A'!O3:AG613,2,)</f>
        <v>0</v>
      </c>
      <c r="Q3" s="38">
        <f>VLOOKUP(P3,'Sheet A'!P3:AH613,2,)</f>
        <v>8</v>
      </c>
      <c r="R3" s="38">
        <f>VLOOKUP(Q3,'Sheet A'!Q3:AI613,2,)</f>
        <v>32</v>
      </c>
      <c r="S3" s="38">
        <f>VLOOKUP(R3,'Sheet A'!R3:AJ613,2,)</f>
        <v>40</v>
      </c>
    </row>
    <row r="4" spans="1:19" x14ac:dyDescent="0.35">
      <c r="A4" s="37">
        <v>3</v>
      </c>
      <c r="B4" s="60">
        <f>VLOOKUP(A4,'Sheet A'!A4:S614,2,)</f>
        <v>40544</v>
      </c>
      <c r="C4" s="38">
        <f>VLOOKUP(B4,'Sheet A'!B4:T614,2,)</f>
        <v>1</v>
      </c>
      <c r="D4" s="38">
        <f>VLOOKUP(C4,'Sheet A'!C4:U614,2,)</f>
        <v>0</v>
      </c>
      <c r="E4" s="38">
        <f>VLOOKUP(D4,'Sheet A'!D4:V614,2,)</f>
        <v>1</v>
      </c>
      <c r="F4" s="38">
        <f>VLOOKUP(E4,'Sheet A'!E4:W614,2,)</f>
        <v>2</v>
      </c>
      <c r="G4" s="41" t="str">
        <f>VLOOKUP(F4,'Sheet A'!F4:X614,2,)</f>
        <v>Night</v>
      </c>
      <c r="H4" s="38" t="b">
        <f>VLOOKUP(G4,'Sheet A'!G4:Y614,2,)</f>
        <v>0</v>
      </c>
      <c r="I4" s="38">
        <f>VLOOKUP(H4,'Sheet A'!H4:Z614,2,)</f>
        <v>6</v>
      </c>
      <c r="J4" s="41" t="str">
        <f>VLOOKUP(I4,'Sheet A'!I4:AA614,2,)</f>
        <v>Friday</v>
      </c>
      <c r="K4" s="38">
        <f>VLOOKUP(J4,'Sheet A'!J4:AB614,2,)</f>
        <v>1</v>
      </c>
      <c r="L4" s="38">
        <f>VLOOKUP(K4,'Sheet A'!K4:AC614,2,)</f>
        <v>0.22</v>
      </c>
      <c r="M4" s="70" t="str">
        <f>VLOOKUP(L4,'Sheet A'!L4:AD614,2,)</f>
        <v>Cloudy</v>
      </c>
      <c r="N4" s="38">
        <f>VLOOKUP(M4,'Sheet A'!M4:AE614,2,)</f>
        <v>0.2727</v>
      </c>
      <c r="O4" s="38">
        <f>VLOOKUP(N4,'Sheet A'!N4:AF614,2,)</f>
        <v>0.8</v>
      </c>
      <c r="P4" s="38">
        <f>VLOOKUP(O4,'Sheet A'!O4:AG614,2,)</f>
        <v>0</v>
      </c>
      <c r="Q4" s="38">
        <f>VLOOKUP(P4,'Sheet A'!P4:AH614,2,)</f>
        <v>5</v>
      </c>
      <c r="R4" s="38">
        <f>VLOOKUP(Q4,'Sheet A'!Q4:AI614,2,)</f>
        <v>27</v>
      </c>
      <c r="S4" s="38">
        <f>VLOOKUP(R4,'Sheet A'!R4:AJ614,2,)</f>
        <v>32</v>
      </c>
    </row>
    <row r="5" spans="1:19" x14ac:dyDescent="0.35">
      <c r="A5" s="37">
        <v>4</v>
      </c>
      <c r="B5" s="60">
        <f>VLOOKUP(A5,'Sheet A'!A5:S615,2,)</f>
        <v>40544</v>
      </c>
      <c r="C5" s="38">
        <f>VLOOKUP(B5,'Sheet A'!B5:T615,2,)</f>
        <v>1</v>
      </c>
      <c r="D5" s="38">
        <f>VLOOKUP(C5,'Sheet A'!C5:U615,2,)</f>
        <v>0</v>
      </c>
      <c r="E5" s="38">
        <f>VLOOKUP(D5,'Sheet A'!D5:V615,2,)</f>
        <v>1</v>
      </c>
      <c r="F5" s="38">
        <f>VLOOKUP(E5,'Sheet A'!E5:W615,2,)</f>
        <v>3</v>
      </c>
      <c r="G5" s="41" t="str">
        <f>VLOOKUP(F5,'Sheet A'!F5:X615,2,)</f>
        <v>Night</v>
      </c>
      <c r="H5" s="38" t="b">
        <f>VLOOKUP(G5,'Sheet A'!G5:Y615,2,)</f>
        <v>0</v>
      </c>
      <c r="I5" s="38">
        <f>VLOOKUP(H5,'Sheet A'!H5:Z615,2,)</f>
        <v>6</v>
      </c>
      <c r="J5" s="41" t="str">
        <f>VLOOKUP(I5,'Sheet A'!I5:AA615,2,)</f>
        <v>Friday</v>
      </c>
      <c r="K5" s="38">
        <f>VLOOKUP(J5,'Sheet A'!J5:AB615,2,)</f>
        <v>1</v>
      </c>
      <c r="L5" s="38">
        <f>VLOOKUP(K5,'Sheet A'!K5:AC615,2,)</f>
        <v>0.24</v>
      </c>
      <c r="M5" s="70" t="str">
        <f>VLOOKUP(L5,'Sheet A'!L5:AD615,2,)</f>
        <v>Cloudy</v>
      </c>
      <c r="N5" s="38">
        <f>VLOOKUP(M5,'Sheet A'!M5:AE615,2,)</f>
        <v>0.28789999999999999</v>
      </c>
      <c r="O5" s="38">
        <f>VLOOKUP(N5,'Sheet A'!N5:AF615,2,)</f>
        <v>0.75</v>
      </c>
      <c r="P5" s="38">
        <f>VLOOKUP(O5,'Sheet A'!O5:AG615,2,)</f>
        <v>0</v>
      </c>
      <c r="Q5" s="38">
        <f>VLOOKUP(P5,'Sheet A'!P5:AH615,2,)</f>
        <v>3</v>
      </c>
      <c r="R5" s="38">
        <f>VLOOKUP(Q5,'Sheet A'!Q5:AI615,2,)</f>
        <v>10</v>
      </c>
      <c r="S5" s="38">
        <f>VLOOKUP(R5,'Sheet A'!R5:AJ615,2,)</f>
        <v>13</v>
      </c>
    </row>
    <row r="6" spans="1:19" x14ac:dyDescent="0.35">
      <c r="A6" s="37">
        <v>5</v>
      </c>
      <c r="B6" s="60">
        <f>VLOOKUP(A6,'Sheet A'!A6:S616,2,)</f>
        <v>40544</v>
      </c>
      <c r="C6" s="38">
        <f>VLOOKUP(B6,'Sheet A'!B6:T616,2,)</f>
        <v>1</v>
      </c>
      <c r="D6" s="38">
        <f>VLOOKUP(C6,'Sheet A'!C6:U616,2,)</f>
        <v>0</v>
      </c>
      <c r="E6" s="38">
        <f>VLOOKUP(D6,'Sheet A'!D6:V616,2,)</f>
        <v>1</v>
      </c>
      <c r="F6" s="38">
        <f>VLOOKUP(E6,'Sheet A'!E6:W616,2,)</f>
        <v>4</v>
      </c>
      <c r="G6" s="41" t="str">
        <f>VLOOKUP(F6,'Sheet A'!F6:X616,2,)</f>
        <v>Night</v>
      </c>
      <c r="H6" s="38" t="b">
        <f>VLOOKUP(G6,'Sheet A'!G6:Y616,2,)</f>
        <v>0</v>
      </c>
      <c r="I6" s="38">
        <f>VLOOKUP(H6,'Sheet A'!H6:Z616,2,)</f>
        <v>6</v>
      </c>
      <c r="J6" s="41" t="str">
        <f>VLOOKUP(I6,'Sheet A'!I6:AA616,2,)</f>
        <v>Friday</v>
      </c>
      <c r="K6" s="38">
        <f>VLOOKUP(J6,'Sheet A'!J6:AB616,2,)</f>
        <v>1</v>
      </c>
      <c r="L6" s="38">
        <f>VLOOKUP(K6,'Sheet A'!K6:AC616,2,)</f>
        <v>0.24</v>
      </c>
      <c r="M6" s="70" t="str">
        <f>VLOOKUP(L6,'Sheet A'!L6:AD616,2,)</f>
        <v>Cloudy</v>
      </c>
      <c r="N6" s="38">
        <f>VLOOKUP(M6,'Sheet A'!M6:AE616,2,)</f>
        <v>0.28789999999999999</v>
      </c>
      <c r="O6" s="38">
        <f>VLOOKUP(N6,'Sheet A'!N6:AF616,2,)</f>
        <v>0.75</v>
      </c>
      <c r="P6" s="38">
        <f>VLOOKUP(O6,'Sheet A'!O6:AG616,2,)</f>
        <v>0</v>
      </c>
      <c r="Q6" s="38">
        <f>VLOOKUP(P6,'Sheet A'!P6:AH616,2,)</f>
        <v>0</v>
      </c>
      <c r="R6" s="38">
        <f>VLOOKUP(Q6,'Sheet A'!Q6:AI616,2,)</f>
        <v>1</v>
      </c>
      <c r="S6" s="38">
        <f>VLOOKUP(R6,'Sheet A'!R6:AJ616,2,)</f>
        <v>1</v>
      </c>
    </row>
    <row r="7" spans="1:19" x14ac:dyDescent="0.35">
      <c r="A7" s="37">
        <v>6</v>
      </c>
      <c r="B7" s="60">
        <f>VLOOKUP(A7,'Sheet A'!A7:S617,2,)</f>
        <v>40544</v>
      </c>
      <c r="C7" s="38">
        <f>VLOOKUP(B7,'Sheet A'!B7:T617,2,)</f>
        <v>1</v>
      </c>
      <c r="D7" s="38">
        <f>VLOOKUP(C7,'Sheet A'!C7:U617,2,)</f>
        <v>0</v>
      </c>
      <c r="E7" s="38">
        <f>VLOOKUP(D7,'Sheet A'!D7:V617,2,)</f>
        <v>1</v>
      </c>
      <c r="F7" s="38">
        <f>VLOOKUP(E7,'Sheet A'!E7:W617,2,)</f>
        <v>5</v>
      </c>
      <c r="G7" s="41" t="str">
        <f>VLOOKUP(F7,'Sheet A'!F7:X617,2,)</f>
        <v>Morning</v>
      </c>
      <c r="H7" s="38" t="b">
        <f>VLOOKUP(G7,'Sheet A'!G7:Y617,2,)</f>
        <v>0</v>
      </c>
      <c r="I7" s="38">
        <f>VLOOKUP(H7,'Sheet A'!H7:Z617,2,)</f>
        <v>6</v>
      </c>
      <c r="J7" s="41" t="str">
        <f>VLOOKUP(I7,'Sheet A'!I7:AA617,2,)</f>
        <v>Friday</v>
      </c>
      <c r="K7" s="38">
        <f>VLOOKUP(J7,'Sheet A'!J7:AB617,2,)</f>
        <v>2</v>
      </c>
      <c r="L7" s="38">
        <f>VLOOKUP(K7,'Sheet A'!K7:AC617,2,)</f>
        <v>0.24</v>
      </c>
      <c r="M7" s="70" t="str">
        <f>VLOOKUP(L7,'Sheet A'!L7:AD617,2,)</f>
        <v>Cloudy</v>
      </c>
      <c r="N7" s="38">
        <f>VLOOKUP(M7,'Sheet A'!M7:AE617,2,)</f>
        <v>0.2576</v>
      </c>
      <c r="O7" s="38">
        <f>VLOOKUP(N7,'Sheet A'!N7:AF617,2,)</f>
        <v>0.75</v>
      </c>
      <c r="P7" s="38">
        <f>VLOOKUP(O7,'Sheet A'!O7:AG617,2,)</f>
        <v>8.9599999999999999E-2</v>
      </c>
      <c r="Q7" s="38">
        <f>VLOOKUP(P7,'Sheet A'!P7:AH617,2,)</f>
        <v>0</v>
      </c>
      <c r="R7" s="38">
        <f>VLOOKUP(Q7,'Sheet A'!Q7:AI617,2,)</f>
        <v>1</v>
      </c>
      <c r="S7" s="38">
        <f>VLOOKUP(R7,'Sheet A'!R7:AJ617,2,)</f>
        <v>1</v>
      </c>
    </row>
    <row r="8" spans="1:19" x14ac:dyDescent="0.35">
      <c r="A8" s="37">
        <v>7</v>
      </c>
      <c r="B8" s="60">
        <f>VLOOKUP(A8,'Sheet A'!A8:S618,2,)</f>
        <v>40544</v>
      </c>
      <c r="C8" s="38">
        <f>VLOOKUP(B8,'Sheet A'!B8:T618,2,)</f>
        <v>1</v>
      </c>
      <c r="D8" s="38">
        <f>VLOOKUP(C8,'Sheet A'!C8:U618,2,)</f>
        <v>0</v>
      </c>
      <c r="E8" s="38">
        <f>VLOOKUP(D8,'Sheet A'!D8:V618,2,)</f>
        <v>1</v>
      </c>
      <c r="F8" s="38">
        <f>VLOOKUP(E8,'Sheet A'!E8:W618,2,)</f>
        <v>6</v>
      </c>
      <c r="G8" s="41" t="str">
        <f>VLOOKUP(F8,'Sheet A'!F8:X618,2,)</f>
        <v>Morning</v>
      </c>
      <c r="H8" s="38" t="b">
        <f>VLOOKUP(G8,'Sheet A'!G8:Y618,2,)</f>
        <v>0</v>
      </c>
      <c r="I8" s="38">
        <f>VLOOKUP(H8,'Sheet A'!H8:Z618,2,)</f>
        <v>6</v>
      </c>
      <c r="J8" s="41" t="str">
        <f>VLOOKUP(I8,'Sheet A'!I8:AA618,2,)</f>
        <v>Friday</v>
      </c>
      <c r="K8" s="38">
        <f>VLOOKUP(J8,'Sheet A'!J8:AB618,2,)</f>
        <v>1</v>
      </c>
      <c r="L8" s="38">
        <f>VLOOKUP(K8,'Sheet A'!K8:AC618,2,)</f>
        <v>0.22</v>
      </c>
      <c r="M8" s="70" t="str">
        <f>VLOOKUP(L8,'Sheet A'!L8:AD618,2,)</f>
        <v>Cloudy</v>
      </c>
      <c r="N8" s="38">
        <f>VLOOKUP(M8,'Sheet A'!M8:AE618,2,)</f>
        <v>0.2727</v>
      </c>
      <c r="O8" s="38">
        <f>VLOOKUP(N8,'Sheet A'!N8:AF618,2,)</f>
        <v>0.8</v>
      </c>
      <c r="P8" s="38">
        <f>VLOOKUP(O8,'Sheet A'!O8:AG618,2,)</f>
        <v>0</v>
      </c>
      <c r="Q8" s="38">
        <f>VLOOKUP(P8,'Sheet A'!P8:AH618,2,)</f>
        <v>2</v>
      </c>
      <c r="R8" s="38">
        <f>VLOOKUP(Q8,'Sheet A'!Q8:AI618,2,)</f>
        <v>0</v>
      </c>
      <c r="S8" s="38">
        <f>VLOOKUP(R8,'Sheet A'!R8:AJ618,2,)</f>
        <v>2</v>
      </c>
    </row>
    <row r="9" spans="1:19" x14ac:dyDescent="0.35">
      <c r="A9" s="37">
        <v>8</v>
      </c>
      <c r="B9" s="60">
        <f>VLOOKUP(A9,'Sheet A'!A9:S619,2,)</f>
        <v>40544</v>
      </c>
      <c r="C9" s="38">
        <f>VLOOKUP(B9,'Sheet A'!B9:T619,2,)</f>
        <v>1</v>
      </c>
      <c r="D9" s="38">
        <f>VLOOKUP(C9,'Sheet A'!C9:U619,2,)</f>
        <v>0</v>
      </c>
      <c r="E9" s="38">
        <f>VLOOKUP(D9,'Sheet A'!D9:V619,2,)</f>
        <v>1</v>
      </c>
      <c r="F9" s="38">
        <f>VLOOKUP(E9,'Sheet A'!E9:W619,2,)</f>
        <v>7</v>
      </c>
      <c r="G9" s="41" t="str">
        <f>VLOOKUP(F9,'Sheet A'!F9:X619,2,)</f>
        <v>Morning</v>
      </c>
      <c r="H9" s="38" t="b">
        <f>VLOOKUP(G9,'Sheet A'!G9:Y619,2,)</f>
        <v>0</v>
      </c>
      <c r="I9" s="38">
        <f>VLOOKUP(H9,'Sheet A'!H9:Z619,2,)</f>
        <v>6</v>
      </c>
      <c r="J9" s="41" t="str">
        <f>VLOOKUP(I9,'Sheet A'!I9:AA619,2,)</f>
        <v>Friday</v>
      </c>
      <c r="K9" s="38">
        <f>VLOOKUP(J9,'Sheet A'!J9:AB619,2,)</f>
        <v>1</v>
      </c>
      <c r="L9" s="38">
        <f>VLOOKUP(K9,'Sheet A'!K9:AC619,2,)</f>
        <v>0.2</v>
      </c>
      <c r="M9" s="70" t="str">
        <f>VLOOKUP(L9,'Sheet A'!L9:AD619,2,)</f>
        <v>Rainy</v>
      </c>
      <c r="N9" s="38">
        <f>VLOOKUP(M9,'Sheet A'!M9:AE619,2,)</f>
        <v>0.2576</v>
      </c>
      <c r="O9" s="38">
        <f>VLOOKUP(N9,'Sheet A'!N9:AF619,2,)</f>
        <v>0.86</v>
      </c>
      <c r="P9" s="38">
        <f>VLOOKUP(O9,'Sheet A'!O9:AG619,2,)</f>
        <v>0</v>
      </c>
      <c r="Q9" s="38">
        <f>VLOOKUP(P9,'Sheet A'!P9:AH619,2,)</f>
        <v>1</v>
      </c>
      <c r="R9" s="38">
        <f>VLOOKUP(Q9,'Sheet A'!Q9:AI619,2,)</f>
        <v>2</v>
      </c>
      <c r="S9" s="38">
        <f>VLOOKUP(R9,'Sheet A'!R9:AJ619,2,)</f>
        <v>3</v>
      </c>
    </row>
    <row r="10" spans="1:19" x14ac:dyDescent="0.35">
      <c r="A10" s="37">
        <v>9</v>
      </c>
      <c r="B10" s="60">
        <f>VLOOKUP(A10,'Sheet A'!A10:S620,2,)</f>
        <v>40544</v>
      </c>
      <c r="C10" s="38">
        <f>VLOOKUP(B10,'Sheet A'!B10:T620,2,)</f>
        <v>1</v>
      </c>
      <c r="D10" s="38">
        <f>VLOOKUP(C10,'Sheet A'!C10:U620,2,)</f>
        <v>0</v>
      </c>
      <c r="E10" s="38">
        <f>VLOOKUP(D10,'Sheet A'!D10:V620,2,)</f>
        <v>1</v>
      </c>
      <c r="F10" s="38">
        <f>VLOOKUP(E10,'Sheet A'!E10:W620,2,)</f>
        <v>8</v>
      </c>
      <c r="G10" s="41" t="str">
        <f>VLOOKUP(F10,'Sheet A'!F10:X620,2,)</f>
        <v>Morning</v>
      </c>
      <c r="H10" s="38" t="b">
        <f>VLOOKUP(G10,'Sheet A'!G10:Y620,2,)</f>
        <v>0</v>
      </c>
      <c r="I10" s="38">
        <f>VLOOKUP(H10,'Sheet A'!H10:Z620,2,)</f>
        <v>6</v>
      </c>
      <c r="J10" s="41" t="str">
        <f>VLOOKUP(I10,'Sheet A'!I10:AA620,2,)</f>
        <v>Friday</v>
      </c>
      <c r="K10" s="38">
        <f>VLOOKUP(J10,'Sheet A'!J10:AB620,2,)</f>
        <v>1</v>
      </c>
      <c r="L10" s="38">
        <f>VLOOKUP(K10,'Sheet A'!K10:AC620,2,)</f>
        <v>0.24</v>
      </c>
      <c r="M10" s="70" t="str">
        <f>VLOOKUP(L10,'Sheet A'!L10:AD620,2,)</f>
        <v>Cloudy</v>
      </c>
      <c r="N10" s="38">
        <f>VLOOKUP(M10,'Sheet A'!M10:AE620,2,)</f>
        <v>0.30304999999999999</v>
      </c>
      <c r="O10" s="38">
        <f>VLOOKUP(N10,'Sheet A'!N10:AF620,2,)</f>
        <v>0.75</v>
      </c>
      <c r="P10" s="38">
        <f>VLOOKUP(O10,'Sheet A'!O10:AG620,2,)</f>
        <v>0</v>
      </c>
      <c r="Q10" s="38">
        <f>VLOOKUP(P10,'Sheet A'!P10:AH620,2,)</f>
        <v>1</v>
      </c>
      <c r="R10" s="38">
        <f>VLOOKUP(Q10,'Sheet A'!Q10:AI620,2,)</f>
        <v>7</v>
      </c>
      <c r="S10" s="38">
        <f>VLOOKUP(R10,'Sheet A'!R10:AJ620,2,)</f>
        <v>8</v>
      </c>
    </row>
    <row r="11" spans="1:19" x14ac:dyDescent="0.35">
      <c r="A11" s="37">
        <v>10</v>
      </c>
      <c r="B11" s="60">
        <f>VLOOKUP(A11,'Sheet A'!A11:S621,2,)</f>
        <v>40544</v>
      </c>
      <c r="C11" s="38">
        <f>VLOOKUP(B11,'Sheet A'!B11:T621,2,)</f>
        <v>1</v>
      </c>
      <c r="D11" s="38">
        <f>VLOOKUP(C11,'Sheet A'!C11:U621,2,)</f>
        <v>0</v>
      </c>
      <c r="E11" s="38">
        <f>VLOOKUP(D11,'Sheet A'!D11:V621,2,)</f>
        <v>1</v>
      </c>
      <c r="F11" s="38">
        <f>VLOOKUP(E11,'Sheet A'!E11:W621,2,)</f>
        <v>9</v>
      </c>
      <c r="G11" s="41" t="str">
        <f>VLOOKUP(F11,'Sheet A'!F11:X621,2,)</f>
        <v>Morning</v>
      </c>
      <c r="H11" s="38" t="b">
        <f>VLOOKUP(G11,'Sheet A'!G11:Y621,2,)</f>
        <v>0</v>
      </c>
      <c r="I11" s="38">
        <f>VLOOKUP(H11,'Sheet A'!H11:Z621,2,)</f>
        <v>6</v>
      </c>
      <c r="J11" s="41" t="str">
        <f>VLOOKUP(I11,'Sheet A'!I11:AA621,2,)</f>
        <v>Friday</v>
      </c>
      <c r="K11" s="38">
        <f>VLOOKUP(J11,'Sheet A'!J11:AB621,2,)</f>
        <v>1</v>
      </c>
      <c r="L11" s="38">
        <f>VLOOKUP(K11,'Sheet A'!K11:AC621,2,)</f>
        <v>0.32</v>
      </c>
      <c r="M11" s="70" t="str">
        <f>VLOOKUP(L11,'Sheet A'!L11:AD621,2,)</f>
        <v>Sunny</v>
      </c>
      <c r="N11" s="38">
        <f>VLOOKUP(M11,'Sheet A'!M11:AE621,2,)</f>
        <v>0.34849999999999998</v>
      </c>
      <c r="O11" s="38">
        <f>VLOOKUP(N11,'Sheet A'!N11:AF621,2,)</f>
        <v>0.76</v>
      </c>
      <c r="P11" s="38">
        <f>VLOOKUP(O11,'Sheet A'!O11:AG621,2,)</f>
        <v>0</v>
      </c>
      <c r="Q11" s="38">
        <f>VLOOKUP(P11,'Sheet A'!P11:AH621,2,)</f>
        <v>8</v>
      </c>
      <c r="R11" s="38">
        <f>VLOOKUP(Q11,'Sheet A'!Q11:AI621,2,)</f>
        <v>6</v>
      </c>
      <c r="S11" s="38">
        <f>VLOOKUP(R11,'Sheet A'!R11:AJ621,2,)</f>
        <v>14</v>
      </c>
    </row>
    <row r="12" spans="1:19" x14ac:dyDescent="0.35">
      <c r="A12" s="37">
        <v>11</v>
      </c>
      <c r="B12" s="60">
        <f>VLOOKUP(A12,'Sheet A'!A12:S622,2,)</f>
        <v>40544</v>
      </c>
      <c r="C12" s="38">
        <f>VLOOKUP(B12,'Sheet A'!B12:T622,2,)</f>
        <v>1</v>
      </c>
      <c r="D12" s="38">
        <f>VLOOKUP(C12,'Sheet A'!C12:U622,2,)</f>
        <v>0</v>
      </c>
      <c r="E12" s="38">
        <f>VLOOKUP(D12,'Sheet A'!D12:V622,2,)</f>
        <v>1</v>
      </c>
      <c r="F12" s="38">
        <f>VLOOKUP(E12,'Sheet A'!E12:W622,2,)</f>
        <v>10</v>
      </c>
      <c r="G12" s="41" t="str">
        <f>VLOOKUP(F12,'Sheet A'!F12:X622,2,)</f>
        <v>Morning</v>
      </c>
      <c r="H12" s="38" t="b">
        <f>VLOOKUP(G12,'Sheet A'!G12:Y622,2,)</f>
        <v>0</v>
      </c>
      <c r="I12" s="38">
        <f>VLOOKUP(H12,'Sheet A'!H12:Z622,2,)</f>
        <v>6</v>
      </c>
      <c r="J12" s="41" t="str">
        <f>VLOOKUP(I12,'Sheet A'!I12:AA622,2,)</f>
        <v>Friday</v>
      </c>
      <c r="K12" s="38">
        <f>VLOOKUP(J12,'Sheet A'!J12:AB622,2,)</f>
        <v>1</v>
      </c>
      <c r="L12" s="38">
        <f>VLOOKUP(K12,'Sheet A'!K12:AC622,2,)</f>
        <v>0.38</v>
      </c>
      <c r="M12" s="70" t="str">
        <f>VLOOKUP(L12,'Sheet A'!L12:AD622,2,)</f>
        <v>Sunny</v>
      </c>
      <c r="N12" s="38">
        <f>VLOOKUP(M12,'Sheet A'!M12:AE622,2,)</f>
        <v>0.39389999999999997</v>
      </c>
      <c r="O12" s="38">
        <f>VLOOKUP(N12,'Sheet A'!N12:AF622,2,)</f>
        <v>0.76</v>
      </c>
      <c r="P12" s="38">
        <f>VLOOKUP(O12,'Sheet A'!O12:AG622,2,)</f>
        <v>0.25369999999999998</v>
      </c>
      <c r="Q12" s="38">
        <f>VLOOKUP(P12,'Sheet A'!P12:AH622,2,)</f>
        <v>12</v>
      </c>
      <c r="R12" s="38">
        <f>VLOOKUP(Q12,'Sheet A'!Q12:AI622,2,)</f>
        <v>24</v>
      </c>
      <c r="S12" s="38">
        <f>VLOOKUP(R12,'Sheet A'!R12:AJ622,2,)</f>
        <v>36</v>
      </c>
    </row>
    <row r="13" spans="1:19" x14ac:dyDescent="0.35">
      <c r="A13" s="37">
        <v>12</v>
      </c>
      <c r="B13" s="60">
        <f>VLOOKUP(A13,'Sheet A'!A13:S623,2,)</f>
        <v>40544</v>
      </c>
      <c r="C13" s="38">
        <f>VLOOKUP(B13,'Sheet A'!B13:T623,2,)</f>
        <v>1</v>
      </c>
      <c r="D13" s="38">
        <f>VLOOKUP(C13,'Sheet A'!C13:U623,2,)</f>
        <v>0</v>
      </c>
      <c r="E13" s="38">
        <f>VLOOKUP(D13,'Sheet A'!D13:V623,2,)</f>
        <v>1</v>
      </c>
      <c r="F13" s="38">
        <f>VLOOKUP(E13,'Sheet A'!E13:W623,2,)</f>
        <v>11</v>
      </c>
      <c r="G13" s="41" t="str">
        <f>VLOOKUP(F13,'Sheet A'!F13:X623,2,)</f>
        <v>Morning</v>
      </c>
      <c r="H13" s="38" t="b">
        <f>VLOOKUP(G13,'Sheet A'!G13:Y623,2,)</f>
        <v>0</v>
      </c>
      <c r="I13" s="38">
        <f>VLOOKUP(H13,'Sheet A'!H13:Z623,2,)</f>
        <v>6</v>
      </c>
      <c r="J13" s="41" t="str">
        <f>VLOOKUP(I13,'Sheet A'!I13:AA623,2,)</f>
        <v>Friday</v>
      </c>
      <c r="K13" s="38">
        <f>VLOOKUP(J13,'Sheet A'!J13:AB623,2,)</f>
        <v>1</v>
      </c>
      <c r="L13" s="38">
        <f>VLOOKUP(K13,'Sheet A'!K13:AC623,2,)</f>
        <v>0.36</v>
      </c>
      <c r="M13" s="70" t="str">
        <f>VLOOKUP(L13,'Sheet A'!L13:AD623,2,)</f>
        <v>Sunny</v>
      </c>
      <c r="N13" s="38">
        <f>VLOOKUP(M13,'Sheet A'!M13:AE623,2,)</f>
        <v>0.33329999999999999</v>
      </c>
      <c r="O13" s="38">
        <f>VLOOKUP(N13,'Sheet A'!N13:AF623,2,)</f>
        <v>0.81</v>
      </c>
      <c r="P13" s="38">
        <f>VLOOKUP(O13,'Sheet A'!O13:AG623,2,)</f>
        <v>0.28360000000000002</v>
      </c>
      <c r="Q13" s="38">
        <f>VLOOKUP(P13,'Sheet A'!P13:AH623,2,)</f>
        <v>26</v>
      </c>
      <c r="R13" s="38">
        <f>VLOOKUP(Q13,'Sheet A'!Q13:AI623,2,)</f>
        <v>30</v>
      </c>
      <c r="S13" s="38">
        <f>VLOOKUP(R13,'Sheet A'!R13:AJ623,2,)</f>
        <v>56</v>
      </c>
    </row>
    <row r="14" spans="1:19" x14ac:dyDescent="0.35">
      <c r="A14" s="37">
        <v>13</v>
      </c>
      <c r="B14" s="60">
        <f>VLOOKUP(A14,'Sheet A'!A14:S624,2,)</f>
        <v>40544</v>
      </c>
      <c r="C14" s="38">
        <f>VLOOKUP(B14,'Sheet A'!B14:T624,2,)</f>
        <v>1</v>
      </c>
      <c r="D14" s="38">
        <f>VLOOKUP(C14,'Sheet A'!C14:U624,2,)</f>
        <v>0</v>
      </c>
      <c r="E14" s="38">
        <f>VLOOKUP(D14,'Sheet A'!D14:V624,2,)</f>
        <v>1</v>
      </c>
      <c r="F14" s="38">
        <f>VLOOKUP(E14,'Sheet A'!E14:W624,2,)</f>
        <v>12</v>
      </c>
      <c r="G14" s="41" t="str">
        <f>VLOOKUP(F14,'Sheet A'!F14:X624,2,)</f>
        <v>AfterNoon</v>
      </c>
      <c r="H14" s="38" t="b">
        <f>VLOOKUP(G14,'Sheet A'!G14:Y624,2,)</f>
        <v>0</v>
      </c>
      <c r="I14" s="38">
        <f>VLOOKUP(H14,'Sheet A'!H14:Z624,2,)</f>
        <v>6</v>
      </c>
      <c r="J14" s="41" t="str">
        <f>VLOOKUP(I14,'Sheet A'!I14:AA624,2,)</f>
        <v>Friday</v>
      </c>
      <c r="K14" s="38">
        <f>VLOOKUP(J14,'Sheet A'!J14:AB624,2,)</f>
        <v>1</v>
      </c>
      <c r="L14" s="38">
        <f>VLOOKUP(K14,'Sheet A'!K14:AC624,2,)</f>
        <v>0.42</v>
      </c>
      <c r="M14" s="70" t="str">
        <f>VLOOKUP(L14,'Sheet A'!L14:AD624,2,)</f>
        <v>Sunny</v>
      </c>
      <c r="N14" s="38">
        <f>VLOOKUP(M14,'Sheet A'!M14:AE624,2,)</f>
        <v>0.42420000000000002</v>
      </c>
      <c r="O14" s="38">
        <f>VLOOKUP(N14,'Sheet A'!N14:AF624,2,)</f>
        <v>0.77</v>
      </c>
      <c r="P14" s="38">
        <f>VLOOKUP(O14,'Sheet A'!O14:AG624,2,)</f>
        <v>0.28360000000000002</v>
      </c>
      <c r="Q14" s="38">
        <f>VLOOKUP(P14,'Sheet A'!P14:AH624,2,)</f>
        <v>29</v>
      </c>
      <c r="R14" s="38">
        <f>VLOOKUP(Q14,'Sheet A'!Q14:AI624,2,)</f>
        <v>55</v>
      </c>
      <c r="S14" s="38">
        <f>VLOOKUP(R14,'Sheet A'!R14:AJ624,2,)</f>
        <v>84</v>
      </c>
    </row>
    <row r="15" spans="1:19" x14ac:dyDescent="0.35">
      <c r="A15" s="37">
        <v>14</v>
      </c>
      <c r="B15" s="60">
        <f>VLOOKUP(A15,'Sheet A'!A15:S625,2,)</f>
        <v>40544</v>
      </c>
      <c r="C15" s="38">
        <f>VLOOKUP(B15,'Sheet A'!B15:T625,2,)</f>
        <v>1</v>
      </c>
      <c r="D15" s="38">
        <f>VLOOKUP(C15,'Sheet A'!C15:U625,2,)</f>
        <v>0</v>
      </c>
      <c r="E15" s="38">
        <f>VLOOKUP(D15,'Sheet A'!D15:V625,2,)</f>
        <v>1</v>
      </c>
      <c r="F15" s="38">
        <f>VLOOKUP(E15,'Sheet A'!E15:W625,2,)</f>
        <v>13</v>
      </c>
      <c r="G15" s="41" t="str">
        <f>VLOOKUP(F15,'Sheet A'!F15:X625,2,)</f>
        <v>AfterNoon</v>
      </c>
      <c r="H15" s="38" t="b">
        <f>VLOOKUP(G15,'Sheet A'!G15:Y625,2,)</f>
        <v>0</v>
      </c>
      <c r="I15" s="38">
        <f>VLOOKUP(H15,'Sheet A'!H15:Z625,2,)</f>
        <v>6</v>
      </c>
      <c r="J15" s="41" t="str">
        <f>VLOOKUP(I15,'Sheet A'!I15:AA625,2,)</f>
        <v>Friday</v>
      </c>
      <c r="K15" s="38">
        <f>VLOOKUP(J15,'Sheet A'!J15:AB625,2,)</f>
        <v>2</v>
      </c>
      <c r="L15" s="38">
        <f>VLOOKUP(K15,'Sheet A'!K15:AC625,2,)</f>
        <v>0.46</v>
      </c>
      <c r="M15" s="70" t="str">
        <f>VLOOKUP(L15,'Sheet A'!L15:AD625,2,)</f>
        <v>Sunny</v>
      </c>
      <c r="N15" s="38">
        <f>VLOOKUP(M15,'Sheet A'!M15:AE625,2,)</f>
        <v>0.45450000000000002</v>
      </c>
      <c r="O15" s="38">
        <f>VLOOKUP(N15,'Sheet A'!N15:AF625,2,)</f>
        <v>0.72</v>
      </c>
      <c r="P15" s="38">
        <f>VLOOKUP(O15,'Sheet A'!O15:AG625,2,)</f>
        <v>0.29849999999999999</v>
      </c>
      <c r="Q15" s="38">
        <f>VLOOKUP(P15,'Sheet A'!P15:AH625,2,)</f>
        <v>47</v>
      </c>
      <c r="R15" s="38">
        <f>VLOOKUP(Q15,'Sheet A'!Q15:AI625,2,)</f>
        <v>47</v>
      </c>
      <c r="S15" s="38">
        <f>VLOOKUP(R15,'Sheet A'!R15:AJ625,2,)</f>
        <v>94</v>
      </c>
    </row>
    <row r="16" spans="1:19" x14ac:dyDescent="0.35">
      <c r="A16" s="37">
        <v>15</v>
      </c>
      <c r="B16" s="60">
        <f>VLOOKUP(A16,'Sheet A'!A16:S626,2,)</f>
        <v>40544</v>
      </c>
      <c r="C16" s="38">
        <f>VLOOKUP(B16,'Sheet A'!B16:T626,2,)</f>
        <v>1</v>
      </c>
      <c r="D16" s="38">
        <f>VLOOKUP(C16,'Sheet A'!C16:U626,2,)</f>
        <v>0</v>
      </c>
      <c r="E16" s="38">
        <f>VLOOKUP(D16,'Sheet A'!D16:V626,2,)</f>
        <v>1</v>
      </c>
      <c r="F16" s="38">
        <f>VLOOKUP(E16,'Sheet A'!E16:W626,2,)</f>
        <v>14</v>
      </c>
      <c r="G16" s="41" t="str">
        <f>VLOOKUP(F16,'Sheet A'!F16:X626,2,)</f>
        <v>AfterNoon</v>
      </c>
      <c r="H16" s="38" t="b">
        <f>VLOOKUP(G16,'Sheet A'!G16:Y626,2,)</f>
        <v>0</v>
      </c>
      <c r="I16" s="38">
        <f>VLOOKUP(H16,'Sheet A'!H16:Z626,2,)</f>
        <v>6</v>
      </c>
      <c r="J16" s="41" t="str">
        <f>VLOOKUP(I16,'Sheet A'!I16:AA626,2,)</f>
        <v>Friday</v>
      </c>
      <c r="K16" s="38">
        <f>VLOOKUP(J16,'Sheet A'!J16:AB626,2,)</f>
        <v>2</v>
      </c>
      <c r="L16" s="38">
        <f>VLOOKUP(K16,'Sheet A'!K16:AC626,2,)</f>
        <v>0.46</v>
      </c>
      <c r="M16" s="70" t="str">
        <f>VLOOKUP(L16,'Sheet A'!L16:AD626,2,)</f>
        <v>Sunny</v>
      </c>
      <c r="N16" s="38">
        <f>VLOOKUP(M16,'Sheet A'!M16:AE626,2,)</f>
        <v>0.45450000000000002</v>
      </c>
      <c r="O16" s="38">
        <f>VLOOKUP(N16,'Sheet A'!N16:AF626,2,)</f>
        <v>0.72</v>
      </c>
      <c r="P16" s="38">
        <f>VLOOKUP(O16,'Sheet A'!O16:AG626,2,)</f>
        <v>0.28360000000000002</v>
      </c>
      <c r="Q16" s="38">
        <f>VLOOKUP(P16,'Sheet A'!P16:AH626,2,)</f>
        <v>35</v>
      </c>
      <c r="R16" s="38">
        <f>VLOOKUP(Q16,'Sheet A'!Q16:AI626,2,)</f>
        <v>71</v>
      </c>
      <c r="S16" s="38">
        <f>VLOOKUP(R16,'Sheet A'!R16:AJ626,2,)</f>
        <v>106</v>
      </c>
    </row>
    <row r="17" spans="1:19" x14ac:dyDescent="0.35">
      <c r="A17" s="37">
        <v>16</v>
      </c>
      <c r="B17" s="60">
        <f>VLOOKUP(A17,'Sheet A'!A17:S627,2,)</f>
        <v>40544</v>
      </c>
      <c r="C17" s="38">
        <f>VLOOKUP(B17,'Sheet A'!B17:T627,2,)</f>
        <v>1</v>
      </c>
      <c r="D17" s="38">
        <f>VLOOKUP(C17,'Sheet A'!C17:U627,2,)</f>
        <v>0</v>
      </c>
      <c r="E17" s="38">
        <f>VLOOKUP(D17,'Sheet A'!D17:V627,2,)</f>
        <v>1</v>
      </c>
      <c r="F17" s="38">
        <f>VLOOKUP(E17,'Sheet A'!E17:W627,2,)</f>
        <v>15</v>
      </c>
      <c r="G17" s="41" t="str">
        <f>VLOOKUP(F17,'Sheet A'!F17:X627,2,)</f>
        <v>AfterNoon</v>
      </c>
      <c r="H17" s="38" t="b">
        <f>VLOOKUP(G17,'Sheet A'!G17:Y627,2,)</f>
        <v>0</v>
      </c>
      <c r="I17" s="38">
        <f>VLOOKUP(H17,'Sheet A'!H17:Z627,2,)</f>
        <v>6</v>
      </c>
      <c r="J17" s="41" t="str">
        <f>VLOOKUP(I17,'Sheet A'!I17:AA627,2,)</f>
        <v>Friday</v>
      </c>
      <c r="K17" s="38">
        <f>VLOOKUP(J17,'Sheet A'!J17:AB627,2,)</f>
        <v>2</v>
      </c>
      <c r="L17" s="38">
        <f>VLOOKUP(K17,'Sheet A'!K17:AC627,2,)</f>
        <v>0.44</v>
      </c>
      <c r="M17" s="70" t="str">
        <f>VLOOKUP(L17,'Sheet A'!L17:AD627,2,)</f>
        <v>Sunny</v>
      </c>
      <c r="N17" s="38">
        <f>VLOOKUP(M17,'Sheet A'!M17:AE627,2,)</f>
        <v>0.43940000000000001</v>
      </c>
      <c r="O17" s="38">
        <f>VLOOKUP(N17,'Sheet A'!N17:AF627,2,)</f>
        <v>0.77</v>
      </c>
      <c r="P17" s="38">
        <f>VLOOKUP(O17,'Sheet A'!O17:AG627,2,)</f>
        <v>0.29849999999999999</v>
      </c>
      <c r="Q17" s="38">
        <f>VLOOKUP(P17,'Sheet A'!P17:AH627,2,)</f>
        <v>40</v>
      </c>
      <c r="R17" s="38">
        <f>VLOOKUP(Q17,'Sheet A'!Q17:AI627,2,)</f>
        <v>70</v>
      </c>
      <c r="S17" s="38">
        <f>VLOOKUP(R17,'Sheet A'!R17:AJ627,2,)</f>
        <v>110</v>
      </c>
    </row>
    <row r="18" spans="1:19" x14ac:dyDescent="0.35">
      <c r="A18" s="37">
        <v>17</v>
      </c>
      <c r="B18" s="60">
        <f>VLOOKUP(A18,'Sheet A'!A18:S628,2,)</f>
        <v>40544</v>
      </c>
      <c r="C18" s="38">
        <f>VLOOKUP(B18,'Sheet A'!B18:T628,2,)</f>
        <v>1</v>
      </c>
      <c r="D18" s="38">
        <f>VLOOKUP(C18,'Sheet A'!C18:U628,2,)</f>
        <v>0</v>
      </c>
      <c r="E18" s="38">
        <f>VLOOKUP(D18,'Sheet A'!D18:V628,2,)</f>
        <v>1</v>
      </c>
      <c r="F18" s="38">
        <f>VLOOKUP(E18,'Sheet A'!E18:W628,2,)</f>
        <v>16</v>
      </c>
      <c r="G18" s="41" t="str">
        <f>VLOOKUP(F18,'Sheet A'!F18:X628,2,)</f>
        <v>AfterNoon</v>
      </c>
      <c r="H18" s="38" t="b">
        <f>VLOOKUP(G18,'Sheet A'!G18:Y628,2,)</f>
        <v>0</v>
      </c>
      <c r="I18" s="38">
        <f>VLOOKUP(H18,'Sheet A'!H18:Z628,2,)</f>
        <v>6</v>
      </c>
      <c r="J18" s="41" t="str">
        <f>VLOOKUP(I18,'Sheet A'!I18:AA628,2,)</f>
        <v>Friday</v>
      </c>
      <c r="K18" s="38">
        <f>VLOOKUP(J18,'Sheet A'!J18:AB628,2,)</f>
        <v>2</v>
      </c>
      <c r="L18" s="38">
        <f>VLOOKUP(K18,'Sheet A'!K18:AC628,2,)</f>
        <v>0.42</v>
      </c>
      <c r="M18" s="70" t="str">
        <f>VLOOKUP(L18,'Sheet A'!L18:AD628,2,)</f>
        <v>Sunny</v>
      </c>
      <c r="N18" s="38">
        <f>VLOOKUP(M18,'Sheet A'!M18:AE628,2,)</f>
        <v>0.42420000000000002</v>
      </c>
      <c r="O18" s="38">
        <f>VLOOKUP(N18,'Sheet A'!N18:AF628,2,)</f>
        <v>0.82</v>
      </c>
      <c r="P18" s="38">
        <f>VLOOKUP(O18,'Sheet A'!O18:AG628,2,)</f>
        <v>0.29849999999999999</v>
      </c>
      <c r="Q18" s="38">
        <f>VLOOKUP(P18,'Sheet A'!P18:AH628,2,)</f>
        <v>41</v>
      </c>
      <c r="R18" s="38">
        <f>VLOOKUP(Q18,'Sheet A'!Q18:AI628,2,)</f>
        <v>52</v>
      </c>
      <c r="S18" s="38">
        <f>VLOOKUP(R18,'Sheet A'!R18:AJ628,2,)</f>
        <v>93</v>
      </c>
    </row>
    <row r="19" spans="1:19" x14ac:dyDescent="0.35">
      <c r="A19" s="37">
        <v>18</v>
      </c>
      <c r="B19" s="60">
        <f>VLOOKUP(A19,'Sheet A'!A19:S629,2,)</f>
        <v>40544</v>
      </c>
      <c r="C19" s="38">
        <f>VLOOKUP(B19,'Sheet A'!B19:T629,2,)</f>
        <v>1</v>
      </c>
      <c r="D19" s="38">
        <f>VLOOKUP(C19,'Sheet A'!C19:U629,2,)</f>
        <v>0</v>
      </c>
      <c r="E19" s="38">
        <f>VLOOKUP(D19,'Sheet A'!D19:V629,2,)</f>
        <v>1</v>
      </c>
      <c r="F19" s="38">
        <f>VLOOKUP(E19,'Sheet A'!E19:W629,2,)</f>
        <v>17</v>
      </c>
      <c r="G19" s="41" t="str">
        <f>VLOOKUP(F19,'Sheet A'!F19:X629,2,)</f>
        <v>Evening</v>
      </c>
      <c r="H19" s="38" t="b">
        <f>VLOOKUP(G19,'Sheet A'!G19:Y629,2,)</f>
        <v>0</v>
      </c>
      <c r="I19" s="38">
        <f>VLOOKUP(H19,'Sheet A'!H19:Z629,2,)</f>
        <v>6</v>
      </c>
      <c r="J19" s="41" t="str">
        <f>VLOOKUP(I19,'Sheet A'!I19:AA629,2,)</f>
        <v>Friday</v>
      </c>
      <c r="K19" s="38">
        <f>VLOOKUP(J19,'Sheet A'!J19:AB629,2,)</f>
        <v>2</v>
      </c>
      <c r="L19" s="38">
        <f>VLOOKUP(K19,'Sheet A'!K19:AC629,2,)</f>
        <v>0.44</v>
      </c>
      <c r="M19" s="70" t="str">
        <f>VLOOKUP(L19,'Sheet A'!L19:AD629,2,)</f>
        <v>Sunny</v>
      </c>
      <c r="N19" s="38">
        <f>VLOOKUP(M19,'Sheet A'!M19:AE629,2,)</f>
        <v>0.42420000000000002</v>
      </c>
      <c r="O19" s="38">
        <f>VLOOKUP(N19,'Sheet A'!N19:AF629,2,)</f>
        <v>0.82</v>
      </c>
      <c r="P19" s="38">
        <f>VLOOKUP(O19,'Sheet A'!O19:AG629,2,)</f>
        <v>0.28360000000000002</v>
      </c>
      <c r="Q19" s="38">
        <f>VLOOKUP(P19,'Sheet A'!P19:AH629,2,)</f>
        <v>15</v>
      </c>
      <c r="R19" s="38">
        <f>VLOOKUP(Q19,'Sheet A'!Q19:AI629,2,)</f>
        <v>52</v>
      </c>
      <c r="S19" s="38">
        <f>VLOOKUP(R19,'Sheet A'!R19:AJ629,2,)</f>
        <v>67</v>
      </c>
    </row>
    <row r="20" spans="1:19" x14ac:dyDescent="0.35">
      <c r="A20" s="37">
        <v>19</v>
      </c>
      <c r="B20" s="60">
        <f>VLOOKUP(A20,'Sheet A'!A20:S630,2,)</f>
        <v>40544</v>
      </c>
      <c r="C20" s="38">
        <f>VLOOKUP(B20,'Sheet A'!B20:T630,2,)</f>
        <v>1</v>
      </c>
      <c r="D20" s="38">
        <f>VLOOKUP(C20,'Sheet A'!C20:U630,2,)</f>
        <v>0</v>
      </c>
      <c r="E20" s="38">
        <f>VLOOKUP(D20,'Sheet A'!D20:V630,2,)</f>
        <v>1</v>
      </c>
      <c r="F20" s="38">
        <f>VLOOKUP(E20,'Sheet A'!E20:W630,2,)</f>
        <v>18</v>
      </c>
      <c r="G20" s="41" t="str">
        <f>VLOOKUP(F20,'Sheet A'!F20:X630,2,)</f>
        <v>Evening</v>
      </c>
      <c r="H20" s="38" t="b">
        <f>VLOOKUP(G20,'Sheet A'!G20:Y630,2,)</f>
        <v>0</v>
      </c>
      <c r="I20" s="38">
        <f>VLOOKUP(H20,'Sheet A'!H20:Z630,2,)</f>
        <v>6</v>
      </c>
      <c r="J20" s="41" t="str">
        <f>VLOOKUP(I20,'Sheet A'!I20:AA630,2,)</f>
        <v>Friday</v>
      </c>
      <c r="K20" s="38">
        <f>VLOOKUP(J20,'Sheet A'!J20:AB630,2,)</f>
        <v>3</v>
      </c>
      <c r="L20" s="38">
        <f>VLOOKUP(K20,'Sheet A'!K20:AC630,2,)</f>
        <v>0.42</v>
      </c>
      <c r="M20" s="70" t="str">
        <f>VLOOKUP(L20,'Sheet A'!L20:AD630,2,)</f>
        <v>Sunny</v>
      </c>
      <c r="N20" s="38">
        <f>VLOOKUP(M20,'Sheet A'!M20:AE630,2,)</f>
        <v>0.42420000000000002</v>
      </c>
      <c r="O20" s="38">
        <f>VLOOKUP(N20,'Sheet A'!N20:AF630,2,)</f>
        <v>0.88</v>
      </c>
      <c r="P20" s="38">
        <f>VLOOKUP(O20,'Sheet A'!O20:AG630,2,)</f>
        <v>0.25369999999999998</v>
      </c>
      <c r="Q20" s="38">
        <f>VLOOKUP(P20,'Sheet A'!P20:AH630,2,)</f>
        <v>9</v>
      </c>
      <c r="R20" s="38">
        <f>VLOOKUP(Q20,'Sheet A'!Q20:AI630,2,)</f>
        <v>26</v>
      </c>
      <c r="S20" s="38">
        <f>VLOOKUP(R20,'Sheet A'!R20:AJ630,2,)</f>
        <v>35</v>
      </c>
    </row>
    <row r="21" spans="1:19" x14ac:dyDescent="0.35">
      <c r="A21" s="37">
        <v>20</v>
      </c>
      <c r="B21" s="60">
        <f>VLOOKUP(A21,'Sheet A'!A21:S631,2,)</f>
        <v>40544</v>
      </c>
      <c r="C21" s="38">
        <f>VLOOKUP(B21,'Sheet A'!B21:T631,2,)</f>
        <v>1</v>
      </c>
      <c r="D21" s="38">
        <f>VLOOKUP(C21,'Sheet A'!C21:U631,2,)</f>
        <v>0</v>
      </c>
      <c r="E21" s="38">
        <f>VLOOKUP(D21,'Sheet A'!D21:V631,2,)</f>
        <v>1</v>
      </c>
      <c r="F21" s="38">
        <f>VLOOKUP(E21,'Sheet A'!E21:W631,2,)</f>
        <v>19</v>
      </c>
      <c r="G21" s="41" t="str">
        <f>VLOOKUP(F21,'Sheet A'!F21:X631,2,)</f>
        <v>Evening</v>
      </c>
      <c r="H21" s="38" t="b">
        <f>VLOOKUP(G21,'Sheet A'!G21:Y631,2,)</f>
        <v>0</v>
      </c>
      <c r="I21" s="38">
        <f>VLOOKUP(H21,'Sheet A'!H21:Z631,2,)</f>
        <v>6</v>
      </c>
      <c r="J21" s="41" t="str">
        <f>VLOOKUP(I21,'Sheet A'!I21:AA631,2,)</f>
        <v>Friday</v>
      </c>
      <c r="K21" s="38">
        <f>VLOOKUP(J21,'Sheet A'!J21:AB631,2,)</f>
        <v>3</v>
      </c>
      <c r="L21" s="38">
        <f>VLOOKUP(K21,'Sheet A'!K21:AC631,2,)</f>
        <v>0.42</v>
      </c>
      <c r="M21" s="70" t="str">
        <f>VLOOKUP(L21,'Sheet A'!L21:AD631,2,)</f>
        <v>Sunny</v>
      </c>
      <c r="N21" s="38">
        <f>VLOOKUP(M21,'Sheet A'!M21:AE631,2,)</f>
        <v>0.42420000000000002</v>
      </c>
      <c r="O21" s="38">
        <f>VLOOKUP(N21,'Sheet A'!N21:AF631,2,)</f>
        <v>0.88</v>
      </c>
      <c r="P21" s="38">
        <f>VLOOKUP(O21,'Sheet A'!O21:AG631,2,)</f>
        <v>0.25369999999999998</v>
      </c>
      <c r="Q21" s="38">
        <f>VLOOKUP(P21,'Sheet A'!P21:AH631,2,)</f>
        <v>6</v>
      </c>
      <c r="R21" s="38">
        <f>VLOOKUP(Q21,'Sheet A'!Q21:AI631,2,)</f>
        <v>31</v>
      </c>
      <c r="S21" s="38">
        <f>VLOOKUP(R21,'Sheet A'!R21:AJ631,2,)</f>
        <v>37</v>
      </c>
    </row>
    <row r="22" spans="1:19" x14ac:dyDescent="0.35">
      <c r="A22" s="37">
        <v>21</v>
      </c>
      <c r="B22" s="60">
        <f>VLOOKUP(A22,'Sheet A'!A22:S632,2,)</f>
        <v>40544</v>
      </c>
      <c r="C22" s="38">
        <f>VLOOKUP(B22,'Sheet A'!B22:T632,2,)</f>
        <v>1</v>
      </c>
      <c r="D22" s="38">
        <f>VLOOKUP(C22,'Sheet A'!C22:U632,2,)</f>
        <v>0</v>
      </c>
      <c r="E22" s="38">
        <f>VLOOKUP(D22,'Sheet A'!D22:V632,2,)</f>
        <v>1</v>
      </c>
      <c r="F22" s="38">
        <f>VLOOKUP(E22,'Sheet A'!E22:W632,2,)</f>
        <v>20</v>
      </c>
      <c r="G22" s="41" t="str">
        <f>VLOOKUP(F22,'Sheet A'!F22:X632,2,)</f>
        <v>Night</v>
      </c>
      <c r="H22" s="38" t="b">
        <f>VLOOKUP(G22,'Sheet A'!G22:Y632,2,)</f>
        <v>0</v>
      </c>
      <c r="I22" s="38">
        <f>VLOOKUP(H22,'Sheet A'!H22:Z632,2,)</f>
        <v>6</v>
      </c>
      <c r="J22" s="41" t="str">
        <f>VLOOKUP(I22,'Sheet A'!I22:AA632,2,)</f>
        <v>Friday</v>
      </c>
      <c r="K22" s="38">
        <f>VLOOKUP(J22,'Sheet A'!J22:AB632,2,)</f>
        <v>2</v>
      </c>
      <c r="L22" s="38">
        <f>VLOOKUP(K22,'Sheet A'!K22:AC632,2,)</f>
        <v>0.4</v>
      </c>
      <c r="M22" s="70" t="str">
        <f>VLOOKUP(L22,'Sheet A'!L22:AD632,2,)</f>
        <v>Sunny</v>
      </c>
      <c r="N22" s="38">
        <f>VLOOKUP(M22,'Sheet A'!M22:AE632,2,)</f>
        <v>0.40910000000000002</v>
      </c>
      <c r="O22" s="38">
        <f>VLOOKUP(N22,'Sheet A'!N22:AF632,2,)</f>
        <v>0.87</v>
      </c>
      <c r="P22" s="38">
        <f>VLOOKUP(O22,'Sheet A'!O22:AG632,2,)</f>
        <v>0.25369999999999998</v>
      </c>
      <c r="Q22" s="38">
        <f>VLOOKUP(P22,'Sheet A'!P22:AH632,2,)</f>
        <v>11</v>
      </c>
      <c r="R22" s="38">
        <f>VLOOKUP(Q22,'Sheet A'!Q22:AI632,2,)</f>
        <v>25</v>
      </c>
      <c r="S22" s="38">
        <f>VLOOKUP(R22,'Sheet A'!R22:AJ632,2,)</f>
        <v>36</v>
      </c>
    </row>
    <row r="23" spans="1:19" x14ac:dyDescent="0.35">
      <c r="A23" s="37">
        <v>22</v>
      </c>
      <c r="B23" s="60">
        <f>VLOOKUP(A23,'Sheet A'!A23:S633,2,)</f>
        <v>40544</v>
      </c>
      <c r="C23" s="38">
        <f>VLOOKUP(B23,'Sheet A'!B23:T633,2,)</f>
        <v>1</v>
      </c>
      <c r="D23" s="38">
        <f>VLOOKUP(C23,'Sheet A'!C23:U633,2,)</f>
        <v>0</v>
      </c>
      <c r="E23" s="38">
        <f>VLOOKUP(D23,'Sheet A'!D23:V633,2,)</f>
        <v>1</v>
      </c>
      <c r="F23" s="38">
        <f>VLOOKUP(E23,'Sheet A'!E23:W633,2,)</f>
        <v>21</v>
      </c>
      <c r="G23" s="41" t="str">
        <f>VLOOKUP(F23,'Sheet A'!F23:X633,2,)</f>
        <v>Night</v>
      </c>
      <c r="H23" s="38" t="b">
        <f>VLOOKUP(G23,'Sheet A'!G23:Y633,2,)</f>
        <v>0</v>
      </c>
      <c r="I23" s="38">
        <f>VLOOKUP(H23,'Sheet A'!H23:Z633,2,)</f>
        <v>6</v>
      </c>
      <c r="J23" s="41" t="str">
        <f>VLOOKUP(I23,'Sheet A'!I23:AA633,2,)</f>
        <v>Friday</v>
      </c>
      <c r="K23" s="38">
        <f>VLOOKUP(J23,'Sheet A'!J23:AB633,2,)</f>
        <v>2</v>
      </c>
      <c r="L23" s="38">
        <f>VLOOKUP(K23,'Sheet A'!K23:AC633,2,)</f>
        <v>0.4</v>
      </c>
      <c r="M23" s="70" t="str">
        <f>VLOOKUP(L23,'Sheet A'!L23:AD633,2,)</f>
        <v>Sunny</v>
      </c>
      <c r="N23" s="38">
        <f>VLOOKUP(M23,'Sheet A'!M23:AE633,2,)</f>
        <v>0.40910000000000002</v>
      </c>
      <c r="O23" s="38">
        <f>VLOOKUP(N23,'Sheet A'!N23:AF633,2,)</f>
        <v>0.87</v>
      </c>
      <c r="P23" s="38">
        <f>VLOOKUP(O23,'Sheet A'!O23:AG633,2,)</f>
        <v>0.19400000000000001</v>
      </c>
      <c r="Q23" s="38">
        <f>VLOOKUP(P23,'Sheet A'!P23:AH633,2,)</f>
        <v>3</v>
      </c>
      <c r="R23" s="38">
        <f>VLOOKUP(Q23,'Sheet A'!Q23:AI633,2,)</f>
        <v>31</v>
      </c>
      <c r="S23" s="38">
        <f>VLOOKUP(R23,'Sheet A'!R23:AJ633,2,)</f>
        <v>34</v>
      </c>
    </row>
    <row r="24" spans="1:19" x14ac:dyDescent="0.35">
      <c r="A24" s="37">
        <v>23</v>
      </c>
      <c r="B24" s="60">
        <f>VLOOKUP(A24,'Sheet A'!A24:S634,2,)</f>
        <v>40544</v>
      </c>
      <c r="C24" s="38">
        <f>VLOOKUP(B24,'Sheet A'!B24:T634,2,)</f>
        <v>1</v>
      </c>
      <c r="D24" s="38">
        <f>VLOOKUP(C24,'Sheet A'!C24:U634,2,)</f>
        <v>0</v>
      </c>
      <c r="E24" s="38">
        <f>VLOOKUP(D24,'Sheet A'!D24:V634,2,)</f>
        <v>1</v>
      </c>
      <c r="F24" s="38">
        <f>VLOOKUP(E24,'Sheet A'!E24:W634,2,)</f>
        <v>22</v>
      </c>
      <c r="G24" s="41" t="str">
        <f>VLOOKUP(F24,'Sheet A'!F24:X634,2,)</f>
        <v>Night</v>
      </c>
      <c r="H24" s="38" t="b">
        <f>VLOOKUP(G24,'Sheet A'!G24:Y634,2,)</f>
        <v>0</v>
      </c>
      <c r="I24" s="38">
        <f>VLOOKUP(H24,'Sheet A'!H24:Z634,2,)</f>
        <v>6</v>
      </c>
      <c r="J24" s="41" t="str">
        <f>VLOOKUP(I24,'Sheet A'!I24:AA634,2,)</f>
        <v>Friday</v>
      </c>
      <c r="K24" s="38">
        <f>VLOOKUP(J24,'Sheet A'!J24:AB634,2,)</f>
        <v>2</v>
      </c>
      <c r="L24" s="38">
        <f>VLOOKUP(K24,'Sheet A'!K24:AC634,2,)</f>
        <v>0.4</v>
      </c>
      <c r="M24" s="70" t="str">
        <f>VLOOKUP(L24,'Sheet A'!L24:AD634,2,)</f>
        <v>Sunny</v>
      </c>
      <c r="N24" s="38">
        <f>VLOOKUP(M24,'Sheet A'!M24:AE634,2,)</f>
        <v>0.40910000000000002</v>
      </c>
      <c r="O24" s="38">
        <f>VLOOKUP(N24,'Sheet A'!N24:AF634,2,)</f>
        <v>0.94</v>
      </c>
      <c r="P24" s="38">
        <f>VLOOKUP(O24,'Sheet A'!O24:AG634,2,)</f>
        <v>0.22389999999999999</v>
      </c>
      <c r="Q24" s="38">
        <f>VLOOKUP(P24,'Sheet A'!P24:AH634,2,)</f>
        <v>11</v>
      </c>
      <c r="R24" s="38">
        <f>VLOOKUP(Q24,'Sheet A'!Q24:AI634,2,)</f>
        <v>17</v>
      </c>
      <c r="S24" s="38">
        <f>VLOOKUP(R24,'Sheet A'!R24:AJ634,2,)</f>
        <v>28</v>
      </c>
    </row>
    <row r="25" spans="1:19" x14ac:dyDescent="0.35">
      <c r="A25" s="37">
        <v>24</v>
      </c>
      <c r="B25" s="60">
        <f>VLOOKUP(A25,'Sheet A'!A25:S635,2,)</f>
        <v>40544</v>
      </c>
      <c r="C25" s="38">
        <f>VLOOKUP(B25,'Sheet A'!B25:T635,2,)</f>
        <v>1</v>
      </c>
      <c r="D25" s="38">
        <f>VLOOKUP(C25,'Sheet A'!C25:U635,2,)</f>
        <v>0</v>
      </c>
      <c r="E25" s="38">
        <f>VLOOKUP(D25,'Sheet A'!D25:V635,2,)</f>
        <v>1</v>
      </c>
      <c r="F25" s="38">
        <f>VLOOKUP(E25,'Sheet A'!E25:W635,2,)</f>
        <v>23</v>
      </c>
      <c r="G25" s="41" t="str">
        <f>VLOOKUP(F25,'Sheet A'!F25:X635,2,)</f>
        <v>Night</v>
      </c>
      <c r="H25" s="38" t="b">
        <f>VLOOKUP(G25,'Sheet A'!G25:Y635,2,)</f>
        <v>0</v>
      </c>
      <c r="I25" s="38">
        <f>VLOOKUP(H25,'Sheet A'!H25:Z635,2,)</f>
        <v>6</v>
      </c>
      <c r="J25" s="41" t="str">
        <f>VLOOKUP(I25,'Sheet A'!I25:AA635,2,)</f>
        <v>Friday</v>
      </c>
      <c r="K25" s="38">
        <f>VLOOKUP(J25,'Sheet A'!J25:AB635,2,)</f>
        <v>2</v>
      </c>
      <c r="L25" s="38">
        <f>VLOOKUP(K25,'Sheet A'!K25:AC635,2,)</f>
        <v>0.46</v>
      </c>
      <c r="M25" s="70" t="str">
        <f>VLOOKUP(L25,'Sheet A'!L25:AD635,2,)</f>
        <v>Sunny</v>
      </c>
      <c r="N25" s="38">
        <f>VLOOKUP(M25,'Sheet A'!M25:AE635,2,)</f>
        <v>0.43180000000000002</v>
      </c>
      <c r="O25" s="38">
        <f>VLOOKUP(N25,'Sheet A'!N25:AF635,2,)</f>
        <v>0.88</v>
      </c>
      <c r="P25" s="38">
        <f>VLOOKUP(O25,'Sheet A'!O25:AG635,2,)</f>
        <v>0.29849999999999999</v>
      </c>
      <c r="Q25" s="38">
        <f>VLOOKUP(P25,'Sheet A'!P25:AH635,2,)</f>
        <v>15</v>
      </c>
      <c r="R25" s="38">
        <f>VLOOKUP(Q25,'Sheet A'!Q25:AI635,2,)</f>
        <v>24</v>
      </c>
      <c r="S25" s="38">
        <f>VLOOKUP(R25,'Sheet A'!R25:AJ635,2,)</f>
        <v>39</v>
      </c>
    </row>
    <row r="26" spans="1:19" x14ac:dyDescent="0.35">
      <c r="A26" s="37">
        <v>25</v>
      </c>
      <c r="B26" s="60">
        <f>VLOOKUP(A26,'Sheet A'!A26:S636,2,)</f>
        <v>40545</v>
      </c>
      <c r="C26" s="38">
        <f>VLOOKUP(B26,'Sheet A'!B26:T636,2,)</f>
        <v>1</v>
      </c>
      <c r="D26" s="38">
        <f>VLOOKUP(C26,'Sheet A'!C26:U636,2,)</f>
        <v>0</v>
      </c>
      <c r="E26" s="38">
        <f>VLOOKUP(D26,'Sheet A'!D26:V636,2,)</f>
        <v>1</v>
      </c>
      <c r="F26" s="38">
        <f>VLOOKUP(E26,'Sheet A'!E26:W636,2,)</f>
        <v>0</v>
      </c>
      <c r="G26" s="41" t="str">
        <f>VLOOKUP(F26,'Sheet A'!F26:X636,2,)</f>
        <v>Night</v>
      </c>
      <c r="H26" s="38" t="b">
        <f>VLOOKUP(G26,'Sheet A'!G26:Y636,2,)</f>
        <v>0</v>
      </c>
      <c r="I26" s="38">
        <f>VLOOKUP(H26,'Sheet A'!H26:Z636,2,)</f>
        <v>0</v>
      </c>
      <c r="J26" s="41" t="str">
        <f>VLOOKUP(I26,'Sheet A'!I26:AA636,2,)</f>
        <v>Saturday</v>
      </c>
      <c r="K26" s="38">
        <f>VLOOKUP(J26,'Sheet A'!J26:AB636,2,)</f>
        <v>2</v>
      </c>
      <c r="L26" s="38">
        <f>VLOOKUP(K26,'Sheet A'!K26:AC636,2,)</f>
        <v>0.46</v>
      </c>
      <c r="M26" s="70" t="str">
        <f>VLOOKUP(L26,'Sheet A'!L26:AD636,2,)</f>
        <v>Sunny</v>
      </c>
      <c r="N26" s="38">
        <f>VLOOKUP(M26,'Sheet A'!M26:AE636,2,)</f>
        <v>0.45450000000000002</v>
      </c>
      <c r="O26" s="38">
        <f>VLOOKUP(N26,'Sheet A'!N26:AF636,2,)</f>
        <v>0.88</v>
      </c>
      <c r="P26" s="38">
        <f>VLOOKUP(O26,'Sheet A'!O26:AG636,2,)</f>
        <v>0.29849999999999999</v>
      </c>
      <c r="Q26" s="38">
        <f>VLOOKUP(P26,'Sheet A'!P26:AH636,2,)</f>
        <v>4</v>
      </c>
      <c r="R26" s="38">
        <f>VLOOKUP(Q26,'Sheet A'!Q26:AI636,2,)</f>
        <v>13</v>
      </c>
      <c r="S26" s="38">
        <f>VLOOKUP(R26,'Sheet A'!R26:AJ636,2,)</f>
        <v>17</v>
      </c>
    </row>
    <row r="27" spans="1:19" x14ac:dyDescent="0.35">
      <c r="A27" s="37">
        <v>26</v>
      </c>
      <c r="B27" s="60">
        <f>VLOOKUP(A27,'Sheet A'!A27:S637,2,)</f>
        <v>40545</v>
      </c>
      <c r="C27" s="38">
        <f>VLOOKUP(B27,'Sheet A'!B27:T637,2,)</f>
        <v>1</v>
      </c>
      <c r="D27" s="38">
        <f>VLOOKUP(C27,'Sheet A'!C27:U637,2,)</f>
        <v>0</v>
      </c>
      <c r="E27" s="38">
        <f>VLOOKUP(D27,'Sheet A'!D27:V637,2,)</f>
        <v>1</v>
      </c>
      <c r="F27" s="38">
        <f>VLOOKUP(E27,'Sheet A'!E27:W637,2,)</f>
        <v>1</v>
      </c>
      <c r="G27" s="41" t="str">
        <f>VLOOKUP(F27,'Sheet A'!F27:X637,2,)</f>
        <v>Night</v>
      </c>
      <c r="H27" s="38" t="b">
        <f>VLOOKUP(G27,'Sheet A'!G27:Y637,2,)</f>
        <v>0</v>
      </c>
      <c r="I27" s="38">
        <f>VLOOKUP(H27,'Sheet A'!H27:Z637,2,)</f>
        <v>0</v>
      </c>
      <c r="J27" s="41" t="str">
        <f>VLOOKUP(I27,'Sheet A'!I27:AA637,2,)</f>
        <v>Saturday</v>
      </c>
      <c r="K27" s="38">
        <f>VLOOKUP(J27,'Sheet A'!J27:AB637,2,)</f>
        <v>2</v>
      </c>
      <c r="L27" s="38">
        <f>VLOOKUP(K27,'Sheet A'!K27:AC637,2,)</f>
        <v>0.44</v>
      </c>
      <c r="M27" s="70" t="str">
        <f>VLOOKUP(L27,'Sheet A'!L27:AD637,2,)</f>
        <v>Sunny</v>
      </c>
      <c r="N27" s="38">
        <f>VLOOKUP(M27,'Sheet A'!M27:AE637,2,)</f>
        <v>0.43940000000000001</v>
      </c>
      <c r="O27" s="38">
        <f>VLOOKUP(N27,'Sheet A'!N27:AF637,2,)</f>
        <v>0.94</v>
      </c>
      <c r="P27" s="38">
        <f>VLOOKUP(O27,'Sheet A'!O27:AG637,2,)</f>
        <v>0.25369999999999998</v>
      </c>
      <c r="Q27" s="38">
        <f>VLOOKUP(P27,'Sheet A'!P27:AH637,2,)</f>
        <v>1</v>
      </c>
      <c r="R27" s="38">
        <f>VLOOKUP(Q27,'Sheet A'!Q27:AI637,2,)</f>
        <v>16</v>
      </c>
      <c r="S27" s="38">
        <f>VLOOKUP(R27,'Sheet A'!R27:AJ637,2,)</f>
        <v>17</v>
      </c>
    </row>
    <row r="28" spans="1:19" x14ac:dyDescent="0.35">
      <c r="A28" s="37">
        <v>27</v>
      </c>
      <c r="B28" s="60">
        <f>VLOOKUP(A28,'Sheet A'!A28:S638,2,)</f>
        <v>40545</v>
      </c>
      <c r="C28" s="38">
        <f>VLOOKUP(B28,'Sheet A'!B28:T638,2,)</f>
        <v>1</v>
      </c>
      <c r="D28" s="38">
        <f>VLOOKUP(C28,'Sheet A'!C28:U638,2,)</f>
        <v>0</v>
      </c>
      <c r="E28" s="38">
        <f>VLOOKUP(D28,'Sheet A'!D28:V638,2,)</f>
        <v>1</v>
      </c>
      <c r="F28" s="38">
        <f>VLOOKUP(E28,'Sheet A'!E28:W638,2,)</f>
        <v>2</v>
      </c>
      <c r="G28" s="41" t="str">
        <f>VLOOKUP(F28,'Sheet A'!F28:X638,2,)</f>
        <v>Night</v>
      </c>
      <c r="H28" s="38" t="b">
        <f>VLOOKUP(G28,'Sheet A'!G28:Y638,2,)</f>
        <v>0</v>
      </c>
      <c r="I28" s="38">
        <f>VLOOKUP(H28,'Sheet A'!H28:Z638,2,)</f>
        <v>0</v>
      </c>
      <c r="J28" s="41" t="str">
        <f>VLOOKUP(I28,'Sheet A'!I28:AA638,2,)</f>
        <v>Saturday</v>
      </c>
      <c r="K28" s="38">
        <f>VLOOKUP(J28,'Sheet A'!J28:AB638,2,)</f>
        <v>2</v>
      </c>
      <c r="L28" s="38">
        <f>VLOOKUP(K28,'Sheet A'!K28:AC638,2,)</f>
        <v>0.42</v>
      </c>
      <c r="M28" s="70" t="str">
        <f>VLOOKUP(L28,'Sheet A'!L28:AD638,2,)</f>
        <v>Sunny</v>
      </c>
      <c r="N28" s="38">
        <f>VLOOKUP(M28,'Sheet A'!M28:AE638,2,)</f>
        <v>0.42420000000000002</v>
      </c>
      <c r="O28" s="38">
        <f>VLOOKUP(N28,'Sheet A'!N28:AF638,2,)</f>
        <v>1</v>
      </c>
      <c r="P28" s="38">
        <f>VLOOKUP(O28,'Sheet A'!O28:AG638,2,)</f>
        <v>0.28360000000000002</v>
      </c>
      <c r="Q28" s="38">
        <f>VLOOKUP(P28,'Sheet A'!P28:AH638,2,)</f>
        <v>1</v>
      </c>
      <c r="R28" s="38">
        <f>VLOOKUP(Q28,'Sheet A'!Q28:AI638,2,)</f>
        <v>8</v>
      </c>
      <c r="S28" s="38">
        <f>VLOOKUP(R28,'Sheet A'!R28:AJ638,2,)</f>
        <v>9</v>
      </c>
    </row>
    <row r="29" spans="1:19" x14ac:dyDescent="0.35">
      <c r="A29" s="37">
        <v>28</v>
      </c>
      <c r="B29" s="60">
        <f>VLOOKUP(A29,'Sheet A'!A29:S639,2,)</f>
        <v>40545</v>
      </c>
      <c r="C29" s="38">
        <f>VLOOKUP(B29,'Sheet A'!B29:T639,2,)</f>
        <v>1</v>
      </c>
      <c r="D29" s="38">
        <f>VLOOKUP(C29,'Sheet A'!C29:U639,2,)</f>
        <v>0</v>
      </c>
      <c r="E29" s="38">
        <f>VLOOKUP(D29,'Sheet A'!D29:V639,2,)</f>
        <v>1</v>
      </c>
      <c r="F29" s="38">
        <f>VLOOKUP(E29,'Sheet A'!E29:W639,2,)</f>
        <v>3</v>
      </c>
      <c r="G29" s="41" t="str">
        <f>VLOOKUP(F29,'Sheet A'!F29:X639,2,)</f>
        <v>Night</v>
      </c>
      <c r="H29" s="38" t="b">
        <f>VLOOKUP(G29,'Sheet A'!G29:Y639,2,)</f>
        <v>0</v>
      </c>
      <c r="I29" s="38">
        <f>VLOOKUP(H29,'Sheet A'!H29:Z639,2,)</f>
        <v>0</v>
      </c>
      <c r="J29" s="41" t="str">
        <f>VLOOKUP(I29,'Sheet A'!I29:AA639,2,)</f>
        <v>Saturday</v>
      </c>
      <c r="K29" s="38">
        <f>VLOOKUP(J29,'Sheet A'!J29:AB639,2,)</f>
        <v>2</v>
      </c>
      <c r="L29" s="38">
        <f>VLOOKUP(K29,'Sheet A'!K29:AC639,2,)</f>
        <v>0.46</v>
      </c>
      <c r="M29" s="70" t="str">
        <f>VLOOKUP(L29,'Sheet A'!L29:AD639,2,)</f>
        <v>Sunny</v>
      </c>
      <c r="N29" s="38">
        <f>VLOOKUP(M29,'Sheet A'!M29:AE639,2,)</f>
        <v>0.45450000000000002</v>
      </c>
      <c r="O29" s="38">
        <f>VLOOKUP(N29,'Sheet A'!N29:AF639,2,)</f>
        <v>0.94</v>
      </c>
      <c r="P29" s="38">
        <f>VLOOKUP(O29,'Sheet A'!O29:AG639,2,)</f>
        <v>0.19400000000000001</v>
      </c>
      <c r="Q29" s="38">
        <f>VLOOKUP(P29,'Sheet A'!P29:AH639,2,)</f>
        <v>2</v>
      </c>
      <c r="R29" s="38">
        <f>VLOOKUP(Q29,'Sheet A'!Q29:AI639,2,)</f>
        <v>4</v>
      </c>
      <c r="S29" s="38">
        <f>VLOOKUP(R29,'Sheet A'!R29:AJ639,2,)</f>
        <v>6</v>
      </c>
    </row>
    <row r="30" spans="1:19" x14ac:dyDescent="0.35">
      <c r="A30" s="37">
        <v>29</v>
      </c>
      <c r="B30" s="60">
        <f>VLOOKUP(A30,'Sheet A'!A30:S640,2,)</f>
        <v>40545</v>
      </c>
      <c r="C30" s="38">
        <f>VLOOKUP(B30,'Sheet A'!B30:T640,2,)</f>
        <v>1</v>
      </c>
      <c r="D30" s="38">
        <f>VLOOKUP(C30,'Sheet A'!C30:U640,2,)</f>
        <v>0</v>
      </c>
      <c r="E30" s="38">
        <f>VLOOKUP(D30,'Sheet A'!D30:V640,2,)</f>
        <v>1</v>
      </c>
      <c r="F30" s="38">
        <f>VLOOKUP(E30,'Sheet A'!E30:W640,2,)</f>
        <v>4</v>
      </c>
      <c r="G30" s="41" t="str">
        <f>VLOOKUP(F30,'Sheet A'!F30:X640,2,)</f>
        <v>Night</v>
      </c>
      <c r="H30" s="38" t="b">
        <f>VLOOKUP(G30,'Sheet A'!G30:Y640,2,)</f>
        <v>0</v>
      </c>
      <c r="I30" s="38">
        <f>VLOOKUP(H30,'Sheet A'!H30:Z640,2,)</f>
        <v>0</v>
      </c>
      <c r="J30" s="41" t="str">
        <f>VLOOKUP(I30,'Sheet A'!I30:AA640,2,)</f>
        <v>Saturday</v>
      </c>
      <c r="K30" s="38">
        <f>VLOOKUP(J30,'Sheet A'!J30:AB640,2,)</f>
        <v>2</v>
      </c>
      <c r="L30" s="38">
        <f>VLOOKUP(K30,'Sheet A'!K30:AC640,2,)</f>
        <v>0.46</v>
      </c>
      <c r="M30" s="70" t="str">
        <f>VLOOKUP(L30,'Sheet A'!L30:AD640,2,)</f>
        <v>Sunny</v>
      </c>
      <c r="N30" s="38">
        <f>VLOOKUP(M30,'Sheet A'!M30:AE640,2,)</f>
        <v>0.43935000000000002</v>
      </c>
      <c r="O30" s="38">
        <f>VLOOKUP(N30,'Sheet A'!N30:AF640,2,)</f>
        <v>0.94</v>
      </c>
      <c r="P30" s="38">
        <f>VLOOKUP(O30,'Sheet A'!O30:AG640,2,)</f>
        <v>0.19400000000000001</v>
      </c>
      <c r="Q30" s="38">
        <f>VLOOKUP(P30,'Sheet A'!P30:AH640,2,)</f>
        <v>2</v>
      </c>
      <c r="R30" s="38">
        <f>VLOOKUP(Q30,'Sheet A'!Q30:AI640,2,)</f>
        <v>1</v>
      </c>
      <c r="S30" s="38">
        <f>VLOOKUP(R30,'Sheet A'!R30:AJ640,2,)</f>
        <v>3</v>
      </c>
    </row>
    <row r="31" spans="1:19" x14ac:dyDescent="0.35">
      <c r="A31" s="37">
        <v>30</v>
      </c>
      <c r="B31" s="60">
        <f>VLOOKUP(A31,'Sheet A'!A31:S641,2,)</f>
        <v>40545</v>
      </c>
      <c r="C31" s="38">
        <f>VLOOKUP(B31,'Sheet A'!B31:T641,2,)</f>
        <v>1</v>
      </c>
      <c r="D31" s="38">
        <f>VLOOKUP(C31,'Sheet A'!C31:U641,2,)</f>
        <v>0</v>
      </c>
      <c r="E31" s="38">
        <f>VLOOKUP(D31,'Sheet A'!D31:V641,2,)</f>
        <v>1</v>
      </c>
      <c r="F31" s="38">
        <f>VLOOKUP(E31,'Sheet A'!E31:W641,2,)</f>
        <v>6</v>
      </c>
      <c r="G31" s="41" t="str">
        <f>VLOOKUP(F31,'Sheet A'!F31:X641,2,)</f>
        <v>Morning</v>
      </c>
      <c r="H31" s="38" t="b">
        <f>VLOOKUP(G31,'Sheet A'!G31:Y641,2,)</f>
        <v>0</v>
      </c>
      <c r="I31" s="38">
        <f>VLOOKUP(H31,'Sheet A'!H31:Z641,2,)</f>
        <v>0</v>
      </c>
      <c r="J31" s="41" t="str">
        <f>VLOOKUP(I31,'Sheet A'!I31:AA641,2,)</f>
        <v>Saturday</v>
      </c>
      <c r="K31" s="38">
        <f>VLOOKUP(J31,'Sheet A'!J31:AB641,2,)</f>
        <v>3</v>
      </c>
      <c r="L31" s="38">
        <f>VLOOKUP(K31,'Sheet A'!K31:AC641,2,)</f>
        <v>0.42</v>
      </c>
      <c r="M31" s="70" t="str">
        <f>VLOOKUP(L31,'Sheet A'!L31:AD641,2,)</f>
        <v>Sunny</v>
      </c>
      <c r="N31" s="38">
        <f>VLOOKUP(M31,'Sheet A'!M31:AE641,2,)</f>
        <v>0.42420000000000002</v>
      </c>
      <c r="O31" s="38">
        <f>VLOOKUP(N31,'Sheet A'!N31:AF641,2,)</f>
        <v>0.77</v>
      </c>
      <c r="P31" s="38">
        <f>VLOOKUP(O31,'Sheet A'!O31:AG641,2,)</f>
        <v>0.29849999999999999</v>
      </c>
      <c r="Q31" s="38">
        <f>VLOOKUP(P31,'Sheet A'!P31:AH641,2,)</f>
        <v>0</v>
      </c>
      <c r="R31" s="38">
        <f>VLOOKUP(Q31,'Sheet A'!Q31:AI641,2,)</f>
        <v>2</v>
      </c>
      <c r="S31" s="38">
        <f>VLOOKUP(R31,'Sheet A'!R31:AJ641,2,)</f>
        <v>2</v>
      </c>
    </row>
    <row r="32" spans="1:19" x14ac:dyDescent="0.35">
      <c r="A32" s="37">
        <v>31</v>
      </c>
      <c r="B32" s="60">
        <f>VLOOKUP(A32,'Sheet A'!A32:S642,2,)</f>
        <v>40545</v>
      </c>
      <c r="C32" s="38">
        <f>VLOOKUP(B32,'Sheet A'!B32:T642,2,)</f>
        <v>1</v>
      </c>
      <c r="D32" s="38">
        <f>VLOOKUP(C32,'Sheet A'!C32:U642,2,)</f>
        <v>0</v>
      </c>
      <c r="E32" s="38">
        <f>VLOOKUP(D32,'Sheet A'!D32:V642,2,)</f>
        <v>1</v>
      </c>
      <c r="F32" s="38">
        <f>VLOOKUP(E32,'Sheet A'!E32:W642,2,)</f>
        <v>7</v>
      </c>
      <c r="G32" s="41" t="str">
        <f>VLOOKUP(F32,'Sheet A'!F32:X642,2,)</f>
        <v>Morning</v>
      </c>
      <c r="H32" s="38" t="b">
        <f>VLOOKUP(G32,'Sheet A'!G32:Y642,2,)</f>
        <v>0</v>
      </c>
      <c r="I32" s="38">
        <f>VLOOKUP(H32,'Sheet A'!H32:Z642,2,)</f>
        <v>0</v>
      </c>
      <c r="J32" s="41" t="str">
        <f>VLOOKUP(I32,'Sheet A'!I32:AA642,2,)</f>
        <v>Saturday</v>
      </c>
      <c r="K32" s="38">
        <f>VLOOKUP(J32,'Sheet A'!J32:AB642,2,)</f>
        <v>2</v>
      </c>
      <c r="L32" s="38">
        <f>VLOOKUP(K32,'Sheet A'!K32:AC642,2,)</f>
        <v>0.4</v>
      </c>
      <c r="M32" s="70" t="str">
        <f>VLOOKUP(L32,'Sheet A'!L32:AD642,2,)</f>
        <v>Sunny</v>
      </c>
      <c r="N32" s="38">
        <f>VLOOKUP(M32,'Sheet A'!M32:AE642,2,)</f>
        <v>0.40910000000000002</v>
      </c>
      <c r="O32" s="38">
        <f>VLOOKUP(N32,'Sheet A'!N32:AF642,2,)</f>
        <v>0.76</v>
      </c>
      <c r="P32" s="38">
        <f>VLOOKUP(O32,'Sheet A'!O32:AG642,2,)</f>
        <v>0.19400000000000001</v>
      </c>
      <c r="Q32" s="38">
        <f>VLOOKUP(P32,'Sheet A'!P32:AH642,2,)</f>
        <v>0</v>
      </c>
      <c r="R32" s="38">
        <f>VLOOKUP(Q32,'Sheet A'!Q32:AI642,2,)</f>
        <v>1</v>
      </c>
      <c r="S32" s="38">
        <f>VLOOKUP(R32,'Sheet A'!R32:AJ642,2,)</f>
        <v>1</v>
      </c>
    </row>
    <row r="33" spans="1:19" x14ac:dyDescent="0.35">
      <c r="A33" s="37">
        <v>32</v>
      </c>
      <c r="B33" s="60">
        <f>VLOOKUP(A33,'Sheet A'!A33:S643,2,)</f>
        <v>40545</v>
      </c>
      <c r="C33" s="38">
        <f>VLOOKUP(B33,'Sheet A'!B33:T643,2,)</f>
        <v>1</v>
      </c>
      <c r="D33" s="38">
        <f>VLOOKUP(C33,'Sheet A'!C33:U643,2,)</f>
        <v>0</v>
      </c>
      <c r="E33" s="38">
        <f>VLOOKUP(D33,'Sheet A'!D33:V643,2,)</f>
        <v>1</v>
      </c>
      <c r="F33" s="38">
        <f>VLOOKUP(E33,'Sheet A'!E33:W643,2,)</f>
        <v>8</v>
      </c>
      <c r="G33" s="41" t="str">
        <f>VLOOKUP(F33,'Sheet A'!F33:X643,2,)</f>
        <v>Morning</v>
      </c>
      <c r="H33" s="38" t="b">
        <f>VLOOKUP(G33,'Sheet A'!G33:Y643,2,)</f>
        <v>0</v>
      </c>
      <c r="I33" s="38">
        <f>VLOOKUP(H33,'Sheet A'!H33:Z643,2,)</f>
        <v>0</v>
      </c>
      <c r="J33" s="41" t="str">
        <f>VLOOKUP(I33,'Sheet A'!I33:AA643,2,)</f>
        <v>Saturday</v>
      </c>
      <c r="K33" s="38">
        <f>VLOOKUP(J33,'Sheet A'!J33:AB643,2,)</f>
        <v>3</v>
      </c>
      <c r="L33" s="38">
        <f>VLOOKUP(K33,'Sheet A'!K33:AC643,2,)</f>
        <v>0.4</v>
      </c>
      <c r="M33" s="70" t="str">
        <f>VLOOKUP(L33,'Sheet A'!L33:AD643,2,)</f>
        <v>Sunny</v>
      </c>
      <c r="N33" s="38">
        <f>VLOOKUP(M33,'Sheet A'!M33:AE643,2,)</f>
        <v>0.40910000000000002</v>
      </c>
      <c r="O33" s="38">
        <f>VLOOKUP(N33,'Sheet A'!N33:AF643,2,)</f>
        <v>0.71</v>
      </c>
      <c r="P33" s="38">
        <f>VLOOKUP(O33,'Sheet A'!O33:AG643,2,)</f>
        <v>0.22389999999999999</v>
      </c>
      <c r="Q33" s="38">
        <f>VLOOKUP(P33,'Sheet A'!P33:AH643,2,)</f>
        <v>0</v>
      </c>
      <c r="R33" s="38">
        <f>VLOOKUP(Q33,'Sheet A'!Q33:AI643,2,)</f>
        <v>8</v>
      </c>
      <c r="S33" s="38">
        <f>VLOOKUP(R33,'Sheet A'!R33:AJ643,2,)</f>
        <v>8</v>
      </c>
    </row>
    <row r="34" spans="1:19" x14ac:dyDescent="0.35">
      <c r="A34" s="37">
        <v>33</v>
      </c>
      <c r="B34" s="60">
        <f>VLOOKUP(A34,'Sheet A'!A34:S644,2,)</f>
        <v>40545</v>
      </c>
      <c r="C34" s="38">
        <f>VLOOKUP(B34,'Sheet A'!B34:T644,2,)</f>
        <v>1</v>
      </c>
      <c r="D34" s="38">
        <f>VLOOKUP(C34,'Sheet A'!C34:U644,2,)</f>
        <v>0</v>
      </c>
      <c r="E34" s="38">
        <f>VLOOKUP(D34,'Sheet A'!D34:V644,2,)</f>
        <v>1</v>
      </c>
      <c r="F34" s="38">
        <f>VLOOKUP(E34,'Sheet A'!E34:W644,2,)</f>
        <v>9</v>
      </c>
      <c r="G34" s="41" t="str">
        <f>VLOOKUP(F34,'Sheet A'!F34:X644,2,)</f>
        <v>Morning</v>
      </c>
      <c r="H34" s="38" t="b">
        <f>VLOOKUP(G34,'Sheet A'!G34:Y644,2,)</f>
        <v>0</v>
      </c>
      <c r="I34" s="38">
        <f>VLOOKUP(H34,'Sheet A'!H34:Z644,2,)</f>
        <v>0</v>
      </c>
      <c r="J34" s="41" t="str">
        <f>VLOOKUP(I34,'Sheet A'!I34:AA644,2,)</f>
        <v>Saturday</v>
      </c>
      <c r="K34" s="38">
        <f>VLOOKUP(J34,'Sheet A'!J34:AB644,2,)</f>
        <v>2</v>
      </c>
      <c r="L34" s="38">
        <f>VLOOKUP(K34,'Sheet A'!K34:AC644,2,)</f>
        <v>0.38</v>
      </c>
      <c r="M34" s="70" t="str">
        <f>VLOOKUP(L34,'Sheet A'!L34:AD644,2,)</f>
        <v>Sunny</v>
      </c>
      <c r="N34" s="38">
        <f>VLOOKUP(M34,'Sheet A'!M34:AE644,2,)</f>
        <v>0.37880000000000003</v>
      </c>
      <c r="O34" s="38">
        <f>VLOOKUP(N34,'Sheet A'!N34:AF644,2,)</f>
        <v>0.76</v>
      </c>
      <c r="P34" s="38">
        <f>VLOOKUP(O34,'Sheet A'!O34:AG644,2,)</f>
        <v>0.22389999999999999</v>
      </c>
      <c r="Q34" s="38">
        <f>VLOOKUP(P34,'Sheet A'!P34:AH644,2,)</f>
        <v>1</v>
      </c>
      <c r="R34" s="38">
        <f>VLOOKUP(Q34,'Sheet A'!Q34:AI644,2,)</f>
        <v>19</v>
      </c>
      <c r="S34" s="38">
        <f>VLOOKUP(R34,'Sheet A'!R34:AJ644,2,)</f>
        <v>20</v>
      </c>
    </row>
    <row r="35" spans="1:19" x14ac:dyDescent="0.35">
      <c r="A35" s="37">
        <v>34</v>
      </c>
      <c r="B35" s="60">
        <f>VLOOKUP(A35,'Sheet A'!A35:S645,2,)</f>
        <v>40545</v>
      </c>
      <c r="C35" s="38">
        <f>VLOOKUP(B35,'Sheet A'!B35:T645,2,)</f>
        <v>1</v>
      </c>
      <c r="D35" s="38">
        <f>VLOOKUP(C35,'Sheet A'!C35:U645,2,)</f>
        <v>0</v>
      </c>
      <c r="E35" s="38">
        <f>VLOOKUP(D35,'Sheet A'!D35:V645,2,)</f>
        <v>1</v>
      </c>
      <c r="F35" s="38">
        <f>VLOOKUP(E35,'Sheet A'!E35:W645,2,)</f>
        <v>10</v>
      </c>
      <c r="G35" s="41" t="str">
        <f>VLOOKUP(F35,'Sheet A'!F35:X645,2,)</f>
        <v>Morning</v>
      </c>
      <c r="H35" s="38" t="b">
        <f>VLOOKUP(G35,'Sheet A'!G35:Y645,2,)</f>
        <v>0</v>
      </c>
      <c r="I35" s="38">
        <f>VLOOKUP(H35,'Sheet A'!H35:Z645,2,)</f>
        <v>0</v>
      </c>
      <c r="J35" s="41" t="str">
        <f>VLOOKUP(I35,'Sheet A'!I35:AA645,2,)</f>
        <v>Saturday</v>
      </c>
      <c r="K35" s="38">
        <f>VLOOKUP(J35,'Sheet A'!J35:AB645,2,)</f>
        <v>2</v>
      </c>
      <c r="L35" s="38">
        <f>VLOOKUP(K35,'Sheet A'!K35:AC645,2,)</f>
        <v>0.36</v>
      </c>
      <c r="M35" s="70" t="str">
        <f>VLOOKUP(L35,'Sheet A'!L35:AD645,2,)</f>
        <v>Sunny</v>
      </c>
      <c r="N35" s="38">
        <f>VLOOKUP(M35,'Sheet A'!M35:AE645,2,)</f>
        <v>0.34849999999999998</v>
      </c>
      <c r="O35" s="38">
        <f>VLOOKUP(N35,'Sheet A'!N35:AF645,2,)</f>
        <v>0.81</v>
      </c>
      <c r="P35" s="38">
        <f>VLOOKUP(O35,'Sheet A'!O35:AG645,2,)</f>
        <v>0.22389999999999999</v>
      </c>
      <c r="Q35" s="38">
        <f>VLOOKUP(P35,'Sheet A'!P35:AH645,2,)</f>
        <v>7</v>
      </c>
      <c r="R35" s="38">
        <f>VLOOKUP(Q35,'Sheet A'!Q35:AI645,2,)</f>
        <v>46</v>
      </c>
      <c r="S35" s="38">
        <f>VLOOKUP(R35,'Sheet A'!R35:AJ645,2,)</f>
        <v>53</v>
      </c>
    </row>
    <row r="36" spans="1:19" x14ac:dyDescent="0.35">
      <c r="A36" s="37">
        <v>35</v>
      </c>
      <c r="B36" s="60">
        <f>VLOOKUP(A36,'Sheet A'!A36:S646,2,)</f>
        <v>40545</v>
      </c>
      <c r="C36" s="38">
        <f>VLOOKUP(B36,'Sheet A'!B36:T646,2,)</f>
        <v>1</v>
      </c>
      <c r="D36" s="38">
        <f>VLOOKUP(C36,'Sheet A'!C36:U646,2,)</f>
        <v>0</v>
      </c>
      <c r="E36" s="38">
        <f>VLOOKUP(D36,'Sheet A'!D36:V646,2,)</f>
        <v>1</v>
      </c>
      <c r="F36" s="38">
        <f>VLOOKUP(E36,'Sheet A'!E36:W646,2,)</f>
        <v>11</v>
      </c>
      <c r="G36" s="41" t="str">
        <f>VLOOKUP(F36,'Sheet A'!F36:X646,2,)</f>
        <v>Morning</v>
      </c>
      <c r="H36" s="38" t="b">
        <f>VLOOKUP(G36,'Sheet A'!G36:Y646,2,)</f>
        <v>0</v>
      </c>
      <c r="I36" s="38">
        <f>VLOOKUP(H36,'Sheet A'!H36:Z646,2,)</f>
        <v>0</v>
      </c>
      <c r="J36" s="41" t="str">
        <f>VLOOKUP(I36,'Sheet A'!I36:AA646,2,)</f>
        <v>Saturday</v>
      </c>
      <c r="K36" s="38">
        <f>VLOOKUP(J36,'Sheet A'!J36:AB646,2,)</f>
        <v>2</v>
      </c>
      <c r="L36" s="38">
        <f>VLOOKUP(K36,'Sheet A'!K36:AC646,2,)</f>
        <v>0.36</v>
      </c>
      <c r="M36" s="70" t="str">
        <f>VLOOKUP(L36,'Sheet A'!L36:AD646,2,)</f>
        <v>Sunny</v>
      </c>
      <c r="N36" s="38">
        <f>VLOOKUP(M36,'Sheet A'!M36:AE646,2,)</f>
        <v>0.33329999999999999</v>
      </c>
      <c r="O36" s="38">
        <f>VLOOKUP(N36,'Sheet A'!N36:AF646,2,)</f>
        <v>0.71</v>
      </c>
      <c r="P36" s="38">
        <f>VLOOKUP(O36,'Sheet A'!O36:AG646,2,)</f>
        <v>0.25369999999999998</v>
      </c>
      <c r="Q36" s="38">
        <f>VLOOKUP(P36,'Sheet A'!P36:AH646,2,)</f>
        <v>16</v>
      </c>
      <c r="R36" s="38">
        <f>VLOOKUP(Q36,'Sheet A'!Q36:AI646,2,)</f>
        <v>54</v>
      </c>
      <c r="S36" s="38">
        <f>VLOOKUP(R36,'Sheet A'!R36:AJ646,2,)</f>
        <v>70</v>
      </c>
    </row>
    <row r="37" spans="1:19" x14ac:dyDescent="0.35">
      <c r="A37" s="37">
        <v>36</v>
      </c>
      <c r="B37" s="60">
        <f>VLOOKUP(A37,'Sheet A'!A37:S647,2,)</f>
        <v>40545</v>
      </c>
      <c r="C37" s="38">
        <f>VLOOKUP(B37,'Sheet A'!B37:T647,2,)</f>
        <v>1</v>
      </c>
      <c r="D37" s="38">
        <f>VLOOKUP(C37,'Sheet A'!C37:U647,2,)</f>
        <v>0</v>
      </c>
      <c r="E37" s="38">
        <f>VLOOKUP(D37,'Sheet A'!D37:V647,2,)</f>
        <v>1</v>
      </c>
      <c r="F37" s="38">
        <f>VLOOKUP(E37,'Sheet A'!E37:W647,2,)</f>
        <v>12</v>
      </c>
      <c r="G37" s="41" t="str">
        <f>VLOOKUP(F37,'Sheet A'!F37:X647,2,)</f>
        <v>AfterNoon</v>
      </c>
      <c r="H37" s="38" t="b">
        <f>VLOOKUP(G37,'Sheet A'!G37:Y647,2,)</f>
        <v>0</v>
      </c>
      <c r="I37" s="38">
        <f>VLOOKUP(H37,'Sheet A'!H37:Z647,2,)</f>
        <v>0</v>
      </c>
      <c r="J37" s="41" t="str">
        <f>VLOOKUP(I37,'Sheet A'!I37:AA647,2,)</f>
        <v>Saturday</v>
      </c>
      <c r="K37" s="38">
        <f>VLOOKUP(J37,'Sheet A'!J37:AB647,2,)</f>
        <v>2</v>
      </c>
      <c r="L37" s="38">
        <f>VLOOKUP(K37,'Sheet A'!K37:AC647,2,)</f>
        <v>0.36</v>
      </c>
      <c r="M37" s="70" t="str">
        <f>VLOOKUP(L37,'Sheet A'!L37:AD647,2,)</f>
        <v>Sunny</v>
      </c>
      <c r="N37" s="38">
        <f>VLOOKUP(M37,'Sheet A'!M37:AE647,2,)</f>
        <v>0.33329999999999999</v>
      </c>
      <c r="O37" s="38">
        <f>VLOOKUP(N37,'Sheet A'!N37:AF647,2,)</f>
        <v>0.66</v>
      </c>
      <c r="P37" s="38">
        <f>VLOOKUP(O37,'Sheet A'!O37:AG647,2,)</f>
        <v>0.29849999999999999</v>
      </c>
      <c r="Q37" s="38">
        <f>VLOOKUP(P37,'Sheet A'!P37:AH647,2,)</f>
        <v>20</v>
      </c>
      <c r="R37" s="38">
        <f>VLOOKUP(Q37,'Sheet A'!Q37:AI647,2,)</f>
        <v>73</v>
      </c>
      <c r="S37" s="38">
        <f>VLOOKUP(R37,'Sheet A'!R37:AJ647,2,)</f>
        <v>93</v>
      </c>
    </row>
    <row r="38" spans="1:19" x14ac:dyDescent="0.35">
      <c r="A38" s="37">
        <v>37</v>
      </c>
      <c r="B38" s="60">
        <f>VLOOKUP(A38,'Sheet A'!A38:S648,2,)</f>
        <v>40545</v>
      </c>
      <c r="C38" s="38">
        <f>VLOOKUP(B38,'Sheet A'!B38:T648,2,)</f>
        <v>1</v>
      </c>
      <c r="D38" s="38">
        <f>VLOOKUP(C38,'Sheet A'!C38:U648,2,)</f>
        <v>0</v>
      </c>
      <c r="E38" s="38">
        <f>VLOOKUP(D38,'Sheet A'!D38:V648,2,)</f>
        <v>1</v>
      </c>
      <c r="F38" s="38">
        <f>VLOOKUP(E38,'Sheet A'!E38:W648,2,)</f>
        <v>13</v>
      </c>
      <c r="G38" s="41" t="str">
        <f>VLOOKUP(F38,'Sheet A'!F38:X648,2,)</f>
        <v>AfterNoon</v>
      </c>
      <c r="H38" s="38" t="b">
        <f>VLOOKUP(G38,'Sheet A'!G38:Y648,2,)</f>
        <v>0</v>
      </c>
      <c r="I38" s="38">
        <f>VLOOKUP(H38,'Sheet A'!H38:Z648,2,)</f>
        <v>0</v>
      </c>
      <c r="J38" s="41" t="str">
        <f>VLOOKUP(I38,'Sheet A'!I38:AA648,2,)</f>
        <v>Saturday</v>
      </c>
      <c r="K38" s="38">
        <f>VLOOKUP(J38,'Sheet A'!J38:AB648,2,)</f>
        <v>2</v>
      </c>
      <c r="L38" s="38">
        <f>VLOOKUP(K38,'Sheet A'!K38:AC648,2,)</f>
        <v>0.36</v>
      </c>
      <c r="M38" s="70" t="str">
        <f>VLOOKUP(L38,'Sheet A'!L38:AD648,2,)</f>
        <v>Sunny</v>
      </c>
      <c r="N38" s="38">
        <f>VLOOKUP(M38,'Sheet A'!M38:AE648,2,)</f>
        <v>0.34849999999999998</v>
      </c>
      <c r="O38" s="38">
        <f>VLOOKUP(N38,'Sheet A'!N38:AF648,2,)</f>
        <v>0.66</v>
      </c>
      <c r="P38" s="38">
        <f>VLOOKUP(O38,'Sheet A'!O38:AG648,2,)</f>
        <v>0.1343</v>
      </c>
      <c r="Q38" s="38">
        <f>VLOOKUP(P38,'Sheet A'!P38:AH648,2,)</f>
        <v>11</v>
      </c>
      <c r="R38" s="38">
        <f>VLOOKUP(Q38,'Sheet A'!Q38:AI648,2,)</f>
        <v>64</v>
      </c>
      <c r="S38" s="38">
        <f>VLOOKUP(R38,'Sheet A'!R38:AJ648,2,)</f>
        <v>75</v>
      </c>
    </row>
    <row r="39" spans="1:19" x14ac:dyDescent="0.35">
      <c r="A39" s="37">
        <v>38</v>
      </c>
      <c r="B39" s="60">
        <f>VLOOKUP(A39,'Sheet A'!A39:S649,2,)</f>
        <v>40545</v>
      </c>
      <c r="C39" s="38">
        <f>VLOOKUP(B39,'Sheet A'!B39:T649,2,)</f>
        <v>1</v>
      </c>
      <c r="D39" s="38">
        <f>VLOOKUP(C39,'Sheet A'!C39:U649,2,)</f>
        <v>0</v>
      </c>
      <c r="E39" s="38">
        <f>VLOOKUP(D39,'Sheet A'!D39:V649,2,)</f>
        <v>1</v>
      </c>
      <c r="F39" s="38">
        <f>VLOOKUP(E39,'Sheet A'!E39:W649,2,)</f>
        <v>14</v>
      </c>
      <c r="G39" s="41" t="str">
        <f>VLOOKUP(F39,'Sheet A'!F39:X649,2,)</f>
        <v>AfterNoon</v>
      </c>
      <c r="H39" s="38" t="b">
        <f>VLOOKUP(G39,'Sheet A'!G39:Y649,2,)</f>
        <v>0</v>
      </c>
      <c r="I39" s="38">
        <f>VLOOKUP(H39,'Sheet A'!H39:Z649,2,)</f>
        <v>0</v>
      </c>
      <c r="J39" s="41" t="str">
        <f>VLOOKUP(I39,'Sheet A'!I39:AA649,2,)</f>
        <v>Saturday</v>
      </c>
      <c r="K39" s="38">
        <f>VLOOKUP(J39,'Sheet A'!J39:AB649,2,)</f>
        <v>3</v>
      </c>
      <c r="L39" s="38">
        <f>VLOOKUP(K39,'Sheet A'!K39:AC649,2,)</f>
        <v>0.36</v>
      </c>
      <c r="M39" s="70" t="str">
        <f>VLOOKUP(L39,'Sheet A'!L39:AD649,2,)</f>
        <v>Sunny</v>
      </c>
      <c r="N39" s="38">
        <f>VLOOKUP(M39,'Sheet A'!M39:AE649,2,)</f>
        <v>0.34089999999999998</v>
      </c>
      <c r="O39" s="38">
        <f>VLOOKUP(N39,'Sheet A'!N39:AF649,2,)</f>
        <v>0.76</v>
      </c>
      <c r="P39" s="38">
        <f>VLOOKUP(O39,'Sheet A'!O39:AG649,2,)</f>
        <v>0.19400000000000001</v>
      </c>
      <c r="Q39" s="38">
        <f>VLOOKUP(P39,'Sheet A'!P39:AH649,2,)</f>
        <v>4</v>
      </c>
      <c r="R39" s="38">
        <f>VLOOKUP(Q39,'Sheet A'!Q39:AI649,2,)</f>
        <v>55</v>
      </c>
      <c r="S39" s="38">
        <f>VLOOKUP(R39,'Sheet A'!R39:AJ649,2,)</f>
        <v>59</v>
      </c>
    </row>
    <row r="40" spans="1:19" x14ac:dyDescent="0.35">
      <c r="A40" s="37">
        <v>39</v>
      </c>
      <c r="B40" s="60">
        <f>VLOOKUP(A40,'Sheet A'!A40:S650,2,)</f>
        <v>40545</v>
      </c>
      <c r="C40" s="38">
        <f>VLOOKUP(B40,'Sheet A'!B40:T650,2,)</f>
        <v>1</v>
      </c>
      <c r="D40" s="38">
        <f>VLOOKUP(C40,'Sheet A'!C40:U650,2,)</f>
        <v>0</v>
      </c>
      <c r="E40" s="38">
        <f>VLOOKUP(D40,'Sheet A'!D40:V650,2,)</f>
        <v>1</v>
      </c>
      <c r="F40" s="38">
        <f>VLOOKUP(E40,'Sheet A'!E40:W650,2,)</f>
        <v>15</v>
      </c>
      <c r="G40" s="41" t="str">
        <f>VLOOKUP(F40,'Sheet A'!F40:X650,2,)</f>
        <v>AfterNoon</v>
      </c>
      <c r="H40" s="38" t="b">
        <f>VLOOKUP(G40,'Sheet A'!G40:Y650,2,)</f>
        <v>0</v>
      </c>
      <c r="I40" s="38">
        <f>VLOOKUP(H40,'Sheet A'!H40:Z650,2,)</f>
        <v>0</v>
      </c>
      <c r="J40" s="41" t="str">
        <f>VLOOKUP(I40,'Sheet A'!I40:AA650,2,)</f>
        <v>Saturday</v>
      </c>
      <c r="K40" s="38">
        <f>VLOOKUP(J40,'Sheet A'!J40:AB650,2,)</f>
        <v>3</v>
      </c>
      <c r="L40" s="38">
        <f>VLOOKUP(K40,'Sheet A'!K40:AC650,2,)</f>
        <v>0.34</v>
      </c>
      <c r="M40" s="70" t="str">
        <f>VLOOKUP(L40,'Sheet A'!L40:AD650,2,)</f>
        <v>Sunny</v>
      </c>
      <c r="N40" s="38">
        <f>VLOOKUP(M40,'Sheet A'!M40:AE650,2,)</f>
        <v>0.33329999999999999</v>
      </c>
      <c r="O40" s="38">
        <f>VLOOKUP(N40,'Sheet A'!N40:AF650,2,)</f>
        <v>0.81</v>
      </c>
      <c r="P40" s="38">
        <f>VLOOKUP(O40,'Sheet A'!O40:AG650,2,)</f>
        <v>0.16420000000000001</v>
      </c>
      <c r="Q40" s="38">
        <f>VLOOKUP(P40,'Sheet A'!P40:AH650,2,)</f>
        <v>19</v>
      </c>
      <c r="R40" s="38">
        <f>VLOOKUP(Q40,'Sheet A'!Q40:AI650,2,)</f>
        <v>55</v>
      </c>
      <c r="S40" s="38">
        <f>VLOOKUP(R40,'Sheet A'!R40:AJ650,2,)</f>
        <v>74</v>
      </c>
    </row>
    <row r="41" spans="1:19" x14ac:dyDescent="0.35">
      <c r="A41" s="37">
        <v>40</v>
      </c>
      <c r="B41" s="60">
        <f>VLOOKUP(A41,'Sheet A'!A41:S651,2,)</f>
        <v>40545</v>
      </c>
      <c r="C41" s="38">
        <f>VLOOKUP(B41,'Sheet A'!B41:T651,2,)</f>
        <v>1</v>
      </c>
      <c r="D41" s="38">
        <f>VLOOKUP(C41,'Sheet A'!C41:U651,2,)</f>
        <v>0</v>
      </c>
      <c r="E41" s="38">
        <f>VLOOKUP(D41,'Sheet A'!D41:V651,2,)</f>
        <v>1</v>
      </c>
      <c r="F41" s="38">
        <f>VLOOKUP(E41,'Sheet A'!E41:W651,2,)</f>
        <v>16</v>
      </c>
      <c r="G41" s="41" t="str">
        <f>VLOOKUP(F41,'Sheet A'!F41:X651,2,)</f>
        <v>AfterNoon</v>
      </c>
      <c r="H41" s="38" t="b">
        <f>VLOOKUP(G41,'Sheet A'!G41:Y651,2,)</f>
        <v>0</v>
      </c>
      <c r="I41" s="38">
        <f>VLOOKUP(H41,'Sheet A'!H41:Z651,2,)</f>
        <v>0</v>
      </c>
      <c r="J41" s="41" t="str">
        <f>VLOOKUP(I41,'Sheet A'!I41:AA651,2,)</f>
        <v>Saturday</v>
      </c>
      <c r="K41" s="38">
        <f>VLOOKUP(J41,'Sheet A'!J41:AB651,2,)</f>
        <v>3</v>
      </c>
      <c r="L41" s="38">
        <f>VLOOKUP(K41,'Sheet A'!K41:AC651,2,)</f>
        <v>0.34</v>
      </c>
      <c r="M41" s="70" t="str">
        <f>VLOOKUP(L41,'Sheet A'!L41:AD651,2,)</f>
        <v>Sunny</v>
      </c>
      <c r="N41" s="38">
        <f>VLOOKUP(M41,'Sheet A'!M41:AE651,2,)</f>
        <v>0.33329999999999999</v>
      </c>
      <c r="O41" s="38">
        <f>VLOOKUP(N41,'Sheet A'!N41:AF651,2,)</f>
        <v>0.71</v>
      </c>
      <c r="P41" s="38">
        <f>VLOOKUP(O41,'Sheet A'!O41:AG651,2,)</f>
        <v>0.16420000000000001</v>
      </c>
      <c r="Q41" s="38">
        <f>VLOOKUP(P41,'Sheet A'!P41:AH651,2,)</f>
        <v>9</v>
      </c>
      <c r="R41" s="38">
        <f>VLOOKUP(Q41,'Sheet A'!Q41:AI651,2,)</f>
        <v>67</v>
      </c>
      <c r="S41" s="38">
        <f>VLOOKUP(R41,'Sheet A'!R41:AJ651,2,)</f>
        <v>76</v>
      </c>
    </row>
    <row r="42" spans="1:19" x14ac:dyDescent="0.35">
      <c r="A42" s="37">
        <v>41</v>
      </c>
      <c r="B42" s="60">
        <f>VLOOKUP(A42,'Sheet A'!A42:S652,2,)</f>
        <v>40545</v>
      </c>
      <c r="C42" s="38">
        <f>VLOOKUP(B42,'Sheet A'!B42:T652,2,)</f>
        <v>1</v>
      </c>
      <c r="D42" s="38">
        <f>VLOOKUP(C42,'Sheet A'!C42:U652,2,)</f>
        <v>0</v>
      </c>
      <c r="E42" s="38">
        <f>VLOOKUP(D42,'Sheet A'!D42:V652,2,)</f>
        <v>1</v>
      </c>
      <c r="F42" s="38">
        <f>VLOOKUP(E42,'Sheet A'!E42:W652,2,)</f>
        <v>17</v>
      </c>
      <c r="G42" s="41" t="str">
        <f>VLOOKUP(F42,'Sheet A'!F42:X652,2,)</f>
        <v>Evening</v>
      </c>
      <c r="H42" s="38" t="b">
        <f>VLOOKUP(G42,'Sheet A'!G42:Y652,2,)</f>
        <v>0</v>
      </c>
      <c r="I42" s="38">
        <f>VLOOKUP(H42,'Sheet A'!H42:Z652,2,)</f>
        <v>0</v>
      </c>
      <c r="J42" s="41" t="str">
        <f>VLOOKUP(I42,'Sheet A'!I42:AA652,2,)</f>
        <v>Saturday</v>
      </c>
      <c r="K42" s="38">
        <f>VLOOKUP(J42,'Sheet A'!J42:AB652,2,)</f>
        <v>1</v>
      </c>
      <c r="L42" s="38">
        <f>VLOOKUP(K42,'Sheet A'!K42:AC652,2,)</f>
        <v>0.34</v>
      </c>
      <c r="M42" s="70" t="str">
        <f>VLOOKUP(L42,'Sheet A'!L42:AD652,2,)</f>
        <v>Sunny</v>
      </c>
      <c r="N42" s="38">
        <f>VLOOKUP(M42,'Sheet A'!M42:AE652,2,)</f>
        <v>0.33329999999999999</v>
      </c>
      <c r="O42" s="38">
        <f>VLOOKUP(N42,'Sheet A'!N42:AF652,2,)</f>
        <v>0.56999999999999995</v>
      </c>
      <c r="P42" s="38">
        <f>VLOOKUP(O42,'Sheet A'!O42:AG652,2,)</f>
        <v>0.19400000000000001</v>
      </c>
      <c r="Q42" s="38">
        <f>VLOOKUP(P42,'Sheet A'!P42:AH652,2,)</f>
        <v>7</v>
      </c>
      <c r="R42" s="38">
        <f>VLOOKUP(Q42,'Sheet A'!Q42:AI652,2,)</f>
        <v>58</v>
      </c>
      <c r="S42" s="38">
        <f>VLOOKUP(R42,'Sheet A'!R42:AJ652,2,)</f>
        <v>65</v>
      </c>
    </row>
    <row r="43" spans="1:19" x14ac:dyDescent="0.35">
      <c r="A43" s="37">
        <v>42</v>
      </c>
      <c r="B43" s="60">
        <f>VLOOKUP(A43,'Sheet A'!A43:S653,2,)</f>
        <v>40545</v>
      </c>
      <c r="C43" s="38">
        <f>VLOOKUP(B43,'Sheet A'!B43:T653,2,)</f>
        <v>1</v>
      </c>
      <c r="D43" s="38">
        <f>VLOOKUP(C43,'Sheet A'!C43:U653,2,)</f>
        <v>0</v>
      </c>
      <c r="E43" s="38">
        <f>VLOOKUP(D43,'Sheet A'!D43:V653,2,)</f>
        <v>1</v>
      </c>
      <c r="F43" s="38">
        <f>VLOOKUP(E43,'Sheet A'!E43:W653,2,)</f>
        <v>18</v>
      </c>
      <c r="G43" s="41" t="str">
        <f>VLOOKUP(F43,'Sheet A'!F43:X653,2,)</f>
        <v>Evening</v>
      </c>
      <c r="H43" s="38" t="b">
        <f>VLOOKUP(G43,'Sheet A'!G43:Y653,2,)</f>
        <v>0</v>
      </c>
      <c r="I43" s="38">
        <f>VLOOKUP(H43,'Sheet A'!H43:Z653,2,)</f>
        <v>0</v>
      </c>
      <c r="J43" s="41" t="str">
        <f>VLOOKUP(I43,'Sheet A'!I43:AA653,2,)</f>
        <v>Saturday</v>
      </c>
      <c r="K43" s="38">
        <f>VLOOKUP(J43,'Sheet A'!J43:AB653,2,)</f>
        <v>2</v>
      </c>
      <c r="L43" s="38">
        <f>VLOOKUP(K43,'Sheet A'!K43:AC653,2,)</f>
        <v>0.36</v>
      </c>
      <c r="M43" s="70" t="str">
        <f>VLOOKUP(L43,'Sheet A'!L43:AD653,2,)</f>
        <v>Sunny</v>
      </c>
      <c r="N43" s="38">
        <f>VLOOKUP(M43,'Sheet A'!M43:AE653,2,)</f>
        <v>0.33329999999999999</v>
      </c>
      <c r="O43" s="38">
        <f>VLOOKUP(N43,'Sheet A'!N43:AF653,2,)</f>
        <v>0.46</v>
      </c>
      <c r="P43" s="38">
        <f>VLOOKUP(O43,'Sheet A'!O43:AG653,2,)</f>
        <v>0.32840000000000003</v>
      </c>
      <c r="Q43" s="38">
        <f>VLOOKUP(P43,'Sheet A'!P43:AH653,2,)</f>
        <v>10</v>
      </c>
      <c r="R43" s="38">
        <f>VLOOKUP(Q43,'Sheet A'!Q43:AI653,2,)</f>
        <v>43</v>
      </c>
      <c r="S43" s="38">
        <f>VLOOKUP(R43,'Sheet A'!R43:AJ653,2,)</f>
        <v>53</v>
      </c>
    </row>
    <row r="44" spans="1:19" x14ac:dyDescent="0.35">
      <c r="A44" s="37">
        <v>43</v>
      </c>
      <c r="B44" s="60">
        <f>VLOOKUP(A44,'Sheet A'!A44:S654,2,)</f>
        <v>40545</v>
      </c>
      <c r="C44" s="38">
        <f>VLOOKUP(B44,'Sheet A'!B44:T654,2,)</f>
        <v>1</v>
      </c>
      <c r="D44" s="38">
        <f>VLOOKUP(C44,'Sheet A'!C44:U654,2,)</f>
        <v>0</v>
      </c>
      <c r="E44" s="38">
        <f>VLOOKUP(D44,'Sheet A'!D44:V654,2,)</f>
        <v>1</v>
      </c>
      <c r="F44" s="38">
        <f>VLOOKUP(E44,'Sheet A'!E44:W654,2,)</f>
        <v>19</v>
      </c>
      <c r="G44" s="41" t="str">
        <f>VLOOKUP(F44,'Sheet A'!F44:X654,2,)</f>
        <v>Evening</v>
      </c>
      <c r="H44" s="38" t="b">
        <f>VLOOKUP(G44,'Sheet A'!G44:Y654,2,)</f>
        <v>0</v>
      </c>
      <c r="I44" s="38">
        <f>VLOOKUP(H44,'Sheet A'!H44:Z654,2,)</f>
        <v>0</v>
      </c>
      <c r="J44" s="41" t="str">
        <f>VLOOKUP(I44,'Sheet A'!I44:AA654,2,)</f>
        <v>Saturday</v>
      </c>
      <c r="K44" s="38">
        <f>VLOOKUP(J44,'Sheet A'!J44:AB654,2,)</f>
        <v>1</v>
      </c>
      <c r="L44" s="38">
        <f>VLOOKUP(K44,'Sheet A'!K44:AC654,2,)</f>
        <v>0.32</v>
      </c>
      <c r="M44" s="70" t="str">
        <f>VLOOKUP(L44,'Sheet A'!L44:AD654,2,)</f>
        <v>Sunny</v>
      </c>
      <c r="N44" s="38">
        <f>VLOOKUP(M44,'Sheet A'!M44:AE654,2,)</f>
        <v>0.28789999999999999</v>
      </c>
      <c r="O44" s="38">
        <f>VLOOKUP(N44,'Sheet A'!N44:AF654,2,)</f>
        <v>0.42</v>
      </c>
      <c r="P44" s="38">
        <f>VLOOKUP(O44,'Sheet A'!O44:AG654,2,)</f>
        <v>0.44779999999999998</v>
      </c>
      <c r="Q44" s="38">
        <f>VLOOKUP(P44,'Sheet A'!P44:AH654,2,)</f>
        <v>1</v>
      </c>
      <c r="R44" s="38">
        <f>VLOOKUP(Q44,'Sheet A'!Q44:AI654,2,)</f>
        <v>29</v>
      </c>
      <c r="S44" s="38">
        <f>VLOOKUP(R44,'Sheet A'!R44:AJ654,2,)</f>
        <v>30</v>
      </c>
    </row>
    <row r="45" spans="1:19" x14ac:dyDescent="0.35">
      <c r="A45" s="37">
        <v>44</v>
      </c>
      <c r="B45" s="60">
        <f>VLOOKUP(A45,'Sheet A'!A45:S655,2,)</f>
        <v>40545</v>
      </c>
      <c r="C45" s="38">
        <f>VLOOKUP(B45,'Sheet A'!B45:T655,2,)</f>
        <v>1</v>
      </c>
      <c r="D45" s="38">
        <f>VLOOKUP(C45,'Sheet A'!C45:U655,2,)</f>
        <v>0</v>
      </c>
      <c r="E45" s="38">
        <f>VLOOKUP(D45,'Sheet A'!D45:V655,2,)</f>
        <v>1</v>
      </c>
      <c r="F45" s="38">
        <f>VLOOKUP(E45,'Sheet A'!E45:W655,2,)</f>
        <v>20</v>
      </c>
      <c r="G45" s="41" t="str">
        <f>VLOOKUP(F45,'Sheet A'!F45:X655,2,)</f>
        <v>Night</v>
      </c>
      <c r="H45" s="38" t="b">
        <f>VLOOKUP(G45,'Sheet A'!G45:Y655,2,)</f>
        <v>0</v>
      </c>
      <c r="I45" s="38">
        <f>VLOOKUP(H45,'Sheet A'!H45:Z655,2,)</f>
        <v>0</v>
      </c>
      <c r="J45" s="41" t="str">
        <f>VLOOKUP(I45,'Sheet A'!I45:AA655,2,)</f>
        <v>Saturday</v>
      </c>
      <c r="K45" s="38">
        <f>VLOOKUP(J45,'Sheet A'!J45:AB655,2,)</f>
        <v>1</v>
      </c>
      <c r="L45" s="38">
        <f>VLOOKUP(K45,'Sheet A'!K45:AC655,2,)</f>
        <v>0.3</v>
      </c>
      <c r="M45" s="70" t="str">
        <f>VLOOKUP(L45,'Sheet A'!L45:AD655,2,)</f>
        <v>Cloudy</v>
      </c>
      <c r="N45" s="38">
        <f>VLOOKUP(M45,'Sheet A'!M45:AE655,2,)</f>
        <v>0.2576</v>
      </c>
      <c r="O45" s="38">
        <f>VLOOKUP(N45,'Sheet A'!N45:AF655,2,)</f>
        <v>0.39</v>
      </c>
      <c r="P45" s="38">
        <f>VLOOKUP(O45,'Sheet A'!O45:AG655,2,)</f>
        <v>0.35820000000000002</v>
      </c>
      <c r="Q45" s="38">
        <f>VLOOKUP(P45,'Sheet A'!P45:AH655,2,)</f>
        <v>5</v>
      </c>
      <c r="R45" s="38">
        <f>VLOOKUP(Q45,'Sheet A'!Q45:AI655,2,)</f>
        <v>17</v>
      </c>
      <c r="S45" s="38">
        <f>VLOOKUP(R45,'Sheet A'!R45:AJ655,2,)</f>
        <v>22</v>
      </c>
    </row>
    <row r="46" spans="1:19" x14ac:dyDescent="0.35">
      <c r="A46" s="37">
        <v>45</v>
      </c>
      <c r="B46" s="60">
        <f>VLOOKUP(A46,'Sheet A'!A46:S656,2,)</f>
        <v>40545</v>
      </c>
      <c r="C46" s="38">
        <f>VLOOKUP(B46,'Sheet A'!B46:T656,2,)</f>
        <v>1</v>
      </c>
      <c r="D46" s="38">
        <f>VLOOKUP(C46,'Sheet A'!C46:U656,2,)</f>
        <v>0</v>
      </c>
      <c r="E46" s="38">
        <f>VLOOKUP(D46,'Sheet A'!D46:V656,2,)</f>
        <v>1</v>
      </c>
      <c r="F46" s="38">
        <f>VLOOKUP(E46,'Sheet A'!E46:W656,2,)</f>
        <v>21</v>
      </c>
      <c r="G46" s="41" t="str">
        <f>VLOOKUP(F46,'Sheet A'!F46:X656,2,)</f>
        <v>Night</v>
      </c>
      <c r="H46" s="38" t="b">
        <f>VLOOKUP(G46,'Sheet A'!G46:Y656,2,)</f>
        <v>0</v>
      </c>
      <c r="I46" s="38">
        <f>VLOOKUP(H46,'Sheet A'!H46:Z656,2,)</f>
        <v>0</v>
      </c>
      <c r="J46" s="41" t="str">
        <f>VLOOKUP(I46,'Sheet A'!I46:AA656,2,)</f>
        <v>Saturday</v>
      </c>
      <c r="K46" s="38">
        <f>VLOOKUP(J46,'Sheet A'!J46:AB656,2,)</f>
        <v>1</v>
      </c>
      <c r="L46" s="38">
        <f>VLOOKUP(K46,'Sheet A'!K46:AC656,2,)</f>
        <v>0.26</v>
      </c>
      <c r="M46" s="70" t="str">
        <f>VLOOKUP(L46,'Sheet A'!L46:AD656,2,)</f>
        <v>Cloudy</v>
      </c>
      <c r="N46" s="38">
        <f>VLOOKUP(M46,'Sheet A'!M46:AE656,2,)</f>
        <v>0.2273</v>
      </c>
      <c r="O46" s="38">
        <f>VLOOKUP(N46,'Sheet A'!N46:AF656,2,)</f>
        <v>0.44</v>
      </c>
      <c r="P46" s="38">
        <f>VLOOKUP(O46,'Sheet A'!O46:AG656,2,)</f>
        <v>0.32840000000000003</v>
      </c>
      <c r="Q46" s="38">
        <f>VLOOKUP(P46,'Sheet A'!P46:AH656,2,)</f>
        <v>11</v>
      </c>
      <c r="R46" s="38">
        <f>VLOOKUP(Q46,'Sheet A'!Q46:AI656,2,)</f>
        <v>20</v>
      </c>
      <c r="S46" s="38">
        <f>VLOOKUP(R46,'Sheet A'!R46:AJ656,2,)</f>
        <v>31</v>
      </c>
    </row>
    <row r="47" spans="1:19" x14ac:dyDescent="0.35">
      <c r="A47" s="37">
        <v>46</v>
      </c>
      <c r="B47" s="60">
        <f>VLOOKUP(A47,'Sheet A'!A47:S657,2,)</f>
        <v>40545</v>
      </c>
      <c r="C47" s="38">
        <f>VLOOKUP(B47,'Sheet A'!B47:T657,2,)</f>
        <v>1</v>
      </c>
      <c r="D47" s="38">
        <f>VLOOKUP(C47,'Sheet A'!C47:U657,2,)</f>
        <v>0</v>
      </c>
      <c r="E47" s="38">
        <f>VLOOKUP(D47,'Sheet A'!D47:V657,2,)</f>
        <v>1</v>
      </c>
      <c r="F47" s="38">
        <f>VLOOKUP(E47,'Sheet A'!E47:W657,2,)</f>
        <v>22</v>
      </c>
      <c r="G47" s="41" t="str">
        <f>VLOOKUP(F47,'Sheet A'!F47:X657,2,)</f>
        <v>Night</v>
      </c>
      <c r="H47" s="38" t="b">
        <f>VLOOKUP(G47,'Sheet A'!G47:Y657,2,)</f>
        <v>0</v>
      </c>
      <c r="I47" s="38">
        <f>VLOOKUP(H47,'Sheet A'!H47:Z657,2,)</f>
        <v>0</v>
      </c>
      <c r="J47" s="41" t="str">
        <f>VLOOKUP(I47,'Sheet A'!I47:AA657,2,)</f>
        <v>Saturday</v>
      </c>
      <c r="K47" s="38">
        <f>VLOOKUP(J47,'Sheet A'!J47:AB657,2,)</f>
        <v>1</v>
      </c>
      <c r="L47" s="38">
        <f>VLOOKUP(K47,'Sheet A'!K47:AC657,2,)</f>
        <v>0.24</v>
      </c>
      <c r="M47" s="70" t="str">
        <f>VLOOKUP(L47,'Sheet A'!L47:AD657,2,)</f>
        <v>Cloudy</v>
      </c>
      <c r="N47" s="38">
        <f>VLOOKUP(M47,'Sheet A'!M47:AE657,2,)</f>
        <v>0.21210000000000001</v>
      </c>
      <c r="O47" s="38">
        <f>VLOOKUP(N47,'Sheet A'!N47:AF657,2,)</f>
        <v>0.44</v>
      </c>
      <c r="P47" s="38">
        <f>VLOOKUP(O47,'Sheet A'!O47:AG657,2,)</f>
        <v>0.29849999999999999</v>
      </c>
      <c r="Q47" s="38">
        <f>VLOOKUP(P47,'Sheet A'!P47:AH657,2,)</f>
        <v>0</v>
      </c>
      <c r="R47" s="38">
        <f>VLOOKUP(Q47,'Sheet A'!Q47:AI657,2,)</f>
        <v>9</v>
      </c>
      <c r="S47" s="38">
        <f>VLOOKUP(R47,'Sheet A'!R47:AJ657,2,)</f>
        <v>9</v>
      </c>
    </row>
    <row r="48" spans="1:19" x14ac:dyDescent="0.35">
      <c r="A48" s="37">
        <v>47</v>
      </c>
      <c r="B48" s="60">
        <f>VLOOKUP(A48,'Sheet A'!A48:S658,2,)</f>
        <v>40545</v>
      </c>
      <c r="C48" s="38">
        <f>VLOOKUP(B48,'Sheet A'!B48:T658,2,)</f>
        <v>1</v>
      </c>
      <c r="D48" s="38">
        <f>VLOOKUP(C48,'Sheet A'!C48:U658,2,)</f>
        <v>0</v>
      </c>
      <c r="E48" s="38">
        <f>VLOOKUP(D48,'Sheet A'!D48:V658,2,)</f>
        <v>1</v>
      </c>
      <c r="F48" s="38">
        <f>VLOOKUP(E48,'Sheet A'!E48:W658,2,)</f>
        <v>23</v>
      </c>
      <c r="G48" s="41" t="str">
        <f>VLOOKUP(F48,'Sheet A'!F48:X658,2,)</f>
        <v>Night</v>
      </c>
      <c r="H48" s="38" t="b">
        <f>VLOOKUP(G48,'Sheet A'!G48:Y658,2,)</f>
        <v>0</v>
      </c>
      <c r="I48" s="38">
        <f>VLOOKUP(H48,'Sheet A'!H48:Z658,2,)</f>
        <v>0</v>
      </c>
      <c r="J48" s="41" t="str">
        <f>VLOOKUP(I48,'Sheet A'!I48:AA658,2,)</f>
        <v>Saturday</v>
      </c>
      <c r="K48" s="38">
        <f>VLOOKUP(J48,'Sheet A'!J48:AB658,2,)</f>
        <v>1</v>
      </c>
      <c r="L48" s="38">
        <f>VLOOKUP(K48,'Sheet A'!K48:AC658,2,)</f>
        <v>0.22</v>
      </c>
      <c r="M48" s="70" t="str">
        <f>VLOOKUP(L48,'Sheet A'!L48:AD658,2,)</f>
        <v>Cloudy</v>
      </c>
      <c r="N48" s="38">
        <f>VLOOKUP(M48,'Sheet A'!M48:AE658,2,)</f>
        <v>0.2273</v>
      </c>
      <c r="O48" s="38">
        <f>VLOOKUP(N48,'Sheet A'!N48:AF658,2,)</f>
        <v>0.47</v>
      </c>
      <c r="P48" s="38">
        <f>VLOOKUP(O48,'Sheet A'!O48:AG658,2,)</f>
        <v>0.16420000000000001</v>
      </c>
      <c r="Q48" s="38">
        <f>VLOOKUP(P48,'Sheet A'!P48:AH658,2,)</f>
        <v>0</v>
      </c>
      <c r="R48" s="38">
        <f>VLOOKUP(Q48,'Sheet A'!Q48:AI658,2,)</f>
        <v>8</v>
      </c>
      <c r="S48" s="38">
        <f>VLOOKUP(R48,'Sheet A'!R48:AJ658,2,)</f>
        <v>8</v>
      </c>
    </row>
    <row r="49" spans="1:19" x14ac:dyDescent="0.35">
      <c r="A49" s="37">
        <v>48</v>
      </c>
      <c r="B49" s="60">
        <f>VLOOKUP(A49,'Sheet A'!A49:S659,2,)</f>
        <v>40546</v>
      </c>
      <c r="C49" s="38">
        <f>VLOOKUP(B49,'Sheet A'!B49:T659,2,)</f>
        <v>1</v>
      </c>
      <c r="D49" s="38">
        <f>VLOOKUP(C49,'Sheet A'!C49:U659,2,)</f>
        <v>0</v>
      </c>
      <c r="E49" s="38">
        <f>VLOOKUP(D49,'Sheet A'!D49:V659,2,)</f>
        <v>1</v>
      </c>
      <c r="F49" s="38">
        <f>VLOOKUP(E49,'Sheet A'!E49:W659,2,)</f>
        <v>0</v>
      </c>
      <c r="G49" s="41" t="str">
        <f>VLOOKUP(F49,'Sheet A'!F49:X659,2,)</f>
        <v>Night</v>
      </c>
      <c r="H49" s="38" t="b">
        <f>VLOOKUP(G49,'Sheet A'!G49:Y659,2,)</f>
        <v>0</v>
      </c>
      <c r="I49" s="38">
        <f>VLOOKUP(H49,'Sheet A'!H49:Z659,2,)</f>
        <v>1</v>
      </c>
      <c r="J49" s="41" t="str">
        <f>VLOOKUP(I49,'Sheet A'!I49:AA659,2,)</f>
        <v>Sunday</v>
      </c>
      <c r="K49" s="38">
        <f>VLOOKUP(J49,'Sheet A'!J49:AB659,2,)</f>
        <v>1</v>
      </c>
      <c r="L49" s="38">
        <f>VLOOKUP(K49,'Sheet A'!K49:AC659,2,)</f>
        <v>0.22</v>
      </c>
      <c r="M49" s="70" t="str">
        <f>VLOOKUP(L49,'Sheet A'!L49:AD659,2,)</f>
        <v>Cloudy</v>
      </c>
      <c r="N49" s="38">
        <f>VLOOKUP(M49,'Sheet A'!M49:AE659,2,)</f>
        <v>0.19700000000000001</v>
      </c>
      <c r="O49" s="38">
        <f>VLOOKUP(N49,'Sheet A'!N49:AF659,2,)</f>
        <v>0.44</v>
      </c>
      <c r="P49" s="38">
        <f>VLOOKUP(O49,'Sheet A'!O49:AG659,2,)</f>
        <v>0.35820000000000002</v>
      </c>
      <c r="Q49" s="38">
        <f>VLOOKUP(P49,'Sheet A'!P49:AH659,2,)</f>
        <v>0</v>
      </c>
      <c r="R49" s="38">
        <f>VLOOKUP(Q49,'Sheet A'!Q49:AI659,2,)</f>
        <v>5</v>
      </c>
      <c r="S49" s="38">
        <f>VLOOKUP(R49,'Sheet A'!R49:AJ659,2,)</f>
        <v>5</v>
      </c>
    </row>
    <row r="50" spans="1:19" x14ac:dyDescent="0.35">
      <c r="A50" s="37">
        <v>49</v>
      </c>
      <c r="B50" s="60">
        <f>VLOOKUP(A50,'Sheet A'!A50:S660,2,)</f>
        <v>40546</v>
      </c>
      <c r="C50" s="38">
        <f>VLOOKUP(B50,'Sheet A'!B50:T660,2,)</f>
        <v>1</v>
      </c>
      <c r="D50" s="38">
        <f>VLOOKUP(C50,'Sheet A'!C50:U660,2,)</f>
        <v>0</v>
      </c>
      <c r="E50" s="38">
        <f>VLOOKUP(D50,'Sheet A'!D50:V660,2,)</f>
        <v>1</v>
      </c>
      <c r="F50" s="38">
        <f>VLOOKUP(E50,'Sheet A'!E50:W660,2,)</f>
        <v>1</v>
      </c>
      <c r="G50" s="41" t="str">
        <f>VLOOKUP(F50,'Sheet A'!F50:X660,2,)</f>
        <v>Night</v>
      </c>
      <c r="H50" s="38" t="b">
        <f>VLOOKUP(G50,'Sheet A'!G50:Y660,2,)</f>
        <v>0</v>
      </c>
      <c r="I50" s="38">
        <f>VLOOKUP(H50,'Sheet A'!H50:Z660,2,)</f>
        <v>1</v>
      </c>
      <c r="J50" s="41" t="str">
        <f>VLOOKUP(I50,'Sheet A'!I50:AA660,2,)</f>
        <v>Sunday</v>
      </c>
      <c r="K50" s="38">
        <f>VLOOKUP(J50,'Sheet A'!J50:AB660,2,)</f>
        <v>1</v>
      </c>
      <c r="L50" s="38">
        <f>VLOOKUP(K50,'Sheet A'!K50:AC660,2,)</f>
        <v>0.2</v>
      </c>
      <c r="M50" s="70" t="str">
        <f>VLOOKUP(L50,'Sheet A'!L50:AD660,2,)</f>
        <v>Rainy</v>
      </c>
      <c r="N50" s="38">
        <f>VLOOKUP(M50,'Sheet A'!M50:AE660,2,)</f>
        <v>0.16670000000000001</v>
      </c>
      <c r="O50" s="38">
        <f>VLOOKUP(N50,'Sheet A'!N50:AF660,2,)</f>
        <v>0.44</v>
      </c>
      <c r="P50" s="38">
        <f>VLOOKUP(O50,'Sheet A'!O50:AG660,2,)</f>
        <v>0.41789999999999999</v>
      </c>
      <c r="Q50" s="38">
        <f>VLOOKUP(P50,'Sheet A'!P50:AH660,2,)</f>
        <v>0</v>
      </c>
      <c r="R50" s="38">
        <f>VLOOKUP(Q50,'Sheet A'!Q50:AI660,2,)</f>
        <v>2</v>
      </c>
      <c r="S50" s="38">
        <f>VLOOKUP(R50,'Sheet A'!R50:AJ660,2,)</f>
        <v>2</v>
      </c>
    </row>
    <row r="51" spans="1:19" x14ac:dyDescent="0.35">
      <c r="A51" s="37">
        <v>50</v>
      </c>
      <c r="B51" s="60">
        <f>VLOOKUP(A51,'Sheet A'!A51:S661,2,)</f>
        <v>40546</v>
      </c>
      <c r="C51" s="38">
        <f>VLOOKUP(B51,'Sheet A'!B51:T661,2,)</f>
        <v>1</v>
      </c>
      <c r="D51" s="38">
        <f>VLOOKUP(C51,'Sheet A'!C51:U661,2,)</f>
        <v>0</v>
      </c>
      <c r="E51" s="38">
        <f>VLOOKUP(D51,'Sheet A'!D51:V661,2,)</f>
        <v>1</v>
      </c>
      <c r="F51" s="38">
        <f>VLOOKUP(E51,'Sheet A'!E51:W661,2,)</f>
        <v>4</v>
      </c>
      <c r="G51" s="41" t="str">
        <f>VLOOKUP(F51,'Sheet A'!F51:X661,2,)</f>
        <v>Night</v>
      </c>
      <c r="H51" s="38" t="b">
        <f>VLOOKUP(G51,'Sheet A'!G51:Y661,2,)</f>
        <v>0</v>
      </c>
      <c r="I51" s="38">
        <f>VLOOKUP(H51,'Sheet A'!H51:Z661,2,)</f>
        <v>1</v>
      </c>
      <c r="J51" s="41" t="str">
        <f>VLOOKUP(I51,'Sheet A'!I51:AA661,2,)</f>
        <v>Sunday</v>
      </c>
      <c r="K51" s="38">
        <f>VLOOKUP(J51,'Sheet A'!J51:AB661,2,)</f>
        <v>1</v>
      </c>
      <c r="L51" s="38">
        <f>VLOOKUP(K51,'Sheet A'!K51:AC661,2,)</f>
        <v>0.16</v>
      </c>
      <c r="M51" s="70" t="str">
        <f>VLOOKUP(L51,'Sheet A'!L51:AD661,2,)</f>
        <v>Rainy</v>
      </c>
      <c r="N51" s="38">
        <f>VLOOKUP(M51,'Sheet A'!M51:AE661,2,)</f>
        <v>0.13639999999999999</v>
      </c>
      <c r="O51" s="38">
        <f>VLOOKUP(N51,'Sheet A'!N51:AF661,2,)</f>
        <v>0.47</v>
      </c>
      <c r="P51" s="38">
        <f>VLOOKUP(O51,'Sheet A'!O51:AG661,2,)</f>
        <v>0.3881</v>
      </c>
      <c r="Q51" s="38">
        <f>VLOOKUP(P51,'Sheet A'!P51:AH661,2,)</f>
        <v>0</v>
      </c>
      <c r="R51" s="38">
        <f>VLOOKUP(Q51,'Sheet A'!Q51:AI661,2,)</f>
        <v>1</v>
      </c>
      <c r="S51" s="38">
        <f>VLOOKUP(R51,'Sheet A'!R51:AJ661,2,)</f>
        <v>1</v>
      </c>
    </row>
    <row r="52" spans="1:19" x14ac:dyDescent="0.35">
      <c r="A52" s="37">
        <v>51</v>
      </c>
      <c r="B52" s="60">
        <f>VLOOKUP(A52,'Sheet A'!A52:S662,2,)</f>
        <v>40546</v>
      </c>
      <c r="C52" s="38">
        <f>VLOOKUP(B52,'Sheet A'!B52:T662,2,)</f>
        <v>1</v>
      </c>
      <c r="D52" s="38">
        <f>VLOOKUP(C52,'Sheet A'!C52:U662,2,)</f>
        <v>0</v>
      </c>
      <c r="E52" s="38">
        <f>VLOOKUP(D52,'Sheet A'!D52:V662,2,)</f>
        <v>1</v>
      </c>
      <c r="F52" s="38">
        <f>VLOOKUP(E52,'Sheet A'!E52:W662,2,)</f>
        <v>5</v>
      </c>
      <c r="G52" s="41" t="str">
        <f>VLOOKUP(F52,'Sheet A'!F52:X662,2,)</f>
        <v>Morning</v>
      </c>
      <c r="H52" s="38" t="b">
        <f>VLOOKUP(G52,'Sheet A'!G52:Y662,2,)</f>
        <v>0</v>
      </c>
      <c r="I52" s="38">
        <f>VLOOKUP(H52,'Sheet A'!H52:Z662,2,)</f>
        <v>1</v>
      </c>
      <c r="J52" s="41" t="str">
        <f>VLOOKUP(I52,'Sheet A'!I52:AA662,2,)</f>
        <v>Sunday</v>
      </c>
      <c r="K52" s="38">
        <f>VLOOKUP(J52,'Sheet A'!J52:AB662,2,)</f>
        <v>1</v>
      </c>
      <c r="L52" s="38">
        <f>VLOOKUP(K52,'Sheet A'!K52:AC662,2,)</f>
        <v>0.16</v>
      </c>
      <c r="M52" s="70" t="str">
        <f>VLOOKUP(L52,'Sheet A'!L52:AD662,2,)</f>
        <v>Rainy</v>
      </c>
      <c r="N52" s="38">
        <f>VLOOKUP(M52,'Sheet A'!M52:AE662,2,)</f>
        <v>0.13639999999999999</v>
      </c>
      <c r="O52" s="38">
        <f>VLOOKUP(N52,'Sheet A'!N52:AF662,2,)</f>
        <v>0.47</v>
      </c>
      <c r="P52" s="38">
        <f>VLOOKUP(O52,'Sheet A'!O52:AG662,2,)</f>
        <v>0.28360000000000002</v>
      </c>
      <c r="Q52" s="38">
        <f>VLOOKUP(P52,'Sheet A'!P52:AH662,2,)</f>
        <v>0</v>
      </c>
      <c r="R52" s="38">
        <f>VLOOKUP(Q52,'Sheet A'!Q52:AI662,2,)</f>
        <v>3</v>
      </c>
      <c r="S52" s="38">
        <f>VLOOKUP(R52,'Sheet A'!R52:AJ662,2,)</f>
        <v>3</v>
      </c>
    </row>
    <row r="53" spans="1:19" x14ac:dyDescent="0.35">
      <c r="A53" s="37">
        <v>52</v>
      </c>
      <c r="B53" s="60">
        <f>VLOOKUP(A53,'Sheet A'!A53:S663,2,)</f>
        <v>40546</v>
      </c>
      <c r="C53" s="38">
        <f>VLOOKUP(B53,'Sheet A'!B53:T663,2,)</f>
        <v>1</v>
      </c>
      <c r="D53" s="38">
        <f>VLOOKUP(C53,'Sheet A'!C53:U663,2,)</f>
        <v>0</v>
      </c>
      <c r="E53" s="38">
        <f>VLOOKUP(D53,'Sheet A'!D53:V663,2,)</f>
        <v>1</v>
      </c>
      <c r="F53" s="38">
        <f>VLOOKUP(E53,'Sheet A'!E53:W663,2,)</f>
        <v>6</v>
      </c>
      <c r="G53" s="41" t="str">
        <f>VLOOKUP(F53,'Sheet A'!F53:X663,2,)</f>
        <v>Morning</v>
      </c>
      <c r="H53" s="38" t="b">
        <f>VLOOKUP(G53,'Sheet A'!G53:Y663,2,)</f>
        <v>0</v>
      </c>
      <c r="I53" s="38">
        <f>VLOOKUP(H53,'Sheet A'!H53:Z663,2,)</f>
        <v>1</v>
      </c>
      <c r="J53" s="41" t="str">
        <f>VLOOKUP(I53,'Sheet A'!I53:AA663,2,)</f>
        <v>Sunday</v>
      </c>
      <c r="K53" s="38">
        <f>VLOOKUP(J53,'Sheet A'!J53:AB663,2,)</f>
        <v>1</v>
      </c>
      <c r="L53" s="38">
        <f>VLOOKUP(K53,'Sheet A'!K53:AC663,2,)</f>
        <v>0.14000000000000001</v>
      </c>
      <c r="M53" s="70" t="str">
        <f>VLOOKUP(L53,'Sheet A'!L53:AD663,2,)</f>
        <v>Rainy</v>
      </c>
      <c r="N53" s="38">
        <f>VLOOKUP(M53,'Sheet A'!M53:AE663,2,)</f>
        <v>0.1061</v>
      </c>
      <c r="O53" s="38">
        <f>VLOOKUP(N53,'Sheet A'!N53:AF663,2,)</f>
        <v>0.5</v>
      </c>
      <c r="P53" s="38">
        <f>VLOOKUP(O53,'Sheet A'!O53:AG663,2,)</f>
        <v>0.3881</v>
      </c>
      <c r="Q53" s="38">
        <f>VLOOKUP(P53,'Sheet A'!P53:AH663,2,)</f>
        <v>0</v>
      </c>
      <c r="R53" s="38">
        <f>VLOOKUP(Q53,'Sheet A'!Q53:AI663,2,)</f>
        <v>30</v>
      </c>
      <c r="S53" s="38">
        <f>VLOOKUP(R53,'Sheet A'!R53:AJ663,2,)</f>
        <v>30</v>
      </c>
    </row>
    <row r="54" spans="1:19" x14ac:dyDescent="0.35">
      <c r="A54" s="37">
        <v>53</v>
      </c>
      <c r="B54" s="60">
        <f>VLOOKUP(A54,'Sheet A'!A54:S664,2,)</f>
        <v>40546</v>
      </c>
      <c r="C54" s="38">
        <f>VLOOKUP(B54,'Sheet A'!B54:T664,2,)</f>
        <v>1</v>
      </c>
      <c r="D54" s="38">
        <f>VLOOKUP(C54,'Sheet A'!C54:U664,2,)</f>
        <v>0</v>
      </c>
      <c r="E54" s="38">
        <f>VLOOKUP(D54,'Sheet A'!D54:V664,2,)</f>
        <v>1</v>
      </c>
      <c r="F54" s="38">
        <f>VLOOKUP(E54,'Sheet A'!E54:W664,2,)</f>
        <v>7</v>
      </c>
      <c r="G54" s="41" t="str">
        <f>VLOOKUP(F54,'Sheet A'!F54:X664,2,)</f>
        <v>Morning</v>
      </c>
      <c r="H54" s="38" t="b">
        <f>VLOOKUP(G54,'Sheet A'!G54:Y664,2,)</f>
        <v>0</v>
      </c>
      <c r="I54" s="38">
        <f>VLOOKUP(H54,'Sheet A'!H54:Z664,2,)</f>
        <v>1</v>
      </c>
      <c r="J54" s="41" t="str">
        <f>VLOOKUP(I54,'Sheet A'!I54:AA664,2,)</f>
        <v>Sunday</v>
      </c>
      <c r="K54" s="38">
        <f>VLOOKUP(J54,'Sheet A'!J54:AB664,2,)</f>
        <v>1</v>
      </c>
      <c r="L54" s="38">
        <f>VLOOKUP(K54,'Sheet A'!K54:AC664,2,)</f>
        <v>0.14000000000000001</v>
      </c>
      <c r="M54" s="70" t="str">
        <f>VLOOKUP(L54,'Sheet A'!L54:AD664,2,)</f>
        <v>Rainy</v>
      </c>
      <c r="N54" s="38">
        <f>VLOOKUP(M54,'Sheet A'!M54:AE664,2,)</f>
        <v>0.13639999999999999</v>
      </c>
      <c r="O54" s="38">
        <f>VLOOKUP(N54,'Sheet A'!N54:AF664,2,)</f>
        <v>0.5</v>
      </c>
      <c r="P54" s="38">
        <f>VLOOKUP(O54,'Sheet A'!O54:AG664,2,)</f>
        <v>0.19400000000000001</v>
      </c>
      <c r="Q54" s="38">
        <f>VLOOKUP(P54,'Sheet A'!P54:AH664,2,)</f>
        <v>1</v>
      </c>
      <c r="R54" s="38">
        <f>VLOOKUP(Q54,'Sheet A'!Q54:AI664,2,)</f>
        <v>63</v>
      </c>
      <c r="S54" s="38">
        <f>VLOOKUP(R54,'Sheet A'!R54:AJ664,2,)</f>
        <v>64</v>
      </c>
    </row>
    <row r="55" spans="1:19" x14ac:dyDescent="0.35">
      <c r="A55" s="37">
        <v>54</v>
      </c>
      <c r="B55" s="60">
        <f>VLOOKUP(A55,'Sheet A'!A55:S665,2,)</f>
        <v>40546</v>
      </c>
      <c r="C55" s="38">
        <f>VLOOKUP(B55,'Sheet A'!B55:T665,2,)</f>
        <v>1</v>
      </c>
      <c r="D55" s="38">
        <f>VLOOKUP(C55,'Sheet A'!C55:U665,2,)</f>
        <v>0</v>
      </c>
      <c r="E55" s="38">
        <f>VLOOKUP(D55,'Sheet A'!D55:V665,2,)</f>
        <v>1</v>
      </c>
      <c r="F55" s="38">
        <f>VLOOKUP(E55,'Sheet A'!E55:W665,2,)</f>
        <v>8</v>
      </c>
      <c r="G55" s="41" t="str">
        <f>VLOOKUP(F55,'Sheet A'!F55:X665,2,)</f>
        <v>Morning</v>
      </c>
      <c r="H55" s="38" t="b">
        <f>VLOOKUP(G55,'Sheet A'!G55:Y665,2,)</f>
        <v>0</v>
      </c>
      <c r="I55" s="38">
        <f>VLOOKUP(H55,'Sheet A'!H55:Z665,2,)</f>
        <v>1</v>
      </c>
      <c r="J55" s="41" t="str">
        <f>VLOOKUP(I55,'Sheet A'!I55:AA665,2,)</f>
        <v>Sunday</v>
      </c>
      <c r="K55" s="38">
        <f>VLOOKUP(J55,'Sheet A'!J55:AB665,2,)</f>
        <v>1</v>
      </c>
      <c r="L55" s="38">
        <f>VLOOKUP(K55,'Sheet A'!K55:AC665,2,)</f>
        <v>0.14000000000000001</v>
      </c>
      <c r="M55" s="70" t="str">
        <f>VLOOKUP(L55,'Sheet A'!L55:AD665,2,)</f>
        <v>Rainy</v>
      </c>
      <c r="N55" s="38">
        <f>VLOOKUP(M55,'Sheet A'!M55:AE665,2,)</f>
        <v>0.1212</v>
      </c>
      <c r="O55" s="38">
        <f>VLOOKUP(N55,'Sheet A'!N55:AF665,2,)</f>
        <v>0.5</v>
      </c>
      <c r="P55" s="38">
        <f>VLOOKUP(O55,'Sheet A'!O55:AG665,2,)</f>
        <v>0.28360000000000002</v>
      </c>
      <c r="Q55" s="38">
        <f>VLOOKUP(P55,'Sheet A'!P55:AH665,2,)</f>
        <v>1</v>
      </c>
      <c r="R55" s="38">
        <f>VLOOKUP(Q55,'Sheet A'!Q55:AI665,2,)</f>
        <v>153</v>
      </c>
      <c r="S55" s="38">
        <f>VLOOKUP(R55,'Sheet A'!R55:AJ665,2,)</f>
        <v>154</v>
      </c>
    </row>
    <row r="56" spans="1:19" x14ac:dyDescent="0.35">
      <c r="A56" s="37">
        <v>55</v>
      </c>
      <c r="B56" s="60">
        <f>VLOOKUP(A56,'Sheet A'!A56:S666,2,)</f>
        <v>40546</v>
      </c>
      <c r="C56" s="38">
        <f>VLOOKUP(B56,'Sheet A'!B56:T666,2,)</f>
        <v>1</v>
      </c>
      <c r="D56" s="38">
        <f>VLOOKUP(C56,'Sheet A'!C56:U666,2,)</f>
        <v>0</v>
      </c>
      <c r="E56" s="38">
        <f>VLOOKUP(D56,'Sheet A'!D56:V666,2,)</f>
        <v>1</v>
      </c>
      <c r="F56" s="38">
        <f>VLOOKUP(E56,'Sheet A'!E56:W666,2,)</f>
        <v>9</v>
      </c>
      <c r="G56" s="41" t="str">
        <f>VLOOKUP(F56,'Sheet A'!F56:X666,2,)</f>
        <v>Morning</v>
      </c>
      <c r="H56" s="38" t="b">
        <f>VLOOKUP(G56,'Sheet A'!G56:Y666,2,)</f>
        <v>0</v>
      </c>
      <c r="I56" s="38">
        <f>VLOOKUP(H56,'Sheet A'!H56:Z666,2,)</f>
        <v>1</v>
      </c>
      <c r="J56" s="41" t="str">
        <f>VLOOKUP(I56,'Sheet A'!I56:AA666,2,)</f>
        <v>Sunday</v>
      </c>
      <c r="K56" s="38">
        <f>VLOOKUP(J56,'Sheet A'!J56:AB666,2,)</f>
        <v>1</v>
      </c>
      <c r="L56" s="38">
        <f>VLOOKUP(K56,'Sheet A'!K56:AC666,2,)</f>
        <v>0.16</v>
      </c>
      <c r="M56" s="70" t="str">
        <f>VLOOKUP(L56,'Sheet A'!L56:AD666,2,)</f>
        <v>Rainy</v>
      </c>
      <c r="N56" s="38">
        <f>VLOOKUP(M56,'Sheet A'!M56:AE666,2,)</f>
        <v>0.13639999999999999</v>
      </c>
      <c r="O56" s="38">
        <f>VLOOKUP(N56,'Sheet A'!N56:AF666,2,)</f>
        <v>0.43</v>
      </c>
      <c r="P56" s="38">
        <f>VLOOKUP(O56,'Sheet A'!O56:AG666,2,)</f>
        <v>0.3881</v>
      </c>
      <c r="Q56" s="38">
        <f>VLOOKUP(P56,'Sheet A'!P56:AH666,2,)</f>
        <v>7</v>
      </c>
      <c r="R56" s="38">
        <f>VLOOKUP(Q56,'Sheet A'!Q56:AI666,2,)</f>
        <v>81</v>
      </c>
      <c r="S56" s="38">
        <f>VLOOKUP(R56,'Sheet A'!R56:AJ666,2,)</f>
        <v>88</v>
      </c>
    </row>
    <row r="57" spans="1:19" x14ac:dyDescent="0.35">
      <c r="A57" s="37">
        <v>56</v>
      </c>
      <c r="B57" s="60">
        <f>VLOOKUP(A57,'Sheet A'!A57:S667,2,)</f>
        <v>40546</v>
      </c>
      <c r="C57" s="38">
        <f>VLOOKUP(B57,'Sheet A'!B57:T667,2,)</f>
        <v>1</v>
      </c>
      <c r="D57" s="38">
        <f>VLOOKUP(C57,'Sheet A'!C57:U667,2,)</f>
        <v>0</v>
      </c>
      <c r="E57" s="38">
        <f>VLOOKUP(D57,'Sheet A'!D57:V667,2,)</f>
        <v>1</v>
      </c>
      <c r="F57" s="38">
        <f>VLOOKUP(E57,'Sheet A'!E57:W667,2,)</f>
        <v>10</v>
      </c>
      <c r="G57" s="41" t="str">
        <f>VLOOKUP(F57,'Sheet A'!F57:X667,2,)</f>
        <v>Morning</v>
      </c>
      <c r="H57" s="38" t="b">
        <f>VLOOKUP(G57,'Sheet A'!G57:Y667,2,)</f>
        <v>0</v>
      </c>
      <c r="I57" s="38">
        <f>VLOOKUP(H57,'Sheet A'!H57:Z667,2,)</f>
        <v>1</v>
      </c>
      <c r="J57" s="41" t="str">
        <f>VLOOKUP(I57,'Sheet A'!I57:AA667,2,)</f>
        <v>Sunday</v>
      </c>
      <c r="K57" s="38">
        <f>VLOOKUP(J57,'Sheet A'!J57:AB667,2,)</f>
        <v>1</v>
      </c>
      <c r="L57" s="38">
        <f>VLOOKUP(K57,'Sheet A'!K57:AC667,2,)</f>
        <v>0.18</v>
      </c>
      <c r="M57" s="70" t="str">
        <f>VLOOKUP(L57,'Sheet A'!L57:AD667,2,)</f>
        <v>Rainy</v>
      </c>
      <c r="N57" s="38">
        <f>VLOOKUP(M57,'Sheet A'!M57:AE667,2,)</f>
        <v>0.16669999999999999</v>
      </c>
      <c r="O57" s="38">
        <f>VLOOKUP(N57,'Sheet A'!N57:AF667,2,)</f>
        <v>0.43</v>
      </c>
      <c r="P57" s="38">
        <f>VLOOKUP(O57,'Sheet A'!O57:AG667,2,)</f>
        <v>0.25369999999999998</v>
      </c>
      <c r="Q57" s="38">
        <f>VLOOKUP(P57,'Sheet A'!P57:AH667,2,)</f>
        <v>11</v>
      </c>
      <c r="R57" s="38">
        <f>VLOOKUP(Q57,'Sheet A'!Q57:AI667,2,)</f>
        <v>33</v>
      </c>
      <c r="S57" s="38">
        <f>VLOOKUP(R57,'Sheet A'!R57:AJ667,2,)</f>
        <v>44</v>
      </c>
    </row>
    <row r="58" spans="1:19" x14ac:dyDescent="0.35">
      <c r="A58" s="37">
        <v>57</v>
      </c>
      <c r="B58" s="60">
        <f>VLOOKUP(A58,'Sheet A'!A58:S668,2,)</f>
        <v>40546</v>
      </c>
      <c r="C58" s="38">
        <f>VLOOKUP(B58,'Sheet A'!B58:T668,2,)</f>
        <v>1</v>
      </c>
      <c r="D58" s="38">
        <f>VLOOKUP(C58,'Sheet A'!C58:U668,2,)</f>
        <v>0</v>
      </c>
      <c r="E58" s="38">
        <f>VLOOKUP(D58,'Sheet A'!D58:V668,2,)</f>
        <v>1</v>
      </c>
      <c r="F58" s="38">
        <f>VLOOKUP(E58,'Sheet A'!E58:W668,2,)</f>
        <v>11</v>
      </c>
      <c r="G58" s="41" t="str">
        <f>VLOOKUP(F58,'Sheet A'!F58:X668,2,)</f>
        <v>Morning</v>
      </c>
      <c r="H58" s="38" t="b">
        <f>VLOOKUP(G58,'Sheet A'!G58:Y668,2,)</f>
        <v>0</v>
      </c>
      <c r="I58" s="38">
        <f>VLOOKUP(H58,'Sheet A'!H58:Z668,2,)</f>
        <v>1</v>
      </c>
      <c r="J58" s="41" t="str">
        <f>VLOOKUP(I58,'Sheet A'!I58:AA668,2,)</f>
        <v>Sunday</v>
      </c>
      <c r="K58" s="38">
        <f>VLOOKUP(J58,'Sheet A'!J58:AB668,2,)</f>
        <v>1</v>
      </c>
      <c r="L58" s="38">
        <f>VLOOKUP(K58,'Sheet A'!K58:AC668,2,)</f>
        <v>0.2</v>
      </c>
      <c r="M58" s="70" t="str">
        <f>VLOOKUP(L58,'Sheet A'!L58:AD668,2,)</f>
        <v>Rainy</v>
      </c>
      <c r="N58" s="38">
        <f>VLOOKUP(M58,'Sheet A'!M58:AE668,2,)</f>
        <v>0.18179999999999999</v>
      </c>
      <c r="O58" s="38">
        <f>VLOOKUP(N58,'Sheet A'!N58:AF668,2,)</f>
        <v>0.4</v>
      </c>
      <c r="P58" s="38">
        <f>VLOOKUP(O58,'Sheet A'!O58:AG668,2,)</f>
        <v>0.32840000000000003</v>
      </c>
      <c r="Q58" s="38">
        <f>VLOOKUP(P58,'Sheet A'!P58:AH668,2,)</f>
        <v>10</v>
      </c>
      <c r="R58" s="38">
        <f>VLOOKUP(Q58,'Sheet A'!Q58:AI668,2,)</f>
        <v>41</v>
      </c>
      <c r="S58" s="38">
        <f>VLOOKUP(R58,'Sheet A'!R58:AJ668,2,)</f>
        <v>51</v>
      </c>
    </row>
    <row r="59" spans="1:19" x14ac:dyDescent="0.35">
      <c r="A59" s="37">
        <v>58</v>
      </c>
      <c r="B59" s="60">
        <f>VLOOKUP(A59,'Sheet A'!A59:S669,2,)</f>
        <v>40546</v>
      </c>
      <c r="C59" s="38">
        <f>VLOOKUP(B59,'Sheet A'!B59:T669,2,)</f>
        <v>1</v>
      </c>
      <c r="D59" s="38">
        <f>VLOOKUP(C59,'Sheet A'!C59:U669,2,)</f>
        <v>0</v>
      </c>
      <c r="E59" s="38">
        <f>VLOOKUP(D59,'Sheet A'!D59:V669,2,)</f>
        <v>1</v>
      </c>
      <c r="F59" s="38">
        <f>VLOOKUP(E59,'Sheet A'!E59:W669,2,)</f>
        <v>12</v>
      </c>
      <c r="G59" s="41" t="str">
        <f>VLOOKUP(F59,'Sheet A'!F59:X669,2,)</f>
        <v>AfterNoon</v>
      </c>
      <c r="H59" s="38" t="b">
        <f>VLOOKUP(G59,'Sheet A'!G59:Y669,2,)</f>
        <v>0</v>
      </c>
      <c r="I59" s="38">
        <f>VLOOKUP(H59,'Sheet A'!H59:Z669,2,)</f>
        <v>1</v>
      </c>
      <c r="J59" s="41" t="str">
        <f>VLOOKUP(I59,'Sheet A'!I59:AA669,2,)</f>
        <v>Sunday</v>
      </c>
      <c r="K59" s="38">
        <f>VLOOKUP(J59,'Sheet A'!J59:AB669,2,)</f>
        <v>1</v>
      </c>
      <c r="L59" s="38">
        <f>VLOOKUP(K59,'Sheet A'!K59:AC669,2,)</f>
        <v>0.22</v>
      </c>
      <c r="M59" s="70" t="str">
        <f>VLOOKUP(L59,'Sheet A'!L59:AD669,2,)</f>
        <v>Cloudy</v>
      </c>
      <c r="N59" s="38">
        <f>VLOOKUP(M59,'Sheet A'!M59:AE669,2,)</f>
        <v>0.21210000000000001</v>
      </c>
      <c r="O59" s="38">
        <f>VLOOKUP(N59,'Sheet A'!N59:AF669,2,)</f>
        <v>0.35</v>
      </c>
      <c r="P59" s="38">
        <f>VLOOKUP(O59,'Sheet A'!O59:AG669,2,)</f>
        <v>0.29849999999999999</v>
      </c>
      <c r="Q59" s="38">
        <f>VLOOKUP(P59,'Sheet A'!P59:AH669,2,)</f>
        <v>13</v>
      </c>
      <c r="R59" s="38">
        <f>VLOOKUP(Q59,'Sheet A'!Q59:AI669,2,)</f>
        <v>48</v>
      </c>
      <c r="S59" s="38">
        <f>VLOOKUP(R59,'Sheet A'!R59:AJ669,2,)</f>
        <v>61</v>
      </c>
    </row>
    <row r="60" spans="1:19" x14ac:dyDescent="0.35">
      <c r="A60" s="37">
        <v>59</v>
      </c>
      <c r="B60" s="60">
        <f>VLOOKUP(A60,'Sheet A'!A60:S670,2,)</f>
        <v>40546</v>
      </c>
      <c r="C60" s="38">
        <f>VLOOKUP(B60,'Sheet A'!B60:T670,2,)</f>
        <v>1</v>
      </c>
      <c r="D60" s="38">
        <f>VLOOKUP(C60,'Sheet A'!C60:U670,2,)</f>
        <v>0</v>
      </c>
      <c r="E60" s="38">
        <f>VLOOKUP(D60,'Sheet A'!D60:V670,2,)</f>
        <v>1</v>
      </c>
      <c r="F60" s="38">
        <f>VLOOKUP(E60,'Sheet A'!E60:W670,2,)</f>
        <v>13</v>
      </c>
      <c r="G60" s="41" t="str">
        <f>VLOOKUP(F60,'Sheet A'!F60:X670,2,)</f>
        <v>AfterNoon</v>
      </c>
      <c r="H60" s="38" t="b">
        <f>VLOOKUP(G60,'Sheet A'!G60:Y670,2,)</f>
        <v>0</v>
      </c>
      <c r="I60" s="38">
        <f>VLOOKUP(H60,'Sheet A'!H60:Z670,2,)</f>
        <v>1</v>
      </c>
      <c r="J60" s="41" t="str">
        <f>VLOOKUP(I60,'Sheet A'!I60:AA670,2,)</f>
        <v>Sunday</v>
      </c>
      <c r="K60" s="38">
        <f>VLOOKUP(J60,'Sheet A'!J60:AB670,2,)</f>
        <v>1</v>
      </c>
      <c r="L60" s="38">
        <f>VLOOKUP(K60,'Sheet A'!K60:AC670,2,)</f>
        <v>0.24</v>
      </c>
      <c r="M60" s="70" t="str">
        <f>VLOOKUP(L60,'Sheet A'!L60:AD670,2,)</f>
        <v>Cloudy</v>
      </c>
      <c r="N60" s="38">
        <f>VLOOKUP(M60,'Sheet A'!M60:AE670,2,)</f>
        <v>0.22725000000000001</v>
      </c>
      <c r="O60" s="38">
        <f>VLOOKUP(N60,'Sheet A'!N60:AF670,2,)</f>
        <v>0.35</v>
      </c>
      <c r="P60" s="38">
        <f>VLOOKUP(O60,'Sheet A'!O60:AG670,2,)</f>
        <v>0.28360000000000002</v>
      </c>
      <c r="Q60" s="38">
        <f>VLOOKUP(P60,'Sheet A'!P60:AH670,2,)</f>
        <v>8</v>
      </c>
      <c r="R60" s="38">
        <f>VLOOKUP(Q60,'Sheet A'!Q60:AI670,2,)</f>
        <v>53</v>
      </c>
      <c r="S60" s="38">
        <f>VLOOKUP(R60,'Sheet A'!R60:AJ670,2,)</f>
        <v>61</v>
      </c>
    </row>
    <row r="61" spans="1:19" x14ac:dyDescent="0.35">
      <c r="A61" s="37">
        <v>60</v>
      </c>
      <c r="B61" s="60">
        <f>VLOOKUP(A61,'Sheet A'!A61:S671,2,)</f>
        <v>40546</v>
      </c>
      <c r="C61" s="38">
        <f>VLOOKUP(B61,'Sheet A'!B61:T671,2,)</f>
        <v>1</v>
      </c>
      <c r="D61" s="38">
        <f>VLOOKUP(C61,'Sheet A'!C61:U671,2,)</f>
        <v>0</v>
      </c>
      <c r="E61" s="38">
        <f>VLOOKUP(D61,'Sheet A'!D61:V671,2,)</f>
        <v>1</v>
      </c>
      <c r="F61" s="38">
        <f>VLOOKUP(E61,'Sheet A'!E61:W671,2,)</f>
        <v>14</v>
      </c>
      <c r="G61" s="41" t="str">
        <f>VLOOKUP(F61,'Sheet A'!F61:X671,2,)</f>
        <v>AfterNoon</v>
      </c>
      <c r="H61" s="38" t="b">
        <f>VLOOKUP(G61,'Sheet A'!G61:Y671,2,)</f>
        <v>0</v>
      </c>
      <c r="I61" s="38">
        <f>VLOOKUP(H61,'Sheet A'!H61:Z671,2,)</f>
        <v>1</v>
      </c>
      <c r="J61" s="41" t="str">
        <f>VLOOKUP(I61,'Sheet A'!I61:AA671,2,)</f>
        <v>Sunday</v>
      </c>
      <c r="K61" s="38">
        <f>VLOOKUP(J61,'Sheet A'!J61:AB671,2,)</f>
        <v>1</v>
      </c>
      <c r="L61" s="38">
        <f>VLOOKUP(K61,'Sheet A'!K61:AC671,2,)</f>
        <v>0.26</v>
      </c>
      <c r="M61" s="70" t="str">
        <f>VLOOKUP(L61,'Sheet A'!L61:AD671,2,)</f>
        <v>Cloudy</v>
      </c>
      <c r="N61" s="38">
        <f>VLOOKUP(M61,'Sheet A'!M61:AE671,2,)</f>
        <v>0.2424</v>
      </c>
      <c r="O61" s="38">
        <f>VLOOKUP(N61,'Sheet A'!N61:AF671,2,)</f>
        <v>0.3</v>
      </c>
      <c r="P61" s="38">
        <f>VLOOKUP(O61,'Sheet A'!O61:AG671,2,)</f>
        <v>0.28360000000000002</v>
      </c>
      <c r="Q61" s="38">
        <f>VLOOKUP(P61,'Sheet A'!P61:AH671,2,)</f>
        <v>11</v>
      </c>
      <c r="R61" s="38">
        <f>VLOOKUP(Q61,'Sheet A'!Q61:AI671,2,)</f>
        <v>66</v>
      </c>
      <c r="S61" s="38">
        <f>VLOOKUP(R61,'Sheet A'!R61:AJ671,2,)</f>
        <v>77</v>
      </c>
    </row>
    <row r="62" spans="1:19" x14ac:dyDescent="0.35">
      <c r="A62" s="37">
        <v>61</v>
      </c>
      <c r="B62" s="60">
        <f>VLOOKUP(A62,'Sheet A'!A62:S672,2,)</f>
        <v>40546</v>
      </c>
      <c r="C62" s="38">
        <f>VLOOKUP(B62,'Sheet A'!B62:T672,2,)</f>
        <v>1</v>
      </c>
      <c r="D62" s="38">
        <f>VLOOKUP(C62,'Sheet A'!C62:U672,2,)</f>
        <v>0</v>
      </c>
      <c r="E62" s="38">
        <f>VLOOKUP(D62,'Sheet A'!D62:V672,2,)</f>
        <v>1</v>
      </c>
      <c r="F62" s="38">
        <f>VLOOKUP(E62,'Sheet A'!E62:W672,2,)</f>
        <v>15</v>
      </c>
      <c r="G62" s="41" t="str">
        <f>VLOOKUP(F62,'Sheet A'!F62:X672,2,)</f>
        <v>AfterNoon</v>
      </c>
      <c r="H62" s="38" t="b">
        <f>VLOOKUP(G62,'Sheet A'!G62:Y672,2,)</f>
        <v>0</v>
      </c>
      <c r="I62" s="38">
        <f>VLOOKUP(H62,'Sheet A'!H62:Z672,2,)</f>
        <v>1</v>
      </c>
      <c r="J62" s="41" t="str">
        <f>VLOOKUP(I62,'Sheet A'!I62:AA672,2,)</f>
        <v>Sunday</v>
      </c>
      <c r="K62" s="38">
        <f>VLOOKUP(J62,'Sheet A'!J62:AB672,2,)</f>
        <v>1</v>
      </c>
      <c r="L62" s="38">
        <f>VLOOKUP(K62,'Sheet A'!K62:AC672,2,)</f>
        <v>0.26</v>
      </c>
      <c r="M62" s="70" t="str">
        <f>VLOOKUP(L62,'Sheet A'!L62:AD672,2,)</f>
        <v>Cloudy</v>
      </c>
      <c r="N62" s="38">
        <f>VLOOKUP(M62,'Sheet A'!M62:AE672,2,)</f>
        <v>0.2424</v>
      </c>
      <c r="O62" s="38">
        <f>VLOOKUP(N62,'Sheet A'!N62:AF672,2,)</f>
        <v>0.3</v>
      </c>
      <c r="P62" s="38">
        <f>VLOOKUP(O62,'Sheet A'!O62:AG672,2,)</f>
        <v>0.25369999999999998</v>
      </c>
      <c r="Q62" s="38">
        <f>VLOOKUP(P62,'Sheet A'!P62:AH672,2,)</f>
        <v>14</v>
      </c>
      <c r="R62" s="38">
        <f>VLOOKUP(Q62,'Sheet A'!Q62:AI672,2,)</f>
        <v>58</v>
      </c>
      <c r="S62" s="38">
        <f>VLOOKUP(R62,'Sheet A'!R62:AJ672,2,)</f>
        <v>72</v>
      </c>
    </row>
    <row r="63" spans="1:19" x14ac:dyDescent="0.35">
      <c r="A63" s="37">
        <v>62</v>
      </c>
      <c r="B63" s="60">
        <f>VLOOKUP(A63,'Sheet A'!A63:S673,2,)</f>
        <v>40546</v>
      </c>
      <c r="C63" s="38">
        <f>VLOOKUP(B63,'Sheet A'!B63:T673,2,)</f>
        <v>1</v>
      </c>
      <c r="D63" s="38">
        <f>VLOOKUP(C63,'Sheet A'!C63:U673,2,)</f>
        <v>0</v>
      </c>
      <c r="E63" s="38">
        <f>VLOOKUP(D63,'Sheet A'!D63:V673,2,)</f>
        <v>1</v>
      </c>
      <c r="F63" s="38">
        <f>VLOOKUP(E63,'Sheet A'!E63:W673,2,)</f>
        <v>16</v>
      </c>
      <c r="G63" s="41" t="str">
        <f>VLOOKUP(F63,'Sheet A'!F63:X673,2,)</f>
        <v>AfterNoon</v>
      </c>
      <c r="H63" s="38" t="b">
        <f>VLOOKUP(G63,'Sheet A'!G63:Y673,2,)</f>
        <v>0</v>
      </c>
      <c r="I63" s="38">
        <f>VLOOKUP(H63,'Sheet A'!H63:Z673,2,)</f>
        <v>1</v>
      </c>
      <c r="J63" s="41" t="str">
        <f>VLOOKUP(I63,'Sheet A'!I63:AA673,2,)</f>
        <v>Sunday</v>
      </c>
      <c r="K63" s="38">
        <f>VLOOKUP(J63,'Sheet A'!J63:AB673,2,)</f>
        <v>1</v>
      </c>
      <c r="L63" s="38">
        <f>VLOOKUP(K63,'Sheet A'!K63:AC673,2,)</f>
        <v>0.26</v>
      </c>
      <c r="M63" s="70" t="str">
        <f>VLOOKUP(L63,'Sheet A'!L63:AD673,2,)</f>
        <v>Cloudy</v>
      </c>
      <c r="N63" s="38">
        <f>VLOOKUP(M63,'Sheet A'!M63:AE673,2,)</f>
        <v>0.2424</v>
      </c>
      <c r="O63" s="38">
        <f>VLOOKUP(N63,'Sheet A'!N63:AF673,2,)</f>
        <v>0.3</v>
      </c>
      <c r="P63" s="38">
        <f>VLOOKUP(O63,'Sheet A'!O63:AG673,2,)</f>
        <v>0.25369999999999998</v>
      </c>
      <c r="Q63" s="38">
        <f>VLOOKUP(P63,'Sheet A'!P63:AH673,2,)</f>
        <v>9</v>
      </c>
      <c r="R63" s="38">
        <f>VLOOKUP(Q63,'Sheet A'!Q63:AI673,2,)</f>
        <v>67</v>
      </c>
      <c r="S63" s="38">
        <f>VLOOKUP(R63,'Sheet A'!R63:AJ673,2,)</f>
        <v>76</v>
      </c>
    </row>
    <row r="64" spans="1:19" x14ac:dyDescent="0.35">
      <c r="A64" s="37">
        <v>63</v>
      </c>
      <c r="B64" s="60">
        <f>VLOOKUP(A64,'Sheet A'!A64:S674,2,)</f>
        <v>40546</v>
      </c>
      <c r="C64" s="38">
        <f>VLOOKUP(B64,'Sheet A'!B64:T674,2,)</f>
        <v>1</v>
      </c>
      <c r="D64" s="38">
        <f>VLOOKUP(C64,'Sheet A'!C64:U674,2,)</f>
        <v>0</v>
      </c>
      <c r="E64" s="38">
        <f>VLOOKUP(D64,'Sheet A'!D64:V674,2,)</f>
        <v>1</v>
      </c>
      <c r="F64" s="38">
        <f>VLOOKUP(E64,'Sheet A'!E64:W674,2,)</f>
        <v>17</v>
      </c>
      <c r="G64" s="41" t="str">
        <f>VLOOKUP(F64,'Sheet A'!F64:X674,2,)</f>
        <v>Evening</v>
      </c>
      <c r="H64" s="38" t="b">
        <f>VLOOKUP(G64,'Sheet A'!G64:Y674,2,)</f>
        <v>0</v>
      </c>
      <c r="I64" s="38">
        <f>VLOOKUP(H64,'Sheet A'!H64:Z674,2,)</f>
        <v>1</v>
      </c>
      <c r="J64" s="41" t="str">
        <f>VLOOKUP(I64,'Sheet A'!I64:AA674,2,)</f>
        <v>Sunday</v>
      </c>
      <c r="K64" s="38">
        <f>VLOOKUP(J64,'Sheet A'!J64:AB674,2,)</f>
        <v>1</v>
      </c>
      <c r="L64" s="38">
        <f>VLOOKUP(K64,'Sheet A'!K64:AC674,2,)</f>
        <v>0.24</v>
      </c>
      <c r="M64" s="70" t="str">
        <f>VLOOKUP(L64,'Sheet A'!L64:AD674,2,)</f>
        <v>Cloudy</v>
      </c>
      <c r="N64" s="38">
        <f>VLOOKUP(M64,'Sheet A'!M64:AE674,2,)</f>
        <v>0.2273</v>
      </c>
      <c r="O64" s="38">
        <f>VLOOKUP(N64,'Sheet A'!N64:AF674,2,)</f>
        <v>0.3</v>
      </c>
      <c r="P64" s="38">
        <f>VLOOKUP(O64,'Sheet A'!O64:AG674,2,)</f>
        <v>0.22389999999999999</v>
      </c>
      <c r="Q64" s="38">
        <f>VLOOKUP(P64,'Sheet A'!P64:AH674,2,)</f>
        <v>11</v>
      </c>
      <c r="R64" s="38">
        <f>VLOOKUP(Q64,'Sheet A'!Q64:AI674,2,)</f>
        <v>146</v>
      </c>
      <c r="S64" s="38">
        <f>VLOOKUP(R64,'Sheet A'!R64:AJ674,2,)</f>
        <v>157</v>
      </c>
    </row>
    <row r="65" spans="1:19" x14ac:dyDescent="0.35">
      <c r="A65" s="37">
        <v>64</v>
      </c>
      <c r="B65" s="60">
        <f>VLOOKUP(A65,'Sheet A'!A65:S675,2,)</f>
        <v>40546</v>
      </c>
      <c r="C65" s="38">
        <f>VLOOKUP(B65,'Sheet A'!B65:T675,2,)</f>
        <v>1</v>
      </c>
      <c r="D65" s="38">
        <f>VLOOKUP(C65,'Sheet A'!C65:U675,2,)</f>
        <v>0</v>
      </c>
      <c r="E65" s="38">
        <f>VLOOKUP(D65,'Sheet A'!D65:V675,2,)</f>
        <v>1</v>
      </c>
      <c r="F65" s="38">
        <f>VLOOKUP(E65,'Sheet A'!E65:W675,2,)</f>
        <v>18</v>
      </c>
      <c r="G65" s="41" t="str">
        <f>VLOOKUP(F65,'Sheet A'!F65:X675,2,)</f>
        <v>Evening</v>
      </c>
      <c r="H65" s="38" t="b">
        <f>VLOOKUP(G65,'Sheet A'!G65:Y675,2,)</f>
        <v>0</v>
      </c>
      <c r="I65" s="38">
        <f>VLOOKUP(H65,'Sheet A'!H65:Z675,2,)</f>
        <v>1</v>
      </c>
      <c r="J65" s="41" t="str">
        <f>VLOOKUP(I65,'Sheet A'!I65:AA675,2,)</f>
        <v>Sunday</v>
      </c>
      <c r="K65" s="38">
        <f>VLOOKUP(J65,'Sheet A'!J65:AB675,2,)</f>
        <v>1</v>
      </c>
      <c r="L65" s="38">
        <f>VLOOKUP(K65,'Sheet A'!K65:AC675,2,)</f>
        <v>0.24</v>
      </c>
      <c r="M65" s="70" t="str">
        <f>VLOOKUP(L65,'Sheet A'!L65:AD675,2,)</f>
        <v>Cloudy</v>
      </c>
      <c r="N65" s="38">
        <f>VLOOKUP(M65,'Sheet A'!M65:AE675,2,)</f>
        <v>0.2576</v>
      </c>
      <c r="O65" s="38">
        <f>VLOOKUP(N65,'Sheet A'!N65:AF675,2,)</f>
        <v>0.32</v>
      </c>
      <c r="P65" s="38">
        <f>VLOOKUP(O65,'Sheet A'!O65:AG675,2,)</f>
        <v>0.1045</v>
      </c>
      <c r="Q65" s="38">
        <f>VLOOKUP(P65,'Sheet A'!P65:AH675,2,)</f>
        <v>9</v>
      </c>
      <c r="R65" s="38">
        <f>VLOOKUP(Q65,'Sheet A'!Q65:AI675,2,)</f>
        <v>148</v>
      </c>
      <c r="S65" s="38">
        <f>VLOOKUP(R65,'Sheet A'!R65:AJ675,2,)</f>
        <v>157</v>
      </c>
    </row>
    <row r="66" spans="1:19" x14ac:dyDescent="0.35">
      <c r="A66" s="37">
        <v>65</v>
      </c>
      <c r="B66" s="60">
        <f>VLOOKUP(A66,'Sheet A'!A66:S676,2,)</f>
        <v>40546</v>
      </c>
      <c r="C66" s="38">
        <f>VLOOKUP(B66,'Sheet A'!B66:T676,2,)</f>
        <v>1</v>
      </c>
      <c r="D66" s="38">
        <f>VLOOKUP(C66,'Sheet A'!C66:U676,2,)</f>
        <v>0</v>
      </c>
      <c r="E66" s="38">
        <f>VLOOKUP(D66,'Sheet A'!D66:V676,2,)</f>
        <v>1</v>
      </c>
      <c r="F66" s="38">
        <f>VLOOKUP(E66,'Sheet A'!E66:W676,2,)</f>
        <v>19</v>
      </c>
      <c r="G66" s="41" t="str">
        <f>VLOOKUP(F66,'Sheet A'!F66:X676,2,)</f>
        <v>Evening</v>
      </c>
      <c r="H66" s="38" t="b">
        <f>VLOOKUP(G66,'Sheet A'!G66:Y676,2,)</f>
        <v>0</v>
      </c>
      <c r="I66" s="38">
        <f>VLOOKUP(H66,'Sheet A'!H66:Z676,2,)</f>
        <v>1</v>
      </c>
      <c r="J66" s="41" t="str">
        <f>VLOOKUP(I66,'Sheet A'!I66:AA676,2,)</f>
        <v>Sunday</v>
      </c>
      <c r="K66" s="38">
        <f>VLOOKUP(J66,'Sheet A'!J66:AB676,2,)</f>
        <v>1</v>
      </c>
      <c r="L66" s="38">
        <f>VLOOKUP(K66,'Sheet A'!K66:AC676,2,)</f>
        <v>0.2</v>
      </c>
      <c r="M66" s="70" t="str">
        <f>VLOOKUP(L66,'Sheet A'!L66:AD676,2,)</f>
        <v>Rainy</v>
      </c>
      <c r="N66" s="38">
        <f>VLOOKUP(M66,'Sheet A'!M66:AE676,2,)</f>
        <v>0.2576</v>
      </c>
      <c r="O66" s="38">
        <f>VLOOKUP(N66,'Sheet A'!N66:AF676,2,)</f>
        <v>0.47</v>
      </c>
      <c r="P66" s="38">
        <f>VLOOKUP(O66,'Sheet A'!O66:AG676,2,)</f>
        <v>0</v>
      </c>
      <c r="Q66" s="38">
        <f>VLOOKUP(P66,'Sheet A'!P66:AH676,2,)</f>
        <v>8</v>
      </c>
      <c r="R66" s="38">
        <f>VLOOKUP(Q66,'Sheet A'!Q66:AI676,2,)</f>
        <v>102</v>
      </c>
      <c r="S66" s="38">
        <f>VLOOKUP(R66,'Sheet A'!R66:AJ676,2,)</f>
        <v>110</v>
      </c>
    </row>
    <row r="67" spans="1:19" x14ac:dyDescent="0.35">
      <c r="A67" s="37">
        <v>66</v>
      </c>
      <c r="B67" s="60">
        <f>VLOOKUP(A67,'Sheet A'!A67:S677,2,)</f>
        <v>40546</v>
      </c>
      <c r="C67" s="38">
        <f>VLOOKUP(B67,'Sheet A'!B67:T677,2,)</f>
        <v>1</v>
      </c>
      <c r="D67" s="38">
        <f>VLOOKUP(C67,'Sheet A'!C67:U677,2,)</f>
        <v>0</v>
      </c>
      <c r="E67" s="38">
        <f>VLOOKUP(D67,'Sheet A'!D67:V677,2,)</f>
        <v>1</v>
      </c>
      <c r="F67" s="38">
        <f>VLOOKUP(E67,'Sheet A'!E67:W677,2,)</f>
        <v>20</v>
      </c>
      <c r="G67" s="41" t="str">
        <f>VLOOKUP(F67,'Sheet A'!F67:X677,2,)</f>
        <v>Night</v>
      </c>
      <c r="H67" s="38" t="b">
        <f>VLOOKUP(G67,'Sheet A'!G67:Y677,2,)</f>
        <v>0</v>
      </c>
      <c r="I67" s="38">
        <f>VLOOKUP(H67,'Sheet A'!H67:Z677,2,)</f>
        <v>1</v>
      </c>
      <c r="J67" s="41" t="str">
        <f>VLOOKUP(I67,'Sheet A'!I67:AA677,2,)</f>
        <v>Sunday</v>
      </c>
      <c r="K67" s="38">
        <f>VLOOKUP(J67,'Sheet A'!J67:AB677,2,)</f>
        <v>1</v>
      </c>
      <c r="L67" s="38">
        <f>VLOOKUP(K67,'Sheet A'!K67:AC677,2,)</f>
        <v>0.2</v>
      </c>
      <c r="M67" s="70" t="str">
        <f>VLOOKUP(L67,'Sheet A'!L67:AD677,2,)</f>
        <v>Rainy</v>
      </c>
      <c r="N67" s="38">
        <f>VLOOKUP(M67,'Sheet A'!M67:AE677,2,)</f>
        <v>0.2273</v>
      </c>
      <c r="O67" s="38">
        <f>VLOOKUP(N67,'Sheet A'!N67:AF677,2,)</f>
        <v>0.47</v>
      </c>
      <c r="P67" s="38">
        <f>VLOOKUP(O67,'Sheet A'!O67:AG677,2,)</f>
        <v>0.1045</v>
      </c>
      <c r="Q67" s="38">
        <f>VLOOKUP(P67,'Sheet A'!P67:AH677,2,)</f>
        <v>3</v>
      </c>
      <c r="R67" s="38">
        <f>VLOOKUP(Q67,'Sheet A'!Q67:AI677,2,)</f>
        <v>49</v>
      </c>
      <c r="S67" s="38">
        <f>VLOOKUP(R67,'Sheet A'!R67:AJ677,2,)</f>
        <v>52</v>
      </c>
    </row>
    <row r="68" spans="1:19" x14ac:dyDescent="0.35">
      <c r="A68" s="37">
        <v>67</v>
      </c>
      <c r="B68" s="60">
        <f>VLOOKUP(A68,'Sheet A'!A68:S678,2,)</f>
        <v>40546</v>
      </c>
      <c r="C68" s="38">
        <f>VLOOKUP(B68,'Sheet A'!B68:T678,2,)</f>
        <v>1</v>
      </c>
      <c r="D68" s="38">
        <f>VLOOKUP(C68,'Sheet A'!C68:U678,2,)</f>
        <v>0</v>
      </c>
      <c r="E68" s="38">
        <f>VLOOKUP(D68,'Sheet A'!D68:V678,2,)</f>
        <v>1</v>
      </c>
      <c r="F68" s="38">
        <f>VLOOKUP(E68,'Sheet A'!E68:W678,2,)</f>
        <v>21</v>
      </c>
      <c r="G68" s="41" t="str">
        <f>VLOOKUP(F68,'Sheet A'!F68:X678,2,)</f>
        <v>Night</v>
      </c>
      <c r="H68" s="38" t="b">
        <f>VLOOKUP(G68,'Sheet A'!G68:Y678,2,)</f>
        <v>0</v>
      </c>
      <c r="I68" s="38">
        <f>VLOOKUP(H68,'Sheet A'!H68:Z678,2,)</f>
        <v>1</v>
      </c>
      <c r="J68" s="41" t="str">
        <f>VLOOKUP(I68,'Sheet A'!I68:AA678,2,)</f>
        <v>Sunday</v>
      </c>
      <c r="K68" s="38">
        <f>VLOOKUP(J68,'Sheet A'!J68:AB678,2,)</f>
        <v>1</v>
      </c>
      <c r="L68" s="38">
        <f>VLOOKUP(K68,'Sheet A'!K68:AC678,2,)</f>
        <v>0.18</v>
      </c>
      <c r="M68" s="70" t="str">
        <f>VLOOKUP(L68,'Sheet A'!L68:AD678,2,)</f>
        <v>Rainy</v>
      </c>
      <c r="N68" s="38">
        <f>VLOOKUP(M68,'Sheet A'!M68:AE678,2,)</f>
        <v>0.19700000000000001</v>
      </c>
      <c r="O68" s="38">
        <f>VLOOKUP(N68,'Sheet A'!N68:AF678,2,)</f>
        <v>0.64</v>
      </c>
      <c r="P68" s="38">
        <f>VLOOKUP(O68,'Sheet A'!O68:AG678,2,)</f>
        <v>0.1343</v>
      </c>
      <c r="Q68" s="38">
        <f>VLOOKUP(P68,'Sheet A'!P68:AH678,2,)</f>
        <v>3</v>
      </c>
      <c r="R68" s="38">
        <f>VLOOKUP(Q68,'Sheet A'!Q68:AI678,2,)</f>
        <v>49</v>
      </c>
      <c r="S68" s="38">
        <f>VLOOKUP(R68,'Sheet A'!R68:AJ678,2,)</f>
        <v>52</v>
      </c>
    </row>
    <row r="69" spans="1:19" x14ac:dyDescent="0.35">
      <c r="A69" s="37">
        <v>68</v>
      </c>
      <c r="B69" s="60">
        <f>VLOOKUP(A69,'Sheet A'!A69:S679,2,)</f>
        <v>40546</v>
      </c>
      <c r="C69" s="38">
        <f>VLOOKUP(B69,'Sheet A'!B69:T679,2,)</f>
        <v>1</v>
      </c>
      <c r="D69" s="38">
        <f>VLOOKUP(C69,'Sheet A'!C69:U679,2,)</f>
        <v>0</v>
      </c>
      <c r="E69" s="38">
        <f>VLOOKUP(D69,'Sheet A'!D69:V679,2,)</f>
        <v>1</v>
      </c>
      <c r="F69" s="38">
        <f>VLOOKUP(E69,'Sheet A'!E69:W679,2,)</f>
        <v>22</v>
      </c>
      <c r="G69" s="41" t="str">
        <f>VLOOKUP(F69,'Sheet A'!F69:X679,2,)</f>
        <v>Night</v>
      </c>
      <c r="H69" s="38" t="b">
        <f>VLOOKUP(G69,'Sheet A'!G69:Y679,2,)</f>
        <v>0</v>
      </c>
      <c r="I69" s="38">
        <f>VLOOKUP(H69,'Sheet A'!H69:Z679,2,)</f>
        <v>1</v>
      </c>
      <c r="J69" s="41" t="str">
        <f>VLOOKUP(I69,'Sheet A'!I69:AA679,2,)</f>
        <v>Sunday</v>
      </c>
      <c r="K69" s="38">
        <f>VLOOKUP(J69,'Sheet A'!J69:AB679,2,)</f>
        <v>1</v>
      </c>
      <c r="L69" s="38">
        <f>VLOOKUP(K69,'Sheet A'!K69:AC679,2,)</f>
        <v>0.14000000000000001</v>
      </c>
      <c r="M69" s="70" t="str">
        <f>VLOOKUP(L69,'Sheet A'!L69:AD679,2,)</f>
        <v>Rainy</v>
      </c>
      <c r="N69" s="38">
        <f>VLOOKUP(M69,'Sheet A'!M69:AE679,2,)</f>
        <v>0.1515</v>
      </c>
      <c r="O69" s="38">
        <f>VLOOKUP(N69,'Sheet A'!N69:AF679,2,)</f>
        <v>0.69</v>
      </c>
      <c r="P69" s="38">
        <f>VLOOKUP(O69,'Sheet A'!O69:AG679,2,)</f>
        <v>0.1343</v>
      </c>
      <c r="Q69" s="38">
        <f>VLOOKUP(P69,'Sheet A'!P69:AH679,2,)</f>
        <v>0</v>
      </c>
      <c r="R69" s="38">
        <f>VLOOKUP(Q69,'Sheet A'!Q69:AI679,2,)</f>
        <v>20</v>
      </c>
      <c r="S69" s="38">
        <f>VLOOKUP(R69,'Sheet A'!R69:AJ679,2,)</f>
        <v>20</v>
      </c>
    </row>
    <row r="70" spans="1:19" x14ac:dyDescent="0.35">
      <c r="A70" s="37">
        <v>69</v>
      </c>
      <c r="B70" s="60">
        <f>VLOOKUP(A70,'Sheet A'!A70:S680,2,)</f>
        <v>40546</v>
      </c>
      <c r="C70" s="38">
        <f>VLOOKUP(B70,'Sheet A'!B70:T680,2,)</f>
        <v>1</v>
      </c>
      <c r="D70" s="38">
        <f>VLOOKUP(C70,'Sheet A'!C70:U680,2,)</f>
        <v>0</v>
      </c>
      <c r="E70" s="38">
        <f>VLOOKUP(D70,'Sheet A'!D70:V680,2,)</f>
        <v>1</v>
      </c>
      <c r="F70" s="38">
        <f>VLOOKUP(E70,'Sheet A'!E70:W680,2,)</f>
        <v>23</v>
      </c>
      <c r="G70" s="41" t="str">
        <f>VLOOKUP(F70,'Sheet A'!F70:X680,2,)</f>
        <v>Night</v>
      </c>
      <c r="H70" s="38" t="b">
        <f>VLOOKUP(G70,'Sheet A'!G70:Y680,2,)</f>
        <v>0</v>
      </c>
      <c r="I70" s="38">
        <f>VLOOKUP(H70,'Sheet A'!H70:Z680,2,)</f>
        <v>1</v>
      </c>
      <c r="J70" s="41" t="str">
        <f>VLOOKUP(I70,'Sheet A'!I70:AA680,2,)</f>
        <v>Sunday</v>
      </c>
      <c r="K70" s="38">
        <f>VLOOKUP(J70,'Sheet A'!J70:AB680,2,)</f>
        <v>1</v>
      </c>
      <c r="L70" s="38">
        <f>VLOOKUP(K70,'Sheet A'!K70:AC680,2,)</f>
        <v>0.18</v>
      </c>
      <c r="M70" s="70" t="str">
        <f>VLOOKUP(L70,'Sheet A'!L70:AD680,2,)</f>
        <v>Rainy</v>
      </c>
      <c r="N70" s="38">
        <f>VLOOKUP(M70,'Sheet A'!M70:AE680,2,)</f>
        <v>0.21210000000000001</v>
      </c>
      <c r="O70" s="38">
        <f>VLOOKUP(N70,'Sheet A'!N70:AF680,2,)</f>
        <v>0.55000000000000004</v>
      </c>
      <c r="P70" s="38">
        <f>VLOOKUP(O70,'Sheet A'!O70:AG680,2,)</f>
        <v>0.1045</v>
      </c>
      <c r="Q70" s="38">
        <f>VLOOKUP(P70,'Sheet A'!P70:AH680,2,)</f>
        <v>1</v>
      </c>
      <c r="R70" s="38">
        <f>VLOOKUP(Q70,'Sheet A'!Q70:AI680,2,)</f>
        <v>11</v>
      </c>
      <c r="S70" s="38">
        <f>VLOOKUP(R70,'Sheet A'!R70:AJ680,2,)</f>
        <v>12</v>
      </c>
    </row>
    <row r="71" spans="1:19" x14ac:dyDescent="0.35">
      <c r="A71" s="37">
        <v>70</v>
      </c>
      <c r="B71" s="60">
        <f>VLOOKUP(A71,'Sheet A'!A71:S681,2,)</f>
        <v>40547</v>
      </c>
      <c r="C71" s="38">
        <f>VLOOKUP(B71,'Sheet A'!B71:T681,2,)</f>
        <v>1</v>
      </c>
      <c r="D71" s="38">
        <f>VLOOKUP(C71,'Sheet A'!C71:U681,2,)</f>
        <v>0</v>
      </c>
      <c r="E71" s="38">
        <f>VLOOKUP(D71,'Sheet A'!D71:V681,2,)</f>
        <v>1</v>
      </c>
      <c r="F71" s="38">
        <f>VLOOKUP(E71,'Sheet A'!E71:W681,2,)</f>
        <v>0</v>
      </c>
      <c r="G71" s="41" t="str">
        <f>VLOOKUP(F71,'Sheet A'!F71:X681,2,)</f>
        <v>Night</v>
      </c>
      <c r="H71" s="38" t="b">
        <f>VLOOKUP(G71,'Sheet A'!G71:Y681,2,)</f>
        <v>0</v>
      </c>
      <c r="I71" s="38">
        <f>VLOOKUP(H71,'Sheet A'!H71:Z681,2,)</f>
        <v>2</v>
      </c>
      <c r="J71" s="41" t="str">
        <f>VLOOKUP(I71,'Sheet A'!I71:AA681,2,)</f>
        <v>Monday</v>
      </c>
      <c r="K71" s="38">
        <f>VLOOKUP(J71,'Sheet A'!J71:AB681,2,)</f>
        <v>1</v>
      </c>
      <c r="L71" s="38">
        <f>VLOOKUP(K71,'Sheet A'!K71:AC681,2,)</f>
        <v>0.16</v>
      </c>
      <c r="M71" s="70" t="str">
        <f>VLOOKUP(L71,'Sheet A'!L71:AD681,2,)</f>
        <v>Rainy</v>
      </c>
      <c r="N71" s="38">
        <f>VLOOKUP(M71,'Sheet A'!M71:AE681,2,)</f>
        <v>0.19695000000000001</v>
      </c>
      <c r="O71" s="38">
        <f>VLOOKUP(N71,'Sheet A'!N71:AF681,2,)</f>
        <v>0.55000000000000004</v>
      </c>
      <c r="P71" s="38">
        <f>VLOOKUP(O71,'Sheet A'!O71:AG681,2,)</f>
        <v>0.1045</v>
      </c>
      <c r="Q71" s="38">
        <f>VLOOKUP(P71,'Sheet A'!P71:AH681,2,)</f>
        <v>0</v>
      </c>
      <c r="R71" s="38">
        <f>VLOOKUP(Q71,'Sheet A'!Q71:AI681,2,)</f>
        <v>5</v>
      </c>
      <c r="S71" s="38">
        <f>VLOOKUP(R71,'Sheet A'!R71:AJ681,2,)</f>
        <v>5</v>
      </c>
    </row>
    <row r="72" spans="1:19" x14ac:dyDescent="0.35">
      <c r="A72" s="37">
        <v>71</v>
      </c>
      <c r="B72" s="60">
        <f>VLOOKUP(A72,'Sheet A'!A72:S682,2,)</f>
        <v>40547</v>
      </c>
      <c r="C72" s="38">
        <f>VLOOKUP(B72,'Sheet A'!B72:T682,2,)</f>
        <v>1</v>
      </c>
      <c r="D72" s="38">
        <f>VLOOKUP(C72,'Sheet A'!C72:U682,2,)</f>
        <v>0</v>
      </c>
      <c r="E72" s="38">
        <f>VLOOKUP(D72,'Sheet A'!D72:V682,2,)</f>
        <v>1</v>
      </c>
      <c r="F72" s="38">
        <f>VLOOKUP(E72,'Sheet A'!E72:W682,2,)</f>
        <v>1</v>
      </c>
      <c r="G72" s="41" t="str">
        <f>VLOOKUP(F72,'Sheet A'!F72:X682,2,)</f>
        <v>Night</v>
      </c>
      <c r="H72" s="38" t="b">
        <f>VLOOKUP(G72,'Sheet A'!G72:Y682,2,)</f>
        <v>0</v>
      </c>
      <c r="I72" s="38">
        <f>VLOOKUP(H72,'Sheet A'!H72:Z682,2,)</f>
        <v>2</v>
      </c>
      <c r="J72" s="41" t="str">
        <f>VLOOKUP(I72,'Sheet A'!I72:AA682,2,)</f>
        <v>Monday</v>
      </c>
      <c r="K72" s="38">
        <f>VLOOKUP(J72,'Sheet A'!J72:AB682,2,)</f>
        <v>1</v>
      </c>
      <c r="L72" s="38">
        <f>VLOOKUP(K72,'Sheet A'!K72:AC682,2,)</f>
        <v>0.16</v>
      </c>
      <c r="M72" s="70" t="str">
        <f>VLOOKUP(L72,'Sheet A'!L72:AD682,2,)</f>
        <v>Rainy</v>
      </c>
      <c r="N72" s="38">
        <f>VLOOKUP(M72,'Sheet A'!M72:AE682,2,)</f>
        <v>0.18179999999999999</v>
      </c>
      <c r="O72" s="38">
        <f>VLOOKUP(N72,'Sheet A'!N72:AF682,2,)</f>
        <v>0.59</v>
      </c>
      <c r="P72" s="38">
        <f>VLOOKUP(O72,'Sheet A'!O72:AG682,2,)</f>
        <v>0.1045</v>
      </c>
      <c r="Q72" s="38">
        <f>VLOOKUP(P72,'Sheet A'!P72:AH682,2,)</f>
        <v>0</v>
      </c>
      <c r="R72" s="38">
        <f>VLOOKUP(Q72,'Sheet A'!Q72:AI682,2,)</f>
        <v>2</v>
      </c>
      <c r="S72" s="38">
        <f>VLOOKUP(R72,'Sheet A'!R72:AJ682,2,)</f>
        <v>2</v>
      </c>
    </row>
    <row r="73" spans="1:19" x14ac:dyDescent="0.35">
      <c r="A73" s="37">
        <v>72</v>
      </c>
      <c r="B73" s="60">
        <f>VLOOKUP(A73,'Sheet A'!A73:S683,2,)</f>
        <v>40547</v>
      </c>
      <c r="C73" s="38">
        <f>VLOOKUP(B73,'Sheet A'!B73:T683,2,)</f>
        <v>1</v>
      </c>
      <c r="D73" s="38">
        <f>VLOOKUP(C73,'Sheet A'!C73:U683,2,)</f>
        <v>0</v>
      </c>
      <c r="E73" s="38">
        <f>VLOOKUP(D73,'Sheet A'!D73:V683,2,)</f>
        <v>1</v>
      </c>
      <c r="F73" s="38">
        <f>VLOOKUP(E73,'Sheet A'!E73:W683,2,)</f>
        <v>2</v>
      </c>
      <c r="G73" s="41" t="str">
        <f>VLOOKUP(F73,'Sheet A'!F73:X683,2,)</f>
        <v>Night</v>
      </c>
      <c r="H73" s="38" t="b">
        <f>VLOOKUP(G73,'Sheet A'!G73:Y683,2,)</f>
        <v>0</v>
      </c>
      <c r="I73" s="38">
        <f>VLOOKUP(H73,'Sheet A'!H73:Z683,2,)</f>
        <v>2</v>
      </c>
      <c r="J73" s="41" t="str">
        <f>VLOOKUP(I73,'Sheet A'!I73:AA683,2,)</f>
        <v>Monday</v>
      </c>
      <c r="K73" s="38">
        <f>VLOOKUP(J73,'Sheet A'!J73:AB683,2,)</f>
        <v>1</v>
      </c>
      <c r="L73" s="38">
        <f>VLOOKUP(K73,'Sheet A'!K73:AC683,2,)</f>
        <v>0.14000000000000001</v>
      </c>
      <c r="M73" s="70" t="str">
        <f>VLOOKUP(L73,'Sheet A'!L73:AD683,2,)</f>
        <v>Rainy</v>
      </c>
      <c r="N73" s="38">
        <f>VLOOKUP(M73,'Sheet A'!M73:AE683,2,)</f>
        <v>0.1515</v>
      </c>
      <c r="O73" s="38">
        <f>VLOOKUP(N73,'Sheet A'!N73:AF683,2,)</f>
        <v>0.63</v>
      </c>
      <c r="P73" s="38">
        <f>VLOOKUP(O73,'Sheet A'!O73:AG683,2,)</f>
        <v>0.1343</v>
      </c>
      <c r="Q73" s="38">
        <f>VLOOKUP(P73,'Sheet A'!P73:AH683,2,)</f>
        <v>0</v>
      </c>
      <c r="R73" s="38">
        <f>VLOOKUP(Q73,'Sheet A'!Q73:AI683,2,)</f>
        <v>1</v>
      </c>
      <c r="S73" s="38">
        <f>VLOOKUP(R73,'Sheet A'!R73:AJ683,2,)</f>
        <v>1</v>
      </c>
    </row>
    <row r="74" spans="1:19" x14ac:dyDescent="0.35">
      <c r="A74" s="37">
        <v>73</v>
      </c>
      <c r="B74" s="60">
        <f>VLOOKUP(A74,'Sheet A'!A74:S684,2,)</f>
        <v>40547</v>
      </c>
      <c r="C74" s="38">
        <f>VLOOKUP(B74,'Sheet A'!B74:T684,2,)</f>
        <v>1</v>
      </c>
      <c r="D74" s="38">
        <f>VLOOKUP(C74,'Sheet A'!C74:U684,2,)</f>
        <v>0</v>
      </c>
      <c r="E74" s="38">
        <f>VLOOKUP(D74,'Sheet A'!D74:V684,2,)</f>
        <v>1</v>
      </c>
      <c r="F74" s="38">
        <f>VLOOKUP(E74,'Sheet A'!E74:W684,2,)</f>
        <v>4</v>
      </c>
      <c r="G74" s="41" t="str">
        <f>VLOOKUP(F74,'Sheet A'!F74:X684,2,)</f>
        <v>Night</v>
      </c>
      <c r="H74" s="38" t="b">
        <f>VLOOKUP(G74,'Sheet A'!G74:Y684,2,)</f>
        <v>0</v>
      </c>
      <c r="I74" s="38">
        <f>VLOOKUP(H74,'Sheet A'!H74:Z684,2,)</f>
        <v>2</v>
      </c>
      <c r="J74" s="41" t="str">
        <f>VLOOKUP(I74,'Sheet A'!I74:AA684,2,)</f>
        <v>Monday</v>
      </c>
      <c r="K74" s="38">
        <f>VLOOKUP(J74,'Sheet A'!J74:AB684,2,)</f>
        <v>1</v>
      </c>
      <c r="L74" s="38">
        <f>VLOOKUP(K74,'Sheet A'!K74:AC684,2,)</f>
        <v>0.14000000000000001</v>
      </c>
      <c r="M74" s="70" t="str">
        <f>VLOOKUP(L74,'Sheet A'!L74:AD684,2,)</f>
        <v>Rainy</v>
      </c>
      <c r="N74" s="38">
        <f>VLOOKUP(M74,'Sheet A'!M74:AE684,2,)</f>
        <v>0.18179999999999999</v>
      </c>
      <c r="O74" s="38">
        <f>VLOOKUP(N74,'Sheet A'!N74:AF684,2,)</f>
        <v>0.63</v>
      </c>
      <c r="P74" s="38">
        <f>VLOOKUP(O74,'Sheet A'!O74:AG684,2,)</f>
        <v>8.9599999999999999E-2</v>
      </c>
      <c r="Q74" s="38">
        <f>VLOOKUP(P74,'Sheet A'!P74:AH684,2,)</f>
        <v>0</v>
      </c>
      <c r="R74" s="38">
        <f>VLOOKUP(Q74,'Sheet A'!Q74:AI684,2,)</f>
        <v>2</v>
      </c>
      <c r="S74" s="38">
        <f>VLOOKUP(R74,'Sheet A'!R74:AJ684,2,)</f>
        <v>2</v>
      </c>
    </row>
    <row r="75" spans="1:19" x14ac:dyDescent="0.35">
      <c r="A75" s="37">
        <v>74</v>
      </c>
      <c r="B75" s="60">
        <f>VLOOKUP(A75,'Sheet A'!A75:S685,2,)</f>
        <v>40547</v>
      </c>
      <c r="C75" s="38">
        <f>VLOOKUP(B75,'Sheet A'!B75:T685,2,)</f>
        <v>1</v>
      </c>
      <c r="D75" s="38">
        <f>VLOOKUP(C75,'Sheet A'!C75:U685,2,)</f>
        <v>0</v>
      </c>
      <c r="E75" s="38">
        <f>VLOOKUP(D75,'Sheet A'!D75:V685,2,)</f>
        <v>1</v>
      </c>
      <c r="F75" s="38">
        <f>VLOOKUP(E75,'Sheet A'!E75:W685,2,)</f>
        <v>5</v>
      </c>
      <c r="G75" s="41" t="str">
        <f>VLOOKUP(F75,'Sheet A'!F75:X685,2,)</f>
        <v>Morning</v>
      </c>
      <c r="H75" s="38" t="b">
        <f>VLOOKUP(G75,'Sheet A'!G75:Y685,2,)</f>
        <v>0</v>
      </c>
      <c r="I75" s="38">
        <f>VLOOKUP(H75,'Sheet A'!H75:Z685,2,)</f>
        <v>2</v>
      </c>
      <c r="J75" s="41" t="str">
        <f>VLOOKUP(I75,'Sheet A'!I75:AA685,2,)</f>
        <v>Monday</v>
      </c>
      <c r="K75" s="38">
        <f>VLOOKUP(J75,'Sheet A'!J75:AB685,2,)</f>
        <v>1</v>
      </c>
      <c r="L75" s="38">
        <f>VLOOKUP(K75,'Sheet A'!K75:AC685,2,)</f>
        <v>0.12</v>
      </c>
      <c r="M75" s="70" t="str">
        <f>VLOOKUP(L75,'Sheet A'!L75:AD685,2,)</f>
        <v>Rainy</v>
      </c>
      <c r="N75" s="38">
        <f>VLOOKUP(M75,'Sheet A'!M75:AE685,2,)</f>
        <v>0.1515</v>
      </c>
      <c r="O75" s="38">
        <f>VLOOKUP(N75,'Sheet A'!N75:AF685,2,)</f>
        <v>0.68</v>
      </c>
      <c r="P75" s="38">
        <f>VLOOKUP(O75,'Sheet A'!O75:AG685,2,)</f>
        <v>0.1045</v>
      </c>
      <c r="Q75" s="38">
        <f>VLOOKUP(P75,'Sheet A'!P75:AH685,2,)</f>
        <v>0</v>
      </c>
      <c r="R75" s="38">
        <f>VLOOKUP(Q75,'Sheet A'!Q75:AI685,2,)</f>
        <v>4</v>
      </c>
      <c r="S75" s="38">
        <f>VLOOKUP(R75,'Sheet A'!R75:AJ685,2,)</f>
        <v>4</v>
      </c>
    </row>
    <row r="76" spans="1:19" x14ac:dyDescent="0.35">
      <c r="A76" s="37">
        <v>75</v>
      </c>
      <c r="B76" s="60">
        <f>VLOOKUP(A76,'Sheet A'!A76:S686,2,)</f>
        <v>40547</v>
      </c>
      <c r="C76" s="38">
        <f>VLOOKUP(B76,'Sheet A'!B76:T686,2,)</f>
        <v>1</v>
      </c>
      <c r="D76" s="38">
        <f>VLOOKUP(C76,'Sheet A'!C76:U686,2,)</f>
        <v>0</v>
      </c>
      <c r="E76" s="38">
        <f>VLOOKUP(D76,'Sheet A'!D76:V686,2,)</f>
        <v>1</v>
      </c>
      <c r="F76" s="38">
        <f>VLOOKUP(E76,'Sheet A'!E76:W686,2,)</f>
        <v>6</v>
      </c>
      <c r="G76" s="41" t="str">
        <f>VLOOKUP(F76,'Sheet A'!F76:X686,2,)</f>
        <v>Morning</v>
      </c>
      <c r="H76" s="38" t="b">
        <f>VLOOKUP(G76,'Sheet A'!G76:Y686,2,)</f>
        <v>0</v>
      </c>
      <c r="I76" s="38">
        <f>VLOOKUP(H76,'Sheet A'!H76:Z686,2,)</f>
        <v>2</v>
      </c>
      <c r="J76" s="41" t="str">
        <f>VLOOKUP(I76,'Sheet A'!I76:AA686,2,)</f>
        <v>Monday</v>
      </c>
      <c r="K76" s="38">
        <f>VLOOKUP(J76,'Sheet A'!J76:AB686,2,)</f>
        <v>1</v>
      </c>
      <c r="L76" s="38">
        <f>VLOOKUP(K76,'Sheet A'!K76:AC686,2,)</f>
        <v>0.12</v>
      </c>
      <c r="M76" s="70" t="str">
        <f>VLOOKUP(L76,'Sheet A'!L76:AD686,2,)</f>
        <v>Rainy</v>
      </c>
      <c r="N76" s="38">
        <f>VLOOKUP(M76,'Sheet A'!M76:AE686,2,)</f>
        <v>0.1515</v>
      </c>
      <c r="O76" s="38">
        <f>VLOOKUP(N76,'Sheet A'!N76:AF686,2,)</f>
        <v>0.74</v>
      </c>
      <c r="P76" s="38">
        <f>VLOOKUP(O76,'Sheet A'!O76:AG686,2,)</f>
        <v>0.1045</v>
      </c>
      <c r="Q76" s="38">
        <f>VLOOKUP(P76,'Sheet A'!P76:AH686,2,)</f>
        <v>0</v>
      </c>
      <c r="R76" s="38">
        <f>VLOOKUP(Q76,'Sheet A'!Q76:AI686,2,)</f>
        <v>36</v>
      </c>
      <c r="S76" s="38">
        <f>VLOOKUP(R76,'Sheet A'!R76:AJ686,2,)</f>
        <v>36</v>
      </c>
    </row>
    <row r="77" spans="1:19" x14ac:dyDescent="0.35">
      <c r="A77" s="37">
        <v>76</v>
      </c>
      <c r="B77" s="60">
        <f>VLOOKUP(A77,'Sheet A'!A77:S687,2,)</f>
        <v>40547</v>
      </c>
      <c r="C77" s="38">
        <f>VLOOKUP(B77,'Sheet A'!B77:T687,2,)</f>
        <v>1</v>
      </c>
      <c r="D77" s="38">
        <f>VLOOKUP(C77,'Sheet A'!C77:U687,2,)</f>
        <v>0</v>
      </c>
      <c r="E77" s="38">
        <f>VLOOKUP(D77,'Sheet A'!D77:V687,2,)</f>
        <v>1</v>
      </c>
      <c r="F77" s="38">
        <f>VLOOKUP(E77,'Sheet A'!E77:W687,2,)</f>
        <v>7</v>
      </c>
      <c r="G77" s="41" t="str">
        <f>VLOOKUP(F77,'Sheet A'!F77:X687,2,)</f>
        <v>Morning</v>
      </c>
      <c r="H77" s="38" t="b">
        <f>VLOOKUP(G77,'Sheet A'!G77:Y687,2,)</f>
        <v>0</v>
      </c>
      <c r="I77" s="38">
        <f>VLOOKUP(H77,'Sheet A'!H77:Z687,2,)</f>
        <v>2</v>
      </c>
      <c r="J77" s="41" t="str">
        <f>VLOOKUP(I77,'Sheet A'!I77:AA687,2,)</f>
        <v>Monday</v>
      </c>
      <c r="K77" s="38">
        <f>VLOOKUP(J77,'Sheet A'!J77:AB687,2,)</f>
        <v>1</v>
      </c>
      <c r="L77" s="38">
        <f>VLOOKUP(K77,'Sheet A'!K77:AC687,2,)</f>
        <v>0.12</v>
      </c>
      <c r="M77" s="70" t="str">
        <f>VLOOKUP(L77,'Sheet A'!L77:AD687,2,)</f>
        <v>Rainy</v>
      </c>
      <c r="N77" s="38">
        <f>VLOOKUP(M77,'Sheet A'!M77:AE687,2,)</f>
        <v>0.1515</v>
      </c>
      <c r="O77" s="38">
        <f>VLOOKUP(N77,'Sheet A'!N77:AF687,2,)</f>
        <v>0.74</v>
      </c>
      <c r="P77" s="38">
        <f>VLOOKUP(O77,'Sheet A'!O77:AG687,2,)</f>
        <v>0.1343</v>
      </c>
      <c r="Q77" s="38">
        <f>VLOOKUP(P77,'Sheet A'!P77:AH687,2,)</f>
        <v>2</v>
      </c>
      <c r="R77" s="38">
        <f>VLOOKUP(Q77,'Sheet A'!Q77:AI687,2,)</f>
        <v>92</v>
      </c>
      <c r="S77" s="38">
        <f>VLOOKUP(R77,'Sheet A'!R77:AJ687,2,)</f>
        <v>94</v>
      </c>
    </row>
    <row r="78" spans="1:19" x14ac:dyDescent="0.35">
      <c r="A78" s="37">
        <v>77</v>
      </c>
      <c r="B78" s="60">
        <f>VLOOKUP(A78,'Sheet A'!A78:S688,2,)</f>
        <v>40547</v>
      </c>
      <c r="C78" s="38">
        <f>VLOOKUP(B78,'Sheet A'!B78:T688,2,)</f>
        <v>1</v>
      </c>
      <c r="D78" s="38">
        <f>VLOOKUP(C78,'Sheet A'!C78:U688,2,)</f>
        <v>0</v>
      </c>
      <c r="E78" s="38">
        <f>VLOOKUP(D78,'Sheet A'!D78:V688,2,)</f>
        <v>1</v>
      </c>
      <c r="F78" s="38">
        <f>VLOOKUP(E78,'Sheet A'!E78:W688,2,)</f>
        <v>8</v>
      </c>
      <c r="G78" s="41" t="str">
        <f>VLOOKUP(F78,'Sheet A'!F78:X688,2,)</f>
        <v>Morning</v>
      </c>
      <c r="H78" s="38" t="b">
        <f>VLOOKUP(G78,'Sheet A'!G78:Y688,2,)</f>
        <v>0</v>
      </c>
      <c r="I78" s="38">
        <f>VLOOKUP(H78,'Sheet A'!H78:Z688,2,)</f>
        <v>2</v>
      </c>
      <c r="J78" s="41" t="str">
        <f>VLOOKUP(I78,'Sheet A'!I78:AA688,2,)</f>
        <v>Monday</v>
      </c>
      <c r="K78" s="38">
        <f>VLOOKUP(J78,'Sheet A'!J78:AB688,2,)</f>
        <v>1</v>
      </c>
      <c r="L78" s="38">
        <f>VLOOKUP(K78,'Sheet A'!K78:AC688,2,)</f>
        <v>0.14000000000000001</v>
      </c>
      <c r="M78" s="70" t="str">
        <f>VLOOKUP(L78,'Sheet A'!L78:AD688,2,)</f>
        <v>Rainy</v>
      </c>
      <c r="N78" s="38">
        <f>VLOOKUP(M78,'Sheet A'!M78:AE688,2,)</f>
        <v>0.1515</v>
      </c>
      <c r="O78" s="38">
        <f>VLOOKUP(N78,'Sheet A'!N78:AF688,2,)</f>
        <v>0.69</v>
      </c>
      <c r="P78" s="38">
        <f>VLOOKUP(O78,'Sheet A'!O78:AG688,2,)</f>
        <v>0.16420000000000001</v>
      </c>
      <c r="Q78" s="38">
        <f>VLOOKUP(P78,'Sheet A'!P78:AH688,2,)</f>
        <v>2</v>
      </c>
      <c r="R78" s="38">
        <f>VLOOKUP(Q78,'Sheet A'!Q78:AI688,2,)</f>
        <v>177</v>
      </c>
      <c r="S78" s="38">
        <f>VLOOKUP(R78,'Sheet A'!R78:AJ688,2,)</f>
        <v>179</v>
      </c>
    </row>
    <row r="79" spans="1:19" x14ac:dyDescent="0.35">
      <c r="A79" s="37">
        <v>78</v>
      </c>
      <c r="B79" s="60">
        <f>VLOOKUP(A79,'Sheet A'!A79:S689,2,)</f>
        <v>40547</v>
      </c>
      <c r="C79" s="38">
        <f>VLOOKUP(B79,'Sheet A'!B79:T689,2,)</f>
        <v>1</v>
      </c>
      <c r="D79" s="38">
        <f>VLOOKUP(C79,'Sheet A'!C79:U689,2,)</f>
        <v>0</v>
      </c>
      <c r="E79" s="38">
        <f>VLOOKUP(D79,'Sheet A'!D79:V689,2,)</f>
        <v>1</v>
      </c>
      <c r="F79" s="38">
        <f>VLOOKUP(E79,'Sheet A'!E79:W689,2,)</f>
        <v>9</v>
      </c>
      <c r="G79" s="41" t="str">
        <f>VLOOKUP(F79,'Sheet A'!F79:X689,2,)</f>
        <v>Morning</v>
      </c>
      <c r="H79" s="38" t="b">
        <f>VLOOKUP(G79,'Sheet A'!G79:Y689,2,)</f>
        <v>0</v>
      </c>
      <c r="I79" s="38">
        <f>VLOOKUP(H79,'Sheet A'!H79:Z689,2,)</f>
        <v>2</v>
      </c>
      <c r="J79" s="41" t="str">
        <f>VLOOKUP(I79,'Sheet A'!I79:AA689,2,)</f>
        <v>Monday</v>
      </c>
      <c r="K79" s="38">
        <f>VLOOKUP(J79,'Sheet A'!J79:AB689,2,)</f>
        <v>1</v>
      </c>
      <c r="L79" s="38">
        <f>VLOOKUP(K79,'Sheet A'!K79:AC689,2,)</f>
        <v>0.16</v>
      </c>
      <c r="M79" s="70" t="str">
        <f>VLOOKUP(L79,'Sheet A'!L79:AD689,2,)</f>
        <v>Rainy</v>
      </c>
      <c r="N79" s="38">
        <f>VLOOKUP(M79,'Sheet A'!M79:AE689,2,)</f>
        <v>0.1515</v>
      </c>
      <c r="O79" s="38">
        <f>VLOOKUP(N79,'Sheet A'!N79:AF689,2,)</f>
        <v>0.64</v>
      </c>
      <c r="P79" s="38">
        <f>VLOOKUP(O79,'Sheet A'!O79:AG689,2,)</f>
        <v>0.22389999999999999</v>
      </c>
      <c r="Q79" s="38">
        <f>VLOOKUP(P79,'Sheet A'!P79:AH689,2,)</f>
        <v>2</v>
      </c>
      <c r="R79" s="38">
        <f>VLOOKUP(Q79,'Sheet A'!Q79:AI689,2,)</f>
        <v>98</v>
      </c>
      <c r="S79" s="38">
        <f>VLOOKUP(R79,'Sheet A'!R79:AJ689,2,)</f>
        <v>100</v>
      </c>
    </row>
    <row r="80" spans="1:19" x14ac:dyDescent="0.35">
      <c r="A80" s="37">
        <v>79</v>
      </c>
      <c r="B80" s="60">
        <f>VLOOKUP(A80,'Sheet A'!A80:S690,2,)</f>
        <v>40547</v>
      </c>
      <c r="C80" s="38">
        <f>VLOOKUP(B80,'Sheet A'!B80:T690,2,)</f>
        <v>1</v>
      </c>
      <c r="D80" s="38">
        <f>VLOOKUP(C80,'Sheet A'!C80:U690,2,)</f>
        <v>0</v>
      </c>
      <c r="E80" s="38">
        <f>VLOOKUP(D80,'Sheet A'!D80:V690,2,)</f>
        <v>1</v>
      </c>
      <c r="F80" s="38">
        <f>VLOOKUP(E80,'Sheet A'!E80:W690,2,)</f>
        <v>10</v>
      </c>
      <c r="G80" s="41" t="str">
        <f>VLOOKUP(F80,'Sheet A'!F80:X690,2,)</f>
        <v>Morning</v>
      </c>
      <c r="H80" s="38" t="b">
        <f>VLOOKUP(G80,'Sheet A'!G80:Y690,2,)</f>
        <v>0</v>
      </c>
      <c r="I80" s="38">
        <f>VLOOKUP(H80,'Sheet A'!H80:Z690,2,)</f>
        <v>2</v>
      </c>
      <c r="J80" s="41" t="str">
        <f>VLOOKUP(I80,'Sheet A'!I80:AA690,2,)</f>
        <v>Monday</v>
      </c>
      <c r="K80" s="38">
        <f>VLOOKUP(J80,'Sheet A'!J80:AB690,2,)</f>
        <v>2</v>
      </c>
      <c r="L80" s="38">
        <f>VLOOKUP(K80,'Sheet A'!K80:AC690,2,)</f>
        <v>0.16</v>
      </c>
      <c r="M80" s="70" t="str">
        <f>VLOOKUP(L80,'Sheet A'!L80:AD690,2,)</f>
        <v>Rainy</v>
      </c>
      <c r="N80" s="38">
        <f>VLOOKUP(M80,'Sheet A'!M80:AE690,2,)</f>
        <v>0.13639999999999999</v>
      </c>
      <c r="O80" s="38">
        <f>VLOOKUP(N80,'Sheet A'!N80:AF690,2,)</f>
        <v>0.69</v>
      </c>
      <c r="P80" s="38">
        <f>VLOOKUP(O80,'Sheet A'!O80:AG690,2,)</f>
        <v>0.32840000000000003</v>
      </c>
      <c r="Q80" s="38">
        <f>VLOOKUP(P80,'Sheet A'!P80:AH690,2,)</f>
        <v>5</v>
      </c>
      <c r="R80" s="38">
        <f>VLOOKUP(Q80,'Sheet A'!Q80:AI690,2,)</f>
        <v>37</v>
      </c>
      <c r="S80" s="38">
        <f>VLOOKUP(R80,'Sheet A'!R80:AJ690,2,)</f>
        <v>42</v>
      </c>
    </row>
    <row r="81" spans="1:19" x14ac:dyDescent="0.35">
      <c r="A81" s="37">
        <v>80</v>
      </c>
      <c r="B81" s="60">
        <f>VLOOKUP(A81,'Sheet A'!A81:S691,2,)</f>
        <v>40547</v>
      </c>
      <c r="C81" s="38">
        <f>VLOOKUP(B81,'Sheet A'!B81:T691,2,)</f>
        <v>1</v>
      </c>
      <c r="D81" s="38">
        <f>VLOOKUP(C81,'Sheet A'!C81:U691,2,)</f>
        <v>0</v>
      </c>
      <c r="E81" s="38">
        <f>VLOOKUP(D81,'Sheet A'!D81:V691,2,)</f>
        <v>1</v>
      </c>
      <c r="F81" s="38">
        <f>VLOOKUP(E81,'Sheet A'!E81:W691,2,)</f>
        <v>11</v>
      </c>
      <c r="G81" s="41" t="str">
        <f>VLOOKUP(F81,'Sheet A'!F81:X691,2,)</f>
        <v>Morning</v>
      </c>
      <c r="H81" s="38" t="b">
        <f>VLOOKUP(G81,'Sheet A'!G81:Y691,2,)</f>
        <v>0</v>
      </c>
      <c r="I81" s="38">
        <f>VLOOKUP(H81,'Sheet A'!H81:Z691,2,)</f>
        <v>2</v>
      </c>
      <c r="J81" s="41" t="str">
        <f>VLOOKUP(I81,'Sheet A'!I81:AA691,2,)</f>
        <v>Monday</v>
      </c>
      <c r="K81" s="38">
        <f>VLOOKUP(J81,'Sheet A'!J81:AB691,2,)</f>
        <v>1</v>
      </c>
      <c r="L81" s="38">
        <f>VLOOKUP(K81,'Sheet A'!K81:AC691,2,)</f>
        <v>0.22</v>
      </c>
      <c r="M81" s="70" t="str">
        <f>VLOOKUP(L81,'Sheet A'!L81:AD691,2,)</f>
        <v>Cloudy</v>
      </c>
      <c r="N81" s="38">
        <f>VLOOKUP(M81,'Sheet A'!M81:AE691,2,)</f>
        <v>0.21210000000000001</v>
      </c>
      <c r="O81" s="38">
        <f>VLOOKUP(N81,'Sheet A'!N81:AF691,2,)</f>
        <v>0.51</v>
      </c>
      <c r="P81" s="38">
        <f>VLOOKUP(O81,'Sheet A'!O81:AG691,2,)</f>
        <v>0.29849999999999999</v>
      </c>
      <c r="Q81" s="38">
        <f>VLOOKUP(P81,'Sheet A'!P81:AH691,2,)</f>
        <v>7</v>
      </c>
      <c r="R81" s="38">
        <f>VLOOKUP(Q81,'Sheet A'!Q81:AI691,2,)</f>
        <v>50</v>
      </c>
      <c r="S81" s="38">
        <f>VLOOKUP(R81,'Sheet A'!R81:AJ691,2,)</f>
        <v>57</v>
      </c>
    </row>
    <row r="82" spans="1:19" x14ac:dyDescent="0.35">
      <c r="A82" s="37">
        <v>81</v>
      </c>
      <c r="B82" s="60">
        <f>VLOOKUP(A82,'Sheet A'!A82:S692,2,)</f>
        <v>40547</v>
      </c>
      <c r="C82" s="38">
        <f>VLOOKUP(B82,'Sheet A'!B82:T692,2,)</f>
        <v>1</v>
      </c>
      <c r="D82" s="38">
        <f>VLOOKUP(C82,'Sheet A'!C82:U692,2,)</f>
        <v>0</v>
      </c>
      <c r="E82" s="38">
        <f>VLOOKUP(D82,'Sheet A'!D82:V692,2,)</f>
        <v>1</v>
      </c>
      <c r="F82" s="38">
        <f>VLOOKUP(E82,'Sheet A'!E82:W692,2,)</f>
        <v>12</v>
      </c>
      <c r="G82" s="41" t="str">
        <f>VLOOKUP(F82,'Sheet A'!F82:X692,2,)</f>
        <v>AfterNoon</v>
      </c>
      <c r="H82" s="38" t="b">
        <f>VLOOKUP(G82,'Sheet A'!G82:Y692,2,)</f>
        <v>0</v>
      </c>
      <c r="I82" s="38">
        <f>VLOOKUP(H82,'Sheet A'!H82:Z692,2,)</f>
        <v>2</v>
      </c>
      <c r="J82" s="41" t="str">
        <f>VLOOKUP(I82,'Sheet A'!I82:AA692,2,)</f>
        <v>Monday</v>
      </c>
      <c r="K82" s="38">
        <f>VLOOKUP(J82,'Sheet A'!J82:AB692,2,)</f>
        <v>1</v>
      </c>
      <c r="L82" s="38">
        <f>VLOOKUP(K82,'Sheet A'!K82:AC692,2,)</f>
        <v>0.22</v>
      </c>
      <c r="M82" s="70" t="str">
        <f>VLOOKUP(L82,'Sheet A'!L82:AD692,2,)</f>
        <v>Cloudy</v>
      </c>
      <c r="N82" s="38">
        <f>VLOOKUP(M82,'Sheet A'!M82:AE692,2,)</f>
        <v>0.2273</v>
      </c>
      <c r="O82" s="38">
        <f>VLOOKUP(N82,'Sheet A'!N82:AF692,2,)</f>
        <v>0.51</v>
      </c>
      <c r="P82" s="38">
        <f>VLOOKUP(O82,'Sheet A'!O82:AG692,2,)</f>
        <v>0.16420000000000001</v>
      </c>
      <c r="Q82" s="38">
        <f>VLOOKUP(P82,'Sheet A'!P82:AH692,2,)</f>
        <v>12</v>
      </c>
      <c r="R82" s="38">
        <f>VLOOKUP(Q82,'Sheet A'!Q82:AI692,2,)</f>
        <v>66</v>
      </c>
      <c r="S82" s="38">
        <f>VLOOKUP(R82,'Sheet A'!R82:AJ692,2,)</f>
        <v>78</v>
      </c>
    </row>
    <row r="83" spans="1:19" x14ac:dyDescent="0.35">
      <c r="A83" s="37">
        <v>82</v>
      </c>
      <c r="B83" s="60">
        <f>VLOOKUP(A83,'Sheet A'!A83:S693,2,)</f>
        <v>40547</v>
      </c>
      <c r="C83" s="38">
        <f>VLOOKUP(B83,'Sheet A'!B83:T693,2,)</f>
        <v>1</v>
      </c>
      <c r="D83" s="38">
        <f>VLOOKUP(C83,'Sheet A'!C83:U693,2,)</f>
        <v>0</v>
      </c>
      <c r="E83" s="38">
        <f>VLOOKUP(D83,'Sheet A'!D83:V693,2,)</f>
        <v>1</v>
      </c>
      <c r="F83" s="38">
        <f>VLOOKUP(E83,'Sheet A'!E83:W693,2,)</f>
        <v>13</v>
      </c>
      <c r="G83" s="41" t="str">
        <f>VLOOKUP(F83,'Sheet A'!F83:X693,2,)</f>
        <v>AfterNoon</v>
      </c>
      <c r="H83" s="38" t="b">
        <f>VLOOKUP(G83,'Sheet A'!G83:Y693,2,)</f>
        <v>0</v>
      </c>
      <c r="I83" s="38">
        <f>VLOOKUP(H83,'Sheet A'!H83:Z693,2,)</f>
        <v>2</v>
      </c>
      <c r="J83" s="41" t="str">
        <f>VLOOKUP(I83,'Sheet A'!I83:AA693,2,)</f>
        <v>Monday</v>
      </c>
      <c r="K83" s="38">
        <f>VLOOKUP(J83,'Sheet A'!J83:AB693,2,)</f>
        <v>1</v>
      </c>
      <c r="L83" s="38">
        <f>VLOOKUP(K83,'Sheet A'!K83:AC693,2,)</f>
        <v>0.24</v>
      </c>
      <c r="M83" s="70" t="str">
        <f>VLOOKUP(L83,'Sheet A'!L83:AD693,2,)</f>
        <v>Cloudy</v>
      </c>
      <c r="N83" s="38">
        <f>VLOOKUP(M83,'Sheet A'!M83:AE693,2,)</f>
        <v>0.2273</v>
      </c>
      <c r="O83" s="38">
        <f>VLOOKUP(N83,'Sheet A'!N83:AF693,2,)</f>
        <v>0.56000000000000005</v>
      </c>
      <c r="P83" s="38">
        <f>VLOOKUP(O83,'Sheet A'!O83:AG693,2,)</f>
        <v>0.19400000000000001</v>
      </c>
      <c r="Q83" s="38">
        <f>VLOOKUP(P83,'Sheet A'!P83:AH693,2,)</f>
        <v>18</v>
      </c>
      <c r="R83" s="38">
        <f>VLOOKUP(Q83,'Sheet A'!Q83:AI693,2,)</f>
        <v>79</v>
      </c>
      <c r="S83" s="38">
        <f>VLOOKUP(R83,'Sheet A'!R83:AJ693,2,)</f>
        <v>97</v>
      </c>
    </row>
    <row r="84" spans="1:19" x14ac:dyDescent="0.35">
      <c r="A84" s="37">
        <v>83</v>
      </c>
      <c r="B84" s="60">
        <f>VLOOKUP(A84,'Sheet A'!A84:S694,2,)</f>
        <v>40547</v>
      </c>
      <c r="C84" s="38">
        <f>VLOOKUP(B84,'Sheet A'!B84:T694,2,)</f>
        <v>1</v>
      </c>
      <c r="D84" s="38">
        <f>VLOOKUP(C84,'Sheet A'!C84:U694,2,)</f>
        <v>0</v>
      </c>
      <c r="E84" s="38">
        <f>VLOOKUP(D84,'Sheet A'!D84:V694,2,)</f>
        <v>1</v>
      </c>
      <c r="F84" s="38">
        <f>VLOOKUP(E84,'Sheet A'!E84:W694,2,)</f>
        <v>14</v>
      </c>
      <c r="G84" s="41" t="str">
        <f>VLOOKUP(F84,'Sheet A'!F84:X694,2,)</f>
        <v>AfterNoon</v>
      </c>
      <c r="H84" s="38" t="b">
        <f>VLOOKUP(G84,'Sheet A'!G84:Y694,2,)</f>
        <v>0</v>
      </c>
      <c r="I84" s="38">
        <f>VLOOKUP(H84,'Sheet A'!H84:Z694,2,)</f>
        <v>2</v>
      </c>
      <c r="J84" s="41" t="str">
        <f>VLOOKUP(I84,'Sheet A'!I84:AA694,2,)</f>
        <v>Monday</v>
      </c>
      <c r="K84" s="38">
        <f>VLOOKUP(J84,'Sheet A'!J84:AB694,2,)</f>
        <v>1</v>
      </c>
      <c r="L84" s="38">
        <f>VLOOKUP(K84,'Sheet A'!K84:AC694,2,)</f>
        <v>0.26</v>
      </c>
      <c r="M84" s="70" t="str">
        <f>VLOOKUP(L84,'Sheet A'!L84:AD694,2,)</f>
        <v>Cloudy</v>
      </c>
      <c r="N84" s="38">
        <f>VLOOKUP(M84,'Sheet A'!M84:AE694,2,)</f>
        <v>0.2576</v>
      </c>
      <c r="O84" s="38">
        <f>VLOOKUP(N84,'Sheet A'!N84:AF694,2,)</f>
        <v>0.52</v>
      </c>
      <c r="P84" s="38">
        <f>VLOOKUP(O84,'Sheet A'!O84:AG694,2,)</f>
        <v>0.22389999999999999</v>
      </c>
      <c r="Q84" s="38">
        <f>VLOOKUP(P84,'Sheet A'!P84:AH694,2,)</f>
        <v>9</v>
      </c>
      <c r="R84" s="38">
        <f>VLOOKUP(Q84,'Sheet A'!Q84:AI694,2,)</f>
        <v>54</v>
      </c>
      <c r="S84" s="38">
        <f>VLOOKUP(R84,'Sheet A'!R84:AJ694,2,)</f>
        <v>63</v>
      </c>
    </row>
    <row r="85" spans="1:19" x14ac:dyDescent="0.35">
      <c r="A85" s="37">
        <v>84</v>
      </c>
      <c r="B85" s="60">
        <f>VLOOKUP(A85,'Sheet A'!A85:S695,2,)</f>
        <v>40547</v>
      </c>
      <c r="C85" s="38">
        <f>VLOOKUP(B85,'Sheet A'!B85:T695,2,)</f>
        <v>1</v>
      </c>
      <c r="D85" s="38">
        <f>VLOOKUP(C85,'Sheet A'!C85:U695,2,)</f>
        <v>0</v>
      </c>
      <c r="E85" s="38">
        <f>VLOOKUP(D85,'Sheet A'!D85:V695,2,)</f>
        <v>1</v>
      </c>
      <c r="F85" s="38">
        <f>VLOOKUP(E85,'Sheet A'!E85:W695,2,)</f>
        <v>15</v>
      </c>
      <c r="G85" s="41" t="str">
        <f>VLOOKUP(F85,'Sheet A'!F85:X695,2,)</f>
        <v>AfterNoon</v>
      </c>
      <c r="H85" s="38" t="b">
        <f>VLOOKUP(G85,'Sheet A'!G85:Y695,2,)</f>
        <v>0</v>
      </c>
      <c r="I85" s="38">
        <f>VLOOKUP(H85,'Sheet A'!H85:Z695,2,)</f>
        <v>2</v>
      </c>
      <c r="J85" s="41" t="str">
        <f>VLOOKUP(I85,'Sheet A'!I85:AA695,2,)</f>
        <v>Monday</v>
      </c>
      <c r="K85" s="38">
        <f>VLOOKUP(J85,'Sheet A'!J85:AB695,2,)</f>
        <v>1</v>
      </c>
      <c r="L85" s="38">
        <f>VLOOKUP(K85,'Sheet A'!K85:AC695,2,)</f>
        <v>0.28000000000000003</v>
      </c>
      <c r="M85" s="70" t="str">
        <f>VLOOKUP(L85,'Sheet A'!L85:AD695,2,)</f>
        <v>Cloudy</v>
      </c>
      <c r="N85" s="38">
        <f>VLOOKUP(M85,'Sheet A'!M85:AE695,2,)</f>
        <v>0.2727</v>
      </c>
      <c r="O85" s="38">
        <f>VLOOKUP(N85,'Sheet A'!N85:AF695,2,)</f>
        <v>0.52</v>
      </c>
      <c r="P85" s="38">
        <f>VLOOKUP(O85,'Sheet A'!O85:AG695,2,)</f>
        <v>0.25369999999999998</v>
      </c>
      <c r="Q85" s="38">
        <f>VLOOKUP(P85,'Sheet A'!P85:AH695,2,)</f>
        <v>17</v>
      </c>
      <c r="R85" s="38">
        <f>VLOOKUP(Q85,'Sheet A'!Q85:AI695,2,)</f>
        <v>48</v>
      </c>
      <c r="S85" s="38">
        <f>VLOOKUP(R85,'Sheet A'!R85:AJ695,2,)</f>
        <v>65</v>
      </c>
    </row>
    <row r="86" spans="1:19" x14ac:dyDescent="0.35">
      <c r="A86" s="37">
        <v>85</v>
      </c>
      <c r="B86" s="60">
        <f>VLOOKUP(A86,'Sheet A'!A86:S696,2,)</f>
        <v>40547</v>
      </c>
      <c r="C86" s="38">
        <f>VLOOKUP(B86,'Sheet A'!B86:T696,2,)</f>
        <v>1</v>
      </c>
      <c r="D86" s="38">
        <f>VLOOKUP(C86,'Sheet A'!C86:U696,2,)</f>
        <v>0</v>
      </c>
      <c r="E86" s="38">
        <f>VLOOKUP(D86,'Sheet A'!D86:V696,2,)</f>
        <v>1</v>
      </c>
      <c r="F86" s="38">
        <f>VLOOKUP(E86,'Sheet A'!E86:W696,2,)</f>
        <v>16</v>
      </c>
      <c r="G86" s="41" t="str">
        <f>VLOOKUP(F86,'Sheet A'!F86:X696,2,)</f>
        <v>AfterNoon</v>
      </c>
      <c r="H86" s="38" t="b">
        <f>VLOOKUP(G86,'Sheet A'!G86:Y696,2,)</f>
        <v>0</v>
      </c>
      <c r="I86" s="38">
        <f>VLOOKUP(H86,'Sheet A'!H86:Z696,2,)</f>
        <v>2</v>
      </c>
      <c r="J86" s="41" t="str">
        <f>VLOOKUP(I86,'Sheet A'!I86:AA696,2,)</f>
        <v>Monday</v>
      </c>
      <c r="K86" s="38">
        <f>VLOOKUP(J86,'Sheet A'!J86:AB696,2,)</f>
        <v>1</v>
      </c>
      <c r="L86" s="38">
        <f>VLOOKUP(K86,'Sheet A'!K86:AC696,2,)</f>
        <v>0.3</v>
      </c>
      <c r="M86" s="70" t="str">
        <f>VLOOKUP(L86,'Sheet A'!L86:AD696,2,)</f>
        <v>Cloudy</v>
      </c>
      <c r="N86" s="38">
        <f>VLOOKUP(M86,'Sheet A'!M86:AE696,2,)</f>
        <v>0.28789999999999999</v>
      </c>
      <c r="O86" s="38">
        <f>VLOOKUP(N86,'Sheet A'!N86:AF696,2,)</f>
        <v>0.49</v>
      </c>
      <c r="P86" s="38">
        <f>VLOOKUP(O86,'Sheet A'!O86:AG696,2,)</f>
        <v>0.25369999999999998</v>
      </c>
      <c r="Q86" s="38">
        <f>VLOOKUP(P86,'Sheet A'!P86:AH696,2,)</f>
        <v>15</v>
      </c>
      <c r="R86" s="38">
        <f>VLOOKUP(Q86,'Sheet A'!Q86:AI696,2,)</f>
        <v>68</v>
      </c>
      <c r="S86" s="38">
        <f>VLOOKUP(R86,'Sheet A'!R86:AJ696,2,)</f>
        <v>83</v>
      </c>
    </row>
    <row r="87" spans="1:19" x14ac:dyDescent="0.35">
      <c r="A87" s="37">
        <v>86</v>
      </c>
      <c r="B87" s="60">
        <f>VLOOKUP(A87,'Sheet A'!A87:S697,2,)</f>
        <v>40547</v>
      </c>
      <c r="C87" s="38">
        <f>VLOOKUP(B87,'Sheet A'!B87:T697,2,)</f>
        <v>1</v>
      </c>
      <c r="D87" s="38">
        <f>VLOOKUP(C87,'Sheet A'!C87:U697,2,)</f>
        <v>0</v>
      </c>
      <c r="E87" s="38">
        <f>VLOOKUP(D87,'Sheet A'!D87:V697,2,)</f>
        <v>1</v>
      </c>
      <c r="F87" s="38">
        <f>VLOOKUP(E87,'Sheet A'!E87:W697,2,)</f>
        <v>17</v>
      </c>
      <c r="G87" s="41" t="str">
        <f>VLOOKUP(F87,'Sheet A'!F87:X697,2,)</f>
        <v>Evening</v>
      </c>
      <c r="H87" s="38" t="b">
        <f>VLOOKUP(G87,'Sheet A'!G87:Y697,2,)</f>
        <v>0</v>
      </c>
      <c r="I87" s="38">
        <f>VLOOKUP(H87,'Sheet A'!H87:Z697,2,)</f>
        <v>2</v>
      </c>
      <c r="J87" s="41" t="str">
        <f>VLOOKUP(I87,'Sheet A'!I87:AA697,2,)</f>
        <v>Monday</v>
      </c>
      <c r="K87" s="38">
        <f>VLOOKUP(J87,'Sheet A'!J87:AB697,2,)</f>
        <v>1</v>
      </c>
      <c r="L87" s="38">
        <f>VLOOKUP(K87,'Sheet A'!K87:AC697,2,)</f>
        <v>0.28000000000000003</v>
      </c>
      <c r="M87" s="70" t="str">
        <f>VLOOKUP(L87,'Sheet A'!L87:AD697,2,)</f>
        <v>Cloudy</v>
      </c>
      <c r="N87" s="38">
        <f>VLOOKUP(M87,'Sheet A'!M87:AE697,2,)</f>
        <v>0.2727</v>
      </c>
      <c r="O87" s="38">
        <f>VLOOKUP(N87,'Sheet A'!N87:AF697,2,)</f>
        <v>0.48</v>
      </c>
      <c r="P87" s="38">
        <f>VLOOKUP(O87,'Sheet A'!O87:AG697,2,)</f>
        <v>0.22389999999999999</v>
      </c>
      <c r="Q87" s="38">
        <f>VLOOKUP(P87,'Sheet A'!P87:AH697,2,)</f>
        <v>10</v>
      </c>
      <c r="R87" s="38">
        <f>VLOOKUP(Q87,'Sheet A'!Q87:AI697,2,)</f>
        <v>202</v>
      </c>
      <c r="S87" s="38">
        <f>VLOOKUP(R87,'Sheet A'!R87:AJ697,2,)</f>
        <v>212</v>
      </c>
    </row>
    <row r="88" spans="1:19" x14ac:dyDescent="0.35">
      <c r="A88" s="37">
        <v>87</v>
      </c>
      <c r="B88" s="60">
        <f>VLOOKUP(A88,'Sheet A'!A88:S698,2,)</f>
        <v>40547</v>
      </c>
      <c r="C88" s="38">
        <f>VLOOKUP(B88,'Sheet A'!B88:T698,2,)</f>
        <v>1</v>
      </c>
      <c r="D88" s="38">
        <f>VLOOKUP(C88,'Sheet A'!C88:U698,2,)</f>
        <v>0</v>
      </c>
      <c r="E88" s="38">
        <f>VLOOKUP(D88,'Sheet A'!D88:V698,2,)</f>
        <v>1</v>
      </c>
      <c r="F88" s="38">
        <f>VLOOKUP(E88,'Sheet A'!E88:W698,2,)</f>
        <v>18</v>
      </c>
      <c r="G88" s="41" t="str">
        <f>VLOOKUP(F88,'Sheet A'!F88:X698,2,)</f>
        <v>Evening</v>
      </c>
      <c r="H88" s="38" t="b">
        <f>VLOOKUP(G88,'Sheet A'!G88:Y698,2,)</f>
        <v>0</v>
      </c>
      <c r="I88" s="38">
        <f>VLOOKUP(H88,'Sheet A'!H88:Z698,2,)</f>
        <v>2</v>
      </c>
      <c r="J88" s="41" t="str">
        <f>VLOOKUP(I88,'Sheet A'!I88:AA698,2,)</f>
        <v>Monday</v>
      </c>
      <c r="K88" s="38">
        <f>VLOOKUP(J88,'Sheet A'!J88:AB698,2,)</f>
        <v>1</v>
      </c>
      <c r="L88" s="38">
        <f>VLOOKUP(K88,'Sheet A'!K88:AC698,2,)</f>
        <v>0.26</v>
      </c>
      <c r="M88" s="70" t="str">
        <f>VLOOKUP(L88,'Sheet A'!L88:AD698,2,)</f>
        <v>Cloudy</v>
      </c>
      <c r="N88" s="38">
        <f>VLOOKUP(M88,'Sheet A'!M88:AE698,2,)</f>
        <v>0.2576</v>
      </c>
      <c r="O88" s="38">
        <f>VLOOKUP(N88,'Sheet A'!N88:AF698,2,)</f>
        <v>0.48</v>
      </c>
      <c r="P88" s="38">
        <f>VLOOKUP(O88,'Sheet A'!O88:AG698,2,)</f>
        <v>0.19400000000000001</v>
      </c>
      <c r="Q88" s="38">
        <f>VLOOKUP(P88,'Sheet A'!P88:AH698,2,)</f>
        <v>3</v>
      </c>
      <c r="R88" s="38">
        <f>VLOOKUP(Q88,'Sheet A'!Q88:AI698,2,)</f>
        <v>179</v>
      </c>
      <c r="S88" s="38">
        <f>VLOOKUP(R88,'Sheet A'!R88:AJ698,2,)</f>
        <v>182</v>
      </c>
    </row>
    <row r="89" spans="1:19" x14ac:dyDescent="0.35">
      <c r="A89" s="37">
        <v>88</v>
      </c>
      <c r="B89" s="60">
        <f>VLOOKUP(A89,'Sheet A'!A89:S699,2,)</f>
        <v>40547</v>
      </c>
      <c r="C89" s="38">
        <f>VLOOKUP(B89,'Sheet A'!B89:T699,2,)</f>
        <v>1</v>
      </c>
      <c r="D89" s="38">
        <f>VLOOKUP(C89,'Sheet A'!C89:U699,2,)</f>
        <v>0</v>
      </c>
      <c r="E89" s="38">
        <f>VLOOKUP(D89,'Sheet A'!D89:V699,2,)</f>
        <v>1</v>
      </c>
      <c r="F89" s="38">
        <f>VLOOKUP(E89,'Sheet A'!E89:W699,2,)</f>
        <v>19</v>
      </c>
      <c r="G89" s="41" t="str">
        <f>VLOOKUP(F89,'Sheet A'!F89:X699,2,)</f>
        <v>Evening</v>
      </c>
      <c r="H89" s="38" t="b">
        <f>VLOOKUP(G89,'Sheet A'!G89:Y699,2,)</f>
        <v>0</v>
      </c>
      <c r="I89" s="38">
        <f>VLOOKUP(H89,'Sheet A'!H89:Z699,2,)</f>
        <v>2</v>
      </c>
      <c r="J89" s="41" t="str">
        <f>VLOOKUP(I89,'Sheet A'!I89:AA699,2,)</f>
        <v>Monday</v>
      </c>
      <c r="K89" s="38">
        <f>VLOOKUP(J89,'Sheet A'!J89:AB699,2,)</f>
        <v>1</v>
      </c>
      <c r="L89" s="38">
        <f>VLOOKUP(K89,'Sheet A'!K89:AC699,2,)</f>
        <v>0.24</v>
      </c>
      <c r="M89" s="70" t="str">
        <f>VLOOKUP(L89,'Sheet A'!L89:AD699,2,)</f>
        <v>Cloudy</v>
      </c>
      <c r="N89" s="38">
        <f>VLOOKUP(M89,'Sheet A'!M89:AE699,2,)</f>
        <v>0.2576</v>
      </c>
      <c r="O89" s="38">
        <f>VLOOKUP(N89,'Sheet A'!N89:AF699,2,)</f>
        <v>0.48</v>
      </c>
      <c r="P89" s="38">
        <f>VLOOKUP(O89,'Sheet A'!O89:AG699,2,)</f>
        <v>0.1045</v>
      </c>
      <c r="Q89" s="38">
        <f>VLOOKUP(P89,'Sheet A'!P89:AH699,2,)</f>
        <v>2</v>
      </c>
      <c r="R89" s="38">
        <f>VLOOKUP(Q89,'Sheet A'!Q89:AI699,2,)</f>
        <v>110</v>
      </c>
      <c r="S89" s="38">
        <f>VLOOKUP(R89,'Sheet A'!R89:AJ699,2,)</f>
        <v>112</v>
      </c>
    </row>
    <row r="90" spans="1:19" x14ac:dyDescent="0.35">
      <c r="A90" s="37">
        <v>89</v>
      </c>
      <c r="B90" s="60">
        <f>VLOOKUP(A90,'Sheet A'!A90:S700,2,)</f>
        <v>40547</v>
      </c>
      <c r="C90" s="38">
        <f>VLOOKUP(B90,'Sheet A'!B90:T700,2,)</f>
        <v>1</v>
      </c>
      <c r="D90" s="38">
        <f>VLOOKUP(C90,'Sheet A'!C90:U700,2,)</f>
        <v>0</v>
      </c>
      <c r="E90" s="38">
        <f>VLOOKUP(D90,'Sheet A'!D90:V700,2,)</f>
        <v>1</v>
      </c>
      <c r="F90" s="38">
        <f>VLOOKUP(E90,'Sheet A'!E90:W700,2,)</f>
        <v>20</v>
      </c>
      <c r="G90" s="41" t="str">
        <f>VLOOKUP(F90,'Sheet A'!F90:X700,2,)</f>
        <v>Night</v>
      </c>
      <c r="H90" s="38" t="b">
        <f>VLOOKUP(G90,'Sheet A'!G90:Y700,2,)</f>
        <v>0</v>
      </c>
      <c r="I90" s="38">
        <f>VLOOKUP(H90,'Sheet A'!H90:Z700,2,)</f>
        <v>2</v>
      </c>
      <c r="J90" s="41" t="str">
        <f>VLOOKUP(I90,'Sheet A'!I90:AA700,2,)</f>
        <v>Monday</v>
      </c>
      <c r="K90" s="38">
        <f>VLOOKUP(J90,'Sheet A'!J90:AB700,2,)</f>
        <v>1</v>
      </c>
      <c r="L90" s="38">
        <f>VLOOKUP(K90,'Sheet A'!K90:AC700,2,)</f>
        <v>0.24</v>
      </c>
      <c r="M90" s="70" t="str">
        <f>VLOOKUP(L90,'Sheet A'!L90:AD700,2,)</f>
        <v>Cloudy</v>
      </c>
      <c r="N90" s="38">
        <f>VLOOKUP(M90,'Sheet A'!M90:AE700,2,)</f>
        <v>0.2576</v>
      </c>
      <c r="O90" s="38">
        <f>VLOOKUP(N90,'Sheet A'!N90:AF700,2,)</f>
        <v>0.48</v>
      </c>
      <c r="P90" s="38">
        <f>VLOOKUP(O90,'Sheet A'!O90:AG700,2,)</f>
        <v>0.1045</v>
      </c>
      <c r="Q90" s="38">
        <f>VLOOKUP(P90,'Sheet A'!P90:AH700,2,)</f>
        <v>1</v>
      </c>
      <c r="R90" s="38">
        <f>VLOOKUP(Q90,'Sheet A'!Q90:AI700,2,)</f>
        <v>53</v>
      </c>
      <c r="S90" s="38">
        <f>VLOOKUP(R90,'Sheet A'!R90:AJ700,2,)</f>
        <v>54</v>
      </c>
    </row>
    <row r="91" spans="1:19" x14ac:dyDescent="0.35">
      <c r="A91" s="37">
        <v>90</v>
      </c>
      <c r="B91" s="60">
        <f>VLOOKUP(A91,'Sheet A'!A91:S701,2,)</f>
        <v>40547</v>
      </c>
      <c r="C91" s="38">
        <f>VLOOKUP(B91,'Sheet A'!B91:T701,2,)</f>
        <v>1</v>
      </c>
      <c r="D91" s="38">
        <f>VLOOKUP(C91,'Sheet A'!C91:U701,2,)</f>
        <v>0</v>
      </c>
      <c r="E91" s="38">
        <f>VLOOKUP(D91,'Sheet A'!D91:V701,2,)</f>
        <v>1</v>
      </c>
      <c r="F91" s="38">
        <f>VLOOKUP(E91,'Sheet A'!E91:W701,2,)</f>
        <v>21</v>
      </c>
      <c r="G91" s="41" t="str">
        <f>VLOOKUP(F91,'Sheet A'!F91:X701,2,)</f>
        <v>Night</v>
      </c>
      <c r="H91" s="38" t="b">
        <f>VLOOKUP(G91,'Sheet A'!G91:Y701,2,)</f>
        <v>0</v>
      </c>
      <c r="I91" s="38">
        <f>VLOOKUP(H91,'Sheet A'!H91:Z701,2,)</f>
        <v>2</v>
      </c>
      <c r="J91" s="41" t="str">
        <f>VLOOKUP(I91,'Sheet A'!I91:AA701,2,)</f>
        <v>Monday</v>
      </c>
      <c r="K91" s="38">
        <f>VLOOKUP(J91,'Sheet A'!J91:AB701,2,)</f>
        <v>1</v>
      </c>
      <c r="L91" s="38">
        <f>VLOOKUP(K91,'Sheet A'!K91:AC701,2,)</f>
        <v>0.22</v>
      </c>
      <c r="M91" s="70" t="str">
        <f>VLOOKUP(L91,'Sheet A'!L91:AD701,2,)</f>
        <v>Cloudy</v>
      </c>
      <c r="N91" s="38">
        <f>VLOOKUP(M91,'Sheet A'!M91:AE701,2,)</f>
        <v>0.2727</v>
      </c>
      <c r="O91" s="38">
        <f>VLOOKUP(N91,'Sheet A'!N91:AF701,2,)</f>
        <v>0.64</v>
      </c>
      <c r="P91" s="38">
        <f>VLOOKUP(O91,'Sheet A'!O91:AG701,2,)</f>
        <v>0</v>
      </c>
      <c r="Q91" s="38">
        <f>VLOOKUP(P91,'Sheet A'!P91:AH701,2,)</f>
        <v>0</v>
      </c>
      <c r="R91" s="38">
        <f>VLOOKUP(Q91,'Sheet A'!Q91:AI701,2,)</f>
        <v>48</v>
      </c>
      <c r="S91" s="38">
        <f>VLOOKUP(R91,'Sheet A'!R91:AJ701,2,)</f>
        <v>48</v>
      </c>
    </row>
    <row r="92" spans="1:19" x14ac:dyDescent="0.35">
      <c r="A92" s="37">
        <v>91</v>
      </c>
      <c r="B92" s="60">
        <f>VLOOKUP(A92,'Sheet A'!A92:S702,2,)</f>
        <v>40547</v>
      </c>
      <c r="C92" s="38">
        <f>VLOOKUP(B92,'Sheet A'!B92:T702,2,)</f>
        <v>1</v>
      </c>
      <c r="D92" s="38">
        <f>VLOOKUP(C92,'Sheet A'!C92:U702,2,)</f>
        <v>0</v>
      </c>
      <c r="E92" s="38">
        <f>VLOOKUP(D92,'Sheet A'!D92:V702,2,)</f>
        <v>1</v>
      </c>
      <c r="F92" s="38">
        <f>VLOOKUP(E92,'Sheet A'!E92:W702,2,)</f>
        <v>22</v>
      </c>
      <c r="G92" s="41" t="str">
        <f>VLOOKUP(F92,'Sheet A'!F92:X702,2,)</f>
        <v>Night</v>
      </c>
      <c r="H92" s="38" t="b">
        <f>VLOOKUP(G92,'Sheet A'!G92:Y702,2,)</f>
        <v>0</v>
      </c>
      <c r="I92" s="38">
        <f>VLOOKUP(H92,'Sheet A'!H92:Z702,2,)</f>
        <v>2</v>
      </c>
      <c r="J92" s="41" t="str">
        <f>VLOOKUP(I92,'Sheet A'!I92:AA702,2,)</f>
        <v>Monday</v>
      </c>
      <c r="K92" s="38">
        <f>VLOOKUP(J92,'Sheet A'!J92:AB702,2,)</f>
        <v>1</v>
      </c>
      <c r="L92" s="38">
        <f>VLOOKUP(K92,'Sheet A'!K92:AC702,2,)</f>
        <v>0.22</v>
      </c>
      <c r="M92" s="70" t="str">
        <f>VLOOKUP(L92,'Sheet A'!L92:AD702,2,)</f>
        <v>Cloudy</v>
      </c>
      <c r="N92" s="38">
        <f>VLOOKUP(M92,'Sheet A'!M92:AE702,2,)</f>
        <v>0.2576</v>
      </c>
      <c r="O92" s="38">
        <f>VLOOKUP(N92,'Sheet A'!N92:AF702,2,)</f>
        <v>0.64</v>
      </c>
      <c r="P92" s="38">
        <f>VLOOKUP(O92,'Sheet A'!O92:AG702,2,)</f>
        <v>8.9599999999999999E-2</v>
      </c>
      <c r="Q92" s="38">
        <f>VLOOKUP(P92,'Sheet A'!P92:AH702,2,)</f>
        <v>1</v>
      </c>
      <c r="R92" s="38">
        <f>VLOOKUP(Q92,'Sheet A'!Q92:AI702,2,)</f>
        <v>34</v>
      </c>
      <c r="S92" s="38">
        <f>VLOOKUP(R92,'Sheet A'!R92:AJ702,2,)</f>
        <v>35</v>
      </c>
    </row>
    <row r="93" spans="1:19" x14ac:dyDescent="0.35">
      <c r="A93" s="37">
        <v>92</v>
      </c>
      <c r="B93" s="60">
        <f>VLOOKUP(A93,'Sheet A'!A93:S703,2,)</f>
        <v>40547</v>
      </c>
      <c r="C93" s="38">
        <f>VLOOKUP(B93,'Sheet A'!B93:T703,2,)</f>
        <v>1</v>
      </c>
      <c r="D93" s="38">
        <f>VLOOKUP(C93,'Sheet A'!C93:U703,2,)</f>
        <v>0</v>
      </c>
      <c r="E93" s="38">
        <f>VLOOKUP(D93,'Sheet A'!D93:V703,2,)</f>
        <v>1</v>
      </c>
      <c r="F93" s="38">
        <f>VLOOKUP(E93,'Sheet A'!E93:W703,2,)</f>
        <v>23</v>
      </c>
      <c r="G93" s="41" t="str">
        <f>VLOOKUP(F93,'Sheet A'!F93:X703,2,)</f>
        <v>Night</v>
      </c>
      <c r="H93" s="38" t="b">
        <f>VLOOKUP(G93,'Sheet A'!G93:Y703,2,)</f>
        <v>0</v>
      </c>
      <c r="I93" s="38">
        <f>VLOOKUP(H93,'Sheet A'!H93:Z703,2,)</f>
        <v>2</v>
      </c>
      <c r="J93" s="41" t="str">
        <f>VLOOKUP(I93,'Sheet A'!I93:AA703,2,)</f>
        <v>Monday</v>
      </c>
      <c r="K93" s="38">
        <f>VLOOKUP(J93,'Sheet A'!J93:AB703,2,)</f>
        <v>1</v>
      </c>
      <c r="L93" s="38">
        <f>VLOOKUP(K93,'Sheet A'!K93:AC703,2,)</f>
        <v>0.2</v>
      </c>
      <c r="M93" s="70" t="str">
        <f>VLOOKUP(L93,'Sheet A'!L93:AD703,2,)</f>
        <v>Rainy</v>
      </c>
      <c r="N93" s="38">
        <f>VLOOKUP(M93,'Sheet A'!M93:AE703,2,)</f>
        <v>0.2273</v>
      </c>
      <c r="O93" s="38">
        <f>VLOOKUP(N93,'Sheet A'!N93:AF703,2,)</f>
        <v>0.69</v>
      </c>
      <c r="P93" s="38">
        <f>VLOOKUP(O93,'Sheet A'!O93:AG703,2,)</f>
        <v>8.9599999999999999E-2</v>
      </c>
      <c r="Q93" s="38">
        <f>VLOOKUP(P93,'Sheet A'!P93:AH703,2,)</f>
        <v>2</v>
      </c>
      <c r="R93" s="38">
        <f>VLOOKUP(Q93,'Sheet A'!Q93:AI703,2,)</f>
        <v>9</v>
      </c>
      <c r="S93" s="38">
        <f>VLOOKUP(R93,'Sheet A'!R93:AJ703,2,)</f>
        <v>11</v>
      </c>
    </row>
    <row r="94" spans="1:19" x14ac:dyDescent="0.35">
      <c r="A94" s="37">
        <v>93</v>
      </c>
      <c r="B94" s="60">
        <f>VLOOKUP(A94,'Sheet A'!A94:S704,2,)</f>
        <v>40548</v>
      </c>
      <c r="C94" s="38">
        <f>VLOOKUP(B94,'Sheet A'!B94:T704,2,)</f>
        <v>1</v>
      </c>
      <c r="D94" s="38">
        <f>VLOOKUP(C94,'Sheet A'!C94:U704,2,)</f>
        <v>0</v>
      </c>
      <c r="E94" s="38">
        <f>VLOOKUP(D94,'Sheet A'!D94:V704,2,)</f>
        <v>1</v>
      </c>
      <c r="F94" s="38">
        <f>VLOOKUP(E94,'Sheet A'!E94:W704,2,)</f>
        <v>0</v>
      </c>
      <c r="G94" s="41" t="str">
        <f>VLOOKUP(F94,'Sheet A'!F94:X704,2,)</f>
        <v>Night</v>
      </c>
      <c r="H94" s="38" t="b">
        <f>VLOOKUP(G94,'Sheet A'!G94:Y704,2,)</f>
        <v>0</v>
      </c>
      <c r="I94" s="38">
        <f>VLOOKUP(H94,'Sheet A'!H94:Z704,2,)</f>
        <v>3</v>
      </c>
      <c r="J94" s="41" t="str">
        <f>VLOOKUP(I94,'Sheet A'!I94:AA704,2,)</f>
        <v>Tuesday</v>
      </c>
      <c r="K94" s="38">
        <f>VLOOKUP(J94,'Sheet A'!J94:AB704,2,)</f>
        <v>1</v>
      </c>
      <c r="L94" s="38">
        <f>VLOOKUP(K94,'Sheet A'!K94:AC704,2,)</f>
        <v>0.2</v>
      </c>
      <c r="M94" s="70" t="str">
        <f>VLOOKUP(L94,'Sheet A'!L94:AD704,2,)</f>
        <v>Rainy</v>
      </c>
      <c r="N94" s="38">
        <f>VLOOKUP(M94,'Sheet A'!M94:AE704,2,)</f>
        <v>0.2576</v>
      </c>
      <c r="O94" s="38">
        <f>VLOOKUP(N94,'Sheet A'!N94:AF704,2,)</f>
        <v>0.64</v>
      </c>
      <c r="P94" s="38">
        <f>VLOOKUP(O94,'Sheet A'!O94:AG704,2,)</f>
        <v>0</v>
      </c>
      <c r="Q94" s="38">
        <f>VLOOKUP(P94,'Sheet A'!P94:AH704,2,)</f>
        <v>0</v>
      </c>
      <c r="R94" s="38">
        <f>VLOOKUP(Q94,'Sheet A'!Q94:AI704,2,)</f>
        <v>6</v>
      </c>
      <c r="S94" s="38">
        <f>VLOOKUP(R94,'Sheet A'!R94:AJ704,2,)</f>
        <v>6</v>
      </c>
    </row>
    <row r="95" spans="1:19" x14ac:dyDescent="0.35">
      <c r="A95" s="37">
        <v>94</v>
      </c>
      <c r="B95" s="60">
        <f>VLOOKUP(A95,'Sheet A'!A95:S705,2,)</f>
        <v>40548</v>
      </c>
      <c r="C95" s="38">
        <f>VLOOKUP(B95,'Sheet A'!B95:T705,2,)</f>
        <v>1</v>
      </c>
      <c r="D95" s="38">
        <f>VLOOKUP(C95,'Sheet A'!C95:U705,2,)</f>
        <v>0</v>
      </c>
      <c r="E95" s="38">
        <f>VLOOKUP(D95,'Sheet A'!D95:V705,2,)</f>
        <v>1</v>
      </c>
      <c r="F95" s="38">
        <f>VLOOKUP(E95,'Sheet A'!E95:W705,2,)</f>
        <v>1</v>
      </c>
      <c r="G95" s="41" t="str">
        <f>VLOOKUP(F95,'Sheet A'!F95:X705,2,)</f>
        <v>Night</v>
      </c>
      <c r="H95" s="38" t="b">
        <f>VLOOKUP(G95,'Sheet A'!G95:Y705,2,)</f>
        <v>0</v>
      </c>
      <c r="I95" s="38">
        <f>VLOOKUP(H95,'Sheet A'!H95:Z705,2,)</f>
        <v>3</v>
      </c>
      <c r="J95" s="41" t="str">
        <f>VLOOKUP(I95,'Sheet A'!I95:AA705,2,)</f>
        <v>Tuesday</v>
      </c>
      <c r="K95" s="38">
        <f>VLOOKUP(J95,'Sheet A'!J95:AB705,2,)</f>
        <v>1</v>
      </c>
      <c r="L95" s="38">
        <f>VLOOKUP(K95,'Sheet A'!K95:AC705,2,)</f>
        <v>0.16</v>
      </c>
      <c r="M95" s="70" t="str">
        <f>VLOOKUP(L95,'Sheet A'!L95:AD705,2,)</f>
        <v>Rainy</v>
      </c>
      <c r="N95" s="38">
        <f>VLOOKUP(M95,'Sheet A'!M95:AE705,2,)</f>
        <v>0.19700000000000001</v>
      </c>
      <c r="O95" s="38">
        <f>VLOOKUP(N95,'Sheet A'!N95:AF705,2,)</f>
        <v>0.74</v>
      </c>
      <c r="P95" s="38">
        <f>VLOOKUP(O95,'Sheet A'!O95:AG705,2,)</f>
        <v>8.9599999999999999E-2</v>
      </c>
      <c r="Q95" s="38">
        <f>VLOOKUP(P95,'Sheet A'!P95:AH705,2,)</f>
        <v>0</v>
      </c>
      <c r="R95" s="38">
        <f>VLOOKUP(Q95,'Sheet A'!Q95:AI705,2,)</f>
        <v>6</v>
      </c>
      <c r="S95" s="38">
        <f>VLOOKUP(R95,'Sheet A'!R95:AJ705,2,)</f>
        <v>6</v>
      </c>
    </row>
    <row r="96" spans="1:19" x14ac:dyDescent="0.35">
      <c r="A96" s="37">
        <v>95</v>
      </c>
      <c r="B96" s="60">
        <f>VLOOKUP(A96,'Sheet A'!A96:S706,2,)</f>
        <v>40548</v>
      </c>
      <c r="C96" s="38">
        <f>VLOOKUP(B96,'Sheet A'!B96:T706,2,)</f>
        <v>1</v>
      </c>
      <c r="D96" s="38">
        <f>VLOOKUP(C96,'Sheet A'!C96:U706,2,)</f>
        <v>0</v>
      </c>
      <c r="E96" s="38">
        <f>VLOOKUP(D96,'Sheet A'!D96:V706,2,)</f>
        <v>1</v>
      </c>
      <c r="F96" s="38">
        <f>VLOOKUP(E96,'Sheet A'!E96:W706,2,)</f>
        <v>2</v>
      </c>
      <c r="G96" s="41" t="str">
        <f>VLOOKUP(F96,'Sheet A'!F96:X706,2,)</f>
        <v>Night</v>
      </c>
      <c r="H96" s="38" t="b">
        <f>VLOOKUP(G96,'Sheet A'!G96:Y706,2,)</f>
        <v>0</v>
      </c>
      <c r="I96" s="38">
        <f>VLOOKUP(H96,'Sheet A'!H96:Z706,2,)</f>
        <v>3</v>
      </c>
      <c r="J96" s="41" t="str">
        <f>VLOOKUP(I96,'Sheet A'!I96:AA706,2,)</f>
        <v>Tuesday</v>
      </c>
      <c r="K96" s="38">
        <f>VLOOKUP(J96,'Sheet A'!J96:AB706,2,)</f>
        <v>1</v>
      </c>
      <c r="L96" s="38">
        <f>VLOOKUP(K96,'Sheet A'!K96:AC706,2,)</f>
        <v>0.16</v>
      </c>
      <c r="M96" s="70" t="str">
        <f>VLOOKUP(L96,'Sheet A'!L96:AD706,2,)</f>
        <v>Rainy</v>
      </c>
      <c r="N96" s="38">
        <f>VLOOKUP(M96,'Sheet A'!M96:AE706,2,)</f>
        <v>0.19700000000000001</v>
      </c>
      <c r="O96" s="38">
        <f>VLOOKUP(N96,'Sheet A'!N96:AF706,2,)</f>
        <v>0.74</v>
      </c>
      <c r="P96" s="38">
        <f>VLOOKUP(O96,'Sheet A'!O96:AG706,2,)</f>
        <v>8.9599999999999999E-2</v>
      </c>
      <c r="Q96" s="38">
        <f>VLOOKUP(P96,'Sheet A'!P96:AH706,2,)</f>
        <v>0</v>
      </c>
      <c r="R96" s="38">
        <f>VLOOKUP(Q96,'Sheet A'!Q96:AI706,2,)</f>
        <v>2</v>
      </c>
      <c r="S96" s="38">
        <f>VLOOKUP(R96,'Sheet A'!R96:AJ706,2,)</f>
        <v>2</v>
      </c>
    </row>
    <row r="97" spans="1:19" x14ac:dyDescent="0.35">
      <c r="A97" s="37">
        <v>96</v>
      </c>
      <c r="B97" s="60">
        <f>VLOOKUP(A97,'Sheet A'!A97:S707,2,)</f>
        <v>40548</v>
      </c>
      <c r="C97" s="38">
        <f>VLOOKUP(B97,'Sheet A'!B97:T707,2,)</f>
        <v>1</v>
      </c>
      <c r="D97" s="38">
        <f>VLOOKUP(C97,'Sheet A'!C97:U707,2,)</f>
        <v>0</v>
      </c>
      <c r="E97" s="38">
        <f>VLOOKUP(D97,'Sheet A'!D97:V707,2,)</f>
        <v>1</v>
      </c>
      <c r="F97" s="38">
        <f>VLOOKUP(E97,'Sheet A'!E97:W707,2,)</f>
        <v>4</v>
      </c>
      <c r="G97" s="41" t="str">
        <f>VLOOKUP(F97,'Sheet A'!F97:X707,2,)</f>
        <v>Night</v>
      </c>
      <c r="H97" s="38" t="b">
        <f>VLOOKUP(G97,'Sheet A'!G97:Y707,2,)</f>
        <v>0</v>
      </c>
      <c r="I97" s="38">
        <f>VLOOKUP(H97,'Sheet A'!H97:Z707,2,)</f>
        <v>3</v>
      </c>
      <c r="J97" s="41" t="str">
        <f>VLOOKUP(I97,'Sheet A'!I97:AA707,2,)</f>
        <v>Tuesday</v>
      </c>
      <c r="K97" s="38">
        <f>VLOOKUP(J97,'Sheet A'!J97:AB707,2,)</f>
        <v>1</v>
      </c>
      <c r="L97" s="38">
        <f>VLOOKUP(K97,'Sheet A'!K97:AC707,2,)</f>
        <v>0.24</v>
      </c>
      <c r="M97" s="70" t="str">
        <f>VLOOKUP(L97,'Sheet A'!L97:AD707,2,)</f>
        <v>Cloudy</v>
      </c>
      <c r="N97" s="38">
        <f>VLOOKUP(M97,'Sheet A'!M97:AE707,2,)</f>
        <v>0.2273</v>
      </c>
      <c r="O97" s="38">
        <f>VLOOKUP(N97,'Sheet A'!N97:AF707,2,)</f>
        <v>0.48</v>
      </c>
      <c r="P97" s="38">
        <f>VLOOKUP(O97,'Sheet A'!O97:AG707,2,)</f>
        <v>0.22389999999999999</v>
      </c>
      <c r="Q97" s="38">
        <f>VLOOKUP(P97,'Sheet A'!P97:AH707,2,)</f>
        <v>0</v>
      </c>
      <c r="R97" s="38">
        <f>VLOOKUP(Q97,'Sheet A'!Q97:AI707,2,)</f>
        <v>2</v>
      </c>
      <c r="S97" s="38">
        <f>VLOOKUP(R97,'Sheet A'!R97:AJ707,2,)</f>
        <v>2</v>
      </c>
    </row>
    <row r="98" spans="1:19" x14ac:dyDescent="0.35">
      <c r="A98" s="37">
        <v>97</v>
      </c>
      <c r="B98" s="60">
        <f>VLOOKUP(A98,'Sheet A'!A98:S708,2,)</f>
        <v>40548</v>
      </c>
      <c r="C98" s="38">
        <f>VLOOKUP(B98,'Sheet A'!B98:T708,2,)</f>
        <v>1</v>
      </c>
      <c r="D98" s="38">
        <f>VLOOKUP(C98,'Sheet A'!C98:U708,2,)</f>
        <v>0</v>
      </c>
      <c r="E98" s="38">
        <f>VLOOKUP(D98,'Sheet A'!D98:V708,2,)</f>
        <v>1</v>
      </c>
      <c r="F98" s="38">
        <f>VLOOKUP(E98,'Sheet A'!E98:W708,2,)</f>
        <v>5</v>
      </c>
      <c r="G98" s="41" t="str">
        <f>VLOOKUP(F98,'Sheet A'!F98:X708,2,)</f>
        <v>Morning</v>
      </c>
      <c r="H98" s="38" t="b">
        <f>VLOOKUP(G98,'Sheet A'!G98:Y708,2,)</f>
        <v>0</v>
      </c>
      <c r="I98" s="38">
        <f>VLOOKUP(H98,'Sheet A'!H98:Z708,2,)</f>
        <v>3</v>
      </c>
      <c r="J98" s="41" t="str">
        <f>VLOOKUP(I98,'Sheet A'!I98:AA708,2,)</f>
        <v>Tuesday</v>
      </c>
      <c r="K98" s="38">
        <f>VLOOKUP(J98,'Sheet A'!J98:AB708,2,)</f>
        <v>1</v>
      </c>
      <c r="L98" s="38">
        <f>VLOOKUP(K98,'Sheet A'!K98:AC708,2,)</f>
        <v>0.22</v>
      </c>
      <c r="M98" s="70" t="str">
        <f>VLOOKUP(L98,'Sheet A'!L98:AD708,2,)</f>
        <v>Cloudy</v>
      </c>
      <c r="N98" s="38">
        <f>VLOOKUP(M98,'Sheet A'!M98:AE708,2,)</f>
        <v>0.2273</v>
      </c>
      <c r="O98" s="38">
        <f>VLOOKUP(N98,'Sheet A'!N98:AF708,2,)</f>
        <v>0.47</v>
      </c>
      <c r="P98" s="38">
        <f>VLOOKUP(O98,'Sheet A'!O98:AG708,2,)</f>
        <v>0.16420000000000001</v>
      </c>
      <c r="Q98" s="38">
        <f>VLOOKUP(P98,'Sheet A'!P98:AH708,2,)</f>
        <v>0</v>
      </c>
      <c r="R98" s="38">
        <f>VLOOKUP(Q98,'Sheet A'!Q98:AI708,2,)</f>
        <v>3</v>
      </c>
      <c r="S98" s="38">
        <f>VLOOKUP(R98,'Sheet A'!R98:AJ708,2,)</f>
        <v>3</v>
      </c>
    </row>
    <row r="99" spans="1:19" x14ac:dyDescent="0.35">
      <c r="A99" s="37">
        <v>98</v>
      </c>
      <c r="B99" s="60">
        <f>VLOOKUP(A99,'Sheet A'!A99:S709,2,)</f>
        <v>40548</v>
      </c>
      <c r="C99" s="38">
        <f>VLOOKUP(B99,'Sheet A'!B99:T709,2,)</f>
        <v>1</v>
      </c>
      <c r="D99" s="38">
        <f>VLOOKUP(C99,'Sheet A'!C99:U709,2,)</f>
        <v>0</v>
      </c>
      <c r="E99" s="38">
        <f>VLOOKUP(D99,'Sheet A'!D99:V709,2,)</f>
        <v>1</v>
      </c>
      <c r="F99" s="38">
        <f>VLOOKUP(E99,'Sheet A'!E99:W709,2,)</f>
        <v>6</v>
      </c>
      <c r="G99" s="41" t="str">
        <f>VLOOKUP(F99,'Sheet A'!F99:X709,2,)</f>
        <v>Morning</v>
      </c>
      <c r="H99" s="38" t="b">
        <f>VLOOKUP(G99,'Sheet A'!G99:Y709,2,)</f>
        <v>0</v>
      </c>
      <c r="I99" s="38">
        <f>VLOOKUP(H99,'Sheet A'!H99:Z709,2,)</f>
        <v>3</v>
      </c>
      <c r="J99" s="41" t="str">
        <f>VLOOKUP(I99,'Sheet A'!I99:AA709,2,)</f>
        <v>Tuesday</v>
      </c>
      <c r="K99" s="38">
        <f>VLOOKUP(J99,'Sheet A'!J99:AB709,2,)</f>
        <v>1</v>
      </c>
      <c r="L99" s="38">
        <f>VLOOKUP(K99,'Sheet A'!K99:AC709,2,)</f>
        <v>0.2</v>
      </c>
      <c r="M99" s="70" t="str">
        <f>VLOOKUP(L99,'Sheet A'!L99:AD709,2,)</f>
        <v>Rainy</v>
      </c>
      <c r="N99" s="38">
        <f>VLOOKUP(M99,'Sheet A'!M99:AE709,2,)</f>
        <v>0.19700000000000001</v>
      </c>
      <c r="O99" s="38">
        <f>VLOOKUP(N99,'Sheet A'!N99:AF709,2,)</f>
        <v>0.47</v>
      </c>
      <c r="P99" s="38">
        <f>VLOOKUP(O99,'Sheet A'!O99:AG709,2,)</f>
        <v>0.22389999999999999</v>
      </c>
      <c r="Q99" s="38">
        <f>VLOOKUP(P99,'Sheet A'!P99:AH709,2,)</f>
        <v>0</v>
      </c>
      <c r="R99" s="38">
        <f>VLOOKUP(Q99,'Sheet A'!Q99:AI709,2,)</f>
        <v>33</v>
      </c>
      <c r="S99" s="38">
        <f>VLOOKUP(R99,'Sheet A'!R99:AJ709,2,)</f>
        <v>33</v>
      </c>
    </row>
    <row r="100" spans="1:19" x14ac:dyDescent="0.35">
      <c r="A100" s="37">
        <v>99</v>
      </c>
      <c r="B100" s="60">
        <f>VLOOKUP(A100,'Sheet A'!A100:S710,2,)</f>
        <v>40548</v>
      </c>
      <c r="C100" s="38">
        <f>VLOOKUP(B100,'Sheet A'!B100:T710,2,)</f>
        <v>1</v>
      </c>
      <c r="D100" s="38">
        <f>VLOOKUP(C100,'Sheet A'!C100:U710,2,)</f>
        <v>0</v>
      </c>
      <c r="E100" s="38">
        <f>VLOOKUP(D100,'Sheet A'!D100:V710,2,)</f>
        <v>1</v>
      </c>
      <c r="F100" s="38">
        <f>VLOOKUP(E100,'Sheet A'!E100:W710,2,)</f>
        <v>7</v>
      </c>
      <c r="G100" s="41" t="str">
        <f>VLOOKUP(F100,'Sheet A'!F100:X710,2,)</f>
        <v>Morning</v>
      </c>
      <c r="H100" s="38" t="b">
        <f>VLOOKUP(G100,'Sheet A'!G100:Y710,2,)</f>
        <v>0</v>
      </c>
      <c r="I100" s="38">
        <f>VLOOKUP(H100,'Sheet A'!H100:Z710,2,)</f>
        <v>3</v>
      </c>
      <c r="J100" s="41" t="str">
        <f>VLOOKUP(I100,'Sheet A'!I100:AA710,2,)</f>
        <v>Tuesday</v>
      </c>
      <c r="K100" s="38">
        <f>VLOOKUP(J100,'Sheet A'!J100:AB710,2,)</f>
        <v>1</v>
      </c>
      <c r="L100" s="38">
        <f>VLOOKUP(K100,'Sheet A'!K100:AC710,2,)</f>
        <v>0.18</v>
      </c>
      <c r="M100" s="70" t="str">
        <f>VLOOKUP(L100,'Sheet A'!L100:AD710,2,)</f>
        <v>Rainy</v>
      </c>
      <c r="N100" s="38">
        <f>VLOOKUP(M100,'Sheet A'!M100:AE710,2,)</f>
        <v>0.18179999999999999</v>
      </c>
      <c r="O100" s="38">
        <f>VLOOKUP(N100,'Sheet A'!N100:AF710,2,)</f>
        <v>0.43</v>
      </c>
      <c r="P100" s="38">
        <f>VLOOKUP(O100,'Sheet A'!O100:AG710,2,)</f>
        <v>0.19400000000000001</v>
      </c>
      <c r="Q100" s="38">
        <f>VLOOKUP(P100,'Sheet A'!P100:AH710,2,)</f>
        <v>1</v>
      </c>
      <c r="R100" s="38">
        <f>VLOOKUP(Q100,'Sheet A'!Q100:AI710,2,)</f>
        <v>87</v>
      </c>
      <c r="S100" s="38">
        <f>VLOOKUP(R100,'Sheet A'!R100:AJ710,2,)</f>
        <v>88</v>
      </c>
    </row>
    <row r="101" spans="1:19" x14ac:dyDescent="0.35">
      <c r="A101" s="37">
        <v>100</v>
      </c>
      <c r="B101" s="60">
        <f>VLOOKUP(A101,'Sheet A'!A101:S711,2,)</f>
        <v>40548</v>
      </c>
      <c r="C101" s="38">
        <f>VLOOKUP(B101,'Sheet A'!B101:T711,2,)</f>
        <v>1</v>
      </c>
      <c r="D101" s="38">
        <f>VLOOKUP(C101,'Sheet A'!C101:U711,2,)</f>
        <v>0</v>
      </c>
      <c r="E101" s="38">
        <f>VLOOKUP(D101,'Sheet A'!D101:V711,2,)</f>
        <v>1</v>
      </c>
      <c r="F101" s="38">
        <f>VLOOKUP(E101,'Sheet A'!E101:W711,2,)</f>
        <v>8</v>
      </c>
      <c r="G101" s="41" t="str">
        <f>VLOOKUP(F101,'Sheet A'!F101:X711,2,)</f>
        <v>Morning</v>
      </c>
      <c r="H101" s="38" t="b">
        <f>VLOOKUP(G101,'Sheet A'!G101:Y711,2,)</f>
        <v>0</v>
      </c>
      <c r="I101" s="38">
        <f>VLOOKUP(H101,'Sheet A'!H101:Z711,2,)</f>
        <v>3</v>
      </c>
      <c r="J101" s="41" t="str">
        <f>VLOOKUP(I101,'Sheet A'!I101:AA711,2,)</f>
        <v>Tuesday</v>
      </c>
      <c r="K101" s="38">
        <f>VLOOKUP(J101,'Sheet A'!J101:AB711,2,)</f>
        <v>1</v>
      </c>
      <c r="L101" s="38">
        <f>VLOOKUP(K101,'Sheet A'!K101:AC711,2,)</f>
        <v>0.2</v>
      </c>
      <c r="M101" s="70" t="str">
        <f>VLOOKUP(L101,'Sheet A'!L101:AD711,2,)</f>
        <v>Rainy</v>
      </c>
      <c r="N101" s="38">
        <f>VLOOKUP(M101,'Sheet A'!M101:AE711,2,)</f>
        <v>0.18179999999999999</v>
      </c>
      <c r="O101" s="38">
        <f>VLOOKUP(N101,'Sheet A'!N101:AF711,2,)</f>
        <v>0.4</v>
      </c>
      <c r="P101" s="38">
        <f>VLOOKUP(O101,'Sheet A'!O101:AG711,2,)</f>
        <v>0.29849999999999999</v>
      </c>
      <c r="Q101" s="38">
        <f>VLOOKUP(P101,'Sheet A'!P101:AH711,2,)</f>
        <v>3</v>
      </c>
      <c r="R101" s="38">
        <f>VLOOKUP(Q101,'Sheet A'!Q101:AI711,2,)</f>
        <v>192</v>
      </c>
      <c r="S101" s="38">
        <f>VLOOKUP(R101,'Sheet A'!R101:AJ711,2,)</f>
        <v>195</v>
      </c>
    </row>
    <row r="102" spans="1:19" x14ac:dyDescent="0.35">
      <c r="A102" s="37">
        <v>101</v>
      </c>
      <c r="B102" s="60">
        <f>VLOOKUP(A102,'Sheet A'!A102:S712,2,)</f>
        <v>40548</v>
      </c>
      <c r="C102" s="38">
        <f>VLOOKUP(B102,'Sheet A'!B102:T712,2,)</f>
        <v>1</v>
      </c>
      <c r="D102" s="38">
        <f>VLOOKUP(C102,'Sheet A'!C102:U712,2,)</f>
        <v>0</v>
      </c>
      <c r="E102" s="38">
        <f>VLOOKUP(D102,'Sheet A'!D102:V712,2,)</f>
        <v>1</v>
      </c>
      <c r="F102" s="38">
        <f>VLOOKUP(E102,'Sheet A'!E102:W712,2,)</f>
        <v>9</v>
      </c>
      <c r="G102" s="41" t="str">
        <f>VLOOKUP(F102,'Sheet A'!F102:X712,2,)</f>
        <v>Morning</v>
      </c>
      <c r="H102" s="38" t="b">
        <f>VLOOKUP(G102,'Sheet A'!G102:Y712,2,)</f>
        <v>0</v>
      </c>
      <c r="I102" s="38">
        <f>VLOOKUP(H102,'Sheet A'!H102:Z712,2,)</f>
        <v>3</v>
      </c>
      <c r="J102" s="41" t="str">
        <f>VLOOKUP(I102,'Sheet A'!I102:AA712,2,)</f>
        <v>Tuesday</v>
      </c>
      <c r="K102" s="38">
        <f>VLOOKUP(J102,'Sheet A'!J102:AB712,2,)</f>
        <v>1</v>
      </c>
      <c r="L102" s="38">
        <f>VLOOKUP(K102,'Sheet A'!K102:AC712,2,)</f>
        <v>0.22</v>
      </c>
      <c r="M102" s="70" t="str">
        <f>VLOOKUP(L102,'Sheet A'!L102:AD712,2,)</f>
        <v>Cloudy</v>
      </c>
      <c r="N102" s="38">
        <f>VLOOKUP(M102,'Sheet A'!M102:AE712,2,)</f>
        <v>0.19700000000000001</v>
      </c>
      <c r="O102" s="38">
        <f>VLOOKUP(N102,'Sheet A'!N102:AF712,2,)</f>
        <v>0.37</v>
      </c>
      <c r="P102" s="38">
        <f>VLOOKUP(O102,'Sheet A'!O102:AG712,2,)</f>
        <v>0.32840000000000003</v>
      </c>
      <c r="Q102" s="38">
        <f>VLOOKUP(P102,'Sheet A'!P102:AH712,2,)</f>
        <v>6</v>
      </c>
      <c r="R102" s="38">
        <f>VLOOKUP(Q102,'Sheet A'!Q102:AI712,2,)</f>
        <v>109</v>
      </c>
      <c r="S102" s="38">
        <f>VLOOKUP(R102,'Sheet A'!R102:AJ712,2,)</f>
        <v>115</v>
      </c>
    </row>
    <row r="103" spans="1:19" x14ac:dyDescent="0.35">
      <c r="A103" s="37">
        <v>102</v>
      </c>
      <c r="B103" s="60">
        <f>VLOOKUP(A103,'Sheet A'!A103:S713,2,)</f>
        <v>40548</v>
      </c>
      <c r="C103" s="38">
        <f>VLOOKUP(B103,'Sheet A'!B103:T713,2,)</f>
        <v>1</v>
      </c>
      <c r="D103" s="38">
        <f>VLOOKUP(C103,'Sheet A'!C103:U713,2,)</f>
        <v>0</v>
      </c>
      <c r="E103" s="38">
        <f>VLOOKUP(D103,'Sheet A'!D103:V713,2,)</f>
        <v>1</v>
      </c>
      <c r="F103" s="38">
        <f>VLOOKUP(E103,'Sheet A'!E103:W713,2,)</f>
        <v>10</v>
      </c>
      <c r="G103" s="41" t="str">
        <f>VLOOKUP(F103,'Sheet A'!F103:X713,2,)</f>
        <v>Morning</v>
      </c>
      <c r="H103" s="38" t="b">
        <f>VLOOKUP(G103,'Sheet A'!G103:Y713,2,)</f>
        <v>0</v>
      </c>
      <c r="I103" s="38">
        <f>VLOOKUP(H103,'Sheet A'!H103:Z713,2,)</f>
        <v>3</v>
      </c>
      <c r="J103" s="41" t="str">
        <f>VLOOKUP(I103,'Sheet A'!I103:AA713,2,)</f>
        <v>Tuesday</v>
      </c>
      <c r="K103" s="38">
        <f>VLOOKUP(J103,'Sheet A'!J103:AB713,2,)</f>
        <v>1</v>
      </c>
      <c r="L103" s="38">
        <f>VLOOKUP(K103,'Sheet A'!K103:AC713,2,)</f>
        <v>0.22</v>
      </c>
      <c r="M103" s="70" t="str">
        <f>VLOOKUP(L103,'Sheet A'!L103:AD713,2,)</f>
        <v>Cloudy</v>
      </c>
      <c r="N103" s="38">
        <f>VLOOKUP(M103,'Sheet A'!M103:AE713,2,)</f>
        <v>0.19700000000000001</v>
      </c>
      <c r="O103" s="38">
        <f>VLOOKUP(N103,'Sheet A'!N103:AF713,2,)</f>
        <v>0.37</v>
      </c>
      <c r="P103" s="38">
        <f>VLOOKUP(O103,'Sheet A'!O103:AG713,2,)</f>
        <v>0.32840000000000003</v>
      </c>
      <c r="Q103" s="38">
        <f>VLOOKUP(P103,'Sheet A'!P103:AH713,2,)</f>
        <v>4</v>
      </c>
      <c r="R103" s="38">
        <f>VLOOKUP(Q103,'Sheet A'!Q103:AI713,2,)</f>
        <v>53</v>
      </c>
      <c r="S103" s="38">
        <f>VLOOKUP(R103,'Sheet A'!R103:AJ713,2,)</f>
        <v>57</v>
      </c>
    </row>
    <row r="104" spans="1:19" x14ac:dyDescent="0.35">
      <c r="A104" s="37">
        <v>103</v>
      </c>
      <c r="B104" s="60">
        <f>VLOOKUP(A104,'Sheet A'!A104:S714,2,)</f>
        <v>40548</v>
      </c>
      <c r="C104" s="38">
        <f>VLOOKUP(B104,'Sheet A'!B104:T714,2,)</f>
        <v>1</v>
      </c>
      <c r="D104" s="38">
        <f>VLOOKUP(C104,'Sheet A'!C104:U714,2,)</f>
        <v>0</v>
      </c>
      <c r="E104" s="38">
        <f>VLOOKUP(D104,'Sheet A'!D104:V714,2,)</f>
        <v>1</v>
      </c>
      <c r="F104" s="38">
        <f>VLOOKUP(E104,'Sheet A'!E104:W714,2,)</f>
        <v>11</v>
      </c>
      <c r="G104" s="41" t="str">
        <f>VLOOKUP(F104,'Sheet A'!F104:X714,2,)</f>
        <v>Morning</v>
      </c>
      <c r="H104" s="38" t="b">
        <f>VLOOKUP(G104,'Sheet A'!G104:Y714,2,)</f>
        <v>0</v>
      </c>
      <c r="I104" s="38">
        <f>VLOOKUP(H104,'Sheet A'!H104:Z714,2,)</f>
        <v>3</v>
      </c>
      <c r="J104" s="41" t="str">
        <f>VLOOKUP(I104,'Sheet A'!I104:AA714,2,)</f>
        <v>Tuesday</v>
      </c>
      <c r="K104" s="38">
        <f>VLOOKUP(J104,'Sheet A'!J104:AB714,2,)</f>
        <v>1</v>
      </c>
      <c r="L104" s="38">
        <f>VLOOKUP(K104,'Sheet A'!K104:AC714,2,)</f>
        <v>0.26</v>
      </c>
      <c r="M104" s="70" t="str">
        <f>VLOOKUP(L104,'Sheet A'!L104:AD714,2,)</f>
        <v>Cloudy</v>
      </c>
      <c r="N104" s="38">
        <f>VLOOKUP(M104,'Sheet A'!M104:AE714,2,)</f>
        <v>0.2273</v>
      </c>
      <c r="O104" s="38">
        <f>VLOOKUP(N104,'Sheet A'!N104:AF714,2,)</f>
        <v>0.33</v>
      </c>
      <c r="P104" s="38">
        <f>VLOOKUP(O104,'Sheet A'!O104:AG714,2,)</f>
        <v>0.32840000000000003</v>
      </c>
      <c r="Q104" s="38">
        <f>VLOOKUP(P104,'Sheet A'!P104:AH714,2,)</f>
        <v>12</v>
      </c>
      <c r="R104" s="38">
        <f>VLOOKUP(Q104,'Sheet A'!Q104:AI714,2,)</f>
        <v>34</v>
      </c>
      <c r="S104" s="38">
        <f>VLOOKUP(R104,'Sheet A'!R104:AJ714,2,)</f>
        <v>46</v>
      </c>
    </row>
    <row r="105" spans="1:19" x14ac:dyDescent="0.35">
      <c r="A105" s="37">
        <v>104</v>
      </c>
      <c r="B105" s="60">
        <f>VLOOKUP(A105,'Sheet A'!A105:S715,2,)</f>
        <v>40548</v>
      </c>
      <c r="C105" s="38">
        <f>VLOOKUP(B105,'Sheet A'!B105:T715,2,)</f>
        <v>1</v>
      </c>
      <c r="D105" s="38">
        <f>VLOOKUP(C105,'Sheet A'!C105:U715,2,)</f>
        <v>0</v>
      </c>
      <c r="E105" s="38">
        <f>VLOOKUP(D105,'Sheet A'!D105:V715,2,)</f>
        <v>1</v>
      </c>
      <c r="F105" s="38">
        <f>VLOOKUP(E105,'Sheet A'!E105:W715,2,)</f>
        <v>12</v>
      </c>
      <c r="G105" s="41" t="str">
        <f>VLOOKUP(F105,'Sheet A'!F105:X715,2,)</f>
        <v>AfterNoon</v>
      </c>
      <c r="H105" s="38" t="b">
        <f>VLOOKUP(G105,'Sheet A'!G105:Y715,2,)</f>
        <v>0</v>
      </c>
      <c r="I105" s="38">
        <f>VLOOKUP(H105,'Sheet A'!H105:Z715,2,)</f>
        <v>3</v>
      </c>
      <c r="J105" s="41" t="str">
        <f>VLOOKUP(I105,'Sheet A'!I105:AA715,2,)</f>
        <v>Tuesday</v>
      </c>
      <c r="K105" s="38">
        <f>VLOOKUP(J105,'Sheet A'!J105:AB715,2,)</f>
        <v>1</v>
      </c>
      <c r="L105" s="38">
        <f>VLOOKUP(K105,'Sheet A'!K105:AC715,2,)</f>
        <v>0.26</v>
      </c>
      <c r="M105" s="70" t="str">
        <f>VLOOKUP(L105,'Sheet A'!L105:AD715,2,)</f>
        <v>Cloudy</v>
      </c>
      <c r="N105" s="38">
        <f>VLOOKUP(M105,'Sheet A'!M105:AE715,2,)</f>
        <v>0.2273</v>
      </c>
      <c r="O105" s="38">
        <f>VLOOKUP(N105,'Sheet A'!N105:AF715,2,)</f>
        <v>0.33</v>
      </c>
      <c r="P105" s="38">
        <f>VLOOKUP(O105,'Sheet A'!O105:AG715,2,)</f>
        <v>0.32840000000000003</v>
      </c>
      <c r="Q105" s="38">
        <f>VLOOKUP(P105,'Sheet A'!P105:AH715,2,)</f>
        <v>5</v>
      </c>
      <c r="R105" s="38">
        <f>VLOOKUP(Q105,'Sheet A'!Q105:AI715,2,)</f>
        <v>74</v>
      </c>
      <c r="S105" s="38">
        <f>VLOOKUP(R105,'Sheet A'!R105:AJ715,2,)</f>
        <v>79</v>
      </c>
    </row>
    <row r="106" spans="1:19" x14ac:dyDescent="0.35">
      <c r="A106" s="37">
        <v>105</v>
      </c>
      <c r="B106" s="60">
        <f>VLOOKUP(A106,'Sheet A'!A106:S716,2,)</f>
        <v>40548</v>
      </c>
      <c r="C106" s="38">
        <f>VLOOKUP(B106,'Sheet A'!B106:T716,2,)</f>
        <v>1</v>
      </c>
      <c r="D106" s="38">
        <f>VLOOKUP(C106,'Sheet A'!C106:U716,2,)</f>
        <v>0</v>
      </c>
      <c r="E106" s="38">
        <f>VLOOKUP(D106,'Sheet A'!D106:V716,2,)</f>
        <v>1</v>
      </c>
      <c r="F106" s="38">
        <f>VLOOKUP(E106,'Sheet A'!E106:W716,2,)</f>
        <v>13</v>
      </c>
      <c r="G106" s="41" t="str">
        <f>VLOOKUP(F106,'Sheet A'!F106:X716,2,)</f>
        <v>AfterNoon</v>
      </c>
      <c r="H106" s="38" t="b">
        <f>VLOOKUP(G106,'Sheet A'!G106:Y716,2,)</f>
        <v>0</v>
      </c>
      <c r="I106" s="38">
        <f>VLOOKUP(H106,'Sheet A'!H106:Z716,2,)</f>
        <v>3</v>
      </c>
      <c r="J106" s="41" t="str">
        <f>VLOOKUP(I106,'Sheet A'!I106:AA716,2,)</f>
        <v>Tuesday</v>
      </c>
      <c r="K106" s="38">
        <f>VLOOKUP(J106,'Sheet A'!J106:AB716,2,)</f>
        <v>1</v>
      </c>
      <c r="L106" s="38">
        <f>VLOOKUP(K106,'Sheet A'!K106:AC716,2,)</f>
        <v>0.28000000000000003</v>
      </c>
      <c r="M106" s="70" t="str">
        <f>VLOOKUP(L106,'Sheet A'!L106:AD716,2,)</f>
        <v>Cloudy</v>
      </c>
      <c r="N106" s="38">
        <f>VLOOKUP(M106,'Sheet A'!M106:AE716,2,)</f>
        <v>0.2576</v>
      </c>
      <c r="O106" s="38">
        <f>VLOOKUP(N106,'Sheet A'!N106:AF716,2,)</f>
        <v>0.3</v>
      </c>
      <c r="P106" s="38">
        <f>VLOOKUP(O106,'Sheet A'!O106:AG716,2,)</f>
        <v>0.29849999999999999</v>
      </c>
      <c r="Q106" s="38">
        <f>VLOOKUP(P106,'Sheet A'!P106:AH716,2,)</f>
        <v>6</v>
      </c>
      <c r="R106" s="38">
        <f>VLOOKUP(Q106,'Sheet A'!Q106:AI716,2,)</f>
        <v>65</v>
      </c>
      <c r="S106" s="38">
        <f>VLOOKUP(R106,'Sheet A'!R106:AJ716,2,)</f>
        <v>71</v>
      </c>
    </row>
    <row r="107" spans="1:19" x14ac:dyDescent="0.35">
      <c r="A107" s="37">
        <v>106</v>
      </c>
      <c r="B107" s="60">
        <f>VLOOKUP(A107,'Sheet A'!A107:S717,2,)</f>
        <v>40548</v>
      </c>
      <c r="C107" s="38">
        <f>VLOOKUP(B107,'Sheet A'!B107:T717,2,)</f>
        <v>1</v>
      </c>
      <c r="D107" s="38">
        <f>VLOOKUP(C107,'Sheet A'!C107:U717,2,)</f>
        <v>0</v>
      </c>
      <c r="E107" s="38">
        <f>VLOOKUP(D107,'Sheet A'!D107:V717,2,)</f>
        <v>1</v>
      </c>
      <c r="F107" s="38">
        <f>VLOOKUP(E107,'Sheet A'!E107:W717,2,)</f>
        <v>14</v>
      </c>
      <c r="G107" s="41" t="str">
        <f>VLOOKUP(F107,'Sheet A'!F107:X717,2,)</f>
        <v>AfterNoon</v>
      </c>
      <c r="H107" s="38" t="b">
        <f>VLOOKUP(G107,'Sheet A'!G107:Y717,2,)</f>
        <v>0</v>
      </c>
      <c r="I107" s="38">
        <f>VLOOKUP(H107,'Sheet A'!H107:Z717,2,)</f>
        <v>3</v>
      </c>
      <c r="J107" s="41" t="str">
        <f>VLOOKUP(I107,'Sheet A'!I107:AA717,2,)</f>
        <v>Tuesday</v>
      </c>
      <c r="K107" s="38">
        <f>VLOOKUP(J107,'Sheet A'!J107:AB717,2,)</f>
        <v>1</v>
      </c>
      <c r="L107" s="38">
        <f>VLOOKUP(K107,'Sheet A'!K107:AC717,2,)</f>
        <v>0.3</v>
      </c>
      <c r="M107" s="70" t="str">
        <f>VLOOKUP(L107,'Sheet A'!L107:AD717,2,)</f>
        <v>Cloudy</v>
      </c>
      <c r="N107" s="38">
        <f>VLOOKUP(M107,'Sheet A'!M107:AE717,2,)</f>
        <v>0.28789999999999999</v>
      </c>
      <c r="O107" s="38">
        <f>VLOOKUP(N107,'Sheet A'!N107:AF717,2,)</f>
        <v>0.28000000000000003</v>
      </c>
      <c r="P107" s="38">
        <f>VLOOKUP(O107,'Sheet A'!O107:AG717,2,)</f>
        <v>0.19400000000000001</v>
      </c>
      <c r="Q107" s="38">
        <f>VLOOKUP(P107,'Sheet A'!P107:AH717,2,)</f>
        <v>10</v>
      </c>
      <c r="R107" s="38">
        <f>VLOOKUP(Q107,'Sheet A'!Q107:AI717,2,)</f>
        <v>52</v>
      </c>
      <c r="S107" s="38">
        <f>VLOOKUP(R107,'Sheet A'!R107:AJ717,2,)</f>
        <v>62</v>
      </c>
    </row>
    <row r="108" spans="1:19" x14ac:dyDescent="0.35">
      <c r="A108" s="37">
        <v>107</v>
      </c>
      <c r="B108" s="60">
        <f>VLOOKUP(A108,'Sheet A'!A108:S718,2,)</f>
        <v>40548</v>
      </c>
      <c r="C108" s="38">
        <f>VLOOKUP(B108,'Sheet A'!B108:T718,2,)</f>
        <v>1</v>
      </c>
      <c r="D108" s="38">
        <f>VLOOKUP(C108,'Sheet A'!C108:U718,2,)</f>
        <v>0</v>
      </c>
      <c r="E108" s="38">
        <f>VLOOKUP(D108,'Sheet A'!D108:V718,2,)</f>
        <v>1</v>
      </c>
      <c r="F108" s="38">
        <f>VLOOKUP(E108,'Sheet A'!E108:W718,2,)</f>
        <v>15</v>
      </c>
      <c r="G108" s="41" t="str">
        <f>VLOOKUP(F108,'Sheet A'!F108:X718,2,)</f>
        <v>AfterNoon</v>
      </c>
      <c r="H108" s="38" t="b">
        <f>VLOOKUP(G108,'Sheet A'!G108:Y718,2,)</f>
        <v>0</v>
      </c>
      <c r="I108" s="38">
        <f>VLOOKUP(H108,'Sheet A'!H108:Z718,2,)</f>
        <v>3</v>
      </c>
      <c r="J108" s="41" t="str">
        <f>VLOOKUP(I108,'Sheet A'!I108:AA718,2,)</f>
        <v>Tuesday</v>
      </c>
      <c r="K108" s="38">
        <f>VLOOKUP(J108,'Sheet A'!J108:AB718,2,)</f>
        <v>1</v>
      </c>
      <c r="L108" s="38">
        <f>VLOOKUP(K108,'Sheet A'!K108:AC718,2,)</f>
        <v>0.3</v>
      </c>
      <c r="M108" s="70" t="str">
        <f>VLOOKUP(L108,'Sheet A'!L108:AD718,2,)</f>
        <v>Cloudy</v>
      </c>
      <c r="N108" s="38">
        <f>VLOOKUP(M108,'Sheet A'!M108:AE718,2,)</f>
        <v>0.28789999999999999</v>
      </c>
      <c r="O108" s="38">
        <f>VLOOKUP(N108,'Sheet A'!N108:AF718,2,)</f>
        <v>0.28000000000000003</v>
      </c>
      <c r="P108" s="38">
        <f>VLOOKUP(O108,'Sheet A'!O108:AG718,2,)</f>
        <v>0.19400000000000001</v>
      </c>
      <c r="Q108" s="38">
        <f>VLOOKUP(P108,'Sheet A'!P108:AH718,2,)</f>
        <v>7</v>
      </c>
      <c r="R108" s="38">
        <f>VLOOKUP(Q108,'Sheet A'!Q108:AI718,2,)</f>
        <v>55</v>
      </c>
      <c r="S108" s="38">
        <f>VLOOKUP(R108,'Sheet A'!R108:AJ718,2,)</f>
        <v>62</v>
      </c>
    </row>
    <row r="109" spans="1:19" x14ac:dyDescent="0.35">
      <c r="A109" s="37">
        <v>108</v>
      </c>
      <c r="B109" s="60">
        <f>VLOOKUP(A109,'Sheet A'!A109:S719,2,)</f>
        <v>40548</v>
      </c>
      <c r="C109" s="38">
        <f>VLOOKUP(B109,'Sheet A'!B109:T719,2,)</f>
        <v>1</v>
      </c>
      <c r="D109" s="38">
        <f>VLOOKUP(C109,'Sheet A'!C109:U719,2,)</f>
        <v>0</v>
      </c>
      <c r="E109" s="38">
        <f>VLOOKUP(D109,'Sheet A'!D109:V719,2,)</f>
        <v>1</v>
      </c>
      <c r="F109" s="38">
        <f>VLOOKUP(E109,'Sheet A'!E109:W719,2,)</f>
        <v>16</v>
      </c>
      <c r="G109" s="41" t="str">
        <f>VLOOKUP(F109,'Sheet A'!F109:X719,2,)</f>
        <v>AfterNoon</v>
      </c>
      <c r="H109" s="38" t="b">
        <f>VLOOKUP(G109,'Sheet A'!G109:Y719,2,)</f>
        <v>0</v>
      </c>
      <c r="I109" s="38">
        <f>VLOOKUP(H109,'Sheet A'!H109:Z719,2,)</f>
        <v>3</v>
      </c>
      <c r="J109" s="41" t="str">
        <f>VLOOKUP(I109,'Sheet A'!I109:AA719,2,)</f>
        <v>Tuesday</v>
      </c>
      <c r="K109" s="38">
        <f>VLOOKUP(J109,'Sheet A'!J109:AB719,2,)</f>
        <v>1</v>
      </c>
      <c r="L109" s="38">
        <f>VLOOKUP(K109,'Sheet A'!K109:AC719,2,)</f>
        <v>0.3</v>
      </c>
      <c r="M109" s="70" t="str">
        <f>VLOOKUP(L109,'Sheet A'!L109:AD719,2,)</f>
        <v>Cloudy</v>
      </c>
      <c r="N109" s="38">
        <f>VLOOKUP(M109,'Sheet A'!M109:AE719,2,)</f>
        <v>0.31819999999999998</v>
      </c>
      <c r="O109" s="38">
        <f>VLOOKUP(N109,'Sheet A'!N109:AF719,2,)</f>
        <v>0.28000000000000003</v>
      </c>
      <c r="P109" s="38">
        <f>VLOOKUP(O109,'Sheet A'!O109:AG719,2,)</f>
        <v>8.9599999999999999E-2</v>
      </c>
      <c r="Q109" s="38">
        <f>VLOOKUP(P109,'Sheet A'!P109:AH719,2,)</f>
        <v>4</v>
      </c>
      <c r="R109" s="38">
        <f>VLOOKUP(Q109,'Sheet A'!Q109:AI719,2,)</f>
        <v>85</v>
      </c>
      <c r="S109" s="38">
        <f>VLOOKUP(R109,'Sheet A'!R109:AJ719,2,)</f>
        <v>89</v>
      </c>
    </row>
    <row r="110" spans="1:19" x14ac:dyDescent="0.35">
      <c r="A110" s="37">
        <v>109</v>
      </c>
      <c r="B110" s="60">
        <f>VLOOKUP(A110,'Sheet A'!A110:S720,2,)</f>
        <v>40548</v>
      </c>
      <c r="C110" s="38">
        <f>VLOOKUP(B110,'Sheet A'!B110:T720,2,)</f>
        <v>1</v>
      </c>
      <c r="D110" s="38">
        <f>VLOOKUP(C110,'Sheet A'!C110:U720,2,)</f>
        <v>0</v>
      </c>
      <c r="E110" s="38">
        <f>VLOOKUP(D110,'Sheet A'!D110:V720,2,)</f>
        <v>1</v>
      </c>
      <c r="F110" s="38">
        <f>VLOOKUP(E110,'Sheet A'!E110:W720,2,)</f>
        <v>17</v>
      </c>
      <c r="G110" s="41" t="str">
        <f>VLOOKUP(F110,'Sheet A'!F110:X720,2,)</f>
        <v>Evening</v>
      </c>
      <c r="H110" s="38" t="b">
        <f>VLOOKUP(G110,'Sheet A'!G110:Y720,2,)</f>
        <v>0</v>
      </c>
      <c r="I110" s="38">
        <f>VLOOKUP(H110,'Sheet A'!H110:Z720,2,)</f>
        <v>3</v>
      </c>
      <c r="J110" s="41" t="str">
        <f>VLOOKUP(I110,'Sheet A'!I110:AA720,2,)</f>
        <v>Tuesday</v>
      </c>
      <c r="K110" s="38">
        <f>VLOOKUP(J110,'Sheet A'!J110:AB720,2,)</f>
        <v>1</v>
      </c>
      <c r="L110" s="38">
        <f>VLOOKUP(K110,'Sheet A'!K110:AC720,2,)</f>
        <v>0.24</v>
      </c>
      <c r="M110" s="70" t="str">
        <f>VLOOKUP(L110,'Sheet A'!L110:AD720,2,)</f>
        <v>Cloudy</v>
      </c>
      <c r="N110" s="38">
        <f>VLOOKUP(M110,'Sheet A'!M110:AE720,2,)</f>
        <v>0.2273</v>
      </c>
      <c r="O110" s="38">
        <f>VLOOKUP(N110,'Sheet A'!N110:AF720,2,)</f>
        <v>0.38</v>
      </c>
      <c r="P110" s="38">
        <f>VLOOKUP(O110,'Sheet A'!O110:AG720,2,)</f>
        <v>0.19400000000000001</v>
      </c>
      <c r="Q110" s="38">
        <f>VLOOKUP(P110,'Sheet A'!P110:AH720,2,)</f>
        <v>4</v>
      </c>
      <c r="R110" s="38">
        <f>VLOOKUP(Q110,'Sheet A'!Q110:AI720,2,)</f>
        <v>186</v>
      </c>
      <c r="S110" s="38">
        <f>VLOOKUP(R110,'Sheet A'!R110:AJ720,2,)</f>
        <v>190</v>
      </c>
    </row>
    <row r="111" spans="1:19" x14ac:dyDescent="0.35">
      <c r="A111" s="37">
        <v>110</v>
      </c>
      <c r="B111" s="60">
        <f>VLOOKUP(A111,'Sheet A'!A111:S721,2,)</f>
        <v>40548</v>
      </c>
      <c r="C111" s="38">
        <f>VLOOKUP(B111,'Sheet A'!B111:T721,2,)</f>
        <v>1</v>
      </c>
      <c r="D111" s="38">
        <f>VLOOKUP(C111,'Sheet A'!C111:U721,2,)</f>
        <v>0</v>
      </c>
      <c r="E111" s="38">
        <f>VLOOKUP(D111,'Sheet A'!D111:V721,2,)</f>
        <v>1</v>
      </c>
      <c r="F111" s="38">
        <f>VLOOKUP(E111,'Sheet A'!E111:W721,2,)</f>
        <v>18</v>
      </c>
      <c r="G111" s="41" t="str">
        <f>VLOOKUP(F111,'Sheet A'!F111:X721,2,)</f>
        <v>Evening</v>
      </c>
      <c r="H111" s="38" t="b">
        <f>VLOOKUP(G111,'Sheet A'!G111:Y721,2,)</f>
        <v>0</v>
      </c>
      <c r="I111" s="38">
        <f>VLOOKUP(H111,'Sheet A'!H111:Z721,2,)</f>
        <v>3</v>
      </c>
      <c r="J111" s="41" t="str">
        <f>VLOOKUP(I111,'Sheet A'!I111:AA721,2,)</f>
        <v>Tuesday</v>
      </c>
      <c r="K111" s="38">
        <f>VLOOKUP(J111,'Sheet A'!J111:AB721,2,)</f>
        <v>1</v>
      </c>
      <c r="L111" s="38">
        <f>VLOOKUP(K111,'Sheet A'!K111:AC721,2,)</f>
        <v>0.24</v>
      </c>
      <c r="M111" s="70" t="str">
        <f>VLOOKUP(L111,'Sheet A'!L111:AD721,2,)</f>
        <v>Cloudy</v>
      </c>
      <c r="N111" s="38">
        <f>VLOOKUP(M111,'Sheet A'!M111:AE721,2,)</f>
        <v>0.2424</v>
      </c>
      <c r="O111" s="38">
        <f>VLOOKUP(N111,'Sheet A'!N111:AF721,2,)</f>
        <v>0.38</v>
      </c>
      <c r="P111" s="38">
        <f>VLOOKUP(O111,'Sheet A'!O111:AG721,2,)</f>
        <v>0.1343</v>
      </c>
      <c r="Q111" s="38">
        <f>VLOOKUP(P111,'Sheet A'!P111:AH721,2,)</f>
        <v>3</v>
      </c>
      <c r="R111" s="38">
        <f>VLOOKUP(Q111,'Sheet A'!Q111:AI721,2,)</f>
        <v>166</v>
      </c>
      <c r="S111" s="38">
        <f>VLOOKUP(R111,'Sheet A'!R111:AJ721,2,)</f>
        <v>169</v>
      </c>
    </row>
    <row r="112" spans="1:19" x14ac:dyDescent="0.35">
      <c r="A112" s="37">
        <v>111</v>
      </c>
      <c r="B112" s="60">
        <f>VLOOKUP(A112,'Sheet A'!A112:S722,2,)</f>
        <v>40548</v>
      </c>
      <c r="C112" s="38">
        <f>VLOOKUP(B112,'Sheet A'!B112:T722,2,)</f>
        <v>1</v>
      </c>
      <c r="D112" s="38">
        <f>VLOOKUP(C112,'Sheet A'!C112:U722,2,)</f>
        <v>0</v>
      </c>
      <c r="E112" s="38">
        <f>VLOOKUP(D112,'Sheet A'!D112:V722,2,)</f>
        <v>1</v>
      </c>
      <c r="F112" s="38">
        <f>VLOOKUP(E112,'Sheet A'!E112:W722,2,)</f>
        <v>19</v>
      </c>
      <c r="G112" s="41" t="str">
        <f>VLOOKUP(F112,'Sheet A'!F112:X722,2,)</f>
        <v>Evening</v>
      </c>
      <c r="H112" s="38" t="b">
        <f>VLOOKUP(G112,'Sheet A'!G112:Y722,2,)</f>
        <v>0</v>
      </c>
      <c r="I112" s="38">
        <f>VLOOKUP(H112,'Sheet A'!H112:Z722,2,)</f>
        <v>3</v>
      </c>
      <c r="J112" s="41" t="str">
        <f>VLOOKUP(I112,'Sheet A'!I112:AA722,2,)</f>
        <v>Tuesday</v>
      </c>
      <c r="K112" s="38">
        <f>VLOOKUP(J112,'Sheet A'!J112:AB722,2,)</f>
        <v>1</v>
      </c>
      <c r="L112" s="38">
        <f>VLOOKUP(K112,'Sheet A'!K112:AC722,2,)</f>
        <v>0.24</v>
      </c>
      <c r="M112" s="70" t="str">
        <f>VLOOKUP(L112,'Sheet A'!L112:AD722,2,)</f>
        <v>Cloudy</v>
      </c>
      <c r="N112" s="38">
        <f>VLOOKUP(M112,'Sheet A'!M112:AE722,2,)</f>
        <v>0.2576</v>
      </c>
      <c r="O112" s="38">
        <f>VLOOKUP(N112,'Sheet A'!N112:AF722,2,)</f>
        <v>0.38</v>
      </c>
      <c r="P112" s="38">
        <f>VLOOKUP(O112,'Sheet A'!O112:AG722,2,)</f>
        <v>0.1045</v>
      </c>
      <c r="Q112" s="38">
        <f>VLOOKUP(P112,'Sheet A'!P112:AH722,2,)</f>
        <v>5</v>
      </c>
      <c r="R112" s="38">
        <f>VLOOKUP(Q112,'Sheet A'!Q112:AI722,2,)</f>
        <v>127</v>
      </c>
      <c r="S112" s="38">
        <f>VLOOKUP(R112,'Sheet A'!R112:AJ722,2,)</f>
        <v>132</v>
      </c>
    </row>
    <row r="113" spans="1:19" x14ac:dyDescent="0.35">
      <c r="A113" s="37">
        <v>112</v>
      </c>
      <c r="B113" s="60">
        <f>VLOOKUP(A113,'Sheet A'!A113:S723,2,)</f>
        <v>40548</v>
      </c>
      <c r="C113" s="38">
        <f>VLOOKUP(B113,'Sheet A'!B113:T723,2,)</f>
        <v>1</v>
      </c>
      <c r="D113" s="38">
        <f>VLOOKUP(C113,'Sheet A'!C113:U723,2,)</f>
        <v>0</v>
      </c>
      <c r="E113" s="38">
        <f>VLOOKUP(D113,'Sheet A'!D113:V723,2,)</f>
        <v>1</v>
      </c>
      <c r="F113" s="38">
        <f>VLOOKUP(E113,'Sheet A'!E113:W723,2,)</f>
        <v>20</v>
      </c>
      <c r="G113" s="41" t="str">
        <f>VLOOKUP(F113,'Sheet A'!F113:X723,2,)</f>
        <v>Night</v>
      </c>
      <c r="H113" s="38" t="b">
        <f>VLOOKUP(G113,'Sheet A'!G113:Y723,2,)</f>
        <v>0</v>
      </c>
      <c r="I113" s="38">
        <f>VLOOKUP(H113,'Sheet A'!H113:Z723,2,)</f>
        <v>3</v>
      </c>
      <c r="J113" s="41" t="str">
        <f>VLOOKUP(I113,'Sheet A'!I113:AA723,2,)</f>
        <v>Tuesday</v>
      </c>
      <c r="K113" s="38">
        <f>VLOOKUP(J113,'Sheet A'!J113:AB723,2,)</f>
        <v>1</v>
      </c>
      <c r="L113" s="38">
        <f>VLOOKUP(K113,'Sheet A'!K113:AC723,2,)</f>
        <v>0.22</v>
      </c>
      <c r="M113" s="70" t="str">
        <f>VLOOKUP(L113,'Sheet A'!L113:AD723,2,)</f>
        <v>Cloudy</v>
      </c>
      <c r="N113" s="38">
        <f>VLOOKUP(M113,'Sheet A'!M113:AE723,2,)</f>
        <v>0.2273</v>
      </c>
      <c r="O113" s="38">
        <f>VLOOKUP(N113,'Sheet A'!N113:AF723,2,)</f>
        <v>0.47</v>
      </c>
      <c r="P113" s="38">
        <f>VLOOKUP(O113,'Sheet A'!O113:AG723,2,)</f>
        <v>0.16420000000000001</v>
      </c>
      <c r="Q113" s="38">
        <f>VLOOKUP(P113,'Sheet A'!P113:AH723,2,)</f>
        <v>7</v>
      </c>
      <c r="R113" s="38">
        <f>VLOOKUP(Q113,'Sheet A'!Q113:AI723,2,)</f>
        <v>82</v>
      </c>
      <c r="S113" s="38">
        <f>VLOOKUP(R113,'Sheet A'!R113:AJ723,2,)</f>
        <v>89</v>
      </c>
    </row>
    <row r="114" spans="1:19" x14ac:dyDescent="0.35">
      <c r="A114" s="37">
        <v>113</v>
      </c>
      <c r="B114" s="60">
        <f>VLOOKUP(A114,'Sheet A'!A114:S724,2,)</f>
        <v>40548</v>
      </c>
      <c r="C114" s="38">
        <f>VLOOKUP(B114,'Sheet A'!B114:T724,2,)</f>
        <v>1</v>
      </c>
      <c r="D114" s="38">
        <f>VLOOKUP(C114,'Sheet A'!C114:U724,2,)</f>
        <v>0</v>
      </c>
      <c r="E114" s="38">
        <f>VLOOKUP(D114,'Sheet A'!D114:V724,2,)</f>
        <v>1</v>
      </c>
      <c r="F114" s="38">
        <f>VLOOKUP(E114,'Sheet A'!E114:W724,2,)</f>
        <v>21</v>
      </c>
      <c r="G114" s="41" t="str">
        <f>VLOOKUP(F114,'Sheet A'!F114:X724,2,)</f>
        <v>Night</v>
      </c>
      <c r="H114" s="38" t="b">
        <f>VLOOKUP(G114,'Sheet A'!G114:Y724,2,)</f>
        <v>0</v>
      </c>
      <c r="I114" s="38">
        <f>VLOOKUP(H114,'Sheet A'!H114:Z724,2,)</f>
        <v>3</v>
      </c>
      <c r="J114" s="41" t="str">
        <f>VLOOKUP(I114,'Sheet A'!I114:AA724,2,)</f>
        <v>Tuesday</v>
      </c>
      <c r="K114" s="38">
        <f>VLOOKUP(J114,'Sheet A'!J114:AB724,2,)</f>
        <v>1</v>
      </c>
      <c r="L114" s="38">
        <f>VLOOKUP(K114,'Sheet A'!K114:AC724,2,)</f>
        <v>0.2</v>
      </c>
      <c r="M114" s="70" t="str">
        <f>VLOOKUP(L114,'Sheet A'!L114:AD724,2,)</f>
        <v>Rainy</v>
      </c>
      <c r="N114" s="38">
        <f>VLOOKUP(M114,'Sheet A'!M114:AE724,2,)</f>
        <v>0.19700000000000001</v>
      </c>
      <c r="O114" s="38">
        <f>VLOOKUP(N114,'Sheet A'!N114:AF724,2,)</f>
        <v>0.51</v>
      </c>
      <c r="P114" s="38">
        <f>VLOOKUP(O114,'Sheet A'!O114:AG724,2,)</f>
        <v>0.19400000000000001</v>
      </c>
      <c r="Q114" s="38">
        <f>VLOOKUP(P114,'Sheet A'!P114:AH724,2,)</f>
        <v>3</v>
      </c>
      <c r="R114" s="38">
        <f>VLOOKUP(Q114,'Sheet A'!Q114:AI724,2,)</f>
        <v>40</v>
      </c>
      <c r="S114" s="38">
        <f>VLOOKUP(R114,'Sheet A'!R114:AJ724,2,)</f>
        <v>43</v>
      </c>
    </row>
    <row r="115" spans="1:19" x14ac:dyDescent="0.35">
      <c r="A115" s="37">
        <v>114</v>
      </c>
      <c r="B115" s="60">
        <f>VLOOKUP(A115,'Sheet A'!A115:S725,2,)</f>
        <v>40548</v>
      </c>
      <c r="C115" s="38">
        <f>VLOOKUP(B115,'Sheet A'!B115:T725,2,)</f>
        <v>1</v>
      </c>
      <c r="D115" s="38">
        <f>VLOOKUP(C115,'Sheet A'!C115:U725,2,)</f>
        <v>0</v>
      </c>
      <c r="E115" s="38">
        <f>VLOOKUP(D115,'Sheet A'!D115:V725,2,)</f>
        <v>1</v>
      </c>
      <c r="F115" s="38">
        <f>VLOOKUP(E115,'Sheet A'!E115:W725,2,)</f>
        <v>22</v>
      </c>
      <c r="G115" s="41" t="str">
        <f>VLOOKUP(F115,'Sheet A'!F115:X725,2,)</f>
        <v>Night</v>
      </c>
      <c r="H115" s="38" t="b">
        <f>VLOOKUP(G115,'Sheet A'!G115:Y725,2,)</f>
        <v>0</v>
      </c>
      <c r="I115" s="38">
        <f>VLOOKUP(H115,'Sheet A'!H115:Z725,2,)</f>
        <v>3</v>
      </c>
      <c r="J115" s="41" t="str">
        <f>VLOOKUP(I115,'Sheet A'!I115:AA725,2,)</f>
        <v>Tuesday</v>
      </c>
      <c r="K115" s="38">
        <f>VLOOKUP(J115,'Sheet A'!J115:AB725,2,)</f>
        <v>1</v>
      </c>
      <c r="L115" s="38">
        <f>VLOOKUP(K115,'Sheet A'!K115:AC725,2,)</f>
        <v>0.18</v>
      </c>
      <c r="M115" s="70" t="str">
        <f>VLOOKUP(L115,'Sheet A'!L115:AD725,2,)</f>
        <v>Rainy</v>
      </c>
      <c r="N115" s="38">
        <f>VLOOKUP(M115,'Sheet A'!M115:AE725,2,)</f>
        <v>0.19700000000000001</v>
      </c>
      <c r="O115" s="38">
        <f>VLOOKUP(N115,'Sheet A'!N115:AF725,2,)</f>
        <v>0.55000000000000004</v>
      </c>
      <c r="P115" s="38">
        <f>VLOOKUP(O115,'Sheet A'!O115:AG725,2,)</f>
        <v>0.1343</v>
      </c>
      <c r="Q115" s="38">
        <f>VLOOKUP(P115,'Sheet A'!P115:AH725,2,)</f>
        <v>1</v>
      </c>
      <c r="R115" s="38">
        <f>VLOOKUP(Q115,'Sheet A'!Q115:AI725,2,)</f>
        <v>41</v>
      </c>
      <c r="S115" s="38">
        <f>VLOOKUP(R115,'Sheet A'!R115:AJ725,2,)</f>
        <v>42</v>
      </c>
    </row>
    <row r="116" spans="1:19" x14ac:dyDescent="0.35">
      <c r="A116" s="37">
        <v>115</v>
      </c>
      <c r="B116" s="60">
        <f>VLOOKUP(A116,'Sheet A'!A116:S726,2,)</f>
        <v>40548</v>
      </c>
      <c r="C116" s="38">
        <f>VLOOKUP(B116,'Sheet A'!B116:T726,2,)</f>
        <v>1</v>
      </c>
      <c r="D116" s="38">
        <f>VLOOKUP(C116,'Sheet A'!C116:U726,2,)</f>
        <v>0</v>
      </c>
      <c r="E116" s="38">
        <f>VLOOKUP(D116,'Sheet A'!D116:V726,2,)</f>
        <v>1</v>
      </c>
      <c r="F116" s="38">
        <f>VLOOKUP(E116,'Sheet A'!E116:W726,2,)</f>
        <v>23</v>
      </c>
      <c r="G116" s="41" t="str">
        <f>VLOOKUP(F116,'Sheet A'!F116:X726,2,)</f>
        <v>Night</v>
      </c>
      <c r="H116" s="38" t="b">
        <f>VLOOKUP(G116,'Sheet A'!G116:Y726,2,)</f>
        <v>0</v>
      </c>
      <c r="I116" s="38">
        <f>VLOOKUP(H116,'Sheet A'!H116:Z726,2,)</f>
        <v>3</v>
      </c>
      <c r="J116" s="41" t="str">
        <f>VLOOKUP(I116,'Sheet A'!I116:AA726,2,)</f>
        <v>Tuesday</v>
      </c>
      <c r="K116" s="38">
        <f>VLOOKUP(J116,'Sheet A'!J116:AB726,2,)</f>
        <v>1</v>
      </c>
      <c r="L116" s="38">
        <f>VLOOKUP(K116,'Sheet A'!K116:AC726,2,)</f>
        <v>0.2</v>
      </c>
      <c r="M116" s="70" t="str">
        <f>VLOOKUP(L116,'Sheet A'!L116:AD726,2,)</f>
        <v>Rainy</v>
      </c>
      <c r="N116" s="38">
        <f>VLOOKUP(M116,'Sheet A'!M116:AE726,2,)</f>
        <v>0.2576</v>
      </c>
      <c r="O116" s="38">
        <f>VLOOKUP(N116,'Sheet A'!N116:AF726,2,)</f>
        <v>0.47</v>
      </c>
      <c r="P116" s="38">
        <f>VLOOKUP(O116,'Sheet A'!O116:AG726,2,)</f>
        <v>0</v>
      </c>
      <c r="Q116" s="38">
        <f>VLOOKUP(P116,'Sheet A'!P116:AH726,2,)</f>
        <v>1</v>
      </c>
      <c r="R116" s="38">
        <f>VLOOKUP(Q116,'Sheet A'!Q116:AI726,2,)</f>
        <v>18</v>
      </c>
      <c r="S116" s="38">
        <f>VLOOKUP(R116,'Sheet A'!R116:AJ726,2,)</f>
        <v>19</v>
      </c>
    </row>
    <row r="117" spans="1:19" x14ac:dyDescent="0.35">
      <c r="A117" s="37">
        <v>116</v>
      </c>
      <c r="B117" s="60">
        <f>VLOOKUP(A117,'Sheet A'!A117:S727,2,)</f>
        <v>40549</v>
      </c>
      <c r="C117" s="38">
        <f>VLOOKUP(B117,'Sheet A'!B117:T727,2,)</f>
        <v>1</v>
      </c>
      <c r="D117" s="38">
        <f>VLOOKUP(C117,'Sheet A'!C117:U727,2,)</f>
        <v>0</v>
      </c>
      <c r="E117" s="38">
        <f>VLOOKUP(D117,'Sheet A'!D117:V727,2,)</f>
        <v>1</v>
      </c>
      <c r="F117" s="38">
        <f>VLOOKUP(E117,'Sheet A'!E117:W727,2,)</f>
        <v>0</v>
      </c>
      <c r="G117" s="41" t="str">
        <f>VLOOKUP(F117,'Sheet A'!F117:X727,2,)</f>
        <v>Night</v>
      </c>
      <c r="H117" s="38" t="b">
        <f>VLOOKUP(G117,'Sheet A'!G117:Y727,2,)</f>
        <v>0</v>
      </c>
      <c r="I117" s="38">
        <f>VLOOKUP(H117,'Sheet A'!H117:Z727,2,)</f>
        <v>4</v>
      </c>
      <c r="J117" s="41" t="str">
        <f>VLOOKUP(I117,'Sheet A'!I117:AA727,2,)</f>
        <v>Wednesday</v>
      </c>
      <c r="K117" s="38">
        <f>VLOOKUP(J117,'Sheet A'!J117:AB727,2,)</f>
        <v>1</v>
      </c>
      <c r="L117" s="38">
        <f>VLOOKUP(K117,'Sheet A'!K117:AC727,2,)</f>
        <v>0.18</v>
      </c>
      <c r="M117" s="70" t="str">
        <f>VLOOKUP(L117,'Sheet A'!L117:AD727,2,)</f>
        <v>Rainy</v>
      </c>
      <c r="N117" s="38">
        <f>VLOOKUP(M117,'Sheet A'!M117:AE727,2,)</f>
        <v>0.2424</v>
      </c>
      <c r="O117" s="38">
        <f>VLOOKUP(N117,'Sheet A'!N117:AF727,2,)</f>
        <v>0.55000000000000004</v>
      </c>
      <c r="P117" s="38">
        <f>VLOOKUP(O117,'Sheet A'!O117:AG727,2,)</f>
        <v>0</v>
      </c>
      <c r="Q117" s="38">
        <f>VLOOKUP(P117,'Sheet A'!P117:AH727,2,)</f>
        <v>0</v>
      </c>
      <c r="R117" s="38">
        <f>VLOOKUP(Q117,'Sheet A'!Q117:AI727,2,)</f>
        <v>11</v>
      </c>
      <c r="S117" s="38">
        <f>VLOOKUP(R117,'Sheet A'!R117:AJ727,2,)</f>
        <v>11</v>
      </c>
    </row>
    <row r="118" spans="1:19" x14ac:dyDescent="0.35">
      <c r="A118" s="37">
        <v>117</v>
      </c>
      <c r="B118" s="60">
        <f>VLOOKUP(A118,'Sheet A'!A118:S728,2,)</f>
        <v>40549</v>
      </c>
      <c r="C118" s="38">
        <f>VLOOKUP(B118,'Sheet A'!B118:T728,2,)</f>
        <v>1</v>
      </c>
      <c r="D118" s="38">
        <f>VLOOKUP(C118,'Sheet A'!C118:U728,2,)</f>
        <v>0</v>
      </c>
      <c r="E118" s="38">
        <f>VLOOKUP(D118,'Sheet A'!D118:V728,2,)</f>
        <v>1</v>
      </c>
      <c r="F118" s="38">
        <f>VLOOKUP(E118,'Sheet A'!E118:W728,2,)</f>
        <v>1</v>
      </c>
      <c r="G118" s="41" t="str">
        <f>VLOOKUP(F118,'Sheet A'!F118:X728,2,)</f>
        <v>Night</v>
      </c>
      <c r="H118" s="38" t="b">
        <f>VLOOKUP(G118,'Sheet A'!G118:Y728,2,)</f>
        <v>0</v>
      </c>
      <c r="I118" s="38">
        <f>VLOOKUP(H118,'Sheet A'!H118:Z728,2,)</f>
        <v>4</v>
      </c>
      <c r="J118" s="41" t="str">
        <f>VLOOKUP(I118,'Sheet A'!I118:AA728,2,)</f>
        <v>Wednesday</v>
      </c>
      <c r="K118" s="38">
        <f>VLOOKUP(J118,'Sheet A'!J118:AB728,2,)</f>
        <v>1</v>
      </c>
      <c r="L118" s="38">
        <f>VLOOKUP(K118,'Sheet A'!K118:AC728,2,)</f>
        <v>0.16</v>
      </c>
      <c r="M118" s="70" t="str">
        <f>VLOOKUP(L118,'Sheet A'!L118:AD728,2,)</f>
        <v>Rainy</v>
      </c>
      <c r="N118" s="38">
        <f>VLOOKUP(M118,'Sheet A'!M118:AE728,2,)</f>
        <v>0.2273</v>
      </c>
      <c r="O118" s="38">
        <f>VLOOKUP(N118,'Sheet A'!N118:AF728,2,)</f>
        <v>0.64</v>
      </c>
      <c r="P118" s="38">
        <f>VLOOKUP(O118,'Sheet A'!O118:AG728,2,)</f>
        <v>0</v>
      </c>
      <c r="Q118" s="38">
        <f>VLOOKUP(P118,'Sheet A'!P118:AH728,2,)</f>
        <v>0</v>
      </c>
      <c r="R118" s="38">
        <f>VLOOKUP(Q118,'Sheet A'!Q118:AI728,2,)</f>
        <v>4</v>
      </c>
      <c r="S118" s="38">
        <f>VLOOKUP(R118,'Sheet A'!R118:AJ728,2,)</f>
        <v>4</v>
      </c>
    </row>
    <row r="119" spans="1:19" x14ac:dyDescent="0.35">
      <c r="A119" s="37">
        <v>118</v>
      </c>
      <c r="B119" s="60">
        <f>VLOOKUP(A119,'Sheet A'!A119:S729,2,)</f>
        <v>40549</v>
      </c>
      <c r="C119" s="38">
        <f>VLOOKUP(B119,'Sheet A'!B119:T729,2,)</f>
        <v>1</v>
      </c>
      <c r="D119" s="38">
        <f>VLOOKUP(C119,'Sheet A'!C119:U729,2,)</f>
        <v>0</v>
      </c>
      <c r="E119" s="38">
        <f>VLOOKUP(D119,'Sheet A'!D119:V729,2,)</f>
        <v>1</v>
      </c>
      <c r="F119" s="38">
        <f>VLOOKUP(E119,'Sheet A'!E119:W729,2,)</f>
        <v>2</v>
      </c>
      <c r="G119" s="41" t="str">
        <f>VLOOKUP(F119,'Sheet A'!F119:X729,2,)</f>
        <v>Night</v>
      </c>
      <c r="H119" s="38" t="b">
        <f>VLOOKUP(G119,'Sheet A'!G119:Y729,2,)</f>
        <v>0</v>
      </c>
      <c r="I119" s="38">
        <f>VLOOKUP(H119,'Sheet A'!H119:Z729,2,)</f>
        <v>4</v>
      </c>
      <c r="J119" s="41" t="str">
        <f>VLOOKUP(I119,'Sheet A'!I119:AA729,2,)</f>
        <v>Wednesday</v>
      </c>
      <c r="K119" s="38">
        <f>VLOOKUP(J119,'Sheet A'!J119:AB729,2,)</f>
        <v>1</v>
      </c>
      <c r="L119" s="38">
        <f>VLOOKUP(K119,'Sheet A'!K119:AC729,2,)</f>
        <v>0.16</v>
      </c>
      <c r="M119" s="70" t="str">
        <f>VLOOKUP(L119,'Sheet A'!L119:AD729,2,)</f>
        <v>Rainy</v>
      </c>
      <c r="N119" s="38">
        <f>VLOOKUP(M119,'Sheet A'!M119:AE729,2,)</f>
        <v>0.2273</v>
      </c>
      <c r="O119" s="38">
        <f>VLOOKUP(N119,'Sheet A'!N119:AF729,2,)</f>
        <v>0.64</v>
      </c>
      <c r="P119" s="38">
        <f>VLOOKUP(O119,'Sheet A'!O119:AG729,2,)</f>
        <v>0</v>
      </c>
      <c r="Q119" s="38">
        <f>VLOOKUP(P119,'Sheet A'!P119:AH729,2,)</f>
        <v>0</v>
      </c>
      <c r="R119" s="38">
        <f>VLOOKUP(Q119,'Sheet A'!Q119:AI729,2,)</f>
        <v>2</v>
      </c>
      <c r="S119" s="38">
        <f>VLOOKUP(R119,'Sheet A'!R119:AJ729,2,)</f>
        <v>2</v>
      </c>
    </row>
    <row r="120" spans="1:19" x14ac:dyDescent="0.35">
      <c r="A120" s="37">
        <v>119</v>
      </c>
      <c r="B120" s="60">
        <f>VLOOKUP(A120,'Sheet A'!A120:S730,2,)</f>
        <v>40549</v>
      </c>
      <c r="C120" s="38">
        <f>VLOOKUP(B120,'Sheet A'!B120:T730,2,)</f>
        <v>1</v>
      </c>
      <c r="D120" s="38">
        <f>VLOOKUP(C120,'Sheet A'!C120:U730,2,)</f>
        <v>0</v>
      </c>
      <c r="E120" s="38">
        <f>VLOOKUP(D120,'Sheet A'!D120:V730,2,)</f>
        <v>1</v>
      </c>
      <c r="F120" s="38">
        <f>VLOOKUP(E120,'Sheet A'!E120:W730,2,)</f>
        <v>4</v>
      </c>
      <c r="G120" s="41" t="str">
        <f>VLOOKUP(F120,'Sheet A'!F120:X730,2,)</f>
        <v>Night</v>
      </c>
      <c r="H120" s="38" t="b">
        <f>VLOOKUP(G120,'Sheet A'!G120:Y730,2,)</f>
        <v>0</v>
      </c>
      <c r="I120" s="38">
        <f>VLOOKUP(H120,'Sheet A'!H120:Z730,2,)</f>
        <v>4</v>
      </c>
      <c r="J120" s="41" t="str">
        <f>VLOOKUP(I120,'Sheet A'!I120:AA730,2,)</f>
        <v>Wednesday</v>
      </c>
      <c r="K120" s="38">
        <f>VLOOKUP(J120,'Sheet A'!J120:AB730,2,)</f>
        <v>2</v>
      </c>
      <c r="L120" s="38">
        <f>VLOOKUP(K120,'Sheet A'!K120:AC730,2,)</f>
        <v>0.16</v>
      </c>
      <c r="M120" s="70" t="str">
        <f>VLOOKUP(L120,'Sheet A'!L120:AD730,2,)</f>
        <v>Rainy</v>
      </c>
      <c r="N120" s="38">
        <f>VLOOKUP(M120,'Sheet A'!M120:AE730,2,)</f>
        <v>0.19700000000000001</v>
      </c>
      <c r="O120" s="38">
        <f>VLOOKUP(N120,'Sheet A'!N120:AF730,2,)</f>
        <v>0.64</v>
      </c>
      <c r="P120" s="38">
        <f>VLOOKUP(O120,'Sheet A'!O120:AG730,2,)</f>
        <v>8.9599999999999999E-2</v>
      </c>
      <c r="Q120" s="38">
        <f>VLOOKUP(P120,'Sheet A'!P120:AH730,2,)</f>
        <v>0</v>
      </c>
      <c r="R120" s="38">
        <f>VLOOKUP(Q120,'Sheet A'!Q120:AI730,2,)</f>
        <v>1</v>
      </c>
      <c r="S120" s="38">
        <f>VLOOKUP(R120,'Sheet A'!R120:AJ730,2,)</f>
        <v>1</v>
      </c>
    </row>
    <row r="121" spans="1:19" x14ac:dyDescent="0.35">
      <c r="A121" s="37">
        <v>120</v>
      </c>
      <c r="B121" s="60">
        <f>VLOOKUP(A121,'Sheet A'!A121:S731,2,)</f>
        <v>40549</v>
      </c>
      <c r="C121" s="38">
        <f>VLOOKUP(B121,'Sheet A'!B121:T731,2,)</f>
        <v>1</v>
      </c>
      <c r="D121" s="38">
        <f>VLOOKUP(C121,'Sheet A'!C121:U731,2,)</f>
        <v>0</v>
      </c>
      <c r="E121" s="38">
        <f>VLOOKUP(D121,'Sheet A'!D121:V731,2,)</f>
        <v>1</v>
      </c>
      <c r="F121" s="38">
        <f>VLOOKUP(E121,'Sheet A'!E121:W731,2,)</f>
        <v>5</v>
      </c>
      <c r="G121" s="41" t="str">
        <f>VLOOKUP(F121,'Sheet A'!F121:X731,2,)</f>
        <v>Morning</v>
      </c>
      <c r="H121" s="38" t="b">
        <f>VLOOKUP(G121,'Sheet A'!G121:Y731,2,)</f>
        <v>0</v>
      </c>
      <c r="I121" s="38">
        <f>VLOOKUP(H121,'Sheet A'!H121:Z731,2,)</f>
        <v>4</v>
      </c>
      <c r="J121" s="41" t="str">
        <f>VLOOKUP(I121,'Sheet A'!I121:AA731,2,)</f>
        <v>Wednesday</v>
      </c>
      <c r="K121" s="38">
        <f>VLOOKUP(J121,'Sheet A'!J121:AB731,2,)</f>
        <v>2</v>
      </c>
      <c r="L121" s="38">
        <f>VLOOKUP(K121,'Sheet A'!K121:AC731,2,)</f>
        <v>0.14000000000000001</v>
      </c>
      <c r="M121" s="70" t="str">
        <f>VLOOKUP(L121,'Sheet A'!L121:AD731,2,)</f>
        <v>Rainy</v>
      </c>
      <c r="N121" s="38">
        <f>VLOOKUP(M121,'Sheet A'!M121:AE731,2,)</f>
        <v>0.18179999999999999</v>
      </c>
      <c r="O121" s="38">
        <f>VLOOKUP(N121,'Sheet A'!N121:AF731,2,)</f>
        <v>0.69</v>
      </c>
      <c r="P121" s="38">
        <f>VLOOKUP(O121,'Sheet A'!O121:AG731,2,)</f>
        <v>8.9599999999999999E-2</v>
      </c>
      <c r="Q121" s="38">
        <f>VLOOKUP(P121,'Sheet A'!P121:AH731,2,)</f>
        <v>0</v>
      </c>
      <c r="R121" s="38">
        <f>VLOOKUP(Q121,'Sheet A'!Q121:AI731,2,)</f>
        <v>4</v>
      </c>
      <c r="S121" s="38">
        <f>VLOOKUP(R121,'Sheet A'!R121:AJ731,2,)</f>
        <v>4</v>
      </c>
    </row>
    <row r="122" spans="1:19" x14ac:dyDescent="0.35">
      <c r="A122" s="37">
        <v>121</v>
      </c>
      <c r="B122" s="60">
        <f>VLOOKUP(A122,'Sheet A'!A122:S732,2,)</f>
        <v>40549</v>
      </c>
      <c r="C122" s="38">
        <f>VLOOKUP(B122,'Sheet A'!B122:T732,2,)</f>
        <v>1</v>
      </c>
      <c r="D122" s="38">
        <f>VLOOKUP(C122,'Sheet A'!C122:U732,2,)</f>
        <v>0</v>
      </c>
      <c r="E122" s="38">
        <f>VLOOKUP(D122,'Sheet A'!D122:V732,2,)</f>
        <v>1</v>
      </c>
      <c r="F122" s="38">
        <f>VLOOKUP(E122,'Sheet A'!E122:W732,2,)</f>
        <v>6</v>
      </c>
      <c r="G122" s="41" t="str">
        <f>VLOOKUP(F122,'Sheet A'!F122:X732,2,)</f>
        <v>Morning</v>
      </c>
      <c r="H122" s="38" t="b">
        <f>VLOOKUP(G122,'Sheet A'!G122:Y732,2,)</f>
        <v>0</v>
      </c>
      <c r="I122" s="38">
        <f>VLOOKUP(H122,'Sheet A'!H122:Z732,2,)</f>
        <v>4</v>
      </c>
      <c r="J122" s="41" t="str">
        <f>VLOOKUP(I122,'Sheet A'!I122:AA732,2,)</f>
        <v>Wednesday</v>
      </c>
      <c r="K122" s="38">
        <f>VLOOKUP(J122,'Sheet A'!J122:AB732,2,)</f>
        <v>2</v>
      </c>
      <c r="L122" s="38">
        <f>VLOOKUP(K122,'Sheet A'!K122:AC732,2,)</f>
        <v>0.14000000000000001</v>
      </c>
      <c r="M122" s="70" t="str">
        <f>VLOOKUP(L122,'Sheet A'!L122:AD732,2,)</f>
        <v>Rainy</v>
      </c>
      <c r="N122" s="38">
        <f>VLOOKUP(M122,'Sheet A'!M122:AE732,2,)</f>
        <v>0.16669999999999999</v>
      </c>
      <c r="O122" s="38">
        <f>VLOOKUP(N122,'Sheet A'!N122:AF732,2,)</f>
        <v>0.63</v>
      </c>
      <c r="P122" s="38">
        <f>VLOOKUP(O122,'Sheet A'!O122:AG732,2,)</f>
        <v>0.1045</v>
      </c>
      <c r="Q122" s="38">
        <f>VLOOKUP(P122,'Sheet A'!P122:AH732,2,)</f>
        <v>0</v>
      </c>
      <c r="R122" s="38">
        <f>VLOOKUP(Q122,'Sheet A'!Q122:AI732,2,)</f>
        <v>36</v>
      </c>
      <c r="S122" s="38">
        <f>VLOOKUP(R122,'Sheet A'!R122:AJ732,2,)</f>
        <v>36</v>
      </c>
    </row>
    <row r="123" spans="1:19" x14ac:dyDescent="0.35">
      <c r="A123" s="37">
        <v>122</v>
      </c>
      <c r="B123" s="60">
        <f>VLOOKUP(A123,'Sheet A'!A123:S733,2,)</f>
        <v>40549</v>
      </c>
      <c r="C123" s="38">
        <f>VLOOKUP(B123,'Sheet A'!B123:T733,2,)</f>
        <v>1</v>
      </c>
      <c r="D123" s="38">
        <f>VLOOKUP(C123,'Sheet A'!C123:U733,2,)</f>
        <v>0</v>
      </c>
      <c r="E123" s="38">
        <f>VLOOKUP(D123,'Sheet A'!D123:V733,2,)</f>
        <v>1</v>
      </c>
      <c r="F123" s="38">
        <f>VLOOKUP(E123,'Sheet A'!E123:W733,2,)</f>
        <v>7</v>
      </c>
      <c r="G123" s="41" t="str">
        <f>VLOOKUP(F123,'Sheet A'!F123:X733,2,)</f>
        <v>Morning</v>
      </c>
      <c r="H123" s="38" t="b">
        <f>VLOOKUP(G123,'Sheet A'!G123:Y733,2,)</f>
        <v>0</v>
      </c>
      <c r="I123" s="38">
        <f>VLOOKUP(H123,'Sheet A'!H123:Z733,2,)</f>
        <v>4</v>
      </c>
      <c r="J123" s="41" t="str">
        <f>VLOOKUP(I123,'Sheet A'!I123:AA733,2,)</f>
        <v>Wednesday</v>
      </c>
      <c r="K123" s="38">
        <f>VLOOKUP(J123,'Sheet A'!J123:AB733,2,)</f>
        <v>2</v>
      </c>
      <c r="L123" s="38">
        <f>VLOOKUP(K123,'Sheet A'!K123:AC733,2,)</f>
        <v>0.16</v>
      </c>
      <c r="M123" s="70" t="str">
        <f>VLOOKUP(L123,'Sheet A'!L123:AD733,2,)</f>
        <v>Rainy</v>
      </c>
      <c r="N123" s="38">
        <f>VLOOKUP(M123,'Sheet A'!M123:AE733,2,)</f>
        <v>0.2273</v>
      </c>
      <c r="O123" s="38">
        <f>VLOOKUP(N123,'Sheet A'!N123:AF733,2,)</f>
        <v>0.59</v>
      </c>
      <c r="P123" s="38">
        <f>VLOOKUP(O123,'Sheet A'!O123:AG733,2,)</f>
        <v>0</v>
      </c>
      <c r="Q123" s="38">
        <f>VLOOKUP(P123,'Sheet A'!P123:AH733,2,)</f>
        <v>0</v>
      </c>
      <c r="R123" s="38">
        <f>VLOOKUP(Q123,'Sheet A'!Q123:AI733,2,)</f>
        <v>95</v>
      </c>
      <c r="S123" s="38">
        <f>VLOOKUP(R123,'Sheet A'!R123:AJ733,2,)</f>
        <v>95</v>
      </c>
    </row>
    <row r="124" spans="1:19" x14ac:dyDescent="0.35">
      <c r="A124" s="37">
        <v>123</v>
      </c>
      <c r="B124" s="60">
        <f>VLOOKUP(A124,'Sheet A'!A124:S734,2,)</f>
        <v>40549</v>
      </c>
      <c r="C124" s="38">
        <f>VLOOKUP(B124,'Sheet A'!B124:T734,2,)</f>
        <v>1</v>
      </c>
      <c r="D124" s="38">
        <f>VLOOKUP(C124,'Sheet A'!C124:U734,2,)</f>
        <v>0</v>
      </c>
      <c r="E124" s="38">
        <f>VLOOKUP(D124,'Sheet A'!D124:V734,2,)</f>
        <v>1</v>
      </c>
      <c r="F124" s="38">
        <f>VLOOKUP(E124,'Sheet A'!E124:W734,2,)</f>
        <v>8</v>
      </c>
      <c r="G124" s="41" t="str">
        <f>VLOOKUP(F124,'Sheet A'!F124:X734,2,)</f>
        <v>Morning</v>
      </c>
      <c r="H124" s="38" t="b">
        <f>VLOOKUP(G124,'Sheet A'!G124:Y734,2,)</f>
        <v>0</v>
      </c>
      <c r="I124" s="38">
        <f>VLOOKUP(H124,'Sheet A'!H124:Z734,2,)</f>
        <v>4</v>
      </c>
      <c r="J124" s="41" t="str">
        <f>VLOOKUP(I124,'Sheet A'!I124:AA734,2,)</f>
        <v>Wednesday</v>
      </c>
      <c r="K124" s="38">
        <f>VLOOKUP(J124,'Sheet A'!J124:AB734,2,)</f>
        <v>1</v>
      </c>
      <c r="L124" s="38">
        <f>VLOOKUP(K124,'Sheet A'!K124:AC734,2,)</f>
        <v>0.16</v>
      </c>
      <c r="M124" s="70" t="str">
        <f>VLOOKUP(L124,'Sheet A'!L124:AD734,2,)</f>
        <v>Rainy</v>
      </c>
      <c r="N124" s="38">
        <f>VLOOKUP(M124,'Sheet A'!M124:AE734,2,)</f>
        <v>0.2273</v>
      </c>
      <c r="O124" s="38">
        <f>VLOOKUP(N124,'Sheet A'!N124:AF734,2,)</f>
        <v>0.59</v>
      </c>
      <c r="P124" s="38">
        <f>VLOOKUP(O124,'Sheet A'!O124:AG734,2,)</f>
        <v>0</v>
      </c>
      <c r="Q124" s="38">
        <f>VLOOKUP(P124,'Sheet A'!P124:AH734,2,)</f>
        <v>3</v>
      </c>
      <c r="R124" s="38">
        <f>VLOOKUP(Q124,'Sheet A'!Q124:AI734,2,)</f>
        <v>216</v>
      </c>
      <c r="S124" s="38">
        <f>VLOOKUP(R124,'Sheet A'!R124:AJ734,2,)</f>
        <v>219</v>
      </c>
    </row>
    <row r="125" spans="1:19" x14ac:dyDescent="0.35">
      <c r="A125" s="37">
        <v>124</v>
      </c>
      <c r="B125" s="60">
        <f>VLOOKUP(A125,'Sheet A'!A125:S735,2,)</f>
        <v>40549</v>
      </c>
      <c r="C125" s="38">
        <f>VLOOKUP(B125,'Sheet A'!B125:T735,2,)</f>
        <v>1</v>
      </c>
      <c r="D125" s="38">
        <f>VLOOKUP(C125,'Sheet A'!C125:U735,2,)</f>
        <v>0</v>
      </c>
      <c r="E125" s="38">
        <f>VLOOKUP(D125,'Sheet A'!D125:V735,2,)</f>
        <v>1</v>
      </c>
      <c r="F125" s="38">
        <f>VLOOKUP(E125,'Sheet A'!E125:W735,2,)</f>
        <v>9</v>
      </c>
      <c r="G125" s="41" t="str">
        <f>VLOOKUP(F125,'Sheet A'!F125:X735,2,)</f>
        <v>Morning</v>
      </c>
      <c r="H125" s="38" t="b">
        <f>VLOOKUP(G125,'Sheet A'!G125:Y735,2,)</f>
        <v>0</v>
      </c>
      <c r="I125" s="38">
        <f>VLOOKUP(H125,'Sheet A'!H125:Z735,2,)</f>
        <v>4</v>
      </c>
      <c r="J125" s="41" t="str">
        <f>VLOOKUP(I125,'Sheet A'!I125:AA735,2,)</f>
        <v>Wednesday</v>
      </c>
      <c r="K125" s="38">
        <f>VLOOKUP(J125,'Sheet A'!J125:AB735,2,)</f>
        <v>2</v>
      </c>
      <c r="L125" s="38">
        <f>VLOOKUP(K125,'Sheet A'!K125:AC735,2,)</f>
        <v>0.18</v>
      </c>
      <c r="M125" s="70" t="str">
        <f>VLOOKUP(L125,'Sheet A'!L125:AD735,2,)</f>
        <v>Rainy</v>
      </c>
      <c r="N125" s="38">
        <f>VLOOKUP(M125,'Sheet A'!M125:AE735,2,)</f>
        <v>0.2424</v>
      </c>
      <c r="O125" s="38">
        <f>VLOOKUP(N125,'Sheet A'!N125:AF735,2,)</f>
        <v>0.51</v>
      </c>
      <c r="P125" s="38">
        <f>VLOOKUP(O125,'Sheet A'!O125:AG735,2,)</f>
        <v>0</v>
      </c>
      <c r="Q125" s="38">
        <f>VLOOKUP(P125,'Sheet A'!P125:AH735,2,)</f>
        <v>6</v>
      </c>
      <c r="R125" s="38">
        <f>VLOOKUP(Q125,'Sheet A'!Q125:AI735,2,)</f>
        <v>116</v>
      </c>
      <c r="S125" s="38">
        <f>VLOOKUP(R125,'Sheet A'!R125:AJ735,2,)</f>
        <v>122</v>
      </c>
    </row>
    <row r="126" spans="1:19" x14ac:dyDescent="0.35">
      <c r="A126" s="37">
        <v>125</v>
      </c>
      <c r="B126" s="60">
        <f>VLOOKUP(A126,'Sheet A'!A126:S736,2,)</f>
        <v>40549</v>
      </c>
      <c r="C126" s="38">
        <f>VLOOKUP(B126,'Sheet A'!B126:T736,2,)</f>
        <v>1</v>
      </c>
      <c r="D126" s="38">
        <f>VLOOKUP(C126,'Sheet A'!C126:U736,2,)</f>
        <v>0</v>
      </c>
      <c r="E126" s="38">
        <f>VLOOKUP(D126,'Sheet A'!D126:V736,2,)</f>
        <v>1</v>
      </c>
      <c r="F126" s="38">
        <f>VLOOKUP(E126,'Sheet A'!E126:W736,2,)</f>
        <v>10</v>
      </c>
      <c r="G126" s="41" t="str">
        <f>VLOOKUP(F126,'Sheet A'!F126:X736,2,)</f>
        <v>Morning</v>
      </c>
      <c r="H126" s="38" t="b">
        <f>VLOOKUP(G126,'Sheet A'!G126:Y736,2,)</f>
        <v>0</v>
      </c>
      <c r="I126" s="38">
        <f>VLOOKUP(H126,'Sheet A'!H126:Z736,2,)</f>
        <v>4</v>
      </c>
      <c r="J126" s="41" t="str">
        <f>VLOOKUP(I126,'Sheet A'!I126:AA736,2,)</f>
        <v>Wednesday</v>
      </c>
      <c r="K126" s="38">
        <f>VLOOKUP(J126,'Sheet A'!J126:AB736,2,)</f>
        <v>1</v>
      </c>
      <c r="L126" s="38">
        <f>VLOOKUP(K126,'Sheet A'!K126:AC736,2,)</f>
        <v>0.2</v>
      </c>
      <c r="M126" s="70" t="str">
        <f>VLOOKUP(L126,'Sheet A'!L126:AD736,2,)</f>
        <v>Rainy</v>
      </c>
      <c r="N126" s="38">
        <f>VLOOKUP(M126,'Sheet A'!M126:AE736,2,)</f>
        <v>0.2576</v>
      </c>
      <c r="O126" s="38">
        <f>VLOOKUP(N126,'Sheet A'!N126:AF736,2,)</f>
        <v>0.47</v>
      </c>
      <c r="P126" s="38">
        <f>VLOOKUP(O126,'Sheet A'!O126:AG736,2,)</f>
        <v>0</v>
      </c>
      <c r="Q126" s="38">
        <f>VLOOKUP(P126,'Sheet A'!P126:AH736,2,)</f>
        <v>3</v>
      </c>
      <c r="R126" s="38">
        <f>VLOOKUP(Q126,'Sheet A'!Q126:AI736,2,)</f>
        <v>42</v>
      </c>
      <c r="S126" s="38">
        <f>VLOOKUP(R126,'Sheet A'!R126:AJ736,2,)</f>
        <v>45</v>
      </c>
    </row>
    <row r="127" spans="1:19" x14ac:dyDescent="0.35">
      <c r="A127" s="37">
        <v>126</v>
      </c>
      <c r="B127" s="60">
        <f>VLOOKUP(A127,'Sheet A'!A127:S737,2,)</f>
        <v>40549</v>
      </c>
      <c r="C127" s="38">
        <f>VLOOKUP(B127,'Sheet A'!B127:T737,2,)</f>
        <v>1</v>
      </c>
      <c r="D127" s="38">
        <f>VLOOKUP(C127,'Sheet A'!C127:U737,2,)</f>
        <v>0</v>
      </c>
      <c r="E127" s="38">
        <f>VLOOKUP(D127,'Sheet A'!D127:V737,2,)</f>
        <v>1</v>
      </c>
      <c r="F127" s="38">
        <f>VLOOKUP(E127,'Sheet A'!E127:W737,2,)</f>
        <v>11</v>
      </c>
      <c r="G127" s="41" t="str">
        <f>VLOOKUP(F127,'Sheet A'!F127:X737,2,)</f>
        <v>Morning</v>
      </c>
      <c r="H127" s="38" t="b">
        <f>VLOOKUP(G127,'Sheet A'!G127:Y737,2,)</f>
        <v>0</v>
      </c>
      <c r="I127" s="38">
        <f>VLOOKUP(H127,'Sheet A'!H127:Z737,2,)</f>
        <v>4</v>
      </c>
      <c r="J127" s="41" t="str">
        <f>VLOOKUP(I127,'Sheet A'!I127:AA737,2,)</f>
        <v>Wednesday</v>
      </c>
      <c r="K127" s="38">
        <f>VLOOKUP(J127,'Sheet A'!J127:AB737,2,)</f>
        <v>1</v>
      </c>
      <c r="L127" s="38">
        <f>VLOOKUP(K127,'Sheet A'!K127:AC737,2,)</f>
        <v>0.22</v>
      </c>
      <c r="M127" s="70" t="str">
        <f>VLOOKUP(L127,'Sheet A'!L127:AD737,2,)</f>
        <v>Cloudy</v>
      </c>
      <c r="N127" s="38">
        <f>VLOOKUP(M127,'Sheet A'!M127:AE737,2,)</f>
        <v>0.2576</v>
      </c>
      <c r="O127" s="38">
        <f>VLOOKUP(N127,'Sheet A'!N127:AF737,2,)</f>
        <v>0.44</v>
      </c>
      <c r="P127" s="38">
        <f>VLOOKUP(O127,'Sheet A'!O127:AG737,2,)</f>
        <v>8.9599999999999999E-2</v>
      </c>
      <c r="Q127" s="38">
        <f>VLOOKUP(P127,'Sheet A'!P127:AH737,2,)</f>
        <v>2</v>
      </c>
      <c r="R127" s="38">
        <f>VLOOKUP(Q127,'Sheet A'!Q127:AI737,2,)</f>
        <v>57</v>
      </c>
      <c r="S127" s="38">
        <f>VLOOKUP(R127,'Sheet A'!R127:AJ737,2,)</f>
        <v>59</v>
      </c>
    </row>
    <row r="128" spans="1:19" x14ac:dyDescent="0.35">
      <c r="A128" s="37">
        <v>127</v>
      </c>
      <c r="B128" s="60">
        <f>VLOOKUP(A128,'Sheet A'!A128:S738,2,)</f>
        <v>40549</v>
      </c>
      <c r="C128" s="38">
        <f>VLOOKUP(B128,'Sheet A'!B128:T738,2,)</f>
        <v>1</v>
      </c>
      <c r="D128" s="38">
        <f>VLOOKUP(C128,'Sheet A'!C128:U738,2,)</f>
        <v>0</v>
      </c>
      <c r="E128" s="38">
        <f>VLOOKUP(D128,'Sheet A'!D128:V738,2,)</f>
        <v>1</v>
      </c>
      <c r="F128" s="38">
        <f>VLOOKUP(E128,'Sheet A'!E128:W738,2,)</f>
        <v>12</v>
      </c>
      <c r="G128" s="41" t="str">
        <f>VLOOKUP(F128,'Sheet A'!F128:X738,2,)</f>
        <v>AfterNoon</v>
      </c>
      <c r="H128" s="38" t="b">
        <f>VLOOKUP(G128,'Sheet A'!G128:Y738,2,)</f>
        <v>0</v>
      </c>
      <c r="I128" s="38">
        <f>VLOOKUP(H128,'Sheet A'!H128:Z738,2,)</f>
        <v>4</v>
      </c>
      <c r="J128" s="41" t="str">
        <f>VLOOKUP(I128,'Sheet A'!I128:AA738,2,)</f>
        <v>Wednesday</v>
      </c>
      <c r="K128" s="38">
        <f>VLOOKUP(J128,'Sheet A'!J128:AB738,2,)</f>
        <v>1</v>
      </c>
      <c r="L128" s="38">
        <f>VLOOKUP(K128,'Sheet A'!K128:AC738,2,)</f>
        <v>0.26</v>
      </c>
      <c r="M128" s="70" t="str">
        <f>VLOOKUP(L128,'Sheet A'!L128:AD738,2,)</f>
        <v>Cloudy</v>
      </c>
      <c r="N128" s="38">
        <f>VLOOKUP(M128,'Sheet A'!M128:AE738,2,)</f>
        <v>0.28789999999999999</v>
      </c>
      <c r="O128" s="38">
        <f>VLOOKUP(N128,'Sheet A'!N128:AF738,2,)</f>
        <v>0.35</v>
      </c>
      <c r="P128" s="38">
        <f>VLOOKUP(O128,'Sheet A'!O128:AG738,2,)</f>
        <v>0</v>
      </c>
      <c r="Q128" s="38">
        <f>VLOOKUP(P128,'Sheet A'!P128:AH738,2,)</f>
        <v>6</v>
      </c>
      <c r="R128" s="38">
        <f>VLOOKUP(Q128,'Sheet A'!Q128:AI738,2,)</f>
        <v>78</v>
      </c>
      <c r="S128" s="38">
        <f>VLOOKUP(R128,'Sheet A'!R128:AJ738,2,)</f>
        <v>84</v>
      </c>
    </row>
    <row r="129" spans="1:19" x14ac:dyDescent="0.35">
      <c r="A129" s="37">
        <v>128</v>
      </c>
      <c r="B129" s="60">
        <f>VLOOKUP(A129,'Sheet A'!A129:S739,2,)</f>
        <v>40549</v>
      </c>
      <c r="C129" s="38">
        <f>VLOOKUP(B129,'Sheet A'!B129:T739,2,)</f>
        <v>1</v>
      </c>
      <c r="D129" s="38">
        <f>VLOOKUP(C129,'Sheet A'!C129:U739,2,)</f>
        <v>0</v>
      </c>
      <c r="E129" s="38">
        <f>VLOOKUP(D129,'Sheet A'!D129:V739,2,)</f>
        <v>1</v>
      </c>
      <c r="F129" s="38">
        <f>VLOOKUP(E129,'Sheet A'!E129:W739,2,)</f>
        <v>13</v>
      </c>
      <c r="G129" s="41" t="str">
        <f>VLOOKUP(F129,'Sheet A'!F129:X739,2,)</f>
        <v>AfterNoon</v>
      </c>
      <c r="H129" s="38" t="b">
        <f>VLOOKUP(G129,'Sheet A'!G129:Y739,2,)</f>
        <v>0</v>
      </c>
      <c r="I129" s="38">
        <f>VLOOKUP(H129,'Sheet A'!H129:Z739,2,)</f>
        <v>4</v>
      </c>
      <c r="J129" s="41" t="str">
        <f>VLOOKUP(I129,'Sheet A'!I129:AA739,2,)</f>
        <v>Wednesday</v>
      </c>
      <c r="K129" s="38">
        <f>VLOOKUP(J129,'Sheet A'!J129:AB739,2,)</f>
        <v>1</v>
      </c>
      <c r="L129" s="38">
        <f>VLOOKUP(K129,'Sheet A'!K129:AC739,2,)</f>
        <v>0.26</v>
      </c>
      <c r="M129" s="70" t="str">
        <f>VLOOKUP(L129,'Sheet A'!L129:AD739,2,)</f>
        <v>Cloudy</v>
      </c>
      <c r="N129" s="38">
        <f>VLOOKUP(M129,'Sheet A'!M129:AE739,2,)</f>
        <v>0.2727</v>
      </c>
      <c r="O129" s="38">
        <f>VLOOKUP(N129,'Sheet A'!N129:AF739,2,)</f>
        <v>0.35</v>
      </c>
      <c r="P129" s="38">
        <f>VLOOKUP(O129,'Sheet A'!O129:AG739,2,)</f>
        <v>0.1045</v>
      </c>
      <c r="Q129" s="38">
        <f>VLOOKUP(P129,'Sheet A'!P129:AH739,2,)</f>
        <v>12</v>
      </c>
      <c r="R129" s="38">
        <f>VLOOKUP(Q129,'Sheet A'!Q129:AI739,2,)</f>
        <v>55</v>
      </c>
      <c r="S129" s="38">
        <f>VLOOKUP(R129,'Sheet A'!R129:AJ739,2,)</f>
        <v>67</v>
      </c>
    </row>
    <row r="130" spans="1:19" x14ac:dyDescent="0.35">
      <c r="A130" s="37">
        <v>129</v>
      </c>
      <c r="B130" s="60">
        <f>VLOOKUP(A130,'Sheet A'!A130:S740,2,)</f>
        <v>40549</v>
      </c>
      <c r="C130" s="38">
        <f>VLOOKUP(B130,'Sheet A'!B130:T740,2,)</f>
        <v>1</v>
      </c>
      <c r="D130" s="38">
        <f>VLOOKUP(C130,'Sheet A'!C130:U740,2,)</f>
        <v>0</v>
      </c>
      <c r="E130" s="38">
        <f>VLOOKUP(D130,'Sheet A'!D130:V740,2,)</f>
        <v>1</v>
      </c>
      <c r="F130" s="38">
        <f>VLOOKUP(E130,'Sheet A'!E130:W740,2,)</f>
        <v>14</v>
      </c>
      <c r="G130" s="41" t="str">
        <f>VLOOKUP(F130,'Sheet A'!F130:X740,2,)</f>
        <v>AfterNoon</v>
      </c>
      <c r="H130" s="38" t="b">
        <f>VLOOKUP(G130,'Sheet A'!G130:Y740,2,)</f>
        <v>0</v>
      </c>
      <c r="I130" s="38">
        <f>VLOOKUP(H130,'Sheet A'!H130:Z740,2,)</f>
        <v>4</v>
      </c>
      <c r="J130" s="41" t="str">
        <f>VLOOKUP(I130,'Sheet A'!I130:AA740,2,)</f>
        <v>Wednesday</v>
      </c>
      <c r="K130" s="38">
        <f>VLOOKUP(J130,'Sheet A'!J130:AB740,2,)</f>
        <v>1</v>
      </c>
      <c r="L130" s="38">
        <f>VLOOKUP(K130,'Sheet A'!K130:AC740,2,)</f>
        <v>0.28000000000000003</v>
      </c>
      <c r="M130" s="70" t="str">
        <f>VLOOKUP(L130,'Sheet A'!L130:AD740,2,)</f>
        <v>Cloudy</v>
      </c>
      <c r="N130" s="38">
        <f>VLOOKUP(M130,'Sheet A'!M130:AE740,2,)</f>
        <v>0.2727</v>
      </c>
      <c r="O130" s="38">
        <f>VLOOKUP(N130,'Sheet A'!N130:AF740,2,)</f>
        <v>0.36</v>
      </c>
      <c r="P130" s="38">
        <f>VLOOKUP(O130,'Sheet A'!O130:AG740,2,)</f>
        <v>0.16420000000000001</v>
      </c>
      <c r="Q130" s="38">
        <f>VLOOKUP(P130,'Sheet A'!P130:AH740,2,)</f>
        <v>11</v>
      </c>
      <c r="R130" s="38">
        <f>VLOOKUP(Q130,'Sheet A'!Q130:AI740,2,)</f>
        <v>59</v>
      </c>
      <c r="S130" s="38">
        <f>VLOOKUP(R130,'Sheet A'!R130:AJ740,2,)</f>
        <v>70</v>
      </c>
    </row>
    <row r="131" spans="1:19" x14ac:dyDescent="0.35">
      <c r="A131" s="37">
        <v>130</v>
      </c>
      <c r="B131" s="60">
        <f>VLOOKUP(A131,'Sheet A'!A131:S741,2,)</f>
        <v>40549</v>
      </c>
      <c r="C131" s="38">
        <f>VLOOKUP(B131,'Sheet A'!B131:T741,2,)</f>
        <v>1</v>
      </c>
      <c r="D131" s="38">
        <f>VLOOKUP(C131,'Sheet A'!C131:U741,2,)</f>
        <v>0</v>
      </c>
      <c r="E131" s="38">
        <f>VLOOKUP(D131,'Sheet A'!D131:V741,2,)</f>
        <v>1</v>
      </c>
      <c r="F131" s="38">
        <f>VLOOKUP(E131,'Sheet A'!E131:W741,2,)</f>
        <v>15</v>
      </c>
      <c r="G131" s="41" t="str">
        <f>VLOOKUP(F131,'Sheet A'!F131:X741,2,)</f>
        <v>AfterNoon</v>
      </c>
      <c r="H131" s="38" t="b">
        <f>VLOOKUP(G131,'Sheet A'!G131:Y741,2,)</f>
        <v>0</v>
      </c>
      <c r="I131" s="38">
        <f>VLOOKUP(H131,'Sheet A'!H131:Z741,2,)</f>
        <v>4</v>
      </c>
      <c r="J131" s="41" t="str">
        <f>VLOOKUP(I131,'Sheet A'!I131:AA741,2,)</f>
        <v>Wednesday</v>
      </c>
      <c r="K131" s="38">
        <f>VLOOKUP(J131,'Sheet A'!J131:AB741,2,)</f>
        <v>1</v>
      </c>
      <c r="L131" s="38">
        <f>VLOOKUP(K131,'Sheet A'!K131:AC741,2,)</f>
        <v>0.28000000000000003</v>
      </c>
      <c r="M131" s="70" t="str">
        <f>VLOOKUP(L131,'Sheet A'!L131:AD741,2,)</f>
        <v>Cloudy</v>
      </c>
      <c r="N131" s="38">
        <f>VLOOKUP(M131,'Sheet A'!M131:AE741,2,)</f>
        <v>0.2727</v>
      </c>
      <c r="O131" s="38">
        <f>VLOOKUP(N131,'Sheet A'!N131:AF741,2,)</f>
        <v>0.36</v>
      </c>
      <c r="P131" s="38">
        <f>VLOOKUP(O131,'Sheet A'!O131:AG741,2,)</f>
        <v>0</v>
      </c>
      <c r="Q131" s="38">
        <f>VLOOKUP(P131,'Sheet A'!P131:AH741,2,)</f>
        <v>8</v>
      </c>
      <c r="R131" s="38">
        <f>VLOOKUP(Q131,'Sheet A'!Q131:AI741,2,)</f>
        <v>54</v>
      </c>
      <c r="S131" s="38">
        <f>VLOOKUP(R131,'Sheet A'!R131:AJ741,2,)</f>
        <v>62</v>
      </c>
    </row>
    <row r="132" spans="1:19" x14ac:dyDescent="0.35">
      <c r="A132" s="37">
        <v>131</v>
      </c>
      <c r="B132" s="60">
        <f>VLOOKUP(A132,'Sheet A'!A132:S742,2,)</f>
        <v>40549</v>
      </c>
      <c r="C132" s="38">
        <f>VLOOKUP(B132,'Sheet A'!B132:T742,2,)</f>
        <v>1</v>
      </c>
      <c r="D132" s="38">
        <f>VLOOKUP(C132,'Sheet A'!C132:U742,2,)</f>
        <v>0</v>
      </c>
      <c r="E132" s="38">
        <f>VLOOKUP(D132,'Sheet A'!D132:V742,2,)</f>
        <v>1</v>
      </c>
      <c r="F132" s="38">
        <f>VLOOKUP(E132,'Sheet A'!E132:W742,2,)</f>
        <v>16</v>
      </c>
      <c r="G132" s="41" t="str">
        <f>VLOOKUP(F132,'Sheet A'!F132:X742,2,)</f>
        <v>AfterNoon</v>
      </c>
      <c r="H132" s="38" t="b">
        <f>VLOOKUP(G132,'Sheet A'!G132:Y742,2,)</f>
        <v>0</v>
      </c>
      <c r="I132" s="38">
        <f>VLOOKUP(H132,'Sheet A'!H132:Z742,2,)</f>
        <v>4</v>
      </c>
      <c r="J132" s="41" t="str">
        <f>VLOOKUP(I132,'Sheet A'!I132:AA742,2,)</f>
        <v>Wednesday</v>
      </c>
      <c r="K132" s="38">
        <f>VLOOKUP(J132,'Sheet A'!J132:AB742,2,)</f>
        <v>1</v>
      </c>
      <c r="L132" s="38">
        <f>VLOOKUP(K132,'Sheet A'!K132:AC742,2,)</f>
        <v>0.26</v>
      </c>
      <c r="M132" s="70" t="str">
        <f>VLOOKUP(L132,'Sheet A'!L132:AD742,2,)</f>
        <v>Cloudy</v>
      </c>
      <c r="N132" s="38">
        <f>VLOOKUP(M132,'Sheet A'!M132:AE742,2,)</f>
        <v>0.2576</v>
      </c>
      <c r="O132" s="38">
        <f>VLOOKUP(N132,'Sheet A'!N132:AF742,2,)</f>
        <v>0.38</v>
      </c>
      <c r="P132" s="38">
        <f>VLOOKUP(O132,'Sheet A'!O132:AG742,2,)</f>
        <v>0.16420000000000001</v>
      </c>
      <c r="Q132" s="38">
        <f>VLOOKUP(P132,'Sheet A'!P132:AH742,2,)</f>
        <v>12</v>
      </c>
      <c r="R132" s="38">
        <f>VLOOKUP(Q132,'Sheet A'!Q132:AI742,2,)</f>
        <v>74</v>
      </c>
      <c r="S132" s="38">
        <f>VLOOKUP(R132,'Sheet A'!R132:AJ742,2,)</f>
        <v>86</v>
      </c>
    </row>
    <row r="133" spans="1:19" x14ac:dyDescent="0.35">
      <c r="A133" s="37">
        <v>132</v>
      </c>
      <c r="B133" s="60">
        <f>VLOOKUP(A133,'Sheet A'!A133:S743,2,)</f>
        <v>40549</v>
      </c>
      <c r="C133" s="38">
        <f>VLOOKUP(B133,'Sheet A'!B133:T743,2,)</f>
        <v>1</v>
      </c>
      <c r="D133" s="38">
        <f>VLOOKUP(C133,'Sheet A'!C133:U743,2,)</f>
        <v>0</v>
      </c>
      <c r="E133" s="38">
        <f>VLOOKUP(D133,'Sheet A'!D133:V743,2,)</f>
        <v>1</v>
      </c>
      <c r="F133" s="38">
        <f>VLOOKUP(E133,'Sheet A'!E133:W743,2,)</f>
        <v>17</v>
      </c>
      <c r="G133" s="41" t="str">
        <f>VLOOKUP(F133,'Sheet A'!F133:X743,2,)</f>
        <v>Evening</v>
      </c>
      <c r="H133" s="38" t="b">
        <f>VLOOKUP(G133,'Sheet A'!G133:Y743,2,)</f>
        <v>0</v>
      </c>
      <c r="I133" s="38">
        <f>VLOOKUP(H133,'Sheet A'!H133:Z743,2,)</f>
        <v>4</v>
      </c>
      <c r="J133" s="41" t="str">
        <f>VLOOKUP(I133,'Sheet A'!I133:AA743,2,)</f>
        <v>Wednesday</v>
      </c>
      <c r="K133" s="38">
        <f>VLOOKUP(J133,'Sheet A'!J133:AB743,2,)</f>
        <v>1</v>
      </c>
      <c r="L133" s="38">
        <f>VLOOKUP(K133,'Sheet A'!K133:AC743,2,)</f>
        <v>0.22</v>
      </c>
      <c r="M133" s="70" t="str">
        <f>VLOOKUP(L133,'Sheet A'!L133:AD743,2,)</f>
        <v>Cloudy</v>
      </c>
      <c r="N133" s="38">
        <f>VLOOKUP(M133,'Sheet A'!M133:AE743,2,)</f>
        <v>0.2273</v>
      </c>
      <c r="O133" s="38">
        <f>VLOOKUP(N133,'Sheet A'!N133:AF743,2,)</f>
        <v>0.51</v>
      </c>
      <c r="P133" s="38">
        <f>VLOOKUP(O133,'Sheet A'!O133:AG743,2,)</f>
        <v>0.16420000000000001</v>
      </c>
      <c r="Q133" s="38">
        <f>VLOOKUP(P133,'Sheet A'!P133:AH743,2,)</f>
        <v>9</v>
      </c>
      <c r="R133" s="38">
        <f>VLOOKUP(Q133,'Sheet A'!Q133:AI743,2,)</f>
        <v>163</v>
      </c>
      <c r="S133" s="38">
        <f>VLOOKUP(R133,'Sheet A'!R133:AJ743,2,)</f>
        <v>172</v>
      </c>
    </row>
    <row r="134" spans="1:19" x14ac:dyDescent="0.35">
      <c r="A134" s="37">
        <v>133</v>
      </c>
      <c r="B134" s="60">
        <f>VLOOKUP(A134,'Sheet A'!A134:S744,2,)</f>
        <v>40549</v>
      </c>
      <c r="C134" s="38">
        <f>VLOOKUP(B134,'Sheet A'!B134:T744,2,)</f>
        <v>1</v>
      </c>
      <c r="D134" s="38">
        <f>VLOOKUP(C134,'Sheet A'!C134:U744,2,)</f>
        <v>0</v>
      </c>
      <c r="E134" s="38">
        <f>VLOOKUP(D134,'Sheet A'!D134:V744,2,)</f>
        <v>1</v>
      </c>
      <c r="F134" s="38">
        <f>VLOOKUP(E134,'Sheet A'!E134:W744,2,)</f>
        <v>18</v>
      </c>
      <c r="G134" s="41" t="str">
        <f>VLOOKUP(F134,'Sheet A'!F134:X744,2,)</f>
        <v>Evening</v>
      </c>
      <c r="H134" s="38" t="b">
        <f>VLOOKUP(G134,'Sheet A'!G134:Y744,2,)</f>
        <v>0</v>
      </c>
      <c r="I134" s="38">
        <f>VLOOKUP(H134,'Sheet A'!H134:Z744,2,)</f>
        <v>4</v>
      </c>
      <c r="J134" s="41" t="str">
        <f>VLOOKUP(I134,'Sheet A'!I134:AA744,2,)</f>
        <v>Wednesday</v>
      </c>
      <c r="K134" s="38">
        <f>VLOOKUP(J134,'Sheet A'!J134:AB744,2,)</f>
        <v>1</v>
      </c>
      <c r="L134" s="38">
        <f>VLOOKUP(K134,'Sheet A'!K134:AC744,2,)</f>
        <v>0.22</v>
      </c>
      <c r="M134" s="70" t="str">
        <f>VLOOKUP(L134,'Sheet A'!L134:AD744,2,)</f>
        <v>Cloudy</v>
      </c>
      <c r="N134" s="38">
        <f>VLOOKUP(M134,'Sheet A'!M134:AE744,2,)</f>
        <v>0.2273</v>
      </c>
      <c r="O134" s="38">
        <f>VLOOKUP(N134,'Sheet A'!N134:AF744,2,)</f>
        <v>0.51</v>
      </c>
      <c r="P134" s="38">
        <f>VLOOKUP(O134,'Sheet A'!O134:AG744,2,)</f>
        <v>0.1343</v>
      </c>
      <c r="Q134" s="38">
        <f>VLOOKUP(P134,'Sheet A'!P134:AH744,2,)</f>
        <v>5</v>
      </c>
      <c r="R134" s="38">
        <f>VLOOKUP(Q134,'Sheet A'!Q134:AI744,2,)</f>
        <v>158</v>
      </c>
      <c r="S134" s="38">
        <f>VLOOKUP(R134,'Sheet A'!R134:AJ744,2,)</f>
        <v>163</v>
      </c>
    </row>
    <row r="135" spans="1:19" x14ac:dyDescent="0.35">
      <c r="A135" s="37">
        <v>134</v>
      </c>
      <c r="B135" s="60">
        <f>VLOOKUP(A135,'Sheet A'!A135:S745,2,)</f>
        <v>40549</v>
      </c>
      <c r="C135" s="38">
        <f>VLOOKUP(B135,'Sheet A'!B135:T745,2,)</f>
        <v>1</v>
      </c>
      <c r="D135" s="38">
        <f>VLOOKUP(C135,'Sheet A'!C135:U745,2,)</f>
        <v>0</v>
      </c>
      <c r="E135" s="38">
        <f>VLOOKUP(D135,'Sheet A'!D135:V745,2,)</f>
        <v>1</v>
      </c>
      <c r="F135" s="38">
        <f>VLOOKUP(E135,'Sheet A'!E135:W745,2,)</f>
        <v>19</v>
      </c>
      <c r="G135" s="41" t="str">
        <f>VLOOKUP(F135,'Sheet A'!F135:X745,2,)</f>
        <v>Evening</v>
      </c>
      <c r="H135" s="38" t="b">
        <f>VLOOKUP(G135,'Sheet A'!G135:Y745,2,)</f>
        <v>0</v>
      </c>
      <c r="I135" s="38">
        <f>VLOOKUP(H135,'Sheet A'!H135:Z745,2,)</f>
        <v>4</v>
      </c>
      <c r="J135" s="41" t="str">
        <f>VLOOKUP(I135,'Sheet A'!I135:AA745,2,)</f>
        <v>Wednesday</v>
      </c>
      <c r="K135" s="38">
        <f>VLOOKUP(J135,'Sheet A'!J135:AB745,2,)</f>
        <v>1</v>
      </c>
      <c r="L135" s="38">
        <f>VLOOKUP(K135,'Sheet A'!K135:AC745,2,)</f>
        <v>0.22</v>
      </c>
      <c r="M135" s="70" t="str">
        <f>VLOOKUP(L135,'Sheet A'!L135:AD745,2,)</f>
        <v>Cloudy</v>
      </c>
      <c r="N135" s="38">
        <f>VLOOKUP(M135,'Sheet A'!M135:AE745,2,)</f>
        <v>0.2576</v>
      </c>
      <c r="O135" s="38">
        <f>VLOOKUP(N135,'Sheet A'!N135:AF745,2,)</f>
        <v>0.55000000000000004</v>
      </c>
      <c r="P135" s="38">
        <f>VLOOKUP(O135,'Sheet A'!O135:AG745,2,)</f>
        <v>8.9599999999999999E-2</v>
      </c>
      <c r="Q135" s="38">
        <f>VLOOKUP(P135,'Sheet A'!P135:AH745,2,)</f>
        <v>3</v>
      </c>
      <c r="R135" s="38">
        <f>VLOOKUP(Q135,'Sheet A'!Q135:AI745,2,)</f>
        <v>109</v>
      </c>
      <c r="S135" s="38">
        <f>VLOOKUP(R135,'Sheet A'!R135:AJ745,2,)</f>
        <v>112</v>
      </c>
    </row>
    <row r="136" spans="1:19" x14ac:dyDescent="0.35">
      <c r="A136" s="37">
        <v>135</v>
      </c>
      <c r="B136" s="60">
        <f>VLOOKUP(A136,'Sheet A'!A136:S746,2,)</f>
        <v>40549</v>
      </c>
      <c r="C136" s="38">
        <f>VLOOKUP(B136,'Sheet A'!B136:T746,2,)</f>
        <v>1</v>
      </c>
      <c r="D136" s="38">
        <f>VLOOKUP(C136,'Sheet A'!C136:U746,2,)</f>
        <v>0</v>
      </c>
      <c r="E136" s="38">
        <f>VLOOKUP(D136,'Sheet A'!D136:V746,2,)</f>
        <v>1</v>
      </c>
      <c r="F136" s="38">
        <f>VLOOKUP(E136,'Sheet A'!E136:W746,2,)</f>
        <v>20</v>
      </c>
      <c r="G136" s="41" t="str">
        <f>VLOOKUP(F136,'Sheet A'!F136:X746,2,)</f>
        <v>Night</v>
      </c>
      <c r="H136" s="38" t="b">
        <f>VLOOKUP(G136,'Sheet A'!G136:Y746,2,)</f>
        <v>0</v>
      </c>
      <c r="I136" s="38">
        <f>VLOOKUP(H136,'Sheet A'!H136:Z746,2,)</f>
        <v>4</v>
      </c>
      <c r="J136" s="41" t="str">
        <f>VLOOKUP(I136,'Sheet A'!I136:AA746,2,)</f>
        <v>Wednesday</v>
      </c>
      <c r="K136" s="38">
        <f>VLOOKUP(J136,'Sheet A'!J136:AB746,2,)</f>
        <v>1</v>
      </c>
      <c r="L136" s="38">
        <f>VLOOKUP(K136,'Sheet A'!K136:AC746,2,)</f>
        <v>0.2</v>
      </c>
      <c r="M136" s="70" t="str">
        <f>VLOOKUP(L136,'Sheet A'!L136:AD746,2,)</f>
        <v>Rainy</v>
      </c>
      <c r="N136" s="38">
        <f>VLOOKUP(M136,'Sheet A'!M136:AE746,2,)</f>
        <v>0.21210000000000001</v>
      </c>
      <c r="O136" s="38">
        <f>VLOOKUP(N136,'Sheet A'!N136:AF746,2,)</f>
        <v>0.51</v>
      </c>
      <c r="P136" s="38">
        <f>VLOOKUP(O136,'Sheet A'!O136:AG746,2,)</f>
        <v>0.16420000000000001</v>
      </c>
      <c r="Q136" s="38">
        <f>VLOOKUP(P136,'Sheet A'!P136:AH746,2,)</f>
        <v>3</v>
      </c>
      <c r="R136" s="38">
        <f>VLOOKUP(Q136,'Sheet A'!Q136:AI746,2,)</f>
        <v>66</v>
      </c>
      <c r="S136" s="38">
        <f>VLOOKUP(R136,'Sheet A'!R136:AJ746,2,)</f>
        <v>69</v>
      </c>
    </row>
    <row r="137" spans="1:19" x14ac:dyDescent="0.35">
      <c r="A137" s="37">
        <v>136</v>
      </c>
      <c r="B137" s="60">
        <f>VLOOKUP(A137,'Sheet A'!A137:S747,2,)</f>
        <v>40549</v>
      </c>
      <c r="C137" s="38">
        <f>VLOOKUP(B137,'Sheet A'!B137:T747,2,)</f>
        <v>1</v>
      </c>
      <c r="D137" s="38">
        <f>VLOOKUP(C137,'Sheet A'!C137:U747,2,)</f>
        <v>0</v>
      </c>
      <c r="E137" s="38">
        <f>VLOOKUP(D137,'Sheet A'!D137:V747,2,)</f>
        <v>1</v>
      </c>
      <c r="F137" s="38">
        <f>VLOOKUP(E137,'Sheet A'!E137:W747,2,)</f>
        <v>21</v>
      </c>
      <c r="G137" s="41" t="str">
        <f>VLOOKUP(F137,'Sheet A'!F137:X747,2,)</f>
        <v>Night</v>
      </c>
      <c r="H137" s="38" t="b">
        <f>VLOOKUP(G137,'Sheet A'!G137:Y747,2,)</f>
        <v>0</v>
      </c>
      <c r="I137" s="38">
        <f>VLOOKUP(H137,'Sheet A'!H137:Z747,2,)</f>
        <v>4</v>
      </c>
      <c r="J137" s="41" t="str">
        <f>VLOOKUP(I137,'Sheet A'!I137:AA747,2,)</f>
        <v>Wednesday</v>
      </c>
      <c r="K137" s="38">
        <f>VLOOKUP(J137,'Sheet A'!J137:AB747,2,)</f>
        <v>2</v>
      </c>
      <c r="L137" s="38">
        <f>VLOOKUP(K137,'Sheet A'!K137:AC747,2,)</f>
        <v>0.22</v>
      </c>
      <c r="M137" s="70" t="str">
        <f>VLOOKUP(L137,'Sheet A'!L137:AD747,2,)</f>
        <v>Cloudy</v>
      </c>
      <c r="N137" s="38">
        <f>VLOOKUP(M137,'Sheet A'!M137:AE747,2,)</f>
        <v>0.21210000000000001</v>
      </c>
      <c r="O137" s="38">
        <f>VLOOKUP(N137,'Sheet A'!N137:AF747,2,)</f>
        <v>0.55000000000000004</v>
      </c>
      <c r="P137" s="38">
        <f>VLOOKUP(O137,'Sheet A'!O137:AG747,2,)</f>
        <v>0.22389999999999999</v>
      </c>
      <c r="Q137" s="38">
        <f>VLOOKUP(P137,'Sheet A'!P137:AH747,2,)</f>
        <v>0</v>
      </c>
      <c r="R137" s="38">
        <f>VLOOKUP(Q137,'Sheet A'!Q137:AI747,2,)</f>
        <v>48</v>
      </c>
      <c r="S137" s="38">
        <f>VLOOKUP(R137,'Sheet A'!R137:AJ747,2,)</f>
        <v>48</v>
      </c>
    </row>
    <row r="138" spans="1:19" x14ac:dyDescent="0.35">
      <c r="A138" s="37">
        <v>137</v>
      </c>
      <c r="B138" s="60">
        <f>VLOOKUP(A138,'Sheet A'!A138:S748,2,)</f>
        <v>40549</v>
      </c>
      <c r="C138" s="38">
        <f>VLOOKUP(B138,'Sheet A'!B138:T748,2,)</f>
        <v>1</v>
      </c>
      <c r="D138" s="38">
        <f>VLOOKUP(C138,'Sheet A'!C138:U748,2,)</f>
        <v>0</v>
      </c>
      <c r="E138" s="38">
        <f>VLOOKUP(D138,'Sheet A'!D138:V748,2,)</f>
        <v>1</v>
      </c>
      <c r="F138" s="38">
        <f>VLOOKUP(E138,'Sheet A'!E138:W748,2,)</f>
        <v>22</v>
      </c>
      <c r="G138" s="41" t="str">
        <f>VLOOKUP(F138,'Sheet A'!F138:X748,2,)</f>
        <v>Night</v>
      </c>
      <c r="H138" s="38" t="b">
        <f>VLOOKUP(G138,'Sheet A'!G138:Y748,2,)</f>
        <v>0</v>
      </c>
      <c r="I138" s="38">
        <f>VLOOKUP(H138,'Sheet A'!H138:Z748,2,)</f>
        <v>4</v>
      </c>
      <c r="J138" s="41" t="str">
        <f>VLOOKUP(I138,'Sheet A'!I138:AA748,2,)</f>
        <v>Wednesday</v>
      </c>
      <c r="K138" s="38">
        <f>VLOOKUP(J138,'Sheet A'!J138:AB748,2,)</f>
        <v>2</v>
      </c>
      <c r="L138" s="38">
        <f>VLOOKUP(K138,'Sheet A'!K138:AC748,2,)</f>
        <v>0.22</v>
      </c>
      <c r="M138" s="70" t="str">
        <f>VLOOKUP(L138,'Sheet A'!L138:AD748,2,)</f>
        <v>Cloudy</v>
      </c>
      <c r="N138" s="38">
        <f>VLOOKUP(M138,'Sheet A'!M138:AE748,2,)</f>
        <v>0.21210000000000001</v>
      </c>
      <c r="O138" s="38">
        <f>VLOOKUP(N138,'Sheet A'!N138:AF748,2,)</f>
        <v>0.51</v>
      </c>
      <c r="P138" s="38">
        <f>VLOOKUP(O138,'Sheet A'!O138:AG748,2,)</f>
        <v>0.28360000000000002</v>
      </c>
      <c r="Q138" s="38">
        <f>VLOOKUP(P138,'Sheet A'!P138:AH748,2,)</f>
        <v>1</v>
      </c>
      <c r="R138" s="38">
        <f>VLOOKUP(Q138,'Sheet A'!Q138:AI748,2,)</f>
        <v>51</v>
      </c>
      <c r="S138" s="38">
        <f>VLOOKUP(R138,'Sheet A'!R138:AJ748,2,)</f>
        <v>52</v>
      </c>
    </row>
    <row r="139" spans="1:19" x14ac:dyDescent="0.35">
      <c r="A139" s="37">
        <v>138</v>
      </c>
      <c r="B139" s="60">
        <f>VLOOKUP(A139,'Sheet A'!A139:S749,2,)</f>
        <v>40549</v>
      </c>
      <c r="C139" s="38">
        <f>VLOOKUP(B139,'Sheet A'!B139:T749,2,)</f>
        <v>1</v>
      </c>
      <c r="D139" s="38">
        <f>VLOOKUP(C139,'Sheet A'!C139:U749,2,)</f>
        <v>0</v>
      </c>
      <c r="E139" s="38">
        <f>VLOOKUP(D139,'Sheet A'!D139:V749,2,)</f>
        <v>1</v>
      </c>
      <c r="F139" s="38">
        <f>VLOOKUP(E139,'Sheet A'!E139:W749,2,)</f>
        <v>23</v>
      </c>
      <c r="G139" s="41" t="str">
        <f>VLOOKUP(F139,'Sheet A'!F139:X749,2,)</f>
        <v>Night</v>
      </c>
      <c r="H139" s="38" t="b">
        <f>VLOOKUP(G139,'Sheet A'!G139:Y749,2,)</f>
        <v>0</v>
      </c>
      <c r="I139" s="38">
        <f>VLOOKUP(H139,'Sheet A'!H139:Z749,2,)</f>
        <v>4</v>
      </c>
      <c r="J139" s="41" t="str">
        <f>VLOOKUP(I139,'Sheet A'!I139:AA749,2,)</f>
        <v>Wednesday</v>
      </c>
      <c r="K139" s="38">
        <f>VLOOKUP(J139,'Sheet A'!J139:AB749,2,)</f>
        <v>2</v>
      </c>
      <c r="L139" s="38">
        <f>VLOOKUP(K139,'Sheet A'!K139:AC749,2,)</f>
        <v>0.2</v>
      </c>
      <c r="M139" s="70" t="str">
        <f>VLOOKUP(L139,'Sheet A'!L139:AD749,2,)</f>
        <v>Rainy</v>
      </c>
      <c r="N139" s="38">
        <f>VLOOKUP(M139,'Sheet A'!M139:AE749,2,)</f>
        <v>0.19700000000000001</v>
      </c>
      <c r="O139" s="38">
        <f>VLOOKUP(N139,'Sheet A'!N139:AF749,2,)</f>
        <v>0.59</v>
      </c>
      <c r="P139" s="38">
        <f>VLOOKUP(O139,'Sheet A'!O139:AG749,2,)</f>
        <v>0.19400000000000001</v>
      </c>
      <c r="Q139" s="38">
        <f>VLOOKUP(P139,'Sheet A'!P139:AH749,2,)</f>
        <v>4</v>
      </c>
      <c r="R139" s="38">
        <f>VLOOKUP(Q139,'Sheet A'!Q139:AI749,2,)</f>
        <v>19</v>
      </c>
      <c r="S139" s="38">
        <f>VLOOKUP(R139,'Sheet A'!R139:AJ749,2,)</f>
        <v>23</v>
      </c>
    </row>
    <row r="140" spans="1:19" x14ac:dyDescent="0.35">
      <c r="A140" s="37">
        <v>139</v>
      </c>
      <c r="B140" s="60">
        <f>VLOOKUP(A140,'Sheet A'!A140:S750,2,)</f>
        <v>40550</v>
      </c>
      <c r="C140" s="38">
        <f>VLOOKUP(B140,'Sheet A'!B140:T750,2,)</f>
        <v>1</v>
      </c>
      <c r="D140" s="38">
        <f>VLOOKUP(C140,'Sheet A'!C140:U750,2,)</f>
        <v>0</v>
      </c>
      <c r="E140" s="38">
        <f>VLOOKUP(D140,'Sheet A'!D140:V750,2,)</f>
        <v>1</v>
      </c>
      <c r="F140" s="38">
        <f>VLOOKUP(E140,'Sheet A'!E140:W750,2,)</f>
        <v>0</v>
      </c>
      <c r="G140" s="41" t="str">
        <f>VLOOKUP(F140,'Sheet A'!F140:X750,2,)</f>
        <v>Night</v>
      </c>
      <c r="H140" s="38" t="b">
        <f>VLOOKUP(G140,'Sheet A'!G140:Y750,2,)</f>
        <v>0</v>
      </c>
      <c r="I140" s="38">
        <f>VLOOKUP(H140,'Sheet A'!H140:Z750,2,)</f>
        <v>5</v>
      </c>
      <c r="J140" s="41" t="str">
        <f>VLOOKUP(I140,'Sheet A'!I140:AA750,2,)</f>
        <v>Thusday</v>
      </c>
      <c r="K140" s="38">
        <f>VLOOKUP(J140,'Sheet A'!J140:AB750,2,)</f>
        <v>2</v>
      </c>
      <c r="L140" s="38">
        <f>VLOOKUP(K140,'Sheet A'!K140:AC750,2,)</f>
        <v>0.2</v>
      </c>
      <c r="M140" s="70" t="str">
        <f>VLOOKUP(L140,'Sheet A'!L140:AD750,2,)</f>
        <v>Rainy</v>
      </c>
      <c r="N140" s="38">
        <f>VLOOKUP(M140,'Sheet A'!M140:AE750,2,)</f>
        <v>0.19700000000000001</v>
      </c>
      <c r="O140" s="38">
        <f>VLOOKUP(N140,'Sheet A'!N140:AF750,2,)</f>
        <v>0.64</v>
      </c>
      <c r="P140" s="38">
        <f>VLOOKUP(O140,'Sheet A'!O140:AG750,2,)</f>
        <v>0.19400000000000001</v>
      </c>
      <c r="Q140" s="38">
        <f>VLOOKUP(P140,'Sheet A'!P140:AH750,2,)</f>
        <v>4</v>
      </c>
      <c r="R140" s="38">
        <f>VLOOKUP(Q140,'Sheet A'!Q140:AI750,2,)</f>
        <v>13</v>
      </c>
      <c r="S140" s="38">
        <f>VLOOKUP(R140,'Sheet A'!R140:AJ750,2,)</f>
        <v>17</v>
      </c>
    </row>
    <row r="141" spans="1:19" x14ac:dyDescent="0.35">
      <c r="A141" s="37">
        <v>140</v>
      </c>
      <c r="B141" s="60">
        <f>VLOOKUP(A141,'Sheet A'!A141:S751,2,)</f>
        <v>40550</v>
      </c>
      <c r="C141" s="38">
        <f>VLOOKUP(B141,'Sheet A'!B141:T751,2,)</f>
        <v>1</v>
      </c>
      <c r="D141" s="38">
        <f>VLOOKUP(C141,'Sheet A'!C141:U751,2,)</f>
        <v>0</v>
      </c>
      <c r="E141" s="38">
        <f>VLOOKUP(D141,'Sheet A'!D141:V751,2,)</f>
        <v>1</v>
      </c>
      <c r="F141" s="38">
        <f>VLOOKUP(E141,'Sheet A'!E141:W751,2,)</f>
        <v>1</v>
      </c>
      <c r="G141" s="41" t="str">
        <f>VLOOKUP(F141,'Sheet A'!F141:X751,2,)</f>
        <v>Night</v>
      </c>
      <c r="H141" s="38" t="b">
        <f>VLOOKUP(G141,'Sheet A'!G141:Y751,2,)</f>
        <v>0</v>
      </c>
      <c r="I141" s="38">
        <f>VLOOKUP(H141,'Sheet A'!H141:Z751,2,)</f>
        <v>5</v>
      </c>
      <c r="J141" s="41" t="str">
        <f>VLOOKUP(I141,'Sheet A'!I141:AA751,2,)</f>
        <v>Thusday</v>
      </c>
      <c r="K141" s="38">
        <f>VLOOKUP(J141,'Sheet A'!J141:AB751,2,)</f>
        <v>2</v>
      </c>
      <c r="L141" s="38">
        <f>VLOOKUP(K141,'Sheet A'!K141:AC751,2,)</f>
        <v>0.2</v>
      </c>
      <c r="M141" s="70" t="str">
        <f>VLOOKUP(L141,'Sheet A'!L141:AD751,2,)</f>
        <v>Rainy</v>
      </c>
      <c r="N141" s="38">
        <f>VLOOKUP(M141,'Sheet A'!M141:AE751,2,)</f>
        <v>0.19700000000000001</v>
      </c>
      <c r="O141" s="38">
        <f>VLOOKUP(N141,'Sheet A'!N141:AF751,2,)</f>
        <v>0.69</v>
      </c>
      <c r="P141" s="38">
        <f>VLOOKUP(O141,'Sheet A'!O141:AG751,2,)</f>
        <v>0.22389999999999999</v>
      </c>
      <c r="Q141" s="38">
        <f>VLOOKUP(P141,'Sheet A'!P141:AH751,2,)</f>
        <v>2</v>
      </c>
      <c r="R141" s="38">
        <f>VLOOKUP(Q141,'Sheet A'!Q141:AI751,2,)</f>
        <v>5</v>
      </c>
      <c r="S141" s="38">
        <f>VLOOKUP(R141,'Sheet A'!R141:AJ751,2,)</f>
        <v>7</v>
      </c>
    </row>
    <row r="142" spans="1:19" x14ac:dyDescent="0.35">
      <c r="A142" s="37">
        <v>141</v>
      </c>
      <c r="B142" s="60">
        <f>VLOOKUP(A142,'Sheet A'!A142:S752,2,)</f>
        <v>40550</v>
      </c>
      <c r="C142" s="38">
        <f>VLOOKUP(B142,'Sheet A'!B142:T752,2,)</f>
        <v>1</v>
      </c>
      <c r="D142" s="38">
        <f>VLOOKUP(C142,'Sheet A'!C142:U752,2,)</f>
        <v>0</v>
      </c>
      <c r="E142" s="38">
        <f>VLOOKUP(D142,'Sheet A'!D142:V752,2,)</f>
        <v>1</v>
      </c>
      <c r="F142" s="38">
        <f>VLOOKUP(E142,'Sheet A'!E142:W752,2,)</f>
        <v>2</v>
      </c>
      <c r="G142" s="41" t="str">
        <f>VLOOKUP(F142,'Sheet A'!F142:X752,2,)</f>
        <v>Night</v>
      </c>
      <c r="H142" s="38" t="b">
        <f>VLOOKUP(G142,'Sheet A'!G142:Y752,2,)</f>
        <v>0</v>
      </c>
      <c r="I142" s="38">
        <f>VLOOKUP(H142,'Sheet A'!H142:Z752,2,)</f>
        <v>5</v>
      </c>
      <c r="J142" s="41" t="str">
        <f>VLOOKUP(I142,'Sheet A'!I142:AA752,2,)</f>
        <v>Thusday</v>
      </c>
      <c r="K142" s="38">
        <f>VLOOKUP(J142,'Sheet A'!J142:AB752,2,)</f>
        <v>2</v>
      </c>
      <c r="L142" s="38">
        <f>VLOOKUP(K142,'Sheet A'!K142:AC752,2,)</f>
        <v>0.2</v>
      </c>
      <c r="M142" s="70" t="str">
        <f>VLOOKUP(L142,'Sheet A'!L142:AD752,2,)</f>
        <v>Rainy</v>
      </c>
      <c r="N142" s="38">
        <f>VLOOKUP(M142,'Sheet A'!M142:AE752,2,)</f>
        <v>0.19700000000000001</v>
      </c>
      <c r="O142" s="38">
        <f>VLOOKUP(N142,'Sheet A'!N142:AF752,2,)</f>
        <v>0.69</v>
      </c>
      <c r="P142" s="38">
        <f>VLOOKUP(O142,'Sheet A'!O142:AG752,2,)</f>
        <v>0.22389999999999999</v>
      </c>
      <c r="Q142" s="38">
        <f>VLOOKUP(P142,'Sheet A'!P142:AH752,2,)</f>
        <v>0</v>
      </c>
      <c r="R142" s="38">
        <f>VLOOKUP(Q142,'Sheet A'!Q142:AI752,2,)</f>
        <v>1</v>
      </c>
      <c r="S142" s="38">
        <f>VLOOKUP(R142,'Sheet A'!R142:AJ752,2,)</f>
        <v>1</v>
      </c>
    </row>
    <row r="143" spans="1:19" x14ac:dyDescent="0.35">
      <c r="A143" s="37">
        <v>142</v>
      </c>
      <c r="B143" s="60">
        <f>VLOOKUP(A143,'Sheet A'!A143:S753,2,)</f>
        <v>40550</v>
      </c>
      <c r="C143" s="38">
        <f>VLOOKUP(B143,'Sheet A'!B143:T753,2,)</f>
        <v>1</v>
      </c>
      <c r="D143" s="38">
        <f>VLOOKUP(C143,'Sheet A'!C143:U753,2,)</f>
        <v>0</v>
      </c>
      <c r="E143" s="38">
        <f>VLOOKUP(D143,'Sheet A'!D143:V753,2,)</f>
        <v>1</v>
      </c>
      <c r="F143" s="38">
        <f>VLOOKUP(E143,'Sheet A'!E143:W753,2,)</f>
        <v>4</v>
      </c>
      <c r="G143" s="41" t="str">
        <f>VLOOKUP(F143,'Sheet A'!F143:X753,2,)</f>
        <v>Night</v>
      </c>
      <c r="H143" s="38" t="b">
        <f>VLOOKUP(G143,'Sheet A'!G143:Y753,2,)</f>
        <v>0</v>
      </c>
      <c r="I143" s="38">
        <f>VLOOKUP(H143,'Sheet A'!H143:Z753,2,)</f>
        <v>5</v>
      </c>
      <c r="J143" s="41" t="str">
        <f>VLOOKUP(I143,'Sheet A'!I143:AA753,2,)</f>
        <v>Thusday</v>
      </c>
      <c r="K143" s="38">
        <f>VLOOKUP(J143,'Sheet A'!J143:AB753,2,)</f>
        <v>2</v>
      </c>
      <c r="L143" s="38">
        <f>VLOOKUP(K143,'Sheet A'!K143:AC753,2,)</f>
        <v>0.2</v>
      </c>
      <c r="M143" s="70" t="str">
        <f>VLOOKUP(L143,'Sheet A'!L143:AD753,2,)</f>
        <v>Rainy</v>
      </c>
      <c r="N143" s="38">
        <f>VLOOKUP(M143,'Sheet A'!M143:AE753,2,)</f>
        <v>0.21210000000000001</v>
      </c>
      <c r="O143" s="38">
        <f>VLOOKUP(N143,'Sheet A'!N143:AF753,2,)</f>
        <v>0.69</v>
      </c>
      <c r="P143" s="38">
        <f>VLOOKUP(O143,'Sheet A'!O143:AG753,2,)</f>
        <v>0.1343</v>
      </c>
      <c r="Q143" s="38">
        <f>VLOOKUP(P143,'Sheet A'!P143:AH753,2,)</f>
        <v>0</v>
      </c>
      <c r="R143" s="38">
        <f>VLOOKUP(Q143,'Sheet A'!Q143:AI753,2,)</f>
        <v>1</v>
      </c>
      <c r="S143" s="38">
        <f>VLOOKUP(R143,'Sheet A'!R143:AJ753,2,)</f>
        <v>1</v>
      </c>
    </row>
    <row r="144" spans="1:19" x14ac:dyDescent="0.35">
      <c r="A144" s="37">
        <v>143</v>
      </c>
      <c r="B144" s="60">
        <f>VLOOKUP(A144,'Sheet A'!A144:S754,2,)</f>
        <v>40550</v>
      </c>
      <c r="C144" s="38">
        <f>VLOOKUP(B144,'Sheet A'!B144:T754,2,)</f>
        <v>1</v>
      </c>
      <c r="D144" s="38">
        <f>VLOOKUP(C144,'Sheet A'!C144:U754,2,)</f>
        <v>0</v>
      </c>
      <c r="E144" s="38">
        <f>VLOOKUP(D144,'Sheet A'!D144:V754,2,)</f>
        <v>1</v>
      </c>
      <c r="F144" s="38">
        <f>VLOOKUP(E144,'Sheet A'!E144:W754,2,)</f>
        <v>5</v>
      </c>
      <c r="G144" s="41" t="str">
        <f>VLOOKUP(F144,'Sheet A'!F144:X754,2,)</f>
        <v>Morning</v>
      </c>
      <c r="H144" s="38" t="b">
        <f>VLOOKUP(G144,'Sheet A'!G144:Y754,2,)</f>
        <v>0</v>
      </c>
      <c r="I144" s="38">
        <f>VLOOKUP(H144,'Sheet A'!H144:Z754,2,)</f>
        <v>5</v>
      </c>
      <c r="J144" s="41" t="str">
        <f>VLOOKUP(I144,'Sheet A'!I144:AA754,2,)</f>
        <v>Thusday</v>
      </c>
      <c r="K144" s="38">
        <f>VLOOKUP(J144,'Sheet A'!J144:AB754,2,)</f>
        <v>3</v>
      </c>
      <c r="L144" s="38">
        <f>VLOOKUP(K144,'Sheet A'!K144:AC754,2,)</f>
        <v>0.22</v>
      </c>
      <c r="M144" s="70" t="str">
        <f>VLOOKUP(L144,'Sheet A'!L144:AD754,2,)</f>
        <v>Cloudy</v>
      </c>
      <c r="N144" s="38">
        <f>VLOOKUP(M144,'Sheet A'!M144:AE754,2,)</f>
        <v>0.2727</v>
      </c>
      <c r="O144" s="38">
        <f>VLOOKUP(N144,'Sheet A'!N144:AF754,2,)</f>
        <v>0.55000000000000004</v>
      </c>
      <c r="P144" s="38">
        <f>VLOOKUP(O144,'Sheet A'!O144:AG754,2,)</f>
        <v>0</v>
      </c>
      <c r="Q144" s="38">
        <f>VLOOKUP(P144,'Sheet A'!P144:AH754,2,)</f>
        <v>0</v>
      </c>
      <c r="R144" s="38">
        <f>VLOOKUP(Q144,'Sheet A'!Q144:AI754,2,)</f>
        <v>5</v>
      </c>
      <c r="S144" s="38">
        <f>VLOOKUP(R144,'Sheet A'!R144:AJ754,2,)</f>
        <v>5</v>
      </c>
    </row>
    <row r="145" spans="1:19" x14ac:dyDescent="0.35">
      <c r="A145" s="37">
        <v>144</v>
      </c>
      <c r="B145" s="60">
        <f>VLOOKUP(A145,'Sheet A'!A145:S755,2,)</f>
        <v>40550</v>
      </c>
      <c r="C145" s="38">
        <f>VLOOKUP(B145,'Sheet A'!B145:T755,2,)</f>
        <v>1</v>
      </c>
      <c r="D145" s="38">
        <f>VLOOKUP(C145,'Sheet A'!C145:U755,2,)</f>
        <v>0</v>
      </c>
      <c r="E145" s="38">
        <f>VLOOKUP(D145,'Sheet A'!D145:V755,2,)</f>
        <v>1</v>
      </c>
      <c r="F145" s="38">
        <f>VLOOKUP(E145,'Sheet A'!E145:W755,2,)</f>
        <v>6</v>
      </c>
      <c r="G145" s="41" t="str">
        <f>VLOOKUP(F145,'Sheet A'!F145:X755,2,)</f>
        <v>Morning</v>
      </c>
      <c r="H145" s="38" t="b">
        <f>VLOOKUP(G145,'Sheet A'!G145:Y755,2,)</f>
        <v>0</v>
      </c>
      <c r="I145" s="38">
        <f>VLOOKUP(H145,'Sheet A'!H145:Z755,2,)</f>
        <v>5</v>
      </c>
      <c r="J145" s="41" t="str">
        <f>VLOOKUP(I145,'Sheet A'!I145:AA755,2,)</f>
        <v>Thusday</v>
      </c>
      <c r="K145" s="38">
        <f>VLOOKUP(J145,'Sheet A'!J145:AB755,2,)</f>
        <v>2</v>
      </c>
      <c r="L145" s="38">
        <f>VLOOKUP(K145,'Sheet A'!K145:AC755,2,)</f>
        <v>0.2</v>
      </c>
      <c r="M145" s="70" t="str">
        <f>VLOOKUP(L145,'Sheet A'!L145:AD755,2,)</f>
        <v>Rainy</v>
      </c>
      <c r="N145" s="38">
        <f>VLOOKUP(M145,'Sheet A'!M145:AE755,2,)</f>
        <v>0.2576</v>
      </c>
      <c r="O145" s="38">
        <f>VLOOKUP(N145,'Sheet A'!N145:AF755,2,)</f>
        <v>0.69</v>
      </c>
      <c r="P145" s="38">
        <f>VLOOKUP(O145,'Sheet A'!O145:AG755,2,)</f>
        <v>0</v>
      </c>
      <c r="Q145" s="38">
        <f>VLOOKUP(P145,'Sheet A'!P145:AH755,2,)</f>
        <v>8</v>
      </c>
      <c r="R145" s="38">
        <f>VLOOKUP(Q145,'Sheet A'!Q145:AI755,2,)</f>
        <v>26</v>
      </c>
      <c r="S145" s="38">
        <f>VLOOKUP(R145,'Sheet A'!R145:AJ755,2,)</f>
        <v>34</v>
      </c>
    </row>
    <row r="146" spans="1:19" x14ac:dyDescent="0.35">
      <c r="A146" s="37">
        <v>145</v>
      </c>
      <c r="B146" s="60">
        <f>VLOOKUP(A146,'Sheet A'!A146:S756,2,)</f>
        <v>40550</v>
      </c>
      <c r="C146" s="38">
        <f>VLOOKUP(B146,'Sheet A'!B146:T756,2,)</f>
        <v>1</v>
      </c>
      <c r="D146" s="38">
        <f>VLOOKUP(C146,'Sheet A'!C146:U756,2,)</f>
        <v>0</v>
      </c>
      <c r="E146" s="38">
        <f>VLOOKUP(D146,'Sheet A'!D146:V756,2,)</f>
        <v>1</v>
      </c>
      <c r="F146" s="38">
        <f>VLOOKUP(E146,'Sheet A'!E146:W756,2,)</f>
        <v>7</v>
      </c>
      <c r="G146" s="41" t="str">
        <f>VLOOKUP(F146,'Sheet A'!F146:X756,2,)</f>
        <v>Morning</v>
      </c>
      <c r="H146" s="38" t="b">
        <f>VLOOKUP(G146,'Sheet A'!G146:Y756,2,)</f>
        <v>0</v>
      </c>
      <c r="I146" s="38">
        <f>VLOOKUP(H146,'Sheet A'!H146:Z756,2,)</f>
        <v>5</v>
      </c>
      <c r="J146" s="41" t="str">
        <f>VLOOKUP(I146,'Sheet A'!I146:AA756,2,)</f>
        <v>Thusday</v>
      </c>
      <c r="K146" s="38">
        <f>VLOOKUP(J146,'Sheet A'!J146:AB756,2,)</f>
        <v>1</v>
      </c>
      <c r="L146" s="38">
        <f>VLOOKUP(K146,'Sheet A'!K146:AC756,2,)</f>
        <v>0.2</v>
      </c>
      <c r="M146" s="70" t="str">
        <f>VLOOKUP(L146,'Sheet A'!L146:AD756,2,)</f>
        <v>Rainy</v>
      </c>
      <c r="N146" s="38">
        <f>VLOOKUP(M146,'Sheet A'!M146:AE756,2,)</f>
        <v>0.21210000000000001</v>
      </c>
      <c r="O146" s="38">
        <f>VLOOKUP(N146,'Sheet A'!N146:AF756,2,)</f>
        <v>0.69</v>
      </c>
      <c r="P146" s="38">
        <f>VLOOKUP(O146,'Sheet A'!O146:AG756,2,)</f>
        <v>0.1343</v>
      </c>
      <c r="Q146" s="38">
        <f>VLOOKUP(P146,'Sheet A'!P146:AH756,2,)</f>
        <v>8</v>
      </c>
      <c r="R146" s="38">
        <f>VLOOKUP(Q146,'Sheet A'!Q146:AI756,2,)</f>
        <v>76</v>
      </c>
      <c r="S146" s="38">
        <f>VLOOKUP(R146,'Sheet A'!R146:AJ756,2,)</f>
        <v>84</v>
      </c>
    </row>
    <row r="147" spans="1:19" x14ac:dyDescent="0.35">
      <c r="A147" s="37">
        <v>146</v>
      </c>
      <c r="B147" s="60">
        <f>VLOOKUP(A147,'Sheet A'!A147:S757,2,)</f>
        <v>40550</v>
      </c>
      <c r="C147" s="38">
        <f>VLOOKUP(B147,'Sheet A'!B147:T757,2,)</f>
        <v>1</v>
      </c>
      <c r="D147" s="38">
        <f>VLOOKUP(C147,'Sheet A'!C147:U757,2,)</f>
        <v>0</v>
      </c>
      <c r="E147" s="38">
        <f>VLOOKUP(D147,'Sheet A'!D147:V757,2,)</f>
        <v>1</v>
      </c>
      <c r="F147" s="38">
        <f>VLOOKUP(E147,'Sheet A'!E147:W757,2,)</f>
        <v>8</v>
      </c>
      <c r="G147" s="41" t="str">
        <f>VLOOKUP(F147,'Sheet A'!F147:X757,2,)</f>
        <v>Morning</v>
      </c>
      <c r="H147" s="38" t="b">
        <f>VLOOKUP(G147,'Sheet A'!G147:Y757,2,)</f>
        <v>0</v>
      </c>
      <c r="I147" s="38">
        <f>VLOOKUP(H147,'Sheet A'!H147:Z757,2,)</f>
        <v>5</v>
      </c>
      <c r="J147" s="41" t="str">
        <f>VLOOKUP(I147,'Sheet A'!I147:AA757,2,)</f>
        <v>Thusday</v>
      </c>
      <c r="K147" s="38">
        <f>VLOOKUP(J147,'Sheet A'!J147:AB757,2,)</f>
        <v>1</v>
      </c>
      <c r="L147" s="38">
        <f>VLOOKUP(K147,'Sheet A'!K147:AC757,2,)</f>
        <v>0.2</v>
      </c>
      <c r="M147" s="70" t="str">
        <f>VLOOKUP(L147,'Sheet A'!L147:AD757,2,)</f>
        <v>Rainy</v>
      </c>
      <c r="N147" s="38">
        <f>VLOOKUP(M147,'Sheet A'!M147:AE757,2,)</f>
        <v>0.19700000000000001</v>
      </c>
      <c r="O147" s="38">
        <f>VLOOKUP(N147,'Sheet A'!N147:AF757,2,)</f>
        <v>0.51</v>
      </c>
      <c r="P147" s="38">
        <f>VLOOKUP(O147,'Sheet A'!O147:AG757,2,)</f>
        <v>0.25369999999999998</v>
      </c>
      <c r="Q147" s="38">
        <f>VLOOKUP(P147,'Sheet A'!P147:AH757,2,)</f>
        <v>20</v>
      </c>
      <c r="R147" s="38">
        <f>VLOOKUP(Q147,'Sheet A'!Q147:AI757,2,)</f>
        <v>190</v>
      </c>
      <c r="S147" s="38">
        <f>VLOOKUP(R147,'Sheet A'!R147:AJ757,2,)</f>
        <v>210</v>
      </c>
    </row>
    <row r="148" spans="1:19" x14ac:dyDescent="0.35">
      <c r="A148" s="37">
        <v>147</v>
      </c>
      <c r="B148" s="60">
        <f>VLOOKUP(A148,'Sheet A'!A148:S758,2,)</f>
        <v>40550</v>
      </c>
      <c r="C148" s="38">
        <f>VLOOKUP(B148,'Sheet A'!B148:T758,2,)</f>
        <v>1</v>
      </c>
      <c r="D148" s="38">
        <f>VLOOKUP(C148,'Sheet A'!C148:U758,2,)</f>
        <v>0</v>
      </c>
      <c r="E148" s="38">
        <f>VLOOKUP(D148,'Sheet A'!D148:V758,2,)</f>
        <v>1</v>
      </c>
      <c r="F148" s="38">
        <f>VLOOKUP(E148,'Sheet A'!E148:W758,2,)</f>
        <v>9</v>
      </c>
      <c r="G148" s="41" t="str">
        <f>VLOOKUP(F148,'Sheet A'!F148:X758,2,)</f>
        <v>Morning</v>
      </c>
      <c r="H148" s="38" t="b">
        <f>VLOOKUP(G148,'Sheet A'!G148:Y758,2,)</f>
        <v>0</v>
      </c>
      <c r="I148" s="38">
        <f>VLOOKUP(H148,'Sheet A'!H148:Z758,2,)</f>
        <v>5</v>
      </c>
      <c r="J148" s="41" t="str">
        <f>VLOOKUP(I148,'Sheet A'!I148:AA758,2,)</f>
        <v>Thusday</v>
      </c>
      <c r="K148" s="38">
        <f>VLOOKUP(J148,'Sheet A'!J148:AB758,2,)</f>
        <v>1</v>
      </c>
      <c r="L148" s="38">
        <f>VLOOKUP(K148,'Sheet A'!K148:AC758,2,)</f>
        <v>0.2</v>
      </c>
      <c r="M148" s="70" t="str">
        <f>VLOOKUP(L148,'Sheet A'!L148:AD758,2,)</f>
        <v>Rainy</v>
      </c>
      <c r="N148" s="38">
        <f>VLOOKUP(M148,'Sheet A'!M148:AE758,2,)</f>
        <v>0.18179999999999999</v>
      </c>
      <c r="O148" s="38">
        <f>VLOOKUP(N148,'Sheet A'!N148:AF758,2,)</f>
        <v>0.47</v>
      </c>
      <c r="P148" s="38">
        <f>VLOOKUP(O148,'Sheet A'!O148:AG758,2,)</f>
        <v>0.29849999999999999</v>
      </c>
      <c r="Q148" s="38">
        <f>VLOOKUP(P148,'Sheet A'!P148:AH758,2,)</f>
        <v>9</v>
      </c>
      <c r="R148" s="38">
        <f>VLOOKUP(Q148,'Sheet A'!Q148:AI758,2,)</f>
        <v>125</v>
      </c>
      <c r="S148" s="38">
        <f>VLOOKUP(R148,'Sheet A'!R148:AJ758,2,)</f>
        <v>134</v>
      </c>
    </row>
    <row r="149" spans="1:19" x14ac:dyDescent="0.35">
      <c r="A149" s="37">
        <v>148</v>
      </c>
      <c r="B149" s="60">
        <f>VLOOKUP(A149,'Sheet A'!A149:S759,2,)</f>
        <v>40550</v>
      </c>
      <c r="C149" s="38">
        <f>VLOOKUP(B149,'Sheet A'!B149:T759,2,)</f>
        <v>1</v>
      </c>
      <c r="D149" s="38">
        <f>VLOOKUP(C149,'Sheet A'!C149:U759,2,)</f>
        <v>0</v>
      </c>
      <c r="E149" s="38">
        <f>VLOOKUP(D149,'Sheet A'!D149:V759,2,)</f>
        <v>1</v>
      </c>
      <c r="F149" s="38">
        <f>VLOOKUP(E149,'Sheet A'!E149:W759,2,)</f>
        <v>10</v>
      </c>
      <c r="G149" s="41" t="str">
        <f>VLOOKUP(F149,'Sheet A'!F149:X759,2,)</f>
        <v>Morning</v>
      </c>
      <c r="H149" s="38" t="b">
        <f>VLOOKUP(G149,'Sheet A'!G149:Y759,2,)</f>
        <v>0</v>
      </c>
      <c r="I149" s="38">
        <f>VLOOKUP(H149,'Sheet A'!H149:Z759,2,)</f>
        <v>5</v>
      </c>
      <c r="J149" s="41" t="str">
        <f>VLOOKUP(I149,'Sheet A'!I149:AA759,2,)</f>
        <v>Thusday</v>
      </c>
      <c r="K149" s="38">
        <f>VLOOKUP(J149,'Sheet A'!J149:AB759,2,)</f>
        <v>1</v>
      </c>
      <c r="L149" s="38">
        <f>VLOOKUP(K149,'Sheet A'!K149:AC759,2,)</f>
        <v>0.22</v>
      </c>
      <c r="M149" s="70" t="str">
        <f>VLOOKUP(L149,'Sheet A'!L149:AD759,2,)</f>
        <v>Cloudy</v>
      </c>
      <c r="N149" s="38">
        <f>VLOOKUP(M149,'Sheet A'!M149:AE759,2,)</f>
        <v>0.19700000000000001</v>
      </c>
      <c r="O149" s="38">
        <f>VLOOKUP(N149,'Sheet A'!N149:AF759,2,)</f>
        <v>0.37</v>
      </c>
      <c r="P149" s="38">
        <f>VLOOKUP(O149,'Sheet A'!O149:AG759,2,)</f>
        <v>0.32840000000000003</v>
      </c>
      <c r="Q149" s="38">
        <f>VLOOKUP(P149,'Sheet A'!P149:AH759,2,)</f>
        <v>16</v>
      </c>
      <c r="R149" s="38">
        <f>VLOOKUP(Q149,'Sheet A'!Q149:AI759,2,)</f>
        <v>47</v>
      </c>
      <c r="S149" s="38">
        <f>VLOOKUP(R149,'Sheet A'!R149:AJ759,2,)</f>
        <v>63</v>
      </c>
    </row>
    <row r="150" spans="1:19" x14ac:dyDescent="0.35">
      <c r="A150" s="37">
        <v>149</v>
      </c>
      <c r="B150" s="60">
        <f>VLOOKUP(A150,'Sheet A'!A150:S760,2,)</f>
        <v>40550</v>
      </c>
      <c r="C150" s="38">
        <f>VLOOKUP(B150,'Sheet A'!B150:T760,2,)</f>
        <v>1</v>
      </c>
      <c r="D150" s="38">
        <f>VLOOKUP(C150,'Sheet A'!C150:U760,2,)</f>
        <v>0</v>
      </c>
      <c r="E150" s="38">
        <f>VLOOKUP(D150,'Sheet A'!D150:V760,2,)</f>
        <v>1</v>
      </c>
      <c r="F150" s="38">
        <f>VLOOKUP(E150,'Sheet A'!E150:W760,2,)</f>
        <v>11</v>
      </c>
      <c r="G150" s="41" t="str">
        <f>VLOOKUP(F150,'Sheet A'!F150:X760,2,)</f>
        <v>Morning</v>
      </c>
      <c r="H150" s="38" t="b">
        <f>VLOOKUP(G150,'Sheet A'!G150:Y760,2,)</f>
        <v>0</v>
      </c>
      <c r="I150" s="38">
        <f>VLOOKUP(H150,'Sheet A'!H150:Z760,2,)</f>
        <v>5</v>
      </c>
      <c r="J150" s="41" t="str">
        <f>VLOOKUP(I150,'Sheet A'!I150:AA760,2,)</f>
        <v>Thusday</v>
      </c>
      <c r="K150" s="38">
        <f>VLOOKUP(J150,'Sheet A'!J150:AB760,2,)</f>
        <v>2</v>
      </c>
      <c r="L150" s="38">
        <f>VLOOKUP(K150,'Sheet A'!K150:AC760,2,)</f>
        <v>0.2</v>
      </c>
      <c r="M150" s="70" t="str">
        <f>VLOOKUP(L150,'Sheet A'!L150:AD760,2,)</f>
        <v>Rainy</v>
      </c>
      <c r="N150" s="38">
        <f>VLOOKUP(M150,'Sheet A'!M150:AE760,2,)</f>
        <v>0.19700000000000001</v>
      </c>
      <c r="O150" s="38">
        <f>VLOOKUP(N150,'Sheet A'!N150:AF760,2,)</f>
        <v>0.4</v>
      </c>
      <c r="P150" s="38">
        <f>VLOOKUP(O150,'Sheet A'!O150:AG760,2,)</f>
        <v>0.22389999999999999</v>
      </c>
      <c r="Q150" s="38">
        <f>VLOOKUP(P150,'Sheet A'!P150:AH760,2,)</f>
        <v>19</v>
      </c>
      <c r="R150" s="38">
        <f>VLOOKUP(Q150,'Sheet A'!Q150:AI760,2,)</f>
        <v>48</v>
      </c>
      <c r="S150" s="38">
        <f>VLOOKUP(R150,'Sheet A'!R150:AJ760,2,)</f>
        <v>67</v>
      </c>
    </row>
    <row r="151" spans="1:19" x14ac:dyDescent="0.35">
      <c r="A151" s="37">
        <v>150</v>
      </c>
      <c r="B151" s="60">
        <f>VLOOKUP(A151,'Sheet A'!A151:S761,2,)</f>
        <v>40550</v>
      </c>
      <c r="C151" s="38">
        <f>VLOOKUP(B151,'Sheet A'!B151:T761,2,)</f>
        <v>1</v>
      </c>
      <c r="D151" s="38">
        <f>VLOOKUP(C151,'Sheet A'!C151:U761,2,)</f>
        <v>0</v>
      </c>
      <c r="E151" s="38">
        <f>VLOOKUP(D151,'Sheet A'!D151:V761,2,)</f>
        <v>1</v>
      </c>
      <c r="F151" s="38">
        <f>VLOOKUP(E151,'Sheet A'!E151:W761,2,)</f>
        <v>12</v>
      </c>
      <c r="G151" s="41" t="str">
        <f>VLOOKUP(F151,'Sheet A'!F151:X761,2,)</f>
        <v>AfterNoon</v>
      </c>
      <c r="H151" s="38" t="b">
        <f>VLOOKUP(G151,'Sheet A'!G151:Y761,2,)</f>
        <v>0</v>
      </c>
      <c r="I151" s="38">
        <f>VLOOKUP(H151,'Sheet A'!H151:Z761,2,)</f>
        <v>5</v>
      </c>
      <c r="J151" s="41" t="str">
        <f>VLOOKUP(I151,'Sheet A'!I151:AA761,2,)</f>
        <v>Thusday</v>
      </c>
      <c r="K151" s="38">
        <f>VLOOKUP(J151,'Sheet A'!J151:AB761,2,)</f>
        <v>2</v>
      </c>
      <c r="L151" s="38">
        <f>VLOOKUP(K151,'Sheet A'!K151:AC761,2,)</f>
        <v>0.2</v>
      </c>
      <c r="M151" s="70" t="str">
        <f>VLOOKUP(L151,'Sheet A'!L151:AD761,2,)</f>
        <v>Rainy</v>
      </c>
      <c r="N151" s="38">
        <f>VLOOKUP(M151,'Sheet A'!M151:AE761,2,)</f>
        <v>0.19700000000000001</v>
      </c>
      <c r="O151" s="38">
        <f>VLOOKUP(N151,'Sheet A'!N151:AF761,2,)</f>
        <v>0.37</v>
      </c>
      <c r="P151" s="38">
        <f>VLOOKUP(O151,'Sheet A'!O151:AG761,2,)</f>
        <v>0.25369999999999998</v>
      </c>
      <c r="Q151" s="38">
        <f>VLOOKUP(P151,'Sheet A'!P151:AH761,2,)</f>
        <v>9</v>
      </c>
      <c r="R151" s="38">
        <f>VLOOKUP(Q151,'Sheet A'!Q151:AI761,2,)</f>
        <v>50</v>
      </c>
      <c r="S151" s="38">
        <f>VLOOKUP(R151,'Sheet A'!R151:AJ761,2,)</f>
        <v>59</v>
      </c>
    </row>
    <row r="152" spans="1:19" x14ac:dyDescent="0.35">
      <c r="A152" s="37">
        <v>151</v>
      </c>
      <c r="B152" s="60">
        <f>VLOOKUP(A152,'Sheet A'!A152:S762,2,)</f>
        <v>40550</v>
      </c>
      <c r="C152" s="38">
        <f>VLOOKUP(B152,'Sheet A'!B152:T762,2,)</f>
        <v>1</v>
      </c>
      <c r="D152" s="38">
        <f>VLOOKUP(C152,'Sheet A'!C152:U762,2,)</f>
        <v>0</v>
      </c>
      <c r="E152" s="38">
        <f>VLOOKUP(D152,'Sheet A'!D152:V762,2,)</f>
        <v>1</v>
      </c>
      <c r="F152" s="38">
        <f>VLOOKUP(E152,'Sheet A'!E152:W762,2,)</f>
        <v>13</v>
      </c>
      <c r="G152" s="41" t="str">
        <f>VLOOKUP(F152,'Sheet A'!F152:X762,2,)</f>
        <v>AfterNoon</v>
      </c>
      <c r="H152" s="38" t="b">
        <f>VLOOKUP(G152,'Sheet A'!G152:Y762,2,)</f>
        <v>0</v>
      </c>
      <c r="I152" s="38">
        <f>VLOOKUP(H152,'Sheet A'!H152:Z762,2,)</f>
        <v>5</v>
      </c>
      <c r="J152" s="41" t="str">
        <f>VLOOKUP(I152,'Sheet A'!I152:AA762,2,)</f>
        <v>Thusday</v>
      </c>
      <c r="K152" s="38">
        <f>VLOOKUP(J152,'Sheet A'!J152:AB762,2,)</f>
        <v>2</v>
      </c>
      <c r="L152" s="38">
        <f>VLOOKUP(K152,'Sheet A'!K152:AC762,2,)</f>
        <v>0.2</v>
      </c>
      <c r="M152" s="70" t="str">
        <f>VLOOKUP(L152,'Sheet A'!L152:AD762,2,)</f>
        <v>Rainy</v>
      </c>
      <c r="N152" s="38">
        <f>VLOOKUP(M152,'Sheet A'!M152:AE762,2,)</f>
        <v>0.18179999999999999</v>
      </c>
      <c r="O152" s="38">
        <f>VLOOKUP(N152,'Sheet A'!N152:AF762,2,)</f>
        <v>0.37</v>
      </c>
      <c r="P152" s="38">
        <f>VLOOKUP(O152,'Sheet A'!O152:AG762,2,)</f>
        <v>0.28360000000000002</v>
      </c>
      <c r="Q152" s="38">
        <f>VLOOKUP(P152,'Sheet A'!P152:AH762,2,)</f>
        <v>9</v>
      </c>
      <c r="R152" s="38">
        <f>VLOOKUP(Q152,'Sheet A'!Q152:AI762,2,)</f>
        <v>64</v>
      </c>
      <c r="S152" s="38">
        <f>VLOOKUP(R152,'Sheet A'!R152:AJ762,2,)</f>
        <v>73</v>
      </c>
    </row>
    <row r="153" spans="1:19" x14ac:dyDescent="0.35">
      <c r="A153" s="37">
        <v>152</v>
      </c>
      <c r="B153" s="60">
        <f>VLOOKUP(A153,'Sheet A'!A153:S763,2,)</f>
        <v>40550</v>
      </c>
      <c r="C153" s="38">
        <f>VLOOKUP(B153,'Sheet A'!B153:T763,2,)</f>
        <v>1</v>
      </c>
      <c r="D153" s="38">
        <f>VLOOKUP(C153,'Sheet A'!C153:U763,2,)</f>
        <v>0</v>
      </c>
      <c r="E153" s="38">
        <f>VLOOKUP(D153,'Sheet A'!D153:V763,2,)</f>
        <v>1</v>
      </c>
      <c r="F153" s="38">
        <f>VLOOKUP(E153,'Sheet A'!E153:W763,2,)</f>
        <v>14</v>
      </c>
      <c r="G153" s="41" t="str">
        <f>VLOOKUP(F153,'Sheet A'!F153:X763,2,)</f>
        <v>AfterNoon</v>
      </c>
      <c r="H153" s="38" t="b">
        <f>VLOOKUP(G153,'Sheet A'!G153:Y763,2,)</f>
        <v>0</v>
      </c>
      <c r="I153" s="38">
        <f>VLOOKUP(H153,'Sheet A'!H153:Z763,2,)</f>
        <v>5</v>
      </c>
      <c r="J153" s="41" t="str">
        <f>VLOOKUP(I153,'Sheet A'!I153:AA763,2,)</f>
        <v>Thusday</v>
      </c>
      <c r="K153" s="38">
        <f>VLOOKUP(J153,'Sheet A'!J153:AB763,2,)</f>
        <v>2</v>
      </c>
      <c r="L153" s="38">
        <f>VLOOKUP(K153,'Sheet A'!K153:AC763,2,)</f>
        <v>0.2</v>
      </c>
      <c r="M153" s="70" t="str">
        <f>VLOOKUP(L153,'Sheet A'!L153:AD763,2,)</f>
        <v>Rainy</v>
      </c>
      <c r="N153" s="38">
        <f>VLOOKUP(M153,'Sheet A'!M153:AE763,2,)</f>
        <v>0.19700000000000001</v>
      </c>
      <c r="O153" s="38">
        <f>VLOOKUP(N153,'Sheet A'!N153:AF763,2,)</f>
        <v>0.4</v>
      </c>
      <c r="P153" s="38">
        <f>VLOOKUP(O153,'Sheet A'!O153:AG763,2,)</f>
        <v>0.25369999999999998</v>
      </c>
      <c r="Q153" s="38">
        <f>VLOOKUP(P153,'Sheet A'!P153:AH763,2,)</f>
        <v>7</v>
      </c>
      <c r="R153" s="38">
        <f>VLOOKUP(Q153,'Sheet A'!Q153:AI763,2,)</f>
        <v>43</v>
      </c>
      <c r="S153" s="38">
        <f>VLOOKUP(R153,'Sheet A'!R153:AJ763,2,)</f>
        <v>50</v>
      </c>
    </row>
    <row r="154" spans="1:19" x14ac:dyDescent="0.35">
      <c r="A154" s="37">
        <v>153</v>
      </c>
      <c r="B154" s="60">
        <f>VLOOKUP(A154,'Sheet A'!A154:S764,2,)</f>
        <v>40550</v>
      </c>
      <c r="C154" s="38">
        <f>VLOOKUP(B154,'Sheet A'!B154:T764,2,)</f>
        <v>1</v>
      </c>
      <c r="D154" s="38">
        <f>VLOOKUP(C154,'Sheet A'!C154:U764,2,)</f>
        <v>0</v>
      </c>
      <c r="E154" s="38">
        <f>VLOOKUP(D154,'Sheet A'!D154:V764,2,)</f>
        <v>1</v>
      </c>
      <c r="F154" s="38">
        <f>VLOOKUP(E154,'Sheet A'!E154:W764,2,)</f>
        <v>15</v>
      </c>
      <c r="G154" s="41" t="str">
        <f>VLOOKUP(F154,'Sheet A'!F154:X764,2,)</f>
        <v>AfterNoon</v>
      </c>
      <c r="H154" s="38" t="b">
        <f>VLOOKUP(G154,'Sheet A'!G154:Y764,2,)</f>
        <v>0</v>
      </c>
      <c r="I154" s="38">
        <f>VLOOKUP(H154,'Sheet A'!H154:Z764,2,)</f>
        <v>5</v>
      </c>
      <c r="J154" s="41" t="str">
        <f>VLOOKUP(I154,'Sheet A'!I154:AA764,2,)</f>
        <v>Thusday</v>
      </c>
      <c r="K154" s="38">
        <f>VLOOKUP(J154,'Sheet A'!J154:AB764,2,)</f>
        <v>2</v>
      </c>
      <c r="L154" s="38">
        <f>VLOOKUP(K154,'Sheet A'!K154:AC764,2,)</f>
        <v>0.2</v>
      </c>
      <c r="M154" s="70" t="str">
        <f>VLOOKUP(L154,'Sheet A'!L154:AD764,2,)</f>
        <v>Rainy</v>
      </c>
      <c r="N154" s="38">
        <f>VLOOKUP(M154,'Sheet A'!M154:AE764,2,)</f>
        <v>0.21210000000000001</v>
      </c>
      <c r="O154" s="38">
        <f>VLOOKUP(N154,'Sheet A'!N154:AF764,2,)</f>
        <v>0.37</v>
      </c>
      <c r="P154" s="38">
        <f>VLOOKUP(O154,'Sheet A'!O154:AG764,2,)</f>
        <v>0.16420000000000001</v>
      </c>
      <c r="Q154" s="38">
        <f>VLOOKUP(P154,'Sheet A'!P154:AH764,2,)</f>
        <v>9</v>
      </c>
      <c r="R154" s="38">
        <f>VLOOKUP(Q154,'Sheet A'!Q154:AI764,2,)</f>
        <v>63</v>
      </c>
      <c r="S154" s="38">
        <f>VLOOKUP(R154,'Sheet A'!R154:AJ764,2,)</f>
        <v>72</v>
      </c>
    </row>
    <row r="155" spans="1:19" x14ac:dyDescent="0.35">
      <c r="A155" s="37">
        <v>154</v>
      </c>
      <c r="B155" s="60">
        <f>VLOOKUP(A155,'Sheet A'!A155:S765,2,)</f>
        <v>40550</v>
      </c>
      <c r="C155" s="38">
        <f>VLOOKUP(B155,'Sheet A'!B155:T765,2,)</f>
        <v>1</v>
      </c>
      <c r="D155" s="38">
        <f>VLOOKUP(C155,'Sheet A'!C155:U765,2,)</f>
        <v>0</v>
      </c>
      <c r="E155" s="38">
        <f>VLOOKUP(D155,'Sheet A'!D155:V765,2,)</f>
        <v>1</v>
      </c>
      <c r="F155" s="38">
        <f>VLOOKUP(E155,'Sheet A'!E155:W765,2,)</f>
        <v>16</v>
      </c>
      <c r="G155" s="41" t="str">
        <f>VLOOKUP(F155,'Sheet A'!F155:X765,2,)</f>
        <v>AfterNoon</v>
      </c>
      <c r="H155" s="38" t="b">
        <f>VLOOKUP(G155,'Sheet A'!G155:Y765,2,)</f>
        <v>0</v>
      </c>
      <c r="I155" s="38">
        <f>VLOOKUP(H155,'Sheet A'!H155:Z765,2,)</f>
        <v>5</v>
      </c>
      <c r="J155" s="41" t="str">
        <f>VLOOKUP(I155,'Sheet A'!I155:AA765,2,)</f>
        <v>Thusday</v>
      </c>
      <c r="K155" s="38">
        <f>VLOOKUP(J155,'Sheet A'!J155:AB765,2,)</f>
        <v>2</v>
      </c>
      <c r="L155" s="38">
        <f>VLOOKUP(K155,'Sheet A'!K155:AC765,2,)</f>
        <v>0.2</v>
      </c>
      <c r="M155" s="70" t="str">
        <f>VLOOKUP(L155,'Sheet A'!L155:AD765,2,)</f>
        <v>Rainy</v>
      </c>
      <c r="N155" s="38">
        <f>VLOOKUP(M155,'Sheet A'!M155:AE765,2,)</f>
        <v>0.21210000000000001</v>
      </c>
      <c r="O155" s="38">
        <f>VLOOKUP(N155,'Sheet A'!N155:AF765,2,)</f>
        <v>0.37</v>
      </c>
      <c r="P155" s="38">
        <f>VLOOKUP(O155,'Sheet A'!O155:AG765,2,)</f>
        <v>0.16420000000000001</v>
      </c>
      <c r="Q155" s="38">
        <f>VLOOKUP(P155,'Sheet A'!P155:AH765,2,)</f>
        <v>5</v>
      </c>
      <c r="R155" s="38">
        <f>VLOOKUP(Q155,'Sheet A'!Q155:AI765,2,)</f>
        <v>82</v>
      </c>
      <c r="S155" s="38">
        <f>VLOOKUP(R155,'Sheet A'!R155:AJ765,2,)</f>
        <v>87</v>
      </c>
    </row>
    <row r="156" spans="1:19" x14ac:dyDescent="0.35">
      <c r="A156" s="37">
        <v>155</v>
      </c>
      <c r="B156" s="60">
        <f>VLOOKUP(A156,'Sheet A'!A156:S766,2,)</f>
        <v>40550</v>
      </c>
      <c r="C156" s="38">
        <f>VLOOKUP(B156,'Sheet A'!B156:T766,2,)</f>
        <v>1</v>
      </c>
      <c r="D156" s="38">
        <f>VLOOKUP(C156,'Sheet A'!C156:U766,2,)</f>
        <v>0</v>
      </c>
      <c r="E156" s="38">
        <f>VLOOKUP(D156,'Sheet A'!D156:V766,2,)</f>
        <v>1</v>
      </c>
      <c r="F156" s="38">
        <f>VLOOKUP(E156,'Sheet A'!E156:W766,2,)</f>
        <v>17</v>
      </c>
      <c r="G156" s="41" t="str">
        <f>VLOOKUP(F156,'Sheet A'!F156:X766,2,)</f>
        <v>Evening</v>
      </c>
      <c r="H156" s="38" t="b">
        <f>VLOOKUP(G156,'Sheet A'!G156:Y766,2,)</f>
        <v>0</v>
      </c>
      <c r="I156" s="38">
        <f>VLOOKUP(H156,'Sheet A'!H156:Z766,2,)</f>
        <v>5</v>
      </c>
      <c r="J156" s="41" t="str">
        <f>VLOOKUP(I156,'Sheet A'!I156:AA766,2,)</f>
        <v>Thusday</v>
      </c>
      <c r="K156" s="38">
        <f>VLOOKUP(J156,'Sheet A'!J156:AB766,2,)</f>
        <v>2</v>
      </c>
      <c r="L156" s="38">
        <f>VLOOKUP(K156,'Sheet A'!K156:AC766,2,)</f>
        <v>0.2</v>
      </c>
      <c r="M156" s="70" t="str">
        <f>VLOOKUP(L156,'Sheet A'!L156:AD766,2,)</f>
        <v>Rainy</v>
      </c>
      <c r="N156" s="38">
        <f>VLOOKUP(M156,'Sheet A'!M156:AE766,2,)</f>
        <v>0.2576</v>
      </c>
      <c r="O156" s="38">
        <f>VLOOKUP(N156,'Sheet A'!N156:AF766,2,)</f>
        <v>0.37</v>
      </c>
      <c r="P156" s="38">
        <f>VLOOKUP(O156,'Sheet A'!O156:AG766,2,)</f>
        <v>0</v>
      </c>
      <c r="Q156" s="38">
        <f>VLOOKUP(P156,'Sheet A'!P156:AH766,2,)</f>
        <v>9</v>
      </c>
      <c r="R156" s="38">
        <f>VLOOKUP(Q156,'Sheet A'!Q156:AI766,2,)</f>
        <v>178</v>
      </c>
      <c r="S156" s="38">
        <f>VLOOKUP(R156,'Sheet A'!R156:AJ766,2,)</f>
        <v>187</v>
      </c>
    </row>
    <row r="157" spans="1:19" x14ac:dyDescent="0.35">
      <c r="A157" s="37">
        <v>156</v>
      </c>
      <c r="B157" s="60">
        <f>VLOOKUP(A157,'Sheet A'!A157:S767,2,)</f>
        <v>40550</v>
      </c>
      <c r="C157" s="38">
        <f>VLOOKUP(B157,'Sheet A'!B157:T767,2,)</f>
        <v>1</v>
      </c>
      <c r="D157" s="38">
        <f>VLOOKUP(C157,'Sheet A'!C157:U767,2,)</f>
        <v>0</v>
      </c>
      <c r="E157" s="38">
        <f>VLOOKUP(D157,'Sheet A'!D157:V767,2,)</f>
        <v>1</v>
      </c>
      <c r="F157" s="38">
        <f>VLOOKUP(E157,'Sheet A'!E157:W767,2,)</f>
        <v>18</v>
      </c>
      <c r="G157" s="41" t="str">
        <f>VLOOKUP(F157,'Sheet A'!F157:X767,2,)</f>
        <v>Evening</v>
      </c>
      <c r="H157" s="38" t="b">
        <f>VLOOKUP(G157,'Sheet A'!G157:Y767,2,)</f>
        <v>0</v>
      </c>
      <c r="I157" s="38">
        <f>VLOOKUP(H157,'Sheet A'!H157:Z767,2,)</f>
        <v>5</v>
      </c>
      <c r="J157" s="41" t="str">
        <f>VLOOKUP(I157,'Sheet A'!I157:AA767,2,)</f>
        <v>Thusday</v>
      </c>
      <c r="K157" s="38">
        <f>VLOOKUP(J157,'Sheet A'!J157:AB767,2,)</f>
        <v>1</v>
      </c>
      <c r="L157" s="38">
        <f>VLOOKUP(K157,'Sheet A'!K157:AC767,2,)</f>
        <v>0.2</v>
      </c>
      <c r="M157" s="70" t="str">
        <f>VLOOKUP(L157,'Sheet A'!L157:AD767,2,)</f>
        <v>Rainy</v>
      </c>
      <c r="N157" s="38">
        <f>VLOOKUP(M157,'Sheet A'!M157:AE767,2,)</f>
        <v>0.2273</v>
      </c>
      <c r="O157" s="38">
        <f>VLOOKUP(N157,'Sheet A'!N157:AF767,2,)</f>
        <v>0.4</v>
      </c>
      <c r="P157" s="38">
        <f>VLOOKUP(O157,'Sheet A'!O157:AG767,2,)</f>
        <v>8.9599999999999999E-2</v>
      </c>
      <c r="Q157" s="38">
        <f>VLOOKUP(P157,'Sheet A'!P157:AH767,2,)</f>
        <v>7</v>
      </c>
      <c r="R157" s="38">
        <f>VLOOKUP(Q157,'Sheet A'!Q157:AI767,2,)</f>
        <v>116</v>
      </c>
      <c r="S157" s="38">
        <f>VLOOKUP(R157,'Sheet A'!R157:AJ767,2,)</f>
        <v>123</v>
      </c>
    </row>
    <row r="158" spans="1:19" x14ac:dyDescent="0.35">
      <c r="A158" s="37">
        <v>157</v>
      </c>
      <c r="B158" s="60">
        <f>VLOOKUP(A158,'Sheet A'!A158:S768,2,)</f>
        <v>40550</v>
      </c>
      <c r="C158" s="38">
        <f>VLOOKUP(B158,'Sheet A'!B158:T768,2,)</f>
        <v>1</v>
      </c>
      <c r="D158" s="38">
        <f>VLOOKUP(C158,'Sheet A'!C158:U768,2,)</f>
        <v>0</v>
      </c>
      <c r="E158" s="38">
        <f>VLOOKUP(D158,'Sheet A'!D158:V768,2,)</f>
        <v>1</v>
      </c>
      <c r="F158" s="38">
        <f>VLOOKUP(E158,'Sheet A'!E158:W768,2,)</f>
        <v>19</v>
      </c>
      <c r="G158" s="41" t="str">
        <f>VLOOKUP(F158,'Sheet A'!F158:X768,2,)</f>
        <v>Evening</v>
      </c>
      <c r="H158" s="38" t="b">
        <f>VLOOKUP(G158,'Sheet A'!G158:Y768,2,)</f>
        <v>0</v>
      </c>
      <c r="I158" s="38">
        <f>VLOOKUP(H158,'Sheet A'!H158:Z768,2,)</f>
        <v>5</v>
      </c>
      <c r="J158" s="41" t="str">
        <f>VLOOKUP(I158,'Sheet A'!I158:AA768,2,)</f>
        <v>Thusday</v>
      </c>
      <c r="K158" s="38">
        <f>VLOOKUP(J158,'Sheet A'!J158:AB768,2,)</f>
        <v>1</v>
      </c>
      <c r="L158" s="38">
        <f>VLOOKUP(K158,'Sheet A'!K158:AC768,2,)</f>
        <v>0.16</v>
      </c>
      <c r="M158" s="70" t="str">
        <f>VLOOKUP(L158,'Sheet A'!L158:AD768,2,)</f>
        <v>Rainy</v>
      </c>
      <c r="N158" s="38">
        <f>VLOOKUP(M158,'Sheet A'!M158:AE768,2,)</f>
        <v>0.19700000000000001</v>
      </c>
      <c r="O158" s="38">
        <f>VLOOKUP(N158,'Sheet A'!N158:AF768,2,)</f>
        <v>0.55000000000000004</v>
      </c>
      <c r="P158" s="38">
        <f>VLOOKUP(O158,'Sheet A'!O158:AG768,2,)</f>
        <v>8.9599999999999999E-2</v>
      </c>
      <c r="Q158" s="38">
        <f>VLOOKUP(P158,'Sheet A'!P158:AH768,2,)</f>
        <v>3</v>
      </c>
      <c r="R158" s="38">
        <f>VLOOKUP(Q158,'Sheet A'!Q158:AI768,2,)</f>
        <v>92</v>
      </c>
      <c r="S158" s="38">
        <f>VLOOKUP(R158,'Sheet A'!R158:AJ768,2,)</f>
        <v>95</v>
      </c>
    </row>
    <row r="159" spans="1:19" x14ac:dyDescent="0.35">
      <c r="A159" s="37">
        <v>158</v>
      </c>
      <c r="B159" s="60">
        <f>VLOOKUP(A159,'Sheet A'!A159:S769,2,)</f>
        <v>40550</v>
      </c>
      <c r="C159" s="38">
        <f>VLOOKUP(B159,'Sheet A'!B159:T769,2,)</f>
        <v>1</v>
      </c>
      <c r="D159" s="38">
        <f>VLOOKUP(C159,'Sheet A'!C159:U769,2,)</f>
        <v>0</v>
      </c>
      <c r="E159" s="38">
        <f>VLOOKUP(D159,'Sheet A'!D159:V769,2,)</f>
        <v>1</v>
      </c>
      <c r="F159" s="38">
        <f>VLOOKUP(E159,'Sheet A'!E159:W769,2,)</f>
        <v>20</v>
      </c>
      <c r="G159" s="41" t="str">
        <f>VLOOKUP(F159,'Sheet A'!F159:X769,2,)</f>
        <v>Night</v>
      </c>
      <c r="H159" s="38" t="b">
        <f>VLOOKUP(G159,'Sheet A'!G159:Y769,2,)</f>
        <v>0</v>
      </c>
      <c r="I159" s="38">
        <f>VLOOKUP(H159,'Sheet A'!H159:Z769,2,)</f>
        <v>5</v>
      </c>
      <c r="J159" s="41" t="str">
        <f>VLOOKUP(I159,'Sheet A'!I159:AA769,2,)</f>
        <v>Thusday</v>
      </c>
      <c r="K159" s="38">
        <f>VLOOKUP(J159,'Sheet A'!J159:AB769,2,)</f>
        <v>1</v>
      </c>
      <c r="L159" s="38">
        <f>VLOOKUP(K159,'Sheet A'!K159:AC769,2,)</f>
        <v>0.18</v>
      </c>
      <c r="M159" s="70" t="str">
        <f>VLOOKUP(L159,'Sheet A'!L159:AD769,2,)</f>
        <v>Rainy</v>
      </c>
      <c r="N159" s="38">
        <f>VLOOKUP(M159,'Sheet A'!M159:AE769,2,)</f>
        <v>0.21210000000000001</v>
      </c>
      <c r="O159" s="38">
        <f>VLOOKUP(N159,'Sheet A'!N159:AF769,2,)</f>
        <v>0.47</v>
      </c>
      <c r="P159" s="38">
        <f>VLOOKUP(O159,'Sheet A'!O159:AG769,2,)</f>
        <v>0.1045</v>
      </c>
      <c r="Q159" s="38">
        <f>VLOOKUP(P159,'Sheet A'!P159:AH769,2,)</f>
        <v>1</v>
      </c>
      <c r="R159" s="38">
        <f>VLOOKUP(Q159,'Sheet A'!Q159:AI769,2,)</f>
        <v>50</v>
      </c>
      <c r="S159" s="38">
        <f>VLOOKUP(R159,'Sheet A'!R159:AJ769,2,)</f>
        <v>51</v>
      </c>
    </row>
    <row r="160" spans="1:19" x14ac:dyDescent="0.35">
      <c r="A160" s="37">
        <v>159</v>
      </c>
      <c r="B160" s="60">
        <f>VLOOKUP(A160,'Sheet A'!A160:S770,2,)</f>
        <v>40550</v>
      </c>
      <c r="C160" s="38">
        <f>VLOOKUP(B160,'Sheet A'!B160:T770,2,)</f>
        <v>1</v>
      </c>
      <c r="D160" s="38">
        <f>VLOOKUP(C160,'Sheet A'!C160:U770,2,)</f>
        <v>0</v>
      </c>
      <c r="E160" s="38">
        <f>VLOOKUP(D160,'Sheet A'!D160:V770,2,)</f>
        <v>1</v>
      </c>
      <c r="F160" s="38">
        <f>VLOOKUP(E160,'Sheet A'!E160:W770,2,)</f>
        <v>21</v>
      </c>
      <c r="G160" s="41" t="str">
        <f>VLOOKUP(F160,'Sheet A'!F160:X770,2,)</f>
        <v>Night</v>
      </c>
      <c r="H160" s="38" t="b">
        <f>VLOOKUP(G160,'Sheet A'!G160:Y770,2,)</f>
        <v>0</v>
      </c>
      <c r="I160" s="38">
        <f>VLOOKUP(H160,'Sheet A'!H160:Z770,2,)</f>
        <v>5</v>
      </c>
      <c r="J160" s="41" t="str">
        <f>VLOOKUP(I160,'Sheet A'!I160:AA770,2,)</f>
        <v>Thusday</v>
      </c>
      <c r="K160" s="38">
        <f>VLOOKUP(J160,'Sheet A'!J160:AB770,2,)</f>
        <v>1</v>
      </c>
      <c r="L160" s="38">
        <f>VLOOKUP(K160,'Sheet A'!K160:AC770,2,)</f>
        <v>0.18</v>
      </c>
      <c r="M160" s="70" t="str">
        <f>VLOOKUP(L160,'Sheet A'!L160:AD770,2,)</f>
        <v>Rainy</v>
      </c>
      <c r="N160" s="38">
        <f>VLOOKUP(M160,'Sheet A'!M160:AE770,2,)</f>
        <v>0.19700000000000001</v>
      </c>
      <c r="O160" s="38">
        <f>VLOOKUP(N160,'Sheet A'!N160:AF770,2,)</f>
        <v>0.47</v>
      </c>
      <c r="P160" s="38">
        <f>VLOOKUP(O160,'Sheet A'!O160:AG770,2,)</f>
        <v>0.1343</v>
      </c>
      <c r="Q160" s="38">
        <f>VLOOKUP(P160,'Sheet A'!P160:AH770,2,)</f>
        <v>0</v>
      </c>
      <c r="R160" s="38">
        <f>VLOOKUP(Q160,'Sheet A'!Q160:AI770,2,)</f>
        <v>39</v>
      </c>
      <c r="S160" s="38">
        <f>VLOOKUP(R160,'Sheet A'!R160:AJ770,2,)</f>
        <v>39</v>
      </c>
    </row>
    <row r="161" spans="1:19" x14ac:dyDescent="0.35">
      <c r="A161" s="37">
        <v>160</v>
      </c>
      <c r="B161" s="60">
        <f>VLOOKUP(A161,'Sheet A'!A161:S771,2,)</f>
        <v>40550</v>
      </c>
      <c r="C161" s="38">
        <f>VLOOKUP(B161,'Sheet A'!B161:T771,2,)</f>
        <v>1</v>
      </c>
      <c r="D161" s="38">
        <f>VLOOKUP(C161,'Sheet A'!C161:U771,2,)</f>
        <v>0</v>
      </c>
      <c r="E161" s="38">
        <f>VLOOKUP(D161,'Sheet A'!D161:V771,2,)</f>
        <v>1</v>
      </c>
      <c r="F161" s="38">
        <f>VLOOKUP(E161,'Sheet A'!E161:W771,2,)</f>
        <v>22</v>
      </c>
      <c r="G161" s="41" t="str">
        <f>VLOOKUP(F161,'Sheet A'!F161:X771,2,)</f>
        <v>Night</v>
      </c>
      <c r="H161" s="38" t="b">
        <f>VLOOKUP(G161,'Sheet A'!G161:Y771,2,)</f>
        <v>0</v>
      </c>
      <c r="I161" s="38">
        <f>VLOOKUP(H161,'Sheet A'!H161:Z771,2,)</f>
        <v>5</v>
      </c>
      <c r="J161" s="41" t="str">
        <f>VLOOKUP(I161,'Sheet A'!I161:AA771,2,)</f>
        <v>Thusday</v>
      </c>
      <c r="K161" s="38">
        <f>VLOOKUP(J161,'Sheet A'!J161:AB771,2,)</f>
        <v>2</v>
      </c>
      <c r="L161" s="38">
        <f>VLOOKUP(K161,'Sheet A'!K161:AC771,2,)</f>
        <v>0.18</v>
      </c>
      <c r="M161" s="70" t="str">
        <f>VLOOKUP(L161,'Sheet A'!L161:AD771,2,)</f>
        <v>Rainy</v>
      </c>
      <c r="N161" s="38">
        <f>VLOOKUP(M161,'Sheet A'!M161:AE771,2,)</f>
        <v>0.19700000000000001</v>
      </c>
      <c r="O161" s="38">
        <f>VLOOKUP(N161,'Sheet A'!N161:AF771,2,)</f>
        <v>0.43</v>
      </c>
      <c r="P161" s="38">
        <f>VLOOKUP(O161,'Sheet A'!O161:AG771,2,)</f>
        <v>0.16420000000000001</v>
      </c>
      <c r="Q161" s="38">
        <f>VLOOKUP(P161,'Sheet A'!P161:AH771,2,)</f>
        <v>2</v>
      </c>
      <c r="R161" s="38">
        <f>VLOOKUP(Q161,'Sheet A'!Q161:AI771,2,)</f>
        <v>34</v>
      </c>
      <c r="S161" s="38">
        <f>VLOOKUP(R161,'Sheet A'!R161:AJ771,2,)</f>
        <v>36</v>
      </c>
    </row>
    <row r="162" spans="1:19" x14ac:dyDescent="0.35">
      <c r="A162" s="37">
        <v>161</v>
      </c>
      <c r="B162" s="60">
        <f>VLOOKUP(A162,'Sheet A'!A162:S772,2,)</f>
        <v>40550</v>
      </c>
      <c r="C162" s="38">
        <f>VLOOKUP(B162,'Sheet A'!B162:T772,2,)</f>
        <v>1</v>
      </c>
      <c r="D162" s="38">
        <f>VLOOKUP(C162,'Sheet A'!C162:U772,2,)</f>
        <v>0</v>
      </c>
      <c r="E162" s="38">
        <f>VLOOKUP(D162,'Sheet A'!D162:V772,2,)</f>
        <v>1</v>
      </c>
      <c r="F162" s="38">
        <f>VLOOKUP(E162,'Sheet A'!E162:W772,2,)</f>
        <v>23</v>
      </c>
      <c r="G162" s="41" t="str">
        <f>VLOOKUP(F162,'Sheet A'!F162:X772,2,)</f>
        <v>Night</v>
      </c>
      <c r="H162" s="38" t="b">
        <f>VLOOKUP(G162,'Sheet A'!G162:Y772,2,)</f>
        <v>0</v>
      </c>
      <c r="I162" s="38">
        <f>VLOOKUP(H162,'Sheet A'!H162:Z772,2,)</f>
        <v>5</v>
      </c>
      <c r="J162" s="41" t="str">
        <f>VLOOKUP(I162,'Sheet A'!I162:AA772,2,)</f>
        <v>Thusday</v>
      </c>
      <c r="K162" s="38">
        <f>VLOOKUP(J162,'Sheet A'!J162:AB772,2,)</f>
        <v>2</v>
      </c>
      <c r="L162" s="38">
        <f>VLOOKUP(K162,'Sheet A'!K162:AC772,2,)</f>
        <v>0.18</v>
      </c>
      <c r="M162" s="70" t="str">
        <f>VLOOKUP(L162,'Sheet A'!L162:AD772,2,)</f>
        <v>Rainy</v>
      </c>
      <c r="N162" s="38">
        <f>VLOOKUP(M162,'Sheet A'!M162:AE772,2,)</f>
        <v>0.19700000000000001</v>
      </c>
      <c r="O162" s="38">
        <f>VLOOKUP(N162,'Sheet A'!N162:AF772,2,)</f>
        <v>0.51</v>
      </c>
      <c r="P162" s="38">
        <f>VLOOKUP(O162,'Sheet A'!O162:AG772,2,)</f>
        <v>0.16420000000000001</v>
      </c>
      <c r="Q162" s="38">
        <f>VLOOKUP(P162,'Sheet A'!P162:AH772,2,)</f>
        <v>1</v>
      </c>
      <c r="R162" s="38">
        <f>VLOOKUP(Q162,'Sheet A'!Q162:AI772,2,)</f>
        <v>14</v>
      </c>
      <c r="S162" s="38">
        <f>VLOOKUP(R162,'Sheet A'!R162:AJ772,2,)</f>
        <v>15</v>
      </c>
    </row>
    <row r="163" spans="1:19" x14ac:dyDescent="0.35">
      <c r="A163" s="37">
        <v>162</v>
      </c>
      <c r="B163" s="60">
        <f>VLOOKUP(A163,'Sheet A'!A163:S773,2,)</f>
        <v>40551</v>
      </c>
      <c r="C163" s="38">
        <f>VLOOKUP(B163,'Sheet A'!B163:T773,2,)</f>
        <v>1</v>
      </c>
      <c r="D163" s="38">
        <f>VLOOKUP(C163,'Sheet A'!C163:U773,2,)</f>
        <v>0</v>
      </c>
      <c r="E163" s="38">
        <f>VLOOKUP(D163,'Sheet A'!D163:V773,2,)</f>
        <v>1</v>
      </c>
      <c r="F163" s="38">
        <f>VLOOKUP(E163,'Sheet A'!E163:W773,2,)</f>
        <v>0</v>
      </c>
      <c r="G163" s="41" t="str">
        <f>VLOOKUP(F163,'Sheet A'!F163:X773,2,)</f>
        <v>Night</v>
      </c>
      <c r="H163" s="38" t="b">
        <f>VLOOKUP(G163,'Sheet A'!G163:Y773,2,)</f>
        <v>0</v>
      </c>
      <c r="I163" s="38">
        <f>VLOOKUP(H163,'Sheet A'!H163:Z773,2,)</f>
        <v>6</v>
      </c>
      <c r="J163" s="41" t="str">
        <f>VLOOKUP(I163,'Sheet A'!I163:AA773,2,)</f>
        <v>Friday</v>
      </c>
      <c r="K163" s="38">
        <f>VLOOKUP(J163,'Sheet A'!J163:AB773,2,)</f>
        <v>2</v>
      </c>
      <c r="L163" s="38">
        <f>VLOOKUP(K163,'Sheet A'!K163:AC773,2,)</f>
        <v>0.18</v>
      </c>
      <c r="M163" s="70" t="str">
        <f>VLOOKUP(L163,'Sheet A'!L163:AD773,2,)</f>
        <v>Rainy</v>
      </c>
      <c r="N163" s="38">
        <f>VLOOKUP(M163,'Sheet A'!M163:AE773,2,)</f>
        <v>0.19700000000000001</v>
      </c>
      <c r="O163" s="38">
        <f>VLOOKUP(N163,'Sheet A'!N163:AF773,2,)</f>
        <v>0.51</v>
      </c>
      <c r="P163" s="38">
        <f>VLOOKUP(O163,'Sheet A'!O163:AG773,2,)</f>
        <v>0.16420000000000001</v>
      </c>
      <c r="Q163" s="38">
        <f>VLOOKUP(P163,'Sheet A'!P163:AH773,2,)</f>
        <v>1</v>
      </c>
      <c r="R163" s="38">
        <f>VLOOKUP(Q163,'Sheet A'!Q163:AI773,2,)</f>
        <v>24</v>
      </c>
      <c r="S163" s="38">
        <f>VLOOKUP(R163,'Sheet A'!R163:AJ773,2,)</f>
        <v>25</v>
      </c>
    </row>
    <row r="164" spans="1:19" x14ac:dyDescent="0.35">
      <c r="A164" s="37">
        <v>163</v>
      </c>
      <c r="B164" s="60">
        <f>VLOOKUP(A164,'Sheet A'!A164:S774,2,)</f>
        <v>40551</v>
      </c>
      <c r="C164" s="38">
        <f>VLOOKUP(B164,'Sheet A'!B164:T774,2,)</f>
        <v>1</v>
      </c>
      <c r="D164" s="38">
        <f>VLOOKUP(C164,'Sheet A'!C164:U774,2,)</f>
        <v>0</v>
      </c>
      <c r="E164" s="38">
        <f>VLOOKUP(D164,'Sheet A'!D164:V774,2,)</f>
        <v>1</v>
      </c>
      <c r="F164" s="38">
        <f>VLOOKUP(E164,'Sheet A'!E164:W774,2,)</f>
        <v>1</v>
      </c>
      <c r="G164" s="41" t="str">
        <f>VLOOKUP(F164,'Sheet A'!F164:X774,2,)</f>
        <v>Night</v>
      </c>
      <c r="H164" s="38" t="b">
        <f>VLOOKUP(G164,'Sheet A'!G164:Y774,2,)</f>
        <v>0</v>
      </c>
      <c r="I164" s="38">
        <f>VLOOKUP(H164,'Sheet A'!H164:Z774,2,)</f>
        <v>6</v>
      </c>
      <c r="J164" s="41" t="str">
        <f>VLOOKUP(I164,'Sheet A'!I164:AA774,2,)</f>
        <v>Friday</v>
      </c>
      <c r="K164" s="38">
        <f>VLOOKUP(J164,'Sheet A'!J164:AB774,2,)</f>
        <v>2</v>
      </c>
      <c r="L164" s="38">
        <f>VLOOKUP(K164,'Sheet A'!K164:AC774,2,)</f>
        <v>0.18</v>
      </c>
      <c r="M164" s="70" t="str">
        <f>VLOOKUP(L164,'Sheet A'!L164:AD774,2,)</f>
        <v>Rainy</v>
      </c>
      <c r="N164" s="38">
        <f>VLOOKUP(M164,'Sheet A'!M164:AE774,2,)</f>
        <v>0.21210000000000001</v>
      </c>
      <c r="O164" s="38">
        <f>VLOOKUP(N164,'Sheet A'!N164:AF774,2,)</f>
        <v>0.55000000000000004</v>
      </c>
      <c r="P164" s="38">
        <f>VLOOKUP(O164,'Sheet A'!O164:AG774,2,)</f>
        <v>8.9599999999999999E-2</v>
      </c>
      <c r="Q164" s="38">
        <f>VLOOKUP(P164,'Sheet A'!P164:AH774,2,)</f>
        <v>1</v>
      </c>
      <c r="R164" s="38">
        <f>VLOOKUP(Q164,'Sheet A'!Q164:AI774,2,)</f>
        <v>15</v>
      </c>
      <c r="S164" s="38">
        <f>VLOOKUP(R164,'Sheet A'!R164:AJ774,2,)</f>
        <v>16</v>
      </c>
    </row>
    <row r="165" spans="1:19" x14ac:dyDescent="0.35">
      <c r="A165" s="37">
        <v>164</v>
      </c>
      <c r="B165" s="60">
        <f>VLOOKUP(A165,'Sheet A'!A165:S775,2,)</f>
        <v>40551</v>
      </c>
      <c r="C165" s="38">
        <f>VLOOKUP(B165,'Sheet A'!B165:T775,2,)</f>
        <v>1</v>
      </c>
      <c r="D165" s="38">
        <f>VLOOKUP(C165,'Sheet A'!C165:U775,2,)</f>
        <v>0</v>
      </c>
      <c r="E165" s="38">
        <f>VLOOKUP(D165,'Sheet A'!D165:V775,2,)</f>
        <v>1</v>
      </c>
      <c r="F165" s="38">
        <f>VLOOKUP(E165,'Sheet A'!E165:W775,2,)</f>
        <v>2</v>
      </c>
      <c r="G165" s="41" t="str">
        <f>VLOOKUP(F165,'Sheet A'!F165:X775,2,)</f>
        <v>Night</v>
      </c>
      <c r="H165" s="38" t="b">
        <f>VLOOKUP(G165,'Sheet A'!G165:Y775,2,)</f>
        <v>0</v>
      </c>
      <c r="I165" s="38">
        <f>VLOOKUP(H165,'Sheet A'!H165:Z775,2,)</f>
        <v>6</v>
      </c>
      <c r="J165" s="41" t="str">
        <f>VLOOKUP(I165,'Sheet A'!I165:AA775,2,)</f>
        <v>Friday</v>
      </c>
      <c r="K165" s="38">
        <f>VLOOKUP(J165,'Sheet A'!J165:AB775,2,)</f>
        <v>2</v>
      </c>
      <c r="L165" s="38">
        <f>VLOOKUP(K165,'Sheet A'!K165:AC775,2,)</f>
        <v>0.18</v>
      </c>
      <c r="M165" s="70" t="str">
        <f>VLOOKUP(L165,'Sheet A'!L165:AD775,2,)</f>
        <v>Rainy</v>
      </c>
      <c r="N165" s="38">
        <f>VLOOKUP(M165,'Sheet A'!M165:AE775,2,)</f>
        <v>0.2424</v>
      </c>
      <c r="O165" s="38">
        <f>VLOOKUP(N165,'Sheet A'!N165:AF775,2,)</f>
        <v>0.55000000000000004</v>
      </c>
      <c r="P165" s="38">
        <f>VLOOKUP(O165,'Sheet A'!O165:AG775,2,)</f>
        <v>0</v>
      </c>
      <c r="Q165" s="38">
        <f>VLOOKUP(P165,'Sheet A'!P165:AH775,2,)</f>
        <v>3</v>
      </c>
      <c r="R165" s="38">
        <f>VLOOKUP(Q165,'Sheet A'!Q165:AI775,2,)</f>
        <v>13</v>
      </c>
      <c r="S165" s="38">
        <f>VLOOKUP(R165,'Sheet A'!R165:AJ775,2,)</f>
        <v>16</v>
      </c>
    </row>
    <row r="166" spans="1:19" x14ac:dyDescent="0.35">
      <c r="A166" s="37">
        <v>165</v>
      </c>
      <c r="B166" s="60">
        <f>VLOOKUP(A166,'Sheet A'!A166:S776,2,)</f>
        <v>40551</v>
      </c>
      <c r="C166" s="38">
        <f>VLOOKUP(B166,'Sheet A'!B166:T776,2,)</f>
        <v>1</v>
      </c>
      <c r="D166" s="38">
        <f>VLOOKUP(C166,'Sheet A'!C166:U776,2,)</f>
        <v>0</v>
      </c>
      <c r="E166" s="38">
        <f>VLOOKUP(D166,'Sheet A'!D166:V776,2,)</f>
        <v>1</v>
      </c>
      <c r="F166" s="38">
        <f>VLOOKUP(E166,'Sheet A'!E166:W776,2,)</f>
        <v>3</v>
      </c>
      <c r="G166" s="41" t="str">
        <f>VLOOKUP(F166,'Sheet A'!F166:X776,2,)</f>
        <v>Night</v>
      </c>
      <c r="H166" s="38" t="b">
        <f>VLOOKUP(G166,'Sheet A'!G166:Y776,2,)</f>
        <v>0</v>
      </c>
      <c r="I166" s="38">
        <f>VLOOKUP(H166,'Sheet A'!H166:Z776,2,)</f>
        <v>6</v>
      </c>
      <c r="J166" s="41" t="str">
        <f>VLOOKUP(I166,'Sheet A'!I166:AA776,2,)</f>
        <v>Friday</v>
      </c>
      <c r="K166" s="38">
        <f>VLOOKUP(J166,'Sheet A'!J166:AB776,2,)</f>
        <v>3</v>
      </c>
      <c r="L166" s="38">
        <f>VLOOKUP(K166,'Sheet A'!K166:AC776,2,)</f>
        <v>0.18</v>
      </c>
      <c r="M166" s="70" t="str">
        <f>VLOOKUP(L166,'Sheet A'!L166:AD776,2,)</f>
        <v>Rainy</v>
      </c>
      <c r="N166" s="38">
        <f>VLOOKUP(M166,'Sheet A'!M166:AE776,2,)</f>
        <v>0.19700000000000001</v>
      </c>
      <c r="O166" s="38">
        <f>VLOOKUP(N166,'Sheet A'!N166:AF776,2,)</f>
        <v>0.55000000000000004</v>
      </c>
      <c r="P166" s="38">
        <f>VLOOKUP(O166,'Sheet A'!O166:AG776,2,)</f>
        <v>0.16420000000000001</v>
      </c>
      <c r="Q166" s="38">
        <f>VLOOKUP(P166,'Sheet A'!P166:AH776,2,)</f>
        <v>0</v>
      </c>
      <c r="R166" s="38">
        <f>VLOOKUP(Q166,'Sheet A'!Q166:AI776,2,)</f>
        <v>7</v>
      </c>
      <c r="S166" s="38">
        <f>VLOOKUP(R166,'Sheet A'!R166:AJ776,2,)</f>
        <v>7</v>
      </c>
    </row>
    <row r="167" spans="1:19" x14ac:dyDescent="0.35">
      <c r="A167" s="37">
        <v>166</v>
      </c>
      <c r="B167" s="60">
        <f>VLOOKUP(A167,'Sheet A'!A167:S777,2,)</f>
        <v>40551</v>
      </c>
      <c r="C167" s="38">
        <f>VLOOKUP(B167,'Sheet A'!B167:T777,2,)</f>
        <v>1</v>
      </c>
      <c r="D167" s="38">
        <f>VLOOKUP(C167,'Sheet A'!C167:U777,2,)</f>
        <v>0</v>
      </c>
      <c r="E167" s="38">
        <f>VLOOKUP(D167,'Sheet A'!D167:V777,2,)</f>
        <v>1</v>
      </c>
      <c r="F167" s="38">
        <f>VLOOKUP(E167,'Sheet A'!E167:W777,2,)</f>
        <v>4</v>
      </c>
      <c r="G167" s="41" t="str">
        <f>VLOOKUP(F167,'Sheet A'!F167:X777,2,)</f>
        <v>Night</v>
      </c>
      <c r="H167" s="38" t="b">
        <f>VLOOKUP(G167,'Sheet A'!G167:Y777,2,)</f>
        <v>0</v>
      </c>
      <c r="I167" s="38">
        <f>VLOOKUP(H167,'Sheet A'!H167:Z777,2,)</f>
        <v>6</v>
      </c>
      <c r="J167" s="41" t="str">
        <f>VLOOKUP(I167,'Sheet A'!I167:AA777,2,)</f>
        <v>Friday</v>
      </c>
      <c r="K167" s="38">
        <f>VLOOKUP(J167,'Sheet A'!J167:AB777,2,)</f>
        <v>3</v>
      </c>
      <c r="L167" s="38">
        <f>VLOOKUP(K167,'Sheet A'!K167:AC777,2,)</f>
        <v>0.18</v>
      </c>
      <c r="M167" s="70" t="str">
        <f>VLOOKUP(L167,'Sheet A'!L167:AD777,2,)</f>
        <v>Rainy</v>
      </c>
      <c r="N167" s="38">
        <f>VLOOKUP(M167,'Sheet A'!M167:AE777,2,)</f>
        <v>0.19700000000000001</v>
      </c>
      <c r="O167" s="38">
        <f>VLOOKUP(N167,'Sheet A'!N167:AF777,2,)</f>
        <v>0.55000000000000004</v>
      </c>
      <c r="P167" s="38">
        <f>VLOOKUP(O167,'Sheet A'!O167:AG777,2,)</f>
        <v>0.16420000000000001</v>
      </c>
      <c r="Q167" s="38">
        <f>VLOOKUP(P167,'Sheet A'!P167:AH777,2,)</f>
        <v>0</v>
      </c>
      <c r="R167" s="38">
        <f>VLOOKUP(Q167,'Sheet A'!Q167:AI777,2,)</f>
        <v>1</v>
      </c>
      <c r="S167" s="38">
        <f>VLOOKUP(R167,'Sheet A'!R167:AJ777,2,)</f>
        <v>1</v>
      </c>
    </row>
    <row r="168" spans="1:19" x14ac:dyDescent="0.35">
      <c r="A168" s="37">
        <v>167</v>
      </c>
      <c r="B168" s="60">
        <f>VLOOKUP(A168,'Sheet A'!A168:S778,2,)</f>
        <v>40551</v>
      </c>
      <c r="C168" s="38">
        <f>VLOOKUP(B168,'Sheet A'!B168:T778,2,)</f>
        <v>1</v>
      </c>
      <c r="D168" s="38">
        <f>VLOOKUP(C168,'Sheet A'!C168:U778,2,)</f>
        <v>0</v>
      </c>
      <c r="E168" s="38">
        <f>VLOOKUP(D168,'Sheet A'!D168:V778,2,)</f>
        <v>1</v>
      </c>
      <c r="F168" s="38">
        <f>VLOOKUP(E168,'Sheet A'!E168:W778,2,)</f>
        <v>5</v>
      </c>
      <c r="G168" s="41" t="str">
        <f>VLOOKUP(F168,'Sheet A'!F168:X778,2,)</f>
        <v>Morning</v>
      </c>
      <c r="H168" s="38" t="b">
        <f>VLOOKUP(G168,'Sheet A'!G168:Y778,2,)</f>
        <v>0</v>
      </c>
      <c r="I168" s="38">
        <f>VLOOKUP(H168,'Sheet A'!H168:Z778,2,)</f>
        <v>6</v>
      </c>
      <c r="J168" s="41" t="str">
        <f>VLOOKUP(I168,'Sheet A'!I168:AA778,2,)</f>
        <v>Friday</v>
      </c>
      <c r="K168" s="38">
        <f>VLOOKUP(J168,'Sheet A'!J168:AB778,2,)</f>
        <v>2</v>
      </c>
      <c r="L168" s="38">
        <f>VLOOKUP(K168,'Sheet A'!K168:AC778,2,)</f>
        <v>0.16</v>
      </c>
      <c r="M168" s="70" t="str">
        <f>VLOOKUP(L168,'Sheet A'!L168:AD778,2,)</f>
        <v>Rainy</v>
      </c>
      <c r="N168" s="38">
        <f>VLOOKUP(M168,'Sheet A'!M168:AE778,2,)</f>
        <v>0.16669999999999999</v>
      </c>
      <c r="O168" s="38">
        <f>VLOOKUP(N168,'Sheet A'!N168:AF778,2,)</f>
        <v>0.74</v>
      </c>
      <c r="P168" s="38">
        <f>VLOOKUP(O168,'Sheet A'!O168:AG778,2,)</f>
        <v>0.16420000000000001</v>
      </c>
      <c r="Q168" s="38">
        <f>VLOOKUP(P168,'Sheet A'!P168:AH778,2,)</f>
        <v>0</v>
      </c>
      <c r="R168" s="38">
        <f>VLOOKUP(Q168,'Sheet A'!Q168:AI778,2,)</f>
        <v>5</v>
      </c>
      <c r="S168" s="38">
        <f>VLOOKUP(R168,'Sheet A'!R168:AJ778,2,)</f>
        <v>5</v>
      </c>
    </row>
    <row r="169" spans="1:19" x14ac:dyDescent="0.35">
      <c r="A169" s="37">
        <v>168</v>
      </c>
      <c r="B169" s="60">
        <f>VLOOKUP(A169,'Sheet A'!A169:S779,2,)</f>
        <v>40551</v>
      </c>
      <c r="C169" s="38">
        <f>VLOOKUP(B169,'Sheet A'!B169:T779,2,)</f>
        <v>1</v>
      </c>
      <c r="D169" s="38">
        <f>VLOOKUP(C169,'Sheet A'!C169:U779,2,)</f>
        <v>0</v>
      </c>
      <c r="E169" s="38">
        <f>VLOOKUP(D169,'Sheet A'!D169:V779,2,)</f>
        <v>1</v>
      </c>
      <c r="F169" s="38">
        <f>VLOOKUP(E169,'Sheet A'!E169:W779,2,)</f>
        <v>6</v>
      </c>
      <c r="G169" s="41" t="str">
        <f>VLOOKUP(F169,'Sheet A'!F169:X779,2,)</f>
        <v>Morning</v>
      </c>
      <c r="H169" s="38" t="b">
        <f>VLOOKUP(G169,'Sheet A'!G169:Y779,2,)</f>
        <v>0</v>
      </c>
      <c r="I169" s="38">
        <f>VLOOKUP(H169,'Sheet A'!H169:Z779,2,)</f>
        <v>6</v>
      </c>
      <c r="J169" s="41" t="str">
        <f>VLOOKUP(I169,'Sheet A'!I169:AA779,2,)</f>
        <v>Friday</v>
      </c>
      <c r="K169" s="38">
        <f>VLOOKUP(J169,'Sheet A'!J169:AB779,2,)</f>
        <v>2</v>
      </c>
      <c r="L169" s="38">
        <f>VLOOKUP(K169,'Sheet A'!K169:AC779,2,)</f>
        <v>0.16</v>
      </c>
      <c r="M169" s="70" t="str">
        <f>VLOOKUP(L169,'Sheet A'!L169:AD779,2,)</f>
        <v>Rainy</v>
      </c>
      <c r="N169" s="38">
        <f>VLOOKUP(M169,'Sheet A'!M169:AE779,2,)</f>
        <v>0.16669999999999999</v>
      </c>
      <c r="O169" s="38">
        <f>VLOOKUP(N169,'Sheet A'!N169:AF779,2,)</f>
        <v>0.74</v>
      </c>
      <c r="P169" s="38">
        <f>VLOOKUP(O169,'Sheet A'!O169:AG779,2,)</f>
        <v>0.16420000000000001</v>
      </c>
      <c r="Q169" s="38">
        <f>VLOOKUP(P169,'Sheet A'!P169:AH779,2,)</f>
        <v>0</v>
      </c>
      <c r="R169" s="38">
        <f>VLOOKUP(Q169,'Sheet A'!Q169:AI779,2,)</f>
        <v>2</v>
      </c>
      <c r="S169" s="38">
        <f>VLOOKUP(R169,'Sheet A'!R169:AJ779,2,)</f>
        <v>2</v>
      </c>
    </row>
    <row r="170" spans="1:19" x14ac:dyDescent="0.35">
      <c r="A170" s="37">
        <v>169</v>
      </c>
      <c r="B170" s="60">
        <f>VLOOKUP(A170,'Sheet A'!A170:S780,2,)</f>
        <v>40551</v>
      </c>
      <c r="C170" s="38">
        <f>VLOOKUP(B170,'Sheet A'!B170:T780,2,)</f>
        <v>1</v>
      </c>
      <c r="D170" s="38">
        <f>VLOOKUP(C170,'Sheet A'!C170:U780,2,)</f>
        <v>0</v>
      </c>
      <c r="E170" s="38">
        <f>VLOOKUP(D170,'Sheet A'!D170:V780,2,)</f>
        <v>1</v>
      </c>
      <c r="F170" s="38">
        <f>VLOOKUP(E170,'Sheet A'!E170:W780,2,)</f>
        <v>7</v>
      </c>
      <c r="G170" s="41" t="str">
        <f>VLOOKUP(F170,'Sheet A'!F170:X780,2,)</f>
        <v>Morning</v>
      </c>
      <c r="H170" s="38" t="b">
        <f>VLOOKUP(G170,'Sheet A'!G170:Y780,2,)</f>
        <v>0</v>
      </c>
      <c r="I170" s="38">
        <f>VLOOKUP(H170,'Sheet A'!H170:Z780,2,)</f>
        <v>6</v>
      </c>
      <c r="J170" s="41" t="str">
        <f>VLOOKUP(I170,'Sheet A'!I170:AA780,2,)</f>
        <v>Friday</v>
      </c>
      <c r="K170" s="38">
        <f>VLOOKUP(J170,'Sheet A'!J170:AB780,2,)</f>
        <v>2</v>
      </c>
      <c r="L170" s="38">
        <f>VLOOKUP(K170,'Sheet A'!K170:AC780,2,)</f>
        <v>0.16</v>
      </c>
      <c r="M170" s="70" t="str">
        <f>VLOOKUP(L170,'Sheet A'!L170:AD780,2,)</f>
        <v>Rainy</v>
      </c>
      <c r="N170" s="38">
        <f>VLOOKUP(M170,'Sheet A'!M170:AE780,2,)</f>
        <v>0.18179999999999999</v>
      </c>
      <c r="O170" s="38">
        <f>VLOOKUP(N170,'Sheet A'!N170:AF780,2,)</f>
        <v>0.74</v>
      </c>
      <c r="P170" s="38">
        <f>VLOOKUP(O170,'Sheet A'!O170:AG780,2,)</f>
        <v>0.1045</v>
      </c>
      <c r="Q170" s="38">
        <f>VLOOKUP(P170,'Sheet A'!P170:AH780,2,)</f>
        <v>1</v>
      </c>
      <c r="R170" s="38">
        <f>VLOOKUP(Q170,'Sheet A'!Q170:AI780,2,)</f>
        <v>8</v>
      </c>
      <c r="S170" s="38">
        <f>VLOOKUP(R170,'Sheet A'!R170:AJ780,2,)</f>
        <v>9</v>
      </c>
    </row>
    <row r="171" spans="1:19" x14ac:dyDescent="0.35">
      <c r="A171" s="37">
        <v>170</v>
      </c>
      <c r="B171" s="60">
        <f>VLOOKUP(A171,'Sheet A'!A171:S781,2,)</f>
        <v>40551</v>
      </c>
      <c r="C171" s="38">
        <f>VLOOKUP(B171,'Sheet A'!B171:T781,2,)</f>
        <v>1</v>
      </c>
      <c r="D171" s="38">
        <f>VLOOKUP(C171,'Sheet A'!C171:U781,2,)</f>
        <v>0</v>
      </c>
      <c r="E171" s="38">
        <f>VLOOKUP(D171,'Sheet A'!D171:V781,2,)</f>
        <v>1</v>
      </c>
      <c r="F171" s="38">
        <f>VLOOKUP(E171,'Sheet A'!E171:W781,2,)</f>
        <v>8</v>
      </c>
      <c r="G171" s="41" t="str">
        <f>VLOOKUP(F171,'Sheet A'!F171:X781,2,)</f>
        <v>Morning</v>
      </c>
      <c r="H171" s="38" t="b">
        <f>VLOOKUP(G171,'Sheet A'!G171:Y781,2,)</f>
        <v>0</v>
      </c>
      <c r="I171" s="38">
        <f>VLOOKUP(H171,'Sheet A'!H171:Z781,2,)</f>
        <v>6</v>
      </c>
      <c r="J171" s="41" t="str">
        <f>VLOOKUP(I171,'Sheet A'!I171:AA781,2,)</f>
        <v>Friday</v>
      </c>
      <c r="K171" s="38">
        <f>VLOOKUP(J171,'Sheet A'!J171:AB781,2,)</f>
        <v>3</v>
      </c>
      <c r="L171" s="38">
        <f>VLOOKUP(K171,'Sheet A'!K171:AC781,2,)</f>
        <v>0.16</v>
      </c>
      <c r="M171" s="70" t="str">
        <f>VLOOKUP(L171,'Sheet A'!L171:AD781,2,)</f>
        <v>Rainy</v>
      </c>
      <c r="N171" s="38">
        <f>VLOOKUP(M171,'Sheet A'!M171:AE781,2,)</f>
        <v>0.18179999999999999</v>
      </c>
      <c r="O171" s="38">
        <f>VLOOKUP(N171,'Sheet A'!N171:AF781,2,)</f>
        <v>0.93</v>
      </c>
      <c r="P171" s="38">
        <f>VLOOKUP(O171,'Sheet A'!O171:AG781,2,)</f>
        <v>0.1045</v>
      </c>
      <c r="Q171" s="38">
        <f>VLOOKUP(P171,'Sheet A'!P171:AH781,2,)</f>
        <v>0</v>
      </c>
      <c r="R171" s="38">
        <f>VLOOKUP(Q171,'Sheet A'!Q171:AI781,2,)</f>
        <v>15</v>
      </c>
      <c r="S171" s="38">
        <f>VLOOKUP(R171,'Sheet A'!R171:AJ781,2,)</f>
        <v>15</v>
      </c>
    </row>
    <row r="172" spans="1:19" x14ac:dyDescent="0.35">
      <c r="A172" s="37">
        <v>171</v>
      </c>
      <c r="B172" s="60">
        <f>VLOOKUP(A172,'Sheet A'!A172:S782,2,)</f>
        <v>40551</v>
      </c>
      <c r="C172" s="38">
        <f>VLOOKUP(B172,'Sheet A'!B172:T782,2,)</f>
        <v>1</v>
      </c>
      <c r="D172" s="38">
        <f>VLOOKUP(C172,'Sheet A'!C172:U782,2,)</f>
        <v>0</v>
      </c>
      <c r="E172" s="38">
        <f>VLOOKUP(D172,'Sheet A'!D172:V782,2,)</f>
        <v>1</v>
      </c>
      <c r="F172" s="38">
        <f>VLOOKUP(E172,'Sheet A'!E172:W782,2,)</f>
        <v>9</v>
      </c>
      <c r="G172" s="41" t="str">
        <f>VLOOKUP(F172,'Sheet A'!F172:X782,2,)</f>
        <v>Morning</v>
      </c>
      <c r="H172" s="38" t="b">
        <f>VLOOKUP(G172,'Sheet A'!G172:Y782,2,)</f>
        <v>0</v>
      </c>
      <c r="I172" s="38">
        <f>VLOOKUP(H172,'Sheet A'!H172:Z782,2,)</f>
        <v>6</v>
      </c>
      <c r="J172" s="41" t="str">
        <f>VLOOKUP(I172,'Sheet A'!I172:AA782,2,)</f>
        <v>Friday</v>
      </c>
      <c r="K172" s="38">
        <f>VLOOKUP(J172,'Sheet A'!J172:AB782,2,)</f>
        <v>3</v>
      </c>
      <c r="L172" s="38">
        <f>VLOOKUP(K172,'Sheet A'!K172:AC782,2,)</f>
        <v>0.16</v>
      </c>
      <c r="M172" s="70" t="str">
        <f>VLOOKUP(L172,'Sheet A'!L172:AD782,2,)</f>
        <v>Rainy</v>
      </c>
      <c r="N172" s="38">
        <f>VLOOKUP(M172,'Sheet A'!M172:AE782,2,)</f>
        <v>0.18179999999999999</v>
      </c>
      <c r="O172" s="38">
        <f>VLOOKUP(N172,'Sheet A'!N172:AF782,2,)</f>
        <v>0.93</v>
      </c>
      <c r="P172" s="38">
        <f>VLOOKUP(O172,'Sheet A'!O172:AG782,2,)</f>
        <v>0.1045</v>
      </c>
      <c r="Q172" s="38">
        <f>VLOOKUP(P172,'Sheet A'!P172:AH782,2,)</f>
        <v>0</v>
      </c>
      <c r="R172" s="38">
        <f>VLOOKUP(Q172,'Sheet A'!Q172:AI782,2,)</f>
        <v>20</v>
      </c>
      <c r="S172" s="38">
        <f>VLOOKUP(R172,'Sheet A'!R172:AJ782,2,)</f>
        <v>20</v>
      </c>
    </row>
    <row r="173" spans="1:19" x14ac:dyDescent="0.35">
      <c r="A173" s="37">
        <v>172</v>
      </c>
      <c r="B173" s="60">
        <f>VLOOKUP(A173,'Sheet A'!A173:S783,2,)</f>
        <v>40551</v>
      </c>
      <c r="C173" s="38">
        <f>VLOOKUP(B173,'Sheet A'!B173:T783,2,)</f>
        <v>1</v>
      </c>
      <c r="D173" s="38">
        <f>VLOOKUP(C173,'Sheet A'!C173:U783,2,)</f>
        <v>0</v>
      </c>
      <c r="E173" s="38">
        <f>VLOOKUP(D173,'Sheet A'!D173:V783,2,)</f>
        <v>1</v>
      </c>
      <c r="F173" s="38">
        <f>VLOOKUP(E173,'Sheet A'!E173:W783,2,)</f>
        <v>10</v>
      </c>
      <c r="G173" s="41" t="str">
        <f>VLOOKUP(F173,'Sheet A'!F173:X783,2,)</f>
        <v>Morning</v>
      </c>
      <c r="H173" s="38" t="b">
        <f>VLOOKUP(G173,'Sheet A'!G173:Y783,2,)</f>
        <v>0</v>
      </c>
      <c r="I173" s="38">
        <f>VLOOKUP(H173,'Sheet A'!H173:Z783,2,)</f>
        <v>6</v>
      </c>
      <c r="J173" s="41" t="str">
        <f>VLOOKUP(I173,'Sheet A'!I173:AA783,2,)</f>
        <v>Friday</v>
      </c>
      <c r="K173" s="38">
        <f>VLOOKUP(J173,'Sheet A'!J173:AB783,2,)</f>
        <v>2</v>
      </c>
      <c r="L173" s="38">
        <f>VLOOKUP(K173,'Sheet A'!K173:AC783,2,)</f>
        <v>0.18</v>
      </c>
      <c r="M173" s="70" t="str">
        <f>VLOOKUP(L173,'Sheet A'!L173:AD783,2,)</f>
        <v>Rainy</v>
      </c>
      <c r="N173" s="38">
        <f>VLOOKUP(M173,'Sheet A'!M173:AE783,2,)</f>
        <v>0.19700000000000001</v>
      </c>
      <c r="O173" s="38">
        <f>VLOOKUP(N173,'Sheet A'!N173:AF783,2,)</f>
        <v>0.8</v>
      </c>
      <c r="P173" s="38">
        <f>VLOOKUP(O173,'Sheet A'!O173:AG783,2,)</f>
        <v>0.16420000000000001</v>
      </c>
      <c r="Q173" s="38">
        <f>VLOOKUP(P173,'Sheet A'!P173:AH783,2,)</f>
        <v>5</v>
      </c>
      <c r="R173" s="38">
        <f>VLOOKUP(Q173,'Sheet A'!Q173:AI783,2,)</f>
        <v>56</v>
      </c>
      <c r="S173" s="38">
        <f>VLOOKUP(R173,'Sheet A'!R173:AJ783,2,)</f>
        <v>61</v>
      </c>
    </row>
    <row r="174" spans="1:19" x14ac:dyDescent="0.35">
      <c r="A174" s="37">
        <v>173</v>
      </c>
      <c r="B174" s="60">
        <f>VLOOKUP(A174,'Sheet A'!A174:S784,2,)</f>
        <v>40551</v>
      </c>
      <c r="C174" s="38">
        <f>VLOOKUP(B174,'Sheet A'!B174:T784,2,)</f>
        <v>1</v>
      </c>
      <c r="D174" s="38">
        <f>VLOOKUP(C174,'Sheet A'!C174:U784,2,)</f>
        <v>0</v>
      </c>
      <c r="E174" s="38">
        <f>VLOOKUP(D174,'Sheet A'!D174:V784,2,)</f>
        <v>1</v>
      </c>
      <c r="F174" s="38">
        <f>VLOOKUP(E174,'Sheet A'!E174:W784,2,)</f>
        <v>11</v>
      </c>
      <c r="G174" s="41" t="str">
        <f>VLOOKUP(F174,'Sheet A'!F174:X784,2,)</f>
        <v>Morning</v>
      </c>
      <c r="H174" s="38" t="b">
        <f>VLOOKUP(G174,'Sheet A'!G174:Y784,2,)</f>
        <v>0</v>
      </c>
      <c r="I174" s="38">
        <f>VLOOKUP(H174,'Sheet A'!H174:Z784,2,)</f>
        <v>6</v>
      </c>
      <c r="J174" s="41" t="str">
        <f>VLOOKUP(I174,'Sheet A'!I174:AA784,2,)</f>
        <v>Friday</v>
      </c>
      <c r="K174" s="38">
        <f>VLOOKUP(J174,'Sheet A'!J174:AB784,2,)</f>
        <v>2</v>
      </c>
      <c r="L174" s="38">
        <f>VLOOKUP(K174,'Sheet A'!K174:AC784,2,)</f>
        <v>0.2</v>
      </c>
      <c r="M174" s="70" t="str">
        <f>VLOOKUP(L174,'Sheet A'!L174:AD784,2,)</f>
        <v>Rainy</v>
      </c>
      <c r="N174" s="38">
        <f>VLOOKUP(M174,'Sheet A'!M174:AE784,2,)</f>
        <v>0.18179999999999999</v>
      </c>
      <c r="O174" s="38">
        <f>VLOOKUP(N174,'Sheet A'!N174:AF784,2,)</f>
        <v>0.69</v>
      </c>
      <c r="P174" s="38">
        <f>VLOOKUP(O174,'Sheet A'!O174:AG784,2,)</f>
        <v>0.3881</v>
      </c>
      <c r="Q174" s="38">
        <f>VLOOKUP(P174,'Sheet A'!P174:AH784,2,)</f>
        <v>2</v>
      </c>
      <c r="R174" s="38">
        <f>VLOOKUP(Q174,'Sheet A'!Q174:AI784,2,)</f>
        <v>60</v>
      </c>
      <c r="S174" s="38">
        <f>VLOOKUP(R174,'Sheet A'!R174:AJ784,2,)</f>
        <v>62</v>
      </c>
    </row>
    <row r="175" spans="1:19" x14ac:dyDescent="0.35">
      <c r="A175" s="37">
        <v>174</v>
      </c>
      <c r="B175" s="60">
        <f>VLOOKUP(A175,'Sheet A'!A175:S785,2,)</f>
        <v>40551</v>
      </c>
      <c r="C175" s="38">
        <f>VLOOKUP(B175,'Sheet A'!B175:T785,2,)</f>
        <v>1</v>
      </c>
      <c r="D175" s="38">
        <f>VLOOKUP(C175,'Sheet A'!C175:U785,2,)</f>
        <v>0</v>
      </c>
      <c r="E175" s="38">
        <f>VLOOKUP(D175,'Sheet A'!D175:V785,2,)</f>
        <v>1</v>
      </c>
      <c r="F175" s="38">
        <f>VLOOKUP(E175,'Sheet A'!E175:W785,2,)</f>
        <v>12</v>
      </c>
      <c r="G175" s="41" t="str">
        <f>VLOOKUP(F175,'Sheet A'!F175:X785,2,)</f>
        <v>AfterNoon</v>
      </c>
      <c r="H175" s="38" t="b">
        <f>VLOOKUP(G175,'Sheet A'!G175:Y785,2,)</f>
        <v>0</v>
      </c>
      <c r="I175" s="38">
        <f>VLOOKUP(H175,'Sheet A'!H175:Z785,2,)</f>
        <v>6</v>
      </c>
      <c r="J175" s="41" t="str">
        <f>VLOOKUP(I175,'Sheet A'!I175:AA785,2,)</f>
        <v>Friday</v>
      </c>
      <c r="K175" s="38">
        <f>VLOOKUP(J175,'Sheet A'!J175:AB785,2,)</f>
        <v>2</v>
      </c>
      <c r="L175" s="38">
        <f>VLOOKUP(K175,'Sheet A'!K175:AC785,2,)</f>
        <v>0.2</v>
      </c>
      <c r="M175" s="70" t="str">
        <f>VLOOKUP(L175,'Sheet A'!L175:AD785,2,)</f>
        <v>Rainy</v>
      </c>
      <c r="N175" s="38">
        <f>VLOOKUP(M175,'Sheet A'!M175:AE785,2,)</f>
        <v>0.18179999999999999</v>
      </c>
      <c r="O175" s="38">
        <f>VLOOKUP(N175,'Sheet A'!N175:AF785,2,)</f>
        <v>0.59</v>
      </c>
      <c r="P175" s="38">
        <f>VLOOKUP(O175,'Sheet A'!O175:AG785,2,)</f>
        <v>0.35820000000000002</v>
      </c>
      <c r="Q175" s="38">
        <f>VLOOKUP(P175,'Sheet A'!P175:AH785,2,)</f>
        <v>8</v>
      </c>
      <c r="R175" s="38">
        <f>VLOOKUP(Q175,'Sheet A'!Q175:AI785,2,)</f>
        <v>90</v>
      </c>
      <c r="S175" s="38">
        <f>VLOOKUP(R175,'Sheet A'!R175:AJ785,2,)</f>
        <v>98</v>
      </c>
    </row>
    <row r="176" spans="1:19" x14ac:dyDescent="0.35">
      <c r="A176" s="37">
        <v>175</v>
      </c>
      <c r="B176" s="60">
        <f>VLOOKUP(A176,'Sheet A'!A176:S786,2,)</f>
        <v>40551</v>
      </c>
      <c r="C176" s="38">
        <f>VLOOKUP(B176,'Sheet A'!B176:T786,2,)</f>
        <v>1</v>
      </c>
      <c r="D176" s="38">
        <f>VLOOKUP(C176,'Sheet A'!C176:U786,2,)</f>
        <v>0</v>
      </c>
      <c r="E176" s="38">
        <f>VLOOKUP(D176,'Sheet A'!D176:V786,2,)</f>
        <v>1</v>
      </c>
      <c r="F176" s="38">
        <f>VLOOKUP(E176,'Sheet A'!E176:W786,2,)</f>
        <v>13</v>
      </c>
      <c r="G176" s="41" t="str">
        <f>VLOOKUP(F176,'Sheet A'!F176:X786,2,)</f>
        <v>AfterNoon</v>
      </c>
      <c r="H176" s="38" t="b">
        <f>VLOOKUP(G176,'Sheet A'!G176:Y786,2,)</f>
        <v>0</v>
      </c>
      <c r="I176" s="38">
        <f>VLOOKUP(H176,'Sheet A'!H176:Z786,2,)</f>
        <v>6</v>
      </c>
      <c r="J176" s="41" t="str">
        <f>VLOOKUP(I176,'Sheet A'!I176:AA786,2,)</f>
        <v>Friday</v>
      </c>
      <c r="K176" s="38">
        <f>VLOOKUP(J176,'Sheet A'!J176:AB786,2,)</f>
        <v>1</v>
      </c>
      <c r="L176" s="38">
        <f>VLOOKUP(K176,'Sheet A'!K176:AC786,2,)</f>
        <v>0.2</v>
      </c>
      <c r="M176" s="70" t="str">
        <f>VLOOKUP(L176,'Sheet A'!L176:AD786,2,)</f>
        <v>Rainy</v>
      </c>
      <c r="N176" s="38">
        <f>VLOOKUP(M176,'Sheet A'!M176:AE786,2,)</f>
        <v>0.18179999999999999</v>
      </c>
      <c r="O176" s="38">
        <f>VLOOKUP(N176,'Sheet A'!N176:AF786,2,)</f>
        <v>0.44</v>
      </c>
      <c r="P176" s="38">
        <f>VLOOKUP(O176,'Sheet A'!O176:AG786,2,)</f>
        <v>0.32840000000000003</v>
      </c>
      <c r="Q176" s="38">
        <f>VLOOKUP(P176,'Sheet A'!P176:AH786,2,)</f>
        <v>7</v>
      </c>
      <c r="R176" s="38">
        <f>VLOOKUP(Q176,'Sheet A'!Q176:AI786,2,)</f>
        <v>95</v>
      </c>
      <c r="S176" s="38">
        <f>VLOOKUP(R176,'Sheet A'!R176:AJ786,2,)</f>
        <v>102</v>
      </c>
    </row>
    <row r="177" spans="1:19" x14ac:dyDescent="0.35">
      <c r="A177" s="37">
        <v>176</v>
      </c>
      <c r="B177" s="60">
        <f>VLOOKUP(A177,'Sheet A'!A177:S787,2,)</f>
        <v>40551</v>
      </c>
      <c r="C177" s="38">
        <f>VLOOKUP(B177,'Sheet A'!B177:T787,2,)</f>
        <v>1</v>
      </c>
      <c r="D177" s="38">
        <f>VLOOKUP(C177,'Sheet A'!C177:U787,2,)</f>
        <v>0</v>
      </c>
      <c r="E177" s="38">
        <f>VLOOKUP(D177,'Sheet A'!D177:V787,2,)</f>
        <v>1</v>
      </c>
      <c r="F177" s="38">
        <f>VLOOKUP(E177,'Sheet A'!E177:W787,2,)</f>
        <v>14</v>
      </c>
      <c r="G177" s="41" t="str">
        <f>VLOOKUP(F177,'Sheet A'!F177:X787,2,)</f>
        <v>AfterNoon</v>
      </c>
      <c r="H177" s="38" t="b">
        <f>VLOOKUP(G177,'Sheet A'!G177:Y787,2,)</f>
        <v>0</v>
      </c>
      <c r="I177" s="38">
        <f>VLOOKUP(H177,'Sheet A'!H177:Z787,2,)</f>
        <v>6</v>
      </c>
      <c r="J177" s="41" t="str">
        <f>VLOOKUP(I177,'Sheet A'!I177:AA787,2,)</f>
        <v>Friday</v>
      </c>
      <c r="K177" s="38">
        <f>VLOOKUP(J177,'Sheet A'!J177:AB787,2,)</f>
        <v>1</v>
      </c>
      <c r="L177" s="38">
        <f>VLOOKUP(K177,'Sheet A'!K177:AC787,2,)</f>
        <v>0.2</v>
      </c>
      <c r="M177" s="70" t="str">
        <f>VLOOKUP(L177,'Sheet A'!L177:AD787,2,)</f>
        <v>Rainy</v>
      </c>
      <c r="N177" s="38">
        <f>VLOOKUP(M177,'Sheet A'!M177:AE787,2,)</f>
        <v>0.16669999999999999</v>
      </c>
      <c r="O177" s="38">
        <f>VLOOKUP(N177,'Sheet A'!N177:AF787,2,)</f>
        <v>0.32</v>
      </c>
      <c r="P177" s="38">
        <f>VLOOKUP(O177,'Sheet A'!O177:AG787,2,)</f>
        <v>0.49249999999999999</v>
      </c>
      <c r="Q177" s="38">
        <f>VLOOKUP(P177,'Sheet A'!P177:AH787,2,)</f>
        <v>12</v>
      </c>
      <c r="R177" s="38">
        <f>VLOOKUP(Q177,'Sheet A'!Q177:AI787,2,)</f>
        <v>83</v>
      </c>
      <c r="S177" s="38">
        <f>VLOOKUP(R177,'Sheet A'!R177:AJ787,2,)</f>
        <v>95</v>
      </c>
    </row>
    <row r="178" spans="1:19" x14ac:dyDescent="0.35">
      <c r="A178" s="37">
        <v>177</v>
      </c>
      <c r="B178" s="60">
        <f>VLOOKUP(A178,'Sheet A'!A178:S788,2,)</f>
        <v>40551</v>
      </c>
      <c r="C178" s="38">
        <f>VLOOKUP(B178,'Sheet A'!B178:T788,2,)</f>
        <v>1</v>
      </c>
      <c r="D178" s="38">
        <f>VLOOKUP(C178,'Sheet A'!C178:U788,2,)</f>
        <v>0</v>
      </c>
      <c r="E178" s="38">
        <f>VLOOKUP(D178,'Sheet A'!D178:V788,2,)</f>
        <v>1</v>
      </c>
      <c r="F178" s="38">
        <f>VLOOKUP(E178,'Sheet A'!E178:W788,2,)</f>
        <v>15</v>
      </c>
      <c r="G178" s="41" t="str">
        <f>VLOOKUP(F178,'Sheet A'!F178:X788,2,)</f>
        <v>AfterNoon</v>
      </c>
      <c r="H178" s="38" t="b">
        <f>VLOOKUP(G178,'Sheet A'!G178:Y788,2,)</f>
        <v>0</v>
      </c>
      <c r="I178" s="38">
        <f>VLOOKUP(H178,'Sheet A'!H178:Z788,2,)</f>
        <v>6</v>
      </c>
      <c r="J178" s="41" t="str">
        <f>VLOOKUP(I178,'Sheet A'!I178:AA788,2,)</f>
        <v>Friday</v>
      </c>
      <c r="K178" s="38">
        <f>VLOOKUP(J178,'Sheet A'!J178:AB788,2,)</f>
        <v>1</v>
      </c>
      <c r="L178" s="38">
        <f>VLOOKUP(K178,'Sheet A'!K178:AC788,2,)</f>
        <v>0.2</v>
      </c>
      <c r="M178" s="70" t="str">
        <f>VLOOKUP(L178,'Sheet A'!L178:AD788,2,)</f>
        <v>Rainy</v>
      </c>
      <c r="N178" s="38">
        <f>VLOOKUP(M178,'Sheet A'!M178:AE788,2,)</f>
        <v>0.16669999999999999</v>
      </c>
      <c r="O178" s="38">
        <f>VLOOKUP(N178,'Sheet A'!N178:AF788,2,)</f>
        <v>0.32</v>
      </c>
      <c r="P178" s="38">
        <f>VLOOKUP(O178,'Sheet A'!O178:AG788,2,)</f>
        <v>0.44779999999999998</v>
      </c>
      <c r="Q178" s="38">
        <f>VLOOKUP(P178,'Sheet A'!P178:AH788,2,)</f>
        <v>5</v>
      </c>
      <c r="R178" s="38">
        <f>VLOOKUP(Q178,'Sheet A'!Q178:AI788,2,)</f>
        <v>69</v>
      </c>
      <c r="S178" s="38">
        <f>VLOOKUP(R178,'Sheet A'!R178:AJ788,2,)</f>
        <v>74</v>
      </c>
    </row>
    <row r="179" spans="1:19" x14ac:dyDescent="0.35">
      <c r="A179" s="37">
        <v>178</v>
      </c>
      <c r="B179" s="60">
        <f>VLOOKUP(A179,'Sheet A'!A179:S789,2,)</f>
        <v>40551</v>
      </c>
      <c r="C179" s="38">
        <f>VLOOKUP(B179,'Sheet A'!B179:T789,2,)</f>
        <v>1</v>
      </c>
      <c r="D179" s="38">
        <f>VLOOKUP(C179,'Sheet A'!C179:U789,2,)</f>
        <v>0</v>
      </c>
      <c r="E179" s="38">
        <f>VLOOKUP(D179,'Sheet A'!D179:V789,2,)</f>
        <v>1</v>
      </c>
      <c r="F179" s="38">
        <f>VLOOKUP(E179,'Sheet A'!E179:W789,2,)</f>
        <v>16</v>
      </c>
      <c r="G179" s="41" t="str">
        <f>VLOOKUP(F179,'Sheet A'!F179:X789,2,)</f>
        <v>AfterNoon</v>
      </c>
      <c r="H179" s="38" t="b">
        <f>VLOOKUP(G179,'Sheet A'!G179:Y789,2,)</f>
        <v>0</v>
      </c>
      <c r="I179" s="38">
        <f>VLOOKUP(H179,'Sheet A'!H179:Z789,2,)</f>
        <v>6</v>
      </c>
      <c r="J179" s="41" t="str">
        <f>VLOOKUP(I179,'Sheet A'!I179:AA789,2,)</f>
        <v>Friday</v>
      </c>
      <c r="K179" s="38">
        <f>VLOOKUP(J179,'Sheet A'!J179:AB789,2,)</f>
        <v>1</v>
      </c>
      <c r="L179" s="38">
        <f>VLOOKUP(K179,'Sheet A'!K179:AC789,2,)</f>
        <v>0.18</v>
      </c>
      <c r="M179" s="70" t="str">
        <f>VLOOKUP(L179,'Sheet A'!L179:AD789,2,)</f>
        <v>Rainy</v>
      </c>
      <c r="N179" s="38">
        <f>VLOOKUP(M179,'Sheet A'!M179:AE789,2,)</f>
        <v>0.13639999999999999</v>
      </c>
      <c r="O179" s="38">
        <f>VLOOKUP(N179,'Sheet A'!N179:AF789,2,)</f>
        <v>0.28999999999999998</v>
      </c>
      <c r="P179" s="38">
        <f>VLOOKUP(O179,'Sheet A'!O179:AG789,2,)</f>
        <v>0.44779999999999998</v>
      </c>
      <c r="Q179" s="38">
        <f>VLOOKUP(P179,'Sheet A'!P179:AH789,2,)</f>
        <v>8</v>
      </c>
      <c r="R179" s="38">
        <f>VLOOKUP(Q179,'Sheet A'!Q179:AI789,2,)</f>
        <v>68</v>
      </c>
      <c r="S179" s="38">
        <f>VLOOKUP(R179,'Sheet A'!R179:AJ789,2,)</f>
        <v>76</v>
      </c>
    </row>
    <row r="180" spans="1:19" x14ac:dyDescent="0.35">
      <c r="A180" s="37">
        <v>179</v>
      </c>
      <c r="B180" s="60">
        <f>VLOOKUP(A180,'Sheet A'!A180:S790,2,)</f>
        <v>40551</v>
      </c>
      <c r="C180" s="38">
        <f>VLOOKUP(B180,'Sheet A'!B180:T790,2,)</f>
        <v>1</v>
      </c>
      <c r="D180" s="38">
        <f>VLOOKUP(C180,'Sheet A'!C180:U790,2,)</f>
        <v>0</v>
      </c>
      <c r="E180" s="38">
        <f>VLOOKUP(D180,'Sheet A'!D180:V790,2,)</f>
        <v>1</v>
      </c>
      <c r="F180" s="38">
        <f>VLOOKUP(E180,'Sheet A'!E180:W790,2,)</f>
        <v>17</v>
      </c>
      <c r="G180" s="41" t="str">
        <f>VLOOKUP(F180,'Sheet A'!F180:X790,2,)</f>
        <v>Evening</v>
      </c>
      <c r="H180" s="38" t="b">
        <f>VLOOKUP(G180,'Sheet A'!G180:Y790,2,)</f>
        <v>0</v>
      </c>
      <c r="I180" s="38">
        <f>VLOOKUP(H180,'Sheet A'!H180:Z790,2,)</f>
        <v>6</v>
      </c>
      <c r="J180" s="41" t="str">
        <f>VLOOKUP(I180,'Sheet A'!I180:AA790,2,)</f>
        <v>Friday</v>
      </c>
      <c r="K180" s="38">
        <f>VLOOKUP(J180,'Sheet A'!J180:AB790,2,)</f>
        <v>1</v>
      </c>
      <c r="L180" s="38">
        <f>VLOOKUP(K180,'Sheet A'!K180:AC790,2,)</f>
        <v>0.16</v>
      </c>
      <c r="M180" s="70" t="str">
        <f>VLOOKUP(L180,'Sheet A'!L180:AD790,2,)</f>
        <v>Rainy</v>
      </c>
      <c r="N180" s="38">
        <f>VLOOKUP(M180,'Sheet A'!M180:AE790,2,)</f>
        <v>0.1212</v>
      </c>
      <c r="O180" s="38">
        <f>VLOOKUP(N180,'Sheet A'!N180:AF790,2,)</f>
        <v>0.37</v>
      </c>
      <c r="P180" s="38">
        <f>VLOOKUP(O180,'Sheet A'!O180:AG790,2,)</f>
        <v>0.55220000000000002</v>
      </c>
      <c r="Q180" s="38">
        <f>VLOOKUP(P180,'Sheet A'!P180:AH790,2,)</f>
        <v>5</v>
      </c>
      <c r="R180" s="38">
        <f>VLOOKUP(Q180,'Sheet A'!Q180:AI790,2,)</f>
        <v>64</v>
      </c>
      <c r="S180" s="38">
        <f>VLOOKUP(R180,'Sheet A'!R180:AJ790,2,)</f>
        <v>69</v>
      </c>
    </row>
    <row r="181" spans="1:19" x14ac:dyDescent="0.35">
      <c r="A181" s="37">
        <v>180</v>
      </c>
      <c r="B181" s="60">
        <f>VLOOKUP(A181,'Sheet A'!A181:S791,2,)</f>
        <v>40551</v>
      </c>
      <c r="C181" s="38">
        <f>VLOOKUP(B181,'Sheet A'!B181:T791,2,)</f>
        <v>1</v>
      </c>
      <c r="D181" s="38">
        <f>VLOOKUP(C181,'Sheet A'!C181:U791,2,)</f>
        <v>0</v>
      </c>
      <c r="E181" s="38">
        <f>VLOOKUP(D181,'Sheet A'!D181:V791,2,)</f>
        <v>1</v>
      </c>
      <c r="F181" s="38">
        <f>VLOOKUP(E181,'Sheet A'!E181:W791,2,)</f>
        <v>18</v>
      </c>
      <c r="G181" s="41" t="str">
        <f>VLOOKUP(F181,'Sheet A'!F181:X791,2,)</f>
        <v>Evening</v>
      </c>
      <c r="H181" s="38" t="b">
        <f>VLOOKUP(G181,'Sheet A'!G181:Y791,2,)</f>
        <v>0</v>
      </c>
      <c r="I181" s="38">
        <f>VLOOKUP(H181,'Sheet A'!H181:Z791,2,)</f>
        <v>6</v>
      </c>
      <c r="J181" s="41" t="str">
        <f>VLOOKUP(I181,'Sheet A'!I181:AA791,2,)</f>
        <v>Friday</v>
      </c>
      <c r="K181" s="38">
        <f>VLOOKUP(J181,'Sheet A'!J181:AB791,2,)</f>
        <v>1</v>
      </c>
      <c r="L181" s="38">
        <f>VLOOKUP(K181,'Sheet A'!K181:AC791,2,)</f>
        <v>0.14000000000000001</v>
      </c>
      <c r="M181" s="70" t="str">
        <f>VLOOKUP(L181,'Sheet A'!L181:AD791,2,)</f>
        <v>Rainy</v>
      </c>
      <c r="N181" s="38">
        <f>VLOOKUP(M181,'Sheet A'!M181:AE791,2,)</f>
        <v>0.1212</v>
      </c>
      <c r="O181" s="38">
        <f>VLOOKUP(N181,'Sheet A'!N181:AF791,2,)</f>
        <v>0.39</v>
      </c>
      <c r="P181" s="38">
        <f>VLOOKUP(O181,'Sheet A'!O181:AG791,2,)</f>
        <v>0.29849999999999999</v>
      </c>
      <c r="Q181" s="38">
        <f>VLOOKUP(P181,'Sheet A'!P181:AH791,2,)</f>
        <v>3</v>
      </c>
      <c r="R181" s="38">
        <f>VLOOKUP(Q181,'Sheet A'!Q181:AI791,2,)</f>
        <v>52</v>
      </c>
      <c r="S181" s="38">
        <f>VLOOKUP(R181,'Sheet A'!R181:AJ791,2,)</f>
        <v>55</v>
      </c>
    </row>
    <row r="182" spans="1:19" x14ac:dyDescent="0.35">
      <c r="A182" s="37">
        <v>181</v>
      </c>
      <c r="B182" s="60">
        <f>VLOOKUP(A182,'Sheet A'!A182:S792,2,)</f>
        <v>40551</v>
      </c>
      <c r="C182" s="38">
        <f>VLOOKUP(B182,'Sheet A'!B182:T792,2,)</f>
        <v>1</v>
      </c>
      <c r="D182" s="38">
        <f>VLOOKUP(C182,'Sheet A'!C182:U792,2,)</f>
        <v>0</v>
      </c>
      <c r="E182" s="38">
        <f>VLOOKUP(D182,'Sheet A'!D182:V792,2,)</f>
        <v>1</v>
      </c>
      <c r="F182" s="38">
        <f>VLOOKUP(E182,'Sheet A'!E182:W792,2,)</f>
        <v>19</v>
      </c>
      <c r="G182" s="41" t="str">
        <f>VLOOKUP(F182,'Sheet A'!F182:X792,2,)</f>
        <v>Evening</v>
      </c>
      <c r="H182" s="38" t="b">
        <f>VLOOKUP(G182,'Sheet A'!G182:Y792,2,)</f>
        <v>0</v>
      </c>
      <c r="I182" s="38">
        <f>VLOOKUP(H182,'Sheet A'!H182:Z792,2,)</f>
        <v>6</v>
      </c>
      <c r="J182" s="41" t="str">
        <f>VLOOKUP(I182,'Sheet A'!I182:AA792,2,)</f>
        <v>Friday</v>
      </c>
      <c r="K182" s="38">
        <f>VLOOKUP(J182,'Sheet A'!J182:AB792,2,)</f>
        <v>1</v>
      </c>
      <c r="L182" s="38">
        <f>VLOOKUP(K182,'Sheet A'!K182:AC792,2,)</f>
        <v>0.14000000000000001</v>
      </c>
      <c r="M182" s="70" t="str">
        <f>VLOOKUP(L182,'Sheet A'!L182:AD792,2,)</f>
        <v>Rainy</v>
      </c>
      <c r="N182" s="38">
        <f>VLOOKUP(M182,'Sheet A'!M182:AE792,2,)</f>
        <v>0.1212</v>
      </c>
      <c r="O182" s="38">
        <f>VLOOKUP(N182,'Sheet A'!N182:AF792,2,)</f>
        <v>0.36</v>
      </c>
      <c r="P182" s="38">
        <f>VLOOKUP(O182,'Sheet A'!O182:AG792,2,)</f>
        <v>0.25369999999999998</v>
      </c>
      <c r="Q182" s="38">
        <f>VLOOKUP(P182,'Sheet A'!P182:AH792,2,)</f>
        <v>4</v>
      </c>
      <c r="R182" s="38">
        <f>VLOOKUP(Q182,'Sheet A'!Q182:AI792,2,)</f>
        <v>26</v>
      </c>
      <c r="S182" s="38">
        <f>VLOOKUP(R182,'Sheet A'!R182:AJ792,2,)</f>
        <v>30</v>
      </c>
    </row>
    <row r="183" spans="1:19" x14ac:dyDescent="0.35">
      <c r="A183" s="37">
        <v>182</v>
      </c>
      <c r="B183" s="60">
        <f>VLOOKUP(A183,'Sheet A'!A183:S793,2,)</f>
        <v>40551</v>
      </c>
      <c r="C183" s="38">
        <f>VLOOKUP(B183,'Sheet A'!B183:T793,2,)</f>
        <v>1</v>
      </c>
      <c r="D183" s="38">
        <f>VLOOKUP(C183,'Sheet A'!C183:U793,2,)</f>
        <v>0</v>
      </c>
      <c r="E183" s="38">
        <f>VLOOKUP(D183,'Sheet A'!D183:V793,2,)</f>
        <v>1</v>
      </c>
      <c r="F183" s="38">
        <f>VLOOKUP(E183,'Sheet A'!E183:W793,2,)</f>
        <v>20</v>
      </c>
      <c r="G183" s="41" t="str">
        <f>VLOOKUP(F183,'Sheet A'!F183:X793,2,)</f>
        <v>Night</v>
      </c>
      <c r="H183" s="38" t="b">
        <f>VLOOKUP(G183,'Sheet A'!G183:Y793,2,)</f>
        <v>0</v>
      </c>
      <c r="I183" s="38">
        <f>VLOOKUP(H183,'Sheet A'!H183:Z793,2,)</f>
        <v>6</v>
      </c>
      <c r="J183" s="41" t="str">
        <f>VLOOKUP(I183,'Sheet A'!I183:AA793,2,)</f>
        <v>Friday</v>
      </c>
      <c r="K183" s="38">
        <f>VLOOKUP(J183,'Sheet A'!J183:AB793,2,)</f>
        <v>1</v>
      </c>
      <c r="L183" s="38">
        <f>VLOOKUP(K183,'Sheet A'!K183:AC793,2,)</f>
        <v>0.12</v>
      </c>
      <c r="M183" s="70" t="str">
        <f>VLOOKUP(L183,'Sheet A'!L183:AD793,2,)</f>
        <v>Rainy</v>
      </c>
      <c r="N183" s="38">
        <f>VLOOKUP(M183,'Sheet A'!M183:AE793,2,)</f>
        <v>0.1212</v>
      </c>
      <c r="O183" s="38">
        <f>VLOOKUP(N183,'Sheet A'!N183:AF793,2,)</f>
        <v>0.36</v>
      </c>
      <c r="P183" s="38">
        <f>VLOOKUP(O183,'Sheet A'!O183:AG793,2,)</f>
        <v>0.25369999999999998</v>
      </c>
      <c r="Q183" s="38">
        <f>VLOOKUP(P183,'Sheet A'!P183:AH793,2,)</f>
        <v>0</v>
      </c>
      <c r="R183" s="38">
        <f>VLOOKUP(Q183,'Sheet A'!Q183:AI793,2,)</f>
        <v>28</v>
      </c>
      <c r="S183" s="38">
        <f>VLOOKUP(R183,'Sheet A'!R183:AJ793,2,)</f>
        <v>28</v>
      </c>
    </row>
    <row r="184" spans="1:19" x14ac:dyDescent="0.35">
      <c r="A184" s="37">
        <v>183</v>
      </c>
      <c r="B184" s="60">
        <f>VLOOKUP(A184,'Sheet A'!A184:S794,2,)</f>
        <v>40551</v>
      </c>
      <c r="C184" s="38">
        <f>VLOOKUP(B184,'Sheet A'!B184:T794,2,)</f>
        <v>1</v>
      </c>
      <c r="D184" s="38">
        <f>VLOOKUP(C184,'Sheet A'!C184:U794,2,)</f>
        <v>0</v>
      </c>
      <c r="E184" s="38">
        <f>VLOOKUP(D184,'Sheet A'!D184:V794,2,)</f>
        <v>1</v>
      </c>
      <c r="F184" s="38">
        <f>VLOOKUP(E184,'Sheet A'!E184:W794,2,)</f>
        <v>21</v>
      </c>
      <c r="G184" s="41" t="str">
        <f>VLOOKUP(F184,'Sheet A'!F184:X794,2,)</f>
        <v>Night</v>
      </c>
      <c r="H184" s="38" t="b">
        <f>VLOOKUP(G184,'Sheet A'!G184:Y794,2,)</f>
        <v>0</v>
      </c>
      <c r="I184" s="38">
        <f>VLOOKUP(H184,'Sheet A'!H184:Z794,2,)</f>
        <v>6</v>
      </c>
      <c r="J184" s="41" t="str">
        <f>VLOOKUP(I184,'Sheet A'!I184:AA794,2,)</f>
        <v>Friday</v>
      </c>
      <c r="K184" s="38">
        <f>VLOOKUP(J184,'Sheet A'!J184:AB794,2,)</f>
        <v>1</v>
      </c>
      <c r="L184" s="38">
        <f>VLOOKUP(K184,'Sheet A'!K184:AC794,2,)</f>
        <v>0.12</v>
      </c>
      <c r="M184" s="70" t="str">
        <f>VLOOKUP(L184,'Sheet A'!L184:AD794,2,)</f>
        <v>Rainy</v>
      </c>
      <c r="N184" s="38">
        <f>VLOOKUP(M184,'Sheet A'!M184:AE794,2,)</f>
        <v>0.1061</v>
      </c>
      <c r="O184" s="38">
        <f>VLOOKUP(N184,'Sheet A'!N184:AF794,2,)</f>
        <v>0.39</v>
      </c>
      <c r="P184" s="38">
        <f>VLOOKUP(O184,'Sheet A'!O184:AG794,2,)</f>
        <v>0.35820000000000002</v>
      </c>
      <c r="Q184" s="38">
        <f>VLOOKUP(P184,'Sheet A'!P184:AH794,2,)</f>
        <v>2</v>
      </c>
      <c r="R184" s="38">
        <f>VLOOKUP(Q184,'Sheet A'!Q184:AI794,2,)</f>
        <v>35</v>
      </c>
      <c r="S184" s="38">
        <f>VLOOKUP(R184,'Sheet A'!R184:AJ794,2,)</f>
        <v>37</v>
      </c>
    </row>
    <row r="185" spans="1:19" x14ac:dyDescent="0.35">
      <c r="A185" s="37">
        <v>184</v>
      </c>
      <c r="B185" s="60">
        <f>VLOOKUP(A185,'Sheet A'!A185:S795,2,)</f>
        <v>40551</v>
      </c>
      <c r="C185" s="38">
        <f>VLOOKUP(B185,'Sheet A'!B185:T795,2,)</f>
        <v>1</v>
      </c>
      <c r="D185" s="38">
        <f>VLOOKUP(C185,'Sheet A'!C185:U795,2,)</f>
        <v>0</v>
      </c>
      <c r="E185" s="38">
        <f>VLOOKUP(D185,'Sheet A'!D185:V795,2,)</f>
        <v>1</v>
      </c>
      <c r="F185" s="38">
        <f>VLOOKUP(E185,'Sheet A'!E185:W795,2,)</f>
        <v>22</v>
      </c>
      <c r="G185" s="41" t="str">
        <f>VLOOKUP(F185,'Sheet A'!F185:X795,2,)</f>
        <v>Night</v>
      </c>
      <c r="H185" s="38" t="b">
        <f>VLOOKUP(G185,'Sheet A'!G185:Y795,2,)</f>
        <v>0</v>
      </c>
      <c r="I185" s="38">
        <f>VLOOKUP(H185,'Sheet A'!H185:Z795,2,)</f>
        <v>6</v>
      </c>
      <c r="J185" s="41" t="str">
        <f>VLOOKUP(I185,'Sheet A'!I185:AA795,2,)</f>
        <v>Friday</v>
      </c>
      <c r="K185" s="38">
        <f>VLOOKUP(J185,'Sheet A'!J185:AB795,2,)</f>
        <v>1</v>
      </c>
      <c r="L185" s="38">
        <f>VLOOKUP(K185,'Sheet A'!K185:AC795,2,)</f>
        <v>0.12</v>
      </c>
      <c r="M185" s="70" t="str">
        <f>VLOOKUP(L185,'Sheet A'!L185:AD795,2,)</f>
        <v>Rainy</v>
      </c>
      <c r="N185" s="38">
        <f>VLOOKUP(M185,'Sheet A'!M185:AE795,2,)</f>
        <v>0.1061</v>
      </c>
      <c r="O185" s="38">
        <f>VLOOKUP(N185,'Sheet A'!N185:AF795,2,)</f>
        <v>0.36</v>
      </c>
      <c r="P185" s="38">
        <f>VLOOKUP(O185,'Sheet A'!O185:AG795,2,)</f>
        <v>0.3881</v>
      </c>
      <c r="Q185" s="38">
        <f>VLOOKUP(P185,'Sheet A'!P185:AH795,2,)</f>
        <v>1</v>
      </c>
      <c r="R185" s="38">
        <f>VLOOKUP(Q185,'Sheet A'!Q185:AI795,2,)</f>
        <v>33</v>
      </c>
      <c r="S185" s="38">
        <f>VLOOKUP(R185,'Sheet A'!R185:AJ795,2,)</f>
        <v>34</v>
      </c>
    </row>
    <row r="186" spans="1:19" x14ac:dyDescent="0.35">
      <c r="A186" s="37">
        <v>185</v>
      </c>
      <c r="B186" s="60">
        <f>VLOOKUP(A186,'Sheet A'!A186:S796,2,)</f>
        <v>40551</v>
      </c>
      <c r="C186" s="38">
        <f>VLOOKUP(B186,'Sheet A'!B186:T796,2,)</f>
        <v>1</v>
      </c>
      <c r="D186" s="38">
        <f>VLOOKUP(C186,'Sheet A'!C186:U796,2,)</f>
        <v>0</v>
      </c>
      <c r="E186" s="38">
        <f>VLOOKUP(D186,'Sheet A'!D186:V796,2,)</f>
        <v>1</v>
      </c>
      <c r="F186" s="38">
        <f>VLOOKUP(E186,'Sheet A'!E186:W796,2,)</f>
        <v>23</v>
      </c>
      <c r="G186" s="41" t="str">
        <f>VLOOKUP(F186,'Sheet A'!F186:X796,2,)</f>
        <v>Night</v>
      </c>
      <c r="H186" s="38" t="b">
        <f>VLOOKUP(G186,'Sheet A'!G186:Y796,2,)</f>
        <v>0</v>
      </c>
      <c r="I186" s="38">
        <f>VLOOKUP(H186,'Sheet A'!H186:Z796,2,)</f>
        <v>6</v>
      </c>
      <c r="J186" s="41" t="str">
        <f>VLOOKUP(I186,'Sheet A'!I186:AA796,2,)</f>
        <v>Friday</v>
      </c>
      <c r="K186" s="38">
        <f>VLOOKUP(J186,'Sheet A'!J186:AB796,2,)</f>
        <v>1</v>
      </c>
      <c r="L186" s="38">
        <f>VLOOKUP(K186,'Sheet A'!K186:AC796,2,)</f>
        <v>0.1</v>
      </c>
      <c r="M186" s="70" t="str">
        <f>VLOOKUP(L186,'Sheet A'!L186:AD796,2,)</f>
        <v>Stromy</v>
      </c>
      <c r="N186" s="38">
        <f>VLOOKUP(M186,'Sheet A'!M186:AE796,2,)</f>
        <v>6.0600000000000001E-2</v>
      </c>
      <c r="O186" s="38">
        <f>VLOOKUP(N186,'Sheet A'!N186:AF796,2,)</f>
        <v>0.39</v>
      </c>
      <c r="P186" s="38">
        <f>VLOOKUP(O186,'Sheet A'!O186:AG796,2,)</f>
        <v>0.44779999999999998</v>
      </c>
      <c r="Q186" s="38">
        <f>VLOOKUP(P186,'Sheet A'!P186:AH796,2,)</f>
        <v>0</v>
      </c>
      <c r="R186" s="38">
        <f>VLOOKUP(Q186,'Sheet A'!Q186:AI796,2,)</f>
        <v>22</v>
      </c>
      <c r="S186" s="38">
        <f>VLOOKUP(R186,'Sheet A'!R186:AJ796,2,)</f>
        <v>22</v>
      </c>
    </row>
    <row r="187" spans="1:19" x14ac:dyDescent="0.35">
      <c r="A187" s="37">
        <v>186</v>
      </c>
      <c r="B187" s="60">
        <f>VLOOKUP(A187,'Sheet A'!A187:S797,2,)</f>
        <v>40552</v>
      </c>
      <c r="C187" s="38">
        <f>VLOOKUP(B187,'Sheet A'!B187:T797,2,)</f>
        <v>1</v>
      </c>
      <c r="D187" s="38">
        <f>VLOOKUP(C187,'Sheet A'!C187:U797,2,)</f>
        <v>0</v>
      </c>
      <c r="E187" s="38">
        <f>VLOOKUP(D187,'Sheet A'!D187:V797,2,)</f>
        <v>1</v>
      </c>
      <c r="F187" s="38">
        <f>VLOOKUP(E187,'Sheet A'!E187:W797,2,)</f>
        <v>0</v>
      </c>
      <c r="G187" s="41" t="str">
        <f>VLOOKUP(F187,'Sheet A'!F187:X797,2,)</f>
        <v>Night</v>
      </c>
      <c r="H187" s="38" t="b">
        <f>VLOOKUP(G187,'Sheet A'!G187:Y797,2,)</f>
        <v>0</v>
      </c>
      <c r="I187" s="38">
        <f>VLOOKUP(H187,'Sheet A'!H187:Z797,2,)</f>
        <v>0</v>
      </c>
      <c r="J187" s="41" t="str">
        <f>VLOOKUP(I187,'Sheet A'!I187:AA797,2,)</f>
        <v>Saturday</v>
      </c>
      <c r="K187" s="38">
        <f>VLOOKUP(J187,'Sheet A'!J187:AB797,2,)</f>
        <v>1</v>
      </c>
      <c r="L187" s="38">
        <f>VLOOKUP(K187,'Sheet A'!K187:AC797,2,)</f>
        <v>0.1</v>
      </c>
      <c r="M187" s="70" t="str">
        <f>VLOOKUP(L187,'Sheet A'!L187:AD797,2,)</f>
        <v>Stromy</v>
      </c>
      <c r="N187" s="38">
        <f>VLOOKUP(M187,'Sheet A'!M187:AE797,2,)</f>
        <v>7.5800000000000006E-2</v>
      </c>
      <c r="O187" s="38">
        <f>VLOOKUP(N187,'Sheet A'!N187:AF797,2,)</f>
        <v>0.42</v>
      </c>
      <c r="P187" s="38">
        <f>VLOOKUP(O187,'Sheet A'!O187:AG797,2,)</f>
        <v>0.3881</v>
      </c>
      <c r="Q187" s="38">
        <f>VLOOKUP(P187,'Sheet A'!P187:AH797,2,)</f>
        <v>1</v>
      </c>
      <c r="R187" s="38">
        <f>VLOOKUP(Q187,'Sheet A'!Q187:AI797,2,)</f>
        <v>24</v>
      </c>
      <c r="S187" s="38">
        <f>VLOOKUP(R187,'Sheet A'!R187:AJ797,2,)</f>
        <v>25</v>
      </c>
    </row>
    <row r="188" spans="1:19" x14ac:dyDescent="0.35">
      <c r="A188" s="37">
        <v>187</v>
      </c>
      <c r="B188" s="60">
        <f>VLOOKUP(A188,'Sheet A'!A188:S798,2,)</f>
        <v>40552</v>
      </c>
      <c r="C188" s="38">
        <f>VLOOKUP(B188,'Sheet A'!B188:T798,2,)</f>
        <v>1</v>
      </c>
      <c r="D188" s="38">
        <f>VLOOKUP(C188,'Sheet A'!C188:U798,2,)</f>
        <v>0</v>
      </c>
      <c r="E188" s="38">
        <f>VLOOKUP(D188,'Sheet A'!D188:V798,2,)</f>
        <v>1</v>
      </c>
      <c r="F188" s="38">
        <f>VLOOKUP(E188,'Sheet A'!E188:W798,2,)</f>
        <v>1</v>
      </c>
      <c r="G188" s="41" t="str">
        <f>VLOOKUP(F188,'Sheet A'!F188:X798,2,)</f>
        <v>Night</v>
      </c>
      <c r="H188" s="38" t="b">
        <f>VLOOKUP(G188,'Sheet A'!G188:Y798,2,)</f>
        <v>0</v>
      </c>
      <c r="I188" s="38">
        <f>VLOOKUP(H188,'Sheet A'!H188:Z798,2,)</f>
        <v>0</v>
      </c>
      <c r="J188" s="41" t="str">
        <f>VLOOKUP(I188,'Sheet A'!I188:AA798,2,)</f>
        <v>Saturday</v>
      </c>
      <c r="K188" s="38">
        <f>VLOOKUP(J188,'Sheet A'!J188:AB798,2,)</f>
        <v>1</v>
      </c>
      <c r="L188" s="38">
        <f>VLOOKUP(K188,'Sheet A'!K188:AC798,2,)</f>
        <v>0.1</v>
      </c>
      <c r="M188" s="70" t="str">
        <f>VLOOKUP(L188,'Sheet A'!L188:AD798,2,)</f>
        <v>Stromy</v>
      </c>
      <c r="N188" s="38">
        <f>VLOOKUP(M188,'Sheet A'!M188:AE798,2,)</f>
        <v>6.0600000000000001E-2</v>
      </c>
      <c r="O188" s="38">
        <f>VLOOKUP(N188,'Sheet A'!N188:AF798,2,)</f>
        <v>0.42</v>
      </c>
      <c r="P188" s="38">
        <f>VLOOKUP(O188,'Sheet A'!O188:AG798,2,)</f>
        <v>0.4627</v>
      </c>
      <c r="Q188" s="38">
        <f>VLOOKUP(P188,'Sheet A'!P188:AH798,2,)</f>
        <v>0</v>
      </c>
      <c r="R188" s="38">
        <f>VLOOKUP(Q188,'Sheet A'!Q188:AI798,2,)</f>
        <v>12</v>
      </c>
      <c r="S188" s="38">
        <f>VLOOKUP(R188,'Sheet A'!R188:AJ798,2,)</f>
        <v>12</v>
      </c>
    </row>
    <row r="189" spans="1:19" x14ac:dyDescent="0.35">
      <c r="A189" s="37">
        <v>188</v>
      </c>
      <c r="B189" s="60">
        <f>VLOOKUP(A189,'Sheet A'!A189:S799,2,)</f>
        <v>40552</v>
      </c>
      <c r="C189" s="38">
        <f>VLOOKUP(B189,'Sheet A'!B189:T799,2,)</f>
        <v>1</v>
      </c>
      <c r="D189" s="38">
        <f>VLOOKUP(C189,'Sheet A'!C189:U799,2,)</f>
        <v>0</v>
      </c>
      <c r="E189" s="38">
        <f>VLOOKUP(D189,'Sheet A'!D189:V799,2,)</f>
        <v>1</v>
      </c>
      <c r="F189" s="38">
        <f>VLOOKUP(E189,'Sheet A'!E189:W799,2,)</f>
        <v>2</v>
      </c>
      <c r="G189" s="41" t="str">
        <f>VLOOKUP(F189,'Sheet A'!F189:X799,2,)</f>
        <v>Night</v>
      </c>
      <c r="H189" s="38" t="b">
        <f>VLOOKUP(G189,'Sheet A'!G189:Y799,2,)</f>
        <v>0</v>
      </c>
      <c r="I189" s="38">
        <f>VLOOKUP(H189,'Sheet A'!H189:Z799,2,)</f>
        <v>0</v>
      </c>
      <c r="J189" s="41" t="str">
        <f>VLOOKUP(I189,'Sheet A'!I189:AA799,2,)</f>
        <v>Saturday</v>
      </c>
      <c r="K189" s="38">
        <f>VLOOKUP(J189,'Sheet A'!J189:AB799,2,)</f>
        <v>1</v>
      </c>
      <c r="L189" s="38">
        <f>VLOOKUP(K189,'Sheet A'!K189:AC799,2,)</f>
        <v>0.1</v>
      </c>
      <c r="M189" s="70" t="str">
        <f>VLOOKUP(L189,'Sheet A'!L189:AD799,2,)</f>
        <v>Stromy</v>
      </c>
      <c r="N189" s="38">
        <f>VLOOKUP(M189,'Sheet A'!M189:AE799,2,)</f>
        <v>6.0600000000000001E-2</v>
      </c>
      <c r="O189" s="38">
        <f>VLOOKUP(N189,'Sheet A'!N189:AF799,2,)</f>
        <v>0.46</v>
      </c>
      <c r="P189" s="38">
        <f>VLOOKUP(O189,'Sheet A'!O189:AG799,2,)</f>
        <v>0.4627</v>
      </c>
      <c r="Q189" s="38">
        <f>VLOOKUP(P189,'Sheet A'!P189:AH799,2,)</f>
        <v>0</v>
      </c>
      <c r="R189" s="38">
        <f>VLOOKUP(Q189,'Sheet A'!Q189:AI799,2,)</f>
        <v>11</v>
      </c>
      <c r="S189" s="38">
        <f>VLOOKUP(R189,'Sheet A'!R189:AJ799,2,)</f>
        <v>11</v>
      </c>
    </row>
    <row r="190" spans="1:19" x14ac:dyDescent="0.35">
      <c r="A190" s="37">
        <v>189</v>
      </c>
      <c r="B190" s="60">
        <f>VLOOKUP(A190,'Sheet A'!A190:S800,2,)</f>
        <v>40552</v>
      </c>
      <c r="C190" s="38">
        <f>VLOOKUP(B190,'Sheet A'!B190:T800,2,)</f>
        <v>1</v>
      </c>
      <c r="D190" s="38">
        <f>VLOOKUP(C190,'Sheet A'!C190:U800,2,)</f>
        <v>0</v>
      </c>
      <c r="E190" s="38">
        <f>VLOOKUP(D190,'Sheet A'!D190:V800,2,)</f>
        <v>1</v>
      </c>
      <c r="F190" s="38">
        <f>VLOOKUP(E190,'Sheet A'!E190:W800,2,)</f>
        <v>3</v>
      </c>
      <c r="G190" s="41" t="str">
        <f>VLOOKUP(F190,'Sheet A'!F190:X800,2,)</f>
        <v>Night</v>
      </c>
      <c r="H190" s="38" t="b">
        <f>VLOOKUP(G190,'Sheet A'!G190:Y800,2,)</f>
        <v>0</v>
      </c>
      <c r="I190" s="38">
        <f>VLOOKUP(H190,'Sheet A'!H190:Z800,2,)</f>
        <v>0</v>
      </c>
      <c r="J190" s="41" t="str">
        <f>VLOOKUP(I190,'Sheet A'!I190:AA800,2,)</f>
        <v>Saturday</v>
      </c>
      <c r="K190" s="38">
        <f>VLOOKUP(J190,'Sheet A'!J190:AB800,2,)</f>
        <v>1</v>
      </c>
      <c r="L190" s="38">
        <f>VLOOKUP(K190,'Sheet A'!K190:AC800,2,)</f>
        <v>0.1</v>
      </c>
      <c r="M190" s="70" t="str">
        <f>VLOOKUP(L190,'Sheet A'!L190:AD800,2,)</f>
        <v>Stromy</v>
      </c>
      <c r="N190" s="38">
        <f>VLOOKUP(M190,'Sheet A'!M190:AE800,2,)</f>
        <v>7.5800000000000006E-2</v>
      </c>
      <c r="O190" s="38">
        <f>VLOOKUP(N190,'Sheet A'!N190:AF800,2,)</f>
        <v>0.46</v>
      </c>
      <c r="P190" s="38">
        <f>VLOOKUP(O190,'Sheet A'!O190:AG800,2,)</f>
        <v>0.41789999999999999</v>
      </c>
      <c r="Q190" s="38">
        <f>VLOOKUP(P190,'Sheet A'!P190:AH800,2,)</f>
        <v>0</v>
      </c>
      <c r="R190" s="38">
        <f>VLOOKUP(Q190,'Sheet A'!Q190:AI800,2,)</f>
        <v>4</v>
      </c>
      <c r="S190" s="38">
        <f>VLOOKUP(R190,'Sheet A'!R190:AJ800,2,)</f>
        <v>4</v>
      </c>
    </row>
    <row r="191" spans="1:19" x14ac:dyDescent="0.35">
      <c r="A191" s="37">
        <v>190</v>
      </c>
      <c r="B191" s="60">
        <f>VLOOKUP(A191,'Sheet A'!A191:S801,2,)</f>
        <v>40552</v>
      </c>
      <c r="C191" s="38">
        <f>VLOOKUP(B191,'Sheet A'!B191:T801,2,)</f>
        <v>1</v>
      </c>
      <c r="D191" s="38">
        <f>VLOOKUP(C191,'Sheet A'!C191:U801,2,)</f>
        <v>0</v>
      </c>
      <c r="E191" s="38">
        <f>VLOOKUP(D191,'Sheet A'!D191:V801,2,)</f>
        <v>1</v>
      </c>
      <c r="F191" s="38">
        <f>VLOOKUP(E191,'Sheet A'!E191:W801,2,)</f>
        <v>4</v>
      </c>
      <c r="G191" s="41" t="str">
        <f>VLOOKUP(F191,'Sheet A'!F191:X801,2,)</f>
        <v>Night</v>
      </c>
      <c r="H191" s="38" t="b">
        <f>VLOOKUP(G191,'Sheet A'!G191:Y801,2,)</f>
        <v>0</v>
      </c>
      <c r="I191" s="38">
        <f>VLOOKUP(H191,'Sheet A'!H191:Z801,2,)</f>
        <v>0</v>
      </c>
      <c r="J191" s="41" t="str">
        <f>VLOOKUP(I191,'Sheet A'!I191:AA801,2,)</f>
        <v>Saturday</v>
      </c>
      <c r="K191" s="38">
        <f>VLOOKUP(J191,'Sheet A'!J191:AB801,2,)</f>
        <v>1</v>
      </c>
      <c r="L191" s="38">
        <f>VLOOKUP(K191,'Sheet A'!K191:AC801,2,)</f>
        <v>0.08</v>
      </c>
      <c r="M191" s="70" t="str">
        <f>VLOOKUP(L191,'Sheet A'!L191:AD801,2,)</f>
        <v>Stromy</v>
      </c>
      <c r="N191" s="38">
        <f>VLOOKUP(M191,'Sheet A'!M191:AE801,2,)</f>
        <v>9.0899999999999995E-2</v>
      </c>
      <c r="O191" s="38">
        <f>VLOOKUP(N191,'Sheet A'!N191:AF801,2,)</f>
        <v>0.53</v>
      </c>
      <c r="P191" s="38">
        <f>VLOOKUP(O191,'Sheet A'!O191:AG801,2,)</f>
        <v>0.19400000000000001</v>
      </c>
      <c r="Q191" s="38">
        <f>VLOOKUP(P191,'Sheet A'!P191:AH801,2,)</f>
        <v>0</v>
      </c>
      <c r="R191" s="38">
        <f>VLOOKUP(Q191,'Sheet A'!Q191:AI801,2,)</f>
        <v>1</v>
      </c>
      <c r="S191" s="38">
        <f>VLOOKUP(R191,'Sheet A'!R191:AJ801,2,)</f>
        <v>1</v>
      </c>
    </row>
    <row r="192" spans="1:19" x14ac:dyDescent="0.35">
      <c r="A192" s="37">
        <v>191</v>
      </c>
      <c r="B192" s="60">
        <f>VLOOKUP(A192,'Sheet A'!A192:S802,2,)</f>
        <v>40552</v>
      </c>
      <c r="C192" s="38">
        <f>VLOOKUP(B192,'Sheet A'!B192:T802,2,)</f>
        <v>1</v>
      </c>
      <c r="D192" s="38">
        <f>VLOOKUP(C192,'Sheet A'!C192:U802,2,)</f>
        <v>0</v>
      </c>
      <c r="E192" s="38">
        <f>VLOOKUP(D192,'Sheet A'!D192:V802,2,)</f>
        <v>1</v>
      </c>
      <c r="F192" s="38">
        <f>VLOOKUP(E192,'Sheet A'!E192:W802,2,)</f>
        <v>5</v>
      </c>
      <c r="G192" s="41" t="str">
        <f>VLOOKUP(F192,'Sheet A'!F192:X802,2,)</f>
        <v>Morning</v>
      </c>
      <c r="H192" s="38" t="b">
        <f>VLOOKUP(G192,'Sheet A'!G192:Y802,2,)</f>
        <v>0</v>
      </c>
      <c r="I192" s="38">
        <f>VLOOKUP(H192,'Sheet A'!H192:Z802,2,)</f>
        <v>0</v>
      </c>
      <c r="J192" s="41" t="str">
        <f>VLOOKUP(I192,'Sheet A'!I192:AA802,2,)</f>
        <v>Saturday</v>
      </c>
      <c r="K192" s="38">
        <f>VLOOKUP(J192,'Sheet A'!J192:AB802,2,)</f>
        <v>1</v>
      </c>
      <c r="L192" s="38">
        <f>VLOOKUP(K192,'Sheet A'!K192:AC802,2,)</f>
        <v>0.08</v>
      </c>
      <c r="M192" s="70" t="str">
        <f>VLOOKUP(L192,'Sheet A'!L192:AD802,2,)</f>
        <v>Stromy</v>
      </c>
      <c r="N192" s="38">
        <f>VLOOKUP(M192,'Sheet A'!M192:AE802,2,)</f>
        <v>9.0899999999999995E-2</v>
      </c>
      <c r="O192" s="38">
        <f>VLOOKUP(N192,'Sheet A'!N192:AF802,2,)</f>
        <v>0.53</v>
      </c>
      <c r="P192" s="38">
        <f>VLOOKUP(O192,'Sheet A'!O192:AG802,2,)</f>
        <v>0.19400000000000001</v>
      </c>
      <c r="Q192" s="38">
        <f>VLOOKUP(P192,'Sheet A'!P192:AH802,2,)</f>
        <v>0</v>
      </c>
      <c r="R192" s="38">
        <f>VLOOKUP(Q192,'Sheet A'!Q192:AI802,2,)</f>
        <v>1</v>
      </c>
      <c r="S192" s="38">
        <f>VLOOKUP(R192,'Sheet A'!R192:AJ802,2,)</f>
        <v>1</v>
      </c>
    </row>
    <row r="193" spans="1:19" x14ac:dyDescent="0.35">
      <c r="A193" s="37">
        <v>192</v>
      </c>
      <c r="B193" s="60">
        <f>VLOOKUP(A193,'Sheet A'!A193:S803,2,)</f>
        <v>40552</v>
      </c>
      <c r="C193" s="38">
        <f>VLOOKUP(B193,'Sheet A'!B193:T803,2,)</f>
        <v>1</v>
      </c>
      <c r="D193" s="38">
        <f>VLOOKUP(C193,'Sheet A'!C193:U803,2,)</f>
        <v>0</v>
      </c>
      <c r="E193" s="38">
        <f>VLOOKUP(D193,'Sheet A'!D193:V803,2,)</f>
        <v>1</v>
      </c>
      <c r="F193" s="38">
        <f>VLOOKUP(E193,'Sheet A'!E193:W803,2,)</f>
        <v>6</v>
      </c>
      <c r="G193" s="41" t="str">
        <f>VLOOKUP(F193,'Sheet A'!F193:X803,2,)</f>
        <v>Morning</v>
      </c>
      <c r="H193" s="38" t="b">
        <f>VLOOKUP(G193,'Sheet A'!G193:Y803,2,)</f>
        <v>0</v>
      </c>
      <c r="I193" s="38">
        <f>VLOOKUP(H193,'Sheet A'!H193:Z803,2,)</f>
        <v>0</v>
      </c>
      <c r="J193" s="41" t="str">
        <f>VLOOKUP(I193,'Sheet A'!I193:AA803,2,)</f>
        <v>Saturday</v>
      </c>
      <c r="K193" s="38">
        <f>VLOOKUP(J193,'Sheet A'!J193:AB803,2,)</f>
        <v>1</v>
      </c>
      <c r="L193" s="38">
        <f>VLOOKUP(K193,'Sheet A'!K193:AC803,2,)</f>
        <v>0.1</v>
      </c>
      <c r="M193" s="70" t="str">
        <f>VLOOKUP(L193,'Sheet A'!L193:AD803,2,)</f>
        <v>Stromy</v>
      </c>
      <c r="N193" s="38">
        <f>VLOOKUP(M193,'Sheet A'!M193:AE803,2,)</f>
        <v>9.0899999999999995E-2</v>
      </c>
      <c r="O193" s="38">
        <f>VLOOKUP(N193,'Sheet A'!N193:AF803,2,)</f>
        <v>0.49</v>
      </c>
      <c r="P193" s="38">
        <f>VLOOKUP(O193,'Sheet A'!O193:AG803,2,)</f>
        <v>0.28360000000000002</v>
      </c>
      <c r="Q193" s="38">
        <f>VLOOKUP(P193,'Sheet A'!P193:AH803,2,)</f>
        <v>0</v>
      </c>
      <c r="R193" s="38">
        <f>VLOOKUP(Q193,'Sheet A'!Q193:AI803,2,)</f>
        <v>1</v>
      </c>
      <c r="S193" s="38">
        <f>VLOOKUP(R193,'Sheet A'!R193:AJ803,2,)</f>
        <v>1</v>
      </c>
    </row>
    <row r="194" spans="1:19" x14ac:dyDescent="0.35">
      <c r="A194" s="37">
        <v>193</v>
      </c>
      <c r="B194" s="60">
        <f>VLOOKUP(A194,'Sheet A'!A194:S804,2,)</f>
        <v>40552</v>
      </c>
      <c r="C194" s="38">
        <f>VLOOKUP(B194,'Sheet A'!B194:T804,2,)</f>
        <v>1</v>
      </c>
      <c r="D194" s="38">
        <f>VLOOKUP(C194,'Sheet A'!C194:U804,2,)</f>
        <v>0</v>
      </c>
      <c r="E194" s="38">
        <f>VLOOKUP(D194,'Sheet A'!D194:V804,2,)</f>
        <v>1</v>
      </c>
      <c r="F194" s="38">
        <f>VLOOKUP(E194,'Sheet A'!E194:W804,2,)</f>
        <v>7</v>
      </c>
      <c r="G194" s="41" t="str">
        <f>VLOOKUP(F194,'Sheet A'!F194:X804,2,)</f>
        <v>Morning</v>
      </c>
      <c r="H194" s="38" t="b">
        <f>VLOOKUP(G194,'Sheet A'!G194:Y804,2,)</f>
        <v>0</v>
      </c>
      <c r="I194" s="38">
        <f>VLOOKUP(H194,'Sheet A'!H194:Z804,2,)</f>
        <v>0</v>
      </c>
      <c r="J194" s="41" t="str">
        <f>VLOOKUP(I194,'Sheet A'!I194:AA804,2,)</f>
        <v>Saturday</v>
      </c>
      <c r="K194" s="38">
        <f>VLOOKUP(J194,'Sheet A'!J194:AB804,2,)</f>
        <v>1</v>
      </c>
      <c r="L194" s="38">
        <f>VLOOKUP(K194,'Sheet A'!K194:AC804,2,)</f>
        <v>0.08</v>
      </c>
      <c r="M194" s="70" t="str">
        <f>VLOOKUP(L194,'Sheet A'!L194:AD804,2,)</f>
        <v>Stromy</v>
      </c>
      <c r="N194" s="38">
        <f>VLOOKUP(M194,'Sheet A'!M194:AE804,2,)</f>
        <v>9.0899999999999995E-2</v>
      </c>
      <c r="O194" s="38">
        <f>VLOOKUP(N194,'Sheet A'!N194:AF804,2,)</f>
        <v>0.53</v>
      </c>
      <c r="P194" s="38">
        <f>VLOOKUP(O194,'Sheet A'!O194:AG804,2,)</f>
        <v>0.19400000000000001</v>
      </c>
      <c r="Q194" s="38">
        <f>VLOOKUP(P194,'Sheet A'!P194:AH804,2,)</f>
        <v>1</v>
      </c>
      <c r="R194" s="38">
        <f>VLOOKUP(Q194,'Sheet A'!Q194:AI804,2,)</f>
        <v>5</v>
      </c>
      <c r="S194" s="38">
        <f>VLOOKUP(R194,'Sheet A'!R194:AJ804,2,)</f>
        <v>6</v>
      </c>
    </row>
    <row r="195" spans="1:19" x14ac:dyDescent="0.35">
      <c r="A195" s="37">
        <v>194</v>
      </c>
      <c r="B195" s="60">
        <f>VLOOKUP(A195,'Sheet A'!A195:S805,2,)</f>
        <v>40552</v>
      </c>
      <c r="C195" s="38">
        <f>VLOOKUP(B195,'Sheet A'!B195:T805,2,)</f>
        <v>1</v>
      </c>
      <c r="D195" s="38">
        <f>VLOOKUP(C195,'Sheet A'!C195:U805,2,)</f>
        <v>0</v>
      </c>
      <c r="E195" s="38">
        <f>VLOOKUP(D195,'Sheet A'!D195:V805,2,)</f>
        <v>1</v>
      </c>
      <c r="F195" s="38">
        <f>VLOOKUP(E195,'Sheet A'!E195:W805,2,)</f>
        <v>8</v>
      </c>
      <c r="G195" s="41" t="str">
        <f>VLOOKUP(F195,'Sheet A'!F195:X805,2,)</f>
        <v>Morning</v>
      </c>
      <c r="H195" s="38" t="b">
        <f>VLOOKUP(G195,'Sheet A'!G195:Y805,2,)</f>
        <v>0</v>
      </c>
      <c r="I195" s="38">
        <f>VLOOKUP(H195,'Sheet A'!H195:Z805,2,)</f>
        <v>0</v>
      </c>
      <c r="J195" s="41" t="str">
        <f>VLOOKUP(I195,'Sheet A'!I195:AA805,2,)</f>
        <v>Saturday</v>
      </c>
      <c r="K195" s="38">
        <f>VLOOKUP(J195,'Sheet A'!J195:AB805,2,)</f>
        <v>1</v>
      </c>
      <c r="L195" s="38">
        <f>VLOOKUP(K195,'Sheet A'!K195:AC805,2,)</f>
        <v>0.1</v>
      </c>
      <c r="M195" s="70" t="str">
        <f>VLOOKUP(L195,'Sheet A'!L195:AD805,2,)</f>
        <v>Stromy</v>
      </c>
      <c r="N195" s="38">
        <f>VLOOKUP(M195,'Sheet A'!M195:AE805,2,)</f>
        <v>9.0899999999999995E-2</v>
      </c>
      <c r="O195" s="38">
        <f>VLOOKUP(N195,'Sheet A'!N195:AF805,2,)</f>
        <v>0.49</v>
      </c>
      <c r="P195" s="38">
        <f>VLOOKUP(O195,'Sheet A'!O195:AG805,2,)</f>
        <v>0.28360000000000002</v>
      </c>
      <c r="Q195" s="38">
        <f>VLOOKUP(P195,'Sheet A'!P195:AH805,2,)</f>
        <v>0</v>
      </c>
      <c r="R195" s="38">
        <f>VLOOKUP(Q195,'Sheet A'!Q195:AI805,2,)</f>
        <v>10</v>
      </c>
      <c r="S195" s="38">
        <f>VLOOKUP(R195,'Sheet A'!R195:AJ805,2,)</f>
        <v>10</v>
      </c>
    </row>
    <row r="196" spans="1:19" x14ac:dyDescent="0.35">
      <c r="A196" s="37">
        <v>195</v>
      </c>
      <c r="B196" s="60">
        <f>VLOOKUP(A196,'Sheet A'!A196:S806,2,)</f>
        <v>40552</v>
      </c>
      <c r="C196" s="38">
        <f>VLOOKUP(B196,'Sheet A'!B196:T806,2,)</f>
        <v>1</v>
      </c>
      <c r="D196" s="38">
        <f>VLOOKUP(C196,'Sheet A'!C196:U806,2,)</f>
        <v>0</v>
      </c>
      <c r="E196" s="38">
        <f>VLOOKUP(D196,'Sheet A'!D196:V806,2,)</f>
        <v>1</v>
      </c>
      <c r="F196" s="38">
        <f>VLOOKUP(E196,'Sheet A'!E196:W806,2,)</f>
        <v>9</v>
      </c>
      <c r="G196" s="41" t="str">
        <f>VLOOKUP(F196,'Sheet A'!F196:X806,2,)</f>
        <v>Morning</v>
      </c>
      <c r="H196" s="38" t="b">
        <f>VLOOKUP(G196,'Sheet A'!G196:Y806,2,)</f>
        <v>0</v>
      </c>
      <c r="I196" s="38">
        <f>VLOOKUP(H196,'Sheet A'!H196:Z806,2,)</f>
        <v>0</v>
      </c>
      <c r="J196" s="41" t="str">
        <f>VLOOKUP(I196,'Sheet A'!I196:AA806,2,)</f>
        <v>Saturday</v>
      </c>
      <c r="K196" s="38">
        <f>VLOOKUP(J196,'Sheet A'!J196:AB806,2,)</f>
        <v>1</v>
      </c>
      <c r="L196" s="38">
        <f>VLOOKUP(K196,'Sheet A'!K196:AC806,2,)</f>
        <v>0.12</v>
      </c>
      <c r="M196" s="70" t="str">
        <f>VLOOKUP(L196,'Sheet A'!L196:AD806,2,)</f>
        <v>Rainy</v>
      </c>
      <c r="N196" s="38">
        <f>VLOOKUP(M196,'Sheet A'!M196:AE806,2,)</f>
        <v>7.5800000000000006E-2</v>
      </c>
      <c r="O196" s="38">
        <f>VLOOKUP(N196,'Sheet A'!N196:AF806,2,)</f>
        <v>0.46</v>
      </c>
      <c r="P196" s="38">
        <f>VLOOKUP(O196,'Sheet A'!O196:AG806,2,)</f>
        <v>0.52239999999999998</v>
      </c>
      <c r="Q196" s="38">
        <f>VLOOKUP(P196,'Sheet A'!P196:AH806,2,)</f>
        <v>0</v>
      </c>
      <c r="R196" s="38">
        <f>VLOOKUP(Q196,'Sheet A'!Q196:AI806,2,)</f>
        <v>19</v>
      </c>
      <c r="S196" s="38">
        <f>VLOOKUP(R196,'Sheet A'!R196:AJ806,2,)</f>
        <v>19</v>
      </c>
    </row>
    <row r="197" spans="1:19" x14ac:dyDescent="0.35">
      <c r="A197" s="37">
        <v>196</v>
      </c>
      <c r="B197" s="60">
        <f>VLOOKUP(A197,'Sheet A'!A197:S807,2,)</f>
        <v>40552</v>
      </c>
      <c r="C197" s="38">
        <f>VLOOKUP(B197,'Sheet A'!B197:T807,2,)</f>
        <v>1</v>
      </c>
      <c r="D197" s="38">
        <f>VLOOKUP(C197,'Sheet A'!C197:U807,2,)</f>
        <v>0</v>
      </c>
      <c r="E197" s="38">
        <f>VLOOKUP(D197,'Sheet A'!D197:V807,2,)</f>
        <v>1</v>
      </c>
      <c r="F197" s="38">
        <f>VLOOKUP(E197,'Sheet A'!E197:W807,2,)</f>
        <v>10</v>
      </c>
      <c r="G197" s="41" t="str">
        <f>VLOOKUP(F197,'Sheet A'!F197:X807,2,)</f>
        <v>Morning</v>
      </c>
      <c r="H197" s="38" t="b">
        <f>VLOOKUP(G197,'Sheet A'!G197:Y807,2,)</f>
        <v>0</v>
      </c>
      <c r="I197" s="38">
        <f>VLOOKUP(H197,'Sheet A'!H197:Z807,2,)</f>
        <v>0</v>
      </c>
      <c r="J197" s="41" t="str">
        <f>VLOOKUP(I197,'Sheet A'!I197:AA807,2,)</f>
        <v>Saturday</v>
      </c>
      <c r="K197" s="38">
        <f>VLOOKUP(J197,'Sheet A'!J197:AB807,2,)</f>
        <v>1</v>
      </c>
      <c r="L197" s="38">
        <f>VLOOKUP(K197,'Sheet A'!K197:AC807,2,)</f>
        <v>0.14000000000000001</v>
      </c>
      <c r="M197" s="70" t="str">
        <f>VLOOKUP(L197,'Sheet A'!L197:AD807,2,)</f>
        <v>Rainy</v>
      </c>
      <c r="N197" s="38">
        <f>VLOOKUP(M197,'Sheet A'!M197:AE807,2,)</f>
        <v>0.1061</v>
      </c>
      <c r="O197" s="38">
        <f>VLOOKUP(N197,'Sheet A'!N197:AF807,2,)</f>
        <v>0.43</v>
      </c>
      <c r="P197" s="38">
        <f>VLOOKUP(O197,'Sheet A'!O197:AG807,2,)</f>
        <v>0.3881</v>
      </c>
      <c r="Q197" s="38">
        <f>VLOOKUP(P197,'Sheet A'!P197:AH807,2,)</f>
        <v>0</v>
      </c>
      <c r="R197" s="38">
        <f>VLOOKUP(Q197,'Sheet A'!Q197:AI807,2,)</f>
        <v>49</v>
      </c>
      <c r="S197" s="38">
        <f>VLOOKUP(R197,'Sheet A'!R197:AJ807,2,)</f>
        <v>49</v>
      </c>
    </row>
    <row r="198" spans="1:19" x14ac:dyDescent="0.35">
      <c r="A198" s="37">
        <v>197</v>
      </c>
      <c r="B198" s="60">
        <f>VLOOKUP(A198,'Sheet A'!A198:S808,2,)</f>
        <v>40552</v>
      </c>
      <c r="C198" s="38">
        <f>VLOOKUP(B198,'Sheet A'!B198:T808,2,)</f>
        <v>1</v>
      </c>
      <c r="D198" s="38">
        <f>VLOOKUP(C198,'Sheet A'!C198:U808,2,)</f>
        <v>0</v>
      </c>
      <c r="E198" s="38">
        <f>VLOOKUP(D198,'Sheet A'!D198:V808,2,)</f>
        <v>1</v>
      </c>
      <c r="F198" s="38">
        <f>VLOOKUP(E198,'Sheet A'!E198:W808,2,)</f>
        <v>11</v>
      </c>
      <c r="G198" s="41" t="str">
        <f>VLOOKUP(F198,'Sheet A'!F198:X808,2,)</f>
        <v>Morning</v>
      </c>
      <c r="H198" s="38" t="b">
        <f>VLOOKUP(G198,'Sheet A'!G198:Y808,2,)</f>
        <v>0</v>
      </c>
      <c r="I198" s="38">
        <f>VLOOKUP(H198,'Sheet A'!H198:Z808,2,)</f>
        <v>0</v>
      </c>
      <c r="J198" s="41" t="str">
        <f>VLOOKUP(I198,'Sheet A'!I198:AA808,2,)</f>
        <v>Saturday</v>
      </c>
      <c r="K198" s="38">
        <f>VLOOKUP(J198,'Sheet A'!J198:AB808,2,)</f>
        <v>1</v>
      </c>
      <c r="L198" s="38">
        <f>VLOOKUP(K198,'Sheet A'!K198:AC808,2,)</f>
        <v>0.16</v>
      </c>
      <c r="M198" s="70" t="str">
        <f>VLOOKUP(L198,'Sheet A'!L198:AD808,2,)</f>
        <v>Rainy</v>
      </c>
      <c r="N198" s="38">
        <f>VLOOKUP(M198,'Sheet A'!M198:AE808,2,)</f>
        <v>0.1212</v>
      </c>
      <c r="O198" s="38">
        <f>VLOOKUP(N198,'Sheet A'!N198:AF808,2,)</f>
        <v>0.4</v>
      </c>
      <c r="P198" s="38">
        <f>VLOOKUP(O198,'Sheet A'!O198:AG808,2,)</f>
        <v>0.52239999999999998</v>
      </c>
      <c r="Q198" s="38">
        <f>VLOOKUP(P198,'Sheet A'!P198:AH808,2,)</f>
        <v>2</v>
      </c>
      <c r="R198" s="38">
        <f>VLOOKUP(Q198,'Sheet A'!Q198:AI808,2,)</f>
        <v>47</v>
      </c>
      <c r="S198" s="38">
        <f>VLOOKUP(R198,'Sheet A'!R198:AJ808,2,)</f>
        <v>49</v>
      </c>
    </row>
    <row r="199" spans="1:19" x14ac:dyDescent="0.35">
      <c r="A199" s="37">
        <v>198</v>
      </c>
      <c r="B199" s="60">
        <f>VLOOKUP(A199,'Sheet A'!A199:S809,2,)</f>
        <v>40552</v>
      </c>
      <c r="C199" s="38">
        <f>VLOOKUP(B199,'Sheet A'!B199:T809,2,)</f>
        <v>1</v>
      </c>
      <c r="D199" s="38">
        <f>VLOOKUP(C199,'Sheet A'!C199:U809,2,)</f>
        <v>0</v>
      </c>
      <c r="E199" s="38">
        <f>VLOOKUP(D199,'Sheet A'!D199:V809,2,)</f>
        <v>1</v>
      </c>
      <c r="F199" s="38">
        <f>VLOOKUP(E199,'Sheet A'!E199:W809,2,)</f>
        <v>12</v>
      </c>
      <c r="G199" s="41" t="str">
        <f>VLOOKUP(F199,'Sheet A'!F199:X809,2,)</f>
        <v>AfterNoon</v>
      </c>
      <c r="H199" s="38" t="b">
        <f>VLOOKUP(G199,'Sheet A'!G199:Y809,2,)</f>
        <v>0</v>
      </c>
      <c r="I199" s="38">
        <f>VLOOKUP(H199,'Sheet A'!H199:Z809,2,)</f>
        <v>0</v>
      </c>
      <c r="J199" s="41" t="str">
        <f>VLOOKUP(I199,'Sheet A'!I199:AA809,2,)</f>
        <v>Saturday</v>
      </c>
      <c r="K199" s="38">
        <f>VLOOKUP(J199,'Sheet A'!J199:AB809,2,)</f>
        <v>1</v>
      </c>
      <c r="L199" s="38">
        <f>VLOOKUP(K199,'Sheet A'!K199:AC809,2,)</f>
        <v>0.18</v>
      </c>
      <c r="M199" s="70" t="str">
        <f>VLOOKUP(L199,'Sheet A'!L199:AD809,2,)</f>
        <v>Rainy</v>
      </c>
      <c r="N199" s="38">
        <f>VLOOKUP(M199,'Sheet A'!M199:AE809,2,)</f>
        <v>0.13639999999999999</v>
      </c>
      <c r="O199" s="38">
        <f>VLOOKUP(N199,'Sheet A'!N199:AF809,2,)</f>
        <v>0.37</v>
      </c>
      <c r="P199" s="38">
        <f>VLOOKUP(O199,'Sheet A'!O199:AG809,2,)</f>
        <v>0.44779999999999998</v>
      </c>
      <c r="Q199" s="38">
        <f>VLOOKUP(P199,'Sheet A'!P199:AH809,2,)</f>
        <v>4</v>
      </c>
      <c r="R199" s="38">
        <f>VLOOKUP(Q199,'Sheet A'!Q199:AI809,2,)</f>
        <v>79</v>
      </c>
      <c r="S199" s="38">
        <f>VLOOKUP(R199,'Sheet A'!R199:AJ809,2,)</f>
        <v>83</v>
      </c>
    </row>
    <row r="200" spans="1:19" x14ac:dyDescent="0.35">
      <c r="A200" s="37">
        <v>199</v>
      </c>
      <c r="B200" s="60">
        <f>VLOOKUP(A200,'Sheet A'!A200:S810,2,)</f>
        <v>40552</v>
      </c>
      <c r="C200" s="38">
        <f>VLOOKUP(B200,'Sheet A'!B200:T810,2,)</f>
        <v>1</v>
      </c>
      <c r="D200" s="38">
        <f>VLOOKUP(C200,'Sheet A'!C200:U810,2,)</f>
        <v>0</v>
      </c>
      <c r="E200" s="38">
        <f>VLOOKUP(D200,'Sheet A'!D200:V810,2,)</f>
        <v>1</v>
      </c>
      <c r="F200" s="38">
        <f>VLOOKUP(E200,'Sheet A'!E200:W810,2,)</f>
        <v>13</v>
      </c>
      <c r="G200" s="41" t="str">
        <f>VLOOKUP(F200,'Sheet A'!F200:X810,2,)</f>
        <v>AfterNoon</v>
      </c>
      <c r="H200" s="38" t="b">
        <f>VLOOKUP(G200,'Sheet A'!G200:Y810,2,)</f>
        <v>0</v>
      </c>
      <c r="I200" s="38">
        <f>VLOOKUP(H200,'Sheet A'!H200:Z810,2,)</f>
        <v>0</v>
      </c>
      <c r="J200" s="41" t="str">
        <f>VLOOKUP(I200,'Sheet A'!I200:AA810,2,)</f>
        <v>Saturday</v>
      </c>
      <c r="K200" s="38">
        <f>VLOOKUP(J200,'Sheet A'!J200:AB810,2,)</f>
        <v>1</v>
      </c>
      <c r="L200" s="38">
        <f>VLOOKUP(K200,'Sheet A'!K200:AC810,2,)</f>
        <v>0.2</v>
      </c>
      <c r="M200" s="70" t="str">
        <f>VLOOKUP(L200,'Sheet A'!L200:AD810,2,)</f>
        <v>Rainy</v>
      </c>
      <c r="N200" s="38">
        <f>VLOOKUP(M200,'Sheet A'!M200:AE810,2,)</f>
        <v>0.16669999999999999</v>
      </c>
      <c r="O200" s="38">
        <f>VLOOKUP(N200,'Sheet A'!N200:AF810,2,)</f>
        <v>0.34</v>
      </c>
      <c r="P200" s="38">
        <f>VLOOKUP(O200,'Sheet A'!O200:AG810,2,)</f>
        <v>0.44779999999999998</v>
      </c>
      <c r="Q200" s="38">
        <f>VLOOKUP(P200,'Sheet A'!P200:AH810,2,)</f>
        <v>6</v>
      </c>
      <c r="R200" s="38">
        <f>VLOOKUP(Q200,'Sheet A'!Q200:AI810,2,)</f>
        <v>69</v>
      </c>
      <c r="S200" s="38">
        <f>VLOOKUP(R200,'Sheet A'!R200:AJ810,2,)</f>
        <v>75</v>
      </c>
    </row>
    <row r="201" spans="1:19" x14ac:dyDescent="0.35">
      <c r="A201" s="37">
        <v>200</v>
      </c>
      <c r="B201" s="60">
        <f>VLOOKUP(A201,'Sheet A'!A201:S811,2,)</f>
        <v>40552</v>
      </c>
      <c r="C201" s="38">
        <f>VLOOKUP(B201,'Sheet A'!B201:T811,2,)</f>
        <v>1</v>
      </c>
      <c r="D201" s="38">
        <f>VLOOKUP(C201,'Sheet A'!C201:U811,2,)</f>
        <v>0</v>
      </c>
      <c r="E201" s="38">
        <f>VLOOKUP(D201,'Sheet A'!D201:V811,2,)</f>
        <v>1</v>
      </c>
      <c r="F201" s="38">
        <f>VLOOKUP(E201,'Sheet A'!E201:W811,2,)</f>
        <v>14</v>
      </c>
      <c r="G201" s="41" t="str">
        <f>VLOOKUP(F201,'Sheet A'!F201:X811,2,)</f>
        <v>AfterNoon</v>
      </c>
      <c r="H201" s="38" t="b">
        <f>VLOOKUP(G201,'Sheet A'!G201:Y811,2,)</f>
        <v>0</v>
      </c>
      <c r="I201" s="38">
        <f>VLOOKUP(H201,'Sheet A'!H201:Z811,2,)</f>
        <v>0</v>
      </c>
      <c r="J201" s="41" t="str">
        <f>VLOOKUP(I201,'Sheet A'!I201:AA811,2,)</f>
        <v>Saturday</v>
      </c>
      <c r="K201" s="38">
        <f>VLOOKUP(J201,'Sheet A'!J201:AB811,2,)</f>
        <v>1</v>
      </c>
      <c r="L201" s="38">
        <f>VLOOKUP(K201,'Sheet A'!K201:AC811,2,)</f>
        <v>0.22</v>
      </c>
      <c r="M201" s="70" t="str">
        <f>VLOOKUP(L201,'Sheet A'!L201:AD811,2,)</f>
        <v>Cloudy</v>
      </c>
      <c r="N201" s="38">
        <f>VLOOKUP(M201,'Sheet A'!M201:AE811,2,)</f>
        <v>0.18179999999999999</v>
      </c>
      <c r="O201" s="38">
        <f>VLOOKUP(N201,'Sheet A'!N201:AF811,2,)</f>
        <v>0.32</v>
      </c>
      <c r="P201" s="38">
        <f>VLOOKUP(O201,'Sheet A'!O201:AG811,2,)</f>
        <v>0.4627</v>
      </c>
      <c r="Q201" s="38">
        <f>VLOOKUP(P201,'Sheet A'!P201:AH811,2,)</f>
        <v>8</v>
      </c>
      <c r="R201" s="38">
        <f>VLOOKUP(Q201,'Sheet A'!Q201:AI811,2,)</f>
        <v>64</v>
      </c>
      <c r="S201" s="38">
        <f>VLOOKUP(R201,'Sheet A'!R201:AJ811,2,)</f>
        <v>72</v>
      </c>
    </row>
    <row r="202" spans="1:19" x14ac:dyDescent="0.35">
      <c r="A202" s="37">
        <v>201</v>
      </c>
      <c r="B202" s="60">
        <f>VLOOKUP(A202,'Sheet A'!A202:S812,2,)</f>
        <v>40552</v>
      </c>
      <c r="C202" s="38">
        <f>VLOOKUP(B202,'Sheet A'!B202:T812,2,)</f>
        <v>1</v>
      </c>
      <c r="D202" s="38">
        <f>VLOOKUP(C202,'Sheet A'!C202:U812,2,)</f>
        <v>0</v>
      </c>
      <c r="E202" s="38">
        <f>VLOOKUP(D202,'Sheet A'!D202:V812,2,)</f>
        <v>1</v>
      </c>
      <c r="F202" s="38">
        <f>VLOOKUP(E202,'Sheet A'!E202:W812,2,)</f>
        <v>15</v>
      </c>
      <c r="G202" s="41" t="str">
        <f>VLOOKUP(F202,'Sheet A'!F202:X812,2,)</f>
        <v>AfterNoon</v>
      </c>
      <c r="H202" s="38" t="b">
        <f>VLOOKUP(G202,'Sheet A'!G202:Y812,2,)</f>
        <v>0</v>
      </c>
      <c r="I202" s="38">
        <f>VLOOKUP(H202,'Sheet A'!H202:Z812,2,)</f>
        <v>0</v>
      </c>
      <c r="J202" s="41" t="str">
        <f>VLOOKUP(I202,'Sheet A'!I202:AA812,2,)</f>
        <v>Saturday</v>
      </c>
      <c r="K202" s="38">
        <f>VLOOKUP(J202,'Sheet A'!J202:AB812,2,)</f>
        <v>1</v>
      </c>
      <c r="L202" s="38">
        <f>VLOOKUP(K202,'Sheet A'!K202:AC812,2,)</f>
        <v>0.22</v>
      </c>
      <c r="M202" s="70" t="str">
        <f>VLOOKUP(L202,'Sheet A'!L202:AD812,2,)</f>
        <v>Cloudy</v>
      </c>
      <c r="N202" s="38">
        <f>VLOOKUP(M202,'Sheet A'!M202:AE812,2,)</f>
        <v>0.19700000000000001</v>
      </c>
      <c r="O202" s="38">
        <f>VLOOKUP(N202,'Sheet A'!N202:AF812,2,)</f>
        <v>0.35</v>
      </c>
      <c r="P202" s="38">
        <f>VLOOKUP(O202,'Sheet A'!O202:AG812,2,)</f>
        <v>0.35820000000000002</v>
      </c>
      <c r="Q202" s="38">
        <f>VLOOKUP(P202,'Sheet A'!P202:AH812,2,)</f>
        <v>5</v>
      </c>
      <c r="R202" s="38">
        <f>VLOOKUP(Q202,'Sheet A'!Q202:AI812,2,)</f>
        <v>77</v>
      </c>
      <c r="S202" s="38">
        <f>VLOOKUP(R202,'Sheet A'!R202:AJ812,2,)</f>
        <v>82</v>
      </c>
    </row>
    <row r="203" spans="1:19" x14ac:dyDescent="0.35">
      <c r="A203" s="37">
        <v>202</v>
      </c>
      <c r="B203" s="60">
        <f>VLOOKUP(A203,'Sheet A'!A203:S813,2,)</f>
        <v>40552</v>
      </c>
      <c r="C203" s="38">
        <f>VLOOKUP(B203,'Sheet A'!B203:T813,2,)</f>
        <v>1</v>
      </c>
      <c r="D203" s="38">
        <f>VLOOKUP(C203,'Sheet A'!C203:U813,2,)</f>
        <v>0</v>
      </c>
      <c r="E203" s="38">
        <f>VLOOKUP(D203,'Sheet A'!D203:V813,2,)</f>
        <v>1</v>
      </c>
      <c r="F203" s="38">
        <f>VLOOKUP(E203,'Sheet A'!E203:W813,2,)</f>
        <v>16</v>
      </c>
      <c r="G203" s="41" t="str">
        <f>VLOOKUP(F203,'Sheet A'!F203:X813,2,)</f>
        <v>AfterNoon</v>
      </c>
      <c r="H203" s="38" t="b">
        <f>VLOOKUP(G203,'Sheet A'!G203:Y813,2,)</f>
        <v>0</v>
      </c>
      <c r="I203" s="38">
        <f>VLOOKUP(H203,'Sheet A'!H203:Z813,2,)</f>
        <v>0</v>
      </c>
      <c r="J203" s="41" t="str">
        <f>VLOOKUP(I203,'Sheet A'!I203:AA813,2,)</f>
        <v>Saturday</v>
      </c>
      <c r="K203" s="38">
        <f>VLOOKUP(J203,'Sheet A'!J203:AB813,2,)</f>
        <v>1</v>
      </c>
      <c r="L203" s="38">
        <f>VLOOKUP(K203,'Sheet A'!K203:AC813,2,)</f>
        <v>0.2</v>
      </c>
      <c r="M203" s="70" t="str">
        <f>VLOOKUP(L203,'Sheet A'!L203:AD813,2,)</f>
        <v>Rainy</v>
      </c>
      <c r="N203" s="38">
        <f>VLOOKUP(M203,'Sheet A'!M203:AE813,2,)</f>
        <v>0.16669999999999999</v>
      </c>
      <c r="O203" s="38">
        <f>VLOOKUP(N203,'Sheet A'!N203:AF813,2,)</f>
        <v>0.34</v>
      </c>
      <c r="P203" s="38">
        <f>VLOOKUP(O203,'Sheet A'!O203:AG813,2,)</f>
        <v>0.44779999999999998</v>
      </c>
      <c r="Q203" s="38">
        <f>VLOOKUP(P203,'Sheet A'!P203:AH813,2,)</f>
        <v>13</v>
      </c>
      <c r="R203" s="38">
        <f>VLOOKUP(Q203,'Sheet A'!Q203:AI813,2,)</f>
        <v>79</v>
      </c>
      <c r="S203" s="38">
        <f>VLOOKUP(R203,'Sheet A'!R203:AJ813,2,)</f>
        <v>92</v>
      </c>
    </row>
    <row r="204" spans="1:19" x14ac:dyDescent="0.35">
      <c r="A204" s="37">
        <v>203</v>
      </c>
      <c r="B204" s="60">
        <f>VLOOKUP(A204,'Sheet A'!A204:S814,2,)</f>
        <v>40552</v>
      </c>
      <c r="C204" s="38">
        <f>VLOOKUP(B204,'Sheet A'!B204:T814,2,)</f>
        <v>1</v>
      </c>
      <c r="D204" s="38">
        <f>VLOOKUP(C204,'Sheet A'!C204:U814,2,)</f>
        <v>0</v>
      </c>
      <c r="E204" s="38">
        <f>VLOOKUP(D204,'Sheet A'!D204:V814,2,)</f>
        <v>1</v>
      </c>
      <c r="F204" s="38">
        <f>VLOOKUP(E204,'Sheet A'!E204:W814,2,)</f>
        <v>17</v>
      </c>
      <c r="G204" s="41" t="str">
        <f>VLOOKUP(F204,'Sheet A'!F204:X814,2,)</f>
        <v>Evening</v>
      </c>
      <c r="H204" s="38" t="b">
        <f>VLOOKUP(G204,'Sheet A'!G204:Y814,2,)</f>
        <v>0</v>
      </c>
      <c r="I204" s="38">
        <f>VLOOKUP(H204,'Sheet A'!H204:Z814,2,)</f>
        <v>0</v>
      </c>
      <c r="J204" s="41" t="str">
        <f>VLOOKUP(I204,'Sheet A'!I204:AA814,2,)</f>
        <v>Saturday</v>
      </c>
      <c r="K204" s="38">
        <f>VLOOKUP(J204,'Sheet A'!J204:AB814,2,)</f>
        <v>1</v>
      </c>
      <c r="L204" s="38">
        <f>VLOOKUP(K204,'Sheet A'!K204:AC814,2,)</f>
        <v>0.18</v>
      </c>
      <c r="M204" s="70" t="str">
        <f>VLOOKUP(L204,'Sheet A'!L204:AD814,2,)</f>
        <v>Rainy</v>
      </c>
      <c r="N204" s="38">
        <f>VLOOKUP(M204,'Sheet A'!M204:AE814,2,)</f>
        <v>0.1515</v>
      </c>
      <c r="O204" s="38">
        <f>VLOOKUP(N204,'Sheet A'!N204:AF814,2,)</f>
        <v>0.37</v>
      </c>
      <c r="P204" s="38">
        <f>VLOOKUP(O204,'Sheet A'!O204:AG814,2,)</f>
        <v>0.3881</v>
      </c>
      <c r="Q204" s="38">
        <f>VLOOKUP(P204,'Sheet A'!P204:AH814,2,)</f>
        <v>3</v>
      </c>
      <c r="R204" s="38">
        <f>VLOOKUP(Q204,'Sheet A'!Q204:AI814,2,)</f>
        <v>59</v>
      </c>
      <c r="S204" s="38">
        <f>VLOOKUP(R204,'Sheet A'!R204:AJ814,2,)</f>
        <v>62</v>
      </c>
    </row>
    <row r="205" spans="1:19" x14ac:dyDescent="0.35">
      <c r="A205" s="37">
        <v>204</v>
      </c>
      <c r="B205" s="60">
        <f>VLOOKUP(A205,'Sheet A'!A205:S815,2,)</f>
        <v>40552</v>
      </c>
      <c r="C205" s="38">
        <f>VLOOKUP(B205,'Sheet A'!B205:T815,2,)</f>
        <v>1</v>
      </c>
      <c r="D205" s="38">
        <f>VLOOKUP(C205,'Sheet A'!C205:U815,2,)</f>
        <v>0</v>
      </c>
      <c r="E205" s="38">
        <f>VLOOKUP(D205,'Sheet A'!D205:V815,2,)</f>
        <v>1</v>
      </c>
      <c r="F205" s="38">
        <f>VLOOKUP(E205,'Sheet A'!E205:W815,2,)</f>
        <v>18</v>
      </c>
      <c r="G205" s="41" t="str">
        <f>VLOOKUP(F205,'Sheet A'!F205:X815,2,)</f>
        <v>Evening</v>
      </c>
      <c r="H205" s="38" t="b">
        <f>VLOOKUP(G205,'Sheet A'!G205:Y815,2,)</f>
        <v>0</v>
      </c>
      <c r="I205" s="38">
        <f>VLOOKUP(H205,'Sheet A'!H205:Z815,2,)</f>
        <v>0</v>
      </c>
      <c r="J205" s="41" t="str">
        <f>VLOOKUP(I205,'Sheet A'!I205:AA815,2,)</f>
        <v>Saturday</v>
      </c>
      <c r="K205" s="38">
        <f>VLOOKUP(J205,'Sheet A'!J205:AB815,2,)</f>
        <v>1</v>
      </c>
      <c r="L205" s="38">
        <f>VLOOKUP(K205,'Sheet A'!K205:AC815,2,)</f>
        <v>0.16</v>
      </c>
      <c r="M205" s="70" t="str">
        <f>VLOOKUP(L205,'Sheet A'!L205:AD815,2,)</f>
        <v>Rainy</v>
      </c>
      <c r="N205" s="38">
        <f>VLOOKUP(M205,'Sheet A'!M205:AE815,2,)</f>
        <v>0.13639999999999999</v>
      </c>
      <c r="O205" s="38">
        <f>VLOOKUP(N205,'Sheet A'!N205:AF815,2,)</f>
        <v>0.4</v>
      </c>
      <c r="P205" s="38">
        <f>VLOOKUP(O205,'Sheet A'!O205:AG815,2,)</f>
        <v>0.32840000000000003</v>
      </c>
      <c r="Q205" s="38">
        <f>VLOOKUP(P205,'Sheet A'!P205:AH815,2,)</f>
        <v>4</v>
      </c>
      <c r="R205" s="38">
        <f>VLOOKUP(Q205,'Sheet A'!Q205:AI815,2,)</f>
        <v>44</v>
      </c>
      <c r="S205" s="38">
        <f>VLOOKUP(R205,'Sheet A'!R205:AJ815,2,)</f>
        <v>48</v>
      </c>
    </row>
    <row r="206" spans="1:19" x14ac:dyDescent="0.35">
      <c r="A206" s="37">
        <v>205</v>
      </c>
      <c r="B206" s="60">
        <f>VLOOKUP(A206,'Sheet A'!A206:S816,2,)</f>
        <v>40552</v>
      </c>
      <c r="C206" s="38">
        <f>VLOOKUP(B206,'Sheet A'!B206:T816,2,)</f>
        <v>1</v>
      </c>
      <c r="D206" s="38">
        <f>VLOOKUP(C206,'Sheet A'!C206:U816,2,)</f>
        <v>0</v>
      </c>
      <c r="E206" s="38">
        <f>VLOOKUP(D206,'Sheet A'!D206:V816,2,)</f>
        <v>1</v>
      </c>
      <c r="F206" s="38">
        <f>VLOOKUP(E206,'Sheet A'!E206:W816,2,)</f>
        <v>19</v>
      </c>
      <c r="G206" s="41" t="str">
        <f>VLOOKUP(F206,'Sheet A'!F206:X816,2,)</f>
        <v>Evening</v>
      </c>
      <c r="H206" s="38" t="b">
        <f>VLOOKUP(G206,'Sheet A'!G206:Y816,2,)</f>
        <v>0</v>
      </c>
      <c r="I206" s="38">
        <f>VLOOKUP(H206,'Sheet A'!H206:Z816,2,)</f>
        <v>0</v>
      </c>
      <c r="J206" s="41" t="str">
        <f>VLOOKUP(I206,'Sheet A'!I206:AA816,2,)</f>
        <v>Saturday</v>
      </c>
      <c r="K206" s="38">
        <f>VLOOKUP(J206,'Sheet A'!J206:AB816,2,)</f>
        <v>1</v>
      </c>
      <c r="L206" s="38">
        <f>VLOOKUP(K206,'Sheet A'!K206:AC816,2,)</f>
        <v>0.16</v>
      </c>
      <c r="M206" s="70" t="str">
        <f>VLOOKUP(L206,'Sheet A'!L206:AD816,2,)</f>
        <v>Rainy</v>
      </c>
      <c r="N206" s="38">
        <f>VLOOKUP(M206,'Sheet A'!M206:AE816,2,)</f>
        <v>0.13639999999999999</v>
      </c>
      <c r="O206" s="38">
        <f>VLOOKUP(N206,'Sheet A'!N206:AF816,2,)</f>
        <v>0.43</v>
      </c>
      <c r="P206" s="38">
        <f>VLOOKUP(O206,'Sheet A'!O206:AG816,2,)</f>
        <v>0.32840000000000003</v>
      </c>
      <c r="Q206" s="38">
        <f>VLOOKUP(P206,'Sheet A'!P206:AH816,2,)</f>
        <v>1</v>
      </c>
      <c r="R206" s="38">
        <f>VLOOKUP(Q206,'Sheet A'!Q206:AI816,2,)</f>
        <v>40</v>
      </c>
      <c r="S206" s="38">
        <f>VLOOKUP(R206,'Sheet A'!R206:AJ816,2,)</f>
        <v>41</v>
      </c>
    </row>
    <row r="207" spans="1:19" x14ac:dyDescent="0.35">
      <c r="A207" s="37">
        <v>206</v>
      </c>
      <c r="B207" s="60">
        <f>VLOOKUP(A207,'Sheet A'!A207:S817,2,)</f>
        <v>40552</v>
      </c>
      <c r="C207" s="38">
        <f>VLOOKUP(B207,'Sheet A'!B207:T817,2,)</f>
        <v>1</v>
      </c>
      <c r="D207" s="38">
        <f>VLOOKUP(C207,'Sheet A'!C207:U817,2,)</f>
        <v>0</v>
      </c>
      <c r="E207" s="38">
        <f>VLOOKUP(D207,'Sheet A'!D207:V817,2,)</f>
        <v>1</v>
      </c>
      <c r="F207" s="38">
        <f>VLOOKUP(E207,'Sheet A'!E207:W817,2,)</f>
        <v>20</v>
      </c>
      <c r="G207" s="41" t="str">
        <f>VLOOKUP(F207,'Sheet A'!F207:X817,2,)</f>
        <v>Night</v>
      </c>
      <c r="H207" s="38" t="b">
        <f>VLOOKUP(G207,'Sheet A'!G207:Y817,2,)</f>
        <v>0</v>
      </c>
      <c r="I207" s="38">
        <f>VLOOKUP(H207,'Sheet A'!H207:Z817,2,)</f>
        <v>0</v>
      </c>
      <c r="J207" s="41" t="str">
        <f>VLOOKUP(I207,'Sheet A'!I207:AA817,2,)</f>
        <v>Saturday</v>
      </c>
      <c r="K207" s="38">
        <f>VLOOKUP(J207,'Sheet A'!J207:AB817,2,)</f>
        <v>1</v>
      </c>
      <c r="L207" s="38">
        <f>VLOOKUP(K207,'Sheet A'!K207:AC817,2,)</f>
        <v>0.14000000000000001</v>
      </c>
      <c r="M207" s="70" t="str">
        <f>VLOOKUP(L207,'Sheet A'!L207:AD817,2,)</f>
        <v>Rainy</v>
      </c>
      <c r="N207" s="38">
        <f>VLOOKUP(M207,'Sheet A'!M207:AE817,2,)</f>
        <v>0.1212</v>
      </c>
      <c r="O207" s="38">
        <f>VLOOKUP(N207,'Sheet A'!N207:AF817,2,)</f>
        <v>0.46</v>
      </c>
      <c r="P207" s="38">
        <f>VLOOKUP(O207,'Sheet A'!O207:AG817,2,)</f>
        <v>0.25369999999999998</v>
      </c>
      <c r="Q207" s="38">
        <f>VLOOKUP(P207,'Sheet A'!P207:AH817,2,)</f>
        <v>0</v>
      </c>
      <c r="R207" s="38">
        <f>VLOOKUP(Q207,'Sheet A'!Q207:AI817,2,)</f>
        <v>38</v>
      </c>
      <c r="S207" s="38">
        <f>VLOOKUP(R207,'Sheet A'!R207:AJ817,2,)</f>
        <v>38</v>
      </c>
    </row>
    <row r="208" spans="1:19" x14ac:dyDescent="0.35">
      <c r="A208" s="37">
        <v>207</v>
      </c>
      <c r="B208" s="60">
        <f>VLOOKUP(A208,'Sheet A'!A208:S818,2,)</f>
        <v>40552</v>
      </c>
      <c r="C208" s="38">
        <f>VLOOKUP(B208,'Sheet A'!B208:T818,2,)</f>
        <v>1</v>
      </c>
      <c r="D208" s="38">
        <f>VLOOKUP(C208,'Sheet A'!C208:U818,2,)</f>
        <v>0</v>
      </c>
      <c r="E208" s="38">
        <f>VLOOKUP(D208,'Sheet A'!D208:V818,2,)</f>
        <v>1</v>
      </c>
      <c r="F208" s="38">
        <f>VLOOKUP(E208,'Sheet A'!E208:W818,2,)</f>
        <v>21</v>
      </c>
      <c r="G208" s="41" t="str">
        <f>VLOOKUP(F208,'Sheet A'!F208:X818,2,)</f>
        <v>Night</v>
      </c>
      <c r="H208" s="38" t="b">
        <f>VLOOKUP(G208,'Sheet A'!G208:Y818,2,)</f>
        <v>0</v>
      </c>
      <c r="I208" s="38">
        <f>VLOOKUP(H208,'Sheet A'!H208:Z818,2,)</f>
        <v>0</v>
      </c>
      <c r="J208" s="41" t="str">
        <f>VLOOKUP(I208,'Sheet A'!I208:AA818,2,)</f>
        <v>Saturday</v>
      </c>
      <c r="K208" s="38">
        <f>VLOOKUP(J208,'Sheet A'!J208:AB818,2,)</f>
        <v>1</v>
      </c>
      <c r="L208" s="38">
        <f>VLOOKUP(K208,'Sheet A'!K208:AC818,2,)</f>
        <v>0.14000000000000001</v>
      </c>
      <c r="M208" s="70" t="str">
        <f>VLOOKUP(L208,'Sheet A'!L208:AD818,2,)</f>
        <v>Rainy</v>
      </c>
      <c r="N208" s="38">
        <f>VLOOKUP(M208,'Sheet A'!M208:AE818,2,)</f>
        <v>0.1061</v>
      </c>
      <c r="O208" s="38">
        <f>VLOOKUP(N208,'Sheet A'!N208:AF818,2,)</f>
        <v>0.46</v>
      </c>
      <c r="P208" s="38">
        <f>VLOOKUP(O208,'Sheet A'!O208:AG818,2,)</f>
        <v>0.41789999999999999</v>
      </c>
      <c r="Q208" s="38">
        <f>VLOOKUP(P208,'Sheet A'!P208:AH818,2,)</f>
        <v>1</v>
      </c>
      <c r="R208" s="38">
        <f>VLOOKUP(Q208,'Sheet A'!Q208:AI818,2,)</f>
        <v>19</v>
      </c>
      <c r="S208" s="38">
        <f>VLOOKUP(R208,'Sheet A'!R208:AJ818,2,)</f>
        <v>20</v>
      </c>
    </row>
    <row r="209" spans="1:19" x14ac:dyDescent="0.35">
      <c r="A209" s="37">
        <v>208</v>
      </c>
      <c r="B209" s="60">
        <f>VLOOKUP(A209,'Sheet A'!A209:S819,2,)</f>
        <v>40552</v>
      </c>
      <c r="C209" s="38">
        <f>VLOOKUP(B209,'Sheet A'!B209:T819,2,)</f>
        <v>1</v>
      </c>
      <c r="D209" s="38">
        <f>VLOOKUP(C209,'Sheet A'!C209:U819,2,)</f>
        <v>0</v>
      </c>
      <c r="E209" s="38">
        <f>VLOOKUP(D209,'Sheet A'!D209:V819,2,)</f>
        <v>1</v>
      </c>
      <c r="F209" s="38">
        <f>VLOOKUP(E209,'Sheet A'!E209:W819,2,)</f>
        <v>22</v>
      </c>
      <c r="G209" s="41" t="str">
        <f>VLOOKUP(F209,'Sheet A'!F209:X819,2,)</f>
        <v>Night</v>
      </c>
      <c r="H209" s="38" t="b">
        <f>VLOOKUP(G209,'Sheet A'!G209:Y819,2,)</f>
        <v>0</v>
      </c>
      <c r="I209" s="38">
        <f>VLOOKUP(H209,'Sheet A'!H209:Z819,2,)</f>
        <v>0</v>
      </c>
      <c r="J209" s="41" t="str">
        <f>VLOOKUP(I209,'Sheet A'!I209:AA819,2,)</f>
        <v>Saturday</v>
      </c>
      <c r="K209" s="38">
        <f>VLOOKUP(J209,'Sheet A'!J209:AB819,2,)</f>
        <v>1</v>
      </c>
      <c r="L209" s="38">
        <f>VLOOKUP(K209,'Sheet A'!K209:AC819,2,)</f>
        <v>0.14000000000000001</v>
      </c>
      <c r="M209" s="70" t="str">
        <f>VLOOKUP(L209,'Sheet A'!L209:AD819,2,)</f>
        <v>Rainy</v>
      </c>
      <c r="N209" s="38">
        <f>VLOOKUP(M209,'Sheet A'!M209:AE819,2,)</f>
        <v>0.1212</v>
      </c>
      <c r="O209" s="38">
        <f>VLOOKUP(N209,'Sheet A'!N209:AF819,2,)</f>
        <v>0.46</v>
      </c>
      <c r="P209" s="38">
        <f>VLOOKUP(O209,'Sheet A'!O209:AG819,2,)</f>
        <v>0.29849999999999999</v>
      </c>
      <c r="Q209" s="38">
        <f>VLOOKUP(P209,'Sheet A'!P209:AH819,2,)</f>
        <v>5</v>
      </c>
      <c r="R209" s="38">
        <f>VLOOKUP(Q209,'Sheet A'!Q209:AI819,2,)</f>
        <v>10</v>
      </c>
      <c r="S209" s="38">
        <f>VLOOKUP(R209,'Sheet A'!R209:AJ819,2,)</f>
        <v>15</v>
      </c>
    </row>
    <row r="210" spans="1:19" x14ac:dyDescent="0.35">
      <c r="A210" s="37">
        <v>209</v>
      </c>
      <c r="B210" s="60">
        <f>VLOOKUP(A210,'Sheet A'!A210:S820,2,)</f>
        <v>40552</v>
      </c>
      <c r="C210" s="38">
        <f>VLOOKUP(B210,'Sheet A'!B210:T820,2,)</f>
        <v>1</v>
      </c>
      <c r="D210" s="38">
        <f>VLOOKUP(C210,'Sheet A'!C210:U820,2,)</f>
        <v>0</v>
      </c>
      <c r="E210" s="38">
        <f>VLOOKUP(D210,'Sheet A'!D210:V820,2,)</f>
        <v>1</v>
      </c>
      <c r="F210" s="38">
        <f>VLOOKUP(E210,'Sheet A'!E210:W820,2,)</f>
        <v>23</v>
      </c>
      <c r="G210" s="41" t="str">
        <f>VLOOKUP(F210,'Sheet A'!F210:X820,2,)</f>
        <v>Night</v>
      </c>
      <c r="H210" s="38" t="b">
        <f>VLOOKUP(G210,'Sheet A'!G210:Y820,2,)</f>
        <v>0</v>
      </c>
      <c r="I210" s="38">
        <f>VLOOKUP(H210,'Sheet A'!H210:Z820,2,)</f>
        <v>0</v>
      </c>
      <c r="J210" s="41" t="str">
        <f>VLOOKUP(I210,'Sheet A'!I210:AA820,2,)</f>
        <v>Saturday</v>
      </c>
      <c r="K210" s="38">
        <f>VLOOKUP(J210,'Sheet A'!J210:AB820,2,)</f>
        <v>1</v>
      </c>
      <c r="L210" s="38">
        <f>VLOOKUP(K210,'Sheet A'!K210:AC820,2,)</f>
        <v>0.12</v>
      </c>
      <c r="M210" s="70" t="str">
        <f>VLOOKUP(L210,'Sheet A'!L210:AD820,2,)</f>
        <v>Rainy</v>
      </c>
      <c r="N210" s="38">
        <f>VLOOKUP(M210,'Sheet A'!M210:AE820,2,)</f>
        <v>0.13639999999999999</v>
      </c>
      <c r="O210" s="38">
        <f>VLOOKUP(N210,'Sheet A'!N210:AF820,2,)</f>
        <v>0.5</v>
      </c>
      <c r="P210" s="38">
        <f>VLOOKUP(O210,'Sheet A'!O210:AG820,2,)</f>
        <v>0.19400000000000001</v>
      </c>
      <c r="Q210" s="38">
        <f>VLOOKUP(P210,'Sheet A'!P210:AH820,2,)</f>
        <v>0</v>
      </c>
      <c r="R210" s="38">
        <f>VLOOKUP(Q210,'Sheet A'!Q210:AI820,2,)</f>
        <v>6</v>
      </c>
      <c r="S210" s="38">
        <f>VLOOKUP(R210,'Sheet A'!R210:AJ820,2,)</f>
        <v>6</v>
      </c>
    </row>
    <row r="211" spans="1:19" x14ac:dyDescent="0.35">
      <c r="A211" s="37">
        <v>210</v>
      </c>
      <c r="B211" s="60">
        <f>VLOOKUP(A211,'Sheet A'!A211:S821,2,)</f>
        <v>40553</v>
      </c>
      <c r="C211" s="38">
        <f>VLOOKUP(B211,'Sheet A'!B211:T821,2,)</f>
        <v>1</v>
      </c>
      <c r="D211" s="38">
        <f>VLOOKUP(C211,'Sheet A'!C211:U821,2,)</f>
        <v>0</v>
      </c>
      <c r="E211" s="38">
        <f>VLOOKUP(D211,'Sheet A'!D211:V821,2,)</f>
        <v>1</v>
      </c>
      <c r="F211" s="38">
        <f>VLOOKUP(E211,'Sheet A'!E211:W821,2,)</f>
        <v>0</v>
      </c>
      <c r="G211" s="41" t="str">
        <f>VLOOKUP(F211,'Sheet A'!F211:X821,2,)</f>
        <v>Night</v>
      </c>
      <c r="H211" s="38" t="b">
        <f>VLOOKUP(G211,'Sheet A'!G211:Y821,2,)</f>
        <v>0</v>
      </c>
      <c r="I211" s="38">
        <f>VLOOKUP(H211,'Sheet A'!H211:Z821,2,)</f>
        <v>1</v>
      </c>
      <c r="J211" s="41" t="str">
        <f>VLOOKUP(I211,'Sheet A'!I211:AA821,2,)</f>
        <v>Sunday</v>
      </c>
      <c r="K211" s="38">
        <f>VLOOKUP(J211,'Sheet A'!J211:AB821,2,)</f>
        <v>1</v>
      </c>
      <c r="L211" s="38">
        <f>VLOOKUP(K211,'Sheet A'!K211:AC821,2,)</f>
        <v>0.12</v>
      </c>
      <c r="M211" s="70" t="str">
        <f>VLOOKUP(L211,'Sheet A'!L211:AD821,2,)</f>
        <v>Rainy</v>
      </c>
      <c r="N211" s="38">
        <f>VLOOKUP(M211,'Sheet A'!M211:AE821,2,)</f>
        <v>0.1212</v>
      </c>
      <c r="O211" s="38">
        <f>VLOOKUP(N211,'Sheet A'!N211:AF821,2,)</f>
        <v>0.5</v>
      </c>
      <c r="P211" s="38">
        <f>VLOOKUP(O211,'Sheet A'!O211:AG821,2,)</f>
        <v>0.28360000000000002</v>
      </c>
      <c r="Q211" s="38">
        <f>VLOOKUP(P211,'Sheet A'!P211:AH821,2,)</f>
        <v>2</v>
      </c>
      <c r="R211" s="38">
        <f>VLOOKUP(Q211,'Sheet A'!Q211:AI821,2,)</f>
        <v>3</v>
      </c>
      <c r="S211" s="38">
        <f>VLOOKUP(R211,'Sheet A'!R211:AJ821,2,)</f>
        <v>5</v>
      </c>
    </row>
    <row r="212" spans="1:19" x14ac:dyDescent="0.35">
      <c r="A212" s="37">
        <v>211</v>
      </c>
      <c r="B212" s="60">
        <f>VLOOKUP(A212,'Sheet A'!A212:S822,2,)</f>
        <v>40553</v>
      </c>
      <c r="C212" s="38">
        <f>VLOOKUP(B212,'Sheet A'!B212:T822,2,)</f>
        <v>1</v>
      </c>
      <c r="D212" s="38">
        <f>VLOOKUP(C212,'Sheet A'!C212:U822,2,)</f>
        <v>0</v>
      </c>
      <c r="E212" s="38">
        <f>VLOOKUP(D212,'Sheet A'!D212:V822,2,)</f>
        <v>1</v>
      </c>
      <c r="F212" s="38">
        <f>VLOOKUP(E212,'Sheet A'!E212:W822,2,)</f>
        <v>1</v>
      </c>
      <c r="G212" s="41" t="str">
        <f>VLOOKUP(F212,'Sheet A'!F212:X822,2,)</f>
        <v>Night</v>
      </c>
      <c r="H212" s="38" t="b">
        <f>VLOOKUP(G212,'Sheet A'!G212:Y822,2,)</f>
        <v>0</v>
      </c>
      <c r="I212" s="38">
        <f>VLOOKUP(H212,'Sheet A'!H212:Z822,2,)</f>
        <v>1</v>
      </c>
      <c r="J212" s="41" t="str">
        <f>VLOOKUP(I212,'Sheet A'!I212:AA822,2,)</f>
        <v>Sunday</v>
      </c>
      <c r="K212" s="38">
        <f>VLOOKUP(J212,'Sheet A'!J212:AB822,2,)</f>
        <v>1</v>
      </c>
      <c r="L212" s="38">
        <f>VLOOKUP(K212,'Sheet A'!K212:AC822,2,)</f>
        <v>0.12</v>
      </c>
      <c r="M212" s="70" t="str">
        <f>VLOOKUP(L212,'Sheet A'!L212:AD822,2,)</f>
        <v>Rainy</v>
      </c>
      <c r="N212" s="38">
        <f>VLOOKUP(M212,'Sheet A'!M212:AE822,2,)</f>
        <v>0.1212</v>
      </c>
      <c r="O212" s="38">
        <f>VLOOKUP(N212,'Sheet A'!N212:AF822,2,)</f>
        <v>0.5</v>
      </c>
      <c r="P212" s="38">
        <f>VLOOKUP(O212,'Sheet A'!O212:AG822,2,)</f>
        <v>0.28360000000000002</v>
      </c>
      <c r="Q212" s="38">
        <f>VLOOKUP(P212,'Sheet A'!P212:AH822,2,)</f>
        <v>1</v>
      </c>
      <c r="R212" s="38">
        <f>VLOOKUP(Q212,'Sheet A'!Q212:AI822,2,)</f>
        <v>0</v>
      </c>
      <c r="S212" s="38">
        <f>VLOOKUP(R212,'Sheet A'!R212:AJ822,2,)</f>
        <v>1</v>
      </c>
    </row>
    <row r="213" spans="1:19" x14ac:dyDescent="0.35">
      <c r="A213" s="37">
        <v>212</v>
      </c>
      <c r="B213" s="60">
        <f>VLOOKUP(A213,'Sheet A'!A213:S823,2,)</f>
        <v>40553</v>
      </c>
      <c r="C213" s="38">
        <f>VLOOKUP(B213,'Sheet A'!B213:T823,2,)</f>
        <v>1</v>
      </c>
      <c r="D213" s="38">
        <f>VLOOKUP(C213,'Sheet A'!C213:U823,2,)</f>
        <v>0</v>
      </c>
      <c r="E213" s="38">
        <f>VLOOKUP(D213,'Sheet A'!D213:V823,2,)</f>
        <v>1</v>
      </c>
      <c r="F213" s="38">
        <f>VLOOKUP(E213,'Sheet A'!E213:W823,2,)</f>
        <v>2</v>
      </c>
      <c r="G213" s="41" t="str">
        <f>VLOOKUP(F213,'Sheet A'!F213:X823,2,)</f>
        <v>Night</v>
      </c>
      <c r="H213" s="38" t="b">
        <f>VLOOKUP(G213,'Sheet A'!G213:Y823,2,)</f>
        <v>0</v>
      </c>
      <c r="I213" s="38">
        <f>VLOOKUP(H213,'Sheet A'!H213:Z823,2,)</f>
        <v>1</v>
      </c>
      <c r="J213" s="41" t="str">
        <f>VLOOKUP(I213,'Sheet A'!I213:AA823,2,)</f>
        <v>Sunday</v>
      </c>
      <c r="K213" s="38">
        <f>VLOOKUP(J213,'Sheet A'!J213:AB823,2,)</f>
        <v>1</v>
      </c>
      <c r="L213" s="38">
        <f>VLOOKUP(K213,'Sheet A'!K213:AC823,2,)</f>
        <v>0.12</v>
      </c>
      <c r="M213" s="70" t="str">
        <f>VLOOKUP(L213,'Sheet A'!L213:AD823,2,)</f>
        <v>Rainy</v>
      </c>
      <c r="N213" s="38">
        <f>VLOOKUP(M213,'Sheet A'!M213:AE823,2,)</f>
        <v>0.1212</v>
      </c>
      <c r="O213" s="38">
        <f>VLOOKUP(N213,'Sheet A'!N213:AF823,2,)</f>
        <v>0.5</v>
      </c>
      <c r="P213" s="38">
        <f>VLOOKUP(O213,'Sheet A'!O213:AG823,2,)</f>
        <v>0.22389999999999999</v>
      </c>
      <c r="Q213" s="38">
        <f>VLOOKUP(P213,'Sheet A'!P213:AH823,2,)</f>
        <v>0</v>
      </c>
      <c r="R213" s="38">
        <f>VLOOKUP(Q213,'Sheet A'!Q213:AI823,2,)</f>
        <v>3</v>
      </c>
      <c r="S213" s="38">
        <f>VLOOKUP(R213,'Sheet A'!R213:AJ823,2,)</f>
        <v>3</v>
      </c>
    </row>
    <row r="214" spans="1:19" x14ac:dyDescent="0.35">
      <c r="A214" s="37">
        <v>213</v>
      </c>
      <c r="B214" s="60">
        <f>VLOOKUP(A214,'Sheet A'!A214:S824,2,)</f>
        <v>40553</v>
      </c>
      <c r="C214" s="38">
        <f>VLOOKUP(B214,'Sheet A'!B214:T824,2,)</f>
        <v>1</v>
      </c>
      <c r="D214" s="38">
        <f>VLOOKUP(C214,'Sheet A'!C214:U824,2,)</f>
        <v>0</v>
      </c>
      <c r="E214" s="38">
        <f>VLOOKUP(D214,'Sheet A'!D214:V824,2,)</f>
        <v>1</v>
      </c>
      <c r="F214" s="38">
        <f>VLOOKUP(E214,'Sheet A'!E214:W824,2,)</f>
        <v>3</v>
      </c>
      <c r="G214" s="41" t="str">
        <f>VLOOKUP(F214,'Sheet A'!F214:X824,2,)</f>
        <v>Night</v>
      </c>
      <c r="H214" s="38" t="b">
        <f>VLOOKUP(G214,'Sheet A'!G214:Y824,2,)</f>
        <v>0</v>
      </c>
      <c r="I214" s="38">
        <f>VLOOKUP(H214,'Sheet A'!H214:Z824,2,)</f>
        <v>1</v>
      </c>
      <c r="J214" s="41" t="str">
        <f>VLOOKUP(I214,'Sheet A'!I214:AA824,2,)</f>
        <v>Sunday</v>
      </c>
      <c r="K214" s="38">
        <f>VLOOKUP(J214,'Sheet A'!J214:AB824,2,)</f>
        <v>1</v>
      </c>
      <c r="L214" s="38">
        <f>VLOOKUP(K214,'Sheet A'!K214:AC824,2,)</f>
        <v>0.12</v>
      </c>
      <c r="M214" s="70" t="str">
        <f>VLOOKUP(L214,'Sheet A'!L214:AD824,2,)</f>
        <v>Rainy</v>
      </c>
      <c r="N214" s="38">
        <f>VLOOKUP(M214,'Sheet A'!M214:AE824,2,)</f>
        <v>0.1212</v>
      </c>
      <c r="O214" s="38">
        <f>VLOOKUP(N214,'Sheet A'!N214:AF824,2,)</f>
        <v>0.5</v>
      </c>
      <c r="P214" s="38">
        <f>VLOOKUP(O214,'Sheet A'!O214:AG824,2,)</f>
        <v>0.22389999999999999</v>
      </c>
      <c r="Q214" s="38">
        <f>VLOOKUP(P214,'Sheet A'!P214:AH824,2,)</f>
        <v>0</v>
      </c>
      <c r="R214" s="38">
        <f>VLOOKUP(Q214,'Sheet A'!Q214:AI824,2,)</f>
        <v>1</v>
      </c>
      <c r="S214" s="38">
        <f>VLOOKUP(R214,'Sheet A'!R214:AJ824,2,)</f>
        <v>1</v>
      </c>
    </row>
    <row r="215" spans="1:19" x14ac:dyDescent="0.35">
      <c r="A215" s="37">
        <v>214</v>
      </c>
      <c r="B215" s="60">
        <f>VLOOKUP(A215,'Sheet A'!A215:S825,2,)</f>
        <v>40553</v>
      </c>
      <c r="C215" s="38">
        <f>VLOOKUP(B215,'Sheet A'!B215:T825,2,)</f>
        <v>1</v>
      </c>
      <c r="D215" s="38">
        <f>VLOOKUP(C215,'Sheet A'!C215:U825,2,)</f>
        <v>0</v>
      </c>
      <c r="E215" s="38">
        <f>VLOOKUP(D215,'Sheet A'!D215:V825,2,)</f>
        <v>1</v>
      </c>
      <c r="F215" s="38">
        <f>VLOOKUP(E215,'Sheet A'!E215:W825,2,)</f>
        <v>4</v>
      </c>
      <c r="G215" s="41" t="str">
        <f>VLOOKUP(F215,'Sheet A'!F215:X825,2,)</f>
        <v>Night</v>
      </c>
      <c r="H215" s="38" t="b">
        <f>VLOOKUP(G215,'Sheet A'!G215:Y825,2,)</f>
        <v>0</v>
      </c>
      <c r="I215" s="38">
        <f>VLOOKUP(H215,'Sheet A'!H215:Z825,2,)</f>
        <v>1</v>
      </c>
      <c r="J215" s="41" t="str">
        <f>VLOOKUP(I215,'Sheet A'!I215:AA825,2,)</f>
        <v>Sunday</v>
      </c>
      <c r="K215" s="38">
        <f>VLOOKUP(J215,'Sheet A'!J215:AB825,2,)</f>
        <v>1</v>
      </c>
      <c r="L215" s="38">
        <f>VLOOKUP(K215,'Sheet A'!K215:AC825,2,)</f>
        <v>0.1</v>
      </c>
      <c r="M215" s="70" t="str">
        <f>VLOOKUP(L215,'Sheet A'!L215:AD825,2,)</f>
        <v>Stromy</v>
      </c>
      <c r="N215" s="38">
        <f>VLOOKUP(M215,'Sheet A'!M215:AE825,2,)</f>
        <v>0.1212</v>
      </c>
      <c r="O215" s="38">
        <f>VLOOKUP(N215,'Sheet A'!N215:AF825,2,)</f>
        <v>0.54</v>
      </c>
      <c r="P215" s="38">
        <f>VLOOKUP(O215,'Sheet A'!O215:AG825,2,)</f>
        <v>0.1343</v>
      </c>
      <c r="Q215" s="38">
        <f>VLOOKUP(P215,'Sheet A'!P215:AH825,2,)</f>
        <v>1</v>
      </c>
      <c r="R215" s="38">
        <f>VLOOKUP(Q215,'Sheet A'!Q215:AI825,2,)</f>
        <v>2</v>
      </c>
      <c r="S215" s="38">
        <f>VLOOKUP(R215,'Sheet A'!R215:AJ825,2,)</f>
        <v>3</v>
      </c>
    </row>
    <row r="216" spans="1:19" x14ac:dyDescent="0.35">
      <c r="A216" s="37">
        <v>215</v>
      </c>
      <c r="B216" s="60">
        <f>VLOOKUP(A216,'Sheet A'!A216:S826,2,)</f>
        <v>40553</v>
      </c>
      <c r="C216" s="38">
        <f>VLOOKUP(B216,'Sheet A'!B216:T826,2,)</f>
        <v>1</v>
      </c>
      <c r="D216" s="38">
        <f>VLOOKUP(C216,'Sheet A'!C216:U826,2,)</f>
        <v>0</v>
      </c>
      <c r="E216" s="38">
        <f>VLOOKUP(D216,'Sheet A'!D216:V826,2,)</f>
        <v>1</v>
      </c>
      <c r="F216" s="38">
        <f>VLOOKUP(E216,'Sheet A'!E216:W826,2,)</f>
        <v>5</v>
      </c>
      <c r="G216" s="41" t="str">
        <f>VLOOKUP(F216,'Sheet A'!F216:X826,2,)</f>
        <v>Morning</v>
      </c>
      <c r="H216" s="38" t="b">
        <f>VLOOKUP(G216,'Sheet A'!G216:Y826,2,)</f>
        <v>0</v>
      </c>
      <c r="I216" s="38">
        <f>VLOOKUP(H216,'Sheet A'!H216:Z826,2,)</f>
        <v>1</v>
      </c>
      <c r="J216" s="41" t="str">
        <f>VLOOKUP(I216,'Sheet A'!I216:AA826,2,)</f>
        <v>Sunday</v>
      </c>
      <c r="K216" s="38">
        <f>VLOOKUP(J216,'Sheet A'!J216:AB826,2,)</f>
        <v>1</v>
      </c>
      <c r="L216" s="38">
        <f>VLOOKUP(K216,'Sheet A'!K216:AC826,2,)</f>
        <v>0.1</v>
      </c>
      <c r="M216" s="70" t="str">
        <f>VLOOKUP(L216,'Sheet A'!L216:AD826,2,)</f>
        <v>Stromy</v>
      </c>
      <c r="N216" s="38">
        <f>VLOOKUP(M216,'Sheet A'!M216:AE826,2,)</f>
        <v>0.1061</v>
      </c>
      <c r="O216" s="38">
        <f>VLOOKUP(N216,'Sheet A'!N216:AF826,2,)</f>
        <v>0.54</v>
      </c>
      <c r="P216" s="38">
        <f>VLOOKUP(O216,'Sheet A'!O216:AG826,2,)</f>
        <v>0.25369999999999998</v>
      </c>
      <c r="Q216" s="38">
        <f>VLOOKUP(P216,'Sheet A'!P216:AH826,2,)</f>
        <v>0</v>
      </c>
      <c r="R216" s="38">
        <f>VLOOKUP(Q216,'Sheet A'!Q216:AI826,2,)</f>
        <v>3</v>
      </c>
      <c r="S216" s="38">
        <f>VLOOKUP(R216,'Sheet A'!R216:AJ826,2,)</f>
        <v>3</v>
      </c>
    </row>
    <row r="217" spans="1:19" x14ac:dyDescent="0.35">
      <c r="A217" s="37">
        <v>216</v>
      </c>
      <c r="B217" s="60">
        <f>VLOOKUP(A217,'Sheet A'!A217:S827,2,)</f>
        <v>40553</v>
      </c>
      <c r="C217" s="38">
        <f>VLOOKUP(B217,'Sheet A'!B217:T827,2,)</f>
        <v>1</v>
      </c>
      <c r="D217" s="38">
        <f>VLOOKUP(C217,'Sheet A'!C217:U827,2,)</f>
        <v>0</v>
      </c>
      <c r="E217" s="38">
        <f>VLOOKUP(D217,'Sheet A'!D217:V827,2,)</f>
        <v>1</v>
      </c>
      <c r="F217" s="38">
        <f>VLOOKUP(E217,'Sheet A'!E217:W827,2,)</f>
        <v>6</v>
      </c>
      <c r="G217" s="41" t="str">
        <f>VLOOKUP(F217,'Sheet A'!F217:X827,2,)</f>
        <v>Morning</v>
      </c>
      <c r="H217" s="38" t="b">
        <f>VLOOKUP(G217,'Sheet A'!G217:Y827,2,)</f>
        <v>0</v>
      </c>
      <c r="I217" s="38">
        <f>VLOOKUP(H217,'Sheet A'!H217:Z827,2,)</f>
        <v>1</v>
      </c>
      <c r="J217" s="41" t="str">
        <f>VLOOKUP(I217,'Sheet A'!I217:AA827,2,)</f>
        <v>Sunday</v>
      </c>
      <c r="K217" s="38">
        <f>VLOOKUP(J217,'Sheet A'!J217:AB827,2,)</f>
        <v>1</v>
      </c>
      <c r="L217" s="38">
        <f>VLOOKUP(K217,'Sheet A'!K217:AC827,2,)</f>
        <v>0.12</v>
      </c>
      <c r="M217" s="70" t="str">
        <f>VLOOKUP(L217,'Sheet A'!L217:AD827,2,)</f>
        <v>Rainy</v>
      </c>
      <c r="N217" s="38">
        <f>VLOOKUP(M217,'Sheet A'!M217:AE827,2,)</f>
        <v>0.1212</v>
      </c>
      <c r="O217" s="38">
        <f>VLOOKUP(N217,'Sheet A'!N217:AF827,2,)</f>
        <v>0.5</v>
      </c>
      <c r="P217" s="38">
        <f>VLOOKUP(O217,'Sheet A'!O217:AG827,2,)</f>
        <v>0.28360000000000002</v>
      </c>
      <c r="Q217" s="38">
        <f>VLOOKUP(P217,'Sheet A'!P217:AH827,2,)</f>
        <v>0</v>
      </c>
      <c r="R217" s="38">
        <f>VLOOKUP(Q217,'Sheet A'!Q217:AI827,2,)</f>
        <v>31</v>
      </c>
      <c r="S217" s="38">
        <f>VLOOKUP(R217,'Sheet A'!R217:AJ827,2,)</f>
        <v>31</v>
      </c>
    </row>
    <row r="218" spans="1:19" x14ac:dyDescent="0.35">
      <c r="A218" s="37">
        <v>217</v>
      </c>
      <c r="B218" s="60">
        <f>VLOOKUP(A218,'Sheet A'!A218:S828,2,)</f>
        <v>40553</v>
      </c>
      <c r="C218" s="38">
        <f>VLOOKUP(B218,'Sheet A'!B218:T828,2,)</f>
        <v>1</v>
      </c>
      <c r="D218" s="38">
        <f>VLOOKUP(C218,'Sheet A'!C218:U828,2,)</f>
        <v>0</v>
      </c>
      <c r="E218" s="38">
        <f>VLOOKUP(D218,'Sheet A'!D218:V828,2,)</f>
        <v>1</v>
      </c>
      <c r="F218" s="38">
        <f>VLOOKUP(E218,'Sheet A'!E218:W828,2,)</f>
        <v>7</v>
      </c>
      <c r="G218" s="41" t="str">
        <f>VLOOKUP(F218,'Sheet A'!F218:X828,2,)</f>
        <v>Morning</v>
      </c>
      <c r="H218" s="38" t="b">
        <f>VLOOKUP(G218,'Sheet A'!G218:Y828,2,)</f>
        <v>0</v>
      </c>
      <c r="I218" s="38">
        <f>VLOOKUP(H218,'Sheet A'!H218:Z828,2,)</f>
        <v>1</v>
      </c>
      <c r="J218" s="41" t="str">
        <f>VLOOKUP(I218,'Sheet A'!I218:AA828,2,)</f>
        <v>Sunday</v>
      </c>
      <c r="K218" s="38">
        <f>VLOOKUP(J218,'Sheet A'!J218:AB828,2,)</f>
        <v>1</v>
      </c>
      <c r="L218" s="38">
        <f>VLOOKUP(K218,'Sheet A'!K218:AC828,2,)</f>
        <v>0.12</v>
      </c>
      <c r="M218" s="70" t="str">
        <f>VLOOKUP(L218,'Sheet A'!L218:AD828,2,)</f>
        <v>Rainy</v>
      </c>
      <c r="N218" s="38">
        <f>VLOOKUP(M218,'Sheet A'!M218:AE828,2,)</f>
        <v>0.1212</v>
      </c>
      <c r="O218" s="38">
        <f>VLOOKUP(N218,'Sheet A'!N218:AF828,2,)</f>
        <v>0.5</v>
      </c>
      <c r="P218" s="38">
        <f>VLOOKUP(O218,'Sheet A'!O218:AG828,2,)</f>
        <v>0.22389999999999999</v>
      </c>
      <c r="Q218" s="38">
        <f>VLOOKUP(P218,'Sheet A'!P218:AH828,2,)</f>
        <v>2</v>
      </c>
      <c r="R218" s="38">
        <f>VLOOKUP(Q218,'Sheet A'!Q218:AI828,2,)</f>
        <v>75</v>
      </c>
      <c r="S218" s="38">
        <f>VLOOKUP(R218,'Sheet A'!R218:AJ828,2,)</f>
        <v>77</v>
      </c>
    </row>
    <row r="219" spans="1:19" x14ac:dyDescent="0.35">
      <c r="A219" s="37">
        <v>218</v>
      </c>
      <c r="B219" s="60">
        <f>VLOOKUP(A219,'Sheet A'!A219:S829,2,)</f>
        <v>40553</v>
      </c>
      <c r="C219" s="38">
        <f>VLOOKUP(B219,'Sheet A'!B219:T829,2,)</f>
        <v>1</v>
      </c>
      <c r="D219" s="38">
        <f>VLOOKUP(C219,'Sheet A'!C219:U829,2,)</f>
        <v>0</v>
      </c>
      <c r="E219" s="38">
        <f>VLOOKUP(D219,'Sheet A'!D219:V829,2,)</f>
        <v>1</v>
      </c>
      <c r="F219" s="38">
        <f>VLOOKUP(E219,'Sheet A'!E219:W829,2,)</f>
        <v>8</v>
      </c>
      <c r="G219" s="41" t="str">
        <f>VLOOKUP(F219,'Sheet A'!F219:X829,2,)</f>
        <v>Morning</v>
      </c>
      <c r="H219" s="38" t="b">
        <f>VLOOKUP(G219,'Sheet A'!G219:Y829,2,)</f>
        <v>0</v>
      </c>
      <c r="I219" s="38">
        <f>VLOOKUP(H219,'Sheet A'!H219:Z829,2,)</f>
        <v>1</v>
      </c>
      <c r="J219" s="41" t="str">
        <f>VLOOKUP(I219,'Sheet A'!I219:AA829,2,)</f>
        <v>Sunday</v>
      </c>
      <c r="K219" s="38">
        <f>VLOOKUP(J219,'Sheet A'!J219:AB829,2,)</f>
        <v>2</v>
      </c>
      <c r="L219" s="38">
        <f>VLOOKUP(K219,'Sheet A'!K219:AC829,2,)</f>
        <v>0.12</v>
      </c>
      <c r="M219" s="70" t="str">
        <f>VLOOKUP(L219,'Sheet A'!L219:AD829,2,)</f>
        <v>Rainy</v>
      </c>
      <c r="N219" s="38">
        <f>VLOOKUP(M219,'Sheet A'!M219:AE829,2,)</f>
        <v>0.1212</v>
      </c>
      <c r="O219" s="38">
        <f>VLOOKUP(N219,'Sheet A'!N219:AF829,2,)</f>
        <v>0.5</v>
      </c>
      <c r="P219" s="38">
        <f>VLOOKUP(O219,'Sheet A'!O219:AG829,2,)</f>
        <v>0.28360000000000002</v>
      </c>
      <c r="Q219" s="38">
        <f>VLOOKUP(P219,'Sheet A'!P219:AH829,2,)</f>
        <v>4</v>
      </c>
      <c r="R219" s="38">
        <f>VLOOKUP(Q219,'Sheet A'!Q219:AI829,2,)</f>
        <v>184</v>
      </c>
      <c r="S219" s="38">
        <f>VLOOKUP(R219,'Sheet A'!R219:AJ829,2,)</f>
        <v>188</v>
      </c>
    </row>
    <row r="220" spans="1:19" x14ac:dyDescent="0.35">
      <c r="A220" s="37">
        <v>219</v>
      </c>
      <c r="B220" s="60">
        <f>VLOOKUP(A220,'Sheet A'!A220:S830,2,)</f>
        <v>40553</v>
      </c>
      <c r="C220" s="38">
        <f>VLOOKUP(B220,'Sheet A'!B220:T830,2,)</f>
        <v>1</v>
      </c>
      <c r="D220" s="38">
        <f>VLOOKUP(C220,'Sheet A'!C220:U830,2,)</f>
        <v>0</v>
      </c>
      <c r="E220" s="38">
        <f>VLOOKUP(D220,'Sheet A'!D220:V830,2,)</f>
        <v>1</v>
      </c>
      <c r="F220" s="38">
        <f>VLOOKUP(E220,'Sheet A'!E220:W830,2,)</f>
        <v>9</v>
      </c>
      <c r="G220" s="41" t="str">
        <f>VLOOKUP(F220,'Sheet A'!F220:X830,2,)</f>
        <v>Morning</v>
      </c>
      <c r="H220" s="38" t="b">
        <f>VLOOKUP(G220,'Sheet A'!G220:Y830,2,)</f>
        <v>0</v>
      </c>
      <c r="I220" s="38">
        <f>VLOOKUP(H220,'Sheet A'!H220:Z830,2,)</f>
        <v>1</v>
      </c>
      <c r="J220" s="41" t="str">
        <f>VLOOKUP(I220,'Sheet A'!I220:AA830,2,)</f>
        <v>Sunday</v>
      </c>
      <c r="K220" s="38">
        <f>VLOOKUP(J220,'Sheet A'!J220:AB830,2,)</f>
        <v>2</v>
      </c>
      <c r="L220" s="38">
        <f>VLOOKUP(K220,'Sheet A'!K220:AC830,2,)</f>
        <v>0.14000000000000001</v>
      </c>
      <c r="M220" s="70" t="str">
        <f>VLOOKUP(L220,'Sheet A'!L220:AD830,2,)</f>
        <v>Rainy</v>
      </c>
      <c r="N220" s="38">
        <f>VLOOKUP(M220,'Sheet A'!M220:AE830,2,)</f>
        <v>0.1212</v>
      </c>
      <c r="O220" s="38">
        <f>VLOOKUP(N220,'Sheet A'!N220:AF830,2,)</f>
        <v>0.5</v>
      </c>
      <c r="P220" s="38">
        <f>VLOOKUP(O220,'Sheet A'!O220:AG830,2,)</f>
        <v>0.25369999999999998</v>
      </c>
      <c r="Q220" s="38">
        <f>VLOOKUP(P220,'Sheet A'!P220:AH830,2,)</f>
        <v>2</v>
      </c>
      <c r="R220" s="38">
        <f>VLOOKUP(Q220,'Sheet A'!Q220:AI830,2,)</f>
        <v>92</v>
      </c>
      <c r="S220" s="38">
        <f>VLOOKUP(R220,'Sheet A'!R220:AJ830,2,)</f>
        <v>94</v>
      </c>
    </row>
    <row r="221" spans="1:19" x14ac:dyDescent="0.35">
      <c r="A221" s="37">
        <v>220</v>
      </c>
      <c r="B221" s="60">
        <f>VLOOKUP(A221,'Sheet A'!A221:S831,2,)</f>
        <v>40553</v>
      </c>
      <c r="C221" s="38">
        <f>VLOOKUP(B221,'Sheet A'!B221:T831,2,)</f>
        <v>1</v>
      </c>
      <c r="D221" s="38">
        <f>VLOOKUP(C221,'Sheet A'!C221:U831,2,)</f>
        <v>0</v>
      </c>
      <c r="E221" s="38">
        <f>VLOOKUP(D221,'Sheet A'!D221:V831,2,)</f>
        <v>1</v>
      </c>
      <c r="F221" s="38">
        <f>VLOOKUP(E221,'Sheet A'!E221:W831,2,)</f>
        <v>10</v>
      </c>
      <c r="G221" s="41" t="str">
        <f>VLOOKUP(F221,'Sheet A'!F221:X831,2,)</f>
        <v>Morning</v>
      </c>
      <c r="H221" s="38" t="b">
        <f>VLOOKUP(G221,'Sheet A'!G221:Y831,2,)</f>
        <v>0</v>
      </c>
      <c r="I221" s="38">
        <f>VLOOKUP(H221,'Sheet A'!H221:Z831,2,)</f>
        <v>1</v>
      </c>
      <c r="J221" s="41" t="str">
        <f>VLOOKUP(I221,'Sheet A'!I221:AA831,2,)</f>
        <v>Sunday</v>
      </c>
      <c r="K221" s="38">
        <f>VLOOKUP(J221,'Sheet A'!J221:AB831,2,)</f>
        <v>2</v>
      </c>
      <c r="L221" s="38">
        <f>VLOOKUP(K221,'Sheet A'!K221:AC831,2,)</f>
        <v>0.14000000000000001</v>
      </c>
      <c r="M221" s="70" t="str">
        <f>VLOOKUP(L221,'Sheet A'!L221:AD831,2,)</f>
        <v>Rainy</v>
      </c>
      <c r="N221" s="38">
        <f>VLOOKUP(M221,'Sheet A'!M221:AE831,2,)</f>
        <v>0.1212</v>
      </c>
      <c r="O221" s="38">
        <f>VLOOKUP(N221,'Sheet A'!N221:AF831,2,)</f>
        <v>0.5</v>
      </c>
      <c r="P221" s="38">
        <f>VLOOKUP(O221,'Sheet A'!O221:AG831,2,)</f>
        <v>0.29849999999999999</v>
      </c>
      <c r="Q221" s="38">
        <f>VLOOKUP(P221,'Sheet A'!P221:AH831,2,)</f>
        <v>0</v>
      </c>
      <c r="R221" s="38">
        <f>VLOOKUP(Q221,'Sheet A'!Q221:AI831,2,)</f>
        <v>31</v>
      </c>
      <c r="S221" s="38">
        <f>VLOOKUP(R221,'Sheet A'!R221:AJ831,2,)</f>
        <v>31</v>
      </c>
    </row>
    <row r="222" spans="1:19" x14ac:dyDescent="0.35">
      <c r="A222" s="37">
        <v>221</v>
      </c>
      <c r="B222" s="60">
        <f>VLOOKUP(A222,'Sheet A'!A222:S832,2,)</f>
        <v>40553</v>
      </c>
      <c r="C222" s="38">
        <f>VLOOKUP(B222,'Sheet A'!B222:T832,2,)</f>
        <v>1</v>
      </c>
      <c r="D222" s="38">
        <f>VLOOKUP(C222,'Sheet A'!C222:U832,2,)</f>
        <v>0</v>
      </c>
      <c r="E222" s="38">
        <f>VLOOKUP(D222,'Sheet A'!D222:V832,2,)</f>
        <v>1</v>
      </c>
      <c r="F222" s="38">
        <f>VLOOKUP(E222,'Sheet A'!E222:W832,2,)</f>
        <v>11</v>
      </c>
      <c r="G222" s="41" t="str">
        <f>VLOOKUP(F222,'Sheet A'!F222:X832,2,)</f>
        <v>Morning</v>
      </c>
      <c r="H222" s="38" t="b">
        <f>VLOOKUP(G222,'Sheet A'!G222:Y832,2,)</f>
        <v>0</v>
      </c>
      <c r="I222" s="38">
        <f>VLOOKUP(H222,'Sheet A'!H222:Z832,2,)</f>
        <v>1</v>
      </c>
      <c r="J222" s="41" t="str">
        <f>VLOOKUP(I222,'Sheet A'!I222:AA832,2,)</f>
        <v>Sunday</v>
      </c>
      <c r="K222" s="38">
        <f>VLOOKUP(J222,'Sheet A'!J222:AB832,2,)</f>
        <v>2</v>
      </c>
      <c r="L222" s="38">
        <f>VLOOKUP(K222,'Sheet A'!K222:AC832,2,)</f>
        <v>0.16</v>
      </c>
      <c r="M222" s="70" t="str">
        <f>VLOOKUP(L222,'Sheet A'!L222:AD832,2,)</f>
        <v>Rainy</v>
      </c>
      <c r="N222" s="38">
        <f>VLOOKUP(M222,'Sheet A'!M222:AE832,2,)</f>
        <v>0.13639999999999999</v>
      </c>
      <c r="O222" s="38">
        <f>VLOOKUP(N222,'Sheet A'!N222:AF832,2,)</f>
        <v>0.47</v>
      </c>
      <c r="P222" s="38">
        <f>VLOOKUP(O222,'Sheet A'!O222:AG832,2,)</f>
        <v>0.28360000000000002</v>
      </c>
      <c r="Q222" s="38">
        <f>VLOOKUP(P222,'Sheet A'!P222:AH832,2,)</f>
        <v>2</v>
      </c>
      <c r="R222" s="38">
        <f>VLOOKUP(Q222,'Sheet A'!Q222:AI832,2,)</f>
        <v>28</v>
      </c>
      <c r="S222" s="38">
        <f>VLOOKUP(R222,'Sheet A'!R222:AJ832,2,)</f>
        <v>30</v>
      </c>
    </row>
    <row r="223" spans="1:19" x14ac:dyDescent="0.35">
      <c r="A223" s="37">
        <v>222</v>
      </c>
      <c r="B223" s="60">
        <f>VLOOKUP(A223,'Sheet A'!A223:S833,2,)</f>
        <v>40553</v>
      </c>
      <c r="C223" s="38">
        <f>VLOOKUP(B223,'Sheet A'!B223:T833,2,)</f>
        <v>1</v>
      </c>
      <c r="D223" s="38">
        <f>VLOOKUP(C223,'Sheet A'!C223:U833,2,)</f>
        <v>0</v>
      </c>
      <c r="E223" s="38">
        <f>VLOOKUP(D223,'Sheet A'!D223:V833,2,)</f>
        <v>1</v>
      </c>
      <c r="F223" s="38">
        <f>VLOOKUP(E223,'Sheet A'!E223:W833,2,)</f>
        <v>12</v>
      </c>
      <c r="G223" s="41" t="str">
        <f>VLOOKUP(F223,'Sheet A'!F223:X833,2,)</f>
        <v>AfterNoon</v>
      </c>
      <c r="H223" s="38" t="b">
        <f>VLOOKUP(G223,'Sheet A'!G223:Y833,2,)</f>
        <v>0</v>
      </c>
      <c r="I223" s="38">
        <f>VLOOKUP(H223,'Sheet A'!H223:Z833,2,)</f>
        <v>1</v>
      </c>
      <c r="J223" s="41" t="str">
        <f>VLOOKUP(I223,'Sheet A'!I223:AA833,2,)</f>
        <v>Sunday</v>
      </c>
      <c r="K223" s="38">
        <f>VLOOKUP(J223,'Sheet A'!J223:AB833,2,)</f>
        <v>2</v>
      </c>
      <c r="L223" s="38">
        <f>VLOOKUP(K223,'Sheet A'!K223:AC833,2,)</f>
        <v>0.2</v>
      </c>
      <c r="M223" s="70" t="str">
        <f>VLOOKUP(L223,'Sheet A'!L223:AD833,2,)</f>
        <v>Rainy</v>
      </c>
      <c r="N223" s="38">
        <f>VLOOKUP(M223,'Sheet A'!M223:AE833,2,)</f>
        <v>0.18179999999999999</v>
      </c>
      <c r="O223" s="38">
        <f>VLOOKUP(N223,'Sheet A'!N223:AF833,2,)</f>
        <v>0.4</v>
      </c>
      <c r="P223" s="38">
        <f>VLOOKUP(O223,'Sheet A'!O223:AG833,2,)</f>
        <v>0.28360000000000002</v>
      </c>
      <c r="Q223" s="38">
        <f>VLOOKUP(P223,'Sheet A'!P223:AH833,2,)</f>
        <v>5</v>
      </c>
      <c r="R223" s="38">
        <f>VLOOKUP(Q223,'Sheet A'!Q223:AI833,2,)</f>
        <v>47</v>
      </c>
      <c r="S223" s="38">
        <f>VLOOKUP(R223,'Sheet A'!R223:AJ833,2,)</f>
        <v>52</v>
      </c>
    </row>
    <row r="224" spans="1:19" x14ac:dyDescent="0.35">
      <c r="A224" s="37">
        <v>223</v>
      </c>
      <c r="B224" s="60">
        <f>VLOOKUP(A224,'Sheet A'!A224:S834,2,)</f>
        <v>40553</v>
      </c>
      <c r="C224" s="38">
        <f>VLOOKUP(B224,'Sheet A'!B224:T834,2,)</f>
        <v>1</v>
      </c>
      <c r="D224" s="38">
        <f>VLOOKUP(C224,'Sheet A'!C224:U834,2,)</f>
        <v>0</v>
      </c>
      <c r="E224" s="38">
        <f>VLOOKUP(D224,'Sheet A'!D224:V834,2,)</f>
        <v>1</v>
      </c>
      <c r="F224" s="38">
        <f>VLOOKUP(E224,'Sheet A'!E224:W834,2,)</f>
        <v>13</v>
      </c>
      <c r="G224" s="41" t="str">
        <f>VLOOKUP(F224,'Sheet A'!F224:X834,2,)</f>
        <v>AfterNoon</v>
      </c>
      <c r="H224" s="38" t="b">
        <f>VLOOKUP(G224,'Sheet A'!G224:Y834,2,)</f>
        <v>0</v>
      </c>
      <c r="I224" s="38">
        <f>VLOOKUP(H224,'Sheet A'!H224:Z834,2,)</f>
        <v>1</v>
      </c>
      <c r="J224" s="41" t="str">
        <f>VLOOKUP(I224,'Sheet A'!I224:AA834,2,)</f>
        <v>Sunday</v>
      </c>
      <c r="K224" s="38">
        <f>VLOOKUP(J224,'Sheet A'!J224:AB834,2,)</f>
        <v>2</v>
      </c>
      <c r="L224" s="38">
        <f>VLOOKUP(K224,'Sheet A'!K224:AC834,2,)</f>
        <v>0.2</v>
      </c>
      <c r="M224" s="70" t="str">
        <f>VLOOKUP(L224,'Sheet A'!L224:AD834,2,)</f>
        <v>Rainy</v>
      </c>
      <c r="N224" s="38">
        <f>VLOOKUP(M224,'Sheet A'!M224:AE834,2,)</f>
        <v>0.18179999999999999</v>
      </c>
      <c r="O224" s="38">
        <f>VLOOKUP(N224,'Sheet A'!N224:AF834,2,)</f>
        <v>0.4</v>
      </c>
      <c r="P224" s="38">
        <f>VLOOKUP(O224,'Sheet A'!O224:AG834,2,)</f>
        <v>0.28360000000000002</v>
      </c>
      <c r="Q224" s="38">
        <f>VLOOKUP(P224,'Sheet A'!P224:AH834,2,)</f>
        <v>4</v>
      </c>
      <c r="R224" s="38">
        <f>VLOOKUP(Q224,'Sheet A'!Q224:AI834,2,)</f>
        <v>50</v>
      </c>
      <c r="S224" s="38">
        <f>VLOOKUP(R224,'Sheet A'!R224:AJ834,2,)</f>
        <v>54</v>
      </c>
    </row>
    <row r="225" spans="1:19" x14ac:dyDescent="0.35">
      <c r="A225" s="37">
        <v>224</v>
      </c>
      <c r="B225" s="60">
        <f>VLOOKUP(A225,'Sheet A'!A225:S835,2,)</f>
        <v>40553</v>
      </c>
      <c r="C225" s="38">
        <f>VLOOKUP(B225,'Sheet A'!B225:T835,2,)</f>
        <v>1</v>
      </c>
      <c r="D225" s="38">
        <f>VLOOKUP(C225,'Sheet A'!C225:U835,2,)</f>
        <v>0</v>
      </c>
      <c r="E225" s="38">
        <f>VLOOKUP(D225,'Sheet A'!D225:V835,2,)</f>
        <v>1</v>
      </c>
      <c r="F225" s="38">
        <f>VLOOKUP(E225,'Sheet A'!E225:W835,2,)</f>
        <v>14</v>
      </c>
      <c r="G225" s="41" t="str">
        <f>VLOOKUP(F225,'Sheet A'!F225:X835,2,)</f>
        <v>AfterNoon</v>
      </c>
      <c r="H225" s="38" t="b">
        <f>VLOOKUP(G225,'Sheet A'!G225:Y835,2,)</f>
        <v>0</v>
      </c>
      <c r="I225" s="38">
        <f>VLOOKUP(H225,'Sheet A'!H225:Z835,2,)</f>
        <v>1</v>
      </c>
      <c r="J225" s="41" t="str">
        <f>VLOOKUP(I225,'Sheet A'!I225:AA835,2,)</f>
        <v>Sunday</v>
      </c>
      <c r="K225" s="38">
        <f>VLOOKUP(J225,'Sheet A'!J225:AB835,2,)</f>
        <v>2</v>
      </c>
      <c r="L225" s="38">
        <f>VLOOKUP(K225,'Sheet A'!K225:AC835,2,)</f>
        <v>0.2</v>
      </c>
      <c r="M225" s="70" t="str">
        <f>VLOOKUP(L225,'Sheet A'!L225:AD835,2,)</f>
        <v>Rainy</v>
      </c>
      <c r="N225" s="38">
        <f>VLOOKUP(M225,'Sheet A'!M225:AE835,2,)</f>
        <v>0.19700000000000001</v>
      </c>
      <c r="O225" s="38">
        <f>VLOOKUP(N225,'Sheet A'!N225:AF835,2,)</f>
        <v>0.4</v>
      </c>
      <c r="P225" s="38">
        <f>VLOOKUP(O225,'Sheet A'!O225:AG835,2,)</f>
        <v>0.22389999999999999</v>
      </c>
      <c r="Q225" s="38">
        <f>VLOOKUP(P225,'Sheet A'!P225:AH835,2,)</f>
        <v>0</v>
      </c>
      <c r="R225" s="38">
        <f>VLOOKUP(Q225,'Sheet A'!Q225:AI835,2,)</f>
        <v>47</v>
      </c>
      <c r="S225" s="38">
        <f>VLOOKUP(R225,'Sheet A'!R225:AJ835,2,)</f>
        <v>47</v>
      </c>
    </row>
    <row r="226" spans="1:19" x14ac:dyDescent="0.35">
      <c r="A226" s="37">
        <v>225</v>
      </c>
      <c r="B226" s="60">
        <f>VLOOKUP(A226,'Sheet A'!A226:S836,2,)</f>
        <v>40553</v>
      </c>
      <c r="C226" s="38">
        <f>VLOOKUP(B226,'Sheet A'!B226:T836,2,)</f>
        <v>1</v>
      </c>
      <c r="D226" s="38">
        <f>VLOOKUP(C226,'Sheet A'!C226:U836,2,)</f>
        <v>0</v>
      </c>
      <c r="E226" s="38">
        <f>VLOOKUP(D226,'Sheet A'!D226:V836,2,)</f>
        <v>1</v>
      </c>
      <c r="F226" s="38">
        <f>VLOOKUP(E226,'Sheet A'!E226:W836,2,)</f>
        <v>15</v>
      </c>
      <c r="G226" s="41" t="str">
        <f>VLOOKUP(F226,'Sheet A'!F226:X836,2,)</f>
        <v>AfterNoon</v>
      </c>
      <c r="H226" s="38" t="b">
        <f>VLOOKUP(G226,'Sheet A'!G226:Y836,2,)</f>
        <v>0</v>
      </c>
      <c r="I226" s="38">
        <f>VLOOKUP(H226,'Sheet A'!H226:Z836,2,)</f>
        <v>1</v>
      </c>
      <c r="J226" s="41" t="str">
        <f>VLOOKUP(I226,'Sheet A'!I226:AA836,2,)</f>
        <v>Sunday</v>
      </c>
      <c r="K226" s="38">
        <f>VLOOKUP(J226,'Sheet A'!J226:AB836,2,)</f>
        <v>2</v>
      </c>
      <c r="L226" s="38">
        <f>VLOOKUP(K226,'Sheet A'!K226:AC836,2,)</f>
        <v>0.2</v>
      </c>
      <c r="M226" s="70" t="str">
        <f>VLOOKUP(L226,'Sheet A'!L226:AD836,2,)</f>
        <v>Rainy</v>
      </c>
      <c r="N226" s="38">
        <f>VLOOKUP(M226,'Sheet A'!M226:AE836,2,)</f>
        <v>0.19700000000000001</v>
      </c>
      <c r="O226" s="38">
        <f>VLOOKUP(N226,'Sheet A'!N226:AF836,2,)</f>
        <v>0.4</v>
      </c>
      <c r="P226" s="38">
        <f>VLOOKUP(O226,'Sheet A'!O226:AG836,2,)</f>
        <v>0.22389999999999999</v>
      </c>
      <c r="Q226" s="38">
        <f>VLOOKUP(P226,'Sheet A'!P226:AH836,2,)</f>
        <v>2</v>
      </c>
      <c r="R226" s="38">
        <f>VLOOKUP(Q226,'Sheet A'!Q226:AI836,2,)</f>
        <v>43</v>
      </c>
      <c r="S226" s="38">
        <f>VLOOKUP(R226,'Sheet A'!R226:AJ836,2,)</f>
        <v>45</v>
      </c>
    </row>
    <row r="227" spans="1:19" x14ac:dyDescent="0.35">
      <c r="A227" s="37">
        <v>226</v>
      </c>
      <c r="B227" s="60">
        <f>VLOOKUP(A227,'Sheet A'!A227:S837,2,)</f>
        <v>40553</v>
      </c>
      <c r="C227" s="38">
        <f>VLOOKUP(B227,'Sheet A'!B227:T837,2,)</f>
        <v>1</v>
      </c>
      <c r="D227" s="38">
        <f>VLOOKUP(C227,'Sheet A'!C227:U837,2,)</f>
        <v>0</v>
      </c>
      <c r="E227" s="38">
        <f>VLOOKUP(D227,'Sheet A'!D227:V837,2,)</f>
        <v>1</v>
      </c>
      <c r="F227" s="38">
        <f>VLOOKUP(E227,'Sheet A'!E227:W837,2,)</f>
        <v>16</v>
      </c>
      <c r="G227" s="41" t="str">
        <f>VLOOKUP(F227,'Sheet A'!F227:X837,2,)</f>
        <v>AfterNoon</v>
      </c>
      <c r="H227" s="38" t="b">
        <f>VLOOKUP(G227,'Sheet A'!G227:Y837,2,)</f>
        <v>0</v>
      </c>
      <c r="I227" s="38">
        <f>VLOOKUP(H227,'Sheet A'!H227:Z837,2,)</f>
        <v>1</v>
      </c>
      <c r="J227" s="41" t="str">
        <f>VLOOKUP(I227,'Sheet A'!I227:AA837,2,)</f>
        <v>Sunday</v>
      </c>
      <c r="K227" s="38">
        <f>VLOOKUP(J227,'Sheet A'!J227:AB837,2,)</f>
        <v>1</v>
      </c>
      <c r="L227" s="38">
        <f>VLOOKUP(K227,'Sheet A'!K227:AC837,2,)</f>
        <v>0.2</v>
      </c>
      <c r="M227" s="70" t="str">
        <f>VLOOKUP(L227,'Sheet A'!L227:AD837,2,)</f>
        <v>Rainy</v>
      </c>
      <c r="N227" s="38">
        <f>VLOOKUP(M227,'Sheet A'!M227:AE837,2,)</f>
        <v>0.21210000000000001</v>
      </c>
      <c r="O227" s="38">
        <f>VLOOKUP(N227,'Sheet A'!N227:AF837,2,)</f>
        <v>0.4</v>
      </c>
      <c r="P227" s="38">
        <f>VLOOKUP(O227,'Sheet A'!O227:AG837,2,)</f>
        <v>0.1343</v>
      </c>
      <c r="Q227" s="38">
        <f>VLOOKUP(P227,'Sheet A'!P227:AH837,2,)</f>
        <v>4</v>
      </c>
      <c r="R227" s="38">
        <f>VLOOKUP(Q227,'Sheet A'!Q227:AI837,2,)</f>
        <v>70</v>
      </c>
      <c r="S227" s="38">
        <f>VLOOKUP(R227,'Sheet A'!R227:AJ837,2,)</f>
        <v>74</v>
      </c>
    </row>
    <row r="228" spans="1:19" x14ac:dyDescent="0.35">
      <c r="A228" s="37">
        <v>227</v>
      </c>
      <c r="B228" s="60">
        <f>VLOOKUP(A228,'Sheet A'!A228:S838,2,)</f>
        <v>40553</v>
      </c>
      <c r="C228" s="38">
        <f>VLOOKUP(B228,'Sheet A'!B228:T838,2,)</f>
        <v>1</v>
      </c>
      <c r="D228" s="38">
        <f>VLOOKUP(C228,'Sheet A'!C228:U838,2,)</f>
        <v>0</v>
      </c>
      <c r="E228" s="38">
        <f>VLOOKUP(D228,'Sheet A'!D228:V838,2,)</f>
        <v>1</v>
      </c>
      <c r="F228" s="38">
        <f>VLOOKUP(E228,'Sheet A'!E228:W838,2,)</f>
        <v>17</v>
      </c>
      <c r="G228" s="41" t="str">
        <f>VLOOKUP(F228,'Sheet A'!F228:X838,2,)</f>
        <v>Evening</v>
      </c>
      <c r="H228" s="38" t="b">
        <f>VLOOKUP(G228,'Sheet A'!G228:Y838,2,)</f>
        <v>0</v>
      </c>
      <c r="I228" s="38">
        <f>VLOOKUP(H228,'Sheet A'!H228:Z838,2,)</f>
        <v>1</v>
      </c>
      <c r="J228" s="41" t="str">
        <f>VLOOKUP(I228,'Sheet A'!I228:AA838,2,)</f>
        <v>Sunday</v>
      </c>
      <c r="K228" s="38">
        <f>VLOOKUP(J228,'Sheet A'!J228:AB838,2,)</f>
        <v>1</v>
      </c>
      <c r="L228" s="38">
        <f>VLOOKUP(K228,'Sheet A'!K228:AC838,2,)</f>
        <v>0.2</v>
      </c>
      <c r="M228" s="70" t="str">
        <f>VLOOKUP(L228,'Sheet A'!L228:AD838,2,)</f>
        <v>Rainy</v>
      </c>
      <c r="N228" s="38">
        <f>VLOOKUP(M228,'Sheet A'!M228:AE838,2,)</f>
        <v>0.2273</v>
      </c>
      <c r="O228" s="38">
        <f>VLOOKUP(N228,'Sheet A'!N228:AF838,2,)</f>
        <v>0.4</v>
      </c>
      <c r="P228" s="38">
        <f>VLOOKUP(O228,'Sheet A'!O228:AG838,2,)</f>
        <v>0.1045</v>
      </c>
      <c r="Q228" s="38">
        <f>VLOOKUP(P228,'Sheet A'!P228:AH838,2,)</f>
        <v>4</v>
      </c>
      <c r="R228" s="38">
        <f>VLOOKUP(Q228,'Sheet A'!Q228:AI838,2,)</f>
        <v>174</v>
      </c>
      <c r="S228" s="38">
        <f>VLOOKUP(R228,'Sheet A'!R228:AJ838,2,)</f>
        <v>178</v>
      </c>
    </row>
    <row r="229" spans="1:19" x14ac:dyDescent="0.35">
      <c r="A229" s="37">
        <v>228</v>
      </c>
      <c r="B229" s="60">
        <f>VLOOKUP(A229,'Sheet A'!A229:S839,2,)</f>
        <v>40553</v>
      </c>
      <c r="C229" s="38">
        <f>VLOOKUP(B229,'Sheet A'!B229:T839,2,)</f>
        <v>1</v>
      </c>
      <c r="D229" s="38">
        <f>VLOOKUP(C229,'Sheet A'!C229:U839,2,)</f>
        <v>0</v>
      </c>
      <c r="E229" s="38">
        <f>VLOOKUP(D229,'Sheet A'!D229:V839,2,)</f>
        <v>1</v>
      </c>
      <c r="F229" s="38">
        <f>VLOOKUP(E229,'Sheet A'!E229:W839,2,)</f>
        <v>18</v>
      </c>
      <c r="G229" s="41" t="str">
        <f>VLOOKUP(F229,'Sheet A'!F229:X839,2,)</f>
        <v>Evening</v>
      </c>
      <c r="H229" s="38" t="b">
        <f>VLOOKUP(G229,'Sheet A'!G229:Y839,2,)</f>
        <v>0</v>
      </c>
      <c r="I229" s="38">
        <f>VLOOKUP(H229,'Sheet A'!H229:Z839,2,)</f>
        <v>1</v>
      </c>
      <c r="J229" s="41" t="str">
        <f>VLOOKUP(I229,'Sheet A'!I229:AA839,2,)</f>
        <v>Sunday</v>
      </c>
      <c r="K229" s="38">
        <f>VLOOKUP(J229,'Sheet A'!J229:AB839,2,)</f>
        <v>1</v>
      </c>
      <c r="L229" s="38">
        <f>VLOOKUP(K229,'Sheet A'!K229:AC839,2,)</f>
        <v>0.2</v>
      </c>
      <c r="M229" s="70" t="str">
        <f>VLOOKUP(L229,'Sheet A'!L229:AD839,2,)</f>
        <v>Rainy</v>
      </c>
      <c r="N229" s="38">
        <f>VLOOKUP(M229,'Sheet A'!M229:AE839,2,)</f>
        <v>0.19700000000000001</v>
      </c>
      <c r="O229" s="38">
        <f>VLOOKUP(N229,'Sheet A'!N229:AF839,2,)</f>
        <v>0.4</v>
      </c>
      <c r="P229" s="38">
        <f>VLOOKUP(O229,'Sheet A'!O229:AG839,2,)</f>
        <v>0.22389999999999999</v>
      </c>
      <c r="Q229" s="38">
        <f>VLOOKUP(P229,'Sheet A'!P229:AH839,2,)</f>
        <v>1</v>
      </c>
      <c r="R229" s="38">
        <f>VLOOKUP(Q229,'Sheet A'!Q229:AI839,2,)</f>
        <v>154</v>
      </c>
      <c r="S229" s="38">
        <f>VLOOKUP(R229,'Sheet A'!R229:AJ839,2,)</f>
        <v>155</v>
      </c>
    </row>
    <row r="230" spans="1:19" x14ac:dyDescent="0.35">
      <c r="A230" s="37">
        <v>229</v>
      </c>
      <c r="B230" s="60">
        <f>VLOOKUP(A230,'Sheet A'!A230:S840,2,)</f>
        <v>40553</v>
      </c>
      <c r="C230" s="38">
        <f>VLOOKUP(B230,'Sheet A'!B230:T840,2,)</f>
        <v>1</v>
      </c>
      <c r="D230" s="38">
        <f>VLOOKUP(C230,'Sheet A'!C230:U840,2,)</f>
        <v>0</v>
      </c>
      <c r="E230" s="38">
        <f>VLOOKUP(D230,'Sheet A'!D230:V840,2,)</f>
        <v>1</v>
      </c>
      <c r="F230" s="38">
        <f>VLOOKUP(E230,'Sheet A'!E230:W840,2,)</f>
        <v>19</v>
      </c>
      <c r="G230" s="41" t="str">
        <f>VLOOKUP(F230,'Sheet A'!F230:X840,2,)</f>
        <v>Evening</v>
      </c>
      <c r="H230" s="38" t="b">
        <f>VLOOKUP(G230,'Sheet A'!G230:Y840,2,)</f>
        <v>0</v>
      </c>
      <c r="I230" s="38">
        <f>VLOOKUP(H230,'Sheet A'!H230:Z840,2,)</f>
        <v>1</v>
      </c>
      <c r="J230" s="41" t="str">
        <f>VLOOKUP(I230,'Sheet A'!I230:AA840,2,)</f>
        <v>Sunday</v>
      </c>
      <c r="K230" s="38">
        <f>VLOOKUP(J230,'Sheet A'!J230:AB840,2,)</f>
        <v>1</v>
      </c>
      <c r="L230" s="38">
        <f>VLOOKUP(K230,'Sheet A'!K230:AC840,2,)</f>
        <v>0.16</v>
      </c>
      <c r="M230" s="70" t="str">
        <f>VLOOKUP(L230,'Sheet A'!L230:AD840,2,)</f>
        <v>Rainy</v>
      </c>
      <c r="N230" s="38">
        <f>VLOOKUP(M230,'Sheet A'!M230:AE840,2,)</f>
        <v>0.16669999999999999</v>
      </c>
      <c r="O230" s="38">
        <f>VLOOKUP(N230,'Sheet A'!N230:AF840,2,)</f>
        <v>0.47</v>
      </c>
      <c r="P230" s="38">
        <f>VLOOKUP(O230,'Sheet A'!O230:AG840,2,)</f>
        <v>0.16420000000000001</v>
      </c>
      <c r="Q230" s="38">
        <f>VLOOKUP(P230,'Sheet A'!P230:AH840,2,)</f>
        <v>3</v>
      </c>
      <c r="R230" s="38">
        <f>VLOOKUP(Q230,'Sheet A'!Q230:AI840,2,)</f>
        <v>92</v>
      </c>
      <c r="S230" s="38">
        <f>VLOOKUP(R230,'Sheet A'!R230:AJ840,2,)</f>
        <v>95</v>
      </c>
    </row>
    <row r="231" spans="1:19" x14ac:dyDescent="0.35">
      <c r="A231" s="37">
        <v>230</v>
      </c>
      <c r="B231" s="60">
        <f>VLOOKUP(A231,'Sheet A'!A231:S841,2,)</f>
        <v>40553</v>
      </c>
      <c r="C231" s="38">
        <f>VLOOKUP(B231,'Sheet A'!B231:T841,2,)</f>
        <v>1</v>
      </c>
      <c r="D231" s="38">
        <f>VLOOKUP(C231,'Sheet A'!C231:U841,2,)</f>
        <v>0</v>
      </c>
      <c r="E231" s="38">
        <f>VLOOKUP(D231,'Sheet A'!D231:V841,2,)</f>
        <v>1</v>
      </c>
      <c r="F231" s="38">
        <f>VLOOKUP(E231,'Sheet A'!E231:W841,2,)</f>
        <v>20</v>
      </c>
      <c r="G231" s="41" t="str">
        <f>VLOOKUP(F231,'Sheet A'!F231:X841,2,)</f>
        <v>Night</v>
      </c>
      <c r="H231" s="38" t="b">
        <f>VLOOKUP(G231,'Sheet A'!G231:Y841,2,)</f>
        <v>0</v>
      </c>
      <c r="I231" s="38">
        <f>VLOOKUP(H231,'Sheet A'!H231:Z841,2,)</f>
        <v>1</v>
      </c>
      <c r="J231" s="41" t="str">
        <f>VLOOKUP(I231,'Sheet A'!I231:AA841,2,)</f>
        <v>Sunday</v>
      </c>
      <c r="K231" s="38">
        <f>VLOOKUP(J231,'Sheet A'!J231:AB841,2,)</f>
        <v>1</v>
      </c>
      <c r="L231" s="38">
        <f>VLOOKUP(K231,'Sheet A'!K231:AC841,2,)</f>
        <v>0.16</v>
      </c>
      <c r="M231" s="70" t="str">
        <f>VLOOKUP(L231,'Sheet A'!L231:AD841,2,)</f>
        <v>Rainy</v>
      </c>
      <c r="N231" s="38">
        <f>VLOOKUP(M231,'Sheet A'!M231:AE841,2,)</f>
        <v>0.16669999999999999</v>
      </c>
      <c r="O231" s="38">
        <f>VLOOKUP(N231,'Sheet A'!N231:AF841,2,)</f>
        <v>0.5</v>
      </c>
      <c r="P231" s="38">
        <f>VLOOKUP(O231,'Sheet A'!O231:AG841,2,)</f>
        <v>0.16420000000000001</v>
      </c>
      <c r="Q231" s="38">
        <f>VLOOKUP(P231,'Sheet A'!P231:AH841,2,)</f>
        <v>1</v>
      </c>
      <c r="R231" s="38">
        <f>VLOOKUP(Q231,'Sheet A'!Q231:AI841,2,)</f>
        <v>73</v>
      </c>
      <c r="S231" s="38">
        <f>VLOOKUP(R231,'Sheet A'!R231:AJ841,2,)</f>
        <v>74</v>
      </c>
    </row>
    <row r="232" spans="1:19" x14ac:dyDescent="0.35">
      <c r="A232" s="37">
        <v>231</v>
      </c>
      <c r="B232" s="60">
        <f>VLOOKUP(A232,'Sheet A'!A232:S842,2,)</f>
        <v>40553</v>
      </c>
      <c r="C232" s="38">
        <f>VLOOKUP(B232,'Sheet A'!B232:T842,2,)</f>
        <v>1</v>
      </c>
      <c r="D232" s="38">
        <f>VLOOKUP(C232,'Sheet A'!C232:U842,2,)</f>
        <v>0</v>
      </c>
      <c r="E232" s="38">
        <f>VLOOKUP(D232,'Sheet A'!D232:V842,2,)</f>
        <v>1</v>
      </c>
      <c r="F232" s="38">
        <f>VLOOKUP(E232,'Sheet A'!E232:W842,2,)</f>
        <v>21</v>
      </c>
      <c r="G232" s="41" t="str">
        <f>VLOOKUP(F232,'Sheet A'!F232:X842,2,)</f>
        <v>Night</v>
      </c>
      <c r="H232" s="38" t="b">
        <f>VLOOKUP(G232,'Sheet A'!G232:Y842,2,)</f>
        <v>0</v>
      </c>
      <c r="I232" s="38">
        <f>VLOOKUP(H232,'Sheet A'!H232:Z842,2,)</f>
        <v>1</v>
      </c>
      <c r="J232" s="41" t="str">
        <f>VLOOKUP(I232,'Sheet A'!I232:AA842,2,)</f>
        <v>Sunday</v>
      </c>
      <c r="K232" s="38">
        <f>VLOOKUP(J232,'Sheet A'!J232:AB842,2,)</f>
        <v>1</v>
      </c>
      <c r="L232" s="38">
        <f>VLOOKUP(K232,'Sheet A'!K232:AC842,2,)</f>
        <v>0.14000000000000001</v>
      </c>
      <c r="M232" s="70" t="str">
        <f>VLOOKUP(L232,'Sheet A'!L232:AD842,2,)</f>
        <v>Rainy</v>
      </c>
      <c r="N232" s="38">
        <f>VLOOKUP(M232,'Sheet A'!M232:AE842,2,)</f>
        <v>0.13639999999999999</v>
      </c>
      <c r="O232" s="38">
        <f>VLOOKUP(N232,'Sheet A'!N232:AF842,2,)</f>
        <v>0.59</v>
      </c>
      <c r="P232" s="38">
        <f>VLOOKUP(O232,'Sheet A'!O232:AG842,2,)</f>
        <v>0.19400000000000001</v>
      </c>
      <c r="Q232" s="38">
        <f>VLOOKUP(P232,'Sheet A'!P232:AH842,2,)</f>
        <v>1</v>
      </c>
      <c r="R232" s="38">
        <f>VLOOKUP(Q232,'Sheet A'!Q232:AI842,2,)</f>
        <v>37</v>
      </c>
      <c r="S232" s="38">
        <f>VLOOKUP(R232,'Sheet A'!R232:AJ842,2,)</f>
        <v>38</v>
      </c>
    </row>
    <row r="233" spans="1:19" x14ac:dyDescent="0.35">
      <c r="A233" s="37">
        <v>232</v>
      </c>
      <c r="B233" s="60">
        <f>VLOOKUP(A233,'Sheet A'!A233:S843,2,)</f>
        <v>40553</v>
      </c>
      <c r="C233" s="38">
        <f>VLOOKUP(B233,'Sheet A'!B233:T843,2,)</f>
        <v>1</v>
      </c>
      <c r="D233" s="38">
        <f>VLOOKUP(C233,'Sheet A'!C233:U843,2,)</f>
        <v>0</v>
      </c>
      <c r="E233" s="38">
        <f>VLOOKUP(D233,'Sheet A'!D233:V843,2,)</f>
        <v>1</v>
      </c>
      <c r="F233" s="38">
        <f>VLOOKUP(E233,'Sheet A'!E233:W843,2,)</f>
        <v>22</v>
      </c>
      <c r="G233" s="41" t="str">
        <f>VLOOKUP(F233,'Sheet A'!F233:X843,2,)</f>
        <v>Night</v>
      </c>
      <c r="H233" s="38" t="b">
        <f>VLOOKUP(G233,'Sheet A'!G233:Y843,2,)</f>
        <v>0</v>
      </c>
      <c r="I233" s="38">
        <f>VLOOKUP(H233,'Sheet A'!H233:Z843,2,)</f>
        <v>1</v>
      </c>
      <c r="J233" s="41" t="str">
        <f>VLOOKUP(I233,'Sheet A'!I233:AA843,2,)</f>
        <v>Sunday</v>
      </c>
      <c r="K233" s="38">
        <f>VLOOKUP(J233,'Sheet A'!J233:AB843,2,)</f>
        <v>1</v>
      </c>
      <c r="L233" s="38">
        <f>VLOOKUP(K233,'Sheet A'!K233:AC843,2,)</f>
        <v>0.14000000000000001</v>
      </c>
      <c r="M233" s="70" t="str">
        <f>VLOOKUP(L233,'Sheet A'!L233:AD843,2,)</f>
        <v>Rainy</v>
      </c>
      <c r="N233" s="38">
        <f>VLOOKUP(M233,'Sheet A'!M233:AE843,2,)</f>
        <v>0.1515</v>
      </c>
      <c r="O233" s="38">
        <f>VLOOKUP(N233,'Sheet A'!N233:AF843,2,)</f>
        <v>0.59</v>
      </c>
      <c r="P233" s="38">
        <f>VLOOKUP(O233,'Sheet A'!O233:AG843,2,)</f>
        <v>0.16420000000000001</v>
      </c>
      <c r="Q233" s="38">
        <f>VLOOKUP(P233,'Sheet A'!P233:AH843,2,)</f>
        <v>2</v>
      </c>
      <c r="R233" s="38">
        <f>VLOOKUP(Q233,'Sheet A'!Q233:AI843,2,)</f>
        <v>22</v>
      </c>
      <c r="S233" s="38">
        <f>VLOOKUP(R233,'Sheet A'!R233:AJ843,2,)</f>
        <v>24</v>
      </c>
    </row>
    <row r="234" spans="1:19" x14ac:dyDescent="0.35">
      <c r="A234" s="37">
        <v>233</v>
      </c>
      <c r="B234" s="60">
        <f>VLOOKUP(A234,'Sheet A'!A234:S844,2,)</f>
        <v>40553</v>
      </c>
      <c r="C234" s="38">
        <f>VLOOKUP(B234,'Sheet A'!B234:T844,2,)</f>
        <v>1</v>
      </c>
      <c r="D234" s="38">
        <f>VLOOKUP(C234,'Sheet A'!C234:U844,2,)</f>
        <v>0</v>
      </c>
      <c r="E234" s="38">
        <f>VLOOKUP(D234,'Sheet A'!D234:V844,2,)</f>
        <v>1</v>
      </c>
      <c r="F234" s="38">
        <f>VLOOKUP(E234,'Sheet A'!E234:W844,2,)</f>
        <v>23</v>
      </c>
      <c r="G234" s="41" t="str">
        <f>VLOOKUP(F234,'Sheet A'!F234:X844,2,)</f>
        <v>Night</v>
      </c>
      <c r="H234" s="38" t="b">
        <f>VLOOKUP(G234,'Sheet A'!G234:Y844,2,)</f>
        <v>0</v>
      </c>
      <c r="I234" s="38">
        <f>VLOOKUP(H234,'Sheet A'!H234:Z844,2,)</f>
        <v>1</v>
      </c>
      <c r="J234" s="41" t="str">
        <f>VLOOKUP(I234,'Sheet A'!I234:AA844,2,)</f>
        <v>Sunday</v>
      </c>
      <c r="K234" s="38">
        <f>VLOOKUP(J234,'Sheet A'!J234:AB844,2,)</f>
        <v>1</v>
      </c>
      <c r="L234" s="38">
        <f>VLOOKUP(K234,'Sheet A'!K234:AC844,2,)</f>
        <v>0.14000000000000001</v>
      </c>
      <c r="M234" s="70" t="str">
        <f>VLOOKUP(L234,'Sheet A'!L234:AD844,2,)</f>
        <v>Rainy</v>
      </c>
      <c r="N234" s="38">
        <f>VLOOKUP(M234,'Sheet A'!M234:AE844,2,)</f>
        <v>0.1515</v>
      </c>
      <c r="O234" s="38">
        <f>VLOOKUP(N234,'Sheet A'!N234:AF844,2,)</f>
        <v>0.59</v>
      </c>
      <c r="P234" s="38">
        <f>VLOOKUP(O234,'Sheet A'!O234:AG844,2,)</f>
        <v>0.16420000000000001</v>
      </c>
      <c r="Q234" s="38">
        <f>VLOOKUP(P234,'Sheet A'!P234:AH844,2,)</f>
        <v>0</v>
      </c>
      <c r="R234" s="38">
        <f>VLOOKUP(Q234,'Sheet A'!Q234:AI844,2,)</f>
        <v>18</v>
      </c>
      <c r="S234" s="38">
        <f>VLOOKUP(R234,'Sheet A'!R234:AJ844,2,)</f>
        <v>18</v>
      </c>
    </row>
    <row r="235" spans="1:19" x14ac:dyDescent="0.35">
      <c r="A235" s="37">
        <v>234</v>
      </c>
      <c r="B235" s="60">
        <f>VLOOKUP(A235,'Sheet A'!A235:S845,2,)</f>
        <v>40554</v>
      </c>
      <c r="C235" s="38">
        <f>VLOOKUP(B235,'Sheet A'!B235:T845,2,)</f>
        <v>1</v>
      </c>
      <c r="D235" s="38">
        <f>VLOOKUP(C235,'Sheet A'!C235:U845,2,)</f>
        <v>0</v>
      </c>
      <c r="E235" s="38">
        <f>VLOOKUP(D235,'Sheet A'!D235:V845,2,)</f>
        <v>1</v>
      </c>
      <c r="F235" s="38">
        <f>VLOOKUP(E235,'Sheet A'!E235:W845,2,)</f>
        <v>0</v>
      </c>
      <c r="G235" s="41" t="str">
        <f>VLOOKUP(F235,'Sheet A'!F235:X845,2,)</f>
        <v>Night</v>
      </c>
      <c r="H235" s="38" t="b">
        <f>VLOOKUP(G235,'Sheet A'!G235:Y845,2,)</f>
        <v>0</v>
      </c>
      <c r="I235" s="38">
        <f>VLOOKUP(H235,'Sheet A'!H235:Z845,2,)</f>
        <v>2</v>
      </c>
      <c r="J235" s="41" t="str">
        <f>VLOOKUP(I235,'Sheet A'!I235:AA845,2,)</f>
        <v>Monday</v>
      </c>
      <c r="K235" s="38">
        <f>VLOOKUP(J235,'Sheet A'!J235:AB845,2,)</f>
        <v>1</v>
      </c>
      <c r="L235" s="38">
        <f>VLOOKUP(K235,'Sheet A'!K235:AC845,2,)</f>
        <v>0.14000000000000001</v>
      </c>
      <c r="M235" s="70" t="str">
        <f>VLOOKUP(L235,'Sheet A'!L235:AD845,2,)</f>
        <v>Rainy</v>
      </c>
      <c r="N235" s="38">
        <f>VLOOKUP(M235,'Sheet A'!M235:AE845,2,)</f>
        <v>0.16669999999999999</v>
      </c>
      <c r="O235" s="38">
        <f>VLOOKUP(N235,'Sheet A'!N235:AF845,2,)</f>
        <v>0.59</v>
      </c>
      <c r="P235" s="38">
        <f>VLOOKUP(O235,'Sheet A'!O235:AG845,2,)</f>
        <v>0.1045</v>
      </c>
      <c r="Q235" s="38">
        <f>VLOOKUP(P235,'Sheet A'!P235:AH845,2,)</f>
        <v>2</v>
      </c>
      <c r="R235" s="38">
        <f>VLOOKUP(Q235,'Sheet A'!Q235:AI845,2,)</f>
        <v>10</v>
      </c>
      <c r="S235" s="38">
        <f>VLOOKUP(R235,'Sheet A'!R235:AJ845,2,)</f>
        <v>12</v>
      </c>
    </row>
    <row r="236" spans="1:19" x14ac:dyDescent="0.35">
      <c r="A236" s="37">
        <v>235</v>
      </c>
      <c r="B236" s="60">
        <f>VLOOKUP(A236,'Sheet A'!A236:S846,2,)</f>
        <v>40554</v>
      </c>
      <c r="C236" s="38">
        <f>VLOOKUP(B236,'Sheet A'!B236:T846,2,)</f>
        <v>1</v>
      </c>
      <c r="D236" s="38">
        <f>VLOOKUP(C236,'Sheet A'!C236:U846,2,)</f>
        <v>0</v>
      </c>
      <c r="E236" s="38">
        <f>VLOOKUP(D236,'Sheet A'!D236:V846,2,)</f>
        <v>1</v>
      </c>
      <c r="F236" s="38">
        <f>VLOOKUP(E236,'Sheet A'!E236:W846,2,)</f>
        <v>1</v>
      </c>
      <c r="G236" s="41" t="str">
        <f>VLOOKUP(F236,'Sheet A'!F236:X846,2,)</f>
        <v>Night</v>
      </c>
      <c r="H236" s="38" t="b">
        <f>VLOOKUP(G236,'Sheet A'!G236:Y846,2,)</f>
        <v>0</v>
      </c>
      <c r="I236" s="38">
        <f>VLOOKUP(H236,'Sheet A'!H236:Z846,2,)</f>
        <v>2</v>
      </c>
      <c r="J236" s="41" t="str">
        <f>VLOOKUP(I236,'Sheet A'!I236:AA846,2,)</f>
        <v>Monday</v>
      </c>
      <c r="K236" s="38">
        <f>VLOOKUP(J236,'Sheet A'!J236:AB846,2,)</f>
        <v>1</v>
      </c>
      <c r="L236" s="38">
        <f>VLOOKUP(K236,'Sheet A'!K236:AC846,2,)</f>
        <v>0.14000000000000001</v>
      </c>
      <c r="M236" s="70" t="str">
        <f>VLOOKUP(L236,'Sheet A'!L236:AD846,2,)</f>
        <v>Rainy</v>
      </c>
      <c r="N236" s="38">
        <f>VLOOKUP(M236,'Sheet A'!M236:AE846,2,)</f>
        <v>0.1515</v>
      </c>
      <c r="O236" s="38">
        <f>VLOOKUP(N236,'Sheet A'!N236:AF846,2,)</f>
        <v>0.59</v>
      </c>
      <c r="P236" s="38">
        <f>VLOOKUP(O236,'Sheet A'!O236:AG846,2,)</f>
        <v>0.16420000000000001</v>
      </c>
      <c r="Q236" s="38">
        <f>VLOOKUP(P236,'Sheet A'!P236:AH846,2,)</f>
        <v>0</v>
      </c>
      <c r="R236" s="38">
        <f>VLOOKUP(Q236,'Sheet A'!Q236:AI846,2,)</f>
        <v>3</v>
      </c>
      <c r="S236" s="38">
        <f>VLOOKUP(R236,'Sheet A'!R236:AJ846,2,)</f>
        <v>3</v>
      </c>
    </row>
    <row r="237" spans="1:19" x14ac:dyDescent="0.35">
      <c r="A237" s="37">
        <v>236</v>
      </c>
      <c r="B237" s="60">
        <f>VLOOKUP(A237,'Sheet A'!A237:S847,2,)</f>
        <v>40554</v>
      </c>
      <c r="C237" s="38">
        <f>VLOOKUP(B237,'Sheet A'!B237:T847,2,)</f>
        <v>1</v>
      </c>
      <c r="D237" s="38">
        <f>VLOOKUP(C237,'Sheet A'!C237:U847,2,)</f>
        <v>0</v>
      </c>
      <c r="E237" s="38">
        <f>VLOOKUP(D237,'Sheet A'!D237:V847,2,)</f>
        <v>1</v>
      </c>
      <c r="F237" s="38">
        <f>VLOOKUP(E237,'Sheet A'!E237:W847,2,)</f>
        <v>2</v>
      </c>
      <c r="G237" s="41" t="str">
        <f>VLOOKUP(F237,'Sheet A'!F237:X847,2,)</f>
        <v>Night</v>
      </c>
      <c r="H237" s="38" t="b">
        <f>VLOOKUP(G237,'Sheet A'!G237:Y847,2,)</f>
        <v>0</v>
      </c>
      <c r="I237" s="38">
        <f>VLOOKUP(H237,'Sheet A'!H237:Z847,2,)</f>
        <v>2</v>
      </c>
      <c r="J237" s="41" t="str">
        <f>VLOOKUP(I237,'Sheet A'!I237:AA847,2,)</f>
        <v>Monday</v>
      </c>
      <c r="K237" s="38">
        <f>VLOOKUP(J237,'Sheet A'!J237:AB847,2,)</f>
        <v>2</v>
      </c>
      <c r="L237" s="38">
        <f>VLOOKUP(K237,'Sheet A'!K237:AC847,2,)</f>
        <v>0.16</v>
      </c>
      <c r="M237" s="70" t="str">
        <f>VLOOKUP(L237,'Sheet A'!L237:AD847,2,)</f>
        <v>Rainy</v>
      </c>
      <c r="N237" s="38">
        <f>VLOOKUP(M237,'Sheet A'!M237:AE847,2,)</f>
        <v>0.1515</v>
      </c>
      <c r="O237" s="38">
        <f>VLOOKUP(N237,'Sheet A'!N237:AF847,2,)</f>
        <v>0.55000000000000004</v>
      </c>
      <c r="P237" s="38">
        <f>VLOOKUP(O237,'Sheet A'!O237:AG847,2,)</f>
        <v>0.19400000000000001</v>
      </c>
      <c r="Q237" s="38">
        <f>VLOOKUP(P237,'Sheet A'!P237:AH847,2,)</f>
        <v>0</v>
      </c>
      <c r="R237" s="38">
        <f>VLOOKUP(Q237,'Sheet A'!Q237:AI847,2,)</f>
        <v>3</v>
      </c>
      <c r="S237" s="38">
        <f>VLOOKUP(R237,'Sheet A'!R237:AJ847,2,)</f>
        <v>3</v>
      </c>
    </row>
    <row r="238" spans="1:19" x14ac:dyDescent="0.35">
      <c r="A238" s="37">
        <v>237</v>
      </c>
      <c r="B238" s="60">
        <f>VLOOKUP(A238,'Sheet A'!A238:S848,2,)</f>
        <v>40554</v>
      </c>
      <c r="C238" s="38">
        <f>VLOOKUP(B238,'Sheet A'!B238:T848,2,)</f>
        <v>1</v>
      </c>
      <c r="D238" s="38">
        <f>VLOOKUP(C238,'Sheet A'!C238:U848,2,)</f>
        <v>0</v>
      </c>
      <c r="E238" s="38">
        <f>VLOOKUP(D238,'Sheet A'!D238:V848,2,)</f>
        <v>1</v>
      </c>
      <c r="F238" s="38">
        <f>VLOOKUP(E238,'Sheet A'!E238:W848,2,)</f>
        <v>5</v>
      </c>
      <c r="G238" s="41" t="str">
        <f>VLOOKUP(F238,'Sheet A'!F238:X848,2,)</f>
        <v>Morning</v>
      </c>
      <c r="H238" s="38" t="b">
        <f>VLOOKUP(G238,'Sheet A'!G238:Y848,2,)</f>
        <v>0</v>
      </c>
      <c r="I238" s="38">
        <f>VLOOKUP(H238,'Sheet A'!H238:Z848,2,)</f>
        <v>2</v>
      </c>
      <c r="J238" s="41" t="str">
        <f>VLOOKUP(I238,'Sheet A'!I238:AA848,2,)</f>
        <v>Monday</v>
      </c>
      <c r="K238" s="38">
        <f>VLOOKUP(J238,'Sheet A'!J238:AB848,2,)</f>
        <v>2</v>
      </c>
      <c r="L238" s="38">
        <f>VLOOKUP(K238,'Sheet A'!K238:AC848,2,)</f>
        <v>0.16</v>
      </c>
      <c r="M238" s="70" t="str">
        <f>VLOOKUP(L238,'Sheet A'!L238:AD848,2,)</f>
        <v>Rainy</v>
      </c>
      <c r="N238" s="38">
        <f>VLOOKUP(M238,'Sheet A'!M238:AE848,2,)</f>
        <v>0.18179999999999999</v>
      </c>
      <c r="O238" s="38">
        <f>VLOOKUP(N238,'Sheet A'!N238:AF848,2,)</f>
        <v>0.55000000000000004</v>
      </c>
      <c r="P238" s="38">
        <f>VLOOKUP(O238,'Sheet A'!O238:AG848,2,)</f>
        <v>0.1343</v>
      </c>
      <c r="Q238" s="38">
        <f>VLOOKUP(P238,'Sheet A'!P238:AH848,2,)</f>
        <v>0</v>
      </c>
      <c r="R238" s="38">
        <f>VLOOKUP(Q238,'Sheet A'!Q238:AI848,2,)</f>
        <v>6</v>
      </c>
      <c r="S238" s="38">
        <f>VLOOKUP(R238,'Sheet A'!R238:AJ848,2,)</f>
        <v>6</v>
      </c>
    </row>
    <row r="239" spans="1:19" x14ac:dyDescent="0.35">
      <c r="A239" s="37">
        <v>238</v>
      </c>
      <c r="B239" s="60">
        <f>VLOOKUP(A239,'Sheet A'!A239:S849,2,)</f>
        <v>40554</v>
      </c>
      <c r="C239" s="38">
        <f>VLOOKUP(B239,'Sheet A'!B239:T849,2,)</f>
        <v>1</v>
      </c>
      <c r="D239" s="38">
        <f>VLOOKUP(C239,'Sheet A'!C239:U849,2,)</f>
        <v>0</v>
      </c>
      <c r="E239" s="38">
        <f>VLOOKUP(D239,'Sheet A'!D239:V849,2,)</f>
        <v>1</v>
      </c>
      <c r="F239" s="38">
        <f>VLOOKUP(E239,'Sheet A'!E239:W849,2,)</f>
        <v>6</v>
      </c>
      <c r="G239" s="41" t="str">
        <f>VLOOKUP(F239,'Sheet A'!F239:X849,2,)</f>
        <v>Morning</v>
      </c>
      <c r="H239" s="38" t="b">
        <f>VLOOKUP(G239,'Sheet A'!G239:Y849,2,)</f>
        <v>0</v>
      </c>
      <c r="I239" s="38">
        <f>VLOOKUP(H239,'Sheet A'!H239:Z849,2,)</f>
        <v>2</v>
      </c>
      <c r="J239" s="41" t="str">
        <f>VLOOKUP(I239,'Sheet A'!I239:AA849,2,)</f>
        <v>Monday</v>
      </c>
      <c r="K239" s="38">
        <f>VLOOKUP(J239,'Sheet A'!J239:AB849,2,)</f>
        <v>2</v>
      </c>
      <c r="L239" s="38">
        <f>VLOOKUP(K239,'Sheet A'!K239:AC849,2,)</f>
        <v>0.16</v>
      </c>
      <c r="M239" s="70" t="str">
        <f>VLOOKUP(L239,'Sheet A'!L239:AD849,2,)</f>
        <v>Rainy</v>
      </c>
      <c r="N239" s="38">
        <f>VLOOKUP(M239,'Sheet A'!M239:AE849,2,)</f>
        <v>0.18179999999999999</v>
      </c>
      <c r="O239" s="38">
        <f>VLOOKUP(N239,'Sheet A'!N239:AF849,2,)</f>
        <v>0.55000000000000004</v>
      </c>
      <c r="P239" s="38">
        <f>VLOOKUP(O239,'Sheet A'!O239:AG849,2,)</f>
        <v>0.1343</v>
      </c>
      <c r="Q239" s="38">
        <f>VLOOKUP(P239,'Sheet A'!P239:AH849,2,)</f>
        <v>0</v>
      </c>
      <c r="R239" s="38">
        <f>VLOOKUP(Q239,'Sheet A'!Q239:AI849,2,)</f>
        <v>27</v>
      </c>
      <c r="S239" s="38">
        <f>VLOOKUP(R239,'Sheet A'!R239:AJ849,2,)</f>
        <v>27</v>
      </c>
    </row>
    <row r="240" spans="1:19" x14ac:dyDescent="0.35">
      <c r="A240" s="37">
        <v>239</v>
      </c>
      <c r="B240" s="60">
        <f>VLOOKUP(A240,'Sheet A'!A240:S850,2,)</f>
        <v>40554</v>
      </c>
      <c r="C240" s="38">
        <f>VLOOKUP(B240,'Sheet A'!B240:T850,2,)</f>
        <v>1</v>
      </c>
      <c r="D240" s="38">
        <f>VLOOKUP(C240,'Sheet A'!C240:U850,2,)</f>
        <v>0</v>
      </c>
      <c r="E240" s="38">
        <f>VLOOKUP(D240,'Sheet A'!D240:V850,2,)</f>
        <v>1</v>
      </c>
      <c r="F240" s="38">
        <f>VLOOKUP(E240,'Sheet A'!E240:W850,2,)</f>
        <v>7</v>
      </c>
      <c r="G240" s="41" t="str">
        <f>VLOOKUP(F240,'Sheet A'!F240:X850,2,)</f>
        <v>Morning</v>
      </c>
      <c r="H240" s="38" t="b">
        <f>VLOOKUP(G240,'Sheet A'!G240:Y850,2,)</f>
        <v>0</v>
      </c>
      <c r="I240" s="38">
        <f>VLOOKUP(H240,'Sheet A'!H240:Z850,2,)</f>
        <v>2</v>
      </c>
      <c r="J240" s="41" t="str">
        <f>VLOOKUP(I240,'Sheet A'!I240:AA850,2,)</f>
        <v>Monday</v>
      </c>
      <c r="K240" s="38">
        <f>VLOOKUP(J240,'Sheet A'!J240:AB850,2,)</f>
        <v>2</v>
      </c>
      <c r="L240" s="38">
        <f>VLOOKUP(K240,'Sheet A'!K240:AC850,2,)</f>
        <v>0.16</v>
      </c>
      <c r="M240" s="70" t="str">
        <f>VLOOKUP(L240,'Sheet A'!L240:AD850,2,)</f>
        <v>Rainy</v>
      </c>
      <c r="N240" s="38">
        <f>VLOOKUP(M240,'Sheet A'!M240:AE850,2,)</f>
        <v>0.2273</v>
      </c>
      <c r="O240" s="38">
        <f>VLOOKUP(N240,'Sheet A'!N240:AF850,2,)</f>
        <v>0.55000000000000004</v>
      </c>
      <c r="P240" s="38">
        <f>VLOOKUP(O240,'Sheet A'!O240:AG850,2,)</f>
        <v>0</v>
      </c>
      <c r="Q240" s="38">
        <f>VLOOKUP(P240,'Sheet A'!P240:AH850,2,)</f>
        <v>2</v>
      </c>
      <c r="R240" s="38">
        <f>VLOOKUP(Q240,'Sheet A'!Q240:AI850,2,)</f>
        <v>97</v>
      </c>
      <c r="S240" s="38">
        <f>VLOOKUP(R240,'Sheet A'!R240:AJ850,2,)</f>
        <v>99</v>
      </c>
    </row>
    <row r="241" spans="1:19" x14ac:dyDescent="0.35">
      <c r="A241" s="37">
        <v>240</v>
      </c>
      <c r="B241" s="60">
        <f>VLOOKUP(A241,'Sheet A'!A241:S851,2,)</f>
        <v>40554</v>
      </c>
      <c r="C241" s="38">
        <f>VLOOKUP(B241,'Sheet A'!B241:T851,2,)</f>
        <v>1</v>
      </c>
      <c r="D241" s="38">
        <f>VLOOKUP(C241,'Sheet A'!C241:U851,2,)</f>
        <v>0</v>
      </c>
      <c r="E241" s="38">
        <f>VLOOKUP(D241,'Sheet A'!D241:V851,2,)</f>
        <v>1</v>
      </c>
      <c r="F241" s="38">
        <f>VLOOKUP(E241,'Sheet A'!E241:W851,2,)</f>
        <v>8</v>
      </c>
      <c r="G241" s="41" t="str">
        <f>VLOOKUP(F241,'Sheet A'!F241:X851,2,)</f>
        <v>Morning</v>
      </c>
      <c r="H241" s="38" t="b">
        <f>VLOOKUP(G241,'Sheet A'!G241:Y851,2,)</f>
        <v>0</v>
      </c>
      <c r="I241" s="38">
        <f>VLOOKUP(H241,'Sheet A'!H241:Z851,2,)</f>
        <v>2</v>
      </c>
      <c r="J241" s="41" t="str">
        <f>VLOOKUP(I241,'Sheet A'!I241:AA851,2,)</f>
        <v>Monday</v>
      </c>
      <c r="K241" s="38">
        <f>VLOOKUP(J241,'Sheet A'!J241:AB851,2,)</f>
        <v>2</v>
      </c>
      <c r="L241" s="38">
        <f>VLOOKUP(K241,'Sheet A'!K241:AC851,2,)</f>
        <v>0.18</v>
      </c>
      <c r="M241" s="70" t="str">
        <f>VLOOKUP(L241,'Sheet A'!L241:AD851,2,)</f>
        <v>Rainy</v>
      </c>
      <c r="N241" s="38">
        <f>VLOOKUP(M241,'Sheet A'!M241:AE851,2,)</f>
        <v>0.21210000000000001</v>
      </c>
      <c r="O241" s="38">
        <f>VLOOKUP(N241,'Sheet A'!N241:AF851,2,)</f>
        <v>0.51</v>
      </c>
      <c r="P241" s="38">
        <f>VLOOKUP(O241,'Sheet A'!O241:AG851,2,)</f>
        <v>8.9599999999999999E-2</v>
      </c>
      <c r="Q241" s="38">
        <f>VLOOKUP(P241,'Sheet A'!P241:AH851,2,)</f>
        <v>3</v>
      </c>
      <c r="R241" s="38">
        <f>VLOOKUP(Q241,'Sheet A'!Q241:AI851,2,)</f>
        <v>214</v>
      </c>
      <c r="S241" s="38">
        <f>VLOOKUP(R241,'Sheet A'!R241:AJ851,2,)</f>
        <v>217</v>
      </c>
    </row>
    <row r="242" spans="1:19" x14ac:dyDescent="0.35">
      <c r="A242" s="37">
        <v>241</v>
      </c>
      <c r="B242" s="60">
        <f>VLOOKUP(A242,'Sheet A'!A242:S852,2,)</f>
        <v>40554</v>
      </c>
      <c r="C242" s="38">
        <f>VLOOKUP(B242,'Sheet A'!B242:T852,2,)</f>
        <v>1</v>
      </c>
      <c r="D242" s="38">
        <f>VLOOKUP(C242,'Sheet A'!C242:U852,2,)</f>
        <v>0</v>
      </c>
      <c r="E242" s="38">
        <f>VLOOKUP(D242,'Sheet A'!D242:V852,2,)</f>
        <v>1</v>
      </c>
      <c r="F242" s="38">
        <f>VLOOKUP(E242,'Sheet A'!E242:W852,2,)</f>
        <v>9</v>
      </c>
      <c r="G242" s="41" t="str">
        <f>VLOOKUP(F242,'Sheet A'!F242:X852,2,)</f>
        <v>Morning</v>
      </c>
      <c r="H242" s="38" t="b">
        <f>VLOOKUP(G242,'Sheet A'!G242:Y852,2,)</f>
        <v>0</v>
      </c>
      <c r="I242" s="38">
        <f>VLOOKUP(H242,'Sheet A'!H242:Z852,2,)</f>
        <v>2</v>
      </c>
      <c r="J242" s="41" t="str">
        <f>VLOOKUP(I242,'Sheet A'!I242:AA852,2,)</f>
        <v>Monday</v>
      </c>
      <c r="K242" s="38">
        <f>VLOOKUP(J242,'Sheet A'!J242:AB852,2,)</f>
        <v>2</v>
      </c>
      <c r="L242" s="38">
        <f>VLOOKUP(K242,'Sheet A'!K242:AC852,2,)</f>
        <v>0.18</v>
      </c>
      <c r="M242" s="70" t="str">
        <f>VLOOKUP(L242,'Sheet A'!L242:AD852,2,)</f>
        <v>Rainy</v>
      </c>
      <c r="N242" s="38">
        <f>VLOOKUP(M242,'Sheet A'!M242:AE852,2,)</f>
        <v>0.19700000000000001</v>
      </c>
      <c r="O242" s="38">
        <f>VLOOKUP(N242,'Sheet A'!N242:AF852,2,)</f>
        <v>0.51</v>
      </c>
      <c r="P242" s="38">
        <f>VLOOKUP(O242,'Sheet A'!O242:AG852,2,)</f>
        <v>0.16420000000000001</v>
      </c>
      <c r="Q242" s="38">
        <f>VLOOKUP(P242,'Sheet A'!P242:AH852,2,)</f>
        <v>3</v>
      </c>
      <c r="R242" s="38">
        <f>VLOOKUP(Q242,'Sheet A'!Q242:AI852,2,)</f>
        <v>127</v>
      </c>
      <c r="S242" s="38">
        <f>VLOOKUP(R242,'Sheet A'!R242:AJ852,2,)</f>
        <v>130</v>
      </c>
    </row>
    <row r="243" spans="1:19" x14ac:dyDescent="0.35">
      <c r="A243" s="37">
        <v>242</v>
      </c>
      <c r="B243" s="60">
        <f>VLOOKUP(A243,'Sheet A'!A243:S853,2,)</f>
        <v>40554</v>
      </c>
      <c r="C243" s="38">
        <f>VLOOKUP(B243,'Sheet A'!B243:T853,2,)</f>
        <v>1</v>
      </c>
      <c r="D243" s="38">
        <f>VLOOKUP(C243,'Sheet A'!C243:U853,2,)</f>
        <v>0</v>
      </c>
      <c r="E243" s="38">
        <f>VLOOKUP(D243,'Sheet A'!D243:V853,2,)</f>
        <v>1</v>
      </c>
      <c r="F243" s="38">
        <f>VLOOKUP(E243,'Sheet A'!E243:W853,2,)</f>
        <v>10</v>
      </c>
      <c r="G243" s="41" t="str">
        <f>VLOOKUP(F243,'Sheet A'!F243:X853,2,)</f>
        <v>Morning</v>
      </c>
      <c r="H243" s="38" t="b">
        <f>VLOOKUP(G243,'Sheet A'!G243:Y853,2,)</f>
        <v>0</v>
      </c>
      <c r="I243" s="38">
        <f>VLOOKUP(H243,'Sheet A'!H243:Z853,2,)</f>
        <v>2</v>
      </c>
      <c r="J243" s="41" t="str">
        <f>VLOOKUP(I243,'Sheet A'!I243:AA853,2,)</f>
        <v>Monday</v>
      </c>
      <c r="K243" s="38">
        <f>VLOOKUP(J243,'Sheet A'!J243:AB853,2,)</f>
        <v>2</v>
      </c>
      <c r="L243" s="38">
        <f>VLOOKUP(K243,'Sheet A'!K243:AC853,2,)</f>
        <v>0.2</v>
      </c>
      <c r="M243" s="70" t="str">
        <f>VLOOKUP(L243,'Sheet A'!L243:AD853,2,)</f>
        <v>Rainy</v>
      </c>
      <c r="N243" s="38">
        <f>VLOOKUP(M243,'Sheet A'!M243:AE853,2,)</f>
        <v>0.21210000000000001</v>
      </c>
      <c r="O243" s="38">
        <f>VLOOKUP(N243,'Sheet A'!N243:AF853,2,)</f>
        <v>0.51</v>
      </c>
      <c r="P243" s="38">
        <f>VLOOKUP(O243,'Sheet A'!O243:AG853,2,)</f>
        <v>0.16420000000000001</v>
      </c>
      <c r="Q243" s="38">
        <f>VLOOKUP(P243,'Sheet A'!P243:AH853,2,)</f>
        <v>3</v>
      </c>
      <c r="R243" s="38">
        <f>VLOOKUP(Q243,'Sheet A'!Q243:AI853,2,)</f>
        <v>51</v>
      </c>
      <c r="S243" s="38">
        <f>VLOOKUP(R243,'Sheet A'!R243:AJ853,2,)</f>
        <v>54</v>
      </c>
    </row>
    <row r="244" spans="1:19" x14ac:dyDescent="0.35">
      <c r="A244" s="37">
        <v>243</v>
      </c>
      <c r="B244" s="60">
        <f>VLOOKUP(A244,'Sheet A'!A244:S854,2,)</f>
        <v>40554</v>
      </c>
      <c r="C244" s="38">
        <f>VLOOKUP(B244,'Sheet A'!B244:T854,2,)</f>
        <v>1</v>
      </c>
      <c r="D244" s="38">
        <f>VLOOKUP(C244,'Sheet A'!C244:U854,2,)</f>
        <v>0</v>
      </c>
      <c r="E244" s="38">
        <f>VLOOKUP(D244,'Sheet A'!D244:V854,2,)</f>
        <v>1</v>
      </c>
      <c r="F244" s="38">
        <f>VLOOKUP(E244,'Sheet A'!E244:W854,2,)</f>
        <v>11</v>
      </c>
      <c r="G244" s="41" t="str">
        <f>VLOOKUP(F244,'Sheet A'!F244:X854,2,)</f>
        <v>Morning</v>
      </c>
      <c r="H244" s="38" t="b">
        <f>VLOOKUP(G244,'Sheet A'!G244:Y854,2,)</f>
        <v>0</v>
      </c>
      <c r="I244" s="38">
        <f>VLOOKUP(H244,'Sheet A'!H244:Z854,2,)</f>
        <v>2</v>
      </c>
      <c r="J244" s="41" t="str">
        <f>VLOOKUP(I244,'Sheet A'!I244:AA854,2,)</f>
        <v>Monday</v>
      </c>
      <c r="K244" s="38">
        <f>VLOOKUP(J244,'Sheet A'!J244:AB854,2,)</f>
        <v>2</v>
      </c>
      <c r="L244" s="38">
        <f>VLOOKUP(K244,'Sheet A'!K244:AC854,2,)</f>
        <v>0.2</v>
      </c>
      <c r="M244" s="70" t="str">
        <f>VLOOKUP(L244,'Sheet A'!L244:AD854,2,)</f>
        <v>Rainy</v>
      </c>
      <c r="N244" s="38">
        <f>VLOOKUP(M244,'Sheet A'!M244:AE854,2,)</f>
        <v>0.21210000000000001</v>
      </c>
      <c r="O244" s="38">
        <f>VLOOKUP(N244,'Sheet A'!N244:AF854,2,)</f>
        <v>0.47</v>
      </c>
      <c r="P244" s="38">
        <f>VLOOKUP(O244,'Sheet A'!O244:AG854,2,)</f>
        <v>0.1343</v>
      </c>
      <c r="Q244" s="38">
        <f>VLOOKUP(P244,'Sheet A'!P244:AH854,2,)</f>
        <v>4</v>
      </c>
      <c r="R244" s="38">
        <f>VLOOKUP(Q244,'Sheet A'!Q244:AI854,2,)</f>
        <v>31</v>
      </c>
      <c r="S244" s="38">
        <f>VLOOKUP(R244,'Sheet A'!R244:AJ854,2,)</f>
        <v>35</v>
      </c>
    </row>
    <row r="245" spans="1:19" x14ac:dyDescent="0.35">
      <c r="A245" s="37">
        <v>244</v>
      </c>
      <c r="B245" s="60">
        <f>VLOOKUP(A245,'Sheet A'!A245:S855,2,)</f>
        <v>40554</v>
      </c>
      <c r="C245" s="38">
        <f>VLOOKUP(B245,'Sheet A'!B245:T855,2,)</f>
        <v>1</v>
      </c>
      <c r="D245" s="38">
        <f>VLOOKUP(C245,'Sheet A'!C245:U855,2,)</f>
        <v>0</v>
      </c>
      <c r="E245" s="38">
        <f>VLOOKUP(D245,'Sheet A'!D245:V855,2,)</f>
        <v>1</v>
      </c>
      <c r="F245" s="38">
        <f>VLOOKUP(E245,'Sheet A'!E245:W855,2,)</f>
        <v>12</v>
      </c>
      <c r="G245" s="41" t="str">
        <f>VLOOKUP(F245,'Sheet A'!F245:X855,2,)</f>
        <v>AfterNoon</v>
      </c>
      <c r="H245" s="38" t="b">
        <f>VLOOKUP(G245,'Sheet A'!G245:Y855,2,)</f>
        <v>0</v>
      </c>
      <c r="I245" s="38">
        <f>VLOOKUP(H245,'Sheet A'!H245:Z855,2,)</f>
        <v>2</v>
      </c>
      <c r="J245" s="41" t="str">
        <f>VLOOKUP(I245,'Sheet A'!I245:AA855,2,)</f>
        <v>Monday</v>
      </c>
      <c r="K245" s="38">
        <f>VLOOKUP(J245,'Sheet A'!J245:AB855,2,)</f>
        <v>2</v>
      </c>
      <c r="L245" s="38">
        <f>VLOOKUP(K245,'Sheet A'!K245:AC855,2,)</f>
        <v>0.2</v>
      </c>
      <c r="M245" s="70" t="str">
        <f>VLOOKUP(L245,'Sheet A'!L245:AD855,2,)</f>
        <v>Rainy</v>
      </c>
      <c r="N245" s="38">
        <f>VLOOKUP(M245,'Sheet A'!M245:AE855,2,)</f>
        <v>0.2273</v>
      </c>
      <c r="O245" s="38">
        <f>VLOOKUP(N245,'Sheet A'!N245:AF855,2,)</f>
        <v>0.51</v>
      </c>
      <c r="P245" s="38">
        <f>VLOOKUP(O245,'Sheet A'!O245:AG855,2,)</f>
        <v>0.1045</v>
      </c>
      <c r="Q245" s="38">
        <f>VLOOKUP(P245,'Sheet A'!P245:AH855,2,)</f>
        <v>2</v>
      </c>
      <c r="R245" s="38">
        <f>VLOOKUP(Q245,'Sheet A'!Q245:AI855,2,)</f>
        <v>55</v>
      </c>
      <c r="S245" s="38">
        <f>VLOOKUP(R245,'Sheet A'!R245:AJ855,2,)</f>
        <v>57</v>
      </c>
    </row>
    <row r="246" spans="1:19" x14ac:dyDescent="0.35">
      <c r="A246" s="37">
        <v>245</v>
      </c>
      <c r="B246" s="60">
        <f>VLOOKUP(A246,'Sheet A'!A246:S856,2,)</f>
        <v>40554</v>
      </c>
      <c r="C246" s="38">
        <f>VLOOKUP(B246,'Sheet A'!B246:T856,2,)</f>
        <v>1</v>
      </c>
      <c r="D246" s="38">
        <f>VLOOKUP(C246,'Sheet A'!C246:U856,2,)</f>
        <v>0</v>
      </c>
      <c r="E246" s="38">
        <f>VLOOKUP(D246,'Sheet A'!D246:V856,2,)</f>
        <v>1</v>
      </c>
      <c r="F246" s="38">
        <f>VLOOKUP(E246,'Sheet A'!E246:W856,2,)</f>
        <v>13</v>
      </c>
      <c r="G246" s="41" t="str">
        <f>VLOOKUP(F246,'Sheet A'!F246:X856,2,)</f>
        <v>AfterNoon</v>
      </c>
      <c r="H246" s="38" t="b">
        <f>VLOOKUP(G246,'Sheet A'!G246:Y856,2,)</f>
        <v>0</v>
      </c>
      <c r="I246" s="38">
        <f>VLOOKUP(H246,'Sheet A'!H246:Z856,2,)</f>
        <v>2</v>
      </c>
      <c r="J246" s="41" t="str">
        <f>VLOOKUP(I246,'Sheet A'!I246:AA856,2,)</f>
        <v>Monday</v>
      </c>
      <c r="K246" s="38">
        <f>VLOOKUP(J246,'Sheet A'!J246:AB856,2,)</f>
        <v>2</v>
      </c>
      <c r="L246" s="38">
        <f>VLOOKUP(K246,'Sheet A'!K246:AC856,2,)</f>
        <v>0.2</v>
      </c>
      <c r="M246" s="70" t="str">
        <f>VLOOKUP(L246,'Sheet A'!L246:AD856,2,)</f>
        <v>Rainy</v>
      </c>
      <c r="N246" s="38">
        <f>VLOOKUP(M246,'Sheet A'!M246:AE856,2,)</f>
        <v>0.2273</v>
      </c>
      <c r="O246" s="38">
        <f>VLOOKUP(N246,'Sheet A'!N246:AF856,2,)</f>
        <v>0.59</v>
      </c>
      <c r="P246" s="38">
        <f>VLOOKUP(O246,'Sheet A'!O246:AG856,2,)</f>
        <v>8.9599999999999999E-2</v>
      </c>
      <c r="Q246" s="38">
        <f>VLOOKUP(P246,'Sheet A'!P246:AH856,2,)</f>
        <v>6</v>
      </c>
      <c r="R246" s="38">
        <f>VLOOKUP(Q246,'Sheet A'!Q246:AI856,2,)</f>
        <v>46</v>
      </c>
      <c r="S246" s="38">
        <f>VLOOKUP(R246,'Sheet A'!R246:AJ856,2,)</f>
        <v>52</v>
      </c>
    </row>
    <row r="247" spans="1:19" x14ac:dyDescent="0.35">
      <c r="A247" s="37">
        <v>246</v>
      </c>
      <c r="B247" s="60">
        <f>VLOOKUP(A247,'Sheet A'!A247:S857,2,)</f>
        <v>40554</v>
      </c>
      <c r="C247" s="38">
        <f>VLOOKUP(B247,'Sheet A'!B247:T857,2,)</f>
        <v>1</v>
      </c>
      <c r="D247" s="38">
        <f>VLOOKUP(C247,'Sheet A'!C247:U857,2,)</f>
        <v>0</v>
      </c>
      <c r="E247" s="38">
        <f>VLOOKUP(D247,'Sheet A'!D247:V857,2,)</f>
        <v>1</v>
      </c>
      <c r="F247" s="38">
        <f>VLOOKUP(E247,'Sheet A'!E247:W857,2,)</f>
        <v>14</v>
      </c>
      <c r="G247" s="41" t="str">
        <f>VLOOKUP(F247,'Sheet A'!F247:X857,2,)</f>
        <v>AfterNoon</v>
      </c>
      <c r="H247" s="38" t="b">
        <f>VLOOKUP(G247,'Sheet A'!G247:Y857,2,)</f>
        <v>0</v>
      </c>
      <c r="I247" s="38">
        <f>VLOOKUP(H247,'Sheet A'!H247:Z857,2,)</f>
        <v>2</v>
      </c>
      <c r="J247" s="41" t="str">
        <f>VLOOKUP(I247,'Sheet A'!I247:AA857,2,)</f>
        <v>Monday</v>
      </c>
      <c r="K247" s="38">
        <f>VLOOKUP(J247,'Sheet A'!J247:AB857,2,)</f>
        <v>2</v>
      </c>
      <c r="L247" s="38">
        <f>VLOOKUP(K247,'Sheet A'!K247:AC857,2,)</f>
        <v>0.2</v>
      </c>
      <c r="M247" s="70" t="str">
        <f>VLOOKUP(L247,'Sheet A'!L247:AD857,2,)</f>
        <v>Rainy</v>
      </c>
      <c r="N247" s="38">
        <f>VLOOKUP(M247,'Sheet A'!M247:AE857,2,)</f>
        <v>0.2273</v>
      </c>
      <c r="O247" s="38">
        <f>VLOOKUP(N247,'Sheet A'!N247:AF857,2,)</f>
        <v>0.59</v>
      </c>
      <c r="P247" s="38">
        <f>VLOOKUP(O247,'Sheet A'!O247:AG857,2,)</f>
        <v>8.9599999999999999E-2</v>
      </c>
      <c r="Q247" s="38">
        <f>VLOOKUP(P247,'Sheet A'!P247:AH857,2,)</f>
        <v>3</v>
      </c>
      <c r="R247" s="38">
        <f>VLOOKUP(Q247,'Sheet A'!Q247:AI857,2,)</f>
        <v>60</v>
      </c>
      <c r="S247" s="38">
        <f>VLOOKUP(R247,'Sheet A'!R247:AJ857,2,)</f>
        <v>63</v>
      </c>
    </row>
    <row r="248" spans="1:19" x14ac:dyDescent="0.35">
      <c r="A248" s="37">
        <v>247</v>
      </c>
      <c r="B248" s="60">
        <f>VLOOKUP(A248,'Sheet A'!A248:S858,2,)</f>
        <v>40554</v>
      </c>
      <c r="C248" s="38">
        <f>VLOOKUP(B248,'Sheet A'!B248:T858,2,)</f>
        <v>1</v>
      </c>
      <c r="D248" s="38">
        <f>VLOOKUP(C248,'Sheet A'!C248:U858,2,)</f>
        <v>0</v>
      </c>
      <c r="E248" s="38">
        <f>VLOOKUP(D248,'Sheet A'!D248:V858,2,)</f>
        <v>1</v>
      </c>
      <c r="F248" s="38">
        <f>VLOOKUP(E248,'Sheet A'!E248:W858,2,)</f>
        <v>15</v>
      </c>
      <c r="G248" s="41" t="str">
        <f>VLOOKUP(F248,'Sheet A'!F248:X858,2,)</f>
        <v>AfterNoon</v>
      </c>
      <c r="H248" s="38" t="b">
        <f>VLOOKUP(G248,'Sheet A'!G248:Y858,2,)</f>
        <v>0</v>
      </c>
      <c r="I248" s="38">
        <f>VLOOKUP(H248,'Sheet A'!H248:Z858,2,)</f>
        <v>2</v>
      </c>
      <c r="J248" s="41" t="str">
        <f>VLOOKUP(I248,'Sheet A'!I248:AA858,2,)</f>
        <v>Monday</v>
      </c>
      <c r="K248" s="38">
        <f>VLOOKUP(J248,'Sheet A'!J248:AB858,2,)</f>
        <v>2</v>
      </c>
      <c r="L248" s="38">
        <f>VLOOKUP(K248,'Sheet A'!K248:AC858,2,)</f>
        <v>0.16</v>
      </c>
      <c r="M248" s="70" t="str">
        <f>VLOOKUP(L248,'Sheet A'!L248:AD858,2,)</f>
        <v>Rainy</v>
      </c>
      <c r="N248" s="38">
        <f>VLOOKUP(M248,'Sheet A'!M248:AE858,2,)</f>
        <v>0.19700000000000001</v>
      </c>
      <c r="O248" s="38">
        <f>VLOOKUP(N248,'Sheet A'!N248:AF858,2,)</f>
        <v>0.8</v>
      </c>
      <c r="P248" s="38">
        <f>VLOOKUP(O248,'Sheet A'!O248:AG858,2,)</f>
        <v>8.9599999999999999E-2</v>
      </c>
      <c r="Q248" s="38">
        <f>VLOOKUP(P248,'Sheet A'!P248:AH858,2,)</f>
        <v>2</v>
      </c>
      <c r="R248" s="38">
        <f>VLOOKUP(Q248,'Sheet A'!Q248:AI858,2,)</f>
        <v>45</v>
      </c>
      <c r="S248" s="38">
        <f>VLOOKUP(R248,'Sheet A'!R248:AJ858,2,)</f>
        <v>47</v>
      </c>
    </row>
    <row r="249" spans="1:19" x14ac:dyDescent="0.35">
      <c r="A249" s="37">
        <v>248</v>
      </c>
      <c r="B249" s="60">
        <f>VLOOKUP(A249,'Sheet A'!A249:S859,2,)</f>
        <v>40554</v>
      </c>
      <c r="C249" s="38">
        <f>VLOOKUP(B249,'Sheet A'!B249:T859,2,)</f>
        <v>1</v>
      </c>
      <c r="D249" s="38">
        <f>VLOOKUP(C249,'Sheet A'!C249:U859,2,)</f>
        <v>0</v>
      </c>
      <c r="E249" s="38">
        <f>VLOOKUP(D249,'Sheet A'!D249:V859,2,)</f>
        <v>1</v>
      </c>
      <c r="F249" s="38">
        <f>VLOOKUP(E249,'Sheet A'!E249:W859,2,)</f>
        <v>16</v>
      </c>
      <c r="G249" s="41" t="str">
        <f>VLOOKUP(F249,'Sheet A'!F249:X859,2,)</f>
        <v>AfterNoon</v>
      </c>
      <c r="H249" s="38" t="b">
        <f>VLOOKUP(G249,'Sheet A'!G249:Y859,2,)</f>
        <v>0</v>
      </c>
      <c r="I249" s="38">
        <f>VLOOKUP(H249,'Sheet A'!H249:Z859,2,)</f>
        <v>2</v>
      </c>
      <c r="J249" s="41" t="str">
        <f>VLOOKUP(I249,'Sheet A'!I249:AA859,2,)</f>
        <v>Monday</v>
      </c>
      <c r="K249" s="38">
        <f>VLOOKUP(J249,'Sheet A'!J249:AB859,2,)</f>
        <v>2</v>
      </c>
      <c r="L249" s="38">
        <f>VLOOKUP(K249,'Sheet A'!K249:AC859,2,)</f>
        <v>0.16</v>
      </c>
      <c r="M249" s="70" t="str">
        <f>VLOOKUP(L249,'Sheet A'!L249:AD859,2,)</f>
        <v>Rainy</v>
      </c>
      <c r="N249" s="38">
        <f>VLOOKUP(M249,'Sheet A'!M249:AE859,2,)</f>
        <v>0.1515</v>
      </c>
      <c r="O249" s="38">
        <f>VLOOKUP(N249,'Sheet A'!N249:AF859,2,)</f>
        <v>0.86</v>
      </c>
      <c r="P249" s="38">
        <f>VLOOKUP(O249,'Sheet A'!O249:AG859,2,)</f>
        <v>0.22389999999999999</v>
      </c>
      <c r="Q249" s="38">
        <f>VLOOKUP(P249,'Sheet A'!P249:AH859,2,)</f>
        <v>4</v>
      </c>
      <c r="R249" s="38">
        <f>VLOOKUP(Q249,'Sheet A'!Q249:AI859,2,)</f>
        <v>72</v>
      </c>
      <c r="S249" s="38">
        <f>VLOOKUP(R249,'Sheet A'!R249:AJ859,2,)</f>
        <v>76</v>
      </c>
    </row>
    <row r="250" spans="1:19" x14ac:dyDescent="0.35">
      <c r="A250" s="37">
        <v>249</v>
      </c>
      <c r="B250" s="60">
        <f>VLOOKUP(A250,'Sheet A'!A250:S860,2,)</f>
        <v>40554</v>
      </c>
      <c r="C250" s="38">
        <f>VLOOKUP(B250,'Sheet A'!B250:T860,2,)</f>
        <v>1</v>
      </c>
      <c r="D250" s="38">
        <f>VLOOKUP(C250,'Sheet A'!C250:U860,2,)</f>
        <v>0</v>
      </c>
      <c r="E250" s="38">
        <f>VLOOKUP(D250,'Sheet A'!D250:V860,2,)</f>
        <v>1</v>
      </c>
      <c r="F250" s="38">
        <f>VLOOKUP(E250,'Sheet A'!E250:W860,2,)</f>
        <v>17</v>
      </c>
      <c r="G250" s="41" t="str">
        <f>VLOOKUP(F250,'Sheet A'!F250:X860,2,)</f>
        <v>Evening</v>
      </c>
      <c r="H250" s="38" t="b">
        <f>VLOOKUP(G250,'Sheet A'!G250:Y860,2,)</f>
        <v>0</v>
      </c>
      <c r="I250" s="38">
        <f>VLOOKUP(H250,'Sheet A'!H250:Z860,2,)</f>
        <v>2</v>
      </c>
      <c r="J250" s="41" t="str">
        <f>VLOOKUP(I250,'Sheet A'!I250:AA860,2,)</f>
        <v>Monday</v>
      </c>
      <c r="K250" s="38">
        <f>VLOOKUP(J250,'Sheet A'!J250:AB860,2,)</f>
        <v>2</v>
      </c>
      <c r="L250" s="38">
        <f>VLOOKUP(K250,'Sheet A'!K250:AC860,2,)</f>
        <v>0.16</v>
      </c>
      <c r="M250" s="70" t="str">
        <f>VLOOKUP(L250,'Sheet A'!L250:AD860,2,)</f>
        <v>Rainy</v>
      </c>
      <c r="N250" s="38">
        <f>VLOOKUP(M250,'Sheet A'!M250:AE860,2,)</f>
        <v>0.1515</v>
      </c>
      <c r="O250" s="38">
        <f>VLOOKUP(N250,'Sheet A'!N250:AF860,2,)</f>
        <v>0.86</v>
      </c>
      <c r="P250" s="38">
        <f>VLOOKUP(O250,'Sheet A'!O250:AG860,2,)</f>
        <v>0.22389999999999999</v>
      </c>
      <c r="Q250" s="38">
        <f>VLOOKUP(P250,'Sheet A'!P250:AH860,2,)</f>
        <v>6</v>
      </c>
      <c r="R250" s="38">
        <f>VLOOKUP(Q250,'Sheet A'!Q250:AI860,2,)</f>
        <v>130</v>
      </c>
      <c r="S250" s="38">
        <f>VLOOKUP(R250,'Sheet A'!R250:AJ860,2,)</f>
        <v>136</v>
      </c>
    </row>
    <row r="251" spans="1:19" x14ac:dyDescent="0.35">
      <c r="A251" s="37">
        <v>250</v>
      </c>
      <c r="B251" s="60">
        <f>VLOOKUP(A251,'Sheet A'!A251:S861,2,)</f>
        <v>40554</v>
      </c>
      <c r="C251" s="38">
        <f>VLOOKUP(B251,'Sheet A'!B251:T861,2,)</f>
        <v>1</v>
      </c>
      <c r="D251" s="38">
        <f>VLOOKUP(C251,'Sheet A'!C251:U861,2,)</f>
        <v>0</v>
      </c>
      <c r="E251" s="38">
        <f>VLOOKUP(D251,'Sheet A'!D251:V861,2,)</f>
        <v>1</v>
      </c>
      <c r="F251" s="38">
        <f>VLOOKUP(E251,'Sheet A'!E251:W861,2,)</f>
        <v>18</v>
      </c>
      <c r="G251" s="41" t="str">
        <f>VLOOKUP(F251,'Sheet A'!F251:X861,2,)</f>
        <v>Evening</v>
      </c>
      <c r="H251" s="38" t="b">
        <f>VLOOKUP(G251,'Sheet A'!G251:Y861,2,)</f>
        <v>0</v>
      </c>
      <c r="I251" s="38">
        <f>VLOOKUP(H251,'Sheet A'!H251:Z861,2,)</f>
        <v>2</v>
      </c>
      <c r="J251" s="41" t="str">
        <f>VLOOKUP(I251,'Sheet A'!I251:AA861,2,)</f>
        <v>Monday</v>
      </c>
      <c r="K251" s="38">
        <f>VLOOKUP(J251,'Sheet A'!J251:AB861,2,)</f>
        <v>3</v>
      </c>
      <c r="L251" s="38">
        <f>VLOOKUP(K251,'Sheet A'!K251:AC861,2,)</f>
        <v>0.16</v>
      </c>
      <c r="M251" s="70" t="str">
        <f>VLOOKUP(L251,'Sheet A'!L251:AD861,2,)</f>
        <v>Rainy</v>
      </c>
      <c r="N251" s="38">
        <f>VLOOKUP(M251,'Sheet A'!M251:AE861,2,)</f>
        <v>0.18179999999999999</v>
      </c>
      <c r="O251" s="38">
        <f>VLOOKUP(N251,'Sheet A'!N251:AF861,2,)</f>
        <v>0.93</v>
      </c>
      <c r="P251" s="38">
        <f>VLOOKUP(O251,'Sheet A'!O251:AG861,2,)</f>
        <v>0.1045</v>
      </c>
      <c r="Q251" s="38">
        <f>VLOOKUP(P251,'Sheet A'!P251:AH861,2,)</f>
        <v>1</v>
      </c>
      <c r="R251" s="38">
        <f>VLOOKUP(Q251,'Sheet A'!Q251:AI861,2,)</f>
        <v>94</v>
      </c>
      <c r="S251" s="38">
        <f>VLOOKUP(R251,'Sheet A'!R251:AJ861,2,)</f>
        <v>95</v>
      </c>
    </row>
    <row r="252" spans="1:19" x14ac:dyDescent="0.35">
      <c r="A252" s="37">
        <v>251</v>
      </c>
      <c r="B252" s="60">
        <f>VLOOKUP(A252,'Sheet A'!A252:S862,2,)</f>
        <v>40554</v>
      </c>
      <c r="C252" s="38">
        <f>VLOOKUP(B252,'Sheet A'!B252:T862,2,)</f>
        <v>1</v>
      </c>
      <c r="D252" s="38">
        <f>VLOOKUP(C252,'Sheet A'!C252:U862,2,)</f>
        <v>0</v>
      </c>
      <c r="E252" s="38">
        <f>VLOOKUP(D252,'Sheet A'!D252:V862,2,)</f>
        <v>1</v>
      </c>
      <c r="F252" s="38">
        <f>VLOOKUP(E252,'Sheet A'!E252:W862,2,)</f>
        <v>19</v>
      </c>
      <c r="G252" s="41" t="str">
        <f>VLOOKUP(F252,'Sheet A'!F252:X862,2,)</f>
        <v>Evening</v>
      </c>
      <c r="H252" s="38" t="b">
        <f>VLOOKUP(G252,'Sheet A'!G252:Y862,2,)</f>
        <v>0</v>
      </c>
      <c r="I252" s="38">
        <f>VLOOKUP(H252,'Sheet A'!H252:Z862,2,)</f>
        <v>2</v>
      </c>
      <c r="J252" s="41" t="str">
        <f>VLOOKUP(I252,'Sheet A'!I252:AA862,2,)</f>
        <v>Monday</v>
      </c>
      <c r="K252" s="38">
        <f>VLOOKUP(J252,'Sheet A'!J252:AB862,2,)</f>
        <v>3</v>
      </c>
      <c r="L252" s="38">
        <f>VLOOKUP(K252,'Sheet A'!K252:AC862,2,)</f>
        <v>0.16</v>
      </c>
      <c r="M252" s="70" t="str">
        <f>VLOOKUP(L252,'Sheet A'!L252:AD862,2,)</f>
        <v>Rainy</v>
      </c>
      <c r="N252" s="38">
        <f>VLOOKUP(M252,'Sheet A'!M252:AE862,2,)</f>
        <v>0.2273</v>
      </c>
      <c r="O252" s="38">
        <f>VLOOKUP(N252,'Sheet A'!N252:AF862,2,)</f>
        <v>0.93</v>
      </c>
      <c r="P252" s="38">
        <f>VLOOKUP(O252,'Sheet A'!O252:AG862,2,)</f>
        <v>0</v>
      </c>
      <c r="Q252" s="38">
        <f>VLOOKUP(P252,'Sheet A'!P252:AH862,2,)</f>
        <v>0</v>
      </c>
      <c r="R252" s="38">
        <f>VLOOKUP(Q252,'Sheet A'!Q252:AI862,2,)</f>
        <v>51</v>
      </c>
      <c r="S252" s="38">
        <f>VLOOKUP(R252,'Sheet A'!R252:AJ862,2,)</f>
        <v>51</v>
      </c>
    </row>
    <row r="253" spans="1:19" x14ac:dyDescent="0.35">
      <c r="A253" s="37">
        <v>252</v>
      </c>
      <c r="B253" s="60">
        <f>VLOOKUP(A253,'Sheet A'!A253:S863,2,)</f>
        <v>40554</v>
      </c>
      <c r="C253" s="38">
        <f>VLOOKUP(B253,'Sheet A'!B253:T863,2,)</f>
        <v>1</v>
      </c>
      <c r="D253" s="38">
        <f>VLOOKUP(C253,'Sheet A'!C253:U863,2,)</f>
        <v>0</v>
      </c>
      <c r="E253" s="38">
        <f>VLOOKUP(D253,'Sheet A'!D253:V863,2,)</f>
        <v>1</v>
      </c>
      <c r="F253" s="38">
        <f>VLOOKUP(E253,'Sheet A'!E253:W863,2,)</f>
        <v>20</v>
      </c>
      <c r="G253" s="41" t="str">
        <f>VLOOKUP(F253,'Sheet A'!F253:X863,2,)</f>
        <v>Night</v>
      </c>
      <c r="H253" s="38" t="b">
        <f>VLOOKUP(G253,'Sheet A'!G253:Y863,2,)</f>
        <v>0</v>
      </c>
      <c r="I253" s="38">
        <f>VLOOKUP(H253,'Sheet A'!H253:Z863,2,)</f>
        <v>2</v>
      </c>
      <c r="J253" s="41" t="str">
        <f>VLOOKUP(I253,'Sheet A'!I253:AA863,2,)</f>
        <v>Monday</v>
      </c>
      <c r="K253" s="38">
        <f>VLOOKUP(J253,'Sheet A'!J253:AB863,2,)</f>
        <v>3</v>
      </c>
      <c r="L253" s="38">
        <f>VLOOKUP(K253,'Sheet A'!K253:AC863,2,)</f>
        <v>0.16</v>
      </c>
      <c r="M253" s="70" t="str">
        <f>VLOOKUP(L253,'Sheet A'!L253:AD863,2,)</f>
        <v>Rainy</v>
      </c>
      <c r="N253" s="38">
        <f>VLOOKUP(M253,'Sheet A'!M253:AE863,2,)</f>
        <v>0.1515</v>
      </c>
      <c r="O253" s="38">
        <f>VLOOKUP(N253,'Sheet A'!N253:AF863,2,)</f>
        <v>0.93</v>
      </c>
      <c r="P253" s="38">
        <f>VLOOKUP(O253,'Sheet A'!O253:AG863,2,)</f>
        <v>0.19400000000000001</v>
      </c>
      <c r="Q253" s="38">
        <f>VLOOKUP(P253,'Sheet A'!P253:AH863,2,)</f>
        <v>0</v>
      </c>
      <c r="R253" s="38">
        <f>VLOOKUP(Q253,'Sheet A'!Q253:AI863,2,)</f>
        <v>32</v>
      </c>
      <c r="S253" s="38">
        <f>VLOOKUP(R253,'Sheet A'!R253:AJ863,2,)</f>
        <v>32</v>
      </c>
    </row>
    <row r="254" spans="1:19" x14ac:dyDescent="0.35">
      <c r="A254" s="37">
        <v>253</v>
      </c>
      <c r="B254" s="60">
        <f>VLOOKUP(A254,'Sheet A'!A254:S864,2,)</f>
        <v>40554</v>
      </c>
      <c r="C254" s="38">
        <f>VLOOKUP(B254,'Sheet A'!B254:T864,2,)</f>
        <v>1</v>
      </c>
      <c r="D254" s="38">
        <f>VLOOKUP(C254,'Sheet A'!C254:U864,2,)</f>
        <v>0</v>
      </c>
      <c r="E254" s="38">
        <f>VLOOKUP(D254,'Sheet A'!D254:V864,2,)</f>
        <v>1</v>
      </c>
      <c r="F254" s="38">
        <f>VLOOKUP(E254,'Sheet A'!E254:W864,2,)</f>
        <v>21</v>
      </c>
      <c r="G254" s="41" t="str">
        <f>VLOOKUP(F254,'Sheet A'!F254:X864,2,)</f>
        <v>Night</v>
      </c>
      <c r="H254" s="38" t="b">
        <f>VLOOKUP(G254,'Sheet A'!G254:Y864,2,)</f>
        <v>0</v>
      </c>
      <c r="I254" s="38">
        <f>VLOOKUP(H254,'Sheet A'!H254:Z864,2,)</f>
        <v>2</v>
      </c>
      <c r="J254" s="41" t="str">
        <f>VLOOKUP(I254,'Sheet A'!I254:AA864,2,)</f>
        <v>Monday</v>
      </c>
      <c r="K254" s="38">
        <f>VLOOKUP(J254,'Sheet A'!J254:AB864,2,)</f>
        <v>3</v>
      </c>
      <c r="L254" s="38">
        <f>VLOOKUP(K254,'Sheet A'!K254:AC864,2,)</f>
        <v>0.16</v>
      </c>
      <c r="M254" s="70" t="str">
        <f>VLOOKUP(L254,'Sheet A'!L254:AD864,2,)</f>
        <v>Rainy</v>
      </c>
      <c r="N254" s="38">
        <f>VLOOKUP(M254,'Sheet A'!M254:AE864,2,)</f>
        <v>0.19700000000000001</v>
      </c>
      <c r="O254" s="38">
        <f>VLOOKUP(N254,'Sheet A'!N254:AF864,2,)</f>
        <v>0.86</v>
      </c>
      <c r="P254" s="38">
        <f>VLOOKUP(O254,'Sheet A'!O254:AG864,2,)</f>
        <v>8.9599999999999999E-2</v>
      </c>
      <c r="Q254" s="38">
        <f>VLOOKUP(P254,'Sheet A'!P254:AH864,2,)</f>
        <v>0</v>
      </c>
      <c r="R254" s="38">
        <f>VLOOKUP(Q254,'Sheet A'!Q254:AI864,2,)</f>
        <v>20</v>
      </c>
      <c r="S254" s="38">
        <f>VLOOKUP(R254,'Sheet A'!R254:AJ864,2,)</f>
        <v>20</v>
      </c>
    </row>
    <row r="255" spans="1:19" x14ac:dyDescent="0.35">
      <c r="A255" s="37">
        <v>254</v>
      </c>
      <c r="B255" s="60">
        <f>VLOOKUP(A255,'Sheet A'!A255:S865,2,)</f>
        <v>40554</v>
      </c>
      <c r="C255" s="38">
        <f>VLOOKUP(B255,'Sheet A'!B255:T865,2,)</f>
        <v>1</v>
      </c>
      <c r="D255" s="38">
        <f>VLOOKUP(C255,'Sheet A'!C255:U865,2,)</f>
        <v>0</v>
      </c>
      <c r="E255" s="38">
        <f>VLOOKUP(D255,'Sheet A'!D255:V865,2,)</f>
        <v>1</v>
      </c>
      <c r="F255" s="38">
        <f>VLOOKUP(E255,'Sheet A'!E255:W865,2,)</f>
        <v>22</v>
      </c>
      <c r="G255" s="41" t="str">
        <f>VLOOKUP(F255,'Sheet A'!F255:X865,2,)</f>
        <v>Night</v>
      </c>
      <c r="H255" s="38" t="b">
        <f>VLOOKUP(G255,'Sheet A'!G255:Y865,2,)</f>
        <v>0</v>
      </c>
      <c r="I255" s="38">
        <f>VLOOKUP(H255,'Sheet A'!H255:Z865,2,)</f>
        <v>2</v>
      </c>
      <c r="J255" s="41" t="str">
        <f>VLOOKUP(I255,'Sheet A'!I255:AA865,2,)</f>
        <v>Monday</v>
      </c>
      <c r="K255" s="38">
        <f>VLOOKUP(J255,'Sheet A'!J255:AB865,2,)</f>
        <v>3</v>
      </c>
      <c r="L255" s="38">
        <f>VLOOKUP(K255,'Sheet A'!K255:AC865,2,)</f>
        <v>0.16</v>
      </c>
      <c r="M255" s="70" t="str">
        <f>VLOOKUP(L255,'Sheet A'!L255:AD865,2,)</f>
        <v>Rainy</v>
      </c>
      <c r="N255" s="38">
        <f>VLOOKUP(M255,'Sheet A'!M255:AE865,2,)</f>
        <v>0.18179999999999999</v>
      </c>
      <c r="O255" s="38">
        <f>VLOOKUP(N255,'Sheet A'!N255:AF865,2,)</f>
        <v>0.93</v>
      </c>
      <c r="P255" s="38">
        <f>VLOOKUP(O255,'Sheet A'!O255:AG865,2,)</f>
        <v>0.1045</v>
      </c>
      <c r="Q255" s="38">
        <f>VLOOKUP(P255,'Sheet A'!P255:AH865,2,)</f>
        <v>1</v>
      </c>
      <c r="R255" s="38">
        <f>VLOOKUP(Q255,'Sheet A'!Q255:AI865,2,)</f>
        <v>28</v>
      </c>
      <c r="S255" s="38">
        <f>VLOOKUP(R255,'Sheet A'!R255:AJ865,2,)</f>
        <v>29</v>
      </c>
    </row>
    <row r="256" spans="1:19" x14ac:dyDescent="0.35">
      <c r="A256" s="37">
        <v>255</v>
      </c>
      <c r="B256" s="60">
        <f>VLOOKUP(A256,'Sheet A'!A256:S866,2,)</f>
        <v>40554</v>
      </c>
      <c r="C256" s="38">
        <f>VLOOKUP(B256,'Sheet A'!B256:T866,2,)</f>
        <v>1</v>
      </c>
      <c r="D256" s="38">
        <f>VLOOKUP(C256,'Sheet A'!C256:U866,2,)</f>
        <v>0</v>
      </c>
      <c r="E256" s="38">
        <f>VLOOKUP(D256,'Sheet A'!D256:V866,2,)</f>
        <v>1</v>
      </c>
      <c r="F256" s="38">
        <f>VLOOKUP(E256,'Sheet A'!E256:W866,2,)</f>
        <v>23</v>
      </c>
      <c r="G256" s="41" t="str">
        <f>VLOOKUP(F256,'Sheet A'!F256:X866,2,)</f>
        <v>Night</v>
      </c>
      <c r="H256" s="38" t="b">
        <f>VLOOKUP(G256,'Sheet A'!G256:Y866,2,)</f>
        <v>0</v>
      </c>
      <c r="I256" s="38">
        <f>VLOOKUP(H256,'Sheet A'!H256:Z866,2,)</f>
        <v>2</v>
      </c>
      <c r="J256" s="41" t="str">
        <f>VLOOKUP(I256,'Sheet A'!I256:AA866,2,)</f>
        <v>Monday</v>
      </c>
      <c r="K256" s="38">
        <f>VLOOKUP(J256,'Sheet A'!J256:AB866,2,)</f>
        <v>3</v>
      </c>
      <c r="L256" s="38">
        <f>VLOOKUP(K256,'Sheet A'!K256:AC866,2,)</f>
        <v>0.16</v>
      </c>
      <c r="M256" s="70" t="str">
        <f>VLOOKUP(L256,'Sheet A'!L256:AD866,2,)</f>
        <v>Rainy</v>
      </c>
      <c r="N256" s="38">
        <f>VLOOKUP(M256,'Sheet A'!M256:AE866,2,)</f>
        <v>0.19700000000000001</v>
      </c>
      <c r="O256" s="38">
        <f>VLOOKUP(N256,'Sheet A'!N256:AF866,2,)</f>
        <v>0.93</v>
      </c>
      <c r="P256" s="38">
        <f>VLOOKUP(O256,'Sheet A'!O256:AG866,2,)</f>
        <v>8.9599999999999999E-2</v>
      </c>
      <c r="Q256" s="38">
        <f>VLOOKUP(P256,'Sheet A'!P256:AH866,2,)</f>
        <v>1</v>
      </c>
      <c r="R256" s="38">
        <f>VLOOKUP(Q256,'Sheet A'!Q256:AI866,2,)</f>
        <v>18</v>
      </c>
      <c r="S256" s="38">
        <f>VLOOKUP(R256,'Sheet A'!R256:AJ866,2,)</f>
        <v>19</v>
      </c>
    </row>
    <row r="257" spans="1:19" x14ac:dyDescent="0.35">
      <c r="A257" s="37">
        <v>256</v>
      </c>
      <c r="B257" s="60">
        <f>VLOOKUP(A257,'Sheet A'!A257:S867,2,)</f>
        <v>40555</v>
      </c>
      <c r="C257" s="38">
        <f>VLOOKUP(B257,'Sheet A'!B257:T867,2,)</f>
        <v>1</v>
      </c>
      <c r="D257" s="38">
        <f>VLOOKUP(C257,'Sheet A'!C257:U867,2,)</f>
        <v>0</v>
      </c>
      <c r="E257" s="38">
        <f>VLOOKUP(D257,'Sheet A'!D257:V867,2,)</f>
        <v>1</v>
      </c>
      <c r="F257" s="38">
        <f>VLOOKUP(E257,'Sheet A'!E257:W867,2,)</f>
        <v>0</v>
      </c>
      <c r="G257" s="41" t="str">
        <f>VLOOKUP(F257,'Sheet A'!F257:X867,2,)</f>
        <v>Night</v>
      </c>
      <c r="H257" s="38" t="b">
        <f>VLOOKUP(G257,'Sheet A'!G257:Y867,2,)</f>
        <v>0</v>
      </c>
      <c r="I257" s="38">
        <f>VLOOKUP(H257,'Sheet A'!H257:Z867,2,)</f>
        <v>3</v>
      </c>
      <c r="J257" s="41" t="str">
        <f>VLOOKUP(I257,'Sheet A'!I257:AA867,2,)</f>
        <v>Tuesday</v>
      </c>
      <c r="K257" s="38">
        <f>VLOOKUP(J257,'Sheet A'!J257:AB867,2,)</f>
        <v>2</v>
      </c>
      <c r="L257" s="38">
        <f>VLOOKUP(K257,'Sheet A'!K257:AC867,2,)</f>
        <v>0.16</v>
      </c>
      <c r="M257" s="70" t="str">
        <f>VLOOKUP(L257,'Sheet A'!L257:AD867,2,)</f>
        <v>Rainy</v>
      </c>
      <c r="N257" s="38">
        <f>VLOOKUP(M257,'Sheet A'!M257:AE867,2,)</f>
        <v>0.19700000000000001</v>
      </c>
      <c r="O257" s="38">
        <f>VLOOKUP(N257,'Sheet A'!N257:AF867,2,)</f>
        <v>0.86</v>
      </c>
      <c r="P257" s="38">
        <f>VLOOKUP(O257,'Sheet A'!O257:AG867,2,)</f>
        <v>8.9599999999999999E-2</v>
      </c>
      <c r="Q257" s="38">
        <f>VLOOKUP(P257,'Sheet A'!P257:AH867,2,)</f>
        <v>0</v>
      </c>
      <c r="R257" s="38">
        <f>VLOOKUP(Q257,'Sheet A'!Q257:AI867,2,)</f>
        <v>7</v>
      </c>
      <c r="S257" s="38">
        <f>VLOOKUP(R257,'Sheet A'!R257:AJ867,2,)</f>
        <v>7</v>
      </c>
    </row>
    <row r="258" spans="1:19" x14ac:dyDescent="0.35">
      <c r="A258" s="37">
        <v>257</v>
      </c>
      <c r="B258" s="60">
        <f>VLOOKUP(A258,'Sheet A'!A258:S868,2,)</f>
        <v>40555</v>
      </c>
      <c r="C258" s="38">
        <f>VLOOKUP(B258,'Sheet A'!B258:T868,2,)</f>
        <v>1</v>
      </c>
      <c r="D258" s="38">
        <f>VLOOKUP(C258,'Sheet A'!C258:U868,2,)</f>
        <v>0</v>
      </c>
      <c r="E258" s="38">
        <f>VLOOKUP(D258,'Sheet A'!D258:V868,2,)</f>
        <v>1</v>
      </c>
      <c r="F258" s="38">
        <f>VLOOKUP(E258,'Sheet A'!E258:W868,2,)</f>
        <v>1</v>
      </c>
      <c r="G258" s="41" t="str">
        <f>VLOOKUP(F258,'Sheet A'!F258:X868,2,)</f>
        <v>Night</v>
      </c>
      <c r="H258" s="38" t="b">
        <f>VLOOKUP(G258,'Sheet A'!G258:Y868,2,)</f>
        <v>0</v>
      </c>
      <c r="I258" s="38">
        <f>VLOOKUP(H258,'Sheet A'!H258:Z868,2,)</f>
        <v>3</v>
      </c>
      <c r="J258" s="41" t="str">
        <f>VLOOKUP(I258,'Sheet A'!I258:AA868,2,)</f>
        <v>Tuesday</v>
      </c>
      <c r="K258" s="38">
        <f>VLOOKUP(J258,'Sheet A'!J258:AB868,2,)</f>
        <v>2</v>
      </c>
      <c r="L258" s="38">
        <f>VLOOKUP(K258,'Sheet A'!K258:AC868,2,)</f>
        <v>0.16</v>
      </c>
      <c r="M258" s="70" t="str">
        <f>VLOOKUP(L258,'Sheet A'!L258:AD868,2,)</f>
        <v>Rainy</v>
      </c>
      <c r="N258" s="38">
        <f>VLOOKUP(M258,'Sheet A'!M258:AE868,2,)</f>
        <v>0.18179999999999999</v>
      </c>
      <c r="O258" s="38">
        <f>VLOOKUP(N258,'Sheet A'!N258:AF868,2,)</f>
        <v>0.86</v>
      </c>
      <c r="P258" s="38">
        <f>VLOOKUP(O258,'Sheet A'!O258:AG868,2,)</f>
        <v>0.1045</v>
      </c>
      <c r="Q258" s="38">
        <f>VLOOKUP(P258,'Sheet A'!P258:AH868,2,)</f>
        <v>0</v>
      </c>
      <c r="R258" s="38">
        <f>VLOOKUP(Q258,'Sheet A'!Q258:AI868,2,)</f>
        <v>6</v>
      </c>
      <c r="S258" s="38">
        <f>VLOOKUP(R258,'Sheet A'!R258:AJ868,2,)</f>
        <v>6</v>
      </c>
    </row>
    <row r="259" spans="1:19" x14ac:dyDescent="0.35">
      <c r="A259" s="37">
        <v>258</v>
      </c>
      <c r="B259" s="60">
        <f>VLOOKUP(A259,'Sheet A'!A259:S869,2,)</f>
        <v>40555</v>
      </c>
      <c r="C259" s="38">
        <f>VLOOKUP(B259,'Sheet A'!B259:T869,2,)</f>
        <v>1</v>
      </c>
      <c r="D259" s="38">
        <f>VLOOKUP(C259,'Sheet A'!C259:U869,2,)</f>
        <v>0</v>
      </c>
      <c r="E259" s="38">
        <f>VLOOKUP(D259,'Sheet A'!D259:V869,2,)</f>
        <v>1</v>
      </c>
      <c r="F259" s="38">
        <f>VLOOKUP(E259,'Sheet A'!E259:W869,2,)</f>
        <v>2</v>
      </c>
      <c r="G259" s="41" t="str">
        <f>VLOOKUP(F259,'Sheet A'!F259:X869,2,)</f>
        <v>Night</v>
      </c>
      <c r="H259" s="38" t="b">
        <f>VLOOKUP(G259,'Sheet A'!G259:Y869,2,)</f>
        <v>0</v>
      </c>
      <c r="I259" s="38">
        <f>VLOOKUP(H259,'Sheet A'!H259:Z869,2,)</f>
        <v>3</v>
      </c>
      <c r="J259" s="41" t="str">
        <f>VLOOKUP(I259,'Sheet A'!I259:AA869,2,)</f>
        <v>Tuesday</v>
      </c>
      <c r="K259" s="38">
        <f>VLOOKUP(J259,'Sheet A'!J259:AB869,2,)</f>
        <v>1</v>
      </c>
      <c r="L259" s="38">
        <f>VLOOKUP(K259,'Sheet A'!K259:AC869,2,)</f>
        <v>0.14000000000000001</v>
      </c>
      <c r="M259" s="70" t="str">
        <f>VLOOKUP(L259,'Sheet A'!L259:AD869,2,)</f>
        <v>Rainy</v>
      </c>
      <c r="N259" s="38">
        <f>VLOOKUP(M259,'Sheet A'!M259:AE869,2,)</f>
        <v>0.1515</v>
      </c>
      <c r="O259" s="38">
        <f>VLOOKUP(N259,'Sheet A'!N259:AF869,2,)</f>
        <v>0.86</v>
      </c>
      <c r="P259" s="38">
        <f>VLOOKUP(O259,'Sheet A'!O259:AG869,2,)</f>
        <v>0.1343</v>
      </c>
      <c r="Q259" s="38">
        <f>VLOOKUP(P259,'Sheet A'!P259:AH869,2,)</f>
        <v>0</v>
      </c>
      <c r="R259" s="38">
        <f>VLOOKUP(Q259,'Sheet A'!Q259:AI869,2,)</f>
        <v>1</v>
      </c>
      <c r="S259" s="38">
        <f>VLOOKUP(R259,'Sheet A'!R259:AJ869,2,)</f>
        <v>1</v>
      </c>
    </row>
    <row r="260" spans="1:19" x14ac:dyDescent="0.35">
      <c r="A260" s="37">
        <v>259</v>
      </c>
      <c r="B260" s="60">
        <f>VLOOKUP(A260,'Sheet A'!A260:S870,2,)</f>
        <v>40555</v>
      </c>
      <c r="C260" s="38">
        <f>VLOOKUP(B260,'Sheet A'!B260:T870,2,)</f>
        <v>1</v>
      </c>
      <c r="D260" s="38">
        <f>VLOOKUP(C260,'Sheet A'!C260:U870,2,)</f>
        <v>0</v>
      </c>
      <c r="E260" s="38">
        <f>VLOOKUP(D260,'Sheet A'!D260:V870,2,)</f>
        <v>1</v>
      </c>
      <c r="F260" s="38">
        <f>VLOOKUP(E260,'Sheet A'!E260:W870,2,)</f>
        <v>5</v>
      </c>
      <c r="G260" s="41" t="str">
        <f>VLOOKUP(F260,'Sheet A'!F260:X870,2,)</f>
        <v>Morning</v>
      </c>
      <c r="H260" s="38" t="b">
        <f>VLOOKUP(G260,'Sheet A'!G260:Y870,2,)</f>
        <v>0</v>
      </c>
      <c r="I260" s="38">
        <f>VLOOKUP(H260,'Sheet A'!H260:Z870,2,)</f>
        <v>3</v>
      </c>
      <c r="J260" s="41" t="str">
        <f>VLOOKUP(I260,'Sheet A'!I260:AA870,2,)</f>
        <v>Tuesday</v>
      </c>
      <c r="K260" s="38">
        <f>VLOOKUP(J260,'Sheet A'!J260:AB870,2,)</f>
        <v>1</v>
      </c>
      <c r="L260" s="38">
        <f>VLOOKUP(K260,'Sheet A'!K260:AC870,2,)</f>
        <v>0.14000000000000001</v>
      </c>
      <c r="M260" s="70" t="str">
        <f>VLOOKUP(L260,'Sheet A'!L260:AD870,2,)</f>
        <v>Rainy</v>
      </c>
      <c r="N260" s="38">
        <f>VLOOKUP(M260,'Sheet A'!M260:AE870,2,)</f>
        <v>0.1515</v>
      </c>
      <c r="O260" s="38">
        <f>VLOOKUP(N260,'Sheet A'!N260:AF870,2,)</f>
        <v>0.86</v>
      </c>
      <c r="P260" s="38">
        <f>VLOOKUP(O260,'Sheet A'!O260:AG870,2,)</f>
        <v>0.16420000000000001</v>
      </c>
      <c r="Q260" s="38">
        <f>VLOOKUP(P260,'Sheet A'!P260:AH870,2,)</f>
        <v>0</v>
      </c>
      <c r="R260" s="38">
        <f>VLOOKUP(Q260,'Sheet A'!Q260:AI870,2,)</f>
        <v>5</v>
      </c>
      <c r="S260" s="38">
        <f>VLOOKUP(R260,'Sheet A'!R260:AJ870,2,)</f>
        <v>5</v>
      </c>
    </row>
    <row r="261" spans="1:19" x14ac:dyDescent="0.35">
      <c r="A261" s="37">
        <v>260</v>
      </c>
      <c r="B261" s="60">
        <f>VLOOKUP(A261,'Sheet A'!A261:S871,2,)</f>
        <v>40555</v>
      </c>
      <c r="C261" s="38">
        <f>VLOOKUP(B261,'Sheet A'!B261:T871,2,)</f>
        <v>1</v>
      </c>
      <c r="D261" s="38">
        <f>VLOOKUP(C261,'Sheet A'!C261:U871,2,)</f>
        <v>0</v>
      </c>
      <c r="E261" s="38">
        <f>VLOOKUP(D261,'Sheet A'!D261:V871,2,)</f>
        <v>1</v>
      </c>
      <c r="F261" s="38">
        <f>VLOOKUP(E261,'Sheet A'!E261:W871,2,)</f>
        <v>6</v>
      </c>
      <c r="G261" s="41" t="str">
        <f>VLOOKUP(F261,'Sheet A'!F261:X871,2,)</f>
        <v>Morning</v>
      </c>
      <c r="H261" s="38" t="b">
        <f>VLOOKUP(G261,'Sheet A'!G261:Y871,2,)</f>
        <v>0</v>
      </c>
      <c r="I261" s="38">
        <f>VLOOKUP(H261,'Sheet A'!H261:Z871,2,)</f>
        <v>3</v>
      </c>
      <c r="J261" s="41" t="str">
        <f>VLOOKUP(I261,'Sheet A'!I261:AA871,2,)</f>
        <v>Tuesday</v>
      </c>
      <c r="K261" s="38">
        <f>VLOOKUP(J261,'Sheet A'!J261:AB871,2,)</f>
        <v>1</v>
      </c>
      <c r="L261" s="38">
        <f>VLOOKUP(K261,'Sheet A'!K261:AC871,2,)</f>
        <v>0.12</v>
      </c>
      <c r="M261" s="70" t="str">
        <f>VLOOKUP(L261,'Sheet A'!L261:AD871,2,)</f>
        <v>Rainy</v>
      </c>
      <c r="N261" s="38">
        <f>VLOOKUP(M261,'Sheet A'!M261:AE871,2,)</f>
        <v>0.1515</v>
      </c>
      <c r="O261" s="38">
        <f>VLOOKUP(N261,'Sheet A'!N261:AF871,2,)</f>
        <v>0.93</v>
      </c>
      <c r="P261" s="38">
        <f>VLOOKUP(O261,'Sheet A'!O261:AG871,2,)</f>
        <v>0.1343</v>
      </c>
      <c r="Q261" s="38">
        <f>VLOOKUP(P261,'Sheet A'!P261:AH871,2,)</f>
        <v>0</v>
      </c>
      <c r="R261" s="38">
        <f>VLOOKUP(Q261,'Sheet A'!Q261:AI871,2,)</f>
        <v>16</v>
      </c>
      <c r="S261" s="38">
        <f>VLOOKUP(R261,'Sheet A'!R261:AJ871,2,)</f>
        <v>16</v>
      </c>
    </row>
    <row r="262" spans="1:19" x14ac:dyDescent="0.35">
      <c r="A262" s="37">
        <v>261</v>
      </c>
      <c r="B262" s="60">
        <f>VLOOKUP(A262,'Sheet A'!A262:S872,2,)</f>
        <v>40555</v>
      </c>
      <c r="C262" s="38">
        <f>VLOOKUP(B262,'Sheet A'!B262:T872,2,)</f>
        <v>1</v>
      </c>
      <c r="D262" s="38">
        <f>VLOOKUP(C262,'Sheet A'!C262:U872,2,)</f>
        <v>0</v>
      </c>
      <c r="E262" s="38">
        <f>VLOOKUP(D262,'Sheet A'!D262:V872,2,)</f>
        <v>1</v>
      </c>
      <c r="F262" s="38">
        <f>VLOOKUP(E262,'Sheet A'!E262:W872,2,)</f>
        <v>7</v>
      </c>
      <c r="G262" s="41" t="str">
        <f>VLOOKUP(F262,'Sheet A'!F262:X872,2,)</f>
        <v>Morning</v>
      </c>
      <c r="H262" s="38" t="b">
        <f>VLOOKUP(G262,'Sheet A'!G262:Y872,2,)</f>
        <v>0</v>
      </c>
      <c r="I262" s="38">
        <f>VLOOKUP(H262,'Sheet A'!H262:Z872,2,)</f>
        <v>3</v>
      </c>
      <c r="J262" s="41" t="str">
        <f>VLOOKUP(I262,'Sheet A'!I262:AA872,2,)</f>
        <v>Tuesday</v>
      </c>
      <c r="K262" s="38">
        <f>VLOOKUP(J262,'Sheet A'!J262:AB872,2,)</f>
        <v>1</v>
      </c>
      <c r="L262" s="38">
        <f>VLOOKUP(K262,'Sheet A'!K262:AC872,2,)</f>
        <v>0.14000000000000001</v>
      </c>
      <c r="M262" s="70" t="str">
        <f>VLOOKUP(L262,'Sheet A'!L262:AD872,2,)</f>
        <v>Rainy</v>
      </c>
      <c r="N262" s="38">
        <f>VLOOKUP(M262,'Sheet A'!M262:AE872,2,)</f>
        <v>0.1515</v>
      </c>
      <c r="O262" s="38">
        <f>VLOOKUP(N262,'Sheet A'!N262:AF872,2,)</f>
        <v>0.69</v>
      </c>
      <c r="P262" s="38">
        <f>VLOOKUP(O262,'Sheet A'!O262:AG872,2,)</f>
        <v>0.1343</v>
      </c>
      <c r="Q262" s="38">
        <f>VLOOKUP(P262,'Sheet A'!P262:AH872,2,)</f>
        <v>0</v>
      </c>
      <c r="R262" s="38">
        <f>VLOOKUP(Q262,'Sheet A'!Q262:AI872,2,)</f>
        <v>54</v>
      </c>
      <c r="S262" s="38">
        <f>VLOOKUP(R262,'Sheet A'!R262:AJ872,2,)</f>
        <v>54</v>
      </c>
    </row>
    <row r="263" spans="1:19" x14ac:dyDescent="0.35">
      <c r="A263" s="37">
        <v>262</v>
      </c>
      <c r="B263" s="60">
        <f>VLOOKUP(A263,'Sheet A'!A263:S873,2,)</f>
        <v>40555</v>
      </c>
      <c r="C263" s="38">
        <f>VLOOKUP(B263,'Sheet A'!B263:T873,2,)</f>
        <v>1</v>
      </c>
      <c r="D263" s="38">
        <f>VLOOKUP(C263,'Sheet A'!C263:U873,2,)</f>
        <v>0</v>
      </c>
      <c r="E263" s="38">
        <f>VLOOKUP(D263,'Sheet A'!D263:V873,2,)</f>
        <v>1</v>
      </c>
      <c r="F263" s="38">
        <f>VLOOKUP(E263,'Sheet A'!E263:W873,2,)</f>
        <v>8</v>
      </c>
      <c r="G263" s="41" t="str">
        <f>VLOOKUP(F263,'Sheet A'!F263:X873,2,)</f>
        <v>Morning</v>
      </c>
      <c r="H263" s="38" t="b">
        <f>VLOOKUP(G263,'Sheet A'!G263:Y873,2,)</f>
        <v>0</v>
      </c>
      <c r="I263" s="38">
        <f>VLOOKUP(H263,'Sheet A'!H263:Z873,2,)</f>
        <v>3</v>
      </c>
      <c r="J263" s="41" t="str">
        <f>VLOOKUP(I263,'Sheet A'!I263:AA873,2,)</f>
        <v>Tuesday</v>
      </c>
      <c r="K263" s="38">
        <f>VLOOKUP(J263,'Sheet A'!J263:AB873,2,)</f>
        <v>1</v>
      </c>
      <c r="L263" s="38">
        <f>VLOOKUP(K263,'Sheet A'!K263:AC873,2,)</f>
        <v>0.16</v>
      </c>
      <c r="M263" s="70" t="str">
        <f>VLOOKUP(L263,'Sheet A'!L263:AD873,2,)</f>
        <v>Rainy</v>
      </c>
      <c r="N263" s="38">
        <f>VLOOKUP(M263,'Sheet A'!M263:AE873,2,)</f>
        <v>0.16669999999999999</v>
      </c>
      <c r="O263" s="38">
        <f>VLOOKUP(N263,'Sheet A'!N263:AF873,2,)</f>
        <v>0.59</v>
      </c>
      <c r="P263" s="38">
        <f>VLOOKUP(O263,'Sheet A'!O263:AG873,2,)</f>
        <v>0.16420000000000001</v>
      </c>
      <c r="Q263" s="38">
        <f>VLOOKUP(P263,'Sheet A'!P263:AH873,2,)</f>
        <v>3</v>
      </c>
      <c r="R263" s="38">
        <f>VLOOKUP(Q263,'Sheet A'!Q263:AI873,2,)</f>
        <v>125</v>
      </c>
      <c r="S263" s="38">
        <f>VLOOKUP(R263,'Sheet A'!R263:AJ873,2,)</f>
        <v>128</v>
      </c>
    </row>
    <row r="264" spans="1:19" x14ac:dyDescent="0.35">
      <c r="A264" s="37">
        <v>263</v>
      </c>
      <c r="B264" s="60">
        <f>VLOOKUP(A264,'Sheet A'!A264:S874,2,)</f>
        <v>40555</v>
      </c>
      <c r="C264" s="38">
        <f>VLOOKUP(B264,'Sheet A'!B264:T874,2,)</f>
        <v>1</v>
      </c>
      <c r="D264" s="38">
        <f>VLOOKUP(C264,'Sheet A'!C264:U874,2,)</f>
        <v>0</v>
      </c>
      <c r="E264" s="38">
        <f>VLOOKUP(D264,'Sheet A'!D264:V874,2,)</f>
        <v>1</v>
      </c>
      <c r="F264" s="38">
        <f>VLOOKUP(E264,'Sheet A'!E264:W874,2,)</f>
        <v>9</v>
      </c>
      <c r="G264" s="41" t="str">
        <f>VLOOKUP(F264,'Sheet A'!F264:X874,2,)</f>
        <v>Morning</v>
      </c>
      <c r="H264" s="38" t="b">
        <f>VLOOKUP(G264,'Sheet A'!G264:Y874,2,)</f>
        <v>0</v>
      </c>
      <c r="I264" s="38">
        <f>VLOOKUP(H264,'Sheet A'!H264:Z874,2,)</f>
        <v>3</v>
      </c>
      <c r="J264" s="41" t="str">
        <f>VLOOKUP(I264,'Sheet A'!I264:AA874,2,)</f>
        <v>Tuesday</v>
      </c>
      <c r="K264" s="38">
        <f>VLOOKUP(J264,'Sheet A'!J264:AB874,2,)</f>
        <v>1</v>
      </c>
      <c r="L264" s="38">
        <f>VLOOKUP(K264,'Sheet A'!K264:AC874,2,)</f>
        <v>0.16</v>
      </c>
      <c r="M264" s="70" t="str">
        <f>VLOOKUP(L264,'Sheet A'!L264:AD874,2,)</f>
        <v>Rainy</v>
      </c>
      <c r="N264" s="38">
        <f>VLOOKUP(M264,'Sheet A'!M264:AE874,2,)</f>
        <v>0.13639999999999999</v>
      </c>
      <c r="O264" s="38">
        <f>VLOOKUP(N264,'Sheet A'!N264:AF874,2,)</f>
        <v>0.59</v>
      </c>
      <c r="P264" s="38">
        <f>VLOOKUP(O264,'Sheet A'!O264:AG874,2,)</f>
        <v>0.32840000000000003</v>
      </c>
      <c r="Q264" s="38">
        <f>VLOOKUP(P264,'Sheet A'!P264:AH874,2,)</f>
        <v>3</v>
      </c>
      <c r="R264" s="38">
        <f>VLOOKUP(Q264,'Sheet A'!Q264:AI874,2,)</f>
        <v>78</v>
      </c>
      <c r="S264" s="38">
        <f>VLOOKUP(R264,'Sheet A'!R264:AJ874,2,)</f>
        <v>81</v>
      </c>
    </row>
    <row r="265" spans="1:19" x14ac:dyDescent="0.35">
      <c r="A265" s="37">
        <v>264</v>
      </c>
      <c r="B265" s="60">
        <f>VLOOKUP(A265,'Sheet A'!A265:S875,2,)</f>
        <v>40555</v>
      </c>
      <c r="C265" s="38">
        <f>VLOOKUP(B265,'Sheet A'!B265:T875,2,)</f>
        <v>1</v>
      </c>
      <c r="D265" s="38">
        <f>VLOOKUP(C265,'Sheet A'!C265:U875,2,)</f>
        <v>0</v>
      </c>
      <c r="E265" s="38">
        <f>VLOOKUP(D265,'Sheet A'!D265:V875,2,)</f>
        <v>1</v>
      </c>
      <c r="F265" s="38">
        <f>VLOOKUP(E265,'Sheet A'!E265:W875,2,)</f>
        <v>10</v>
      </c>
      <c r="G265" s="41" t="str">
        <f>VLOOKUP(F265,'Sheet A'!F265:X875,2,)</f>
        <v>Morning</v>
      </c>
      <c r="H265" s="38" t="b">
        <f>VLOOKUP(G265,'Sheet A'!G265:Y875,2,)</f>
        <v>0</v>
      </c>
      <c r="I265" s="38">
        <f>VLOOKUP(H265,'Sheet A'!H265:Z875,2,)</f>
        <v>3</v>
      </c>
      <c r="J265" s="41" t="str">
        <f>VLOOKUP(I265,'Sheet A'!I265:AA875,2,)</f>
        <v>Tuesday</v>
      </c>
      <c r="K265" s="38">
        <f>VLOOKUP(J265,'Sheet A'!J265:AB875,2,)</f>
        <v>1</v>
      </c>
      <c r="L265" s="38">
        <f>VLOOKUP(K265,'Sheet A'!K265:AC875,2,)</f>
        <v>0.18</v>
      </c>
      <c r="M265" s="70" t="str">
        <f>VLOOKUP(L265,'Sheet A'!L265:AD875,2,)</f>
        <v>Rainy</v>
      </c>
      <c r="N265" s="38">
        <f>VLOOKUP(M265,'Sheet A'!M265:AE875,2,)</f>
        <v>0.18179999999999999</v>
      </c>
      <c r="O265" s="38">
        <f>VLOOKUP(N265,'Sheet A'!N265:AF875,2,)</f>
        <v>0.55000000000000004</v>
      </c>
      <c r="P265" s="38">
        <f>VLOOKUP(O265,'Sheet A'!O265:AG875,2,)</f>
        <v>0.22389999999999999</v>
      </c>
      <c r="Q265" s="38">
        <f>VLOOKUP(P265,'Sheet A'!P265:AH875,2,)</f>
        <v>0</v>
      </c>
      <c r="R265" s="38">
        <f>VLOOKUP(Q265,'Sheet A'!Q265:AI875,2,)</f>
        <v>39</v>
      </c>
      <c r="S265" s="38">
        <f>VLOOKUP(R265,'Sheet A'!R265:AJ875,2,)</f>
        <v>39</v>
      </c>
    </row>
    <row r="266" spans="1:19" x14ac:dyDescent="0.35">
      <c r="A266" s="37">
        <v>265</v>
      </c>
      <c r="B266" s="60">
        <f>VLOOKUP(A266,'Sheet A'!A266:S876,2,)</f>
        <v>40555</v>
      </c>
      <c r="C266" s="38">
        <f>VLOOKUP(B266,'Sheet A'!B266:T876,2,)</f>
        <v>1</v>
      </c>
      <c r="D266" s="38">
        <f>VLOOKUP(C266,'Sheet A'!C266:U876,2,)</f>
        <v>0</v>
      </c>
      <c r="E266" s="38">
        <f>VLOOKUP(D266,'Sheet A'!D266:V876,2,)</f>
        <v>1</v>
      </c>
      <c r="F266" s="38">
        <f>VLOOKUP(E266,'Sheet A'!E266:W876,2,)</f>
        <v>11</v>
      </c>
      <c r="G266" s="41" t="str">
        <f>VLOOKUP(F266,'Sheet A'!F266:X876,2,)</f>
        <v>Morning</v>
      </c>
      <c r="H266" s="38" t="b">
        <f>VLOOKUP(G266,'Sheet A'!G266:Y876,2,)</f>
        <v>0</v>
      </c>
      <c r="I266" s="38">
        <f>VLOOKUP(H266,'Sheet A'!H266:Z876,2,)</f>
        <v>3</v>
      </c>
      <c r="J266" s="41" t="str">
        <f>VLOOKUP(I266,'Sheet A'!I266:AA876,2,)</f>
        <v>Tuesday</v>
      </c>
      <c r="K266" s="38">
        <f>VLOOKUP(J266,'Sheet A'!J266:AB876,2,)</f>
        <v>1</v>
      </c>
      <c r="L266" s="38">
        <f>VLOOKUP(K266,'Sheet A'!K266:AC876,2,)</f>
        <v>0.2</v>
      </c>
      <c r="M266" s="70" t="str">
        <f>VLOOKUP(L266,'Sheet A'!L266:AD876,2,)</f>
        <v>Rainy</v>
      </c>
      <c r="N266" s="38">
        <f>VLOOKUP(M266,'Sheet A'!M266:AE876,2,)</f>
        <v>0.18179999999999999</v>
      </c>
      <c r="O266" s="38">
        <f>VLOOKUP(N266,'Sheet A'!N266:AF876,2,)</f>
        <v>0.51</v>
      </c>
      <c r="P266" s="38">
        <f>VLOOKUP(O266,'Sheet A'!O266:AG876,2,)</f>
        <v>0.3881</v>
      </c>
      <c r="Q266" s="38">
        <f>VLOOKUP(P266,'Sheet A'!P266:AH876,2,)</f>
        <v>3</v>
      </c>
      <c r="R266" s="38">
        <f>VLOOKUP(Q266,'Sheet A'!Q266:AI876,2,)</f>
        <v>32</v>
      </c>
      <c r="S266" s="38">
        <f>VLOOKUP(R266,'Sheet A'!R266:AJ876,2,)</f>
        <v>35</v>
      </c>
    </row>
    <row r="267" spans="1:19" x14ac:dyDescent="0.35">
      <c r="A267" s="37">
        <v>266</v>
      </c>
      <c r="B267" s="60">
        <f>VLOOKUP(A267,'Sheet A'!A267:S877,2,)</f>
        <v>40555</v>
      </c>
      <c r="C267" s="38">
        <f>VLOOKUP(B267,'Sheet A'!B267:T877,2,)</f>
        <v>1</v>
      </c>
      <c r="D267" s="38">
        <f>VLOOKUP(C267,'Sheet A'!C267:U877,2,)</f>
        <v>0</v>
      </c>
      <c r="E267" s="38">
        <f>VLOOKUP(D267,'Sheet A'!D267:V877,2,)</f>
        <v>1</v>
      </c>
      <c r="F267" s="38">
        <f>VLOOKUP(E267,'Sheet A'!E267:W877,2,)</f>
        <v>12</v>
      </c>
      <c r="G267" s="41" t="str">
        <f>VLOOKUP(F267,'Sheet A'!F267:X877,2,)</f>
        <v>AfterNoon</v>
      </c>
      <c r="H267" s="38" t="b">
        <f>VLOOKUP(G267,'Sheet A'!G267:Y877,2,)</f>
        <v>0</v>
      </c>
      <c r="I267" s="38">
        <f>VLOOKUP(H267,'Sheet A'!H267:Z877,2,)</f>
        <v>3</v>
      </c>
      <c r="J267" s="41" t="str">
        <f>VLOOKUP(I267,'Sheet A'!I267:AA877,2,)</f>
        <v>Tuesday</v>
      </c>
      <c r="K267" s="38">
        <f>VLOOKUP(J267,'Sheet A'!J267:AB877,2,)</f>
        <v>1</v>
      </c>
      <c r="L267" s="38">
        <f>VLOOKUP(K267,'Sheet A'!K267:AC877,2,)</f>
        <v>0.2</v>
      </c>
      <c r="M267" s="70" t="str">
        <f>VLOOKUP(L267,'Sheet A'!L267:AD877,2,)</f>
        <v>Rainy</v>
      </c>
      <c r="N267" s="38">
        <f>VLOOKUP(M267,'Sheet A'!M267:AE877,2,)</f>
        <v>0.1515</v>
      </c>
      <c r="O267" s="38">
        <f>VLOOKUP(N267,'Sheet A'!N267:AF877,2,)</f>
        <v>0.47</v>
      </c>
      <c r="P267" s="38">
        <f>VLOOKUP(O267,'Sheet A'!O267:AG877,2,)</f>
        <v>0.58209999999999995</v>
      </c>
      <c r="Q267" s="38">
        <f>VLOOKUP(P267,'Sheet A'!P267:AH877,2,)</f>
        <v>3</v>
      </c>
      <c r="R267" s="38">
        <f>VLOOKUP(Q267,'Sheet A'!Q267:AI877,2,)</f>
        <v>52</v>
      </c>
      <c r="S267" s="38">
        <f>VLOOKUP(R267,'Sheet A'!R267:AJ877,2,)</f>
        <v>55</v>
      </c>
    </row>
    <row r="268" spans="1:19" x14ac:dyDescent="0.35">
      <c r="A268" s="37">
        <v>267</v>
      </c>
      <c r="B268" s="60">
        <f>VLOOKUP(A268,'Sheet A'!A268:S878,2,)</f>
        <v>40555</v>
      </c>
      <c r="C268" s="38">
        <f>VLOOKUP(B268,'Sheet A'!B268:T878,2,)</f>
        <v>1</v>
      </c>
      <c r="D268" s="38">
        <f>VLOOKUP(C268,'Sheet A'!C268:U878,2,)</f>
        <v>0</v>
      </c>
      <c r="E268" s="38">
        <f>VLOOKUP(D268,'Sheet A'!D268:V878,2,)</f>
        <v>1</v>
      </c>
      <c r="F268" s="38">
        <f>VLOOKUP(E268,'Sheet A'!E268:W878,2,)</f>
        <v>13</v>
      </c>
      <c r="G268" s="41" t="str">
        <f>VLOOKUP(F268,'Sheet A'!F268:X878,2,)</f>
        <v>AfterNoon</v>
      </c>
      <c r="H268" s="38" t="b">
        <f>VLOOKUP(G268,'Sheet A'!G268:Y878,2,)</f>
        <v>0</v>
      </c>
      <c r="I268" s="38">
        <f>VLOOKUP(H268,'Sheet A'!H268:Z878,2,)</f>
        <v>3</v>
      </c>
      <c r="J268" s="41" t="str">
        <f>VLOOKUP(I268,'Sheet A'!I268:AA878,2,)</f>
        <v>Tuesday</v>
      </c>
      <c r="K268" s="38">
        <f>VLOOKUP(J268,'Sheet A'!J268:AB878,2,)</f>
        <v>1</v>
      </c>
      <c r="L268" s="38">
        <f>VLOOKUP(K268,'Sheet A'!K268:AC878,2,)</f>
        <v>0.22</v>
      </c>
      <c r="M268" s="70" t="str">
        <f>VLOOKUP(L268,'Sheet A'!L268:AD878,2,)</f>
        <v>Cloudy</v>
      </c>
      <c r="N268" s="38">
        <f>VLOOKUP(M268,'Sheet A'!M268:AE878,2,)</f>
        <v>0.19700000000000001</v>
      </c>
      <c r="O268" s="38">
        <f>VLOOKUP(N268,'Sheet A'!N268:AF878,2,)</f>
        <v>0.44</v>
      </c>
      <c r="P268" s="38">
        <f>VLOOKUP(O268,'Sheet A'!O268:AG878,2,)</f>
        <v>0.35820000000000002</v>
      </c>
      <c r="Q268" s="38">
        <f>VLOOKUP(P268,'Sheet A'!P268:AH878,2,)</f>
        <v>0</v>
      </c>
      <c r="R268" s="38">
        <f>VLOOKUP(Q268,'Sheet A'!Q268:AI878,2,)</f>
        <v>49</v>
      </c>
      <c r="S268" s="38">
        <f>VLOOKUP(R268,'Sheet A'!R268:AJ878,2,)</f>
        <v>49</v>
      </c>
    </row>
    <row r="269" spans="1:19" x14ac:dyDescent="0.35">
      <c r="A269" s="37">
        <v>268</v>
      </c>
      <c r="B269" s="60">
        <f>VLOOKUP(A269,'Sheet A'!A269:S879,2,)</f>
        <v>40555</v>
      </c>
      <c r="C269" s="38">
        <f>VLOOKUP(B269,'Sheet A'!B269:T879,2,)</f>
        <v>1</v>
      </c>
      <c r="D269" s="38">
        <f>VLOOKUP(C269,'Sheet A'!C269:U879,2,)</f>
        <v>0</v>
      </c>
      <c r="E269" s="38">
        <f>VLOOKUP(D269,'Sheet A'!D269:V879,2,)</f>
        <v>1</v>
      </c>
      <c r="F269" s="38">
        <f>VLOOKUP(E269,'Sheet A'!E269:W879,2,)</f>
        <v>14</v>
      </c>
      <c r="G269" s="41" t="str">
        <f>VLOOKUP(F269,'Sheet A'!F269:X879,2,)</f>
        <v>AfterNoon</v>
      </c>
      <c r="H269" s="38" t="b">
        <f>VLOOKUP(G269,'Sheet A'!G269:Y879,2,)</f>
        <v>0</v>
      </c>
      <c r="I269" s="38">
        <f>VLOOKUP(H269,'Sheet A'!H269:Z879,2,)</f>
        <v>3</v>
      </c>
      <c r="J269" s="41" t="str">
        <f>VLOOKUP(I269,'Sheet A'!I269:AA879,2,)</f>
        <v>Tuesday</v>
      </c>
      <c r="K269" s="38">
        <f>VLOOKUP(J269,'Sheet A'!J269:AB879,2,)</f>
        <v>1</v>
      </c>
      <c r="L269" s="38">
        <f>VLOOKUP(K269,'Sheet A'!K269:AC879,2,)</f>
        <v>0.2</v>
      </c>
      <c r="M269" s="70" t="str">
        <f>VLOOKUP(L269,'Sheet A'!L269:AD879,2,)</f>
        <v>Rainy</v>
      </c>
      <c r="N269" s="38">
        <f>VLOOKUP(M269,'Sheet A'!M269:AE879,2,)</f>
        <v>0.18179999999999999</v>
      </c>
      <c r="O269" s="38">
        <f>VLOOKUP(N269,'Sheet A'!N269:AF879,2,)</f>
        <v>0.47</v>
      </c>
      <c r="P269" s="38">
        <f>VLOOKUP(O269,'Sheet A'!O269:AG879,2,)</f>
        <v>0.32840000000000003</v>
      </c>
      <c r="Q269" s="38">
        <f>VLOOKUP(P269,'Sheet A'!P269:AH879,2,)</f>
        <v>0</v>
      </c>
      <c r="R269" s="38">
        <f>VLOOKUP(Q269,'Sheet A'!Q269:AI879,2,)</f>
        <v>44</v>
      </c>
      <c r="S269" s="38">
        <f>VLOOKUP(R269,'Sheet A'!R269:AJ879,2,)</f>
        <v>44</v>
      </c>
    </row>
    <row r="270" spans="1:19" x14ac:dyDescent="0.35">
      <c r="A270" s="37">
        <v>269</v>
      </c>
      <c r="B270" s="60">
        <f>VLOOKUP(A270,'Sheet A'!A270:S880,2,)</f>
        <v>40555</v>
      </c>
      <c r="C270" s="38">
        <f>VLOOKUP(B270,'Sheet A'!B270:T880,2,)</f>
        <v>1</v>
      </c>
      <c r="D270" s="38">
        <f>VLOOKUP(C270,'Sheet A'!C270:U880,2,)</f>
        <v>0</v>
      </c>
      <c r="E270" s="38">
        <f>VLOOKUP(D270,'Sheet A'!D270:V880,2,)</f>
        <v>1</v>
      </c>
      <c r="F270" s="38">
        <f>VLOOKUP(E270,'Sheet A'!E270:W880,2,)</f>
        <v>15</v>
      </c>
      <c r="G270" s="41" t="str">
        <f>VLOOKUP(F270,'Sheet A'!F270:X880,2,)</f>
        <v>AfterNoon</v>
      </c>
      <c r="H270" s="38" t="b">
        <f>VLOOKUP(G270,'Sheet A'!G270:Y880,2,)</f>
        <v>0</v>
      </c>
      <c r="I270" s="38">
        <f>VLOOKUP(H270,'Sheet A'!H270:Z880,2,)</f>
        <v>3</v>
      </c>
      <c r="J270" s="41" t="str">
        <f>VLOOKUP(I270,'Sheet A'!I270:AA880,2,)</f>
        <v>Tuesday</v>
      </c>
      <c r="K270" s="38">
        <f>VLOOKUP(J270,'Sheet A'!J270:AB880,2,)</f>
        <v>1</v>
      </c>
      <c r="L270" s="38">
        <f>VLOOKUP(K270,'Sheet A'!K270:AC880,2,)</f>
        <v>0.2</v>
      </c>
      <c r="M270" s="70" t="str">
        <f>VLOOKUP(L270,'Sheet A'!L270:AD880,2,)</f>
        <v>Rainy</v>
      </c>
      <c r="N270" s="38">
        <f>VLOOKUP(M270,'Sheet A'!M270:AE880,2,)</f>
        <v>0.16669999999999999</v>
      </c>
      <c r="O270" s="38">
        <f>VLOOKUP(N270,'Sheet A'!N270:AF880,2,)</f>
        <v>0.47</v>
      </c>
      <c r="P270" s="38">
        <f>VLOOKUP(O270,'Sheet A'!O270:AG880,2,)</f>
        <v>0.41789999999999999</v>
      </c>
      <c r="Q270" s="38">
        <f>VLOOKUP(P270,'Sheet A'!P270:AH880,2,)</f>
        <v>1</v>
      </c>
      <c r="R270" s="38">
        <f>VLOOKUP(Q270,'Sheet A'!Q270:AI880,2,)</f>
        <v>48</v>
      </c>
      <c r="S270" s="38">
        <f>VLOOKUP(R270,'Sheet A'!R270:AJ880,2,)</f>
        <v>49</v>
      </c>
    </row>
    <row r="271" spans="1:19" x14ac:dyDescent="0.35">
      <c r="A271" s="37">
        <v>270</v>
      </c>
      <c r="B271" s="60">
        <f>VLOOKUP(A271,'Sheet A'!A271:S881,2,)</f>
        <v>40555</v>
      </c>
      <c r="C271" s="38">
        <f>VLOOKUP(B271,'Sheet A'!B271:T881,2,)</f>
        <v>1</v>
      </c>
      <c r="D271" s="38">
        <f>VLOOKUP(C271,'Sheet A'!C271:U881,2,)</f>
        <v>0</v>
      </c>
      <c r="E271" s="38">
        <f>VLOOKUP(D271,'Sheet A'!D271:V881,2,)</f>
        <v>1</v>
      </c>
      <c r="F271" s="38">
        <f>VLOOKUP(E271,'Sheet A'!E271:W881,2,)</f>
        <v>16</v>
      </c>
      <c r="G271" s="41" t="str">
        <f>VLOOKUP(F271,'Sheet A'!F271:X881,2,)</f>
        <v>AfterNoon</v>
      </c>
      <c r="H271" s="38" t="b">
        <f>VLOOKUP(G271,'Sheet A'!G271:Y881,2,)</f>
        <v>0</v>
      </c>
      <c r="I271" s="38">
        <f>VLOOKUP(H271,'Sheet A'!H271:Z881,2,)</f>
        <v>3</v>
      </c>
      <c r="J271" s="41" t="str">
        <f>VLOOKUP(I271,'Sheet A'!I271:AA881,2,)</f>
        <v>Tuesday</v>
      </c>
      <c r="K271" s="38">
        <f>VLOOKUP(J271,'Sheet A'!J271:AB881,2,)</f>
        <v>1</v>
      </c>
      <c r="L271" s="38">
        <f>VLOOKUP(K271,'Sheet A'!K271:AC881,2,)</f>
        <v>0.22</v>
      </c>
      <c r="M271" s="70" t="str">
        <f>VLOOKUP(L271,'Sheet A'!L271:AD881,2,)</f>
        <v>Cloudy</v>
      </c>
      <c r="N271" s="38">
        <f>VLOOKUP(M271,'Sheet A'!M271:AE881,2,)</f>
        <v>0.19700000000000001</v>
      </c>
      <c r="O271" s="38">
        <f>VLOOKUP(N271,'Sheet A'!N271:AF881,2,)</f>
        <v>0.44</v>
      </c>
      <c r="P271" s="38">
        <f>VLOOKUP(O271,'Sheet A'!O271:AG881,2,)</f>
        <v>0.32840000000000003</v>
      </c>
      <c r="Q271" s="38">
        <f>VLOOKUP(P271,'Sheet A'!P271:AH881,2,)</f>
        <v>5</v>
      </c>
      <c r="R271" s="38">
        <f>VLOOKUP(Q271,'Sheet A'!Q271:AI881,2,)</f>
        <v>63</v>
      </c>
      <c r="S271" s="38">
        <f>VLOOKUP(R271,'Sheet A'!R271:AJ881,2,)</f>
        <v>68</v>
      </c>
    </row>
    <row r="272" spans="1:19" x14ac:dyDescent="0.35">
      <c r="A272" s="37">
        <v>271</v>
      </c>
      <c r="B272" s="60">
        <f>VLOOKUP(A272,'Sheet A'!A272:S882,2,)</f>
        <v>40555</v>
      </c>
      <c r="C272" s="38">
        <f>VLOOKUP(B272,'Sheet A'!B272:T882,2,)</f>
        <v>1</v>
      </c>
      <c r="D272" s="38">
        <f>VLOOKUP(C272,'Sheet A'!C272:U882,2,)</f>
        <v>0</v>
      </c>
      <c r="E272" s="38">
        <f>VLOOKUP(D272,'Sheet A'!D272:V882,2,)</f>
        <v>1</v>
      </c>
      <c r="F272" s="38">
        <f>VLOOKUP(E272,'Sheet A'!E272:W882,2,)</f>
        <v>17</v>
      </c>
      <c r="G272" s="41" t="str">
        <f>VLOOKUP(F272,'Sheet A'!F272:X882,2,)</f>
        <v>Evening</v>
      </c>
      <c r="H272" s="38" t="b">
        <f>VLOOKUP(G272,'Sheet A'!G272:Y882,2,)</f>
        <v>0</v>
      </c>
      <c r="I272" s="38">
        <f>VLOOKUP(H272,'Sheet A'!H272:Z882,2,)</f>
        <v>3</v>
      </c>
      <c r="J272" s="41" t="str">
        <f>VLOOKUP(I272,'Sheet A'!I272:AA882,2,)</f>
        <v>Tuesday</v>
      </c>
      <c r="K272" s="38">
        <f>VLOOKUP(J272,'Sheet A'!J272:AB882,2,)</f>
        <v>1</v>
      </c>
      <c r="L272" s="38">
        <f>VLOOKUP(K272,'Sheet A'!K272:AC882,2,)</f>
        <v>0.2</v>
      </c>
      <c r="M272" s="70" t="str">
        <f>VLOOKUP(L272,'Sheet A'!L272:AD882,2,)</f>
        <v>Rainy</v>
      </c>
      <c r="N272" s="38">
        <f>VLOOKUP(M272,'Sheet A'!M272:AE882,2,)</f>
        <v>0.18179999999999999</v>
      </c>
      <c r="O272" s="38">
        <f>VLOOKUP(N272,'Sheet A'!N272:AF882,2,)</f>
        <v>0.47</v>
      </c>
      <c r="P272" s="38">
        <f>VLOOKUP(O272,'Sheet A'!O272:AG882,2,)</f>
        <v>0.35820000000000002</v>
      </c>
      <c r="Q272" s="38">
        <f>VLOOKUP(P272,'Sheet A'!P272:AH882,2,)</f>
        <v>0</v>
      </c>
      <c r="R272" s="38">
        <f>VLOOKUP(Q272,'Sheet A'!Q272:AI882,2,)</f>
        <v>139</v>
      </c>
      <c r="S272" s="38">
        <f>VLOOKUP(R272,'Sheet A'!R272:AJ882,2,)</f>
        <v>139</v>
      </c>
    </row>
    <row r="273" spans="1:19" x14ac:dyDescent="0.35">
      <c r="A273" s="37">
        <v>272</v>
      </c>
      <c r="B273" s="60">
        <f>VLOOKUP(A273,'Sheet A'!A273:S883,2,)</f>
        <v>40555</v>
      </c>
      <c r="C273" s="38">
        <f>VLOOKUP(B273,'Sheet A'!B273:T883,2,)</f>
        <v>1</v>
      </c>
      <c r="D273" s="38">
        <f>VLOOKUP(C273,'Sheet A'!C273:U883,2,)</f>
        <v>0</v>
      </c>
      <c r="E273" s="38">
        <f>VLOOKUP(D273,'Sheet A'!D273:V883,2,)</f>
        <v>1</v>
      </c>
      <c r="F273" s="38">
        <f>VLOOKUP(E273,'Sheet A'!E273:W883,2,)</f>
        <v>18</v>
      </c>
      <c r="G273" s="41" t="str">
        <f>VLOOKUP(F273,'Sheet A'!F273:X883,2,)</f>
        <v>Evening</v>
      </c>
      <c r="H273" s="38" t="b">
        <f>VLOOKUP(G273,'Sheet A'!G273:Y883,2,)</f>
        <v>0</v>
      </c>
      <c r="I273" s="38">
        <f>VLOOKUP(H273,'Sheet A'!H273:Z883,2,)</f>
        <v>3</v>
      </c>
      <c r="J273" s="41" t="str">
        <f>VLOOKUP(I273,'Sheet A'!I273:AA883,2,)</f>
        <v>Tuesday</v>
      </c>
      <c r="K273" s="38">
        <f>VLOOKUP(J273,'Sheet A'!J273:AB883,2,)</f>
        <v>1</v>
      </c>
      <c r="L273" s="38">
        <f>VLOOKUP(K273,'Sheet A'!K273:AC883,2,)</f>
        <v>0.2</v>
      </c>
      <c r="M273" s="70" t="str">
        <f>VLOOKUP(L273,'Sheet A'!L273:AD883,2,)</f>
        <v>Rainy</v>
      </c>
      <c r="N273" s="38">
        <f>VLOOKUP(M273,'Sheet A'!M273:AE883,2,)</f>
        <v>0.1515</v>
      </c>
      <c r="O273" s="38">
        <f>VLOOKUP(N273,'Sheet A'!N273:AF883,2,)</f>
        <v>0.47</v>
      </c>
      <c r="P273" s="38">
        <f>VLOOKUP(O273,'Sheet A'!O273:AG883,2,)</f>
        <v>0.52239999999999998</v>
      </c>
      <c r="Q273" s="38">
        <f>VLOOKUP(P273,'Sheet A'!P273:AH883,2,)</f>
        <v>2</v>
      </c>
      <c r="R273" s="38">
        <f>VLOOKUP(Q273,'Sheet A'!Q273:AI883,2,)</f>
        <v>135</v>
      </c>
      <c r="S273" s="38">
        <f>VLOOKUP(R273,'Sheet A'!R273:AJ883,2,)</f>
        <v>137</v>
      </c>
    </row>
    <row r="274" spans="1:19" x14ac:dyDescent="0.35">
      <c r="A274" s="37">
        <v>273</v>
      </c>
      <c r="B274" s="60">
        <f>VLOOKUP(A274,'Sheet A'!A274:S884,2,)</f>
        <v>40555</v>
      </c>
      <c r="C274" s="38">
        <f>VLOOKUP(B274,'Sheet A'!B274:T884,2,)</f>
        <v>1</v>
      </c>
      <c r="D274" s="38">
        <f>VLOOKUP(C274,'Sheet A'!C274:U884,2,)</f>
        <v>0</v>
      </c>
      <c r="E274" s="38">
        <f>VLOOKUP(D274,'Sheet A'!D274:V884,2,)</f>
        <v>1</v>
      </c>
      <c r="F274" s="38">
        <f>VLOOKUP(E274,'Sheet A'!E274:W884,2,)</f>
        <v>19</v>
      </c>
      <c r="G274" s="41" t="str">
        <f>VLOOKUP(F274,'Sheet A'!F274:X884,2,)</f>
        <v>Evening</v>
      </c>
      <c r="H274" s="38" t="b">
        <f>VLOOKUP(G274,'Sheet A'!G274:Y884,2,)</f>
        <v>0</v>
      </c>
      <c r="I274" s="38">
        <f>VLOOKUP(H274,'Sheet A'!H274:Z884,2,)</f>
        <v>3</v>
      </c>
      <c r="J274" s="41" t="str">
        <f>VLOOKUP(I274,'Sheet A'!I274:AA884,2,)</f>
        <v>Tuesday</v>
      </c>
      <c r="K274" s="38">
        <f>VLOOKUP(J274,'Sheet A'!J274:AB884,2,)</f>
        <v>1</v>
      </c>
      <c r="L274" s="38">
        <f>VLOOKUP(K274,'Sheet A'!K274:AC884,2,)</f>
        <v>0.18</v>
      </c>
      <c r="M274" s="70" t="str">
        <f>VLOOKUP(L274,'Sheet A'!L274:AD884,2,)</f>
        <v>Rainy</v>
      </c>
      <c r="N274" s="38">
        <f>VLOOKUP(M274,'Sheet A'!M274:AE884,2,)</f>
        <v>0.1515</v>
      </c>
      <c r="O274" s="38">
        <f>VLOOKUP(N274,'Sheet A'!N274:AF884,2,)</f>
        <v>0.47</v>
      </c>
      <c r="P274" s="38">
        <f>VLOOKUP(O274,'Sheet A'!O274:AG884,2,)</f>
        <v>0.41789999999999999</v>
      </c>
      <c r="Q274" s="38">
        <f>VLOOKUP(P274,'Sheet A'!P274:AH884,2,)</f>
        <v>1</v>
      </c>
      <c r="R274" s="38">
        <f>VLOOKUP(Q274,'Sheet A'!Q274:AI884,2,)</f>
        <v>82</v>
      </c>
      <c r="S274" s="38">
        <f>VLOOKUP(R274,'Sheet A'!R274:AJ884,2,)</f>
        <v>83</v>
      </c>
    </row>
    <row r="275" spans="1:19" x14ac:dyDescent="0.35">
      <c r="A275" s="37">
        <v>274</v>
      </c>
      <c r="B275" s="60">
        <f>VLOOKUP(A275,'Sheet A'!A275:S885,2,)</f>
        <v>40555</v>
      </c>
      <c r="C275" s="38">
        <f>VLOOKUP(B275,'Sheet A'!B275:T885,2,)</f>
        <v>1</v>
      </c>
      <c r="D275" s="38">
        <f>VLOOKUP(C275,'Sheet A'!C275:U885,2,)</f>
        <v>0</v>
      </c>
      <c r="E275" s="38">
        <f>VLOOKUP(D275,'Sheet A'!D275:V885,2,)</f>
        <v>1</v>
      </c>
      <c r="F275" s="38">
        <f>VLOOKUP(E275,'Sheet A'!E275:W885,2,)</f>
        <v>20</v>
      </c>
      <c r="G275" s="41" t="str">
        <f>VLOOKUP(F275,'Sheet A'!F275:X885,2,)</f>
        <v>Night</v>
      </c>
      <c r="H275" s="38" t="b">
        <f>VLOOKUP(G275,'Sheet A'!G275:Y885,2,)</f>
        <v>0</v>
      </c>
      <c r="I275" s="38">
        <f>VLOOKUP(H275,'Sheet A'!H275:Z885,2,)</f>
        <v>3</v>
      </c>
      <c r="J275" s="41" t="str">
        <f>VLOOKUP(I275,'Sheet A'!I275:AA885,2,)</f>
        <v>Tuesday</v>
      </c>
      <c r="K275" s="38">
        <f>VLOOKUP(J275,'Sheet A'!J275:AB885,2,)</f>
        <v>1</v>
      </c>
      <c r="L275" s="38">
        <f>VLOOKUP(K275,'Sheet A'!K275:AC885,2,)</f>
        <v>0.16</v>
      </c>
      <c r="M275" s="70" t="str">
        <f>VLOOKUP(L275,'Sheet A'!L275:AD885,2,)</f>
        <v>Rainy</v>
      </c>
      <c r="N275" s="38">
        <f>VLOOKUP(M275,'Sheet A'!M275:AE885,2,)</f>
        <v>0.13639999999999999</v>
      </c>
      <c r="O275" s="38">
        <f>VLOOKUP(N275,'Sheet A'!N275:AF885,2,)</f>
        <v>0.5</v>
      </c>
      <c r="P275" s="38">
        <f>VLOOKUP(O275,'Sheet A'!O275:AG885,2,)</f>
        <v>0.32840000000000003</v>
      </c>
      <c r="Q275" s="38">
        <f>VLOOKUP(P275,'Sheet A'!P275:AH885,2,)</f>
        <v>2</v>
      </c>
      <c r="R275" s="38">
        <f>VLOOKUP(Q275,'Sheet A'!Q275:AI885,2,)</f>
        <v>54</v>
      </c>
      <c r="S275" s="38">
        <f>VLOOKUP(R275,'Sheet A'!R275:AJ885,2,)</f>
        <v>56</v>
      </c>
    </row>
    <row r="276" spans="1:19" x14ac:dyDescent="0.35">
      <c r="A276" s="37">
        <v>275</v>
      </c>
      <c r="B276" s="60">
        <f>VLOOKUP(A276,'Sheet A'!A276:S886,2,)</f>
        <v>40555</v>
      </c>
      <c r="C276" s="38">
        <f>VLOOKUP(B276,'Sheet A'!B276:T886,2,)</f>
        <v>1</v>
      </c>
      <c r="D276" s="38">
        <f>VLOOKUP(C276,'Sheet A'!C276:U886,2,)</f>
        <v>0</v>
      </c>
      <c r="E276" s="38">
        <f>VLOOKUP(D276,'Sheet A'!D276:V886,2,)</f>
        <v>1</v>
      </c>
      <c r="F276" s="38">
        <f>VLOOKUP(E276,'Sheet A'!E276:W886,2,)</f>
        <v>21</v>
      </c>
      <c r="G276" s="41" t="str">
        <f>VLOOKUP(F276,'Sheet A'!F276:X886,2,)</f>
        <v>Night</v>
      </c>
      <c r="H276" s="38" t="b">
        <f>VLOOKUP(G276,'Sheet A'!G276:Y886,2,)</f>
        <v>0</v>
      </c>
      <c r="I276" s="38">
        <f>VLOOKUP(H276,'Sheet A'!H276:Z886,2,)</f>
        <v>3</v>
      </c>
      <c r="J276" s="41" t="str">
        <f>VLOOKUP(I276,'Sheet A'!I276:AA886,2,)</f>
        <v>Tuesday</v>
      </c>
      <c r="K276" s="38">
        <f>VLOOKUP(J276,'Sheet A'!J276:AB886,2,)</f>
        <v>1</v>
      </c>
      <c r="L276" s="38">
        <f>VLOOKUP(K276,'Sheet A'!K276:AC886,2,)</f>
        <v>0.16</v>
      </c>
      <c r="M276" s="70" t="str">
        <f>VLOOKUP(L276,'Sheet A'!L276:AD886,2,)</f>
        <v>Rainy</v>
      </c>
      <c r="N276" s="38">
        <f>VLOOKUP(M276,'Sheet A'!M276:AE886,2,)</f>
        <v>0.13639999999999999</v>
      </c>
      <c r="O276" s="38">
        <f>VLOOKUP(N276,'Sheet A'!N276:AF886,2,)</f>
        <v>0.55000000000000004</v>
      </c>
      <c r="P276" s="38">
        <f>VLOOKUP(O276,'Sheet A'!O276:AG886,2,)</f>
        <v>0.32840000000000003</v>
      </c>
      <c r="Q276" s="38">
        <f>VLOOKUP(P276,'Sheet A'!P276:AH886,2,)</f>
        <v>0</v>
      </c>
      <c r="R276" s="38">
        <f>VLOOKUP(Q276,'Sheet A'!Q276:AI886,2,)</f>
        <v>57</v>
      </c>
      <c r="S276" s="38">
        <f>VLOOKUP(R276,'Sheet A'!R276:AJ886,2,)</f>
        <v>57</v>
      </c>
    </row>
    <row r="277" spans="1:19" x14ac:dyDescent="0.35">
      <c r="A277" s="37">
        <v>276</v>
      </c>
      <c r="B277" s="60">
        <f>VLOOKUP(A277,'Sheet A'!A277:S887,2,)</f>
        <v>40555</v>
      </c>
      <c r="C277" s="38">
        <f>VLOOKUP(B277,'Sheet A'!B277:T887,2,)</f>
        <v>1</v>
      </c>
      <c r="D277" s="38">
        <f>VLOOKUP(C277,'Sheet A'!C277:U887,2,)</f>
        <v>0</v>
      </c>
      <c r="E277" s="38">
        <f>VLOOKUP(D277,'Sheet A'!D277:V887,2,)</f>
        <v>1</v>
      </c>
      <c r="F277" s="38">
        <f>VLOOKUP(E277,'Sheet A'!E277:W887,2,)</f>
        <v>22</v>
      </c>
      <c r="G277" s="41" t="str">
        <f>VLOOKUP(F277,'Sheet A'!F277:X887,2,)</f>
        <v>Night</v>
      </c>
      <c r="H277" s="38" t="b">
        <f>VLOOKUP(G277,'Sheet A'!G277:Y887,2,)</f>
        <v>0</v>
      </c>
      <c r="I277" s="38">
        <f>VLOOKUP(H277,'Sheet A'!H277:Z887,2,)</f>
        <v>3</v>
      </c>
      <c r="J277" s="41" t="str">
        <f>VLOOKUP(I277,'Sheet A'!I277:AA887,2,)</f>
        <v>Tuesday</v>
      </c>
      <c r="K277" s="38">
        <f>VLOOKUP(J277,'Sheet A'!J277:AB887,2,)</f>
        <v>1</v>
      </c>
      <c r="L277" s="38">
        <f>VLOOKUP(K277,'Sheet A'!K277:AC887,2,)</f>
        <v>0.16</v>
      </c>
      <c r="M277" s="70" t="str">
        <f>VLOOKUP(L277,'Sheet A'!L277:AD887,2,)</f>
        <v>Rainy</v>
      </c>
      <c r="N277" s="38">
        <f>VLOOKUP(M277,'Sheet A'!M277:AE887,2,)</f>
        <v>0.1212</v>
      </c>
      <c r="O277" s="38">
        <f>VLOOKUP(N277,'Sheet A'!N277:AF887,2,)</f>
        <v>0.55000000000000004</v>
      </c>
      <c r="P277" s="38">
        <f>VLOOKUP(O277,'Sheet A'!O277:AG887,2,)</f>
        <v>0.44779999999999998</v>
      </c>
      <c r="Q277" s="38">
        <f>VLOOKUP(P277,'Sheet A'!P277:AH887,2,)</f>
        <v>1</v>
      </c>
      <c r="R277" s="38">
        <f>VLOOKUP(Q277,'Sheet A'!Q277:AI887,2,)</f>
        <v>32</v>
      </c>
      <c r="S277" s="38">
        <f>VLOOKUP(R277,'Sheet A'!R277:AJ887,2,)</f>
        <v>33</v>
      </c>
    </row>
    <row r="278" spans="1:19" x14ac:dyDescent="0.35">
      <c r="A278" s="37">
        <v>277</v>
      </c>
      <c r="B278" s="60">
        <f>VLOOKUP(A278,'Sheet A'!A278:S888,2,)</f>
        <v>40555</v>
      </c>
      <c r="C278" s="38">
        <f>VLOOKUP(B278,'Sheet A'!B278:T888,2,)</f>
        <v>1</v>
      </c>
      <c r="D278" s="38">
        <f>VLOOKUP(C278,'Sheet A'!C278:U888,2,)</f>
        <v>0</v>
      </c>
      <c r="E278" s="38">
        <f>VLOOKUP(D278,'Sheet A'!D278:V888,2,)</f>
        <v>1</v>
      </c>
      <c r="F278" s="38">
        <f>VLOOKUP(E278,'Sheet A'!E278:W888,2,)</f>
        <v>23</v>
      </c>
      <c r="G278" s="41" t="str">
        <f>VLOOKUP(F278,'Sheet A'!F278:X888,2,)</f>
        <v>Night</v>
      </c>
      <c r="H278" s="38" t="b">
        <f>VLOOKUP(G278,'Sheet A'!G278:Y888,2,)</f>
        <v>0</v>
      </c>
      <c r="I278" s="38">
        <f>VLOOKUP(H278,'Sheet A'!H278:Z888,2,)</f>
        <v>3</v>
      </c>
      <c r="J278" s="41" t="str">
        <f>VLOOKUP(I278,'Sheet A'!I278:AA888,2,)</f>
        <v>Tuesday</v>
      </c>
      <c r="K278" s="38">
        <f>VLOOKUP(J278,'Sheet A'!J278:AB888,2,)</f>
        <v>1</v>
      </c>
      <c r="L278" s="38">
        <f>VLOOKUP(K278,'Sheet A'!K278:AC888,2,)</f>
        <v>0.14000000000000001</v>
      </c>
      <c r="M278" s="70" t="str">
        <f>VLOOKUP(L278,'Sheet A'!L278:AD888,2,)</f>
        <v>Rainy</v>
      </c>
      <c r="N278" s="38">
        <f>VLOOKUP(M278,'Sheet A'!M278:AE888,2,)</f>
        <v>0.1061</v>
      </c>
      <c r="O278" s="38">
        <f>VLOOKUP(N278,'Sheet A'!N278:AF888,2,)</f>
        <v>0.59</v>
      </c>
      <c r="P278" s="38">
        <f>VLOOKUP(O278,'Sheet A'!O278:AG888,2,)</f>
        <v>0.41789999999999999</v>
      </c>
      <c r="Q278" s="38">
        <f>VLOOKUP(P278,'Sheet A'!P278:AH888,2,)</f>
        <v>1</v>
      </c>
      <c r="R278" s="38">
        <f>VLOOKUP(Q278,'Sheet A'!Q278:AI888,2,)</f>
        <v>19</v>
      </c>
      <c r="S278" s="38">
        <f>VLOOKUP(R278,'Sheet A'!R278:AJ888,2,)</f>
        <v>20</v>
      </c>
    </row>
    <row r="279" spans="1:19" x14ac:dyDescent="0.35">
      <c r="A279" s="37">
        <v>278</v>
      </c>
      <c r="B279" s="60">
        <f>VLOOKUP(A279,'Sheet A'!A279:S889,2,)</f>
        <v>40556</v>
      </c>
      <c r="C279" s="38">
        <f>VLOOKUP(B279,'Sheet A'!B279:T889,2,)</f>
        <v>1</v>
      </c>
      <c r="D279" s="38">
        <f>VLOOKUP(C279,'Sheet A'!C279:U889,2,)</f>
        <v>0</v>
      </c>
      <c r="E279" s="38">
        <f>VLOOKUP(D279,'Sheet A'!D279:V889,2,)</f>
        <v>1</v>
      </c>
      <c r="F279" s="38">
        <f>VLOOKUP(E279,'Sheet A'!E279:W889,2,)</f>
        <v>0</v>
      </c>
      <c r="G279" s="41" t="str">
        <f>VLOOKUP(F279,'Sheet A'!F279:X889,2,)</f>
        <v>Night</v>
      </c>
      <c r="H279" s="38" t="b">
        <f>VLOOKUP(G279,'Sheet A'!G279:Y889,2,)</f>
        <v>0</v>
      </c>
      <c r="I279" s="38">
        <f>VLOOKUP(H279,'Sheet A'!H279:Z889,2,)</f>
        <v>4</v>
      </c>
      <c r="J279" s="41" t="str">
        <f>VLOOKUP(I279,'Sheet A'!I279:AA889,2,)</f>
        <v>Wednesday</v>
      </c>
      <c r="K279" s="38">
        <f>VLOOKUP(J279,'Sheet A'!J279:AB889,2,)</f>
        <v>1</v>
      </c>
      <c r="L279" s="38">
        <f>VLOOKUP(K279,'Sheet A'!K279:AC889,2,)</f>
        <v>0.14000000000000001</v>
      </c>
      <c r="M279" s="70" t="str">
        <f>VLOOKUP(L279,'Sheet A'!L279:AD889,2,)</f>
        <v>Rainy</v>
      </c>
      <c r="N279" s="38">
        <f>VLOOKUP(M279,'Sheet A'!M279:AE889,2,)</f>
        <v>0.1212</v>
      </c>
      <c r="O279" s="38">
        <f>VLOOKUP(N279,'Sheet A'!N279:AF889,2,)</f>
        <v>0.59</v>
      </c>
      <c r="P279" s="38">
        <f>VLOOKUP(O279,'Sheet A'!O279:AG889,2,)</f>
        <v>0.28360000000000002</v>
      </c>
      <c r="Q279" s="38">
        <f>VLOOKUP(P279,'Sheet A'!P279:AH889,2,)</f>
        <v>1</v>
      </c>
      <c r="R279" s="38">
        <f>VLOOKUP(Q279,'Sheet A'!Q279:AI889,2,)</f>
        <v>6</v>
      </c>
      <c r="S279" s="38">
        <f>VLOOKUP(R279,'Sheet A'!R279:AJ889,2,)</f>
        <v>7</v>
      </c>
    </row>
    <row r="280" spans="1:19" x14ac:dyDescent="0.35">
      <c r="A280" s="37">
        <v>279</v>
      </c>
      <c r="B280" s="60">
        <f>VLOOKUP(A280,'Sheet A'!A280:S890,2,)</f>
        <v>40556</v>
      </c>
      <c r="C280" s="38">
        <f>VLOOKUP(B280,'Sheet A'!B280:T890,2,)</f>
        <v>1</v>
      </c>
      <c r="D280" s="38">
        <f>VLOOKUP(C280,'Sheet A'!C280:U890,2,)</f>
        <v>0</v>
      </c>
      <c r="E280" s="38">
        <f>VLOOKUP(D280,'Sheet A'!D280:V890,2,)</f>
        <v>1</v>
      </c>
      <c r="F280" s="38">
        <f>VLOOKUP(E280,'Sheet A'!E280:W890,2,)</f>
        <v>1</v>
      </c>
      <c r="G280" s="41" t="str">
        <f>VLOOKUP(F280,'Sheet A'!F280:X890,2,)</f>
        <v>Night</v>
      </c>
      <c r="H280" s="38" t="b">
        <f>VLOOKUP(G280,'Sheet A'!G280:Y890,2,)</f>
        <v>0</v>
      </c>
      <c r="I280" s="38">
        <f>VLOOKUP(H280,'Sheet A'!H280:Z890,2,)</f>
        <v>4</v>
      </c>
      <c r="J280" s="41" t="str">
        <f>VLOOKUP(I280,'Sheet A'!I280:AA890,2,)</f>
        <v>Wednesday</v>
      </c>
      <c r="K280" s="38">
        <f>VLOOKUP(J280,'Sheet A'!J280:AB890,2,)</f>
        <v>1</v>
      </c>
      <c r="L280" s="38">
        <f>VLOOKUP(K280,'Sheet A'!K280:AC890,2,)</f>
        <v>0.14000000000000001</v>
      </c>
      <c r="M280" s="70" t="str">
        <f>VLOOKUP(L280,'Sheet A'!L280:AD890,2,)</f>
        <v>Rainy</v>
      </c>
      <c r="N280" s="38">
        <f>VLOOKUP(M280,'Sheet A'!M280:AE890,2,)</f>
        <v>0.1212</v>
      </c>
      <c r="O280" s="38">
        <f>VLOOKUP(N280,'Sheet A'!N280:AF890,2,)</f>
        <v>0.5</v>
      </c>
      <c r="P280" s="38">
        <f>VLOOKUP(O280,'Sheet A'!O280:AG890,2,)</f>
        <v>0.28360000000000002</v>
      </c>
      <c r="Q280" s="38">
        <f>VLOOKUP(P280,'Sheet A'!P280:AH890,2,)</f>
        <v>0</v>
      </c>
      <c r="R280" s="38">
        <f>VLOOKUP(Q280,'Sheet A'!Q280:AI890,2,)</f>
        <v>2</v>
      </c>
      <c r="S280" s="38">
        <f>VLOOKUP(R280,'Sheet A'!R280:AJ890,2,)</f>
        <v>2</v>
      </c>
    </row>
    <row r="281" spans="1:19" x14ac:dyDescent="0.35">
      <c r="A281" s="37">
        <v>280</v>
      </c>
      <c r="B281" s="60">
        <f>VLOOKUP(A281,'Sheet A'!A281:S891,2,)</f>
        <v>40556</v>
      </c>
      <c r="C281" s="38">
        <f>VLOOKUP(B281,'Sheet A'!B281:T891,2,)</f>
        <v>1</v>
      </c>
      <c r="D281" s="38">
        <f>VLOOKUP(C281,'Sheet A'!C281:U891,2,)</f>
        <v>0</v>
      </c>
      <c r="E281" s="38">
        <f>VLOOKUP(D281,'Sheet A'!D281:V891,2,)</f>
        <v>1</v>
      </c>
      <c r="F281" s="38">
        <f>VLOOKUP(E281,'Sheet A'!E281:W891,2,)</f>
        <v>2</v>
      </c>
      <c r="G281" s="41" t="str">
        <f>VLOOKUP(F281,'Sheet A'!F281:X891,2,)</f>
        <v>Night</v>
      </c>
      <c r="H281" s="38" t="b">
        <f>VLOOKUP(G281,'Sheet A'!G281:Y891,2,)</f>
        <v>0</v>
      </c>
      <c r="I281" s="38">
        <f>VLOOKUP(H281,'Sheet A'!H281:Z891,2,)</f>
        <v>4</v>
      </c>
      <c r="J281" s="41" t="str">
        <f>VLOOKUP(I281,'Sheet A'!I281:AA891,2,)</f>
        <v>Wednesday</v>
      </c>
      <c r="K281" s="38">
        <f>VLOOKUP(J281,'Sheet A'!J281:AB891,2,)</f>
        <v>1</v>
      </c>
      <c r="L281" s="38">
        <f>VLOOKUP(K281,'Sheet A'!K281:AC891,2,)</f>
        <v>0.14000000000000001</v>
      </c>
      <c r="M281" s="70" t="str">
        <f>VLOOKUP(L281,'Sheet A'!L281:AD891,2,)</f>
        <v>Rainy</v>
      </c>
      <c r="N281" s="38">
        <f>VLOOKUP(M281,'Sheet A'!M281:AE891,2,)</f>
        <v>0.1212</v>
      </c>
      <c r="O281" s="38">
        <f>VLOOKUP(N281,'Sheet A'!N281:AF891,2,)</f>
        <v>0.5</v>
      </c>
      <c r="P281" s="38">
        <f>VLOOKUP(O281,'Sheet A'!O281:AG891,2,)</f>
        <v>0.35820000000000002</v>
      </c>
      <c r="Q281" s="38">
        <f>VLOOKUP(P281,'Sheet A'!P281:AH891,2,)</f>
        <v>0</v>
      </c>
      <c r="R281" s="38">
        <f>VLOOKUP(Q281,'Sheet A'!Q281:AI891,2,)</f>
        <v>2</v>
      </c>
      <c r="S281" s="38">
        <f>VLOOKUP(R281,'Sheet A'!R281:AJ891,2,)</f>
        <v>2</v>
      </c>
    </row>
    <row r="282" spans="1:19" x14ac:dyDescent="0.35">
      <c r="A282" s="37">
        <v>281</v>
      </c>
      <c r="B282" s="60">
        <f>VLOOKUP(A282,'Sheet A'!A282:S892,2,)</f>
        <v>40556</v>
      </c>
      <c r="C282" s="38">
        <f>VLOOKUP(B282,'Sheet A'!B282:T892,2,)</f>
        <v>1</v>
      </c>
      <c r="D282" s="38">
        <f>VLOOKUP(C282,'Sheet A'!C282:U892,2,)</f>
        <v>0</v>
      </c>
      <c r="E282" s="38">
        <f>VLOOKUP(D282,'Sheet A'!D282:V892,2,)</f>
        <v>1</v>
      </c>
      <c r="F282" s="38">
        <f>VLOOKUP(E282,'Sheet A'!E282:W892,2,)</f>
        <v>3</v>
      </c>
      <c r="G282" s="41" t="str">
        <f>VLOOKUP(F282,'Sheet A'!F282:X892,2,)</f>
        <v>Night</v>
      </c>
      <c r="H282" s="38" t="b">
        <f>VLOOKUP(G282,'Sheet A'!G282:Y892,2,)</f>
        <v>0</v>
      </c>
      <c r="I282" s="38">
        <f>VLOOKUP(H282,'Sheet A'!H282:Z892,2,)</f>
        <v>4</v>
      </c>
      <c r="J282" s="41" t="str">
        <f>VLOOKUP(I282,'Sheet A'!I282:AA892,2,)</f>
        <v>Wednesday</v>
      </c>
      <c r="K282" s="38">
        <f>VLOOKUP(J282,'Sheet A'!J282:AB892,2,)</f>
        <v>1</v>
      </c>
      <c r="L282" s="38">
        <f>VLOOKUP(K282,'Sheet A'!K282:AC892,2,)</f>
        <v>0.14000000000000001</v>
      </c>
      <c r="M282" s="70" t="str">
        <f>VLOOKUP(L282,'Sheet A'!L282:AD892,2,)</f>
        <v>Rainy</v>
      </c>
      <c r="N282" s="38">
        <f>VLOOKUP(M282,'Sheet A'!M282:AE892,2,)</f>
        <v>0.1212</v>
      </c>
      <c r="O282" s="38">
        <f>VLOOKUP(N282,'Sheet A'!N282:AF892,2,)</f>
        <v>0.5</v>
      </c>
      <c r="P282" s="38">
        <f>VLOOKUP(O282,'Sheet A'!O282:AG892,2,)</f>
        <v>0.32840000000000003</v>
      </c>
      <c r="Q282" s="38">
        <f>VLOOKUP(P282,'Sheet A'!P282:AH892,2,)</f>
        <v>0</v>
      </c>
      <c r="R282" s="38">
        <f>VLOOKUP(Q282,'Sheet A'!Q282:AI892,2,)</f>
        <v>3</v>
      </c>
      <c r="S282" s="38">
        <f>VLOOKUP(R282,'Sheet A'!R282:AJ892,2,)</f>
        <v>3</v>
      </c>
    </row>
    <row r="283" spans="1:19" x14ac:dyDescent="0.35">
      <c r="A283" s="37">
        <v>282</v>
      </c>
      <c r="B283" s="60">
        <f>VLOOKUP(A283,'Sheet A'!A283:S893,2,)</f>
        <v>40556</v>
      </c>
      <c r="C283" s="38">
        <f>VLOOKUP(B283,'Sheet A'!B283:T893,2,)</f>
        <v>1</v>
      </c>
      <c r="D283" s="38">
        <f>VLOOKUP(C283,'Sheet A'!C283:U893,2,)</f>
        <v>0</v>
      </c>
      <c r="E283" s="38">
        <f>VLOOKUP(D283,'Sheet A'!D283:V893,2,)</f>
        <v>1</v>
      </c>
      <c r="F283" s="38">
        <f>VLOOKUP(E283,'Sheet A'!E283:W893,2,)</f>
        <v>4</v>
      </c>
      <c r="G283" s="41" t="str">
        <f>VLOOKUP(F283,'Sheet A'!F283:X893,2,)</f>
        <v>Night</v>
      </c>
      <c r="H283" s="38" t="b">
        <f>VLOOKUP(G283,'Sheet A'!G283:Y893,2,)</f>
        <v>0</v>
      </c>
      <c r="I283" s="38">
        <f>VLOOKUP(H283,'Sheet A'!H283:Z893,2,)</f>
        <v>4</v>
      </c>
      <c r="J283" s="41" t="str">
        <f>VLOOKUP(I283,'Sheet A'!I283:AA893,2,)</f>
        <v>Wednesday</v>
      </c>
      <c r="K283" s="38">
        <f>VLOOKUP(J283,'Sheet A'!J283:AB893,2,)</f>
        <v>1</v>
      </c>
      <c r="L283" s="38">
        <f>VLOOKUP(K283,'Sheet A'!K283:AC893,2,)</f>
        <v>0.14000000000000001</v>
      </c>
      <c r="M283" s="70" t="str">
        <f>VLOOKUP(L283,'Sheet A'!L283:AD893,2,)</f>
        <v>Rainy</v>
      </c>
      <c r="N283" s="38">
        <f>VLOOKUP(M283,'Sheet A'!M283:AE893,2,)</f>
        <v>0.1212</v>
      </c>
      <c r="O283" s="38">
        <f>VLOOKUP(N283,'Sheet A'!N283:AF893,2,)</f>
        <v>0.5</v>
      </c>
      <c r="P283" s="38">
        <f>VLOOKUP(O283,'Sheet A'!O283:AG893,2,)</f>
        <v>0.25369999999999998</v>
      </c>
      <c r="Q283" s="38">
        <f>VLOOKUP(P283,'Sheet A'!P283:AH893,2,)</f>
        <v>0</v>
      </c>
      <c r="R283" s="38">
        <f>VLOOKUP(Q283,'Sheet A'!Q283:AI893,2,)</f>
        <v>4</v>
      </c>
      <c r="S283" s="38">
        <f>VLOOKUP(R283,'Sheet A'!R283:AJ893,2,)</f>
        <v>4</v>
      </c>
    </row>
    <row r="284" spans="1:19" x14ac:dyDescent="0.35">
      <c r="A284" s="37">
        <v>283</v>
      </c>
      <c r="B284" s="60">
        <f>VLOOKUP(A284,'Sheet A'!A284:S894,2,)</f>
        <v>40556</v>
      </c>
      <c r="C284" s="38">
        <f>VLOOKUP(B284,'Sheet A'!B284:T894,2,)</f>
        <v>1</v>
      </c>
      <c r="D284" s="38">
        <f>VLOOKUP(C284,'Sheet A'!C284:U894,2,)</f>
        <v>0</v>
      </c>
      <c r="E284" s="38">
        <f>VLOOKUP(D284,'Sheet A'!D284:V894,2,)</f>
        <v>1</v>
      </c>
      <c r="F284" s="38">
        <f>VLOOKUP(E284,'Sheet A'!E284:W894,2,)</f>
        <v>5</v>
      </c>
      <c r="G284" s="41" t="str">
        <f>VLOOKUP(F284,'Sheet A'!F284:X894,2,)</f>
        <v>Morning</v>
      </c>
      <c r="H284" s="38" t="b">
        <f>VLOOKUP(G284,'Sheet A'!G284:Y894,2,)</f>
        <v>0</v>
      </c>
      <c r="I284" s="38">
        <f>VLOOKUP(H284,'Sheet A'!H284:Z894,2,)</f>
        <v>4</v>
      </c>
      <c r="J284" s="41" t="str">
        <f>VLOOKUP(I284,'Sheet A'!I284:AA894,2,)</f>
        <v>Wednesday</v>
      </c>
      <c r="K284" s="38">
        <f>VLOOKUP(J284,'Sheet A'!J284:AB894,2,)</f>
        <v>1</v>
      </c>
      <c r="L284" s="38">
        <f>VLOOKUP(K284,'Sheet A'!K284:AC894,2,)</f>
        <v>0.14000000000000001</v>
      </c>
      <c r="M284" s="70" t="str">
        <f>VLOOKUP(L284,'Sheet A'!L284:AD894,2,)</f>
        <v>Rainy</v>
      </c>
      <c r="N284" s="38">
        <f>VLOOKUP(M284,'Sheet A'!M284:AE894,2,)</f>
        <v>0.1212</v>
      </c>
      <c r="O284" s="38">
        <f>VLOOKUP(N284,'Sheet A'!N284:AF894,2,)</f>
        <v>0.5</v>
      </c>
      <c r="P284" s="38">
        <f>VLOOKUP(O284,'Sheet A'!O284:AG894,2,)</f>
        <v>0.29849999999999999</v>
      </c>
      <c r="Q284" s="38">
        <f>VLOOKUP(P284,'Sheet A'!P284:AH894,2,)</f>
        <v>0</v>
      </c>
      <c r="R284" s="38">
        <f>VLOOKUP(Q284,'Sheet A'!Q284:AI894,2,)</f>
        <v>3</v>
      </c>
      <c r="S284" s="38">
        <f>VLOOKUP(R284,'Sheet A'!R284:AJ894,2,)</f>
        <v>3</v>
      </c>
    </row>
    <row r="285" spans="1:19" x14ac:dyDescent="0.35">
      <c r="A285" s="37">
        <v>284</v>
      </c>
      <c r="B285" s="60">
        <f>VLOOKUP(A285,'Sheet A'!A285:S895,2,)</f>
        <v>40556</v>
      </c>
      <c r="C285" s="38">
        <f>VLOOKUP(B285,'Sheet A'!B285:T895,2,)</f>
        <v>1</v>
      </c>
      <c r="D285" s="38">
        <f>VLOOKUP(C285,'Sheet A'!C285:U895,2,)</f>
        <v>0</v>
      </c>
      <c r="E285" s="38">
        <f>VLOOKUP(D285,'Sheet A'!D285:V895,2,)</f>
        <v>1</v>
      </c>
      <c r="F285" s="38">
        <f>VLOOKUP(E285,'Sheet A'!E285:W895,2,)</f>
        <v>6</v>
      </c>
      <c r="G285" s="41" t="str">
        <f>VLOOKUP(F285,'Sheet A'!F285:X895,2,)</f>
        <v>Morning</v>
      </c>
      <c r="H285" s="38" t="b">
        <f>VLOOKUP(G285,'Sheet A'!G285:Y895,2,)</f>
        <v>0</v>
      </c>
      <c r="I285" s="38">
        <f>VLOOKUP(H285,'Sheet A'!H285:Z895,2,)</f>
        <v>4</v>
      </c>
      <c r="J285" s="41" t="str">
        <f>VLOOKUP(I285,'Sheet A'!I285:AA895,2,)</f>
        <v>Wednesday</v>
      </c>
      <c r="K285" s="38">
        <f>VLOOKUP(J285,'Sheet A'!J285:AB895,2,)</f>
        <v>1</v>
      </c>
      <c r="L285" s="38">
        <f>VLOOKUP(K285,'Sheet A'!K285:AC895,2,)</f>
        <v>0.12</v>
      </c>
      <c r="M285" s="70" t="str">
        <f>VLOOKUP(L285,'Sheet A'!L285:AD895,2,)</f>
        <v>Rainy</v>
      </c>
      <c r="N285" s="38">
        <f>VLOOKUP(M285,'Sheet A'!M285:AE895,2,)</f>
        <v>0.1515</v>
      </c>
      <c r="O285" s="38">
        <f>VLOOKUP(N285,'Sheet A'!N285:AF895,2,)</f>
        <v>0.54</v>
      </c>
      <c r="P285" s="38">
        <f>VLOOKUP(O285,'Sheet A'!O285:AG895,2,)</f>
        <v>0.1343</v>
      </c>
      <c r="Q285" s="38">
        <f>VLOOKUP(P285,'Sheet A'!P285:AH895,2,)</f>
        <v>0</v>
      </c>
      <c r="R285" s="38">
        <f>VLOOKUP(Q285,'Sheet A'!Q285:AI895,2,)</f>
        <v>28</v>
      </c>
      <c r="S285" s="38">
        <f>VLOOKUP(R285,'Sheet A'!R285:AJ895,2,)</f>
        <v>28</v>
      </c>
    </row>
    <row r="286" spans="1:19" x14ac:dyDescent="0.35">
      <c r="A286" s="37">
        <v>285</v>
      </c>
      <c r="B286" s="60">
        <f>VLOOKUP(A286,'Sheet A'!A286:S896,2,)</f>
        <v>40556</v>
      </c>
      <c r="C286" s="38">
        <f>VLOOKUP(B286,'Sheet A'!B286:T896,2,)</f>
        <v>1</v>
      </c>
      <c r="D286" s="38">
        <f>VLOOKUP(C286,'Sheet A'!C286:U896,2,)</f>
        <v>0</v>
      </c>
      <c r="E286" s="38">
        <f>VLOOKUP(D286,'Sheet A'!D286:V896,2,)</f>
        <v>1</v>
      </c>
      <c r="F286" s="38">
        <f>VLOOKUP(E286,'Sheet A'!E286:W896,2,)</f>
        <v>7</v>
      </c>
      <c r="G286" s="41" t="str">
        <f>VLOOKUP(F286,'Sheet A'!F286:X896,2,)</f>
        <v>Morning</v>
      </c>
      <c r="H286" s="38" t="b">
        <f>VLOOKUP(G286,'Sheet A'!G286:Y896,2,)</f>
        <v>0</v>
      </c>
      <c r="I286" s="38">
        <f>VLOOKUP(H286,'Sheet A'!H286:Z896,2,)</f>
        <v>4</v>
      </c>
      <c r="J286" s="41" t="str">
        <f>VLOOKUP(I286,'Sheet A'!I286:AA896,2,)</f>
        <v>Wednesday</v>
      </c>
      <c r="K286" s="38">
        <f>VLOOKUP(J286,'Sheet A'!J286:AB896,2,)</f>
        <v>1</v>
      </c>
      <c r="L286" s="38">
        <f>VLOOKUP(K286,'Sheet A'!K286:AC896,2,)</f>
        <v>0.12</v>
      </c>
      <c r="M286" s="70" t="str">
        <f>VLOOKUP(L286,'Sheet A'!L286:AD896,2,)</f>
        <v>Rainy</v>
      </c>
      <c r="N286" s="38">
        <f>VLOOKUP(M286,'Sheet A'!M286:AE896,2,)</f>
        <v>0.1515</v>
      </c>
      <c r="O286" s="38">
        <f>VLOOKUP(N286,'Sheet A'!N286:AF896,2,)</f>
        <v>0.54</v>
      </c>
      <c r="P286" s="38">
        <f>VLOOKUP(O286,'Sheet A'!O286:AG896,2,)</f>
        <v>0.1343</v>
      </c>
      <c r="Q286" s="38">
        <f>VLOOKUP(P286,'Sheet A'!P286:AH896,2,)</f>
        <v>0</v>
      </c>
      <c r="R286" s="38">
        <f>VLOOKUP(Q286,'Sheet A'!Q286:AI896,2,)</f>
        <v>72</v>
      </c>
      <c r="S286" s="38">
        <f>VLOOKUP(R286,'Sheet A'!R286:AJ896,2,)</f>
        <v>72</v>
      </c>
    </row>
    <row r="287" spans="1:19" x14ac:dyDescent="0.35">
      <c r="A287" s="37">
        <v>286</v>
      </c>
      <c r="B287" s="60">
        <f>VLOOKUP(A287,'Sheet A'!A287:S897,2,)</f>
        <v>40556</v>
      </c>
      <c r="C287" s="38">
        <f>VLOOKUP(B287,'Sheet A'!B287:T897,2,)</f>
        <v>1</v>
      </c>
      <c r="D287" s="38">
        <f>VLOOKUP(C287,'Sheet A'!C287:U897,2,)</f>
        <v>0</v>
      </c>
      <c r="E287" s="38">
        <f>VLOOKUP(D287,'Sheet A'!D287:V897,2,)</f>
        <v>1</v>
      </c>
      <c r="F287" s="38">
        <f>VLOOKUP(E287,'Sheet A'!E287:W897,2,)</f>
        <v>8</v>
      </c>
      <c r="G287" s="41" t="str">
        <f>VLOOKUP(F287,'Sheet A'!F287:X897,2,)</f>
        <v>Morning</v>
      </c>
      <c r="H287" s="38" t="b">
        <f>VLOOKUP(G287,'Sheet A'!G287:Y897,2,)</f>
        <v>0</v>
      </c>
      <c r="I287" s="38">
        <f>VLOOKUP(H287,'Sheet A'!H287:Z897,2,)</f>
        <v>4</v>
      </c>
      <c r="J287" s="41" t="str">
        <f>VLOOKUP(I287,'Sheet A'!I287:AA897,2,)</f>
        <v>Wednesday</v>
      </c>
      <c r="K287" s="38">
        <f>VLOOKUP(J287,'Sheet A'!J287:AB897,2,)</f>
        <v>1</v>
      </c>
      <c r="L287" s="38">
        <f>VLOOKUP(K287,'Sheet A'!K287:AC897,2,)</f>
        <v>0.14000000000000001</v>
      </c>
      <c r="M287" s="70" t="str">
        <f>VLOOKUP(L287,'Sheet A'!L287:AD897,2,)</f>
        <v>Rainy</v>
      </c>
      <c r="N287" s="38">
        <f>VLOOKUP(M287,'Sheet A'!M287:AE897,2,)</f>
        <v>0.13639999999999999</v>
      </c>
      <c r="O287" s="38">
        <f>VLOOKUP(N287,'Sheet A'!N287:AF897,2,)</f>
        <v>0.5</v>
      </c>
      <c r="P287" s="38">
        <f>VLOOKUP(O287,'Sheet A'!O287:AG897,2,)</f>
        <v>0.19400000000000001</v>
      </c>
      <c r="Q287" s="38">
        <f>VLOOKUP(P287,'Sheet A'!P287:AH897,2,)</f>
        <v>5</v>
      </c>
      <c r="R287" s="38">
        <f>VLOOKUP(Q287,'Sheet A'!Q287:AI897,2,)</f>
        <v>197</v>
      </c>
      <c r="S287" s="38">
        <f>VLOOKUP(R287,'Sheet A'!R287:AJ897,2,)</f>
        <v>202</v>
      </c>
    </row>
    <row r="288" spans="1:19" x14ac:dyDescent="0.35">
      <c r="A288" s="37">
        <v>287</v>
      </c>
      <c r="B288" s="60">
        <f>VLOOKUP(A288,'Sheet A'!A288:S898,2,)</f>
        <v>40556</v>
      </c>
      <c r="C288" s="38">
        <f>VLOOKUP(B288,'Sheet A'!B288:T898,2,)</f>
        <v>1</v>
      </c>
      <c r="D288" s="38">
        <f>VLOOKUP(C288,'Sheet A'!C288:U898,2,)</f>
        <v>0</v>
      </c>
      <c r="E288" s="38">
        <f>VLOOKUP(D288,'Sheet A'!D288:V898,2,)</f>
        <v>1</v>
      </c>
      <c r="F288" s="38">
        <f>VLOOKUP(E288,'Sheet A'!E288:W898,2,)</f>
        <v>9</v>
      </c>
      <c r="G288" s="41" t="str">
        <f>VLOOKUP(F288,'Sheet A'!F288:X898,2,)</f>
        <v>Morning</v>
      </c>
      <c r="H288" s="38" t="b">
        <f>VLOOKUP(G288,'Sheet A'!G288:Y898,2,)</f>
        <v>0</v>
      </c>
      <c r="I288" s="38">
        <f>VLOOKUP(H288,'Sheet A'!H288:Z898,2,)</f>
        <v>4</v>
      </c>
      <c r="J288" s="41" t="str">
        <f>VLOOKUP(I288,'Sheet A'!I288:AA898,2,)</f>
        <v>Wednesday</v>
      </c>
      <c r="K288" s="38">
        <f>VLOOKUP(J288,'Sheet A'!J288:AB898,2,)</f>
        <v>1</v>
      </c>
      <c r="L288" s="38">
        <f>VLOOKUP(K288,'Sheet A'!K288:AC898,2,)</f>
        <v>0.14000000000000001</v>
      </c>
      <c r="M288" s="70" t="str">
        <f>VLOOKUP(L288,'Sheet A'!L288:AD898,2,)</f>
        <v>Rainy</v>
      </c>
      <c r="N288" s="38">
        <f>VLOOKUP(M288,'Sheet A'!M288:AE898,2,)</f>
        <v>0.1212</v>
      </c>
      <c r="O288" s="38">
        <f>VLOOKUP(N288,'Sheet A'!N288:AF898,2,)</f>
        <v>0.5</v>
      </c>
      <c r="P288" s="38">
        <f>VLOOKUP(O288,'Sheet A'!O288:AG898,2,)</f>
        <v>0.32840000000000003</v>
      </c>
      <c r="Q288" s="38">
        <f>VLOOKUP(P288,'Sheet A'!P288:AH898,2,)</f>
        <v>2</v>
      </c>
      <c r="R288" s="38">
        <f>VLOOKUP(Q288,'Sheet A'!Q288:AI898,2,)</f>
        <v>137</v>
      </c>
      <c r="S288" s="38">
        <f>VLOOKUP(R288,'Sheet A'!R288:AJ898,2,)</f>
        <v>139</v>
      </c>
    </row>
    <row r="289" spans="1:19" x14ac:dyDescent="0.35">
      <c r="A289" s="37">
        <v>288</v>
      </c>
      <c r="B289" s="60">
        <f>VLOOKUP(A289,'Sheet A'!A289:S899,2,)</f>
        <v>40556</v>
      </c>
      <c r="C289" s="38">
        <f>VLOOKUP(B289,'Sheet A'!B289:T899,2,)</f>
        <v>1</v>
      </c>
      <c r="D289" s="38">
        <f>VLOOKUP(C289,'Sheet A'!C289:U899,2,)</f>
        <v>0</v>
      </c>
      <c r="E289" s="38">
        <f>VLOOKUP(D289,'Sheet A'!D289:V899,2,)</f>
        <v>1</v>
      </c>
      <c r="F289" s="38">
        <f>VLOOKUP(E289,'Sheet A'!E289:W899,2,)</f>
        <v>10</v>
      </c>
      <c r="G289" s="41" t="str">
        <f>VLOOKUP(F289,'Sheet A'!F289:X899,2,)</f>
        <v>Morning</v>
      </c>
      <c r="H289" s="38" t="b">
        <f>VLOOKUP(G289,'Sheet A'!G289:Y899,2,)</f>
        <v>0</v>
      </c>
      <c r="I289" s="38">
        <f>VLOOKUP(H289,'Sheet A'!H289:Z899,2,)</f>
        <v>4</v>
      </c>
      <c r="J289" s="41" t="str">
        <f>VLOOKUP(I289,'Sheet A'!I289:AA899,2,)</f>
        <v>Wednesday</v>
      </c>
      <c r="K289" s="38">
        <f>VLOOKUP(J289,'Sheet A'!J289:AB899,2,)</f>
        <v>2</v>
      </c>
      <c r="L289" s="38">
        <f>VLOOKUP(K289,'Sheet A'!K289:AC899,2,)</f>
        <v>0.16</v>
      </c>
      <c r="M289" s="70" t="str">
        <f>VLOOKUP(L289,'Sheet A'!L289:AD899,2,)</f>
        <v>Rainy</v>
      </c>
      <c r="N289" s="38">
        <f>VLOOKUP(M289,'Sheet A'!M289:AE899,2,)</f>
        <v>0.13639999999999999</v>
      </c>
      <c r="O289" s="38">
        <f>VLOOKUP(N289,'Sheet A'!N289:AF899,2,)</f>
        <v>0.5</v>
      </c>
      <c r="P289" s="38">
        <f>VLOOKUP(O289,'Sheet A'!O289:AG899,2,)</f>
        <v>0.35820000000000002</v>
      </c>
      <c r="Q289" s="38">
        <f>VLOOKUP(P289,'Sheet A'!P289:AH899,2,)</f>
        <v>2</v>
      </c>
      <c r="R289" s="38">
        <f>VLOOKUP(Q289,'Sheet A'!Q289:AI899,2,)</f>
        <v>36</v>
      </c>
      <c r="S289" s="38">
        <f>VLOOKUP(R289,'Sheet A'!R289:AJ899,2,)</f>
        <v>38</v>
      </c>
    </row>
    <row r="290" spans="1:19" x14ac:dyDescent="0.35">
      <c r="A290" s="37">
        <v>289</v>
      </c>
      <c r="B290" s="60">
        <f>VLOOKUP(A290,'Sheet A'!A290:S900,2,)</f>
        <v>40556</v>
      </c>
      <c r="C290" s="38">
        <f>VLOOKUP(B290,'Sheet A'!B290:T900,2,)</f>
        <v>1</v>
      </c>
      <c r="D290" s="38">
        <f>VLOOKUP(C290,'Sheet A'!C290:U900,2,)</f>
        <v>0</v>
      </c>
      <c r="E290" s="38">
        <f>VLOOKUP(D290,'Sheet A'!D290:V900,2,)</f>
        <v>1</v>
      </c>
      <c r="F290" s="38">
        <f>VLOOKUP(E290,'Sheet A'!E290:W900,2,)</f>
        <v>11</v>
      </c>
      <c r="G290" s="41" t="str">
        <f>VLOOKUP(F290,'Sheet A'!F290:X900,2,)</f>
        <v>Morning</v>
      </c>
      <c r="H290" s="38" t="b">
        <f>VLOOKUP(G290,'Sheet A'!G290:Y900,2,)</f>
        <v>0</v>
      </c>
      <c r="I290" s="38">
        <f>VLOOKUP(H290,'Sheet A'!H290:Z900,2,)</f>
        <v>4</v>
      </c>
      <c r="J290" s="41" t="str">
        <f>VLOOKUP(I290,'Sheet A'!I290:AA900,2,)</f>
        <v>Wednesday</v>
      </c>
      <c r="K290" s="38">
        <f>VLOOKUP(J290,'Sheet A'!J290:AB900,2,)</f>
        <v>2</v>
      </c>
      <c r="L290" s="38">
        <f>VLOOKUP(K290,'Sheet A'!K290:AC900,2,)</f>
        <v>0.2</v>
      </c>
      <c r="M290" s="70" t="str">
        <f>VLOOKUP(L290,'Sheet A'!L290:AD900,2,)</f>
        <v>Rainy</v>
      </c>
      <c r="N290" s="38">
        <f>VLOOKUP(M290,'Sheet A'!M290:AE900,2,)</f>
        <v>0.16669999999999999</v>
      </c>
      <c r="O290" s="38">
        <f>VLOOKUP(N290,'Sheet A'!N290:AF900,2,)</f>
        <v>0.44</v>
      </c>
      <c r="P290" s="38">
        <f>VLOOKUP(O290,'Sheet A'!O290:AG900,2,)</f>
        <v>0.44779999999999998</v>
      </c>
      <c r="Q290" s="38">
        <f>VLOOKUP(P290,'Sheet A'!P290:AH900,2,)</f>
        <v>4</v>
      </c>
      <c r="R290" s="38">
        <f>VLOOKUP(Q290,'Sheet A'!Q290:AI900,2,)</f>
        <v>33</v>
      </c>
      <c r="S290" s="38">
        <f>VLOOKUP(R290,'Sheet A'!R290:AJ900,2,)</f>
        <v>37</v>
      </c>
    </row>
    <row r="291" spans="1:19" x14ac:dyDescent="0.35">
      <c r="A291" s="37">
        <v>290</v>
      </c>
      <c r="B291" s="60">
        <f>VLOOKUP(A291,'Sheet A'!A291:S901,2,)</f>
        <v>40556</v>
      </c>
      <c r="C291" s="38">
        <f>VLOOKUP(B291,'Sheet A'!B291:T901,2,)</f>
        <v>1</v>
      </c>
      <c r="D291" s="38">
        <f>VLOOKUP(C291,'Sheet A'!C291:U901,2,)</f>
        <v>0</v>
      </c>
      <c r="E291" s="38">
        <f>VLOOKUP(D291,'Sheet A'!D291:V901,2,)</f>
        <v>1</v>
      </c>
      <c r="F291" s="38">
        <f>VLOOKUP(E291,'Sheet A'!E291:W901,2,)</f>
        <v>12</v>
      </c>
      <c r="G291" s="41" t="str">
        <f>VLOOKUP(F291,'Sheet A'!F291:X901,2,)</f>
        <v>AfterNoon</v>
      </c>
      <c r="H291" s="38" t="b">
        <f>VLOOKUP(G291,'Sheet A'!G291:Y901,2,)</f>
        <v>0</v>
      </c>
      <c r="I291" s="38">
        <f>VLOOKUP(H291,'Sheet A'!H291:Z901,2,)</f>
        <v>4</v>
      </c>
      <c r="J291" s="41" t="str">
        <f>VLOOKUP(I291,'Sheet A'!I291:AA901,2,)</f>
        <v>Wednesday</v>
      </c>
      <c r="K291" s="38">
        <f>VLOOKUP(J291,'Sheet A'!J291:AB901,2,)</f>
        <v>1</v>
      </c>
      <c r="L291" s="38">
        <f>VLOOKUP(K291,'Sheet A'!K291:AC901,2,)</f>
        <v>0.2</v>
      </c>
      <c r="M291" s="70" t="str">
        <f>VLOOKUP(L291,'Sheet A'!L291:AD901,2,)</f>
        <v>Rainy</v>
      </c>
      <c r="N291" s="38">
        <f>VLOOKUP(M291,'Sheet A'!M291:AE901,2,)</f>
        <v>0.16669999999999999</v>
      </c>
      <c r="O291" s="38">
        <f>VLOOKUP(N291,'Sheet A'!N291:AF901,2,)</f>
        <v>0.44</v>
      </c>
      <c r="P291" s="38">
        <f>VLOOKUP(O291,'Sheet A'!O291:AG901,2,)</f>
        <v>0.41789999999999999</v>
      </c>
      <c r="Q291" s="38">
        <f>VLOOKUP(P291,'Sheet A'!P291:AH901,2,)</f>
        <v>3</v>
      </c>
      <c r="R291" s="38">
        <f>VLOOKUP(Q291,'Sheet A'!Q291:AI901,2,)</f>
        <v>49</v>
      </c>
      <c r="S291" s="38">
        <f>VLOOKUP(R291,'Sheet A'!R291:AJ901,2,)</f>
        <v>52</v>
      </c>
    </row>
    <row r="292" spans="1:19" x14ac:dyDescent="0.35">
      <c r="A292" s="37">
        <v>291</v>
      </c>
      <c r="B292" s="60">
        <f>VLOOKUP(A292,'Sheet A'!A292:S902,2,)</f>
        <v>40556</v>
      </c>
      <c r="C292" s="38">
        <f>VLOOKUP(B292,'Sheet A'!B292:T902,2,)</f>
        <v>1</v>
      </c>
      <c r="D292" s="38">
        <f>VLOOKUP(C292,'Sheet A'!C292:U902,2,)</f>
        <v>0</v>
      </c>
      <c r="E292" s="38">
        <f>VLOOKUP(D292,'Sheet A'!D292:V902,2,)</f>
        <v>1</v>
      </c>
      <c r="F292" s="38">
        <f>VLOOKUP(E292,'Sheet A'!E292:W902,2,)</f>
        <v>13</v>
      </c>
      <c r="G292" s="41" t="str">
        <f>VLOOKUP(F292,'Sheet A'!F292:X902,2,)</f>
        <v>AfterNoon</v>
      </c>
      <c r="H292" s="38" t="b">
        <f>VLOOKUP(G292,'Sheet A'!G292:Y902,2,)</f>
        <v>0</v>
      </c>
      <c r="I292" s="38">
        <f>VLOOKUP(H292,'Sheet A'!H292:Z902,2,)</f>
        <v>4</v>
      </c>
      <c r="J292" s="41" t="str">
        <f>VLOOKUP(I292,'Sheet A'!I292:AA902,2,)</f>
        <v>Wednesday</v>
      </c>
      <c r="K292" s="38">
        <f>VLOOKUP(J292,'Sheet A'!J292:AB902,2,)</f>
        <v>1</v>
      </c>
      <c r="L292" s="38">
        <f>VLOOKUP(K292,'Sheet A'!K292:AC902,2,)</f>
        <v>0.22</v>
      </c>
      <c r="M292" s="70" t="str">
        <f>VLOOKUP(L292,'Sheet A'!L292:AD902,2,)</f>
        <v>Cloudy</v>
      </c>
      <c r="N292" s="38">
        <f>VLOOKUP(M292,'Sheet A'!M292:AE902,2,)</f>
        <v>0.19700000000000001</v>
      </c>
      <c r="O292" s="38">
        <f>VLOOKUP(N292,'Sheet A'!N292:AF902,2,)</f>
        <v>0.41</v>
      </c>
      <c r="P292" s="38">
        <f>VLOOKUP(O292,'Sheet A'!O292:AG902,2,)</f>
        <v>0.44779999999999998</v>
      </c>
      <c r="Q292" s="38">
        <f>VLOOKUP(P292,'Sheet A'!P292:AH902,2,)</f>
        <v>2</v>
      </c>
      <c r="R292" s="38">
        <f>VLOOKUP(Q292,'Sheet A'!Q292:AI902,2,)</f>
        <v>81</v>
      </c>
      <c r="S292" s="38">
        <f>VLOOKUP(R292,'Sheet A'!R292:AJ902,2,)</f>
        <v>83</v>
      </c>
    </row>
    <row r="293" spans="1:19" x14ac:dyDescent="0.35">
      <c r="A293" s="37">
        <v>292</v>
      </c>
      <c r="B293" s="60">
        <f>VLOOKUP(A293,'Sheet A'!A293:S903,2,)</f>
        <v>40556</v>
      </c>
      <c r="C293" s="38">
        <f>VLOOKUP(B293,'Sheet A'!B293:T903,2,)</f>
        <v>1</v>
      </c>
      <c r="D293" s="38">
        <f>VLOOKUP(C293,'Sheet A'!C293:U903,2,)</f>
        <v>0</v>
      </c>
      <c r="E293" s="38">
        <f>VLOOKUP(D293,'Sheet A'!D293:V903,2,)</f>
        <v>1</v>
      </c>
      <c r="F293" s="38">
        <f>VLOOKUP(E293,'Sheet A'!E293:W903,2,)</f>
        <v>14</v>
      </c>
      <c r="G293" s="41" t="str">
        <f>VLOOKUP(F293,'Sheet A'!F293:X903,2,)</f>
        <v>AfterNoon</v>
      </c>
      <c r="H293" s="38" t="b">
        <f>VLOOKUP(G293,'Sheet A'!G293:Y903,2,)</f>
        <v>0</v>
      </c>
      <c r="I293" s="38">
        <f>VLOOKUP(H293,'Sheet A'!H293:Z903,2,)</f>
        <v>4</v>
      </c>
      <c r="J293" s="41" t="str">
        <f>VLOOKUP(I293,'Sheet A'!I293:AA903,2,)</f>
        <v>Wednesday</v>
      </c>
      <c r="K293" s="38">
        <f>VLOOKUP(J293,'Sheet A'!J293:AB903,2,)</f>
        <v>1</v>
      </c>
      <c r="L293" s="38">
        <f>VLOOKUP(K293,'Sheet A'!K293:AC903,2,)</f>
        <v>0.22</v>
      </c>
      <c r="M293" s="70" t="str">
        <f>VLOOKUP(L293,'Sheet A'!L293:AD903,2,)</f>
        <v>Cloudy</v>
      </c>
      <c r="N293" s="38">
        <f>VLOOKUP(M293,'Sheet A'!M293:AE903,2,)</f>
        <v>0.19700000000000001</v>
      </c>
      <c r="O293" s="38">
        <f>VLOOKUP(N293,'Sheet A'!N293:AF903,2,)</f>
        <v>0.41</v>
      </c>
      <c r="P293" s="38">
        <f>VLOOKUP(O293,'Sheet A'!O293:AG903,2,)</f>
        <v>0.3881</v>
      </c>
      <c r="Q293" s="38">
        <f>VLOOKUP(P293,'Sheet A'!P293:AH903,2,)</f>
        <v>3</v>
      </c>
      <c r="R293" s="38">
        <f>VLOOKUP(Q293,'Sheet A'!Q293:AI903,2,)</f>
        <v>39</v>
      </c>
      <c r="S293" s="38">
        <f>VLOOKUP(R293,'Sheet A'!R293:AJ903,2,)</f>
        <v>42</v>
      </c>
    </row>
    <row r="294" spans="1:19" x14ac:dyDescent="0.35">
      <c r="A294" s="37">
        <v>293</v>
      </c>
      <c r="B294" s="60">
        <f>VLOOKUP(A294,'Sheet A'!A294:S904,2,)</f>
        <v>40556</v>
      </c>
      <c r="C294" s="38">
        <f>VLOOKUP(B294,'Sheet A'!B294:T904,2,)</f>
        <v>1</v>
      </c>
      <c r="D294" s="38">
        <f>VLOOKUP(C294,'Sheet A'!C294:U904,2,)</f>
        <v>0</v>
      </c>
      <c r="E294" s="38">
        <f>VLOOKUP(D294,'Sheet A'!D294:V904,2,)</f>
        <v>1</v>
      </c>
      <c r="F294" s="38">
        <f>VLOOKUP(E294,'Sheet A'!E294:W904,2,)</f>
        <v>15</v>
      </c>
      <c r="G294" s="41" t="str">
        <f>VLOOKUP(F294,'Sheet A'!F294:X904,2,)</f>
        <v>AfterNoon</v>
      </c>
      <c r="H294" s="38" t="b">
        <f>VLOOKUP(G294,'Sheet A'!G294:Y904,2,)</f>
        <v>0</v>
      </c>
      <c r="I294" s="38">
        <f>VLOOKUP(H294,'Sheet A'!H294:Z904,2,)</f>
        <v>4</v>
      </c>
      <c r="J294" s="41" t="str">
        <f>VLOOKUP(I294,'Sheet A'!I294:AA904,2,)</f>
        <v>Wednesday</v>
      </c>
      <c r="K294" s="38">
        <f>VLOOKUP(J294,'Sheet A'!J294:AB904,2,)</f>
        <v>1</v>
      </c>
      <c r="L294" s="38">
        <f>VLOOKUP(K294,'Sheet A'!K294:AC904,2,)</f>
        <v>0.24</v>
      </c>
      <c r="M294" s="70" t="str">
        <f>VLOOKUP(L294,'Sheet A'!L294:AD904,2,)</f>
        <v>Cloudy</v>
      </c>
      <c r="N294" s="38">
        <f>VLOOKUP(M294,'Sheet A'!M294:AE904,2,)</f>
        <v>0.21210000000000001</v>
      </c>
      <c r="O294" s="38">
        <f>VLOOKUP(N294,'Sheet A'!N294:AF904,2,)</f>
        <v>0.38</v>
      </c>
      <c r="P294" s="38">
        <f>VLOOKUP(O294,'Sheet A'!O294:AG904,2,)</f>
        <v>0.29849999999999999</v>
      </c>
      <c r="Q294" s="38">
        <f>VLOOKUP(P294,'Sheet A'!P294:AH904,2,)</f>
        <v>5</v>
      </c>
      <c r="R294" s="38">
        <f>VLOOKUP(Q294,'Sheet A'!Q294:AI904,2,)</f>
        <v>55</v>
      </c>
      <c r="S294" s="38">
        <f>VLOOKUP(R294,'Sheet A'!R294:AJ904,2,)</f>
        <v>60</v>
      </c>
    </row>
    <row r="295" spans="1:19" x14ac:dyDescent="0.35">
      <c r="A295" s="37">
        <v>294</v>
      </c>
      <c r="B295" s="60">
        <f>VLOOKUP(A295,'Sheet A'!A295:S905,2,)</f>
        <v>40556</v>
      </c>
      <c r="C295" s="38">
        <f>VLOOKUP(B295,'Sheet A'!B295:T905,2,)</f>
        <v>1</v>
      </c>
      <c r="D295" s="38">
        <f>VLOOKUP(C295,'Sheet A'!C295:U905,2,)</f>
        <v>0</v>
      </c>
      <c r="E295" s="38">
        <f>VLOOKUP(D295,'Sheet A'!D295:V905,2,)</f>
        <v>1</v>
      </c>
      <c r="F295" s="38">
        <f>VLOOKUP(E295,'Sheet A'!E295:W905,2,)</f>
        <v>16</v>
      </c>
      <c r="G295" s="41" t="str">
        <f>VLOOKUP(F295,'Sheet A'!F295:X905,2,)</f>
        <v>AfterNoon</v>
      </c>
      <c r="H295" s="38" t="b">
        <f>VLOOKUP(G295,'Sheet A'!G295:Y905,2,)</f>
        <v>0</v>
      </c>
      <c r="I295" s="38">
        <f>VLOOKUP(H295,'Sheet A'!H295:Z905,2,)</f>
        <v>4</v>
      </c>
      <c r="J295" s="41" t="str">
        <f>VLOOKUP(I295,'Sheet A'!I295:AA905,2,)</f>
        <v>Wednesday</v>
      </c>
      <c r="K295" s="38">
        <f>VLOOKUP(J295,'Sheet A'!J295:AB905,2,)</f>
        <v>1</v>
      </c>
      <c r="L295" s="38">
        <f>VLOOKUP(K295,'Sheet A'!K295:AC905,2,)</f>
        <v>0.24</v>
      </c>
      <c r="M295" s="70" t="str">
        <f>VLOOKUP(L295,'Sheet A'!L295:AD905,2,)</f>
        <v>Cloudy</v>
      </c>
      <c r="N295" s="38">
        <f>VLOOKUP(M295,'Sheet A'!M295:AE905,2,)</f>
        <v>0.21210000000000001</v>
      </c>
      <c r="O295" s="38">
        <f>VLOOKUP(N295,'Sheet A'!N295:AF905,2,)</f>
        <v>0.38</v>
      </c>
      <c r="P295" s="38">
        <f>VLOOKUP(O295,'Sheet A'!O295:AG905,2,)</f>
        <v>0.35820000000000002</v>
      </c>
      <c r="Q295" s="38">
        <f>VLOOKUP(P295,'Sheet A'!P295:AH905,2,)</f>
        <v>2</v>
      </c>
      <c r="R295" s="38">
        <f>VLOOKUP(Q295,'Sheet A'!Q295:AI905,2,)</f>
        <v>76</v>
      </c>
      <c r="S295" s="38">
        <f>VLOOKUP(R295,'Sheet A'!R295:AJ905,2,)</f>
        <v>78</v>
      </c>
    </row>
    <row r="296" spans="1:19" x14ac:dyDescent="0.35">
      <c r="A296" s="37">
        <v>295</v>
      </c>
      <c r="B296" s="60">
        <f>VLOOKUP(A296,'Sheet A'!A296:S906,2,)</f>
        <v>40556</v>
      </c>
      <c r="C296" s="38">
        <f>VLOOKUP(B296,'Sheet A'!B296:T906,2,)</f>
        <v>1</v>
      </c>
      <c r="D296" s="38">
        <f>VLOOKUP(C296,'Sheet A'!C296:U906,2,)</f>
        <v>0</v>
      </c>
      <c r="E296" s="38">
        <f>VLOOKUP(D296,'Sheet A'!D296:V906,2,)</f>
        <v>1</v>
      </c>
      <c r="F296" s="38">
        <f>VLOOKUP(E296,'Sheet A'!E296:W906,2,)</f>
        <v>17</v>
      </c>
      <c r="G296" s="41" t="str">
        <f>VLOOKUP(F296,'Sheet A'!F296:X906,2,)</f>
        <v>Evening</v>
      </c>
      <c r="H296" s="38" t="b">
        <f>VLOOKUP(G296,'Sheet A'!G296:Y906,2,)</f>
        <v>0</v>
      </c>
      <c r="I296" s="38">
        <f>VLOOKUP(H296,'Sheet A'!H296:Z906,2,)</f>
        <v>4</v>
      </c>
      <c r="J296" s="41" t="str">
        <f>VLOOKUP(I296,'Sheet A'!I296:AA906,2,)</f>
        <v>Wednesday</v>
      </c>
      <c r="K296" s="38">
        <f>VLOOKUP(J296,'Sheet A'!J296:AB906,2,)</f>
        <v>1</v>
      </c>
      <c r="L296" s="38">
        <f>VLOOKUP(K296,'Sheet A'!K296:AC906,2,)</f>
        <v>0.2</v>
      </c>
      <c r="M296" s="70" t="str">
        <f>VLOOKUP(L296,'Sheet A'!L296:AD906,2,)</f>
        <v>Rainy</v>
      </c>
      <c r="N296" s="38">
        <f>VLOOKUP(M296,'Sheet A'!M296:AE906,2,)</f>
        <v>0.18179999999999999</v>
      </c>
      <c r="O296" s="38">
        <f>VLOOKUP(N296,'Sheet A'!N296:AF906,2,)</f>
        <v>0.4</v>
      </c>
      <c r="P296" s="38">
        <f>VLOOKUP(O296,'Sheet A'!O296:AG906,2,)</f>
        <v>0.28360000000000002</v>
      </c>
      <c r="Q296" s="38">
        <f>VLOOKUP(P296,'Sheet A'!P296:AH906,2,)</f>
        <v>4</v>
      </c>
      <c r="R296" s="38">
        <f>VLOOKUP(Q296,'Sheet A'!Q296:AI906,2,)</f>
        <v>158</v>
      </c>
      <c r="S296" s="38">
        <f>VLOOKUP(R296,'Sheet A'!R296:AJ906,2,)</f>
        <v>162</v>
      </c>
    </row>
    <row r="297" spans="1:19" x14ac:dyDescent="0.35">
      <c r="A297" s="37">
        <v>296</v>
      </c>
      <c r="B297" s="60">
        <f>VLOOKUP(A297,'Sheet A'!A297:S907,2,)</f>
        <v>40556</v>
      </c>
      <c r="C297" s="38">
        <f>VLOOKUP(B297,'Sheet A'!B297:T907,2,)</f>
        <v>1</v>
      </c>
      <c r="D297" s="38">
        <f>VLOOKUP(C297,'Sheet A'!C297:U907,2,)</f>
        <v>0</v>
      </c>
      <c r="E297" s="38">
        <f>VLOOKUP(D297,'Sheet A'!D297:V907,2,)</f>
        <v>1</v>
      </c>
      <c r="F297" s="38">
        <f>VLOOKUP(E297,'Sheet A'!E297:W907,2,)</f>
        <v>18</v>
      </c>
      <c r="G297" s="41" t="str">
        <f>VLOOKUP(F297,'Sheet A'!F297:X907,2,)</f>
        <v>Evening</v>
      </c>
      <c r="H297" s="38" t="b">
        <f>VLOOKUP(G297,'Sheet A'!G297:Y907,2,)</f>
        <v>0</v>
      </c>
      <c r="I297" s="38">
        <f>VLOOKUP(H297,'Sheet A'!H297:Z907,2,)</f>
        <v>4</v>
      </c>
      <c r="J297" s="41" t="str">
        <f>VLOOKUP(I297,'Sheet A'!I297:AA907,2,)</f>
        <v>Wednesday</v>
      </c>
      <c r="K297" s="38">
        <f>VLOOKUP(J297,'Sheet A'!J297:AB907,2,)</f>
        <v>1</v>
      </c>
      <c r="L297" s="38">
        <f>VLOOKUP(K297,'Sheet A'!K297:AC907,2,)</f>
        <v>0.2</v>
      </c>
      <c r="M297" s="70" t="str">
        <f>VLOOKUP(L297,'Sheet A'!L297:AD907,2,)</f>
        <v>Rainy</v>
      </c>
      <c r="N297" s="38">
        <f>VLOOKUP(M297,'Sheet A'!M297:AE907,2,)</f>
        <v>0.18179999999999999</v>
      </c>
      <c r="O297" s="38">
        <f>VLOOKUP(N297,'Sheet A'!N297:AF907,2,)</f>
        <v>0.4</v>
      </c>
      <c r="P297" s="38">
        <f>VLOOKUP(O297,'Sheet A'!O297:AG907,2,)</f>
        <v>0.32840000000000003</v>
      </c>
      <c r="Q297" s="38">
        <f>VLOOKUP(P297,'Sheet A'!P297:AH907,2,)</f>
        <v>3</v>
      </c>
      <c r="R297" s="38">
        <f>VLOOKUP(Q297,'Sheet A'!Q297:AI907,2,)</f>
        <v>141</v>
      </c>
      <c r="S297" s="38">
        <f>VLOOKUP(R297,'Sheet A'!R297:AJ907,2,)</f>
        <v>144</v>
      </c>
    </row>
    <row r="298" spans="1:19" x14ac:dyDescent="0.35">
      <c r="A298" s="37">
        <v>297</v>
      </c>
      <c r="B298" s="60">
        <f>VLOOKUP(A298,'Sheet A'!A298:S908,2,)</f>
        <v>40556</v>
      </c>
      <c r="C298" s="38">
        <f>VLOOKUP(B298,'Sheet A'!B298:T908,2,)</f>
        <v>1</v>
      </c>
      <c r="D298" s="38">
        <f>VLOOKUP(C298,'Sheet A'!C298:U908,2,)</f>
        <v>0</v>
      </c>
      <c r="E298" s="38">
        <f>VLOOKUP(D298,'Sheet A'!D298:V908,2,)</f>
        <v>1</v>
      </c>
      <c r="F298" s="38">
        <f>VLOOKUP(E298,'Sheet A'!E298:W908,2,)</f>
        <v>19</v>
      </c>
      <c r="G298" s="41" t="str">
        <f>VLOOKUP(F298,'Sheet A'!F298:X908,2,)</f>
        <v>Evening</v>
      </c>
      <c r="H298" s="38" t="b">
        <f>VLOOKUP(G298,'Sheet A'!G298:Y908,2,)</f>
        <v>0</v>
      </c>
      <c r="I298" s="38">
        <f>VLOOKUP(H298,'Sheet A'!H298:Z908,2,)</f>
        <v>4</v>
      </c>
      <c r="J298" s="41" t="str">
        <f>VLOOKUP(I298,'Sheet A'!I298:AA908,2,)</f>
        <v>Wednesday</v>
      </c>
      <c r="K298" s="38">
        <f>VLOOKUP(J298,'Sheet A'!J298:AB908,2,)</f>
        <v>1</v>
      </c>
      <c r="L298" s="38">
        <f>VLOOKUP(K298,'Sheet A'!K298:AC908,2,)</f>
        <v>0.16</v>
      </c>
      <c r="M298" s="70" t="str">
        <f>VLOOKUP(L298,'Sheet A'!L298:AD908,2,)</f>
        <v>Rainy</v>
      </c>
      <c r="N298" s="38">
        <f>VLOOKUP(M298,'Sheet A'!M298:AE908,2,)</f>
        <v>0.1515</v>
      </c>
      <c r="O298" s="38">
        <f>VLOOKUP(N298,'Sheet A'!N298:AF908,2,)</f>
        <v>0.47</v>
      </c>
      <c r="P298" s="38">
        <f>VLOOKUP(O298,'Sheet A'!O298:AG908,2,)</f>
        <v>0.25369999999999998</v>
      </c>
      <c r="Q298" s="38">
        <f>VLOOKUP(P298,'Sheet A'!P298:AH908,2,)</f>
        <v>1</v>
      </c>
      <c r="R298" s="38">
        <f>VLOOKUP(Q298,'Sheet A'!Q298:AI908,2,)</f>
        <v>98</v>
      </c>
      <c r="S298" s="38">
        <f>VLOOKUP(R298,'Sheet A'!R298:AJ908,2,)</f>
        <v>99</v>
      </c>
    </row>
    <row r="299" spans="1:19" x14ac:dyDescent="0.35">
      <c r="A299" s="37">
        <v>298</v>
      </c>
      <c r="B299" s="60">
        <f>VLOOKUP(A299,'Sheet A'!A299:S909,2,)</f>
        <v>40556</v>
      </c>
      <c r="C299" s="38">
        <f>VLOOKUP(B299,'Sheet A'!B299:T909,2,)</f>
        <v>1</v>
      </c>
      <c r="D299" s="38">
        <f>VLOOKUP(C299,'Sheet A'!C299:U909,2,)</f>
        <v>0</v>
      </c>
      <c r="E299" s="38">
        <f>VLOOKUP(D299,'Sheet A'!D299:V909,2,)</f>
        <v>1</v>
      </c>
      <c r="F299" s="38">
        <f>VLOOKUP(E299,'Sheet A'!E299:W909,2,)</f>
        <v>20</v>
      </c>
      <c r="G299" s="41" t="str">
        <f>VLOOKUP(F299,'Sheet A'!F299:X909,2,)</f>
        <v>Night</v>
      </c>
      <c r="H299" s="38" t="b">
        <f>VLOOKUP(G299,'Sheet A'!G299:Y909,2,)</f>
        <v>0</v>
      </c>
      <c r="I299" s="38">
        <f>VLOOKUP(H299,'Sheet A'!H299:Z909,2,)</f>
        <v>4</v>
      </c>
      <c r="J299" s="41" t="str">
        <f>VLOOKUP(I299,'Sheet A'!I299:AA909,2,)</f>
        <v>Wednesday</v>
      </c>
      <c r="K299" s="38">
        <f>VLOOKUP(J299,'Sheet A'!J299:AB909,2,)</f>
        <v>1</v>
      </c>
      <c r="L299" s="38">
        <f>VLOOKUP(K299,'Sheet A'!K299:AC909,2,)</f>
        <v>0.16</v>
      </c>
      <c r="M299" s="70" t="str">
        <f>VLOOKUP(L299,'Sheet A'!L299:AD909,2,)</f>
        <v>Rainy</v>
      </c>
      <c r="N299" s="38">
        <f>VLOOKUP(M299,'Sheet A'!M299:AE909,2,)</f>
        <v>0.1515</v>
      </c>
      <c r="O299" s="38">
        <f>VLOOKUP(N299,'Sheet A'!N299:AF909,2,)</f>
        <v>0.47</v>
      </c>
      <c r="P299" s="38">
        <f>VLOOKUP(O299,'Sheet A'!O299:AG909,2,)</f>
        <v>0.22389999999999999</v>
      </c>
      <c r="Q299" s="38">
        <f>VLOOKUP(P299,'Sheet A'!P299:AH909,2,)</f>
        <v>0</v>
      </c>
      <c r="R299" s="38">
        <f>VLOOKUP(Q299,'Sheet A'!Q299:AI909,2,)</f>
        <v>64</v>
      </c>
      <c r="S299" s="38">
        <f>VLOOKUP(R299,'Sheet A'!R299:AJ909,2,)</f>
        <v>64</v>
      </c>
    </row>
    <row r="300" spans="1:19" x14ac:dyDescent="0.35">
      <c r="A300" s="37">
        <v>299</v>
      </c>
      <c r="B300" s="60">
        <f>VLOOKUP(A300,'Sheet A'!A300:S910,2,)</f>
        <v>40556</v>
      </c>
      <c r="C300" s="38">
        <f>VLOOKUP(B300,'Sheet A'!B300:T910,2,)</f>
        <v>1</v>
      </c>
      <c r="D300" s="38">
        <f>VLOOKUP(C300,'Sheet A'!C300:U910,2,)</f>
        <v>0</v>
      </c>
      <c r="E300" s="38">
        <f>VLOOKUP(D300,'Sheet A'!D300:V910,2,)</f>
        <v>1</v>
      </c>
      <c r="F300" s="38">
        <f>VLOOKUP(E300,'Sheet A'!E300:W910,2,)</f>
        <v>21</v>
      </c>
      <c r="G300" s="41" t="str">
        <f>VLOOKUP(F300,'Sheet A'!F300:X910,2,)</f>
        <v>Night</v>
      </c>
      <c r="H300" s="38" t="b">
        <f>VLOOKUP(G300,'Sheet A'!G300:Y910,2,)</f>
        <v>0</v>
      </c>
      <c r="I300" s="38">
        <f>VLOOKUP(H300,'Sheet A'!H300:Z910,2,)</f>
        <v>4</v>
      </c>
      <c r="J300" s="41" t="str">
        <f>VLOOKUP(I300,'Sheet A'!I300:AA910,2,)</f>
        <v>Wednesday</v>
      </c>
      <c r="K300" s="38">
        <f>VLOOKUP(J300,'Sheet A'!J300:AB910,2,)</f>
        <v>1</v>
      </c>
      <c r="L300" s="38">
        <f>VLOOKUP(K300,'Sheet A'!K300:AC910,2,)</f>
        <v>0.14000000000000001</v>
      </c>
      <c r="M300" s="70" t="str">
        <f>VLOOKUP(L300,'Sheet A'!L300:AD910,2,)</f>
        <v>Rainy</v>
      </c>
      <c r="N300" s="38">
        <f>VLOOKUP(M300,'Sheet A'!M300:AE910,2,)</f>
        <v>0.1212</v>
      </c>
      <c r="O300" s="38">
        <f>VLOOKUP(N300,'Sheet A'!N300:AF910,2,)</f>
        <v>0.46</v>
      </c>
      <c r="P300" s="38">
        <f>VLOOKUP(O300,'Sheet A'!O300:AG910,2,)</f>
        <v>0.29849999999999999</v>
      </c>
      <c r="Q300" s="38">
        <f>VLOOKUP(P300,'Sheet A'!P300:AH910,2,)</f>
        <v>0</v>
      </c>
      <c r="R300" s="38">
        <f>VLOOKUP(Q300,'Sheet A'!Q300:AI910,2,)</f>
        <v>40</v>
      </c>
      <c r="S300" s="38">
        <f>VLOOKUP(R300,'Sheet A'!R300:AJ910,2,)</f>
        <v>40</v>
      </c>
    </row>
    <row r="301" spans="1:19" x14ac:dyDescent="0.35">
      <c r="A301" s="37">
        <v>300</v>
      </c>
      <c r="B301" s="60">
        <f>VLOOKUP(A301,'Sheet A'!A301:S911,2,)</f>
        <v>40556</v>
      </c>
      <c r="C301" s="38">
        <f>VLOOKUP(B301,'Sheet A'!B301:T911,2,)</f>
        <v>1</v>
      </c>
      <c r="D301" s="38">
        <f>VLOOKUP(C301,'Sheet A'!C301:U911,2,)</f>
        <v>0</v>
      </c>
      <c r="E301" s="38">
        <f>VLOOKUP(D301,'Sheet A'!D301:V911,2,)</f>
        <v>1</v>
      </c>
      <c r="F301" s="38">
        <f>VLOOKUP(E301,'Sheet A'!E301:W911,2,)</f>
        <v>22</v>
      </c>
      <c r="G301" s="41" t="str">
        <f>VLOOKUP(F301,'Sheet A'!F301:X911,2,)</f>
        <v>Night</v>
      </c>
      <c r="H301" s="38" t="b">
        <f>VLOOKUP(G301,'Sheet A'!G301:Y911,2,)</f>
        <v>0</v>
      </c>
      <c r="I301" s="38">
        <f>VLOOKUP(H301,'Sheet A'!H301:Z911,2,)</f>
        <v>4</v>
      </c>
      <c r="J301" s="41" t="str">
        <f>VLOOKUP(I301,'Sheet A'!I301:AA911,2,)</f>
        <v>Wednesday</v>
      </c>
      <c r="K301" s="38">
        <f>VLOOKUP(J301,'Sheet A'!J301:AB911,2,)</f>
        <v>1</v>
      </c>
      <c r="L301" s="38">
        <f>VLOOKUP(K301,'Sheet A'!K301:AC911,2,)</f>
        <v>0.14000000000000001</v>
      </c>
      <c r="M301" s="70" t="str">
        <f>VLOOKUP(L301,'Sheet A'!L301:AD911,2,)</f>
        <v>Rainy</v>
      </c>
      <c r="N301" s="38">
        <f>VLOOKUP(M301,'Sheet A'!M301:AE911,2,)</f>
        <v>0.1212</v>
      </c>
      <c r="O301" s="38">
        <f>VLOOKUP(N301,'Sheet A'!N301:AF911,2,)</f>
        <v>0.46</v>
      </c>
      <c r="P301" s="38">
        <f>VLOOKUP(O301,'Sheet A'!O301:AG911,2,)</f>
        <v>0.32840000000000003</v>
      </c>
      <c r="Q301" s="38">
        <f>VLOOKUP(P301,'Sheet A'!P301:AH911,2,)</f>
        <v>0</v>
      </c>
      <c r="R301" s="38">
        <f>VLOOKUP(Q301,'Sheet A'!Q301:AI911,2,)</f>
        <v>30</v>
      </c>
      <c r="S301" s="38">
        <f>VLOOKUP(R301,'Sheet A'!R301:AJ911,2,)</f>
        <v>30</v>
      </c>
    </row>
    <row r="302" spans="1:19" x14ac:dyDescent="0.35">
      <c r="A302" s="37">
        <v>301</v>
      </c>
      <c r="B302" s="60">
        <f>VLOOKUP(A302,'Sheet A'!A302:S912,2,)</f>
        <v>40556</v>
      </c>
      <c r="C302" s="38">
        <f>VLOOKUP(B302,'Sheet A'!B302:T912,2,)</f>
        <v>1</v>
      </c>
      <c r="D302" s="38">
        <f>VLOOKUP(C302,'Sheet A'!C302:U912,2,)</f>
        <v>0</v>
      </c>
      <c r="E302" s="38">
        <f>VLOOKUP(D302,'Sheet A'!D302:V912,2,)</f>
        <v>1</v>
      </c>
      <c r="F302" s="38">
        <f>VLOOKUP(E302,'Sheet A'!E302:W912,2,)</f>
        <v>23</v>
      </c>
      <c r="G302" s="41" t="str">
        <f>VLOOKUP(F302,'Sheet A'!F302:X912,2,)</f>
        <v>Night</v>
      </c>
      <c r="H302" s="38" t="b">
        <f>VLOOKUP(G302,'Sheet A'!G302:Y912,2,)</f>
        <v>0</v>
      </c>
      <c r="I302" s="38">
        <f>VLOOKUP(H302,'Sheet A'!H302:Z912,2,)</f>
        <v>4</v>
      </c>
      <c r="J302" s="41" t="str">
        <f>VLOOKUP(I302,'Sheet A'!I302:AA912,2,)</f>
        <v>Wednesday</v>
      </c>
      <c r="K302" s="38">
        <f>VLOOKUP(J302,'Sheet A'!J302:AB912,2,)</f>
        <v>1</v>
      </c>
      <c r="L302" s="38">
        <f>VLOOKUP(K302,'Sheet A'!K302:AC912,2,)</f>
        <v>0.12</v>
      </c>
      <c r="M302" s="70" t="str">
        <f>VLOOKUP(L302,'Sheet A'!L302:AD912,2,)</f>
        <v>Rainy</v>
      </c>
      <c r="N302" s="38">
        <f>VLOOKUP(M302,'Sheet A'!M302:AE912,2,)</f>
        <v>0.13639999999999999</v>
      </c>
      <c r="O302" s="38">
        <f>VLOOKUP(N302,'Sheet A'!N302:AF912,2,)</f>
        <v>0.5</v>
      </c>
      <c r="P302" s="38">
        <f>VLOOKUP(O302,'Sheet A'!O302:AG912,2,)</f>
        <v>0.19400000000000001</v>
      </c>
      <c r="Q302" s="38">
        <f>VLOOKUP(P302,'Sheet A'!P302:AH912,2,)</f>
        <v>1</v>
      </c>
      <c r="R302" s="38">
        <f>VLOOKUP(Q302,'Sheet A'!Q302:AI912,2,)</f>
        <v>14</v>
      </c>
      <c r="S302" s="38">
        <f>VLOOKUP(R302,'Sheet A'!R302:AJ912,2,)</f>
        <v>15</v>
      </c>
    </row>
    <row r="303" spans="1:19" x14ac:dyDescent="0.35">
      <c r="A303" s="37">
        <v>302</v>
      </c>
      <c r="B303" s="60">
        <f>VLOOKUP(A303,'Sheet A'!A303:S913,2,)</f>
        <v>40557</v>
      </c>
      <c r="C303" s="38">
        <f>VLOOKUP(B303,'Sheet A'!B303:T913,2,)</f>
        <v>1</v>
      </c>
      <c r="D303" s="38">
        <f>VLOOKUP(C303,'Sheet A'!C303:U913,2,)</f>
        <v>0</v>
      </c>
      <c r="E303" s="38">
        <f>VLOOKUP(D303,'Sheet A'!D303:V913,2,)</f>
        <v>1</v>
      </c>
      <c r="F303" s="38">
        <f>VLOOKUP(E303,'Sheet A'!E303:W913,2,)</f>
        <v>0</v>
      </c>
      <c r="G303" s="41" t="str">
        <f>VLOOKUP(F303,'Sheet A'!F303:X913,2,)</f>
        <v>Night</v>
      </c>
      <c r="H303" s="38" t="b">
        <f>VLOOKUP(G303,'Sheet A'!G303:Y913,2,)</f>
        <v>0</v>
      </c>
      <c r="I303" s="38">
        <f>VLOOKUP(H303,'Sheet A'!H303:Z913,2,)</f>
        <v>5</v>
      </c>
      <c r="J303" s="41" t="str">
        <f>VLOOKUP(I303,'Sheet A'!I303:AA913,2,)</f>
        <v>Thusday</v>
      </c>
      <c r="K303" s="38">
        <f>VLOOKUP(J303,'Sheet A'!J303:AB913,2,)</f>
        <v>1</v>
      </c>
      <c r="L303" s="38">
        <f>VLOOKUP(K303,'Sheet A'!K303:AC913,2,)</f>
        <v>0.12</v>
      </c>
      <c r="M303" s="70" t="str">
        <f>VLOOKUP(L303,'Sheet A'!L303:AD913,2,)</f>
        <v>Rainy</v>
      </c>
      <c r="N303" s="38">
        <f>VLOOKUP(M303,'Sheet A'!M303:AE913,2,)</f>
        <v>0.13639999999999999</v>
      </c>
      <c r="O303" s="38">
        <f>VLOOKUP(N303,'Sheet A'!N303:AF913,2,)</f>
        <v>0.5</v>
      </c>
      <c r="P303" s="38">
        <f>VLOOKUP(O303,'Sheet A'!O303:AG913,2,)</f>
        <v>0.19400000000000001</v>
      </c>
      <c r="Q303" s="38">
        <f>VLOOKUP(P303,'Sheet A'!P303:AH913,2,)</f>
        <v>0</v>
      </c>
      <c r="R303" s="38">
        <f>VLOOKUP(Q303,'Sheet A'!Q303:AI913,2,)</f>
        <v>14</v>
      </c>
      <c r="S303" s="38">
        <f>VLOOKUP(R303,'Sheet A'!R303:AJ913,2,)</f>
        <v>14</v>
      </c>
    </row>
    <row r="304" spans="1:19" x14ac:dyDescent="0.35">
      <c r="A304" s="37">
        <v>303</v>
      </c>
      <c r="B304" s="60">
        <f>VLOOKUP(A304,'Sheet A'!A304:S914,2,)</f>
        <v>40557</v>
      </c>
      <c r="C304" s="38">
        <f>VLOOKUP(B304,'Sheet A'!B304:T914,2,)</f>
        <v>1</v>
      </c>
      <c r="D304" s="38">
        <f>VLOOKUP(C304,'Sheet A'!C304:U914,2,)</f>
        <v>0</v>
      </c>
      <c r="E304" s="38">
        <f>VLOOKUP(D304,'Sheet A'!D304:V914,2,)</f>
        <v>1</v>
      </c>
      <c r="F304" s="38">
        <f>VLOOKUP(E304,'Sheet A'!E304:W914,2,)</f>
        <v>1</v>
      </c>
      <c r="G304" s="41" t="str">
        <f>VLOOKUP(F304,'Sheet A'!F304:X914,2,)</f>
        <v>Night</v>
      </c>
      <c r="H304" s="38" t="b">
        <f>VLOOKUP(G304,'Sheet A'!G304:Y914,2,)</f>
        <v>0</v>
      </c>
      <c r="I304" s="38">
        <f>VLOOKUP(H304,'Sheet A'!H304:Z914,2,)</f>
        <v>5</v>
      </c>
      <c r="J304" s="41" t="str">
        <f>VLOOKUP(I304,'Sheet A'!I304:AA914,2,)</f>
        <v>Thusday</v>
      </c>
      <c r="K304" s="38">
        <f>VLOOKUP(J304,'Sheet A'!J304:AB914,2,)</f>
        <v>1</v>
      </c>
      <c r="L304" s="38">
        <f>VLOOKUP(K304,'Sheet A'!K304:AC914,2,)</f>
        <v>0.1</v>
      </c>
      <c r="M304" s="70" t="str">
        <f>VLOOKUP(L304,'Sheet A'!L304:AD914,2,)</f>
        <v>Stromy</v>
      </c>
      <c r="N304" s="38">
        <f>VLOOKUP(M304,'Sheet A'!M304:AE914,2,)</f>
        <v>0.1212</v>
      </c>
      <c r="O304" s="38">
        <f>VLOOKUP(N304,'Sheet A'!N304:AF914,2,)</f>
        <v>0.54</v>
      </c>
      <c r="P304" s="38">
        <f>VLOOKUP(O304,'Sheet A'!O304:AG914,2,)</f>
        <v>0.16420000000000001</v>
      </c>
      <c r="Q304" s="38">
        <f>VLOOKUP(P304,'Sheet A'!P304:AH914,2,)</f>
        <v>0</v>
      </c>
      <c r="R304" s="38">
        <f>VLOOKUP(Q304,'Sheet A'!Q304:AI914,2,)</f>
        <v>5</v>
      </c>
      <c r="S304" s="38">
        <f>VLOOKUP(R304,'Sheet A'!R304:AJ914,2,)</f>
        <v>5</v>
      </c>
    </row>
    <row r="305" spans="1:19" x14ac:dyDescent="0.35">
      <c r="A305" s="37">
        <v>304</v>
      </c>
      <c r="B305" s="60">
        <f>VLOOKUP(A305,'Sheet A'!A305:S915,2,)</f>
        <v>40557</v>
      </c>
      <c r="C305" s="38">
        <f>VLOOKUP(B305,'Sheet A'!B305:T915,2,)</f>
        <v>1</v>
      </c>
      <c r="D305" s="38">
        <f>VLOOKUP(C305,'Sheet A'!C305:U915,2,)</f>
        <v>0</v>
      </c>
      <c r="E305" s="38">
        <f>VLOOKUP(D305,'Sheet A'!D305:V915,2,)</f>
        <v>1</v>
      </c>
      <c r="F305" s="38">
        <f>VLOOKUP(E305,'Sheet A'!E305:W915,2,)</f>
        <v>2</v>
      </c>
      <c r="G305" s="41" t="str">
        <f>VLOOKUP(F305,'Sheet A'!F305:X915,2,)</f>
        <v>Night</v>
      </c>
      <c r="H305" s="38" t="b">
        <f>VLOOKUP(G305,'Sheet A'!G305:Y915,2,)</f>
        <v>0</v>
      </c>
      <c r="I305" s="38">
        <f>VLOOKUP(H305,'Sheet A'!H305:Z915,2,)</f>
        <v>5</v>
      </c>
      <c r="J305" s="41" t="str">
        <f>VLOOKUP(I305,'Sheet A'!I305:AA915,2,)</f>
        <v>Thusday</v>
      </c>
      <c r="K305" s="38">
        <f>VLOOKUP(J305,'Sheet A'!J305:AB915,2,)</f>
        <v>1</v>
      </c>
      <c r="L305" s="38">
        <f>VLOOKUP(K305,'Sheet A'!K305:AC915,2,)</f>
        <v>0.1</v>
      </c>
      <c r="M305" s="70" t="str">
        <f>VLOOKUP(L305,'Sheet A'!L305:AD915,2,)</f>
        <v>Stromy</v>
      </c>
      <c r="N305" s="38">
        <f>VLOOKUP(M305,'Sheet A'!M305:AE915,2,)</f>
        <v>0.1212</v>
      </c>
      <c r="O305" s="38">
        <f>VLOOKUP(N305,'Sheet A'!N305:AF915,2,)</f>
        <v>0.54</v>
      </c>
      <c r="P305" s="38">
        <f>VLOOKUP(O305,'Sheet A'!O305:AG915,2,)</f>
        <v>0.1343</v>
      </c>
      <c r="Q305" s="38">
        <f>VLOOKUP(P305,'Sheet A'!P305:AH915,2,)</f>
        <v>0</v>
      </c>
      <c r="R305" s="38">
        <f>VLOOKUP(Q305,'Sheet A'!Q305:AI915,2,)</f>
        <v>1</v>
      </c>
      <c r="S305" s="38">
        <f>VLOOKUP(R305,'Sheet A'!R305:AJ915,2,)</f>
        <v>1</v>
      </c>
    </row>
    <row r="306" spans="1:19" x14ac:dyDescent="0.35">
      <c r="A306" s="37">
        <v>305</v>
      </c>
      <c r="B306" s="60">
        <f>VLOOKUP(A306,'Sheet A'!A306:S916,2,)</f>
        <v>40557</v>
      </c>
      <c r="C306" s="38">
        <f>VLOOKUP(B306,'Sheet A'!B306:T916,2,)</f>
        <v>1</v>
      </c>
      <c r="D306" s="38">
        <f>VLOOKUP(C306,'Sheet A'!C306:U916,2,)</f>
        <v>0</v>
      </c>
      <c r="E306" s="38">
        <f>VLOOKUP(D306,'Sheet A'!D306:V916,2,)</f>
        <v>1</v>
      </c>
      <c r="F306" s="38">
        <f>VLOOKUP(E306,'Sheet A'!E306:W916,2,)</f>
        <v>3</v>
      </c>
      <c r="G306" s="41" t="str">
        <f>VLOOKUP(F306,'Sheet A'!F306:X916,2,)</f>
        <v>Night</v>
      </c>
      <c r="H306" s="38" t="b">
        <f>VLOOKUP(G306,'Sheet A'!G306:Y916,2,)</f>
        <v>0</v>
      </c>
      <c r="I306" s="38">
        <f>VLOOKUP(H306,'Sheet A'!H306:Z916,2,)</f>
        <v>5</v>
      </c>
      <c r="J306" s="41" t="str">
        <f>VLOOKUP(I306,'Sheet A'!I306:AA916,2,)</f>
        <v>Thusday</v>
      </c>
      <c r="K306" s="38">
        <f>VLOOKUP(J306,'Sheet A'!J306:AB916,2,)</f>
        <v>1</v>
      </c>
      <c r="L306" s="38">
        <f>VLOOKUP(K306,'Sheet A'!K306:AC916,2,)</f>
        <v>0.1</v>
      </c>
      <c r="M306" s="70" t="str">
        <f>VLOOKUP(L306,'Sheet A'!L306:AD916,2,)</f>
        <v>Stromy</v>
      </c>
      <c r="N306" s="38">
        <f>VLOOKUP(M306,'Sheet A'!M306:AE916,2,)</f>
        <v>0.13639999999999999</v>
      </c>
      <c r="O306" s="38">
        <f>VLOOKUP(N306,'Sheet A'!N306:AF916,2,)</f>
        <v>0.54</v>
      </c>
      <c r="P306" s="38">
        <f>VLOOKUP(O306,'Sheet A'!O306:AG916,2,)</f>
        <v>0.1045</v>
      </c>
      <c r="Q306" s="38">
        <f>VLOOKUP(P306,'Sheet A'!P306:AH916,2,)</f>
        <v>0</v>
      </c>
      <c r="R306" s="38">
        <f>VLOOKUP(Q306,'Sheet A'!Q306:AI916,2,)</f>
        <v>1</v>
      </c>
      <c r="S306" s="38">
        <f>VLOOKUP(R306,'Sheet A'!R306:AJ916,2,)</f>
        <v>1</v>
      </c>
    </row>
    <row r="307" spans="1:19" x14ac:dyDescent="0.35">
      <c r="A307" s="37">
        <v>306</v>
      </c>
      <c r="B307" s="60">
        <f>VLOOKUP(A307,'Sheet A'!A307:S917,2,)</f>
        <v>40557</v>
      </c>
      <c r="C307" s="38">
        <f>VLOOKUP(B307,'Sheet A'!B307:T917,2,)</f>
        <v>1</v>
      </c>
      <c r="D307" s="38">
        <f>VLOOKUP(C307,'Sheet A'!C307:U917,2,)</f>
        <v>0</v>
      </c>
      <c r="E307" s="38">
        <f>VLOOKUP(D307,'Sheet A'!D307:V917,2,)</f>
        <v>1</v>
      </c>
      <c r="F307" s="38">
        <f>VLOOKUP(E307,'Sheet A'!E307:W917,2,)</f>
        <v>5</v>
      </c>
      <c r="G307" s="41" t="str">
        <f>VLOOKUP(F307,'Sheet A'!F307:X917,2,)</f>
        <v>Morning</v>
      </c>
      <c r="H307" s="38" t="b">
        <f>VLOOKUP(G307,'Sheet A'!G307:Y917,2,)</f>
        <v>0</v>
      </c>
      <c r="I307" s="38">
        <f>VLOOKUP(H307,'Sheet A'!H307:Z917,2,)</f>
        <v>5</v>
      </c>
      <c r="J307" s="41" t="str">
        <f>VLOOKUP(I307,'Sheet A'!I307:AA917,2,)</f>
        <v>Thusday</v>
      </c>
      <c r="K307" s="38">
        <f>VLOOKUP(J307,'Sheet A'!J307:AB917,2,)</f>
        <v>1</v>
      </c>
      <c r="L307" s="38">
        <f>VLOOKUP(K307,'Sheet A'!K307:AC917,2,)</f>
        <v>0.1</v>
      </c>
      <c r="M307" s="70" t="str">
        <f>VLOOKUP(L307,'Sheet A'!L307:AD917,2,)</f>
        <v>Stromy</v>
      </c>
      <c r="N307" s="38">
        <f>VLOOKUP(M307,'Sheet A'!M307:AE917,2,)</f>
        <v>0.13639999999999999</v>
      </c>
      <c r="O307" s="38">
        <f>VLOOKUP(N307,'Sheet A'!N307:AF917,2,)</f>
        <v>0.54</v>
      </c>
      <c r="P307" s="38">
        <f>VLOOKUP(O307,'Sheet A'!O307:AG917,2,)</f>
        <v>8.9599999999999999E-2</v>
      </c>
      <c r="Q307" s="38">
        <f>VLOOKUP(P307,'Sheet A'!P307:AH917,2,)</f>
        <v>0</v>
      </c>
      <c r="R307" s="38">
        <f>VLOOKUP(Q307,'Sheet A'!Q307:AI917,2,)</f>
        <v>8</v>
      </c>
      <c r="S307" s="38">
        <f>VLOOKUP(R307,'Sheet A'!R307:AJ917,2,)</f>
        <v>8</v>
      </c>
    </row>
    <row r="308" spans="1:19" x14ac:dyDescent="0.35">
      <c r="A308" s="37">
        <v>307</v>
      </c>
      <c r="B308" s="60">
        <f>VLOOKUP(A308,'Sheet A'!A308:S918,2,)</f>
        <v>40557</v>
      </c>
      <c r="C308" s="38">
        <f>VLOOKUP(B308,'Sheet A'!B308:T918,2,)</f>
        <v>1</v>
      </c>
      <c r="D308" s="38">
        <f>VLOOKUP(C308,'Sheet A'!C308:U918,2,)</f>
        <v>0</v>
      </c>
      <c r="E308" s="38">
        <f>VLOOKUP(D308,'Sheet A'!D308:V918,2,)</f>
        <v>1</v>
      </c>
      <c r="F308" s="38">
        <f>VLOOKUP(E308,'Sheet A'!E308:W918,2,)</f>
        <v>6</v>
      </c>
      <c r="G308" s="41" t="str">
        <f>VLOOKUP(F308,'Sheet A'!F308:X918,2,)</f>
        <v>Morning</v>
      </c>
      <c r="H308" s="38" t="b">
        <f>VLOOKUP(G308,'Sheet A'!G308:Y918,2,)</f>
        <v>0</v>
      </c>
      <c r="I308" s="38">
        <f>VLOOKUP(H308,'Sheet A'!H308:Z918,2,)</f>
        <v>5</v>
      </c>
      <c r="J308" s="41" t="str">
        <f>VLOOKUP(I308,'Sheet A'!I308:AA918,2,)</f>
        <v>Thusday</v>
      </c>
      <c r="K308" s="38">
        <f>VLOOKUP(J308,'Sheet A'!J308:AB918,2,)</f>
        <v>1</v>
      </c>
      <c r="L308" s="38">
        <f>VLOOKUP(K308,'Sheet A'!K308:AC918,2,)</f>
        <v>0.1</v>
      </c>
      <c r="M308" s="70" t="str">
        <f>VLOOKUP(L308,'Sheet A'!L308:AD918,2,)</f>
        <v>Stromy</v>
      </c>
      <c r="N308" s="38">
        <f>VLOOKUP(M308,'Sheet A'!M308:AE918,2,)</f>
        <v>0.18179999999999999</v>
      </c>
      <c r="O308" s="38">
        <f>VLOOKUP(N308,'Sheet A'!N308:AF918,2,)</f>
        <v>0.54</v>
      </c>
      <c r="P308" s="38">
        <f>VLOOKUP(O308,'Sheet A'!O308:AG918,2,)</f>
        <v>0</v>
      </c>
      <c r="Q308" s="38">
        <f>VLOOKUP(P308,'Sheet A'!P308:AH918,2,)</f>
        <v>0</v>
      </c>
      <c r="R308" s="38">
        <f>VLOOKUP(Q308,'Sheet A'!Q308:AI918,2,)</f>
        <v>17</v>
      </c>
      <c r="S308" s="38">
        <f>VLOOKUP(R308,'Sheet A'!R308:AJ918,2,)</f>
        <v>17</v>
      </c>
    </row>
    <row r="309" spans="1:19" x14ac:dyDescent="0.35">
      <c r="A309" s="37">
        <v>308</v>
      </c>
      <c r="B309" s="60">
        <f>VLOOKUP(A309,'Sheet A'!A309:S919,2,)</f>
        <v>40557</v>
      </c>
      <c r="C309" s="38">
        <f>VLOOKUP(B309,'Sheet A'!B309:T919,2,)</f>
        <v>1</v>
      </c>
      <c r="D309" s="38">
        <f>VLOOKUP(C309,'Sheet A'!C309:U919,2,)</f>
        <v>0</v>
      </c>
      <c r="E309" s="38">
        <f>VLOOKUP(D309,'Sheet A'!D309:V919,2,)</f>
        <v>1</v>
      </c>
      <c r="F309" s="38">
        <f>VLOOKUP(E309,'Sheet A'!E309:W919,2,)</f>
        <v>7</v>
      </c>
      <c r="G309" s="41" t="str">
        <f>VLOOKUP(F309,'Sheet A'!F309:X919,2,)</f>
        <v>Morning</v>
      </c>
      <c r="H309" s="38" t="b">
        <f>VLOOKUP(G309,'Sheet A'!G309:Y919,2,)</f>
        <v>0</v>
      </c>
      <c r="I309" s="38">
        <f>VLOOKUP(H309,'Sheet A'!H309:Z919,2,)</f>
        <v>5</v>
      </c>
      <c r="J309" s="41" t="str">
        <f>VLOOKUP(I309,'Sheet A'!I309:AA919,2,)</f>
        <v>Thusday</v>
      </c>
      <c r="K309" s="38">
        <f>VLOOKUP(J309,'Sheet A'!J309:AB919,2,)</f>
        <v>1</v>
      </c>
      <c r="L309" s="38">
        <f>VLOOKUP(K309,'Sheet A'!K309:AC919,2,)</f>
        <v>0.1</v>
      </c>
      <c r="M309" s="70" t="str">
        <f>VLOOKUP(L309,'Sheet A'!L309:AD919,2,)</f>
        <v>Stromy</v>
      </c>
      <c r="N309" s="38">
        <f>VLOOKUP(M309,'Sheet A'!M309:AE919,2,)</f>
        <v>0.1212</v>
      </c>
      <c r="O309" s="38">
        <f>VLOOKUP(N309,'Sheet A'!N309:AF919,2,)</f>
        <v>0.74</v>
      </c>
      <c r="P309" s="38">
        <f>VLOOKUP(O309,'Sheet A'!O309:AG919,2,)</f>
        <v>0.16420000000000001</v>
      </c>
      <c r="Q309" s="38">
        <f>VLOOKUP(P309,'Sheet A'!P309:AH919,2,)</f>
        <v>0</v>
      </c>
      <c r="R309" s="38">
        <f>VLOOKUP(Q309,'Sheet A'!Q309:AI919,2,)</f>
        <v>70</v>
      </c>
      <c r="S309" s="38">
        <f>VLOOKUP(R309,'Sheet A'!R309:AJ919,2,)</f>
        <v>70</v>
      </c>
    </row>
    <row r="310" spans="1:19" x14ac:dyDescent="0.35">
      <c r="A310" s="37">
        <v>309</v>
      </c>
      <c r="B310" s="60">
        <f>VLOOKUP(A310,'Sheet A'!A310:S920,2,)</f>
        <v>40557</v>
      </c>
      <c r="C310" s="38">
        <f>VLOOKUP(B310,'Sheet A'!B310:T920,2,)</f>
        <v>1</v>
      </c>
      <c r="D310" s="38">
        <f>VLOOKUP(C310,'Sheet A'!C310:U920,2,)</f>
        <v>0</v>
      </c>
      <c r="E310" s="38">
        <f>VLOOKUP(D310,'Sheet A'!D310:V920,2,)</f>
        <v>1</v>
      </c>
      <c r="F310" s="38">
        <f>VLOOKUP(E310,'Sheet A'!E310:W920,2,)</f>
        <v>8</v>
      </c>
      <c r="G310" s="41" t="str">
        <f>VLOOKUP(F310,'Sheet A'!F310:X920,2,)</f>
        <v>Morning</v>
      </c>
      <c r="H310" s="38" t="b">
        <f>VLOOKUP(G310,'Sheet A'!G310:Y920,2,)</f>
        <v>0</v>
      </c>
      <c r="I310" s="38">
        <f>VLOOKUP(H310,'Sheet A'!H310:Z920,2,)</f>
        <v>5</v>
      </c>
      <c r="J310" s="41" t="str">
        <f>VLOOKUP(I310,'Sheet A'!I310:AA920,2,)</f>
        <v>Thusday</v>
      </c>
      <c r="K310" s="38">
        <f>VLOOKUP(J310,'Sheet A'!J310:AB920,2,)</f>
        <v>1</v>
      </c>
      <c r="L310" s="38">
        <f>VLOOKUP(K310,'Sheet A'!K310:AC920,2,)</f>
        <v>0.12</v>
      </c>
      <c r="M310" s="70" t="str">
        <f>VLOOKUP(L310,'Sheet A'!L310:AD920,2,)</f>
        <v>Rainy</v>
      </c>
      <c r="N310" s="38">
        <f>VLOOKUP(M310,'Sheet A'!M310:AE920,2,)</f>
        <v>0.16669999999999999</v>
      </c>
      <c r="O310" s="38">
        <f>VLOOKUP(N310,'Sheet A'!N310:AF920,2,)</f>
        <v>0.68</v>
      </c>
      <c r="P310" s="38">
        <f>VLOOKUP(O310,'Sheet A'!O310:AG920,2,)</f>
        <v>0</v>
      </c>
      <c r="Q310" s="38">
        <f>VLOOKUP(P310,'Sheet A'!P310:AH920,2,)</f>
        <v>2</v>
      </c>
      <c r="R310" s="38">
        <f>VLOOKUP(Q310,'Sheet A'!Q310:AI920,2,)</f>
        <v>156</v>
      </c>
      <c r="S310" s="38">
        <f>VLOOKUP(R310,'Sheet A'!R310:AJ920,2,)</f>
        <v>158</v>
      </c>
    </row>
    <row r="311" spans="1:19" x14ac:dyDescent="0.35">
      <c r="A311" s="37">
        <v>310</v>
      </c>
      <c r="B311" s="60">
        <f>VLOOKUP(A311,'Sheet A'!A311:S921,2,)</f>
        <v>40557</v>
      </c>
      <c r="C311" s="38">
        <f>VLOOKUP(B311,'Sheet A'!B311:T921,2,)</f>
        <v>1</v>
      </c>
      <c r="D311" s="38">
        <f>VLOOKUP(C311,'Sheet A'!C311:U921,2,)</f>
        <v>0</v>
      </c>
      <c r="E311" s="38">
        <f>VLOOKUP(D311,'Sheet A'!D311:V921,2,)</f>
        <v>1</v>
      </c>
      <c r="F311" s="38">
        <f>VLOOKUP(E311,'Sheet A'!E311:W921,2,)</f>
        <v>9</v>
      </c>
      <c r="G311" s="41" t="str">
        <f>VLOOKUP(F311,'Sheet A'!F311:X921,2,)</f>
        <v>Morning</v>
      </c>
      <c r="H311" s="38" t="b">
        <f>VLOOKUP(G311,'Sheet A'!G311:Y921,2,)</f>
        <v>0</v>
      </c>
      <c r="I311" s="38">
        <f>VLOOKUP(H311,'Sheet A'!H311:Z921,2,)</f>
        <v>5</v>
      </c>
      <c r="J311" s="41" t="str">
        <f>VLOOKUP(I311,'Sheet A'!I311:AA921,2,)</f>
        <v>Thusday</v>
      </c>
      <c r="K311" s="38">
        <f>VLOOKUP(J311,'Sheet A'!J311:AB921,2,)</f>
        <v>1</v>
      </c>
      <c r="L311" s="38">
        <f>VLOOKUP(K311,'Sheet A'!K311:AC921,2,)</f>
        <v>0.14000000000000001</v>
      </c>
      <c r="M311" s="70" t="str">
        <f>VLOOKUP(L311,'Sheet A'!L311:AD921,2,)</f>
        <v>Rainy</v>
      </c>
      <c r="N311" s="38">
        <f>VLOOKUP(M311,'Sheet A'!M311:AE921,2,)</f>
        <v>0.1515</v>
      </c>
      <c r="O311" s="38">
        <f>VLOOKUP(N311,'Sheet A'!N311:AF921,2,)</f>
        <v>0.69</v>
      </c>
      <c r="P311" s="38">
        <f>VLOOKUP(O311,'Sheet A'!O311:AG921,2,)</f>
        <v>0.1343</v>
      </c>
      <c r="Q311" s="38">
        <f>VLOOKUP(P311,'Sheet A'!P311:AH921,2,)</f>
        <v>0</v>
      </c>
      <c r="R311" s="38">
        <f>VLOOKUP(Q311,'Sheet A'!Q311:AI921,2,)</f>
        <v>117</v>
      </c>
      <c r="S311" s="38">
        <f>VLOOKUP(R311,'Sheet A'!R311:AJ921,2,)</f>
        <v>117</v>
      </c>
    </row>
    <row r="312" spans="1:19" x14ac:dyDescent="0.35">
      <c r="A312" s="37">
        <v>311</v>
      </c>
      <c r="B312" s="60">
        <f>VLOOKUP(A312,'Sheet A'!A312:S922,2,)</f>
        <v>40557</v>
      </c>
      <c r="C312" s="38">
        <f>VLOOKUP(B312,'Sheet A'!B312:T922,2,)</f>
        <v>1</v>
      </c>
      <c r="D312" s="38">
        <f>VLOOKUP(C312,'Sheet A'!C312:U922,2,)</f>
        <v>0</v>
      </c>
      <c r="E312" s="38">
        <f>VLOOKUP(D312,'Sheet A'!D312:V922,2,)</f>
        <v>1</v>
      </c>
      <c r="F312" s="38">
        <f>VLOOKUP(E312,'Sheet A'!E312:W922,2,)</f>
        <v>10</v>
      </c>
      <c r="G312" s="41" t="str">
        <f>VLOOKUP(F312,'Sheet A'!F312:X922,2,)</f>
        <v>Morning</v>
      </c>
      <c r="H312" s="38" t="b">
        <f>VLOOKUP(G312,'Sheet A'!G312:Y922,2,)</f>
        <v>0</v>
      </c>
      <c r="I312" s="38">
        <f>VLOOKUP(H312,'Sheet A'!H312:Z922,2,)</f>
        <v>5</v>
      </c>
      <c r="J312" s="41" t="str">
        <f>VLOOKUP(I312,'Sheet A'!I312:AA922,2,)</f>
        <v>Thusday</v>
      </c>
      <c r="K312" s="38">
        <f>VLOOKUP(J312,'Sheet A'!J312:AB922,2,)</f>
        <v>1</v>
      </c>
      <c r="L312" s="38">
        <f>VLOOKUP(K312,'Sheet A'!K312:AC922,2,)</f>
        <v>0.18</v>
      </c>
      <c r="M312" s="70" t="str">
        <f>VLOOKUP(L312,'Sheet A'!L312:AD922,2,)</f>
        <v>Rainy</v>
      </c>
      <c r="N312" s="38">
        <f>VLOOKUP(M312,'Sheet A'!M312:AE922,2,)</f>
        <v>0.18179999999999999</v>
      </c>
      <c r="O312" s="38">
        <f>VLOOKUP(N312,'Sheet A'!N312:AF922,2,)</f>
        <v>0.55000000000000004</v>
      </c>
      <c r="P312" s="38">
        <f>VLOOKUP(O312,'Sheet A'!O312:AG922,2,)</f>
        <v>0.19400000000000001</v>
      </c>
      <c r="Q312" s="38">
        <f>VLOOKUP(P312,'Sheet A'!P312:AH922,2,)</f>
        <v>4</v>
      </c>
      <c r="R312" s="38">
        <f>VLOOKUP(Q312,'Sheet A'!Q312:AI922,2,)</f>
        <v>40</v>
      </c>
      <c r="S312" s="38">
        <f>VLOOKUP(R312,'Sheet A'!R312:AJ922,2,)</f>
        <v>44</v>
      </c>
    </row>
    <row r="313" spans="1:19" x14ac:dyDescent="0.35">
      <c r="A313" s="37">
        <v>312</v>
      </c>
      <c r="B313" s="60">
        <f>VLOOKUP(A313,'Sheet A'!A313:S923,2,)</f>
        <v>40557</v>
      </c>
      <c r="C313" s="38">
        <f>VLOOKUP(B313,'Sheet A'!B313:T923,2,)</f>
        <v>1</v>
      </c>
      <c r="D313" s="38">
        <f>VLOOKUP(C313,'Sheet A'!C313:U923,2,)</f>
        <v>0</v>
      </c>
      <c r="E313" s="38">
        <f>VLOOKUP(D313,'Sheet A'!D313:V923,2,)</f>
        <v>1</v>
      </c>
      <c r="F313" s="38">
        <f>VLOOKUP(E313,'Sheet A'!E313:W923,2,)</f>
        <v>11</v>
      </c>
      <c r="G313" s="41" t="str">
        <f>VLOOKUP(F313,'Sheet A'!F313:X923,2,)</f>
        <v>Morning</v>
      </c>
      <c r="H313" s="38" t="b">
        <f>VLOOKUP(G313,'Sheet A'!G313:Y923,2,)</f>
        <v>0</v>
      </c>
      <c r="I313" s="38">
        <f>VLOOKUP(H313,'Sheet A'!H313:Z923,2,)</f>
        <v>5</v>
      </c>
      <c r="J313" s="41" t="str">
        <f>VLOOKUP(I313,'Sheet A'!I313:AA923,2,)</f>
        <v>Thusday</v>
      </c>
      <c r="K313" s="38">
        <f>VLOOKUP(J313,'Sheet A'!J313:AB923,2,)</f>
        <v>1</v>
      </c>
      <c r="L313" s="38">
        <f>VLOOKUP(K313,'Sheet A'!K313:AC923,2,)</f>
        <v>0.18</v>
      </c>
      <c r="M313" s="70" t="str">
        <f>VLOOKUP(L313,'Sheet A'!L313:AD923,2,)</f>
        <v>Rainy</v>
      </c>
      <c r="N313" s="38">
        <f>VLOOKUP(M313,'Sheet A'!M313:AE923,2,)</f>
        <v>0.16669999999999999</v>
      </c>
      <c r="O313" s="38">
        <f>VLOOKUP(N313,'Sheet A'!N313:AF923,2,)</f>
        <v>0.51</v>
      </c>
      <c r="P313" s="38">
        <f>VLOOKUP(O313,'Sheet A'!O313:AG923,2,)</f>
        <v>0.28360000000000002</v>
      </c>
      <c r="Q313" s="38">
        <f>VLOOKUP(P313,'Sheet A'!P313:AH923,2,)</f>
        <v>6</v>
      </c>
      <c r="R313" s="38">
        <f>VLOOKUP(Q313,'Sheet A'!Q313:AI923,2,)</f>
        <v>47</v>
      </c>
      <c r="S313" s="38">
        <f>VLOOKUP(R313,'Sheet A'!R313:AJ923,2,)</f>
        <v>53</v>
      </c>
    </row>
    <row r="314" spans="1:19" x14ac:dyDescent="0.35">
      <c r="A314" s="37">
        <v>313</v>
      </c>
      <c r="B314" s="60">
        <f>VLOOKUP(A314,'Sheet A'!A314:S924,2,)</f>
        <v>40557</v>
      </c>
      <c r="C314" s="38">
        <f>VLOOKUP(B314,'Sheet A'!B314:T924,2,)</f>
        <v>1</v>
      </c>
      <c r="D314" s="38">
        <f>VLOOKUP(C314,'Sheet A'!C314:U924,2,)</f>
        <v>0</v>
      </c>
      <c r="E314" s="38">
        <f>VLOOKUP(D314,'Sheet A'!D314:V924,2,)</f>
        <v>1</v>
      </c>
      <c r="F314" s="38">
        <f>VLOOKUP(E314,'Sheet A'!E314:W924,2,)</f>
        <v>12</v>
      </c>
      <c r="G314" s="41" t="str">
        <f>VLOOKUP(F314,'Sheet A'!F314:X924,2,)</f>
        <v>AfterNoon</v>
      </c>
      <c r="H314" s="38" t="b">
        <f>VLOOKUP(G314,'Sheet A'!G314:Y924,2,)</f>
        <v>0</v>
      </c>
      <c r="I314" s="38">
        <f>VLOOKUP(H314,'Sheet A'!H314:Z924,2,)</f>
        <v>5</v>
      </c>
      <c r="J314" s="41" t="str">
        <f>VLOOKUP(I314,'Sheet A'!I314:AA924,2,)</f>
        <v>Thusday</v>
      </c>
      <c r="K314" s="38">
        <f>VLOOKUP(J314,'Sheet A'!J314:AB924,2,)</f>
        <v>1</v>
      </c>
      <c r="L314" s="38">
        <f>VLOOKUP(K314,'Sheet A'!K314:AC924,2,)</f>
        <v>0.2</v>
      </c>
      <c r="M314" s="70" t="str">
        <f>VLOOKUP(L314,'Sheet A'!L314:AD924,2,)</f>
        <v>Rainy</v>
      </c>
      <c r="N314" s="38">
        <f>VLOOKUP(M314,'Sheet A'!M314:AE924,2,)</f>
        <v>0.19700000000000001</v>
      </c>
      <c r="O314" s="38">
        <f>VLOOKUP(N314,'Sheet A'!N314:AF924,2,)</f>
        <v>0.44</v>
      </c>
      <c r="P314" s="38">
        <f>VLOOKUP(O314,'Sheet A'!O314:AG924,2,)</f>
        <v>0.25369999999999998</v>
      </c>
      <c r="Q314" s="38">
        <f>VLOOKUP(P314,'Sheet A'!P314:AH924,2,)</f>
        <v>2</v>
      </c>
      <c r="R314" s="38">
        <f>VLOOKUP(Q314,'Sheet A'!Q314:AI924,2,)</f>
        <v>59</v>
      </c>
      <c r="S314" s="38">
        <f>VLOOKUP(R314,'Sheet A'!R314:AJ924,2,)</f>
        <v>61</v>
      </c>
    </row>
    <row r="315" spans="1:19" x14ac:dyDescent="0.35">
      <c r="A315" s="37">
        <v>314</v>
      </c>
      <c r="B315" s="60">
        <f>VLOOKUP(A315,'Sheet A'!A315:S925,2,)</f>
        <v>40557</v>
      </c>
      <c r="C315" s="38">
        <f>VLOOKUP(B315,'Sheet A'!B315:T925,2,)</f>
        <v>1</v>
      </c>
      <c r="D315" s="38">
        <f>VLOOKUP(C315,'Sheet A'!C315:U925,2,)</f>
        <v>0</v>
      </c>
      <c r="E315" s="38">
        <f>VLOOKUP(D315,'Sheet A'!D315:V925,2,)</f>
        <v>1</v>
      </c>
      <c r="F315" s="38">
        <f>VLOOKUP(E315,'Sheet A'!E315:W925,2,)</f>
        <v>13</v>
      </c>
      <c r="G315" s="41" t="str">
        <f>VLOOKUP(F315,'Sheet A'!F315:X925,2,)</f>
        <v>AfterNoon</v>
      </c>
      <c r="H315" s="38" t="b">
        <f>VLOOKUP(G315,'Sheet A'!G315:Y925,2,)</f>
        <v>0</v>
      </c>
      <c r="I315" s="38">
        <f>VLOOKUP(H315,'Sheet A'!H315:Z925,2,)</f>
        <v>5</v>
      </c>
      <c r="J315" s="41" t="str">
        <f>VLOOKUP(I315,'Sheet A'!I315:AA925,2,)</f>
        <v>Thusday</v>
      </c>
      <c r="K315" s="38">
        <f>VLOOKUP(J315,'Sheet A'!J315:AB925,2,)</f>
        <v>1</v>
      </c>
      <c r="L315" s="38">
        <f>VLOOKUP(K315,'Sheet A'!K315:AC925,2,)</f>
        <v>0.22</v>
      </c>
      <c r="M315" s="70" t="str">
        <f>VLOOKUP(L315,'Sheet A'!L315:AD925,2,)</f>
        <v>Cloudy</v>
      </c>
      <c r="N315" s="38">
        <f>VLOOKUP(M315,'Sheet A'!M315:AE925,2,)</f>
        <v>0.19700000000000001</v>
      </c>
      <c r="O315" s="38">
        <f>VLOOKUP(N315,'Sheet A'!N315:AF925,2,)</f>
        <v>0.37</v>
      </c>
      <c r="P315" s="38">
        <f>VLOOKUP(O315,'Sheet A'!O315:AG925,2,)</f>
        <v>0.3881</v>
      </c>
      <c r="Q315" s="38">
        <f>VLOOKUP(P315,'Sheet A'!P315:AH925,2,)</f>
        <v>4</v>
      </c>
      <c r="R315" s="38">
        <f>VLOOKUP(Q315,'Sheet A'!Q315:AI925,2,)</f>
        <v>73</v>
      </c>
      <c r="S315" s="38">
        <f>VLOOKUP(R315,'Sheet A'!R315:AJ925,2,)</f>
        <v>77</v>
      </c>
    </row>
    <row r="316" spans="1:19" x14ac:dyDescent="0.35">
      <c r="A316" s="37">
        <v>315</v>
      </c>
      <c r="B316" s="60">
        <f>VLOOKUP(A316,'Sheet A'!A316:S926,2,)</f>
        <v>40557</v>
      </c>
      <c r="C316" s="38">
        <f>VLOOKUP(B316,'Sheet A'!B316:T926,2,)</f>
        <v>1</v>
      </c>
      <c r="D316" s="38">
        <f>VLOOKUP(C316,'Sheet A'!C316:U926,2,)</f>
        <v>0</v>
      </c>
      <c r="E316" s="38">
        <f>VLOOKUP(D316,'Sheet A'!D316:V926,2,)</f>
        <v>1</v>
      </c>
      <c r="F316" s="38">
        <f>VLOOKUP(E316,'Sheet A'!E316:W926,2,)</f>
        <v>14</v>
      </c>
      <c r="G316" s="41" t="str">
        <f>VLOOKUP(F316,'Sheet A'!F316:X926,2,)</f>
        <v>AfterNoon</v>
      </c>
      <c r="H316" s="38" t="b">
        <f>VLOOKUP(G316,'Sheet A'!G316:Y926,2,)</f>
        <v>0</v>
      </c>
      <c r="I316" s="38">
        <f>VLOOKUP(H316,'Sheet A'!H316:Z926,2,)</f>
        <v>5</v>
      </c>
      <c r="J316" s="41" t="str">
        <f>VLOOKUP(I316,'Sheet A'!I316:AA926,2,)</f>
        <v>Thusday</v>
      </c>
      <c r="K316" s="38">
        <f>VLOOKUP(J316,'Sheet A'!J316:AB926,2,)</f>
        <v>1</v>
      </c>
      <c r="L316" s="38">
        <f>VLOOKUP(K316,'Sheet A'!K316:AC926,2,)</f>
        <v>0.22</v>
      </c>
      <c r="M316" s="70" t="str">
        <f>VLOOKUP(L316,'Sheet A'!L316:AD926,2,)</f>
        <v>Cloudy</v>
      </c>
      <c r="N316" s="38">
        <f>VLOOKUP(M316,'Sheet A'!M316:AE926,2,)</f>
        <v>0.21210000000000001</v>
      </c>
      <c r="O316" s="38">
        <f>VLOOKUP(N316,'Sheet A'!N316:AF926,2,)</f>
        <v>0.41</v>
      </c>
      <c r="P316" s="38">
        <f>VLOOKUP(O316,'Sheet A'!O316:AG926,2,)</f>
        <v>0.28360000000000002</v>
      </c>
      <c r="Q316" s="38">
        <f>VLOOKUP(P316,'Sheet A'!P316:AH926,2,)</f>
        <v>5</v>
      </c>
      <c r="R316" s="38">
        <f>VLOOKUP(Q316,'Sheet A'!Q316:AI926,2,)</f>
        <v>59</v>
      </c>
      <c r="S316" s="38">
        <f>VLOOKUP(R316,'Sheet A'!R316:AJ926,2,)</f>
        <v>64</v>
      </c>
    </row>
    <row r="317" spans="1:19" x14ac:dyDescent="0.35">
      <c r="A317" s="37">
        <v>316</v>
      </c>
      <c r="B317" s="60">
        <f>VLOOKUP(A317,'Sheet A'!A317:S927,2,)</f>
        <v>40557</v>
      </c>
      <c r="C317" s="38">
        <f>VLOOKUP(B317,'Sheet A'!B317:T927,2,)</f>
        <v>1</v>
      </c>
      <c r="D317" s="38">
        <f>VLOOKUP(C317,'Sheet A'!C317:U927,2,)</f>
        <v>0</v>
      </c>
      <c r="E317" s="38">
        <f>VLOOKUP(D317,'Sheet A'!D317:V927,2,)</f>
        <v>1</v>
      </c>
      <c r="F317" s="38">
        <f>VLOOKUP(E317,'Sheet A'!E317:W927,2,)</f>
        <v>15</v>
      </c>
      <c r="G317" s="41" t="str">
        <f>VLOOKUP(F317,'Sheet A'!F317:X927,2,)</f>
        <v>AfterNoon</v>
      </c>
      <c r="H317" s="38" t="b">
        <f>VLOOKUP(G317,'Sheet A'!G317:Y927,2,)</f>
        <v>0</v>
      </c>
      <c r="I317" s="38">
        <f>VLOOKUP(H317,'Sheet A'!H317:Z927,2,)</f>
        <v>5</v>
      </c>
      <c r="J317" s="41" t="str">
        <f>VLOOKUP(I317,'Sheet A'!I317:AA927,2,)</f>
        <v>Thusday</v>
      </c>
      <c r="K317" s="38">
        <f>VLOOKUP(J317,'Sheet A'!J317:AB927,2,)</f>
        <v>1</v>
      </c>
      <c r="L317" s="38">
        <f>VLOOKUP(K317,'Sheet A'!K317:AC927,2,)</f>
        <v>0.24</v>
      </c>
      <c r="M317" s="70" t="str">
        <f>VLOOKUP(L317,'Sheet A'!L317:AD927,2,)</f>
        <v>Cloudy</v>
      </c>
      <c r="N317" s="38">
        <f>VLOOKUP(M317,'Sheet A'!M317:AE927,2,)</f>
        <v>0.2424</v>
      </c>
      <c r="O317" s="38">
        <f>VLOOKUP(N317,'Sheet A'!N317:AF927,2,)</f>
        <v>0.38</v>
      </c>
      <c r="P317" s="38">
        <f>VLOOKUP(O317,'Sheet A'!O317:AG927,2,)</f>
        <v>0.16420000000000001</v>
      </c>
      <c r="Q317" s="38">
        <f>VLOOKUP(P317,'Sheet A'!P317:AH927,2,)</f>
        <v>9</v>
      </c>
      <c r="R317" s="38">
        <f>VLOOKUP(Q317,'Sheet A'!Q317:AI927,2,)</f>
        <v>59</v>
      </c>
      <c r="S317" s="38">
        <f>VLOOKUP(R317,'Sheet A'!R317:AJ927,2,)</f>
        <v>68</v>
      </c>
    </row>
    <row r="318" spans="1:19" x14ac:dyDescent="0.35">
      <c r="A318" s="37">
        <v>317</v>
      </c>
      <c r="B318" s="60">
        <f>VLOOKUP(A318,'Sheet A'!A318:S928,2,)</f>
        <v>40557</v>
      </c>
      <c r="C318" s="38">
        <f>VLOOKUP(B318,'Sheet A'!B318:T928,2,)</f>
        <v>1</v>
      </c>
      <c r="D318" s="38">
        <f>VLOOKUP(C318,'Sheet A'!C318:U928,2,)</f>
        <v>0</v>
      </c>
      <c r="E318" s="38">
        <f>VLOOKUP(D318,'Sheet A'!D318:V928,2,)</f>
        <v>1</v>
      </c>
      <c r="F318" s="38">
        <f>VLOOKUP(E318,'Sheet A'!E318:W928,2,)</f>
        <v>16</v>
      </c>
      <c r="G318" s="41" t="str">
        <f>VLOOKUP(F318,'Sheet A'!F318:X928,2,)</f>
        <v>AfterNoon</v>
      </c>
      <c r="H318" s="38" t="b">
        <f>VLOOKUP(G318,'Sheet A'!G318:Y928,2,)</f>
        <v>0</v>
      </c>
      <c r="I318" s="38">
        <f>VLOOKUP(H318,'Sheet A'!H318:Z928,2,)</f>
        <v>5</v>
      </c>
      <c r="J318" s="41" t="str">
        <f>VLOOKUP(I318,'Sheet A'!I318:AA928,2,)</f>
        <v>Thusday</v>
      </c>
      <c r="K318" s="38">
        <f>VLOOKUP(J318,'Sheet A'!J318:AB928,2,)</f>
        <v>1</v>
      </c>
      <c r="L318" s="38">
        <f>VLOOKUP(K318,'Sheet A'!K318:AC928,2,)</f>
        <v>0.22</v>
      </c>
      <c r="M318" s="70" t="str">
        <f>VLOOKUP(L318,'Sheet A'!L318:AD928,2,)</f>
        <v>Cloudy</v>
      </c>
      <c r="N318" s="38">
        <f>VLOOKUP(M318,'Sheet A'!M318:AE928,2,)</f>
        <v>0.2424</v>
      </c>
      <c r="O318" s="38">
        <f>VLOOKUP(N318,'Sheet A'!N318:AF928,2,)</f>
        <v>0.41</v>
      </c>
      <c r="P318" s="38">
        <f>VLOOKUP(O318,'Sheet A'!O318:AG928,2,)</f>
        <v>0.1045</v>
      </c>
      <c r="Q318" s="38">
        <f>VLOOKUP(P318,'Sheet A'!P318:AH928,2,)</f>
        <v>3</v>
      </c>
      <c r="R318" s="38">
        <f>VLOOKUP(Q318,'Sheet A'!Q318:AI928,2,)</f>
        <v>87</v>
      </c>
      <c r="S318" s="38">
        <f>VLOOKUP(R318,'Sheet A'!R318:AJ928,2,)</f>
        <v>90</v>
      </c>
    </row>
    <row r="319" spans="1:19" x14ac:dyDescent="0.35">
      <c r="A319" s="37">
        <v>318</v>
      </c>
      <c r="B319" s="60">
        <f>VLOOKUP(A319,'Sheet A'!A319:S929,2,)</f>
        <v>40557</v>
      </c>
      <c r="C319" s="38">
        <f>VLOOKUP(B319,'Sheet A'!B319:T929,2,)</f>
        <v>1</v>
      </c>
      <c r="D319" s="38">
        <f>VLOOKUP(C319,'Sheet A'!C319:U929,2,)</f>
        <v>0</v>
      </c>
      <c r="E319" s="38">
        <f>VLOOKUP(D319,'Sheet A'!D319:V929,2,)</f>
        <v>1</v>
      </c>
      <c r="F319" s="38">
        <f>VLOOKUP(E319,'Sheet A'!E319:W929,2,)</f>
        <v>17</v>
      </c>
      <c r="G319" s="41" t="str">
        <f>VLOOKUP(F319,'Sheet A'!F319:X929,2,)</f>
        <v>Evening</v>
      </c>
      <c r="H319" s="38" t="b">
        <f>VLOOKUP(G319,'Sheet A'!G319:Y929,2,)</f>
        <v>0</v>
      </c>
      <c r="I319" s="38">
        <f>VLOOKUP(H319,'Sheet A'!H319:Z929,2,)</f>
        <v>5</v>
      </c>
      <c r="J319" s="41" t="str">
        <f>VLOOKUP(I319,'Sheet A'!I319:AA929,2,)</f>
        <v>Thusday</v>
      </c>
      <c r="K319" s="38">
        <f>VLOOKUP(J319,'Sheet A'!J319:AB929,2,)</f>
        <v>1</v>
      </c>
      <c r="L319" s="38">
        <f>VLOOKUP(K319,'Sheet A'!K319:AC929,2,)</f>
        <v>0.22</v>
      </c>
      <c r="M319" s="70" t="str">
        <f>VLOOKUP(L319,'Sheet A'!L319:AD929,2,)</f>
        <v>Cloudy</v>
      </c>
      <c r="N319" s="38">
        <f>VLOOKUP(M319,'Sheet A'!M319:AE929,2,)</f>
        <v>0.2273</v>
      </c>
      <c r="O319" s="38">
        <f>VLOOKUP(N319,'Sheet A'!N319:AF929,2,)</f>
        <v>0.41</v>
      </c>
      <c r="P319" s="38">
        <f>VLOOKUP(O319,'Sheet A'!O319:AG929,2,)</f>
        <v>0.16420000000000001</v>
      </c>
      <c r="Q319" s="38">
        <f>VLOOKUP(P319,'Sheet A'!P319:AH929,2,)</f>
        <v>4</v>
      </c>
      <c r="R319" s="38">
        <f>VLOOKUP(Q319,'Sheet A'!Q319:AI929,2,)</f>
        <v>155</v>
      </c>
      <c r="S319" s="38">
        <f>VLOOKUP(R319,'Sheet A'!R319:AJ929,2,)</f>
        <v>159</v>
      </c>
    </row>
    <row r="320" spans="1:19" x14ac:dyDescent="0.35">
      <c r="A320" s="37">
        <v>319</v>
      </c>
      <c r="B320" s="60">
        <f>VLOOKUP(A320,'Sheet A'!A320:S930,2,)</f>
        <v>40557</v>
      </c>
      <c r="C320" s="38">
        <f>VLOOKUP(B320,'Sheet A'!B320:T930,2,)</f>
        <v>1</v>
      </c>
      <c r="D320" s="38">
        <f>VLOOKUP(C320,'Sheet A'!C320:U930,2,)</f>
        <v>0</v>
      </c>
      <c r="E320" s="38">
        <f>VLOOKUP(D320,'Sheet A'!D320:V930,2,)</f>
        <v>1</v>
      </c>
      <c r="F320" s="38">
        <f>VLOOKUP(E320,'Sheet A'!E320:W930,2,)</f>
        <v>18</v>
      </c>
      <c r="G320" s="41" t="str">
        <f>VLOOKUP(F320,'Sheet A'!F320:X930,2,)</f>
        <v>Evening</v>
      </c>
      <c r="H320" s="38" t="b">
        <f>VLOOKUP(G320,'Sheet A'!G320:Y930,2,)</f>
        <v>0</v>
      </c>
      <c r="I320" s="38">
        <f>VLOOKUP(H320,'Sheet A'!H320:Z930,2,)</f>
        <v>5</v>
      </c>
      <c r="J320" s="41" t="str">
        <f>VLOOKUP(I320,'Sheet A'!I320:AA930,2,)</f>
        <v>Thusday</v>
      </c>
      <c r="K320" s="38">
        <f>VLOOKUP(J320,'Sheet A'!J320:AB930,2,)</f>
        <v>1</v>
      </c>
      <c r="L320" s="38">
        <f>VLOOKUP(K320,'Sheet A'!K320:AC930,2,)</f>
        <v>0.2</v>
      </c>
      <c r="M320" s="70" t="str">
        <f>VLOOKUP(L320,'Sheet A'!L320:AD930,2,)</f>
        <v>Rainy</v>
      </c>
      <c r="N320" s="38">
        <f>VLOOKUP(M320,'Sheet A'!M320:AE930,2,)</f>
        <v>0.2576</v>
      </c>
      <c r="O320" s="38">
        <f>VLOOKUP(N320,'Sheet A'!N320:AF930,2,)</f>
        <v>0.47</v>
      </c>
      <c r="P320" s="38">
        <f>VLOOKUP(O320,'Sheet A'!O320:AG930,2,)</f>
        <v>0</v>
      </c>
      <c r="Q320" s="38">
        <f>VLOOKUP(P320,'Sheet A'!P320:AH930,2,)</f>
        <v>5</v>
      </c>
      <c r="R320" s="38">
        <f>VLOOKUP(Q320,'Sheet A'!Q320:AI930,2,)</f>
        <v>134</v>
      </c>
      <c r="S320" s="38">
        <f>VLOOKUP(R320,'Sheet A'!R320:AJ930,2,)</f>
        <v>139</v>
      </c>
    </row>
    <row r="321" spans="1:19" x14ac:dyDescent="0.35">
      <c r="A321" s="37">
        <v>320</v>
      </c>
      <c r="B321" s="60">
        <f>VLOOKUP(A321,'Sheet A'!A321:S931,2,)</f>
        <v>40557</v>
      </c>
      <c r="C321" s="38">
        <f>VLOOKUP(B321,'Sheet A'!B321:T931,2,)</f>
        <v>1</v>
      </c>
      <c r="D321" s="38">
        <f>VLOOKUP(C321,'Sheet A'!C321:U931,2,)</f>
        <v>0</v>
      </c>
      <c r="E321" s="38">
        <f>VLOOKUP(D321,'Sheet A'!D321:V931,2,)</f>
        <v>1</v>
      </c>
      <c r="F321" s="38">
        <f>VLOOKUP(E321,'Sheet A'!E321:W931,2,)</f>
        <v>19</v>
      </c>
      <c r="G321" s="41" t="str">
        <f>VLOOKUP(F321,'Sheet A'!F321:X931,2,)</f>
        <v>Evening</v>
      </c>
      <c r="H321" s="38" t="b">
        <f>VLOOKUP(G321,'Sheet A'!G321:Y931,2,)</f>
        <v>0</v>
      </c>
      <c r="I321" s="38">
        <f>VLOOKUP(H321,'Sheet A'!H321:Z931,2,)</f>
        <v>5</v>
      </c>
      <c r="J321" s="41" t="str">
        <f>VLOOKUP(I321,'Sheet A'!I321:AA931,2,)</f>
        <v>Thusday</v>
      </c>
      <c r="K321" s="38">
        <f>VLOOKUP(J321,'Sheet A'!J321:AB931,2,)</f>
        <v>1</v>
      </c>
      <c r="L321" s="38">
        <f>VLOOKUP(K321,'Sheet A'!K321:AC931,2,)</f>
        <v>0.16</v>
      </c>
      <c r="M321" s="70" t="str">
        <f>VLOOKUP(L321,'Sheet A'!L321:AD931,2,)</f>
        <v>Rainy</v>
      </c>
      <c r="N321" s="38">
        <f>VLOOKUP(M321,'Sheet A'!M321:AE931,2,)</f>
        <v>0.19700000000000001</v>
      </c>
      <c r="O321" s="38">
        <f>VLOOKUP(N321,'Sheet A'!N321:AF931,2,)</f>
        <v>0.59</v>
      </c>
      <c r="P321" s="38">
        <f>VLOOKUP(O321,'Sheet A'!O321:AG931,2,)</f>
        <v>8.9599999999999999E-2</v>
      </c>
      <c r="Q321" s="38">
        <f>VLOOKUP(P321,'Sheet A'!P321:AH931,2,)</f>
        <v>3</v>
      </c>
      <c r="R321" s="38">
        <f>VLOOKUP(Q321,'Sheet A'!Q321:AI931,2,)</f>
        <v>89</v>
      </c>
      <c r="S321" s="38">
        <f>VLOOKUP(R321,'Sheet A'!R321:AJ931,2,)</f>
        <v>92</v>
      </c>
    </row>
    <row r="322" spans="1:19" x14ac:dyDescent="0.35">
      <c r="A322" s="37">
        <v>321</v>
      </c>
      <c r="B322" s="60">
        <f>VLOOKUP(A322,'Sheet A'!A322:S932,2,)</f>
        <v>40557</v>
      </c>
      <c r="C322" s="38">
        <f>VLOOKUP(B322,'Sheet A'!B322:T932,2,)</f>
        <v>1</v>
      </c>
      <c r="D322" s="38">
        <f>VLOOKUP(C322,'Sheet A'!C322:U932,2,)</f>
        <v>0</v>
      </c>
      <c r="E322" s="38">
        <f>VLOOKUP(D322,'Sheet A'!D322:V932,2,)</f>
        <v>1</v>
      </c>
      <c r="F322" s="38">
        <f>VLOOKUP(E322,'Sheet A'!E322:W932,2,)</f>
        <v>20</v>
      </c>
      <c r="G322" s="41" t="str">
        <f>VLOOKUP(F322,'Sheet A'!F322:X932,2,)</f>
        <v>Night</v>
      </c>
      <c r="H322" s="38" t="b">
        <f>VLOOKUP(G322,'Sheet A'!G322:Y932,2,)</f>
        <v>0</v>
      </c>
      <c r="I322" s="38">
        <f>VLOOKUP(H322,'Sheet A'!H322:Z932,2,)</f>
        <v>5</v>
      </c>
      <c r="J322" s="41" t="str">
        <f>VLOOKUP(I322,'Sheet A'!I322:AA932,2,)</f>
        <v>Thusday</v>
      </c>
      <c r="K322" s="38">
        <f>VLOOKUP(J322,'Sheet A'!J322:AB932,2,)</f>
        <v>1</v>
      </c>
      <c r="L322" s="38">
        <f>VLOOKUP(K322,'Sheet A'!K322:AC932,2,)</f>
        <v>0.18</v>
      </c>
      <c r="M322" s="70" t="str">
        <f>VLOOKUP(L322,'Sheet A'!L322:AD932,2,)</f>
        <v>Rainy</v>
      </c>
      <c r="N322" s="38">
        <f>VLOOKUP(M322,'Sheet A'!M322:AE932,2,)</f>
        <v>0.2424</v>
      </c>
      <c r="O322" s="38">
        <f>VLOOKUP(N322,'Sheet A'!N322:AF932,2,)</f>
        <v>0.59</v>
      </c>
      <c r="P322" s="38">
        <f>VLOOKUP(O322,'Sheet A'!O322:AG932,2,)</f>
        <v>0</v>
      </c>
      <c r="Q322" s="38">
        <f>VLOOKUP(P322,'Sheet A'!P322:AH932,2,)</f>
        <v>0</v>
      </c>
      <c r="R322" s="38">
        <f>VLOOKUP(Q322,'Sheet A'!Q322:AI932,2,)</f>
        <v>68</v>
      </c>
      <c r="S322" s="38">
        <f>VLOOKUP(R322,'Sheet A'!R322:AJ932,2,)</f>
        <v>68</v>
      </c>
    </row>
    <row r="323" spans="1:19" x14ac:dyDescent="0.35">
      <c r="A323" s="37">
        <v>322</v>
      </c>
      <c r="B323" s="60">
        <f>VLOOKUP(A323,'Sheet A'!A323:S933,2,)</f>
        <v>40557</v>
      </c>
      <c r="C323" s="38">
        <f>VLOOKUP(B323,'Sheet A'!B323:T933,2,)</f>
        <v>1</v>
      </c>
      <c r="D323" s="38">
        <f>VLOOKUP(C323,'Sheet A'!C323:U933,2,)</f>
        <v>0</v>
      </c>
      <c r="E323" s="38">
        <f>VLOOKUP(D323,'Sheet A'!D323:V933,2,)</f>
        <v>1</v>
      </c>
      <c r="F323" s="38">
        <f>VLOOKUP(E323,'Sheet A'!E323:W933,2,)</f>
        <v>21</v>
      </c>
      <c r="G323" s="41" t="str">
        <f>VLOOKUP(F323,'Sheet A'!F323:X933,2,)</f>
        <v>Night</v>
      </c>
      <c r="H323" s="38" t="b">
        <f>VLOOKUP(G323,'Sheet A'!G323:Y933,2,)</f>
        <v>0</v>
      </c>
      <c r="I323" s="38">
        <f>VLOOKUP(H323,'Sheet A'!H323:Z933,2,)</f>
        <v>5</v>
      </c>
      <c r="J323" s="41" t="str">
        <f>VLOOKUP(I323,'Sheet A'!I323:AA933,2,)</f>
        <v>Thusday</v>
      </c>
      <c r="K323" s="38">
        <f>VLOOKUP(J323,'Sheet A'!J323:AB933,2,)</f>
        <v>1</v>
      </c>
      <c r="L323" s="38">
        <f>VLOOKUP(K323,'Sheet A'!K323:AC933,2,)</f>
        <v>0.16</v>
      </c>
      <c r="M323" s="70" t="str">
        <f>VLOOKUP(L323,'Sheet A'!L323:AD933,2,)</f>
        <v>Rainy</v>
      </c>
      <c r="N323" s="38">
        <f>VLOOKUP(M323,'Sheet A'!M323:AE933,2,)</f>
        <v>0.2273</v>
      </c>
      <c r="O323" s="38">
        <f>VLOOKUP(N323,'Sheet A'!N323:AF933,2,)</f>
        <v>0.69</v>
      </c>
      <c r="P323" s="38">
        <f>VLOOKUP(O323,'Sheet A'!O323:AG933,2,)</f>
        <v>0</v>
      </c>
      <c r="Q323" s="38">
        <f>VLOOKUP(P323,'Sheet A'!P323:AH933,2,)</f>
        <v>4</v>
      </c>
      <c r="R323" s="38">
        <f>VLOOKUP(Q323,'Sheet A'!Q323:AI933,2,)</f>
        <v>48</v>
      </c>
      <c r="S323" s="38">
        <f>VLOOKUP(R323,'Sheet A'!R323:AJ933,2,)</f>
        <v>52</v>
      </c>
    </row>
    <row r="324" spans="1:19" x14ac:dyDescent="0.35">
      <c r="A324" s="37">
        <v>323</v>
      </c>
      <c r="B324" s="60">
        <f>VLOOKUP(A324,'Sheet A'!A324:S934,2,)</f>
        <v>40557</v>
      </c>
      <c r="C324" s="38">
        <f>VLOOKUP(B324,'Sheet A'!B324:T934,2,)</f>
        <v>1</v>
      </c>
      <c r="D324" s="38">
        <f>VLOOKUP(C324,'Sheet A'!C324:U934,2,)</f>
        <v>0</v>
      </c>
      <c r="E324" s="38">
        <f>VLOOKUP(D324,'Sheet A'!D324:V934,2,)</f>
        <v>1</v>
      </c>
      <c r="F324" s="38">
        <f>VLOOKUP(E324,'Sheet A'!E324:W934,2,)</f>
        <v>22</v>
      </c>
      <c r="G324" s="41" t="str">
        <f>VLOOKUP(F324,'Sheet A'!F324:X934,2,)</f>
        <v>Night</v>
      </c>
      <c r="H324" s="38" t="b">
        <f>VLOOKUP(G324,'Sheet A'!G324:Y934,2,)</f>
        <v>0</v>
      </c>
      <c r="I324" s="38">
        <f>VLOOKUP(H324,'Sheet A'!H324:Z934,2,)</f>
        <v>5</v>
      </c>
      <c r="J324" s="41" t="str">
        <f>VLOOKUP(I324,'Sheet A'!I324:AA934,2,)</f>
        <v>Thusday</v>
      </c>
      <c r="K324" s="38">
        <f>VLOOKUP(J324,'Sheet A'!J324:AB934,2,)</f>
        <v>2</v>
      </c>
      <c r="L324" s="38">
        <f>VLOOKUP(K324,'Sheet A'!K324:AC934,2,)</f>
        <v>0.16</v>
      </c>
      <c r="M324" s="70" t="str">
        <f>VLOOKUP(L324,'Sheet A'!L324:AD934,2,)</f>
        <v>Rainy</v>
      </c>
      <c r="N324" s="38">
        <f>VLOOKUP(M324,'Sheet A'!M324:AE934,2,)</f>
        <v>0.2273</v>
      </c>
      <c r="O324" s="38">
        <f>VLOOKUP(N324,'Sheet A'!N324:AF934,2,)</f>
        <v>0.69</v>
      </c>
      <c r="P324" s="38">
        <f>VLOOKUP(O324,'Sheet A'!O324:AG934,2,)</f>
        <v>0</v>
      </c>
      <c r="Q324" s="38">
        <f>VLOOKUP(P324,'Sheet A'!P324:AH934,2,)</f>
        <v>2</v>
      </c>
      <c r="R324" s="38">
        <f>VLOOKUP(Q324,'Sheet A'!Q324:AI934,2,)</f>
        <v>34</v>
      </c>
      <c r="S324" s="38">
        <f>VLOOKUP(R324,'Sheet A'!R324:AJ934,2,)</f>
        <v>36</v>
      </c>
    </row>
    <row r="325" spans="1:19" x14ac:dyDescent="0.35">
      <c r="A325" s="37">
        <v>324</v>
      </c>
      <c r="B325" s="60">
        <f>VLOOKUP(A325,'Sheet A'!A325:S935,2,)</f>
        <v>40557</v>
      </c>
      <c r="C325" s="38">
        <f>VLOOKUP(B325,'Sheet A'!B325:T935,2,)</f>
        <v>1</v>
      </c>
      <c r="D325" s="38">
        <f>VLOOKUP(C325,'Sheet A'!C325:U935,2,)</f>
        <v>0</v>
      </c>
      <c r="E325" s="38">
        <f>VLOOKUP(D325,'Sheet A'!D325:V935,2,)</f>
        <v>1</v>
      </c>
      <c r="F325" s="38">
        <f>VLOOKUP(E325,'Sheet A'!E325:W935,2,)</f>
        <v>23</v>
      </c>
      <c r="G325" s="41" t="str">
        <f>VLOOKUP(F325,'Sheet A'!F325:X935,2,)</f>
        <v>Night</v>
      </c>
      <c r="H325" s="38" t="b">
        <f>VLOOKUP(G325,'Sheet A'!G325:Y935,2,)</f>
        <v>0</v>
      </c>
      <c r="I325" s="38">
        <f>VLOOKUP(H325,'Sheet A'!H325:Z935,2,)</f>
        <v>5</v>
      </c>
      <c r="J325" s="41" t="str">
        <f>VLOOKUP(I325,'Sheet A'!I325:AA935,2,)</f>
        <v>Thusday</v>
      </c>
      <c r="K325" s="38">
        <f>VLOOKUP(J325,'Sheet A'!J325:AB935,2,)</f>
        <v>2</v>
      </c>
      <c r="L325" s="38">
        <f>VLOOKUP(K325,'Sheet A'!K325:AC935,2,)</f>
        <v>0.18</v>
      </c>
      <c r="M325" s="70" t="str">
        <f>VLOOKUP(L325,'Sheet A'!L325:AD935,2,)</f>
        <v>Rainy</v>
      </c>
      <c r="N325" s="38">
        <f>VLOOKUP(M325,'Sheet A'!M325:AE935,2,)</f>
        <v>0.2424</v>
      </c>
      <c r="O325" s="38">
        <f>VLOOKUP(N325,'Sheet A'!N325:AF935,2,)</f>
        <v>0.55000000000000004</v>
      </c>
      <c r="P325" s="38">
        <f>VLOOKUP(O325,'Sheet A'!O325:AG935,2,)</f>
        <v>0</v>
      </c>
      <c r="Q325" s="38">
        <f>VLOOKUP(P325,'Sheet A'!P325:AH935,2,)</f>
        <v>1</v>
      </c>
      <c r="R325" s="38">
        <f>VLOOKUP(Q325,'Sheet A'!Q325:AI935,2,)</f>
        <v>26</v>
      </c>
      <c r="S325" s="38">
        <f>VLOOKUP(R325,'Sheet A'!R325:AJ935,2,)</f>
        <v>27</v>
      </c>
    </row>
    <row r="326" spans="1:19" x14ac:dyDescent="0.35">
      <c r="A326" s="37">
        <v>325</v>
      </c>
      <c r="B326" s="60">
        <f>VLOOKUP(A326,'Sheet A'!A326:S936,2,)</f>
        <v>40558</v>
      </c>
      <c r="C326" s="38">
        <f>VLOOKUP(B326,'Sheet A'!B326:T936,2,)</f>
        <v>1</v>
      </c>
      <c r="D326" s="38">
        <f>VLOOKUP(C326,'Sheet A'!C326:U936,2,)</f>
        <v>0</v>
      </c>
      <c r="E326" s="38">
        <f>VLOOKUP(D326,'Sheet A'!D326:V936,2,)</f>
        <v>1</v>
      </c>
      <c r="F326" s="38">
        <f>VLOOKUP(E326,'Sheet A'!E326:W936,2,)</f>
        <v>0</v>
      </c>
      <c r="G326" s="41" t="str">
        <f>VLOOKUP(F326,'Sheet A'!F326:X936,2,)</f>
        <v>Night</v>
      </c>
      <c r="H326" s="38" t="b">
        <f>VLOOKUP(G326,'Sheet A'!G326:Y936,2,)</f>
        <v>0</v>
      </c>
      <c r="I326" s="38">
        <f>VLOOKUP(H326,'Sheet A'!H326:Z936,2,)</f>
        <v>6</v>
      </c>
      <c r="J326" s="41" t="str">
        <f>VLOOKUP(I326,'Sheet A'!I326:AA936,2,)</f>
        <v>Friday</v>
      </c>
      <c r="K326" s="38">
        <f>VLOOKUP(J326,'Sheet A'!J326:AB936,2,)</f>
        <v>1</v>
      </c>
      <c r="L326" s="38">
        <f>VLOOKUP(K326,'Sheet A'!K326:AC936,2,)</f>
        <v>0.18</v>
      </c>
      <c r="M326" s="70" t="str">
        <f>VLOOKUP(L326,'Sheet A'!L326:AD936,2,)</f>
        <v>Rainy</v>
      </c>
      <c r="N326" s="38">
        <f>VLOOKUP(M326,'Sheet A'!M326:AE936,2,)</f>
        <v>0.2424</v>
      </c>
      <c r="O326" s="38">
        <f>VLOOKUP(N326,'Sheet A'!N326:AF936,2,)</f>
        <v>0.55000000000000004</v>
      </c>
      <c r="P326" s="38">
        <f>VLOOKUP(O326,'Sheet A'!O326:AG936,2,)</f>
        <v>0</v>
      </c>
      <c r="Q326" s="38">
        <f>VLOOKUP(P326,'Sheet A'!P326:AH936,2,)</f>
        <v>3</v>
      </c>
      <c r="R326" s="38">
        <f>VLOOKUP(Q326,'Sheet A'!Q326:AI936,2,)</f>
        <v>25</v>
      </c>
      <c r="S326" s="38">
        <f>VLOOKUP(R326,'Sheet A'!R326:AJ936,2,)</f>
        <v>28</v>
      </c>
    </row>
    <row r="327" spans="1:19" x14ac:dyDescent="0.35">
      <c r="A327" s="37">
        <v>326</v>
      </c>
      <c r="B327" s="60">
        <f>VLOOKUP(A327,'Sheet A'!A327:S937,2,)</f>
        <v>40558</v>
      </c>
      <c r="C327" s="38">
        <f>VLOOKUP(B327,'Sheet A'!B327:T937,2,)</f>
        <v>1</v>
      </c>
      <c r="D327" s="38">
        <f>VLOOKUP(C327,'Sheet A'!C327:U937,2,)</f>
        <v>0</v>
      </c>
      <c r="E327" s="38">
        <f>VLOOKUP(D327,'Sheet A'!D327:V937,2,)</f>
        <v>1</v>
      </c>
      <c r="F327" s="38">
        <f>VLOOKUP(E327,'Sheet A'!E327:W937,2,)</f>
        <v>1</v>
      </c>
      <c r="G327" s="41" t="str">
        <f>VLOOKUP(F327,'Sheet A'!F327:X937,2,)</f>
        <v>Night</v>
      </c>
      <c r="H327" s="38" t="b">
        <f>VLOOKUP(G327,'Sheet A'!G327:Y937,2,)</f>
        <v>0</v>
      </c>
      <c r="I327" s="38">
        <f>VLOOKUP(H327,'Sheet A'!H327:Z937,2,)</f>
        <v>6</v>
      </c>
      <c r="J327" s="41" t="str">
        <f>VLOOKUP(I327,'Sheet A'!I327:AA937,2,)</f>
        <v>Friday</v>
      </c>
      <c r="K327" s="38">
        <f>VLOOKUP(J327,'Sheet A'!J327:AB937,2,)</f>
        <v>2</v>
      </c>
      <c r="L327" s="38">
        <f>VLOOKUP(K327,'Sheet A'!K327:AC937,2,)</f>
        <v>0.16</v>
      </c>
      <c r="M327" s="70" t="str">
        <f>VLOOKUP(L327,'Sheet A'!L327:AD937,2,)</f>
        <v>Rainy</v>
      </c>
      <c r="N327" s="38">
        <f>VLOOKUP(M327,'Sheet A'!M327:AE937,2,)</f>
        <v>0.19700000000000001</v>
      </c>
      <c r="O327" s="38">
        <f>VLOOKUP(N327,'Sheet A'!N327:AF937,2,)</f>
        <v>0.59</v>
      </c>
      <c r="P327" s="38">
        <f>VLOOKUP(O327,'Sheet A'!O327:AG937,2,)</f>
        <v>8.9599999999999999E-2</v>
      </c>
      <c r="Q327" s="38">
        <f>VLOOKUP(P327,'Sheet A'!P327:AH937,2,)</f>
        <v>2</v>
      </c>
      <c r="R327" s="38">
        <f>VLOOKUP(Q327,'Sheet A'!Q327:AI937,2,)</f>
        <v>18</v>
      </c>
      <c r="S327" s="38">
        <f>VLOOKUP(R327,'Sheet A'!R327:AJ937,2,)</f>
        <v>20</v>
      </c>
    </row>
    <row r="328" spans="1:19" x14ac:dyDescent="0.35">
      <c r="A328" s="37">
        <v>327</v>
      </c>
      <c r="B328" s="60">
        <f>VLOOKUP(A328,'Sheet A'!A328:S938,2,)</f>
        <v>40558</v>
      </c>
      <c r="C328" s="38">
        <f>VLOOKUP(B328,'Sheet A'!B328:T938,2,)</f>
        <v>1</v>
      </c>
      <c r="D328" s="38">
        <f>VLOOKUP(C328,'Sheet A'!C328:U938,2,)</f>
        <v>0</v>
      </c>
      <c r="E328" s="38">
        <f>VLOOKUP(D328,'Sheet A'!D328:V938,2,)</f>
        <v>1</v>
      </c>
      <c r="F328" s="38">
        <f>VLOOKUP(E328,'Sheet A'!E328:W938,2,)</f>
        <v>2</v>
      </c>
      <c r="G328" s="41" t="str">
        <f>VLOOKUP(F328,'Sheet A'!F328:X938,2,)</f>
        <v>Night</v>
      </c>
      <c r="H328" s="38" t="b">
        <f>VLOOKUP(G328,'Sheet A'!G328:Y938,2,)</f>
        <v>0</v>
      </c>
      <c r="I328" s="38">
        <f>VLOOKUP(H328,'Sheet A'!H328:Z938,2,)</f>
        <v>6</v>
      </c>
      <c r="J328" s="41" t="str">
        <f>VLOOKUP(I328,'Sheet A'!I328:AA938,2,)</f>
        <v>Friday</v>
      </c>
      <c r="K328" s="38">
        <f>VLOOKUP(J328,'Sheet A'!J328:AB938,2,)</f>
        <v>2</v>
      </c>
      <c r="L328" s="38">
        <f>VLOOKUP(K328,'Sheet A'!K328:AC938,2,)</f>
        <v>0.16</v>
      </c>
      <c r="M328" s="70" t="str">
        <f>VLOOKUP(L328,'Sheet A'!L328:AD938,2,)</f>
        <v>Rainy</v>
      </c>
      <c r="N328" s="38">
        <f>VLOOKUP(M328,'Sheet A'!M328:AE938,2,)</f>
        <v>0.19700000000000001</v>
      </c>
      <c r="O328" s="38">
        <f>VLOOKUP(N328,'Sheet A'!N328:AF938,2,)</f>
        <v>0.59</v>
      </c>
      <c r="P328" s="38">
        <f>VLOOKUP(O328,'Sheet A'!O328:AG938,2,)</f>
        <v>8.9599999999999999E-2</v>
      </c>
      <c r="Q328" s="38">
        <f>VLOOKUP(P328,'Sheet A'!P328:AH938,2,)</f>
        <v>0</v>
      </c>
      <c r="R328" s="38">
        <f>VLOOKUP(Q328,'Sheet A'!Q328:AI938,2,)</f>
        <v>12</v>
      </c>
      <c r="S328" s="38">
        <f>VLOOKUP(R328,'Sheet A'!R328:AJ938,2,)</f>
        <v>12</v>
      </c>
    </row>
    <row r="329" spans="1:19" x14ac:dyDescent="0.35">
      <c r="A329" s="37">
        <v>328</v>
      </c>
      <c r="B329" s="60">
        <f>VLOOKUP(A329,'Sheet A'!A329:S939,2,)</f>
        <v>40558</v>
      </c>
      <c r="C329" s="38">
        <f>VLOOKUP(B329,'Sheet A'!B329:T939,2,)</f>
        <v>1</v>
      </c>
      <c r="D329" s="38">
        <f>VLOOKUP(C329,'Sheet A'!C329:U939,2,)</f>
        <v>0</v>
      </c>
      <c r="E329" s="38">
        <f>VLOOKUP(D329,'Sheet A'!D329:V939,2,)</f>
        <v>1</v>
      </c>
      <c r="F329" s="38">
        <f>VLOOKUP(E329,'Sheet A'!E329:W939,2,)</f>
        <v>3</v>
      </c>
      <c r="G329" s="41" t="str">
        <f>VLOOKUP(F329,'Sheet A'!F329:X939,2,)</f>
        <v>Night</v>
      </c>
      <c r="H329" s="38" t="b">
        <f>VLOOKUP(G329,'Sheet A'!G329:Y939,2,)</f>
        <v>0</v>
      </c>
      <c r="I329" s="38">
        <f>VLOOKUP(H329,'Sheet A'!H329:Z939,2,)</f>
        <v>6</v>
      </c>
      <c r="J329" s="41" t="str">
        <f>VLOOKUP(I329,'Sheet A'!I329:AA939,2,)</f>
        <v>Friday</v>
      </c>
      <c r="K329" s="38">
        <f>VLOOKUP(J329,'Sheet A'!J329:AB939,2,)</f>
        <v>2</v>
      </c>
      <c r="L329" s="38">
        <f>VLOOKUP(K329,'Sheet A'!K329:AC939,2,)</f>
        <v>0.16</v>
      </c>
      <c r="M329" s="70" t="str">
        <f>VLOOKUP(L329,'Sheet A'!L329:AD939,2,)</f>
        <v>Rainy</v>
      </c>
      <c r="N329" s="38">
        <f>VLOOKUP(M329,'Sheet A'!M329:AE939,2,)</f>
        <v>0.2273</v>
      </c>
      <c r="O329" s="38">
        <f>VLOOKUP(N329,'Sheet A'!N329:AF939,2,)</f>
        <v>0.59</v>
      </c>
      <c r="P329" s="38">
        <f>VLOOKUP(O329,'Sheet A'!O329:AG939,2,)</f>
        <v>0</v>
      </c>
      <c r="Q329" s="38">
        <f>VLOOKUP(P329,'Sheet A'!P329:AH939,2,)</f>
        <v>1</v>
      </c>
      <c r="R329" s="38">
        <f>VLOOKUP(Q329,'Sheet A'!Q329:AI939,2,)</f>
        <v>7</v>
      </c>
      <c r="S329" s="38">
        <f>VLOOKUP(R329,'Sheet A'!R329:AJ939,2,)</f>
        <v>8</v>
      </c>
    </row>
    <row r="330" spans="1:19" x14ac:dyDescent="0.35">
      <c r="A330" s="37">
        <v>329</v>
      </c>
      <c r="B330" s="60">
        <f>VLOOKUP(A330,'Sheet A'!A330:S940,2,)</f>
        <v>40558</v>
      </c>
      <c r="C330" s="38">
        <f>VLOOKUP(B330,'Sheet A'!B330:T940,2,)</f>
        <v>1</v>
      </c>
      <c r="D330" s="38">
        <f>VLOOKUP(C330,'Sheet A'!C330:U940,2,)</f>
        <v>0</v>
      </c>
      <c r="E330" s="38">
        <f>VLOOKUP(D330,'Sheet A'!D330:V940,2,)</f>
        <v>1</v>
      </c>
      <c r="F330" s="38">
        <f>VLOOKUP(E330,'Sheet A'!E330:W940,2,)</f>
        <v>4</v>
      </c>
      <c r="G330" s="41" t="str">
        <f>VLOOKUP(F330,'Sheet A'!F330:X940,2,)</f>
        <v>Night</v>
      </c>
      <c r="H330" s="38" t="b">
        <f>VLOOKUP(G330,'Sheet A'!G330:Y940,2,)</f>
        <v>0</v>
      </c>
      <c r="I330" s="38">
        <f>VLOOKUP(H330,'Sheet A'!H330:Z940,2,)</f>
        <v>6</v>
      </c>
      <c r="J330" s="41" t="str">
        <f>VLOOKUP(I330,'Sheet A'!I330:AA940,2,)</f>
        <v>Friday</v>
      </c>
      <c r="K330" s="38">
        <f>VLOOKUP(J330,'Sheet A'!J330:AB940,2,)</f>
        <v>2</v>
      </c>
      <c r="L330" s="38">
        <f>VLOOKUP(K330,'Sheet A'!K330:AC940,2,)</f>
        <v>0.16</v>
      </c>
      <c r="M330" s="70" t="str">
        <f>VLOOKUP(L330,'Sheet A'!L330:AD940,2,)</f>
        <v>Rainy</v>
      </c>
      <c r="N330" s="38">
        <f>VLOOKUP(M330,'Sheet A'!M330:AE940,2,)</f>
        <v>0.2273</v>
      </c>
      <c r="O330" s="38">
        <f>VLOOKUP(N330,'Sheet A'!N330:AF940,2,)</f>
        <v>0.59</v>
      </c>
      <c r="P330" s="38">
        <f>VLOOKUP(O330,'Sheet A'!O330:AG940,2,)</f>
        <v>0</v>
      </c>
      <c r="Q330" s="38">
        <f>VLOOKUP(P330,'Sheet A'!P330:AH940,2,)</f>
        <v>0</v>
      </c>
      <c r="R330" s="38">
        <f>VLOOKUP(Q330,'Sheet A'!Q330:AI940,2,)</f>
        <v>5</v>
      </c>
      <c r="S330" s="38">
        <f>VLOOKUP(R330,'Sheet A'!R330:AJ940,2,)</f>
        <v>5</v>
      </c>
    </row>
    <row r="331" spans="1:19" x14ac:dyDescent="0.35">
      <c r="A331" s="37">
        <v>330</v>
      </c>
      <c r="B331" s="60">
        <f>VLOOKUP(A331,'Sheet A'!A331:S941,2,)</f>
        <v>40558</v>
      </c>
      <c r="C331" s="38">
        <f>VLOOKUP(B331,'Sheet A'!B331:T941,2,)</f>
        <v>1</v>
      </c>
      <c r="D331" s="38">
        <f>VLOOKUP(C331,'Sheet A'!C331:U941,2,)</f>
        <v>0</v>
      </c>
      <c r="E331" s="38">
        <f>VLOOKUP(D331,'Sheet A'!D331:V941,2,)</f>
        <v>1</v>
      </c>
      <c r="F331" s="38">
        <f>VLOOKUP(E331,'Sheet A'!E331:W941,2,)</f>
        <v>5</v>
      </c>
      <c r="G331" s="41" t="str">
        <f>VLOOKUP(F331,'Sheet A'!F331:X941,2,)</f>
        <v>Morning</v>
      </c>
      <c r="H331" s="38" t="b">
        <f>VLOOKUP(G331,'Sheet A'!G331:Y941,2,)</f>
        <v>0</v>
      </c>
      <c r="I331" s="38">
        <f>VLOOKUP(H331,'Sheet A'!H331:Z941,2,)</f>
        <v>6</v>
      </c>
      <c r="J331" s="41" t="str">
        <f>VLOOKUP(I331,'Sheet A'!I331:AA941,2,)</f>
        <v>Friday</v>
      </c>
      <c r="K331" s="38">
        <f>VLOOKUP(J331,'Sheet A'!J331:AB941,2,)</f>
        <v>1</v>
      </c>
      <c r="L331" s="38">
        <f>VLOOKUP(K331,'Sheet A'!K331:AC941,2,)</f>
        <v>0.16</v>
      </c>
      <c r="M331" s="70" t="str">
        <f>VLOOKUP(L331,'Sheet A'!L331:AD941,2,)</f>
        <v>Rainy</v>
      </c>
      <c r="N331" s="38">
        <f>VLOOKUP(M331,'Sheet A'!M331:AE941,2,)</f>
        <v>0.2273</v>
      </c>
      <c r="O331" s="38">
        <f>VLOOKUP(N331,'Sheet A'!N331:AF941,2,)</f>
        <v>0.59</v>
      </c>
      <c r="P331" s="38">
        <f>VLOOKUP(O331,'Sheet A'!O331:AG941,2,)</f>
        <v>0</v>
      </c>
      <c r="Q331" s="38">
        <f>VLOOKUP(P331,'Sheet A'!P331:AH941,2,)</f>
        <v>0</v>
      </c>
      <c r="R331" s="38">
        <f>VLOOKUP(Q331,'Sheet A'!Q331:AI941,2,)</f>
        <v>1</v>
      </c>
      <c r="S331" s="38">
        <f>VLOOKUP(R331,'Sheet A'!R331:AJ941,2,)</f>
        <v>1</v>
      </c>
    </row>
    <row r="332" spans="1:19" x14ac:dyDescent="0.35">
      <c r="A332" s="37">
        <v>331</v>
      </c>
      <c r="B332" s="60">
        <f>VLOOKUP(A332,'Sheet A'!A332:S942,2,)</f>
        <v>40558</v>
      </c>
      <c r="C332" s="38">
        <f>VLOOKUP(B332,'Sheet A'!B332:T942,2,)</f>
        <v>1</v>
      </c>
      <c r="D332" s="38">
        <f>VLOOKUP(C332,'Sheet A'!C332:U942,2,)</f>
        <v>0</v>
      </c>
      <c r="E332" s="38">
        <f>VLOOKUP(D332,'Sheet A'!D332:V942,2,)</f>
        <v>1</v>
      </c>
      <c r="F332" s="38">
        <f>VLOOKUP(E332,'Sheet A'!E332:W942,2,)</f>
        <v>6</v>
      </c>
      <c r="G332" s="41" t="str">
        <f>VLOOKUP(F332,'Sheet A'!F332:X942,2,)</f>
        <v>Morning</v>
      </c>
      <c r="H332" s="38" t="b">
        <f>VLOOKUP(G332,'Sheet A'!G332:Y942,2,)</f>
        <v>0</v>
      </c>
      <c r="I332" s="38">
        <f>VLOOKUP(H332,'Sheet A'!H332:Z942,2,)</f>
        <v>6</v>
      </c>
      <c r="J332" s="41" t="str">
        <f>VLOOKUP(I332,'Sheet A'!I332:AA942,2,)</f>
        <v>Friday</v>
      </c>
      <c r="K332" s="38">
        <f>VLOOKUP(J332,'Sheet A'!J332:AB942,2,)</f>
        <v>1</v>
      </c>
      <c r="L332" s="38">
        <f>VLOOKUP(K332,'Sheet A'!K332:AC942,2,)</f>
        <v>0.14000000000000001</v>
      </c>
      <c r="M332" s="70" t="str">
        <f>VLOOKUP(L332,'Sheet A'!L332:AD942,2,)</f>
        <v>Rainy</v>
      </c>
      <c r="N332" s="38">
        <f>VLOOKUP(M332,'Sheet A'!M332:AE942,2,)</f>
        <v>0.16669999999999999</v>
      </c>
      <c r="O332" s="38">
        <f>VLOOKUP(N332,'Sheet A'!N332:AF942,2,)</f>
        <v>0.63</v>
      </c>
      <c r="P332" s="38">
        <f>VLOOKUP(O332,'Sheet A'!O332:AG942,2,)</f>
        <v>0.1045</v>
      </c>
      <c r="Q332" s="38">
        <f>VLOOKUP(P332,'Sheet A'!P332:AH942,2,)</f>
        <v>1</v>
      </c>
      <c r="R332" s="38">
        <f>VLOOKUP(Q332,'Sheet A'!Q332:AI942,2,)</f>
        <v>2</v>
      </c>
      <c r="S332" s="38">
        <f>VLOOKUP(R332,'Sheet A'!R332:AJ942,2,)</f>
        <v>3</v>
      </c>
    </row>
    <row r="333" spans="1:19" x14ac:dyDescent="0.35">
      <c r="A333" s="37">
        <v>332</v>
      </c>
      <c r="B333" s="60">
        <f>VLOOKUP(A333,'Sheet A'!A333:S943,2,)</f>
        <v>40558</v>
      </c>
      <c r="C333" s="38">
        <f>VLOOKUP(B333,'Sheet A'!B333:T943,2,)</f>
        <v>1</v>
      </c>
      <c r="D333" s="38">
        <f>VLOOKUP(C333,'Sheet A'!C333:U943,2,)</f>
        <v>0</v>
      </c>
      <c r="E333" s="38">
        <f>VLOOKUP(D333,'Sheet A'!D333:V943,2,)</f>
        <v>1</v>
      </c>
      <c r="F333" s="38">
        <f>VLOOKUP(E333,'Sheet A'!E333:W943,2,)</f>
        <v>7</v>
      </c>
      <c r="G333" s="41" t="str">
        <f>VLOOKUP(F333,'Sheet A'!F333:X943,2,)</f>
        <v>Morning</v>
      </c>
      <c r="H333" s="38" t="b">
        <f>VLOOKUP(G333,'Sheet A'!G333:Y943,2,)</f>
        <v>0</v>
      </c>
      <c r="I333" s="38">
        <f>VLOOKUP(H333,'Sheet A'!H333:Z943,2,)</f>
        <v>6</v>
      </c>
      <c r="J333" s="41" t="str">
        <f>VLOOKUP(I333,'Sheet A'!I333:AA943,2,)</f>
        <v>Friday</v>
      </c>
      <c r="K333" s="38">
        <f>VLOOKUP(J333,'Sheet A'!J333:AB943,2,)</f>
        <v>1</v>
      </c>
      <c r="L333" s="38">
        <f>VLOOKUP(K333,'Sheet A'!K333:AC943,2,)</f>
        <v>0.14000000000000001</v>
      </c>
      <c r="M333" s="70" t="str">
        <f>VLOOKUP(L333,'Sheet A'!L333:AD943,2,)</f>
        <v>Rainy</v>
      </c>
      <c r="N333" s="38">
        <f>VLOOKUP(M333,'Sheet A'!M333:AE943,2,)</f>
        <v>0.21210000000000001</v>
      </c>
      <c r="O333" s="38">
        <f>VLOOKUP(N333,'Sheet A'!N333:AF943,2,)</f>
        <v>0.63</v>
      </c>
      <c r="P333" s="38">
        <f>VLOOKUP(O333,'Sheet A'!O333:AG943,2,)</f>
        <v>0</v>
      </c>
      <c r="Q333" s="38">
        <f>VLOOKUP(P333,'Sheet A'!P333:AH943,2,)</f>
        <v>1</v>
      </c>
      <c r="R333" s="38">
        <f>VLOOKUP(Q333,'Sheet A'!Q333:AI943,2,)</f>
        <v>9</v>
      </c>
      <c r="S333" s="38">
        <f>VLOOKUP(R333,'Sheet A'!R333:AJ943,2,)</f>
        <v>10</v>
      </c>
    </row>
    <row r="334" spans="1:19" x14ac:dyDescent="0.35">
      <c r="A334" s="37">
        <v>333</v>
      </c>
      <c r="B334" s="60">
        <f>VLOOKUP(A334,'Sheet A'!A334:S944,2,)</f>
        <v>40558</v>
      </c>
      <c r="C334" s="38">
        <f>VLOOKUP(B334,'Sheet A'!B334:T944,2,)</f>
        <v>1</v>
      </c>
      <c r="D334" s="38">
        <f>VLOOKUP(C334,'Sheet A'!C334:U944,2,)</f>
        <v>0</v>
      </c>
      <c r="E334" s="38">
        <f>VLOOKUP(D334,'Sheet A'!D334:V944,2,)</f>
        <v>1</v>
      </c>
      <c r="F334" s="38">
        <f>VLOOKUP(E334,'Sheet A'!E334:W944,2,)</f>
        <v>8</v>
      </c>
      <c r="G334" s="41" t="str">
        <f>VLOOKUP(F334,'Sheet A'!F334:X944,2,)</f>
        <v>Morning</v>
      </c>
      <c r="H334" s="38" t="b">
        <f>VLOOKUP(G334,'Sheet A'!G334:Y944,2,)</f>
        <v>0</v>
      </c>
      <c r="I334" s="38">
        <f>VLOOKUP(H334,'Sheet A'!H334:Z944,2,)</f>
        <v>6</v>
      </c>
      <c r="J334" s="41" t="str">
        <f>VLOOKUP(I334,'Sheet A'!I334:AA944,2,)</f>
        <v>Friday</v>
      </c>
      <c r="K334" s="38">
        <f>VLOOKUP(J334,'Sheet A'!J334:AB944,2,)</f>
        <v>1</v>
      </c>
      <c r="L334" s="38">
        <f>VLOOKUP(K334,'Sheet A'!K334:AC944,2,)</f>
        <v>0.14000000000000001</v>
      </c>
      <c r="M334" s="70" t="str">
        <f>VLOOKUP(L334,'Sheet A'!L334:AD944,2,)</f>
        <v>Rainy</v>
      </c>
      <c r="N334" s="38">
        <f>VLOOKUP(M334,'Sheet A'!M334:AE944,2,)</f>
        <v>0.1515</v>
      </c>
      <c r="O334" s="38">
        <f>VLOOKUP(N334,'Sheet A'!N334:AF944,2,)</f>
        <v>0.63</v>
      </c>
      <c r="P334" s="38">
        <f>VLOOKUP(O334,'Sheet A'!O334:AG944,2,)</f>
        <v>0.1343</v>
      </c>
      <c r="Q334" s="38">
        <f>VLOOKUP(P334,'Sheet A'!P334:AH944,2,)</f>
        <v>1</v>
      </c>
      <c r="R334" s="38">
        <f>VLOOKUP(Q334,'Sheet A'!Q334:AI944,2,)</f>
        <v>22</v>
      </c>
      <c r="S334" s="38">
        <f>VLOOKUP(R334,'Sheet A'!R334:AJ944,2,)</f>
        <v>23</v>
      </c>
    </row>
    <row r="335" spans="1:19" x14ac:dyDescent="0.35">
      <c r="A335" s="37">
        <v>334</v>
      </c>
      <c r="B335" s="60">
        <f>VLOOKUP(A335,'Sheet A'!A335:S945,2,)</f>
        <v>40558</v>
      </c>
      <c r="C335" s="38">
        <f>VLOOKUP(B335,'Sheet A'!B335:T945,2,)</f>
        <v>1</v>
      </c>
      <c r="D335" s="38">
        <f>VLOOKUP(C335,'Sheet A'!C335:U945,2,)</f>
        <v>0</v>
      </c>
      <c r="E335" s="38">
        <f>VLOOKUP(D335,'Sheet A'!D335:V945,2,)</f>
        <v>1</v>
      </c>
      <c r="F335" s="38">
        <f>VLOOKUP(E335,'Sheet A'!E335:W945,2,)</f>
        <v>9</v>
      </c>
      <c r="G335" s="41" t="str">
        <f>VLOOKUP(F335,'Sheet A'!F335:X945,2,)</f>
        <v>Morning</v>
      </c>
      <c r="H335" s="38" t="b">
        <f>VLOOKUP(G335,'Sheet A'!G335:Y945,2,)</f>
        <v>0</v>
      </c>
      <c r="I335" s="38">
        <f>VLOOKUP(H335,'Sheet A'!H335:Z945,2,)</f>
        <v>6</v>
      </c>
      <c r="J335" s="41" t="str">
        <f>VLOOKUP(I335,'Sheet A'!I335:AA945,2,)</f>
        <v>Friday</v>
      </c>
      <c r="K335" s="38">
        <f>VLOOKUP(J335,'Sheet A'!J335:AB945,2,)</f>
        <v>1</v>
      </c>
      <c r="L335" s="38">
        <f>VLOOKUP(K335,'Sheet A'!K335:AC945,2,)</f>
        <v>0.16</v>
      </c>
      <c r="M335" s="70" t="str">
        <f>VLOOKUP(L335,'Sheet A'!L335:AD945,2,)</f>
        <v>Rainy</v>
      </c>
      <c r="N335" s="38">
        <f>VLOOKUP(M335,'Sheet A'!M335:AE945,2,)</f>
        <v>0.18179999999999999</v>
      </c>
      <c r="O335" s="38">
        <f>VLOOKUP(N335,'Sheet A'!N335:AF945,2,)</f>
        <v>0.64</v>
      </c>
      <c r="P335" s="38">
        <f>VLOOKUP(O335,'Sheet A'!O335:AG945,2,)</f>
        <v>0.1343</v>
      </c>
      <c r="Q335" s="38">
        <f>VLOOKUP(P335,'Sheet A'!P335:AH945,2,)</f>
        <v>2</v>
      </c>
      <c r="R335" s="38">
        <f>VLOOKUP(Q335,'Sheet A'!Q335:AI945,2,)</f>
        <v>31</v>
      </c>
      <c r="S335" s="38">
        <f>VLOOKUP(R335,'Sheet A'!R335:AJ945,2,)</f>
        <v>33</v>
      </c>
    </row>
    <row r="336" spans="1:19" x14ac:dyDescent="0.35">
      <c r="A336" s="37">
        <v>335</v>
      </c>
      <c r="B336" s="60">
        <f>VLOOKUP(A336,'Sheet A'!A336:S946,2,)</f>
        <v>40558</v>
      </c>
      <c r="C336" s="38">
        <f>VLOOKUP(B336,'Sheet A'!B336:T946,2,)</f>
        <v>1</v>
      </c>
      <c r="D336" s="38">
        <f>VLOOKUP(C336,'Sheet A'!C336:U946,2,)</f>
        <v>0</v>
      </c>
      <c r="E336" s="38">
        <f>VLOOKUP(D336,'Sheet A'!D336:V946,2,)</f>
        <v>1</v>
      </c>
      <c r="F336" s="38">
        <f>VLOOKUP(E336,'Sheet A'!E336:W946,2,)</f>
        <v>10</v>
      </c>
      <c r="G336" s="41" t="str">
        <f>VLOOKUP(F336,'Sheet A'!F336:X946,2,)</f>
        <v>Morning</v>
      </c>
      <c r="H336" s="38" t="b">
        <f>VLOOKUP(G336,'Sheet A'!G336:Y946,2,)</f>
        <v>0</v>
      </c>
      <c r="I336" s="38">
        <f>VLOOKUP(H336,'Sheet A'!H336:Z946,2,)</f>
        <v>6</v>
      </c>
      <c r="J336" s="41" t="str">
        <f>VLOOKUP(I336,'Sheet A'!I336:AA946,2,)</f>
        <v>Friday</v>
      </c>
      <c r="K336" s="38">
        <f>VLOOKUP(J336,'Sheet A'!J336:AB946,2,)</f>
        <v>1</v>
      </c>
      <c r="L336" s="38">
        <f>VLOOKUP(K336,'Sheet A'!K336:AC946,2,)</f>
        <v>0.18</v>
      </c>
      <c r="M336" s="70" t="str">
        <f>VLOOKUP(L336,'Sheet A'!L336:AD946,2,)</f>
        <v>Rainy</v>
      </c>
      <c r="N336" s="38">
        <f>VLOOKUP(M336,'Sheet A'!M336:AE946,2,)</f>
        <v>0.19700000000000001</v>
      </c>
      <c r="O336" s="38">
        <f>VLOOKUP(N336,'Sheet A'!N336:AF946,2,)</f>
        <v>0.59</v>
      </c>
      <c r="P336" s="38">
        <f>VLOOKUP(O336,'Sheet A'!O336:AG946,2,)</f>
        <v>0.16420000000000001</v>
      </c>
      <c r="Q336" s="38">
        <f>VLOOKUP(P336,'Sheet A'!P336:AH946,2,)</f>
        <v>2</v>
      </c>
      <c r="R336" s="38">
        <f>VLOOKUP(Q336,'Sheet A'!Q336:AI946,2,)</f>
        <v>57</v>
      </c>
      <c r="S336" s="38">
        <f>VLOOKUP(R336,'Sheet A'!R336:AJ946,2,)</f>
        <v>59</v>
      </c>
    </row>
    <row r="337" spans="1:19" x14ac:dyDescent="0.35">
      <c r="A337" s="37">
        <v>336</v>
      </c>
      <c r="B337" s="60">
        <f>VLOOKUP(A337,'Sheet A'!A337:S947,2,)</f>
        <v>40558</v>
      </c>
      <c r="C337" s="38">
        <f>VLOOKUP(B337,'Sheet A'!B337:T947,2,)</f>
        <v>1</v>
      </c>
      <c r="D337" s="38">
        <f>VLOOKUP(C337,'Sheet A'!C337:U947,2,)</f>
        <v>0</v>
      </c>
      <c r="E337" s="38">
        <f>VLOOKUP(D337,'Sheet A'!D337:V947,2,)</f>
        <v>1</v>
      </c>
      <c r="F337" s="38">
        <f>VLOOKUP(E337,'Sheet A'!E337:W947,2,)</f>
        <v>11</v>
      </c>
      <c r="G337" s="41" t="str">
        <f>VLOOKUP(F337,'Sheet A'!F337:X947,2,)</f>
        <v>Morning</v>
      </c>
      <c r="H337" s="38" t="b">
        <f>VLOOKUP(G337,'Sheet A'!G337:Y947,2,)</f>
        <v>0</v>
      </c>
      <c r="I337" s="38">
        <f>VLOOKUP(H337,'Sheet A'!H337:Z947,2,)</f>
        <v>6</v>
      </c>
      <c r="J337" s="41" t="str">
        <f>VLOOKUP(I337,'Sheet A'!I337:AA947,2,)</f>
        <v>Friday</v>
      </c>
      <c r="K337" s="38">
        <f>VLOOKUP(J337,'Sheet A'!J337:AB947,2,)</f>
        <v>1</v>
      </c>
      <c r="L337" s="38">
        <f>VLOOKUP(K337,'Sheet A'!K337:AC947,2,)</f>
        <v>0.2</v>
      </c>
      <c r="M337" s="70" t="str">
        <f>VLOOKUP(L337,'Sheet A'!L337:AD947,2,)</f>
        <v>Rainy</v>
      </c>
      <c r="N337" s="38">
        <f>VLOOKUP(M337,'Sheet A'!M337:AE947,2,)</f>
        <v>0.19700000000000001</v>
      </c>
      <c r="O337" s="38">
        <f>VLOOKUP(N337,'Sheet A'!N337:AF947,2,)</f>
        <v>0.55000000000000004</v>
      </c>
      <c r="P337" s="38">
        <f>VLOOKUP(O337,'Sheet A'!O337:AG947,2,)</f>
        <v>0.22389999999999999</v>
      </c>
      <c r="Q337" s="38">
        <f>VLOOKUP(P337,'Sheet A'!P337:AH947,2,)</f>
        <v>18</v>
      </c>
      <c r="R337" s="38">
        <f>VLOOKUP(Q337,'Sheet A'!Q337:AI947,2,)</f>
        <v>54</v>
      </c>
      <c r="S337" s="38">
        <f>VLOOKUP(R337,'Sheet A'!R337:AJ947,2,)</f>
        <v>72</v>
      </c>
    </row>
    <row r="338" spans="1:19" x14ac:dyDescent="0.35">
      <c r="A338" s="37">
        <v>337</v>
      </c>
      <c r="B338" s="60">
        <f>VLOOKUP(A338,'Sheet A'!A338:S948,2,)</f>
        <v>40558</v>
      </c>
      <c r="C338" s="38">
        <f>VLOOKUP(B338,'Sheet A'!B338:T948,2,)</f>
        <v>1</v>
      </c>
      <c r="D338" s="38">
        <f>VLOOKUP(C338,'Sheet A'!C338:U948,2,)</f>
        <v>0</v>
      </c>
      <c r="E338" s="38">
        <f>VLOOKUP(D338,'Sheet A'!D338:V948,2,)</f>
        <v>1</v>
      </c>
      <c r="F338" s="38">
        <f>VLOOKUP(E338,'Sheet A'!E338:W948,2,)</f>
        <v>12</v>
      </c>
      <c r="G338" s="41" t="str">
        <f>VLOOKUP(F338,'Sheet A'!F338:X948,2,)</f>
        <v>AfterNoon</v>
      </c>
      <c r="H338" s="38" t="b">
        <f>VLOOKUP(G338,'Sheet A'!G338:Y948,2,)</f>
        <v>0</v>
      </c>
      <c r="I338" s="38">
        <f>VLOOKUP(H338,'Sheet A'!H338:Z948,2,)</f>
        <v>6</v>
      </c>
      <c r="J338" s="41" t="str">
        <f>VLOOKUP(I338,'Sheet A'!I338:AA948,2,)</f>
        <v>Friday</v>
      </c>
      <c r="K338" s="38">
        <f>VLOOKUP(J338,'Sheet A'!J338:AB948,2,)</f>
        <v>1</v>
      </c>
      <c r="L338" s="38">
        <f>VLOOKUP(K338,'Sheet A'!K338:AC948,2,)</f>
        <v>0.24</v>
      </c>
      <c r="M338" s="70" t="str">
        <f>VLOOKUP(L338,'Sheet A'!L338:AD948,2,)</f>
        <v>Cloudy</v>
      </c>
      <c r="N338" s="38">
        <f>VLOOKUP(M338,'Sheet A'!M338:AE948,2,)</f>
        <v>0.2273</v>
      </c>
      <c r="O338" s="38">
        <f>VLOOKUP(N338,'Sheet A'!N338:AF948,2,)</f>
        <v>0.48</v>
      </c>
      <c r="P338" s="38">
        <f>VLOOKUP(O338,'Sheet A'!O338:AG948,2,)</f>
        <v>0.22389999999999999</v>
      </c>
      <c r="Q338" s="38">
        <f>VLOOKUP(P338,'Sheet A'!P338:AH948,2,)</f>
        <v>15</v>
      </c>
      <c r="R338" s="38">
        <f>VLOOKUP(Q338,'Sheet A'!Q338:AI948,2,)</f>
        <v>74</v>
      </c>
      <c r="S338" s="38">
        <f>VLOOKUP(R338,'Sheet A'!R338:AJ948,2,)</f>
        <v>89</v>
      </c>
    </row>
    <row r="339" spans="1:19" x14ac:dyDescent="0.35">
      <c r="A339" s="37">
        <v>338</v>
      </c>
      <c r="B339" s="60">
        <f>VLOOKUP(A339,'Sheet A'!A339:S949,2,)</f>
        <v>40558</v>
      </c>
      <c r="C339" s="38">
        <f>VLOOKUP(B339,'Sheet A'!B339:T949,2,)</f>
        <v>1</v>
      </c>
      <c r="D339" s="38">
        <f>VLOOKUP(C339,'Sheet A'!C339:U949,2,)</f>
        <v>0</v>
      </c>
      <c r="E339" s="38">
        <f>VLOOKUP(D339,'Sheet A'!D339:V949,2,)</f>
        <v>1</v>
      </c>
      <c r="F339" s="38">
        <f>VLOOKUP(E339,'Sheet A'!E339:W949,2,)</f>
        <v>13</v>
      </c>
      <c r="G339" s="41" t="str">
        <f>VLOOKUP(F339,'Sheet A'!F339:X949,2,)</f>
        <v>AfterNoon</v>
      </c>
      <c r="H339" s="38" t="b">
        <f>VLOOKUP(G339,'Sheet A'!G339:Y949,2,)</f>
        <v>0</v>
      </c>
      <c r="I339" s="38">
        <f>VLOOKUP(H339,'Sheet A'!H339:Z949,2,)</f>
        <v>6</v>
      </c>
      <c r="J339" s="41" t="str">
        <f>VLOOKUP(I339,'Sheet A'!I339:AA949,2,)</f>
        <v>Friday</v>
      </c>
      <c r="K339" s="38">
        <f>VLOOKUP(J339,'Sheet A'!J339:AB949,2,)</f>
        <v>1</v>
      </c>
      <c r="L339" s="38">
        <f>VLOOKUP(K339,'Sheet A'!K339:AC949,2,)</f>
        <v>0.28000000000000003</v>
      </c>
      <c r="M339" s="70" t="str">
        <f>VLOOKUP(L339,'Sheet A'!L339:AD949,2,)</f>
        <v>Cloudy</v>
      </c>
      <c r="N339" s="38">
        <f>VLOOKUP(M339,'Sheet A'!M339:AE949,2,)</f>
        <v>0.2576</v>
      </c>
      <c r="O339" s="38">
        <f>VLOOKUP(N339,'Sheet A'!N339:AF949,2,)</f>
        <v>0.38</v>
      </c>
      <c r="P339" s="38">
        <f>VLOOKUP(O339,'Sheet A'!O339:AG949,2,)</f>
        <v>0.29849999999999999</v>
      </c>
      <c r="Q339" s="38">
        <f>VLOOKUP(P339,'Sheet A'!P339:AH949,2,)</f>
        <v>21</v>
      </c>
      <c r="R339" s="38">
        <f>VLOOKUP(Q339,'Sheet A'!Q339:AI949,2,)</f>
        <v>80</v>
      </c>
      <c r="S339" s="38">
        <f>VLOOKUP(R339,'Sheet A'!R339:AJ949,2,)</f>
        <v>101</v>
      </c>
    </row>
    <row r="340" spans="1:19" x14ac:dyDescent="0.35">
      <c r="A340" s="37">
        <v>339</v>
      </c>
      <c r="B340" s="60">
        <f>VLOOKUP(A340,'Sheet A'!A340:S950,2,)</f>
        <v>40558</v>
      </c>
      <c r="C340" s="38">
        <f>VLOOKUP(B340,'Sheet A'!B340:T950,2,)</f>
        <v>1</v>
      </c>
      <c r="D340" s="38">
        <f>VLOOKUP(C340,'Sheet A'!C340:U950,2,)</f>
        <v>0</v>
      </c>
      <c r="E340" s="38">
        <f>VLOOKUP(D340,'Sheet A'!D340:V950,2,)</f>
        <v>1</v>
      </c>
      <c r="F340" s="38">
        <f>VLOOKUP(E340,'Sheet A'!E340:W950,2,)</f>
        <v>14</v>
      </c>
      <c r="G340" s="41" t="str">
        <f>VLOOKUP(F340,'Sheet A'!F340:X950,2,)</f>
        <v>AfterNoon</v>
      </c>
      <c r="H340" s="38" t="b">
        <f>VLOOKUP(G340,'Sheet A'!G340:Y950,2,)</f>
        <v>0</v>
      </c>
      <c r="I340" s="38">
        <f>VLOOKUP(H340,'Sheet A'!H340:Z950,2,)</f>
        <v>6</v>
      </c>
      <c r="J340" s="41" t="str">
        <f>VLOOKUP(I340,'Sheet A'!I340:AA950,2,)</f>
        <v>Friday</v>
      </c>
      <c r="K340" s="38">
        <f>VLOOKUP(J340,'Sheet A'!J340:AB950,2,)</f>
        <v>1</v>
      </c>
      <c r="L340" s="38">
        <f>VLOOKUP(K340,'Sheet A'!K340:AC950,2,)</f>
        <v>0.3</v>
      </c>
      <c r="M340" s="70" t="str">
        <f>VLOOKUP(L340,'Sheet A'!L340:AD950,2,)</f>
        <v>Cloudy</v>
      </c>
      <c r="N340" s="38">
        <f>VLOOKUP(M340,'Sheet A'!M340:AE950,2,)</f>
        <v>0.28789999999999999</v>
      </c>
      <c r="O340" s="38">
        <f>VLOOKUP(N340,'Sheet A'!N340:AF950,2,)</f>
        <v>0.39</v>
      </c>
      <c r="P340" s="38">
        <f>VLOOKUP(O340,'Sheet A'!O340:AG950,2,)</f>
        <v>0.28360000000000002</v>
      </c>
      <c r="Q340" s="38">
        <f>VLOOKUP(P340,'Sheet A'!P340:AH950,2,)</f>
        <v>26</v>
      </c>
      <c r="R340" s="38">
        <f>VLOOKUP(Q340,'Sheet A'!Q340:AI950,2,)</f>
        <v>92</v>
      </c>
      <c r="S340" s="38">
        <f>VLOOKUP(R340,'Sheet A'!R340:AJ950,2,)</f>
        <v>118</v>
      </c>
    </row>
    <row r="341" spans="1:19" x14ac:dyDescent="0.35">
      <c r="A341" s="37">
        <v>340</v>
      </c>
      <c r="B341" s="60">
        <f>VLOOKUP(A341,'Sheet A'!A341:S951,2,)</f>
        <v>40558</v>
      </c>
      <c r="C341" s="38">
        <f>VLOOKUP(B341,'Sheet A'!B341:T951,2,)</f>
        <v>1</v>
      </c>
      <c r="D341" s="38">
        <f>VLOOKUP(C341,'Sheet A'!C341:U951,2,)</f>
        <v>0</v>
      </c>
      <c r="E341" s="38">
        <f>VLOOKUP(D341,'Sheet A'!D341:V951,2,)</f>
        <v>1</v>
      </c>
      <c r="F341" s="38">
        <f>VLOOKUP(E341,'Sheet A'!E341:W951,2,)</f>
        <v>15</v>
      </c>
      <c r="G341" s="41" t="str">
        <f>VLOOKUP(F341,'Sheet A'!F341:X951,2,)</f>
        <v>AfterNoon</v>
      </c>
      <c r="H341" s="38" t="b">
        <f>VLOOKUP(G341,'Sheet A'!G341:Y951,2,)</f>
        <v>0</v>
      </c>
      <c r="I341" s="38">
        <f>VLOOKUP(H341,'Sheet A'!H341:Z951,2,)</f>
        <v>6</v>
      </c>
      <c r="J341" s="41" t="str">
        <f>VLOOKUP(I341,'Sheet A'!I341:AA951,2,)</f>
        <v>Friday</v>
      </c>
      <c r="K341" s="38">
        <f>VLOOKUP(J341,'Sheet A'!J341:AB951,2,)</f>
        <v>2</v>
      </c>
      <c r="L341" s="38">
        <f>VLOOKUP(K341,'Sheet A'!K341:AC951,2,)</f>
        <v>0.32</v>
      </c>
      <c r="M341" s="70" t="str">
        <f>VLOOKUP(L341,'Sheet A'!L341:AD951,2,)</f>
        <v>Sunny</v>
      </c>
      <c r="N341" s="38">
        <f>VLOOKUP(M341,'Sheet A'!M341:AE951,2,)</f>
        <v>0.31819999999999998</v>
      </c>
      <c r="O341" s="38">
        <f>VLOOKUP(N341,'Sheet A'!N341:AF951,2,)</f>
        <v>0.36</v>
      </c>
      <c r="P341" s="38">
        <f>VLOOKUP(O341,'Sheet A'!O341:AG951,2,)</f>
        <v>0.19400000000000001</v>
      </c>
      <c r="Q341" s="38">
        <f>VLOOKUP(P341,'Sheet A'!P341:AH951,2,)</f>
        <v>21</v>
      </c>
      <c r="R341" s="38">
        <f>VLOOKUP(Q341,'Sheet A'!Q341:AI951,2,)</f>
        <v>108</v>
      </c>
      <c r="S341" s="38">
        <f>VLOOKUP(R341,'Sheet A'!R341:AJ951,2,)</f>
        <v>129</v>
      </c>
    </row>
    <row r="342" spans="1:19" x14ac:dyDescent="0.35">
      <c r="A342" s="37">
        <v>341</v>
      </c>
      <c r="B342" s="60">
        <f>VLOOKUP(A342,'Sheet A'!A342:S952,2,)</f>
        <v>40558</v>
      </c>
      <c r="C342" s="38">
        <f>VLOOKUP(B342,'Sheet A'!B342:T952,2,)</f>
        <v>1</v>
      </c>
      <c r="D342" s="38">
        <f>VLOOKUP(C342,'Sheet A'!C342:U952,2,)</f>
        <v>0</v>
      </c>
      <c r="E342" s="38">
        <f>VLOOKUP(D342,'Sheet A'!D342:V952,2,)</f>
        <v>1</v>
      </c>
      <c r="F342" s="38">
        <f>VLOOKUP(E342,'Sheet A'!E342:W952,2,)</f>
        <v>16</v>
      </c>
      <c r="G342" s="41" t="str">
        <f>VLOOKUP(F342,'Sheet A'!F342:X952,2,)</f>
        <v>AfterNoon</v>
      </c>
      <c r="H342" s="38" t="b">
        <f>VLOOKUP(G342,'Sheet A'!G342:Y952,2,)</f>
        <v>0</v>
      </c>
      <c r="I342" s="38">
        <f>VLOOKUP(H342,'Sheet A'!H342:Z952,2,)</f>
        <v>6</v>
      </c>
      <c r="J342" s="41" t="str">
        <f>VLOOKUP(I342,'Sheet A'!I342:AA952,2,)</f>
        <v>Friday</v>
      </c>
      <c r="K342" s="38">
        <f>VLOOKUP(J342,'Sheet A'!J342:AB952,2,)</f>
        <v>2</v>
      </c>
      <c r="L342" s="38">
        <f>VLOOKUP(K342,'Sheet A'!K342:AC952,2,)</f>
        <v>0.34</v>
      </c>
      <c r="M342" s="70" t="str">
        <f>VLOOKUP(L342,'Sheet A'!L342:AD952,2,)</f>
        <v>Sunny</v>
      </c>
      <c r="N342" s="38">
        <f>VLOOKUP(M342,'Sheet A'!M342:AE952,2,)</f>
        <v>0.33329999999999999</v>
      </c>
      <c r="O342" s="38">
        <f>VLOOKUP(N342,'Sheet A'!N342:AF952,2,)</f>
        <v>0.34</v>
      </c>
      <c r="P342" s="38">
        <f>VLOOKUP(O342,'Sheet A'!O342:AG952,2,)</f>
        <v>0.19400000000000001</v>
      </c>
      <c r="Q342" s="38">
        <f>VLOOKUP(P342,'Sheet A'!P342:AH952,2,)</f>
        <v>33</v>
      </c>
      <c r="R342" s="38">
        <f>VLOOKUP(Q342,'Sheet A'!Q342:AI952,2,)</f>
        <v>95</v>
      </c>
      <c r="S342" s="38">
        <f>VLOOKUP(R342,'Sheet A'!R342:AJ952,2,)</f>
        <v>128</v>
      </c>
    </row>
    <row r="343" spans="1:19" x14ac:dyDescent="0.35">
      <c r="A343" s="37">
        <v>342</v>
      </c>
      <c r="B343" s="60">
        <f>VLOOKUP(A343,'Sheet A'!A343:S953,2,)</f>
        <v>40558</v>
      </c>
      <c r="C343" s="38">
        <f>VLOOKUP(B343,'Sheet A'!B343:T953,2,)</f>
        <v>1</v>
      </c>
      <c r="D343" s="38">
        <f>VLOOKUP(C343,'Sheet A'!C343:U953,2,)</f>
        <v>0</v>
      </c>
      <c r="E343" s="38">
        <f>VLOOKUP(D343,'Sheet A'!D343:V953,2,)</f>
        <v>1</v>
      </c>
      <c r="F343" s="38">
        <f>VLOOKUP(E343,'Sheet A'!E343:W953,2,)</f>
        <v>17</v>
      </c>
      <c r="G343" s="41" t="str">
        <f>VLOOKUP(F343,'Sheet A'!F343:X953,2,)</f>
        <v>Evening</v>
      </c>
      <c r="H343" s="38" t="b">
        <f>VLOOKUP(G343,'Sheet A'!G343:Y953,2,)</f>
        <v>0</v>
      </c>
      <c r="I343" s="38">
        <f>VLOOKUP(H343,'Sheet A'!H343:Z953,2,)</f>
        <v>6</v>
      </c>
      <c r="J343" s="41" t="str">
        <f>VLOOKUP(I343,'Sheet A'!I343:AA953,2,)</f>
        <v>Friday</v>
      </c>
      <c r="K343" s="38">
        <f>VLOOKUP(J343,'Sheet A'!J343:AB953,2,)</f>
        <v>2</v>
      </c>
      <c r="L343" s="38">
        <f>VLOOKUP(K343,'Sheet A'!K343:AC953,2,)</f>
        <v>0.32</v>
      </c>
      <c r="M343" s="70" t="str">
        <f>VLOOKUP(L343,'Sheet A'!L343:AD953,2,)</f>
        <v>Sunny</v>
      </c>
      <c r="N343" s="38">
        <f>VLOOKUP(M343,'Sheet A'!M343:AE953,2,)</f>
        <v>0.30299999999999999</v>
      </c>
      <c r="O343" s="38">
        <f>VLOOKUP(N343,'Sheet A'!N343:AF953,2,)</f>
        <v>0.36</v>
      </c>
      <c r="P343" s="38">
        <f>VLOOKUP(O343,'Sheet A'!O343:AG953,2,)</f>
        <v>0.28360000000000002</v>
      </c>
      <c r="Q343" s="38">
        <f>VLOOKUP(P343,'Sheet A'!P343:AH953,2,)</f>
        <v>29</v>
      </c>
      <c r="R343" s="38">
        <f>VLOOKUP(Q343,'Sheet A'!Q343:AI953,2,)</f>
        <v>54</v>
      </c>
      <c r="S343" s="38">
        <f>VLOOKUP(R343,'Sheet A'!R343:AJ953,2,)</f>
        <v>83</v>
      </c>
    </row>
    <row r="344" spans="1:19" x14ac:dyDescent="0.35">
      <c r="A344" s="37">
        <v>343</v>
      </c>
      <c r="B344" s="60">
        <f>VLOOKUP(A344,'Sheet A'!A344:S954,2,)</f>
        <v>40558</v>
      </c>
      <c r="C344" s="38">
        <f>VLOOKUP(B344,'Sheet A'!B344:T954,2,)</f>
        <v>1</v>
      </c>
      <c r="D344" s="38">
        <f>VLOOKUP(C344,'Sheet A'!C344:U954,2,)</f>
        <v>0</v>
      </c>
      <c r="E344" s="38">
        <f>VLOOKUP(D344,'Sheet A'!D344:V954,2,)</f>
        <v>1</v>
      </c>
      <c r="F344" s="38">
        <f>VLOOKUP(E344,'Sheet A'!E344:W954,2,)</f>
        <v>18</v>
      </c>
      <c r="G344" s="41" t="str">
        <f>VLOOKUP(F344,'Sheet A'!F344:X954,2,)</f>
        <v>Evening</v>
      </c>
      <c r="H344" s="38" t="b">
        <f>VLOOKUP(G344,'Sheet A'!G344:Y954,2,)</f>
        <v>0</v>
      </c>
      <c r="I344" s="38">
        <f>VLOOKUP(H344,'Sheet A'!H344:Z954,2,)</f>
        <v>6</v>
      </c>
      <c r="J344" s="41" t="str">
        <f>VLOOKUP(I344,'Sheet A'!I344:AA954,2,)</f>
        <v>Friday</v>
      </c>
      <c r="K344" s="38">
        <f>VLOOKUP(J344,'Sheet A'!J344:AB954,2,)</f>
        <v>2</v>
      </c>
      <c r="L344" s="38">
        <f>VLOOKUP(K344,'Sheet A'!K344:AC954,2,)</f>
        <v>0.3</v>
      </c>
      <c r="M344" s="70" t="str">
        <f>VLOOKUP(L344,'Sheet A'!L344:AD954,2,)</f>
        <v>Cloudy</v>
      </c>
      <c r="N344" s="38">
        <f>VLOOKUP(M344,'Sheet A'!M344:AE954,2,)</f>
        <v>0.28789999999999999</v>
      </c>
      <c r="O344" s="38">
        <f>VLOOKUP(N344,'Sheet A'!N344:AF954,2,)</f>
        <v>0.45</v>
      </c>
      <c r="P344" s="38">
        <f>VLOOKUP(O344,'Sheet A'!O344:AG954,2,)</f>
        <v>0.25369999999999998</v>
      </c>
      <c r="Q344" s="38">
        <f>VLOOKUP(P344,'Sheet A'!P344:AH954,2,)</f>
        <v>15</v>
      </c>
      <c r="R344" s="38">
        <f>VLOOKUP(Q344,'Sheet A'!Q344:AI954,2,)</f>
        <v>69</v>
      </c>
      <c r="S344" s="38">
        <f>VLOOKUP(R344,'Sheet A'!R344:AJ954,2,)</f>
        <v>84</v>
      </c>
    </row>
    <row r="345" spans="1:19" x14ac:dyDescent="0.35">
      <c r="A345" s="37">
        <v>344</v>
      </c>
      <c r="B345" s="60">
        <f>VLOOKUP(A345,'Sheet A'!A345:S955,2,)</f>
        <v>40558</v>
      </c>
      <c r="C345" s="38">
        <f>VLOOKUP(B345,'Sheet A'!B345:T955,2,)</f>
        <v>1</v>
      </c>
      <c r="D345" s="38">
        <f>VLOOKUP(C345,'Sheet A'!C345:U955,2,)</f>
        <v>0</v>
      </c>
      <c r="E345" s="38">
        <f>VLOOKUP(D345,'Sheet A'!D345:V955,2,)</f>
        <v>1</v>
      </c>
      <c r="F345" s="38">
        <f>VLOOKUP(E345,'Sheet A'!E345:W955,2,)</f>
        <v>19</v>
      </c>
      <c r="G345" s="41" t="str">
        <f>VLOOKUP(F345,'Sheet A'!F345:X955,2,)</f>
        <v>Evening</v>
      </c>
      <c r="H345" s="38" t="b">
        <f>VLOOKUP(G345,'Sheet A'!G345:Y955,2,)</f>
        <v>0</v>
      </c>
      <c r="I345" s="38">
        <f>VLOOKUP(H345,'Sheet A'!H345:Z955,2,)</f>
        <v>6</v>
      </c>
      <c r="J345" s="41" t="str">
        <f>VLOOKUP(I345,'Sheet A'!I345:AA955,2,)</f>
        <v>Friday</v>
      </c>
      <c r="K345" s="38">
        <f>VLOOKUP(J345,'Sheet A'!J345:AB955,2,)</f>
        <v>2</v>
      </c>
      <c r="L345" s="38">
        <f>VLOOKUP(K345,'Sheet A'!K345:AC955,2,)</f>
        <v>0.32</v>
      </c>
      <c r="M345" s="70" t="str">
        <f>VLOOKUP(L345,'Sheet A'!L345:AD955,2,)</f>
        <v>Sunny</v>
      </c>
      <c r="N345" s="38">
        <f>VLOOKUP(M345,'Sheet A'!M345:AE955,2,)</f>
        <v>0.30299999999999999</v>
      </c>
      <c r="O345" s="38">
        <f>VLOOKUP(N345,'Sheet A'!N345:AF955,2,)</f>
        <v>0.39</v>
      </c>
      <c r="P345" s="38">
        <f>VLOOKUP(O345,'Sheet A'!O345:AG955,2,)</f>
        <v>0.25369999999999998</v>
      </c>
      <c r="Q345" s="38">
        <f>VLOOKUP(P345,'Sheet A'!P345:AH955,2,)</f>
        <v>14</v>
      </c>
      <c r="R345" s="38">
        <f>VLOOKUP(Q345,'Sheet A'!Q345:AI955,2,)</f>
        <v>60</v>
      </c>
      <c r="S345" s="38">
        <f>VLOOKUP(R345,'Sheet A'!R345:AJ955,2,)</f>
        <v>74</v>
      </c>
    </row>
    <row r="346" spans="1:19" x14ac:dyDescent="0.35">
      <c r="A346" s="37">
        <v>345</v>
      </c>
      <c r="B346" s="60">
        <f>VLOOKUP(A346,'Sheet A'!A346:S956,2,)</f>
        <v>40558</v>
      </c>
      <c r="C346" s="38">
        <f>VLOOKUP(B346,'Sheet A'!B346:T956,2,)</f>
        <v>1</v>
      </c>
      <c r="D346" s="38">
        <f>VLOOKUP(C346,'Sheet A'!C346:U956,2,)</f>
        <v>0</v>
      </c>
      <c r="E346" s="38">
        <f>VLOOKUP(D346,'Sheet A'!D346:V956,2,)</f>
        <v>1</v>
      </c>
      <c r="F346" s="38">
        <f>VLOOKUP(E346,'Sheet A'!E346:W956,2,)</f>
        <v>20</v>
      </c>
      <c r="G346" s="41" t="str">
        <f>VLOOKUP(F346,'Sheet A'!F346:X956,2,)</f>
        <v>Night</v>
      </c>
      <c r="H346" s="38" t="b">
        <f>VLOOKUP(G346,'Sheet A'!G346:Y956,2,)</f>
        <v>0</v>
      </c>
      <c r="I346" s="38">
        <f>VLOOKUP(H346,'Sheet A'!H346:Z956,2,)</f>
        <v>6</v>
      </c>
      <c r="J346" s="41" t="str">
        <f>VLOOKUP(I346,'Sheet A'!I346:AA956,2,)</f>
        <v>Friday</v>
      </c>
      <c r="K346" s="38">
        <f>VLOOKUP(J346,'Sheet A'!J346:AB956,2,)</f>
        <v>2</v>
      </c>
      <c r="L346" s="38">
        <f>VLOOKUP(K346,'Sheet A'!K346:AC956,2,)</f>
        <v>0.32</v>
      </c>
      <c r="M346" s="70" t="str">
        <f>VLOOKUP(L346,'Sheet A'!L346:AD956,2,)</f>
        <v>Sunny</v>
      </c>
      <c r="N346" s="38">
        <f>VLOOKUP(M346,'Sheet A'!M346:AE956,2,)</f>
        <v>0.30299999999999999</v>
      </c>
      <c r="O346" s="38">
        <f>VLOOKUP(N346,'Sheet A'!N346:AF956,2,)</f>
        <v>0.39</v>
      </c>
      <c r="P346" s="38">
        <f>VLOOKUP(O346,'Sheet A'!O346:AG956,2,)</f>
        <v>0.25369999999999998</v>
      </c>
      <c r="Q346" s="38">
        <f>VLOOKUP(P346,'Sheet A'!P346:AH956,2,)</f>
        <v>6</v>
      </c>
      <c r="R346" s="38">
        <f>VLOOKUP(Q346,'Sheet A'!Q346:AI956,2,)</f>
        <v>35</v>
      </c>
      <c r="S346" s="38">
        <f>VLOOKUP(R346,'Sheet A'!R346:AJ956,2,)</f>
        <v>41</v>
      </c>
    </row>
    <row r="347" spans="1:19" x14ac:dyDescent="0.35">
      <c r="A347" s="37">
        <v>346</v>
      </c>
      <c r="B347" s="60">
        <f>VLOOKUP(A347,'Sheet A'!A347:S957,2,)</f>
        <v>40558</v>
      </c>
      <c r="C347" s="38">
        <f>VLOOKUP(B347,'Sheet A'!B347:T957,2,)</f>
        <v>1</v>
      </c>
      <c r="D347" s="38">
        <f>VLOOKUP(C347,'Sheet A'!C347:U957,2,)</f>
        <v>0</v>
      </c>
      <c r="E347" s="38">
        <f>VLOOKUP(D347,'Sheet A'!D347:V957,2,)</f>
        <v>1</v>
      </c>
      <c r="F347" s="38">
        <f>VLOOKUP(E347,'Sheet A'!E347:W957,2,)</f>
        <v>21</v>
      </c>
      <c r="G347" s="41" t="str">
        <f>VLOOKUP(F347,'Sheet A'!F347:X957,2,)</f>
        <v>Night</v>
      </c>
      <c r="H347" s="38" t="b">
        <f>VLOOKUP(G347,'Sheet A'!G347:Y957,2,)</f>
        <v>0</v>
      </c>
      <c r="I347" s="38">
        <f>VLOOKUP(H347,'Sheet A'!H347:Z957,2,)</f>
        <v>6</v>
      </c>
      <c r="J347" s="41" t="str">
        <f>VLOOKUP(I347,'Sheet A'!I347:AA957,2,)</f>
        <v>Friday</v>
      </c>
      <c r="K347" s="38">
        <f>VLOOKUP(J347,'Sheet A'!J347:AB957,2,)</f>
        <v>2</v>
      </c>
      <c r="L347" s="38">
        <f>VLOOKUP(K347,'Sheet A'!K347:AC957,2,)</f>
        <v>0.32</v>
      </c>
      <c r="M347" s="70" t="str">
        <f>VLOOKUP(L347,'Sheet A'!L347:AD957,2,)</f>
        <v>Sunny</v>
      </c>
      <c r="N347" s="38">
        <f>VLOOKUP(M347,'Sheet A'!M347:AE957,2,)</f>
        <v>0.30299999999999999</v>
      </c>
      <c r="O347" s="38">
        <f>VLOOKUP(N347,'Sheet A'!N347:AF957,2,)</f>
        <v>0.39</v>
      </c>
      <c r="P347" s="38">
        <f>VLOOKUP(O347,'Sheet A'!O347:AG957,2,)</f>
        <v>0.22389999999999999</v>
      </c>
      <c r="Q347" s="38">
        <f>VLOOKUP(P347,'Sheet A'!P347:AH957,2,)</f>
        <v>6</v>
      </c>
      <c r="R347" s="38">
        <f>VLOOKUP(Q347,'Sheet A'!Q347:AI957,2,)</f>
        <v>51</v>
      </c>
      <c r="S347" s="38">
        <f>VLOOKUP(R347,'Sheet A'!R347:AJ957,2,)</f>
        <v>57</v>
      </c>
    </row>
    <row r="348" spans="1:19" x14ac:dyDescent="0.35">
      <c r="A348" s="37">
        <v>347</v>
      </c>
      <c r="B348" s="60">
        <f>VLOOKUP(A348,'Sheet A'!A348:S958,2,)</f>
        <v>40558</v>
      </c>
      <c r="C348" s="38">
        <f>VLOOKUP(B348,'Sheet A'!B348:T958,2,)</f>
        <v>1</v>
      </c>
      <c r="D348" s="38">
        <f>VLOOKUP(C348,'Sheet A'!C348:U958,2,)</f>
        <v>0</v>
      </c>
      <c r="E348" s="38">
        <f>VLOOKUP(D348,'Sheet A'!D348:V958,2,)</f>
        <v>1</v>
      </c>
      <c r="F348" s="38">
        <f>VLOOKUP(E348,'Sheet A'!E348:W958,2,)</f>
        <v>22</v>
      </c>
      <c r="G348" s="41" t="str">
        <f>VLOOKUP(F348,'Sheet A'!F348:X958,2,)</f>
        <v>Night</v>
      </c>
      <c r="H348" s="38" t="b">
        <f>VLOOKUP(G348,'Sheet A'!G348:Y958,2,)</f>
        <v>0</v>
      </c>
      <c r="I348" s="38">
        <f>VLOOKUP(H348,'Sheet A'!H348:Z958,2,)</f>
        <v>6</v>
      </c>
      <c r="J348" s="41" t="str">
        <f>VLOOKUP(I348,'Sheet A'!I348:AA958,2,)</f>
        <v>Friday</v>
      </c>
      <c r="K348" s="38">
        <f>VLOOKUP(J348,'Sheet A'!J348:AB958,2,)</f>
        <v>2</v>
      </c>
      <c r="L348" s="38">
        <f>VLOOKUP(K348,'Sheet A'!K348:AC958,2,)</f>
        <v>0.3</v>
      </c>
      <c r="M348" s="70" t="str">
        <f>VLOOKUP(L348,'Sheet A'!L348:AD958,2,)</f>
        <v>Cloudy</v>
      </c>
      <c r="N348" s="38">
        <f>VLOOKUP(M348,'Sheet A'!M348:AE958,2,)</f>
        <v>0.31819999999999998</v>
      </c>
      <c r="O348" s="38">
        <f>VLOOKUP(N348,'Sheet A'!N348:AF958,2,)</f>
        <v>0.42</v>
      </c>
      <c r="P348" s="38">
        <f>VLOOKUP(O348,'Sheet A'!O348:AG958,2,)</f>
        <v>0.1045</v>
      </c>
      <c r="Q348" s="38">
        <f>VLOOKUP(P348,'Sheet A'!P348:AH958,2,)</f>
        <v>0</v>
      </c>
      <c r="R348" s="38">
        <f>VLOOKUP(Q348,'Sheet A'!Q348:AI958,2,)</f>
        <v>26</v>
      </c>
      <c r="S348" s="38">
        <f>VLOOKUP(R348,'Sheet A'!R348:AJ958,2,)</f>
        <v>26</v>
      </c>
    </row>
    <row r="349" spans="1:19" x14ac:dyDescent="0.35">
      <c r="A349" s="37">
        <v>348</v>
      </c>
      <c r="B349" s="60">
        <f>VLOOKUP(A349,'Sheet A'!A349:S959,2,)</f>
        <v>40558</v>
      </c>
      <c r="C349" s="38">
        <f>VLOOKUP(B349,'Sheet A'!B349:T959,2,)</f>
        <v>1</v>
      </c>
      <c r="D349" s="38">
        <f>VLOOKUP(C349,'Sheet A'!C349:U959,2,)</f>
        <v>0</v>
      </c>
      <c r="E349" s="38">
        <f>VLOOKUP(D349,'Sheet A'!D349:V959,2,)</f>
        <v>1</v>
      </c>
      <c r="F349" s="38">
        <f>VLOOKUP(E349,'Sheet A'!E349:W959,2,)</f>
        <v>23</v>
      </c>
      <c r="G349" s="41" t="str">
        <f>VLOOKUP(F349,'Sheet A'!F349:X959,2,)</f>
        <v>Night</v>
      </c>
      <c r="H349" s="38" t="b">
        <f>VLOOKUP(G349,'Sheet A'!G349:Y959,2,)</f>
        <v>0</v>
      </c>
      <c r="I349" s="38">
        <f>VLOOKUP(H349,'Sheet A'!H349:Z959,2,)</f>
        <v>6</v>
      </c>
      <c r="J349" s="41" t="str">
        <f>VLOOKUP(I349,'Sheet A'!I349:AA959,2,)</f>
        <v>Friday</v>
      </c>
      <c r="K349" s="38">
        <f>VLOOKUP(J349,'Sheet A'!J349:AB959,2,)</f>
        <v>1</v>
      </c>
      <c r="L349" s="38">
        <f>VLOOKUP(K349,'Sheet A'!K349:AC959,2,)</f>
        <v>0.3</v>
      </c>
      <c r="M349" s="70" t="str">
        <f>VLOOKUP(L349,'Sheet A'!L349:AD959,2,)</f>
        <v>Cloudy</v>
      </c>
      <c r="N349" s="38">
        <f>VLOOKUP(M349,'Sheet A'!M349:AE959,2,)</f>
        <v>0.28789999999999999</v>
      </c>
      <c r="O349" s="38">
        <f>VLOOKUP(N349,'Sheet A'!N349:AF959,2,)</f>
        <v>0.45</v>
      </c>
      <c r="P349" s="38">
        <f>VLOOKUP(O349,'Sheet A'!O349:AG959,2,)</f>
        <v>0.28360000000000002</v>
      </c>
      <c r="Q349" s="38">
        <f>VLOOKUP(P349,'Sheet A'!P349:AH959,2,)</f>
        <v>5</v>
      </c>
      <c r="R349" s="38">
        <f>VLOOKUP(Q349,'Sheet A'!Q349:AI959,2,)</f>
        <v>39</v>
      </c>
      <c r="S349" s="38">
        <f>VLOOKUP(R349,'Sheet A'!R349:AJ959,2,)</f>
        <v>44</v>
      </c>
    </row>
    <row r="350" spans="1:19" x14ac:dyDescent="0.35">
      <c r="A350" s="37">
        <v>349</v>
      </c>
      <c r="B350" s="60">
        <f>VLOOKUP(A350,'Sheet A'!A350:S960,2,)</f>
        <v>40559</v>
      </c>
      <c r="C350" s="38">
        <f>VLOOKUP(B350,'Sheet A'!B350:T960,2,)</f>
        <v>1</v>
      </c>
      <c r="D350" s="38">
        <f>VLOOKUP(C350,'Sheet A'!C350:U960,2,)</f>
        <v>0</v>
      </c>
      <c r="E350" s="38">
        <f>VLOOKUP(D350,'Sheet A'!D350:V960,2,)</f>
        <v>1</v>
      </c>
      <c r="F350" s="38">
        <f>VLOOKUP(E350,'Sheet A'!E350:W960,2,)</f>
        <v>0</v>
      </c>
      <c r="G350" s="41" t="str">
        <f>VLOOKUP(F350,'Sheet A'!F350:X960,2,)</f>
        <v>Night</v>
      </c>
      <c r="H350" s="38" t="b">
        <f>VLOOKUP(G350,'Sheet A'!G350:Y960,2,)</f>
        <v>0</v>
      </c>
      <c r="I350" s="38">
        <f>VLOOKUP(H350,'Sheet A'!H350:Z960,2,)</f>
        <v>0</v>
      </c>
      <c r="J350" s="41" t="str">
        <f>VLOOKUP(I350,'Sheet A'!I350:AA960,2,)</f>
        <v>Saturday</v>
      </c>
      <c r="K350" s="38">
        <f>VLOOKUP(J350,'Sheet A'!J350:AB960,2,)</f>
        <v>1</v>
      </c>
      <c r="L350" s="38">
        <f>VLOOKUP(K350,'Sheet A'!K350:AC960,2,)</f>
        <v>0.26</v>
      </c>
      <c r="M350" s="70" t="str">
        <f>VLOOKUP(L350,'Sheet A'!L350:AD960,2,)</f>
        <v>Cloudy</v>
      </c>
      <c r="N350" s="38">
        <f>VLOOKUP(M350,'Sheet A'!M350:AE960,2,)</f>
        <v>0.30299999999999999</v>
      </c>
      <c r="O350" s="38">
        <f>VLOOKUP(N350,'Sheet A'!N350:AF960,2,)</f>
        <v>0.56000000000000005</v>
      </c>
      <c r="P350" s="38">
        <f>VLOOKUP(O350,'Sheet A'!O350:AG960,2,)</f>
        <v>0</v>
      </c>
      <c r="Q350" s="38">
        <f>VLOOKUP(P350,'Sheet A'!P350:AH960,2,)</f>
        <v>6</v>
      </c>
      <c r="R350" s="38">
        <f>VLOOKUP(Q350,'Sheet A'!Q350:AI960,2,)</f>
        <v>33</v>
      </c>
      <c r="S350" s="38">
        <f>VLOOKUP(R350,'Sheet A'!R350:AJ960,2,)</f>
        <v>39</v>
      </c>
    </row>
    <row r="351" spans="1:19" x14ac:dyDescent="0.35">
      <c r="A351" s="37">
        <v>350</v>
      </c>
      <c r="B351" s="60">
        <f>VLOOKUP(A351,'Sheet A'!A351:S961,2,)</f>
        <v>40559</v>
      </c>
      <c r="C351" s="38">
        <f>VLOOKUP(B351,'Sheet A'!B351:T961,2,)</f>
        <v>1</v>
      </c>
      <c r="D351" s="38">
        <f>VLOOKUP(C351,'Sheet A'!C351:U961,2,)</f>
        <v>0</v>
      </c>
      <c r="E351" s="38">
        <f>VLOOKUP(D351,'Sheet A'!D351:V961,2,)</f>
        <v>1</v>
      </c>
      <c r="F351" s="38">
        <f>VLOOKUP(E351,'Sheet A'!E351:W961,2,)</f>
        <v>1</v>
      </c>
      <c r="G351" s="41" t="str">
        <f>VLOOKUP(F351,'Sheet A'!F351:X961,2,)</f>
        <v>Night</v>
      </c>
      <c r="H351" s="38" t="b">
        <f>VLOOKUP(G351,'Sheet A'!G351:Y961,2,)</f>
        <v>0</v>
      </c>
      <c r="I351" s="38">
        <f>VLOOKUP(H351,'Sheet A'!H351:Z961,2,)</f>
        <v>0</v>
      </c>
      <c r="J351" s="41" t="str">
        <f>VLOOKUP(I351,'Sheet A'!I351:AA961,2,)</f>
        <v>Saturday</v>
      </c>
      <c r="K351" s="38">
        <f>VLOOKUP(J351,'Sheet A'!J351:AB961,2,)</f>
        <v>1</v>
      </c>
      <c r="L351" s="38">
        <f>VLOOKUP(K351,'Sheet A'!K351:AC961,2,)</f>
        <v>0.26</v>
      </c>
      <c r="M351" s="70" t="str">
        <f>VLOOKUP(L351,'Sheet A'!L351:AD961,2,)</f>
        <v>Cloudy</v>
      </c>
      <c r="N351" s="38">
        <f>VLOOKUP(M351,'Sheet A'!M351:AE961,2,)</f>
        <v>0.2727</v>
      </c>
      <c r="O351" s="38">
        <f>VLOOKUP(N351,'Sheet A'!N351:AF961,2,)</f>
        <v>0.56000000000000005</v>
      </c>
      <c r="P351" s="38">
        <f>VLOOKUP(O351,'Sheet A'!O351:AG961,2,)</f>
        <v>0.1343</v>
      </c>
      <c r="Q351" s="38">
        <f>VLOOKUP(P351,'Sheet A'!P351:AH961,2,)</f>
        <v>4</v>
      </c>
      <c r="R351" s="38">
        <f>VLOOKUP(Q351,'Sheet A'!Q351:AI961,2,)</f>
        <v>19</v>
      </c>
      <c r="S351" s="38">
        <f>VLOOKUP(R351,'Sheet A'!R351:AJ961,2,)</f>
        <v>23</v>
      </c>
    </row>
    <row r="352" spans="1:19" x14ac:dyDescent="0.35">
      <c r="A352" s="37">
        <v>351</v>
      </c>
      <c r="B352" s="60">
        <f>VLOOKUP(A352,'Sheet A'!A352:S962,2,)</f>
        <v>40559</v>
      </c>
      <c r="C352" s="38">
        <f>VLOOKUP(B352,'Sheet A'!B352:T962,2,)</f>
        <v>1</v>
      </c>
      <c r="D352" s="38">
        <f>VLOOKUP(C352,'Sheet A'!C352:U962,2,)</f>
        <v>0</v>
      </c>
      <c r="E352" s="38">
        <f>VLOOKUP(D352,'Sheet A'!D352:V962,2,)</f>
        <v>1</v>
      </c>
      <c r="F352" s="38">
        <f>VLOOKUP(E352,'Sheet A'!E352:W962,2,)</f>
        <v>2</v>
      </c>
      <c r="G352" s="41" t="str">
        <f>VLOOKUP(F352,'Sheet A'!F352:X962,2,)</f>
        <v>Night</v>
      </c>
      <c r="H352" s="38" t="b">
        <f>VLOOKUP(G352,'Sheet A'!G352:Y962,2,)</f>
        <v>0</v>
      </c>
      <c r="I352" s="38">
        <f>VLOOKUP(H352,'Sheet A'!H352:Z962,2,)</f>
        <v>0</v>
      </c>
      <c r="J352" s="41" t="str">
        <f>VLOOKUP(I352,'Sheet A'!I352:AA962,2,)</f>
        <v>Saturday</v>
      </c>
      <c r="K352" s="38">
        <f>VLOOKUP(J352,'Sheet A'!J352:AB962,2,)</f>
        <v>1</v>
      </c>
      <c r="L352" s="38">
        <f>VLOOKUP(K352,'Sheet A'!K352:AC962,2,)</f>
        <v>0.26</v>
      </c>
      <c r="M352" s="70" t="str">
        <f>VLOOKUP(L352,'Sheet A'!L352:AD962,2,)</f>
        <v>Cloudy</v>
      </c>
      <c r="N352" s="38">
        <f>VLOOKUP(M352,'Sheet A'!M352:AE962,2,)</f>
        <v>0.28789999999999999</v>
      </c>
      <c r="O352" s="38">
        <f>VLOOKUP(N352,'Sheet A'!N352:AF962,2,)</f>
        <v>0.56000000000000005</v>
      </c>
      <c r="P352" s="38">
        <f>VLOOKUP(O352,'Sheet A'!O352:AG962,2,)</f>
        <v>8.9599999999999999E-2</v>
      </c>
      <c r="Q352" s="38">
        <f>VLOOKUP(P352,'Sheet A'!P352:AH962,2,)</f>
        <v>3</v>
      </c>
      <c r="R352" s="38">
        <f>VLOOKUP(Q352,'Sheet A'!Q352:AI962,2,)</f>
        <v>13</v>
      </c>
      <c r="S352" s="38">
        <f>VLOOKUP(R352,'Sheet A'!R352:AJ962,2,)</f>
        <v>16</v>
      </c>
    </row>
    <row r="353" spans="1:19" x14ac:dyDescent="0.35">
      <c r="A353" s="37">
        <v>352</v>
      </c>
      <c r="B353" s="60">
        <f>VLOOKUP(A353,'Sheet A'!A353:S963,2,)</f>
        <v>40559</v>
      </c>
      <c r="C353" s="38">
        <f>VLOOKUP(B353,'Sheet A'!B353:T963,2,)</f>
        <v>1</v>
      </c>
      <c r="D353" s="38">
        <f>VLOOKUP(C353,'Sheet A'!C353:U963,2,)</f>
        <v>0</v>
      </c>
      <c r="E353" s="38">
        <f>VLOOKUP(D353,'Sheet A'!D353:V963,2,)</f>
        <v>1</v>
      </c>
      <c r="F353" s="38">
        <f>VLOOKUP(E353,'Sheet A'!E353:W963,2,)</f>
        <v>3</v>
      </c>
      <c r="G353" s="41" t="str">
        <f>VLOOKUP(F353,'Sheet A'!F353:X963,2,)</f>
        <v>Night</v>
      </c>
      <c r="H353" s="38" t="b">
        <f>VLOOKUP(G353,'Sheet A'!G353:Y963,2,)</f>
        <v>0</v>
      </c>
      <c r="I353" s="38">
        <f>VLOOKUP(H353,'Sheet A'!H353:Z963,2,)</f>
        <v>0</v>
      </c>
      <c r="J353" s="41" t="str">
        <f>VLOOKUP(I353,'Sheet A'!I353:AA963,2,)</f>
        <v>Saturday</v>
      </c>
      <c r="K353" s="38">
        <f>VLOOKUP(J353,'Sheet A'!J353:AB963,2,)</f>
        <v>1</v>
      </c>
      <c r="L353" s="38">
        <f>VLOOKUP(K353,'Sheet A'!K353:AC963,2,)</f>
        <v>0.22</v>
      </c>
      <c r="M353" s="70" t="str">
        <f>VLOOKUP(L353,'Sheet A'!L353:AD963,2,)</f>
        <v>Cloudy</v>
      </c>
      <c r="N353" s="38">
        <f>VLOOKUP(M353,'Sheet A'!M353:AE963,2,)</f>
        <v>0.2727</v>
      </c>
      <c r="O353" s="38">
        <f>VLOOKUP(N353,'Sheet A'!N353:AF963,2,)</f>
        <v>0.69</v>
      </c>
      <c r="P353" s="38">
        <f>VLOOKUP(O353,'Sheet A'!O353:AG963,2,)</f>
        <v>0</v>
      </c>
      <c r="Q353" s="38">
        <f>VLOOKUP(P353,'Sheet A'!P353:AH963,2,)</f>
        <v>9</v>
      </c>
      <c r="R353" s="38">
        <f>VLOOKUP(Q353,'Sheet A'!Q353:AI963,2,)</f>
        <v>6</v>
      </c>
      <c r="S353" s="38">
        <f>VLOOKUP(R353,'Sheet A'!R353:AJ963,2,)</f>
        <v>15</v>
      </c>
    </row>
    <row r="354" spans="1:19" x14ac:dyDescent="0.35">
      <c r="A354" s="37">
        <v>353</v>
      </c>
      <c r="B354" s="60">
        <f>VLOOKUP(A354,'Sheet A'!A354:S964,2,)</f>
        <v>40559</v>
      </c>
      <c r="C354" s="38">
        <f>VLOOKUP(B354,'Sheet A'!B354:T964,2,)</f>
        <v>1</v>
      </c>
      <c r="D354" s="38">
        <f>VLOOKUP(C354,'Sheet A'!C354:U964,2,)</f>
        <v>0</v>
      </c>
      <c r="E354" s="38">
        <f>VLOOKUP(D354,'Sheet A'!D354:V964,2,)</f>
        <v>1</v>
      </c>
      <c r="F354" s="38">
        <f>VLOOKUP(E354,'Sheet A'!E354:W964,2,)</f>
        <v>4</v>
      </c>
      <c r="G354" s="41" t="str">
        <f>VLOOKUP(F354,'Sheet A'!F354:X964,2,)</f>
        <v>Night</v>
      </c>
      <c r="H354" s="38" t="b">
        <f>VLOOKUP(G354,'Sheet A'!G354:Y964,2,)</f>
        <v>0</v>
      </c>
      <c r="I354" s="38">
        <f>VLOOKUP(H354,'Sheet A'!H354:Z964,2,)</f>
        <v>0</v>
      </c>
      <c r="J354" s="41" t="str">
        <f>VLOOKUP(I354,'Sheet A'!I354:AA964,2,)</f>
        <v>Saturday</v>
      </c>
      <c r="K354" s="38">
        <f>VLOOKUP(J354,'Sheet A'!J354:AB964,2,)</f>
        <v>1</v>
      </c>
      <c r="L354" s="38">
        <f>VLOOKUP(K354,'Sheet A'!K354:AC964,2,)</f>
        <v>0.26</v>
      </c>
      <c r="M354" s="70" t="str">
        <f>VLOOKUP(L354,'Sheet A'!L354:AD964,2,)</f>
        <v>Cloudy</v>
      </c>
      <c r="N354" s="38">
        <f>VLOOKUP(M354,'Sheet A'!M354:AE964,2,)</f>
        <v>0.2576</v>
      </c>
      <c r="O354" s="38">
        <f>VLOOKUP(N354,'Sheet A'!N354:AF964,2,)</f>
        <v>0.56000000000000005</v>
      </c>
      <c r="P354" s="38">
        <f>VLOOKUP(O354,'Sheet A'!O354:AG964,2,)</f>
        <v>0.16420000000000001</v>
      </c>
      <c r="Q354" s="38">
        <f>VLOOKUP(P354,'Sheet A'!P354:AH964,2,)</f>
        <v>0</v>
      </c>
      <c r="R354" s="38">
        <f>VLOOKUP(Q354,'Sheet A'!Q354:AI964,2,)</f>
        <v>1</v>
      </c>
      <c r="S354" s="38">
        <f>VLOOKUP(R354,'Sheet A'!R354:AJ964,2,)</f>
        <v>1</v>
      </c>
    </row>
    <row r="355" spans="1:19" x14ac:dyDescent="0.35">
      <c r="A355" s="37">
        <v>354</v>
      </c>
      <c r="B355" s="60">
        <f>VLOOKUP(A355,'Sheet A'!A355:S965,2,)</f>
        <v>40559</v>
      </c>
      <c r="C355" s="38">
        <f>VLOOKUP(B355,'Sheet A'!B355:T965,2,)</f>
        <v>1</v>
      </c>
      <c r="D355" s="38">
        <f>VLOOKUP(C355,'Sheet A'!C355:U965,2,)</f>
        <v>0</v>
      </c>
      <c r="E355" s="38">
        <f>VLOOKUP(D355,'Sheet A'!D355:V965,2,)</f>
        <v>1</v>
      </c>
      <c r="F355" s="38">
        <f>VLOOKUP(E355,'Sheet A'!E355:W965,2,)</f>
        <v>5</v>
      </c>
      <c r="G355" s="41" t="str">
        <f>VLOOKUP(F355,'Sheet A'!F355:X965,2,)</f>
        <v>Morning</v>
      </c>
      <c r="H355" s="38" t="b">
        <f>VLOOKUP(G355,'Sheet A'!G355:Y965,2,)</f>
        <v>0</v>
      </c>
      <c r="I355" s="38">
        <f>VLOOKUP(H355,'Sheet A'!H355:Z965,2,)</f>
        <v>0</v>
      </c>
      <c r="J355" s="41" t="str">
        <f>VLOOKUP(I355,'Sheet A'!I355:AA965,2,)</f>
        <v>Saturday</v>
      </c>
      <c r="K355" s="38">
        <f>VLOOKUP(J355,'Sheet A'!J355:AB965,2,)</f>
        <v>2</v>
      </c>
      <c r="L355" s="38">
        <f>VLOOKUP(K355,'Sheet A'!K355:AC965,2,)</f>
        <v>0.26</v>
      </c>
      <c r="M355" s="70" t="str">
        <f>VLOOKUP(L355,'Sheet A'!L355:AD965,2,)</f>
        <v>Cloudy</v>
      </c>
      <c r="N355" s="38">
        <f>VLOOKUP(M355,'Sheet A'!M355:AE965,2,)</f>
        <v>0.2576</v>
      </c>
      <c r="O355" s="38">
        <f>VLOOKUP(N355,'Sheet A'!N355:AF965,2,)</f>
        <v>0.56000000000000005</v>
      </c>
      <c r="P355" s="38">
        <f>VLOOKUP(O355,'Sheet A'!O355:AG965,2,)</f>
        <v>0.16420000000000001</v>
      </c>
      <c r="Q355" s="38">
        <f>VLOOKUP(P355,'Sheet A'!P355:AH965,2,)</f>
        <v>1</v>
      </c>
      <c r="R355" s="38">
        <f>VLOOKUP(Q355,'Sheet A'!Q355:AI965,2,)</f>
        <v>1</v>
      </c>
      <c r="S355" s="38">
        <f>VLOOKUP(R355,'Sheet A'!R355:AJ965,2,)</f>
        <v>2</v>
      </c>
    </row>
    <row r="356" spans="1:19" x14ac:dyDescent="0.35">
      <c r="A356" s="37">
        <v>355</v>
      </c>
      <c r="B356" s="60">
        <f>VLOOKUP(A356,'Sheet A'!A356:S966,2,)</f>
        <v>40559</v>
      </c>
      <c r="C356" s="38">
        <f>VLOOKUP(B356,'Sheet A'!B356:T966,2,)</f>
        <v>1</v>
      </c>
      <c r="D356" s="38">
        <f>VLOOKUP(C356,'Sheet A'!C356:U966,2,)</f>
        <v>0</v>
      </c>
      <c r="E356" s="38">
        <f>VLOOKUP(D356,'Sheet A'!D356:V966,2,)</f>
        <v>1</v>
      </c>
      <c r="F356" s="38">
        <f>VLOOKUP(E356,'Sheet A'!E356:W966,2,)</f>
        <v>6</v>
      </c>
      <c r="G356" s="41" t="str">
        <f>VLOOKUP(F356,'Sheet A'!F356:X966,2,)</f>
        <v>Morning</v>
      </c>
      <c r="H356" s="38" t="b">
        <f>VLOOKUP(G356,'Sheet A'!G356:Y966,2,)</f>
        <v>0</v>
      </c>
      <c r="I356" s="38">
        <f>VLOOKUP(H356,'Sheet A'!H356:Z966,2,)</f>
        <v>0</v>
      </c>
      <c r="J356" s="41" t="str">
        <f>VLOOKUP(I356,'Sheet A'!I356:AA966,2,)</f>
        <v>Saturday</v>
      </c>
      <c r="K356" s="38">
        <f>VLOOKUP(J356,'Sheet A'!J356:AB966,2,)</f>
        <v>2</v>
      </c>
      <c r="L356" s="38">
        <f>VLOOKUP(K356,'Sheet A'!K356:AC966,2,)</f>
        <v>0.26</v>
      </c>
      <c r="M356" s="70" t="str">
        <f>VLOOKUP(L356,'Sheet A'!L356:AD966,2,)</f>
        <v>Cloudy</v>
      </c>
      <c r="N356" s="38">
        <f>VLOOKUP(M356,'Sheet A'!M356:AE966,2,)</f>
        <v>0.2576</v>
      </c>
      <c r="O356" s="38">
        <f>VLOOKUP(N356,'Sheet A'!N356:AF966,2,)</f>
        <v>0.56000000000000005</v>
      </c>
      <c r="P356" s="38">
        <f>VLOOKUP(O356,'Sheet A'!O356:AG966,2,)</f>
        <v>0.16420000000000001</v>
      </c>
      <c r="Q356" s="38">
        <f>VLOOKUP(P356,'Sheet A'!P356:AH966,2,)</f>
        <v>0</v>
      </c>
      <c r="R356" s="38">
        <f>VLOOKUP(Q356,'Sheet A'!Q356:AI966,2,)</f>
        <v>1</v>
      </c>
      <c r="S356" s="38">
        <f>VLOOKUP(R356,'Sheet A'!R356:AJ966,2,)</f>
        <v>1</v>
      </c>
    </row>
    <row r="357" spans="1:19" x14ac:dyDescent="0.35">
      <c r="A357" s="37">
        <v>356</v>
      </c>
      <c r="B357" s="60">
        <f>VLOOKUP(A357,'Sheet A'!A357:S967,2,)</f>
        <v>40559</v>
      </c>
      <c r="C357" s="38">
        <f>VLOOKUP(B357,'Sheet A'!B357:T967,2,)</f>
        <v>1</v>
      </c>
      <c r="D357" s="38">
        <f>VLOOKUP(C357,'Sheet A'!C357:U967,2,)</f>
        <v>0</v>
      </c>
      <c r="E357" s="38">
        <f>VLOOKUP(D357,'Sheet A'!D357:V967,2,)</f>
        <v>1</v>
      </c>
      <c r="F357" s="38">
        <f>VLOOKUP(E357,'Sheet A'!E357:W967,2,)</f>
        <v>7</v>
      </c>
      <c r="G357" s="41" t="str">
        <f>VLOOKUP(F357,'Sheet A'!F357:X967,2,)</f>
        <v>Morning</v>
      </c>
      <c r="H357" s="38" t="b">
        <f>VLOOKUP(G357,'Sheet A'!G357:Y967,2,)</f>
        <v>0</v>
      </c>
      <c r="I357" s="38">
        <f>VLOOKUP(H357,'Sheet A'!H357:Z967,2,)</f>
        <v>0</v>
      </c>
      <c r="J357" s="41" t="str">
        <f>VLOOKUP(I357,'Sheet A'!I357:AA967,2,)</f>
        <v>Saturday</v>
      </c>
      <c r="K357" s="38">
        <f>VLOOKUP(J357,'Sheet A'!J357:AB967,2,)</f>
        <v>2</v>
      </c>
      <c r="L357" s="38">
        <f>VLOOKUP(K357,'Sheet A'!K357:AC967,2,)</f>
        <v>0.24</v>
      </c>
      <c r="M357" s="70" t="str">
        <f>VLOOKUP(L357,'Sheet A'!L357:AD967,2,)</f>
        <v>Cloudy</v>
      </c>
      <c r="N357" s="38">
        <f>VLOOKUP(M357,'Sheet A'!M357:AE967,2,)</f>
        <v>0.21210000000000001</v>
      </c>
      <c r="O357" s="38">
        <f>VLOOKUP(N357,'Sheet A'!N357:AF967,2,)</f>
        <v>0.56000000000000005</v>
      </c>
      <c r="P357" s="38">
        <f>VLOOKUP(O357,'Sheet A'!O357:AG967,2,)</f>
        <v>0.29849999999999999</v>
      </c>
      <c r="Q357" s="38">
        <f>VLOOKUP(P357,'Sheet A'!P357:AH967,2,)</f>
        <v>0</v>
      </c>
      <c r="R357" s="38">
        <f>VLOOKUP(Q357,'Sheet A'!Q357:AI967,2,)</f>
        <v>3</v>
      </c>
      <c r="S357" s="38">
        <f>VLOOKUP(R357,'Sheet A'!R357:AJ967,2,)</f>
        <v>3</v>
      </c>
    </row>
    <row r="358" spans="1:19" x14ac:dyDescent="0.35">
      <c r="A358" s="37">
        <v>357</v>
      </c>
      <c r="B358" s="60">
        <f>VLOOKUP(A358,'Sheet A'!A358:S968,2,)</f>
        <v>40559</v>
      </c>
      <c r="C358" s="38">
        <f>VLOOKUP(B358,'Sheet A'!B358:T968,2,)</f>
        <v>1</v>
      </c>
      <c r="D358" s="38">
        <f>VLOOKUP(C358,'Sheet A'!C358:U968,2,)</f>
        <v>0</v>
      </c>
      <c r="E358" s="38">
        <f>VLOOKUP(D358,'Sheet A'!D358:V968,2,)</f>
        <v>1</v>
      </c>
      <c r="F358" s="38">
        <f>VLOOKUP(E358,'Sheet A'!E358:W968,2,)</f>
        <v>8</v>
      </c>
      <c r="G358" s="41" t="str">
        <f>VLOOKUP(F358,'Sheet A'!F358:X968,2,)</f>
        <v>Morning</v>
      </c>
      <c r="H358" s="38" t="b">
        <f>VLOOKUP(G358,'Sheet A'!G358:Y968,2,)</f>
        <v>0</v>
      </c>
      <c r="I358" s="38">
        <f>VLOOKUP(H358,'Sheet A'!H358:Z968,2,)</f>
        <v>0</v>
      </c>
      <c r="J358" s="41" t="str">
        <f>VLOOKUP(I358,'Sheet A'!I358:AA968,2,)</f>
        <v>Saturday</v>
      </c>
      <c r="K358" s="38">
        <f>VLOOKUP(J358,'Sheet A'!J358:AB968,2,)</f>
        <v>1</v>
      </c>
      <c r="L358" s="38">
        <f>VLOOKUP(K358,'Sheet A'!K358:AC968,2,)</f>
        <v>0.22</v>
      </c>
      <c r="M358" s="70" t="str">
        <f>VLOOKUP(L358,'Sheet A'!L358:AD968,2,)</f>
        <v>Cloudy</v>
      </c>
      <c r="N358" s="38">
        <f>VLOOKUP(M358,'Sheet A'!M358:AE968,2,)</f>
        <v>0.21210000000000001</v>
      </c>
      <c r="O358" s="38">
        <f>VLOOKUP(N358,'Sheet A'!N358:AF968,2,)</f>
        <v>0.55000000000000004</v>
      </c>
      <c r="P358" s="38">
        <f>VLOOKUP(O358,'Sheet A'!O358:AG968,2,)</f>
        <v>0.28360000000000002</v>
      </c>
      <c r="Q358" s="38">
        <f>VLOOKUP(P358,'Sheet A'!P358:AH968,2,)</f>
        <v>0</v>
      </c>
      <c r="R358" s="38">
        <f>VLOOKUP(Q358,'Sheet A'!Q358:AI968,2,)</f>
        <v>18</v>
      </c>
      <c r="S358" s="38">
        <f>VLOOKUP(R358,'Sheet A'!R358:AJ968,2,)</f>
        <v>18</v>
      </c>
    </row>
    <row r="359" spans="1:19" x14ac:dyDescent="0.35">
      <c r="A359" s="37">
        <v>358</v>
      </c>
      <c r="B359" s="60">
        <f>VLOOKUP(A359,'Sheet A'!A359:S969,2,)</f>
        <v>40559</v>
      </c>
      <c r="C359" s="38">
        <f>VLOOKUP(B359,'Sheet A'!B359:T969,2,)</f>
        <v>1</v>
      </c>
      <c r="D359" s="38">
        <f>VLOOKUP(C359,'Sheet A'!C359:U969,2,)</f>
        <v>0</v>
      </c>
      <c r="E359" s="38">
        <f>VLOOKUP(D359,'Sheet A'!D359:V969,2,)</f>
        <v>1</v>
      </c>
      <c r="F359" s="38">
        <f>VLOOKUP(E359,'Sheet A'!E359:W969,2,)</f>
        <v>9</v>
      </c>
      <c r="G359" s="41" t="str">
        <f>VLOOKUP(F359,'Sheet A'!F359:X969,2,)</f>
        <v>Morning</v>
      </c>
      <c r="H359" s="38" t="b">
        <f>VLOOKUP(G359,'Sheet A'!G359:Y969,2,)</f>
        <v>0</v>
      </c>
      <c r="I359" s="38">
        <f>VLOOKUP(H359,'Sheet A'!H359:Z969,2,)</f>
        <v>0</v>
      </c>
      <c r="J359" s="41" t="str">
        <f>VLOOKUP(I359,'Sheet A'!I359:AA969,2,)</f>
        <v>Saturday</v>
      </c>
      <c r="K359" s="38">
        <f>VLOOKUP(J359,'Sheet A'!J359:AB969,2,)</f>
        <v>1</v>
      </c>
      <c r="L359" s="38">
        <f>VLOOKUP(K359,'Sheet A'!K359:AC969,2,)</f>
        <v>0.22</v>
      </c>
      <c r="M359" s="70" t="str">
        <f>VLOOKUP(L359,'Sheet A'!L359:AD969,2,)</f>
        <v>Cloudy</v>
      </c>
      <c r="N359" s="38">
        <f>VLOOKUP(M359,'Sheet A'!M359:AE969,2,)</f>
        <v>0.21210000000000001</v>
      </c>
      <c r="O359" s="38">
        <f>VLOOKUP(N359,'Sheet A'!N359:AF969,2,)</f>
        <v>0.51</v>
      </c>
      <c r="P359" s="38">
        <f>VLOOKUP(O359,'Sheet A'!O359:AG969,2,)</f>
        <v>0.25369999999999998</v>
      </c>
      <c r="Q359" s="38">
        <f>VLOOKUP(P359,'Sheet A'!P359:AH969,2,)</f>
        <v>3</v>
      </c>
      <c r="R359" s="38">
        <f>VLOOKUP(Q359,'Sheet A'!Q359:AI969,2,)</f>
        <v>29</v>
      </c>
      <c r="S359" s="38">
        <f>VLOOKUP(R359,'Sheet A'!R359:AJ969,2,)</f>
        <v>32</v>
      </c>
    </row>
    <row r="360" spans="1:19" x14ac:dyDescent="0.35">
      <c r="A360" s="37">
        <v>359</v>
      </c>
      <c r="B360" s="60">
        <f>VLOOKUP(A360,'Sheet A'!A360:S970,2,)</f>
        <v>40559</v>
      </c>
      <c r="C360" s="38">
        <f>VLOOKUP(B360,'Sheet A'!B360:T970,2,)</f>
        <v>1</v>
      </c>
      <c r="D360" s="38">
        <f>VLOOKUP(C360,'Sheet A'!C360:U970,2,)</f>
        <v>0</v>
      </c>
      <c r="E360" s="38">
        <f>VLOOKUP(D360,'Sheet A'!D360:V970,2,)</f>
        <v>1</v>
      </c>
      <c r="F360" s="38">
        <f>VLOOKUP(E360,'Sheet A'!E360:W970,2,)</f>
        <v>10</v>
      </c>
      <c r="G360" s="41" t="str">
        <f>VLOOKUP(F360,'Sheet A'!F360:X970,2,)</f>
        <v>Morning</v>
      </c>
      <c r="H360" s="38" t="b">
        <f>VLOOKUP(G360,'Sheet A'!G360:Y970,2,)</f>
        <v>0</v>
      </c>
      <c r="I360" s="38">
        <f>VLOOKUP(H360,'Sheet A'!H360:Z970,2,)</f>
        <v>0</v>
      </c>
      <c r="J360" s="41" t="str">
        <f>VLOOKUP(I360,'Sheet A'!I360:AA970,2,)</f>
        <v>Saturday</v>
      </c>
      <c r="K360" s="38">
        <f>VLOOKUP(J360,'Sheet A'!J360:AB970,2,)</f>
        <v>1</v>
      </c>
      <c r="L360" s="38">
        <f>VLOOKUP(K360,'Sheet A'!K360:AC970,2,)</f>
        <v>0.22</v>
      </c>
      <c r="M360" s="70" t="str">
        <f>VLOOKUP(L360,'Sheet A'!L360:AD970,2,)</f>
        <v>Cloudy</v>
      </c>
      <c r="N360" s="38">
        <f>VLOOKUP(M360,'Sheet A'!M360:AE970,2,)</f>
        <v>0.21210000000000001</v>
      </c>
      <c r="O360" s="38">
        <f>VLOOKUP(N360,'Sheet A'!N360:AF970,2,)</f>
        <v>0.51</v>
      </c>
      <c r="P360" s="38">
        <f>VLOOKUP(O360,'Sheet A'!O360:AG970,2,)</f>
        <v>0.28360000000000002</v>
      </c>
      <c r="Q360" s="38">
        <f>VLOOKUP(P360,'Sheet A'!P360:AH970,2,)</f>
        <v>8</v>
      </c>
      <c r="R360" s="38">
        <f>VLOOKUP(Q360,'Sheet A'!Q360:AI970,2,)</f>
        <v>71</v>
      </c>
      <c r="S360" s="38">
        <f>VLOOKUP(R360,'Sheet A'!R360:AJ970,2,)</f>
        <v>79</v>
      </c>
    </row>
    <row r="361" spans="1:19" x14ac:dyDescent="0.35">
      <c r="A361" s="37">
        <v>360</v>
      </c>
      <c r="B361" s="60">
        <f>VLOOKUP(A361,'Sheet A'!A361:S971,2,)</f>
        <v>40559</v>
      </c>
      <c r="C361" s="38">
        <f>VLOOKUP(B361,'Sheet A'!B361:T971,2,)</f>
        <v>1</v>
      </c>
      <c r="D361" s="38">
        <f>VLOOKUP(C361,'Sheet A'!C361:U971,2,)</f>
        <v>0</v>
      </c>
      <c r="E361" s="38">
        <f>VLOOKUP(D361,'Sheet A'!D361:V971,2,)</f>
        <v>1</v>
      </c>
      <c r="F361" s="38">
        <f>VLOOKUP(E361,'Sheet A'!E361:W971,2,)</f>
        <v>11</v>
      </c>
      <c r="G361" s="41" t="str">
        <f>VLOOKUP(F361,'Sheet A'!F361:X971,2,)</f>
        <v>Morning</v>
      </c>
      <c r="H361" s="38" t="b">
        <f>VLOOKUP(G361,'Sheet A'!G361:Y971,2,)</f>
        <v>0</v>
      </c>
      <c r="I361" s="38">
        <f>VLOOKUP(H361,'Sheet A'!H361:Z971,2,)</f>
        <v>0</v>
      </c>
      <c r="J361" s="41" t="str">
        <f>VLOOKUP(I361,'Sheet A'!I361:AA971,2,)</f>
        <v>Saturday</v>
      </c>
      <c r="K361" s="38">
        <f>VLOOKUP(J361,'Sheet A'!J361:AB971,2,)</f>
        <v>1</v>
      </c>
      <c r="L361" s="38">
        <f>VLOOKUP(K361,'Sheet A'!K361:AC971,2,)</f>
        <v>0.24</v>
      </c>
      <c r="M361" s="70" t="str">
        <f>VLOOKUP(L361,'Sheet A'!L361:AD971,2,)</f>
        <v>Cloudy</v>
      </c>
      <c r="N361" s="38">
        <f>VLOOKUP(M361,'Sheet A'!M361:AE971,2,)</f>
        <v>0.2273</v>
      </c>
      <c r="O361" s="38">
        <f>VLOOKUP(N361,'Sheet A'!N361:AF971,2,)</f>
        <v>0.44</v>
      </c>
      <c r="P361" s="38">
        <f>VLOOKUP(O361,'Sheet A'!O361:AG971,2,)</f>
        <v>0.25369999999999998</v>
      </c>
      <c r="Q361" s="38">
        <f>VLOOKUP(P361,'Sheet A'!P361:AH971,2,)</f>
        <v>23</v>
      </c>
      <c r="R361" s="38">
        <f>VLOOKUP(Q361,'Sheet A'!Q361:AI971,2,)</f>
        <v>70</v>
      </c>
      <c r="S361" s="38">
        <f>VLOOKUP(R361,'Sheet A'!R361:AJ971,2,)</f>
        <v>93</v>
      </c>
    </row>
    <row r="362" spans="1:19" x14ac:dyDescent="0.35">
      <c r="A362" s="37">
        <v>361</v>
      </c>
      <c r="B362" s="60">
        <f>VLOOKUP(A362,'Sheet A'!A362:S972,2,)</f>
        <v>40559</v>
      </c>
      <c r="C362" s="38">
        <f>VLOOKUP(B362,'Sheet A'!B362:T972,2,)</f>
        <v>1</v>
      </c>
      <c r="D362" s="38">
        <f>VLOOKUP(C362,'Sheet A'!C362:U972,2,)</f>
        <v>0</v>
      </c>
      <c r="E362" s="38">
        <f>VLOOKUP(D362,'Sheet A'!D362:V972,2,)</f>
        <v>1</v>
      </c>
      <c r="F362" s="38">
        <f>VLOOKUP(E362,'Sheet A'!E362:W972,2,)</f>
        <v>12</v>
      </c>
      <c r="G362" s="41" t="str">
        <f>VLOOKUP(F362,'Sheet A'!F362:X972,2,)</f>
        <v>AfterNoon</v>
      </c>
      <c r="H362" s="38" t="b">
        <f>VLOOKUP(G362,'Sheet A'!G362:Y972,2,)</f>
        <v>0</v>
      </c>
      <c r="I362" s="38">
        <f>VLOOKUP(H362,'Sheet A'!H362:Z972,2,)</f>
        <v>0</v>
      </c>
      <c r="J362" s="41" t="str">
        <f>VLOOKUP(I362,'Sheet A'!I362:AA972,2,)</f>
        <v>Saturday</v>
      </c>
      <c r="K362" s="38">
        <f>VLOOKUP(J362,'Sheet A'!J362:AB972,2,)</f>
        <v>1</v>
      </c>
      <c r="L362" s="38">
        <f>VLOOKUP(K362,'Sheet A'!K362:AC972,2,)</f>
        <v>0.24</v>
      </c>
      <c r="M362" s="70" t="str">
        <f>VLOOKUP(L362,'Sheet A'!L362:AD972,2,)</f>
        <v>Cloudy</v>
      </c>
      <c r="N362" s="38">
        <f>VLOOKUP(M362,'Sheet A'!M362:AE972,2,)</f>
        <v>0.21210000000000001</v>
      </c>
      <c r="O362" s="38">
        <f>VLOOKUP(N362,'Sheet A'!N362:AF972,2,)</f>
        <v>0.41</v>
      </c>
      <c r="P362" s="38">
        <f>VLOOKUP(O362,'Sheet A'!O362:AG972,2,)</f>
        <v>0.28360000000000002</v>
      </c>
      <c r="Q362" s="38">
        <f>VLOOKUP(P362,'Sheet A'!P362:AH972,2,)</f>
        <v>29</v>
      </c>
      <c r="R362" s="38">
        <f>VLOOKUP(Q362,'Sheet A'!Q362:AI972,2,)</f>
        <v>75</v>
      </c>
      <c r="S362" s="38">
        <f>VLOOKUP(R362,'Sheet A'!R362:AJ972,2,)</f>
        <v>104</v>
      </c>
    </row>
    <row r="363" spans="1:19" x14ac:dyDescent="0.35">
      <c r="A363" s="37">
        <v>362</v>
      </c>
      <c r="B363" s="60">
        <f>VLOOKUP(A363,'Sheet A'!A363:S973,2,)</f>
        <v>40559</v>
      </c>
      <c r="C363" s="38">
        <f>VLOOKUP(B363,'Sheet A'!B363:T973,2,)</f>
        <v>1</v>
      </c>
      <c r="D363" s="38">
        <f>VLOOKUP(C363,'Sheet A'!C363:U973,2,)</f>
        <v>0</v>
      </c>
      <c r="E363" s="38">
        <f>VLOOKUP(D363,'Sheet A'!D363:V973,2,)</f>
        <v>1</v>
      </c>
      <c r="F363" s="38">
        <f>VLOOKUP(E363,'Sheet A'!E363:W973,2,)</f>
        <v>13</v>
      </c>
      <c r="G363" s="41" t="str">
        <f>VLOOKUP(F363,'Sheet A'!F363:X973,2,)</f>
        <v>AfterNoon</v>
      </c>
      <c r="H363" s="38" t="b">
        <f>VLOOKUP(G363,'Sheet A'!G363:Y973,2,)</f>
        <v>0</v>
      </c>
      <c r="I363" s="38">
        <f>VLOOKUP(H363,'Sheet A'!H363:Z973,2,)</f>
        <v>0</v>
      </c>
      <c r="J363" s="41" t="str">
        <f>VLOOKUP(I363,'Sheet A'!I363:AA973,2,)</f>
        <v>Saturday</v>
      </c>
      <c r="K363" s="38">
        <f>VLOOKUP(J363,'Sheet A'!J363:AB973,2,)</f>
        <v>1</v>
      </c>
      <c r="L363" s="38">
        <f>VLOOKUP(K363,'Sheet A'!K363:AC973,2,)</f>
        <v>0.26</v>
      </c>
      <c r="M363" s="70" t="str">
        <f>VLOOKUP(L363,'Sheet A'!L363:AD973,2,)</f>
        <v>Cloudy</v>
      </c>
      <c r="N363" s="38">
        <f>VLOOKUP(M363,'Sheet A'!M363:AE973,2,)</f>
        <v>0.2273</v>
      </c>
      <c r="O363" s="38">
        <f>VLOOKUP(N363,'Sheet A'!N363:AF973,2,)</f>
        <v>0.35</v>
      </c>
      <c r="P363" s="38">
        <f>VLOOKUP(O363,'Sheet A'!O363:AG973,2,)</f>
        <v>0.29849999999999999</v>
      </c>
      <c r="Q363" s="38">
        <f>VLOOKUP(P363,'Sheet A'!P363:AH973,2,)</f>
        <v>23</v>
      </c>
      <c r="R363" s="38">
        <f>VLOOKUP(Q363,'Sheet A'!Q363:AI973,2,)</f>
        <v>95</v>
      </c>
      <c r="S363" s="38">
        <f>VLOOKUP(R363,'Sheet A'!R363:AJ973,2,)</f>
        <v>118</v>
      </c>
    </row>
    <row r="364" spans="1:19" x14ac:dyDescent="0.35">
      <c r="A364" s="37">
        <v>363</v>
      </c>
      <c r="B364" s="60">
        <f>VLOOKUP(A364,'Sheet A'!A364:S974,2,)</f>
        <v>40559</v>
      </c>
      <c r="C364" s="38">
        <f>VLOOKUP(B364,'Sheet A'!B364:T974,2,)</f>
        <v>1</v>
      </c>
      <c r="D364" s="38">
        <f>VLOOKUP(C364,'Sheet A'!C364:U974,2,)</f>
        <v>0</v>
      </c>
      <c r="E364" s="38">
        <f>VLOOKUP(D364,'Sheet A'!D364:V974,2,)</f>
        <v>1</v>
      </c>
      <c r="F364" s="38">
        <f>VLOOKUP(E364,'Sheet A'!E364:W974,2,)</f>
        <v>14</v>
      </c>
      <c r="G364" s="41" t="str">
        <f>VLOOKUP(F364,'Sheet A'!F364:X974,2,)</f>
        <v>AfterNoon</v>
      </c>
      <c r="H364" s="38" t="b">
        <f>VLOOKUP(G364,'Sheet A'!G364:Y974,2,)</f>
        <v>0</v>
      </c>
      <c r="I364" s="38">
        <f>VLOOKUP(H364,'Sheet A'!H364:Z974,2,)</f>
        <v>0</v>
      </c>
      <c r="J364" s="41" t="str">
        <f>VLOOKUP(I364,'Sheet A'!I364:AA974,2,)</f>
        <v>Saturday</v>
      </c>
      <c r="K364" s="38">
        <f>VLOOKUP(J364,'Sheet A'!J364:AB974,2,)</f>
        <v>1</v>
      </c>
      <c r="L364" s="38">
        <f>VLOOKUP(K364,'Sheet A'!K364:AC974,2,)</f>
        <v>0.28000000000000003</v>
      </c>
      <c r="M364" s="70" t="str">
        <f>VLOOKUP(L364,'Sheet A'!L364:AD974,2,)</f>
        <v>Cloudy</v>
      </c>
      <c r="N364" s="38">
        <f>VLOOKUP(M364,'Sheet A'!M364:AE974,2,)</f>
        <v>0.2727</v>
      </c>
      <c r="O364" s="38">
        <f>VLOOKUP(N364,'Sheet A'!N364:AF974,2,)</f>
        <v>0.36</v>
      </c>
      <c r="P364" s="38">
        <f>VLOOKUP(O364,'Sheet A'!O364:AG974,2,)</f>
        <v>0.25369999999999998</v>
      </c>
      <c r="Q364" s="38">
        <f>VLOOKUP(P364,'Sheet A'!P364:AH974,2,)</f>
        <v>22</v>
      </c>
      <c r="R364" s="38">
        <f>VLOOKUP(Q364,'Sheet A'!Q364:AI974,2,)</f>
        <v>69</v>
      </c>
      <c r="S364" s="38">
        <f>VLOOKUP(R364,'Sheet A'!R364:AJ974,2,)</f>
        <v>91</v>
      </c>
    </row>
    <row r="365" spans="1:19" x14ac:dyDescent="0.35">
      <c r="A365" s="37">
        <v>364</v>
      </c>
      <c r="B365" s="60">
        <f>VLOOKUP(A365,'Sheet A'!A365:S975,2,)</f>
        <v>40559</v>
      </c>
      <c r="C365" s="38">
        <f>VLOOKUP(B365,'Sheet A'!B365:T975,2,)</f>
        <v>1</v>
      </c>
      <c r="D365" s="38">
        <f>VLOOKUP(C365,'Sheet A'!C365:U975,2,)</f>
        <v>0</v>
      </c>
      <c r="E365" s="38">
        <f>VLOOKUP(D365,'Sheet A'!D365:V975,2,)</f>
        <v>1</v>
      </c>
      <c r="F365" s="38">
        <f>VLOOKUP(E365,'Sheet A'!E365:W975,2,)</f>
        <v>15</v>
      </c>
      <c r="G365" s="41" t="str">
        <f>VLOOKUP(F365,'Sheet A'!F365:X975,2,)</f>
        <v>AfterNoon</v>
      </c>
      <c r="H365" s="38" t="b">
        <f>VLOOKUP(G365,'Sheet A'!G365:Y975,2,)</f>
        <v>0</v>
      </c>
      <c r="I365" s="38">
        <f>VLOOKUP(H365,'Sheet A'!H365:Z975,2,)</f>
        <v>0</v>
      </c>
      <c r="J365" s="41" t="str">
        <f>VLOOKUP(I365,'Sheet A'!I365:AA975,2,)</f>
        <v>Saturday</v>
      </c>
      <c r="K365" s="38">
        <f>VLOOKUP(J365,'Sheet A'!J365:AB975,2,)</f>
        <v>1</v>
      </c>
      <c r="L365" s="38">
        <f>VLOOKUP(K365,'Sheet A'!K365:AC975,2,)</f>
        <v>0.26</v>
      </c>
      <c r="M365" s="70" t="str">
        <f>VLOOKUP(L365,'Sheet A'!L365:AD975,2,)</f>
        <v>Cloudy</v>
      </c>
      <c r="N365" s="38">
        <f>VLOOKUP(M365,'Sheet A'!M365:AE975,2,)</f>
        <v>0.2424</v>
      </c>
      <c r="O365" s="38">
        <f>VLOOKUP(N365,'Sheet A'!N365:AF975,2,)</f>
        <v>0.38</v>
      </c>
      <c r="P365" s="38">
        <f>VLOOKUP(O365,'Sheet A'!O365:AG975,2,)</f>
        <v>0.25369999999999998</v>
      </c>
      <c r="Q365" s="38">
        <f>VLOOKUP(P365,'Sheet A'!P365:AH975,2,)</f>
        <v>35</v>
      </c>
      <c r="R365" s="38">
        <f>VLOOKUP(Q365,'Sheet A'!Q365:AI975,2,)</f>
        <v>78</v>
      </c>
      <c r="S365" s="38">
        <f>VLOOKUP(R365,'Sheet A'!R365:AJ975,2,)</f>
        <v>113</v>
      </c>
    </row>
    <row r="366" spans="1:19" x14ac:dyDescent="0.35">
      <c r="A366" s="37">
        <v>365</v>
      </c>
      <c r="B366" s="60">
        <f>VLOOKUP(A366,'Sheet A'!A366:S976,2,)</f>
        <v>40559</v>
      </c>
      <c r="C366" s="38">
        <f>VLOOKUP(B366,'Sheet A'!B366:T976,2,)</f>
        <v>1</v>
      </c>
      <c r="D366" s="38">
        <f>VLOOKUP(C366,'Sheet A'!C366:U976,2,)</f>
        <v>0</v>
      </c>
      <c r="E366" s="38">
        <f>VLOOKUP(D366,'Sheet A'!D366:V976,2,)</f>
        <v>1</v>
      </c>
      <c r="F366" s="38">
        <f>VLOOKUP(E366,'Sheet A'!E366:W976,2,)</f>
        <v>16</v>
      </c>
      <c r="G366" s="41" t="str">
        <f>VLOOKUP(F366,'Sheet A'!F366:X976,2,)</f>
        <v>AfterNoon</v>
      </c>
      <c r="H366" s="38" t="b">
        <f>VLOOKUP(G366,'Sheet A'!G366:Y976,2,)</f>
        <v>0</v>
      </c>
      <c r="I366" s="38">
        <f>VLOOKUP(H366,'Sheet A'!H366:Z976,2,)</f>
        <v>0</v>
      </c>
      <c r="J366" s="41" t="str">
        <f>VLOOKUP(I366,'Sheet A'!I366:AA976,2,)</f>
        <v>Saturday</v>
      </c>
      <c r="K366" s="38">
        <f>VLOOKUP(J366,'Sheet A'!J366:AB976,2,)</f>
        <v>1</v>
      </c>
      <c r="L366" s="38">
        <f>VLOOKUP(K366,'Sheet A'!K366:AC976,2,)</f>
        <v>0.24</v>
      </c>
      <c r="M366" s="70" t="str">
        <f>VLOOKUP(L366,'Sheet A'!L366:AD976,2,)</f>
        <v>Cloudy</v>
      </c>
      <c r="N366" s="38">
        <f>VLOOKUP(M366,'Sheet A'!M366:AE976,2,)</f>
        <v>0.2273</v>
      </c>
      <c r="O366" s="38">
        <f>VLOOKUP(N366,'Sheet A'!N366:AF976,2,)</f>
        <v>0.38</v>
      </c>
      <c r="P366" s="38">
        <f>VLOOKUP(O366,'Sheet A'!O366:AG976,2,)</f>
        <v>0.22389999999999999</v>
      </c>
      <c r="Q366" s="38">
        <f>VLOOKUP(P366,'Sheet A'!P366:AH976,2,)</f>
        <v>22</v>
      </c>
      <c r="R366" s="38">
        <f>VLOOKUP(Q366,'Sheet A'!Q366:AI976,2,)</f>
        <v>77</v>
      </c>
      <c r="S366" s="38">
        <f>VLOOKUP(R366,'Sheet A'!R366:AJ976,2,)</f>
        <v>99</v>
      </c>
    </row>
    <row r="367" spans="1:19" x14ac:dyDescent="0.35">
      <c r="A367" s="37">
        <v>366</v>
      </c>
      <c r="B367" s="60">
        <f>VLOOKUP(A367,'Sheet A'!A367:S977,2,)</f>
        <v>40559</v>
      </c>
      <c r="C367" s="38">
        <f>VLOOKUP(B367,'Sheet A'!B367:T977,2,)</f>
        <v>1</v>
      </c>
      <c r="D367" s="38">
        <f>VLOOKUP(C367,'Sheet A'!C367:U977,2,)</f>
        <v>0</v>
      </c>
      <c r="E367" s="38">
        <f>VLOOKUP(D367,'Sheet A'!D367:V977,2,)</f>
        <v>1</v>
      </c>
      <c r="F367" s="38">
        <f>VLOOKUP(E367,'Sheet A'!E367:W977,2,)</f>
        <v>17</v>
      </c>
      <c r="G367" s="41" t="str">
        <f>VLOOKUP(F367,'Sheet A'!F367:X977,2,)</f>
        <v>Evening</v>
      </c>
      <c r="H367" s="38" t="b">
        <f>VLOOKUP(G367,'Sheet A'!G367:Y977,2,)</f>
        <v>0</v>
      </c>
      <c r="I367" s="38">
        <f>VLOOKUP(H367,'Sheet A'!H367:Z977,2,)</f>
        <v>0</v>
      </c>
      <c r="J367" s="41" t="str">
        <f>VLOOKUP(I367,'Sheet A'!I367:AA977,2,)</f>
        <v>Saturday</v>
      </c>
      <c r="K367" s="38">
        <f>VLOOKUP(J367,'Sheet A'!J367:AB977,2,)</f>
        <v>1</v>
      </c>
      <c r="L367" s="38">
        <f>VLOOKUP(K367,'Sheet A'!K367:AC977,2,)</f>
        <v>0.22</v>
      </c>
      <c r="M367" s="70" t="str">
        <f>VLOOKUP(L367,'Sheet A'!L367:AD977,2,)</f>
        <v>Cloudy</v>
      </c>
      <c r="N367" s="38">
        <f>VLOOKUP(M367,'Sheet A'!M367:AE977,2,)</f>
        <v>0.21210000000000001</v>
      </c>
      <c r="O367" s="38">
        <f>VLOOKUP(N367,'Sheet A'!N367:AF977,2,)</f>
        <v>0.37</v>
      </c>
      <c r="P367" s="38">
        <f>VLOOKUP(O367,'Sheet A'!O367:AG977,2,)</f>
        <v>0.25369999999999998</v>
      </c>
      <c r="Q367" s="38">
        <f>VLOOKUP(P367,'Sheet A'!P367:AH977,2,)</f>
        <v>23</v>
      </c>
      <c r="R367" s="38">
        <f>VLOOKUP(Q367,'Sheet A'!Q367:AI977,2,)</f>
        <v>82</v>
      </c>
      <c r="S367" s="38">
        <f>VLOOKUP(R367,'Sheet A'!R367:AJ977,2,)</f>
        <v>105</v>
      </c>
    </row>
    <row r="368" spans="1:19" x14ac:dyDescent="0.35">
      <c r="A368" s="37">
        <v>367</v>
      </c>
      <c r="B368" s="60">
        <f>VLOOKUP(A368,'Sheet A'!A368:S978,2,)</f>
        <v>40559</v>
      </c>
      <c r="C368" s="38">
        <f>VLOOKUP(B368,'Sheet A'!B368:T978,2,)</f>
        <v>1</v>
      </c>
      <c r="D368" s="38">
        <f>VLOOKUP(C368,'Sheet A'!C368:U978,2,)</f>
        <v>0</v>
      </c>
      <c r="E368" s="38">
        <f>VLOOKUP(D368,'Sheet A'!D368:V978,2,)</f>
        <v>1</v>
      </c>
      <c r="F368" s="38">
        <f>VLOOKUP(E368,'Sheet A'!E368:W978,2,)</f>
        <v>18</v>
      </c>
      <c r="G368" s="41" t="str">
        <f>VLOOKUP(F368,'Sheet A'!F368:X978,2,)</f>
        <v>Evening</v>
      </c>
      <c r="H368" s="38" t="b">
        <f>VLOOKUP(G368,'Sheet A'!G368:Y978,2,)</f>
        <v>0</v>
      </c>
      <c r="I368" s="38">
        <f>VLOOKUP(H368,'Sheet A'!H368:Z978,2,)</f>
        <v>0</v>
      </c>
      <c r="J368" s="41" t="str">
        <f>VLOOKUP(I368,'Sheet A'!I368:AA978,2,)</f>
        <v>Saturday</v>
      </c>
      <c r="K368" s="38">
        <f>VLOOKUP(J368,'Sheet A'!J368:AB978,2,)</f>
        <v>1</v>
      </c>
      <c r="L368" s="38">
        <f>VLOOKUP(K368,'Sheet A'!K368:AC978,2,)</f>
        <v>0.2</v>
      </c>
      <c r="M368" s="70" t="str">
        <f>VLOOKUP(L368,'Sheet A'!L368:AD978,2,)</f>
        <v>Rainy</v>
      </c>
      <c r="N368" s="38">
        <f>VLOOKUP(M368,'Sheet A'!M368:AE978,2,)</f>
        <v>0.21210000000000001</v>
      </c>
      <c r="O368" s="38">
        <f>VLOOKUP(N368,'Sheet A'!N368:AF978,2,)</f>
        <v>0.4</v>
      </c>
      <c r="P368" s="38">
        <f>VLOOKUP(O368,'Sheet A'!O368:AG978,2,)</f>
        <v>0.16420000000000001</v>
      </c>
      <c r="Q368" s="38">
        <f>VLOOKUP(P368,'Sheet A'!P368:AH978,2,)</f>
        <v>11</v>
      </c>
      <c r="R368" s="38">
        <f>VLOOKUP(Q368,'Sheet A'!Q368:AI978,2,)</f>
        <v>56</v>
      </c>
      <c r="S368" s="38">
        <f>VLOOKUP(R368,'Sheet A'!R368:AJ978,2,)</f>
        <v>67</v>
      </c>
    </row>
    <row r="369" spans="1:19" x14ac:dyDescent="0.35">
      <c r="A369" s="37">
        <v>368</v>
      </c>
      <c r="B369" s="60">
        <f>VLOOKUP(A369,'Sheet A'!A369:S979,2,)</f>
        <v>40559</v>
      </c>
      <c r="C369" s="38">
        <f>VLOOKUP(B369,'Sheet A'!B369:T979,2,)</f>
        <v>1</v>
      </c>
      <c r="D369" s="38">
        <f>VLOOKUP(C369,'Sheet A'!C369:U979,2,)</f>
        <v>0</v>
      </c>
      <c r="E369" s="38">
        <f>VLOOKUP(D369,'Sheet A'!D369:V979,2,)</f>
        <v>1</v>
      </c>
      <c r="F369" s="38">
        <f>VLOOKUP(E369,'Sheet A'!E369:W979,2,)</f>
        <v>19</v>
      </c>
      <c r="G369" s="41" t="str">
        <f>VLOOKUP(F369,'Sheet A'!F369:X979,2,)</f>
        <v>Evening</v>
      </c>
      <c r="H369" s="38" t="b">
        <f>VLOOKUP(G369,'Sheet A'!G369:Y979,2,)</f>
        <v>0</v>
      </c>
      <c r="I369" s="38">
        <f>VLOOKUP(H369,'Sheet A'!H369:Z979,2,)</f>
        <v>0</v>
      </c>
      <c r="J369" s="41" t="str">
        <f>VLOOKUP(I369,'Sheet A'!I369:AA979,2,)</f>
        <v>Saturday</v>
      </c>
      <c r="K369" s="38">
        <f>VLOOKUP(J369,'Sheet A'!J369:AB979,2,)</f>
        <v>1</v>
      </c>
      <c r="L369" s="38">
        <f>VLOOKUP(K369,'Sheet A'!K369:AC979,2,)</f>
        <v>0.18</v>
      </c>
      <c r="M369" s="70" t="str">
        <f>VLOOKUP(L369,'Sheet A'!L369:AD979,2,)</f>
        <v>Rainy</v>
      </c>
      <c r="N369" s="38">
        <f>VLOOKUP(M369,'Sheet A'!M369:AE979,2,)</f>
        <v>0.19700000000000001</v>
      </c>
      <c r="O369" s="38">
        <f>VLOOKUP(N369,'Sheet A'!N369:AF979,2,)</f>
        <v>0.47</v>
      </c>
      <c r="P369" s="38">
        <f>VLOOKUP(O369,'Sheet A'!O369:AG979,2,)</f>
        <v>0.1343</v>
      </c>
      <c r="Q369" s="38">
        <f>VLOOKUP(P369,'Sheet A'!P369:AH979,2,)</f>
        <v>14</v>
      </c>
      <c r="R369" s="38">
        <f>VLOOKUP(Q369,'Sheet A'!Q369:AI979,2,)</f>
        <v>47</v>
      </c>
      <c r="S369" s="38">
        <f>VLOOKUP(R369,'Sheet A'!R369:AJ979,2,)</f>
        <v>61</v>
      </c>
    </row>
    <row r="370" spans="1:19" x14ac:dyDescent="0.35">
      <c r="A370" s="37">
        <v>369</v>
      </c>
      <c r="B370" s="60">
        <f>VLOOKUP(A370,'Sheet A'!A370:S980,2,)</f>
        <v>40559</v>
      </c>
      <c r="C370" s="38">
        <f>VLOOKUP(B370,'Sheet A'!B370:T980,2,)</f>
        <v>1</v>
      </c>
      <c r="D370" s="38">
        <f>VLOOKUP(C370,'Sheet A'!C370:U980,2,)</f>
        <v>0</v>
      </c>
      <c r="E370" s="38">
        <f>VLOOKUP(D370,'Sheet A'!D370:V980,2,)</f>
        <v>1</v>
      </c>
      <c r="F370" s="38">
        <f>VLOOKUP(E370,'Sheet A'!E370:W980,2,)</f>
        <v>20</v>
      </c>
      <c r="G370" s="41" t="str">
        <f>VLOOKUP(F370,'Sheet A'!F370:X980,2,)</f>
        <v>Night</v>
      </c>
      <c r="H370" s="38" t="b">
        <f>VLOOKUP(G370,'Sheet A'!G370:Y980,2,)</f>
        <v>0</v>
      </c>
      <c r="I370" s="38">
        <f>VLOOKUP(H370,'Sheet A'!H370:Z980,2,)</f>
        <v>0</v>
      </c>
      <c r="J370" s="41" t="str">
        <f>VLOOKUP(I370,'Sheet A'!I370:AA980,2,)</f>
        <v>Saturday</v>
      </c>
      <c r="K370" s="38">
        <f>VLOOKUP(J370,'Sheet A'!J370:AB980,2,)</f>
        <v>1</v>
      </c>
      <c r="L370" s="38">
        <f>VLOOKUP(K370,'Sheet A'!K370:AC980,2,)</f>
        <v>0.18</v>
      </c>
      <c r="M370" s="70" t="str">
        <f>VLOOKUP(L370,'Sheet A'!L370:AD980,2,)</f>
        <v>Rainy</v>
      </c>
      <c r="N370" s="38">
        <f>VLOOKUP(M370,'Sheet A'!M370:AE980,2,)</f>
        <v>0.19700000000000001</v>
      </c>
      <c r="O370" s="38">
        <f>VLOOKUP(N370,'Sheet A'!N370:AF980,2,)</f>
        <v>0.47</v>
      </c>
      <c r="P370" s="38">
        <f>VLOOKUP(O370,'Sheet A'!O370:AG980,2,)</f>
        <v>0.16420000000000001</v>
      </c>
      <c r="Q370" s="38">
        <f>VLOOKUP(P370,'Sheet A'!P370:AH980,2,)</f>
        <v>7</v>
      </c>
      <c r="R370" s="38">
        <f>VLOOKUP(Q370,'Sheet A'!Q370:AI980,2,)</f>
        <v>50</v>
      </c>
      <c r="S370" s="38">
        <f>VLOOKUP(R370,'Sheet A'!R370:AJ980,2,)</f>
        <v>57</v>
      </c>
    </row>
    <row r="371" spans="1:19" x14ac:dyDescent="0.35">
      <c r="A371" s="37">
        <v>370</v>
      </c>
      <c r="B371" s="60">
        <f>VLOOKUP(A371,'Sheet A'!A371:S981,2,)</f>
        <v>40559</v>
      </c>
      <c r="C371" s="38">
        <f>VLOOKUP(B371,'Sheet A'!B371:T981,2,)</f>
        <v>1</v>
      </c>
      <c r="D371" s="38">
        <f>VLOOKUP(C371,'Sheet A'!C371:U981,2,)</f>
        <v>0</v>
      </c>
      <c r="E371" s="38">
        <f>VLOOKUP(D371,'Sheet A'!D371:V981,2,)</f>
        <v>1</v>
      </c>
      <c r="F371" s="38">
        <f>VLOOKUP(E371,'Sheet A'!E371:W981,2,)</f>
        <v>21</v>
      </c>
      <c r="G371" s="41" t="str">
        <f>VLOOKUP(F371,'Sheet A'!F371:X981,2,)</f>
        <v>Night</v>
      </c>
      <c r="H371" s="38" t="b">
        <f>VLOOKUP(G371,'Sheet A'!G371:Y981,2,)</f>
        <v>0</v>
      </c>
      <c r="I371" s="38">
        <f>VLOOKUP(H371,'Sheet A'!H371:Z981,2,)</f>
        <v>0</v>
      </c>
      <c r="J371" s="41" t="str">
        <f>VLOOKUP(I371,'Sheet A'!I371:AA981,2,)</f>
        <v>Saturday</v>
      </c>
      <c r="K371" s="38">
        <f>VLOOKUP(J371,'Sheet A'!J371:AB981,2,)</f>
        <v>1</v>
      </c>
      <c r="L371" s="38">
        <f>VLOOKUP(K371,'Sheet A'!K371:AC981,2,)</f>
        <v>0.18</v>
      </c>
      <c r="M371" s="70" t="str">
        <f>VLOOKUP(L371,'Sheet A'!L371:AD981,2,)</f>
        <v>Rainy</v>
      </c>
      <c r="N371" s="38">
        <f>VLOOKUP(M371,'Sheet A'!M371:AE981,2,)</f>
        <v>0.19700000000000001</v>
      </c>
      <c r="O371" s="38">
        <f>VLOOKUP(N371,'Sheet A'!N371:AF981,2,)</f>
        <v>0.51</v>
      </c>
      <c r="P371" s="38">
        <f>VLOOKUP(O371,'Sheet A'!O371:AG981,2,)</f>
        <v>0.16420000000000001</v>
      </c>
      <c r="Q371" s="38">
        <f>VLOOKUP(P371,'Sheet A'!P371:AH981,2,)</f>
        <v>6</v>
      </c>
      <c r="R371" s="38">
        <f>VLOOKUP(Q371,'Sheet A'!Q371:AI981,2,)</f>
        <v>22</v>
      </c>
      <c r="S371" s="38">
        <f>VLOOKUP(R371,'Sheet A'!R371:AJ981,2,)</f>
        <v>28</v>
      </c>
    </row>
    <row r="372" spans="1:19" x14ac:dyDescent="0.35">
      <c r="A372" s="37">
        <v>371</v>
      </c>
      <c r="B372" s="60">
        <f>VLOOKUP(A372,'Sheet A'!A372:S982,2,)</f>
        <v>40559</v>
      </c>
      <c r="C372" s="38">
        <f>VLOOKUP(B372,'Sheet A'!B372:T982,2,)</f>
        <v>1</v>
      </c>
      <c r="D372" s="38">
        <f>VLOOKUP(C372,'Sheet A'!C372:U982,2,)</f>
        <v>0</v>
      </c>
      <c r="E372" s="38">
        <f>VLOOKUP(D372,'Sheet A'!D372:V982,2,)</f>
        <v>1</v>
      </c>
      <c r="F372" s="38">
        <f>VLOOKUP(E372,'Sheet A'!E372:W982,2,)</f>
        <v>22</v>
      </c>
      <c r="G372" s="41" t="str">
        <f>VLOOKUP(F372,'Sheet A'!F372:X982,2,)</f>
        <v>Night</v>
      </c>
      <c r="H372" s="38" t="b">
        <f>VLOOKUP(G372,'Sheet A'!G372:Y982,2,)</f>
        <v>0</v>
      </c>
      <c r="I372" s="38">
        <f>VLOOKUP(H372,'Sheet A'!H372:Z982,2,)</f>
        <v>0</v>
      </c>
      <c r="J372" s="41" t="str">
        <f>VLOOKUP(I372,'Sheet A'!I372:AA982,2,)</f>
        <v>Saturday</v>
      </c>
      <c r="K372" s="38">
        <f>VLOOKUP(J372,'Sheet A'!J372:AB982,2,)</f>
        <v>2</v>
      </c>
      <c r="L372" s="38">
        <f>VLOOKUP(K372,'Sheet A'!K372:AC982,2,)</f>
        <v>0.2</v>
      </c>
      <c r="M372" s="70" t="str">
        <f>VLOOKUP(L372,'Sheet A'!L372:AD982,2,)</f>
        <v>Rainy</v>
      </c>
      <c r="N372" s="38">
        <f>VLOOKUP(M372,'Sheet A'!M372:AE982,2,)</f>
        <v>0.21210000000000001</v>
      </c>
      <c r="O372" s="38">
        <f>VLOOKUP(N372,'Sheet A'!N372:AF982,2,)</f>
        <v>0.49</v>
      </c>
      <c r="P372" s="38">
        <f>VLOOKUP(O372,'Sheet A'!O372:AG982,2,)</f>
        <v>0.1343</v>
      </c>
      <c r="Q372" s="38">
        <f>VLOOKUP(P372,'Sheet A'!P372:AH982,2,)</f>
        <v>2</v>
      </c>
      <c r="R372" s="38">
        <f>VLOOKUP(Q372,'Sheet A'!Q372:AI982,2,)</f>
        <v>19</v>
      </c>
      <c r="S372" s="38">
        <f>VLOOKUP(R372,'Sheet A'!R372:AJ982,2,)</f>
        <v>21</v>
      </c>
    </row>
    <row r="373" spans="1:19" x14ac:dyDescent="0.35">
      <c r="A373" s="37">
        <v>372</v>
      </c>
      <c r="B373" s="60">
        <f>VLOOKUP(A373,'Sheet A'!A373:S983,2,)</f>
        <v>40559</v>
      </c>
      <c r="C373" s="38">
        <f>VLOOKUP(B373,'Sheet A'!B373:T983,2,)</f>
        <v>1</v>
      </c>
      <c r="D373" s="38">
        <f>VLOOKUP(C373,'Sheet A'!C373:U983,2,)</f>
        <v>0</v>
      </c>
      <c r="E373" s="38">
        <f>VLOOKUP(D373,'Sheet A'!D373:V983,2,)</f>
        <v>1</v>
      </c>
      <c r="F373" s="38">
        <f>VLOOKUP(E373,'Sheet A'!E373:W983,2,)</f>
        <v>23</v>
      </c>
      <c r="G373" s="41" t="str">
        <f>VLOOKUP(F373,'Sheet A'!F373:X983,2,)</f>
        <v>Night</v>
      </c>
      <c r="H373" s="38" t="b">
        <f>VLOOKUP(G373,'Sheet A'!G373:Y983,2,)</f>
        <v>0</v>
      </c>
      <c r="I373" s="38">
        <f>VLOOKUP(H373,'Sheet A'!H373:Z983,2,)</f>
        <v>0</v>
      </c>
      <c r="J373" s="41" t="str">
        <f>VLOOKUP(I373,'Sheet A'!I373:AA983,2,)</f>
        <v>Saturday</v>
      </c>
      <c r="K373" s="38">
        <f>VLOOKUP(J373,'Sheet A'!J373:AB983,2,)</f>
        <v>2</v>
      </c>
      <c r="L373" s="38">
        <f>VLOOKUP(K373,'Sheet A'!K373:AC983,2,)</f>
        <v>0.2</v>
      </c>
      <c r="M373" s="70" t="str">
        <f>VLOOKUP(L373,'Sheet A'!L373:AD983,2,)</f>
        <v>Rainy</v>
      </c>
      <c r="N373" s="38">
        <f>VLOOKUP(M373,'Sheet A'!M373:AE983,2,)</f>
        <v>0.2273</v>
      </c>
      <c r="O373" s="38">
        <f>VLOOKUP(N373,'Sheet A'!N373:AF983,2,)</f>
        <v>0.4</v>
      </c>
      <c r="P373" s="38">
        <f>VLOOKUP(O373,'Sheet A'!O373:AG983,2,)</f>
        <v>0.1045</v>
      </c>
      <c r="Q373" s="38">
        <f>VLOOKUP(P373,'Sheet A'!P373:AH983,2,)</f>
        <v>0</v>
      </c>
      <c r="R373" s="38">
        <f>VLOOKUP(Q373,'Sheet A'!Q373:AI983,2,)</f>
        <v>18</v>
      </c>
      <c r="S373" s="38">
        <f>VLOOKUP(R373,'Sheet A'!R373:AJ983,2,)</f>
        <v>18</v>
      </c>
    </row>
    <row r="374" spans="1:19" x14ac:dyDescent="0.35">
      <c r="A374" s="37">
        <v>373</v>
      </c>
      <c r="B374" s="60">
        <f>VLOOKUP(A374,'Sheet A'!A374:S984,2,)</f>
        <v>40560</v>
      </c>
      <c r="C374" s="38">
        <f>VLOOKUP(B374,'Sheet A'!B374:T984,2,)</f>
        <v>1</v>
      </c>
      <c r="D374" s="38">
        <f>VLOOKUP(C374,'Sheet A'!C374:U984,2,)</f>
        <v>0</v>
      </c>
      <c r="E374" s="38">
        <f>VLOOKUP(D374,'Sheet A'!D374:V984,2,)</f>
        <v>1</v>
      </c>
      <c r="F374" s="38">
        <f>VLOOKUP(E374,'Sheet A'!E374:W984,2,)</f>
        <v>0</v>
      </c>
      <c r="G374" s="41" t="str">
        <f>VLOOKUP(F374,'Sheet A'!F374:X984,2,)</f>
        <v>Night</v>
      </c>
      <c r="H374" s="38" t="b">
        <f>VLOOKUP(G374,'Sheet A'!G374:Y984,2,)</f>
        <v>1</v>
      </c>
      <c r="I374" s="38">
        <f>VLOOKUP(H374,'Sheet A'!H374:Z984,2,)</f>
        <v>1</v>
      </c>
      <c r="J374" s="41" t="str">
        <f>VLOOKUP(I374,'Sheet A'!I374:AA984,2,)</f>
        <v>Sunday</v>
      </c>
      <c r="K374" s="38">
        <f>VLOOKUP(J374,'Sheet A'!J374:AB984,2,)</f>
        <v>2</v>
      </c>
      <c r="L374" s="38">
        <f>VLOOKUP(K374,'Sheet A'!K374:AC984,2,)</f>
        <v>0.2</v>
      </c>
      <c r="M374" s="70" t="str">
        <f>VLOOKUP(L374,'Sheet A'!L374:AD984,2,)</f>
        <v>Rainy</v>
      </c>
      <c r="N374" s="38">
        <f>VLOOKUP(M374,'Sheet A'!M374:AE984,2,)</f>
        <v>0.19700000000000001</v>
      </c>
      <c r="O374" s="38">
        <f>VLOOKUP(N374,'Sheet A'!N374:AF984,2,)</f>
        <v>0.47</v>
      </c>
      <c r="P374" s="38">
        <f>VLOOKUP(O374,'Sheet A'!O374:AG984,2,)</f>
        <v>0.22389999999999999</v>
      </c>
      <c r="Q374" s="38">
        <f>VLOOKUP(P374,'Sheet A'!P374:AH984,2,)</f>
        <v>1</v>
      </c>
      <c r="R374" s="38">
        <f>VLOOKUP(Q374,'Sheet A'!Q374:AI984,2,)</f>
        <v>16</v>
      </c>
      <c r="S374" s="38">
        <f>VLOOKUP(R374,'Sheet A'!R374:AJ984,2,)</f>
        <v>17</v>
      </c>
    </row>
    <row r="375" spans="1:19" x14ac:dyDescent="0.35">
      <c r="A375" s="37">
        <v>374</v>
      </c>
      <c r="B375" s="60">
        <f>VLOOKUP(A375,'Sheet A'!A375:S985,2,)</f>
        <v>40560</v>
      </c>
      <c r="C375" s="38">
        <f>VLOOKUP(B375,'Sheet A'!B375:T985,2,)</f>
        <v>1</v>
      </c>
      <c r="D375" s="38">
        <f>VLOOKUP(C375,'Sheet A'!C375:U985,2,)</f>
        <v>0</v>
      </c>
      <c r="E375" s="38">
        <f>VLOOKUP(D375,'Sheet A'!D375:V985,2,)</f>
        <v>1</v>
      </c>
      <c r="F375" s="38">
        <f>VLOOKUP(E375,'Sheet A'!E375:W985,2,)</f>
        <v>1</v>
      </c>
      <c r="G375" s="41" t="str">
        <f>VLOOKUP(F375,'Sheet A'!F375:X985,2,)</f>
        <v>Night</v>
      </c>
      <c r="H375" s="38" t="b">
        <f>VLOOKUP(G375,'Sheet A'!G375:Y985,2,)</f>
        <v>1</v>
      </c>
      <c r="I375" s="38">
        <f>VLOOKUP(H375,'Sheet A'!H375:Z985,2,)</f>
        <v>1</v>
      </c>
      <c r="J375" s="41" t="str">
        <f>VLOOKUP(I375,'Sheet A'!I375:AA985,2,)</f>
        <v>Sunday</v>
      </c>
      <c r="K375" s="38">
        <f>VLOOKUP(J375,'Sheet A'!J375:AB985,2,)</f>
        <v>2</v>
      </c>
      <c r="L375" s="38">
        <f>VLOOKUP(K375,'Sheet A'!K375:AC985,2,)</f>
        <v>0.2</v>
      </c>
      <c r="M375" s="70" t="str">
        <f>VLOOKUP(L375,'Sheet A'!L375:AD985,2,)</f>
        <v>Rainy</v>
      </c>
      <c r="N375" s="38">
        <f>VLOOKUP(M375,'Sheet A'!M375:AE985,2,)</f>
        <v>0.19700000000000001</v>
      </c>
      <c r="O375" s="38">
        <f>VLOOKUP(N375,'Sheet A'!N375:AF985,2,)</f>
        <v>0.44</v>
      </c>
      <c r="P375" s="38">
        <f>VLOOKUP(O375,'Sheet A'!O375:AG985,2,)</f>
        <v>0.19400000000000001</v>
      </c>
      <c r="Q375" s="38">
        <f>VLOOKUP(P375,'Sheet A'!P375:AH985,2,)</f>
        <v>1</v>
      </c>
      <c r="R375" s="38">
        <f>VLOOKUP(Q375,'Sheet A'!Q375:AI985,2,)</f>
        <v>15</v>
      </c>
      <c r="S375" s="38">
        <f>VLOOKUP(R375,'Sheet A'!R375:AJ985,2,)</f>
        <v>16</v>
      </c>
    </row>
    <row r="376" spans="1:19" x14ac:dyDescent="0.35">
      <c r="A376" s="37">
        <v>375</v>
      </c>
      <c r="B376" s="60">
        <f>VLOOKUP(A376,'Sheet A'!A376:S986,2,)</f>
        <v>40560</v>
      </c>
      <c r="C376" s="38">
        <f>VLOOKUP(B376,'Sheet A'!B376:T986,2,)</f>
        <v>1</v>
      </c>
      <c r="D376" s="38">
        <f>VLOOKUP(C376,'Sheet A'!C376:U986,2,)</f>
        <v>0</v>
      </c>
      <c r="E376" s="38">
        <f>VLOOKUP(D376,'Sheet A'!D376:V986,2,)</f>
        <v>1</v>
      </c>
      <c r="F376" s="38">
        <f>VLOOKUP(E376,'Sheet A'!E376:W986,2,)</f>
        <v>2</v>
      </c>
      <c r="G376" s="41" t="str">
        <f>VLOOKUP(F376,'Sheet A'!F376:X986,2,)</f>
        <v>Night</v>
      </c>
      <c r="H376" s="38" t="b">
        <f>VLOOKUP(G376,'Sheet A'!G376:Y986,2,)</f>
        <v>1</v>
      </c>
      <c r="I376" s="38">
        <f>VLOOKUP(H376,'Sheet A'!H376:Z986,2,)</f>
        <v>1</v>
      </c>
      <c r="J376" s="41" t="str">
        <f>VLOOKUP(I376,'Sheet A'!I376:AA986,2,)</f>
        <v>Sunday</v>
      </c>
      <c r="K376" s="38">
        <f>VLOOKUP(J376,'Sheet A'!J376:AB986,2,)</f>
        <v>2</v>
      </c>
      <c r="L376" s="38">
        <f>VLOOKUP(K376,'Sheet A'!K376:AC986,2,)</f>
        <v>0.18</v>
      </c>
      <c r="M376" s="70" t="str">
        <f>VLOOKUP(L376,'Sheet A'!L376:AD986,2,)</f>
        <v>Rainy</v>
      </c>
      <c r="N376" s="38">
        <f>VLOOKUP(M376,'Sheet A'!M376:AE986,2,)</f>
        <v>0.16669999999999999</v>
      </c>
      <c r="O376" s="38">
        <f>VLOOKUP(N376,'Sheet A'!N376:AF986,2,)</f>
        <v>0.43</v>
      </c>
      <c r="P376" s="38">
        <f>VLOOKUP(O376,'Sheet A'!O376:AG986,2,)</f>
        <v>0.25369999999999998</v>
      </c>
      <c r="Q376" s="38">
        <f>VLOOKUP(P376,'Sheet A'!P376:AH986,2,)</f>
        <v>0</v>
      </c>
      <c r="R376" s="38">
        <f>VLOOKUP(Q376,'Sheet A'!Q376:AI986,2,)</f>
        <v>8</v>
      </c>
      <c r="S376" s="38">
        <f>VLOOKUP(R376,'Sheet A'!R376:AJ986,2,)</f>
        <v>8</v>
      </c>
    </row>
    <row r="377" spans="1:19" x14ac:dyDescent="0.35">
      <c r="A377" s="37">
        <v>376</v>
      </c>
      <c r="B377" s="60">
        <f>VLOOKUP(A377,'Sheet A'!A377:S987,2,)</f>
        <v>40560</v>
      </c>
      <c r="C377" s="38">
        <f>VLOOKUP(B377,'Sheet A'!B377:T987,2,)</f>
        <v>1</v>
      </c>
      <c r="D377" s="38">
        <f>VLOOKUP(C377,'Sheet A'!C377:U987,2,)</f>
        <v>0</v>
      </c>
      <c r="E377" s="38">
        <f>VLOOKUP(D377,'Sheet A'!D377:V987,2,)</f>
        <v>1</v>
      </c>
      <c r="F377" s="38">
        <f>VLOOKUP(E377,'Sheet A'!E377:W987,2,)</f>
        <v>3</v>
      </c>
      <c r="G377" s="41" t="str">
        <f>VLOOKUP(F377,'Sheet A'!F377:X987,2,)</f>
        <v>Night</v>
      </c>
      <c r="H377" s="38" t="b">
        <f>VLOOKUP(G377,'Sheet A'!G377:Y987,2,)</f>
        <v>1</v>
      </c>
      <c r="I377" s="38">
        <f>VLOOKUP(H377,'Sheet A'!H377:Z987,2,)</f>
        <v>1</v>
      </c>
      <c r="J377" s="41" t="str">
        <f>VLOOKUP(I377,'Sheet A'!I377:AA987,2,)</f>
        <v>Sunday</v>
      </c>
      <c r="K377" s="38">
        <f>VLOOKUP(J377,'Sheet A'!J377:AB987,2,)</f>
        <v>2</v>
      </c>
      <c r="L377" s="38">
        <f>VLOOKUP(K377,'Sheet A'!K377:AC987,2,)</f>
        <v>0.18</v>
      </c>
      <c r="M377" s="70" t="str">
        <f>VLOOKUP(L377,'Sheet A'!L377:AD987,2,)</f>
        <v>Rainy</v>
      </c>
      <c r="N377" s="38">
        <f>VLOOKUP(M377,'Sheet A'!M377:AE987,2,)</f>
        <v>0.18179999999999999</v>
      </c>
      <c r="O377" s="38">
        <f>VLOOKUP(N377,'Sheet A'!N377:AF987,2,)</f>
        <v>0.43</v>
      </c>
      <c r="P377" s="38">
        <f>VLOOKUP(O377,'Sheet A'!O377:AG987,2,)</f>
        <v>0.19400000000000001</v>
      </c>
      <c r="Q377" s="38">
        <f>VLOOKUP(P377,'Sheet A'!P377:AH987,2,)</f>
        <v>0</v>
      </c>
      <c r="R377" s="38">
        <f>VLOOKUP(Q377,'Sheet A'!Q377:AI987,2,)</f>
        <v>2</v>
      </c>
      <c r="S377" s="38">
        <f>VLOOKUP(R377,'Sheet A'!R377:AJ987,2,)</f>
        <v>2</v>
      </c>
    </row>
    <row r="378" spans="1:19" x14ac:dyDescent="0.35">
      <c r="A378" s="37">
        <v>377</v>
      </c>
      <c r="B378" s="60">
        <f>VLOOKUP(A378,'Sheet A'!A378:S988,2,)</f>
        <v>40560</v>
      </c>
      <c r="C378" s="38">
        <f>VLOOKUP(B378,'Sheet A'!B378:T988,2,)</f>
        <v>1</v>
      </c>
      <c r="D378" s="38">
        <f>VLOOKUP(C378,'Sheet A'!C378:U988,2,)</f>
        <v>0</v>
      </c>
      <c r="E378" s="38">
        <f>VLOOKUP(D378,'Sheet A'!D378:V988,2,)</f>
        <v>1</v>
      </c>
      <c r="F378" s="38">
        <f>VLOOKUP(E378,'Sheet A'!E378:W988,2,)</f>
        <v>4</v>
      </c>
      <c r="G378" s="41" t="str">
        <f>VLOOKUP(F378,'Sheet A'!F378:X988,2,)</f>
        <v>Night</v>
      </c>
      <c r="H378" s="38" t="b">
        <f>VLOOKUP(G378,'Sheet A'!G378:Y988,2,)</f>
        <v>1</v>
      </c>
      <c r="I378" s="38">
        <f>VLOOKUP(H378,'Sheet A'!H378:Z988,2,)</f>
        <v>1</v>
      </c>
      <c r="J378" s="41" t="str">
        <f>VLOOKUP(I378,'Sheet A'!I378:AA988,2,)</f>
        <v>Sunday</v>
      </c>
      <c r="K378" s="38">
        <f>VLOOKUP(J378,'Sheet A'!J378:AB988,2,)</f>
        <v>2</v>
      </c>
      <c r="L378" s="38">
        <f>VLOOKUP(K378,'Sheet A'!K378:AC988,2,)</f>
        <v>0.18</v>
      </c>
      <c r="M378" s="70" t="str">
        <f>VLOOKUP(L378,'Sheet A'!L378:AD988,2,)</f>
        <v>Rainy</v>
      </c>
      <c r="N378" s="38">
        <f>VLOOKUP(M378,'Sheet A'!M378:AE988,2,)</f>
        <v>0.19700000000000001</v>
      </c>
      <c r="O378" s="38">
        <f>VLOOKUP(N378,'Sheet A'!N378:AF988,2,)</f>
        <v>0.43</v>
      </c>
      <c r="P378" s="38">
        <f>VLOOKUP(O378,'Sheet A'!O378:AG988,2,)</f>
        <v>0.1343</v>
      </c>
      <c r="Q378" s="38">
        <f>VLOOKUP(P378,'Sheet A'!P378:AH988,2,)</f>
        <v>1</v>
      </c>
      <c r="R378" s="38">
        <f>VLOOKUP(Q378,'Sheet A'!Q378:AI988,2,)</f>
        <v>2</v>
      </c>
      <c r="S378" s="38">
        <f>VLOOKUP(R378,'Sheet A'!R378:AJ988,2,)</f>
        <v>3</v>
      </c>
    </row>
    <row r="379" spans="1:19" x14ac:dyDescent="0.35">
      <c r="A379" s="37">
        <v>378</v>
      </c>
      <c r="B379" s="60">
        <f>VLOOKUP(A379,'Sheet A'!A379:S989,2,)</f>
        <v>40560</v>
      </c>
      <c r="C379" s="38">
        <f>VLOOKUP(B379,'Sheet A'!B379:T989,2,)</f>
        <v>1</v>
      </c>
      <c r="D379" s="38">
        <f>VLOOKUP(C379,'Sheet A'!C379:U989,2,)</f>
        <v>0</v>
      </c>
      <c r="E379" s="38">
        <f>VLOOKUP(D379,'Sheet A'!D379:V989,2,)</f>
        <v>1</v>
      </c>
      <c r="F379" s="38">
        <f>VLOOKUP(E379,'Sheet A'!E379:W989,2,)</f>
        <v>5</v>
      </c>
      <c r="G379" s="41" t="str">
        <f>VLOOKUP(F379,'Sheet A'!F379:X989,2,)</f>
        <v>Morning</v>
      </c>
      <c r="H379" s="38" t="b">
        <f>VLOOKUP(G379,'Sheet A'!G379:Y989,2,)</f>
        <v>1</v>
      </c>
      <c r="I379" s="38">
        <f>VLOOKUP(H379,'Sheet A'!H379:Z989,2,)</f>
        <v>1</v>
      </c>
      <c r="J379" s="41" t="str">
        <f>VLOOKUP(I379,'Sheet A'!I379:AA989,2,)</f>
        <v>Sunday</v>
      </c>
      <c r="K379" s="38">
        <f>VLOOKUP(J379,'Sheet A'!J379:AB989,2,)</f>
        <v>2</v>
      </c>
      <c r="L379" s="38">
        <f>VLOOKUP(K379,'Sheet A'!K379:AC989,2,)</f>
        <v>0.18</v>
      </c>
      <c r="M379" s="70" t="str">
        <f>VLOOKUP(L379,'Sheet A'!L379:AD989,2,)</f>
        <v>Rainy</v>
      </c>
      <c r="N379" s="38">
        <f>VLOOKUP(M379,'Sheet A'!M379:AE989,2,)</f>
        <v>0.19700000000000001</v>
      </c>
      <c r="O379" s="38">
        <f>VLOOKUP(N379,'Sheet A'!N379:AF989,2,)</f>
        <v>0.43</v>
      </c>
      <c r="P379" s="38">
        <f>VLOOKUP(O379,'Sheet A'!O379:AG989,2,)</f>
        <v>0.16420000000000001</v>
      </c>
      <c r="Q379" s="38">
        <f>VLOOKUP(P379,'Sheet A'!P379:AH989,2,)</f>
        <v>0</v>
      </c>
      <c r="R379" s="38">
        <f>VLOOKUP(Q379,'Sheet A'!Q379:AI989,2,)</f>
        <v>1</v>
      </c>
      <c r="S379" s="38">
        <f>VLOOKUP(R379,'Sheet A'!R379:AJ989,2,)</f>
        <v>1</v>
      </c>
    </row>
    <row r="380" spans="1:19" x14ac:dyDescent="0.35">
      <c r="A380" s="37">
        <v>379</v>
      </c>
      <c r="B380" s="60">
        <f>VLOOKUP(A380,'Sheet A'!A380:S990,2,)</f>
        <v>40560</v>
      </c>
      <c r="C380" s="38">
        <f>VLOOKUP(B380,'Sheet A'!B380:T990,2,)</f>
        <v>1</v>
      </c>
      <c r="D380" s="38">
        <f>VLOOKUP(C380,'Sheet A'!C380:U990,2,)</f>
        <v>0</v>
      </c>
      <c r="E380" s="38">
        <f>VLOOKUP(D380,'Sheet A'!D380:V990,2,)</f>
        <v>1</v>
      </c>
      <c r="F380" s="38">
        <f>VLOOKUP(E380,'Sheet A'!E380:W990,2,)</f>
        <v>6</v>
      </c>
      <c r="G380" s="41" t="str">
        <f>VLOOKUP(F380,'Sheet A'!F380:X990,2,)</f>
        <v>Morning</v>
      </c>
      <c r="H380" s="38" t="b">
        <f>VLOOKUP(G380,'Sheet A'!G380:Y990,2,)</f>
        <v>1</v>
      </c>
      <c r="I380" s="38">
        <f>VLOOKUP(H380,'Sheet A'!H380:Z990,2,)</f>
        <v>1</v>
      </c>
      <c r="J380" s="41" t="str">
        <f>VLOOKUP(I380,'Sheet A'!I380:AA990,2,)</f>
        <v>Sunday</v>
      </c>
      <c r="K380" s="38">
        <f>VLOOKUP(J380,'Sheet A'!J380:AB990,2,)</f>
        <v>2</v>
      </c>
      <c r="L380" s="38">
        <f>VLOOKUP(K380,'Sheet A'!K380:AC990,2,)</f>
        <v>0.18</v>
      </c>
      <c r="M380" s="70" t="str">
        <f>VLOOKUP(L380,'Sheet A'!L380:AD990,2,)</f>
        <v>Rainy</v>
      </c>
      <c r="N380" s="38">
        <f>VLOOKUP(M380,'Sheet A'!M380:AE990,2,)</f>
        <v>0.18179999999999999</v>
      </c>
      <c r="O380" s="38">
        <f>VLOOKUP(N380,'Sheet A'!N380:AF990,2,)</f>
        <v>0.43</v>
      </c>
      <c r="P380" s="38">
        <f>VLOOKUP(O380,'Sheet A'!O380:AG990,2,)</f>
        <v>0.19400000000000001</v>
      </c>
      <c r="Q380" s="38">
        <f>VLOOKUP(P380,'Sheet A'!P380:AH990,2,)</f>
        <v>0</v>
      </c>
      <c r="R380" s="38">
        <f>VLOOKUP(Q380,'Sheet A'!Q380:AI990,2,)</f>
        <v>5</v>
      </c>
      <c r="S380" s="38">
        <f>VLOOKUP(R380,'Sheet A'!R380:AJ990,2,)</f>
        <v>5</v>
      </c>
    </row>
    <row r="381" spans="1:19" x14ac:dyDescent="0.35">
      <c r="A381" s="37">
        <v>380</v>
      </c>
      <c r="B381" s="60">
        <f>VLOOKUP(A381,'Sheet A'!A381:S991,2,)</f>
        <v>40560</v>
      </c>
      <c r="C381" s="38">
        <f>VLOOKUP(B381,'Sheet A'!B381:T991,2,)</f>
        <v>1</v>
      </c>
      <c r="D381" s="38">
        <f>VLOOKUP(C381,'Sheet A'!C381:U991,2,)</f>
        <v>0</v>
      </c>
      <c r="E381" s="38">
        <f>VLOOKUP(D381,'Sheet A'!D381:V991,2,)</f>
        <v>1</v>
      </c>
      <c r="F381" s="38">
        <f>VLOOKUP(E381,'Sheet A'!E381:W991,2,)</f>
        <v>7</v>
      </c>
      <c r="G381" s="41" t="str">
        <f>VLOOKUP(F381,'Sheet A'!F381:X991,2,)</f>
        <v>Morning</v>
      </c>
      <c r="H381" s="38" t="b">
        <f>VLOOKUP(G381,'Sheet A'!G381:Y991,2,)</f>
        <v>1</v>
      </c>
      <c r="I381" s="38">
        <f>VLOOKUP(H381,'Sheet A'!H381:Z991,2,)</f>
        <v>1</v>
      </c>
      <c r="J381" s="41" t="str">
        <f>VLOOKUP(I381,'Sheet A'!I381:AA991,2,)</f>
        <v>Sunday</v>
      </c>
      <c r="K381" s="38">
        <f>VLOOKUP(J381,'Sheet A'!J381:AB991,2,)</f>
        <v>2</v>
      </c>
      <c r="L381" s="38">
        <f>VLOOKUP(K381,'Sheet A'!K381:AC991,2,)</f>
        <v>0.16</v>
      </c>
      <c r="M381" s="70" t="str">
        <f>VLOOKUP(L381,'Sheet A'!L381:AD991,2,)</f>
        <v>Rainy</v>
      </c>
      <c r="N381" s="38">
        <f>VLOOKUP(M381,'Sheet A'!M381:AE991,2,)</f>
        <v>0.18179999999999999</v>
      </c>
      <c r="O381" s="38">
        <f>VLOOKUP(N381,'Sheet A'!N381:AF991,2,)</f>
        <v>0.5</v>
      </c>
      <c r="P381" s="38">
        <f>VLOOKUP(O381,'Sheet A'!O381:AG991,2,)</f>
        <v>0.1343</v>
      </c>
      <c r="Q381" s="38">
        <f>VLOOKUP(P381,'Sheet A'!P381:AH991,2,)</f>
        <v>4</v>
      </c>
      <c r="R381" s="38">
        <f>VLOOKUP(Q381,'Sheet A'!Q381:AI991,2,)</f>
        <v>9</v>
      </c>
      <c r="S381" s="38">
        <f>VLOOKUP(R381,'Sheet A'!R381:AJ991,2,)</f>
        <v>13</v>
      </c>
    </row>
    <row r="382" spans="1:19" x14ac:dyDescent="0.35">
      <c r="A382" s="37">
        <v>381</v>
      </c>
      <c r="B382" s="60">
        <f>VLOOKUP(A382,'Sheet A'!A382:S992,2,)</f>
        <v>40560</v>
      </c>
      <c r="C382" s="38">
        <f>VLOOKUP(B382,'Sheet A'!B382:T992,2,)</f>
        <v>1</v>
      </c>
      <c r="D382" s="38">
        <f>VLOOKUP(C382,'Sheet A'!C382:U992,2,)</f>
        <v>0</v>
      </c>
      <c r="E382" s="38">
        <f>VLOOKUP(D382,'Sheet A'!D382:V992,2,)</f>
        <v>1</v>
      </c>
      <c r="F382" s="38">
        <f>VLOOKUP(E382,'Sheet A'!E382:W992,2,)</f>
        <v>8</v>
      </c>
      <c r="G382" s="41" t="str">
        <f>VLOOKUP(F382,'Sheet A'!F382:X992,2,)</f>
        <v>Morning</v>
      </c>
      <c r="H382" s="38" t="b">
        <f>VLOOKUP(G382,'Sheet A'!G382:Y992,2,)</f>
        <v>1</v>
      </c>
      <c r="I382" s="38">
        <f>VLOOKUP(H382,'Sheet A'!H382:Z992,2,)</f>
        <v>1</v>
      </c>
      <c r="J382" s="41" t="str">
        <f>VLOOKUP(I382,'Sheet A'!I382:AA992,2,)</f>
        <v>Sunday</v>
      </c>
      <c r="K382" s="38">
        <f>VLOOKUP(J382,'Sheet A'!J382:AB992,2,)</f>
        <v>2</v>
      </c>
      <c r="L382" s="38">
        <f>VLOOKUP(K382,'Sheet A'!K382:AC992,2,)</f>
        <v>0.16</v>
      </c>
      <c r="M382" s="70" t="str">
        <f>VLOOKUP(L382,'Sheet A'!L382:AD992,2,)</f>
        <v>Rainy</v>
      </c>
      <c r="N382" s="38">
        <f>VLOOKUP(M382,'Sheet A'!M382:AE992,2,)</f>
        <v>0.1515</v>
      </c>
      <c r="O382" s="38">
        <f>VLOOKUP(N382,'Sheet A'!N382:AF992,2,)</f>
        <v>0.47</v>
      </c>
      <c r="P382" s="38">
        <f>VLOOKUP(O382,'Sheet A'!O382:AG992,2,)</f>
        <v>0.22389999999999999</v>
      </c>
      <c r="Q382" s="38">
        <f>VLOOKUP(P382,'Sheet A'!P382:AH992,2,)</f>
        <v>3</v>
      </c>
      <c r="R382" s="38">
        <f>VLOOKUP(Q382,'Sheet A'!Q382:AI992,2,)</f>
        <v>30</v>
      </c>
      <c r="S382" s="38">
        <f>VLOOKUP(R382,'Sheet A'!R382:AJ992,2,)</f>
        <v>33</v>
      </c>
    </row>
    <row r="383" spans="1:19" x14ac:dyDescent="0.35">
      <c r="A383" s="37">
        <v>382</v>
      </c>
      <c r="B383" s="60">
        <f>VLOOKUP(A383,'Sheet A'!A383:S993,2,)</f>
        <v>40560</v>
      </c>
      <c r="C383" s="38">
        <f>VLOOKUP(B383,'Sheet A'!B383:T993,2,)</f>
        <v>1</v>
      </c>
      <c r="D383" s="38">
        <f>VLOOKUP(C383,'Sheet A'!C383:U993,2,)</f>
        <v>0</v>
      </c>
      <c r="E383" s="38">
        <f>VLOOKUP(D383,'Sheet A'!D383:V993,2,)</f>
        <v>1</v>
      </c>
      <c r="F383" s="38">
        <f>VLOOKUP(E383,'Sheet A'!E383:W993,2,)</f>
        <v>9</v>
      </c>
      <c r="G383" s="41" t="str">
        <f>VLOOKUP(F383,'Sheet A'!F383:X993,2,)</f>
        <v>Morning</v>
      </c>
      <c r="H383" s="38" t="b">
        <f>VLOOKUP(G383,'Sheet A'!G383:Y993,2,)</f>
        <v>1</v>
      </c>
      <c r="I383" s="38">
        <f>VLOOKUP(H383,'Sheet A'!H383:Z993,2,)</f>
        <v>1</v>
      </c>
      <c r="J383" s="41" t="str">
        <f>VLOOKUP(I383,'Sheet A'!I383:AA993,2,)</f>
        <v>Sunday</v>
      </c>
      <c r="K383" s="38">
        <f>VLOOKUP(J383,'Sheet A'!J383:AB993,2,)</f>
        <v>2</v>
      </c>
      <c r="L383" s="38">
        <f>VLOOKUP(K383,'Sheet A'!K383:AC993,2,)</f>
        <v>0.16</v>
      </c>
      <c r="M383" s="70" t="str">
        <f>VLOOKUP(L383,'Sheet A'!L383:AD993,2,)</f>
        <v>Rainy</v>
      </c>
      <c r="N383" s="38">
        <f>VLOOKUP(M383,'Sheet A'!M383:AE993,2,)</f>
        <v>0.1515</v>
      </c>
      <c r="O383" s="38">
        <f>VLOOKUP(N383,'Sheet A'!N383:AF993,2,)</f>
        <v>0.47</v>
      </c>
      <c r="P383" s="38">
        <f>VLOOKUP(O383,'Sheet A'!O383:AG993,2,)</f>
        <v>0.22389999999999999</v>
      </c>
      <c r="Q383" s="38">
        <f>VLOOKUP(P383,'Sheet A'!P383:AH993,2,)</f>
        <v>8</v>
      </c>
      <c r="R383" s="38">
        <f>VLOOKUP(Q383,'Sheet A'!Q383:AI993,2,)</f>
        <v>39</v>
      </c>
      <c r="S383" s="38">
        <f>VLOOKUP(R383,'Sheet A'!R383:AJ993,2,)</f>
        <v>47</v>
      </c>
    </row>
    <row r="384" spans="1:19" x14ac:dyDescent="0.35">
      <c r="A384" s="37">
        <v>383</v>
      </c>
      <c r="B384" s="60">
        <f>VLOOKUP(A384,'Sheet A'!A384:S994,2,)</f>
        <v>40560</v>
      </c>
      <c r="C384" s="38">
        <f>VLOOKUP(B384,'Sheet A'!B384:T994,2,)</f>
        <v>1</v>
      </c>
      <c r="D384" s="38">
        <f>VLOOKUP(C384,'Sheet A'!C384:U994,2,)</f>
        <v>0</v>
      </c>
      <c r="E384" s="38">
        <f>VLOOKUP(D384,'Sheet A'!D384:V994,2,)</f>
        <v>1</v>
      </c>
      <c r="F384" s="38">
        <f>VLOOKUP(E384,'Sheet A'!E384:W994,2,)</f>
        <v>10</v>
      </c>
      <c r="G384" s="41" t="str">
        <f>VLOOKUP(F384,'Sheet A'!F384:X994,2,)</f>
        <v>Morning</v>
      </c>
      <c r="H384" s="38" t="b">
        <f>VLOOKUP(G384,'Sheet A'!G384:Y994,2,)</f>
        <v>1</v>
      </c>
      <c r="I384" s="38">
        <f>VLOOKUP(H384,'Sheet A'!H384:Z994,2,)</f>
        <v>1</v>
      </c>
      <c r="J384" s="41" t="str">
        <f>VLOOKUP(I384,'Sheet A'!I384:AA994,2,)</f>
        <v>Sunday</v>
      </c>
      <c r="K384" s="38">
        <f>VLOOKUP(J384,'Sheet A'!J384:AB994,2,)</f>
        <v>2</v>
      </c>
      <c r="L384" s="38">
        <f>VLOOKUP(K384,'Sheet A'!K384:AC994,2,)</f>
        <v>0.16</v>
      </c>
      <c r="M384" s="70" t="str">
        <f>VLOOKUP(L384,'Sheet A'!L384:AD994,2,)</f>
        <v>Rainy</v>
      </c>
      <c r="N384" s="38">
        <f>VLOOKUP(M384,'Sheet A'!M384:AE994,2,)</f>
        <v>0.1515</v>
      </c>
      <c r="O384" s="38">
        <f>VLOOKUP(N384,'Sheet A'!N384:AF994,2,)</f>
        <v>0.5</v>
      </c>
      <c r="P384" s="38">
        <f>VLOOKUP(O384,'Sheet A'!O384:AG994,2,)</f>
        <v>0.25369999999999998</v>
      </c>
      <c r="Q384" s="38">
        <f>VLOOKUP(P384,'Sheet A'!P384:AH994,2,)</f>
        <v>7</v>
      </c>
      <c r="R384" s="38">
        <f>VLOOKUP(Q384,'Sheet A'!Q384:AI994,2,)</f>
        <v>50</v>
      </c>
      <c r="S384" s="38">
        <f>VLOOKUP(R384,'Sheet A'!R384:AJ994,2,)</f>
        <v>57</v>
      </c>
    </row>
    <row r="385" spans="1:19" x14ac:dyDescent="0.35">
      <c r="A385" s="37">
        <v>384</v>
      </c>
      <c r="B385" s="60">
        <f>VLOOKUP(A385,'Sheet A'!A385:S995,2,)</f>
        <v>40560</v>
      </c>
      <c r="C385" s="38">
        <f>VLOOKUP(B385,'Sheet A'!B385:T995,2,)</f>
        <v>1</v>
      </c>
      <c r="D385" s="38">
        <f>VLOOKUP(C385,'Sheet A'!C385:U995,2,)</f>
        <v>0</v>
      </c>
      <c r="E385" s="38">
        <f>VLOOKUP(D385,'Sheet A'!D385:V995,2,)</f>
        <v>1</v>
      </c>
      <c r="F385" s="38">
        <f>VLOOKUP(E385,'Sheet A'!E385:W995,2,)</f>
        <v>11</v>
      </c>
      <c r="G385" s="41" t="str">
        <f>VLOOKUP(F385,'Sheet A'!F385:X995,2,)</f>
        <v>Morning</v>
      </c>
      <c r="H385" s="38" t="b">
        <f>VLOOKUP(G385,'Sheet A'!G385:Y995,2,)</f>
        <v>1</v>
      </c>
      <c r="I385" s="38">
        <f>VLOOKUP(H385,'Sheet A'!H385:Z995,2,)</f>
        <v>1</v>
      </c>
      <c r="J385" s="41" t="str">
        <f>VLOOKUP(I385,'Sheet A'!I385:AA995,2,)</f>
        <v>Sunday</v>
      </c>
      <c r="K385" s="38">
        <f>VLOOKUP(J385,'Sheet A'!J385:AB995,2,)</f>
        <v>2</v>
      </c>
      <c r="L385" s="38">
        <f>VLOOKUP(K385,'Sheet A'!K385:AC995,2,)</f>
        <v>0.16</v>
      </c>
      <c r="M385" s="70" t="str">
        <f>VLOOKUP(L385,'Sheet A'!L385:AD995,2,)</f>
        <v>Rainy</v>
      </c>
      <c r="N385" s="38">
        <f>VLOOKUP(M385,'Sheet A'!M385:AE995,2,)</f>
        <v>0.1515</v>
      </c>
      <c r="O385" s="38">
        <f>VLOOKUP(N385,'Sheet A'!N385:AF995,2,)</f>
        <v>0.55000000000000004</v>
      </c>
      <c r="P385" s="38">
        <f>VLOOKUP(O385,'Sheet A'!O385:AG995,2,)</f>
        <v>0.19400000000000001</v>
      </c>
      <c r="Q385" s="38">
        <f>VLOOKUP(P385,'Sheet A'!P385:AH995,2,)</f>
        <v>9</v>
      </c>
      <c r="R385" s="38">
        <f>VLOOKUP(Q385,'Sheet A'!Q385:AI995,2,)</f>
        <v>55</v>
      </c>
      <c r="S385" s="38">
        <f>VLOOKUP(R385,'Sheet A'!R385:AJ995,2,)</f>
        <v>64</v>
      </c>
    </row>
    <row r="386" spans="1:19" x14ac:dyDescent="0.35">
      <c r="A386" s="37">
        <v>385</v>
      </c>
      <c r="B386" s="60">
        <f>VLOOKUP(A386,'Sheet A'!A386:S996,2,)</f>
        <v>40560</v>
      </c>
      <c r="C386" s="38">
        <f>VLOOKUP(B386,'Sheet A'!B386:T996,2,)</f>
        <v>1</v>
      </c>
      <c r="D386" s="38">
        <f>VLOOKUP(C386,'Sheet A'!C386:U996,2,)</f>
        <v>0</v>
      </c>
      <c r="E386" s="38">
        <f>VLOOKUP(D386,'Sheet A'!D386:V996,2,)</f>
        <v>1</v>
      </c>
      <c r="F386" s="38">
        <f>VLOOKUP(E386,'Sheet A'!E386:W996,2,)</f>
        <v>12</v>
      </c>
      <c r="G386" s="41" t="str">
        <f>VLOOKUP(F386,'Sheet A'!F386:X996,2,)</f>
        <v>AfterNoon</v>
      </c>
      <c r="H386" s="38" t="b">
        <f>VLOOKUP(G386,'Sheet A'!G386:Y996,2,)</f>
        <v>1</v>
      </c>
      <c r="I386" s="38">
        <f>VLOOKUP(H386,'Sheet A'!H386:Z996,2,)</f>
        <v>1</v>
      </c>
      <c r="J386" s="41" t="str">
        <f>VLOOKUP(I386,'Sheet A'!I386:AA996,2,)</f>
        <v>Sunday</v>
      </c>
      <c r="K386" s="38">
        <f>VLOOKUP(J386,'Sheet A'!J386:AB996,2,)</f>
        <v>2</v>
      </c>
      <c r="L386" s="38">
        <f>VLOOKUP(K386,'Sheet A'!K386:AC996,2,)</f>
        <v>0.18</v>
      </c>
      <c r="M386" s="70" t="str">
        <f>VLOOKUP(L386,'Sheet A'!L386:AD996,2,)</f>
        <v>Rainy</v>
      </c>
      <c r="N386" s="38">
        <f>VLOOKUP(M386,'Sheet A'!M386:AE996,2,)</f>
        <v>0.19700000000000001</v>
      </c>
      <c r="O386" s="38">
        <f>VLOOKUP(N386,'Sheet A'!N386:AF996,2,)</f>
        <v>0.47</v>
      </c>
      <c r="P386" s="38">
        <f>VLOOKUP(O386,'Sheet A'!O386:AG996,2,)</f>
        <v>0.1343</v>
      </c>
      <c r="Q386" s="38">
        <f>VLOOKUP(P386,'Sheet A'!P386:AH996,2,)</f>
        <v>10</v>
      </c>
      <c r="R386" s="38">
        <f>VLOOKUP(Q386,'Sheet A'!Q386:AI996,2,)</f>
        <v>70</v>
      </c>
      <c r="S386" s="38">
        <f>VLOOKUP(R386,'Sheet A'!R386:AJ996,2,)</f>
        <v>80</v>
      </c>
    </row>
    <row r="387" spans="1:19" x14ac:dyDescent="0.35">
      <c r="A387" s="37">
        <v>386</v>
      </c>
      <c r="B387" s="60">
        <f>VLOOKUP(A387,'Sheet A'!A387:S997,2,)</f>
        <v>40560</v>
      </c>
      <c r="C387" s="38">
        <f>VLOOKUP(B387,'Sheet A'!B387:T997,2,)</f>
        <v>1</v>
      </c>
      <c r="D387" s="38">
        <f>VLOOKUP(C387,'Sheet A'!C387:U997,2,)</f>
        <v>0</v>
      </c>
      <c r="E387" s="38">
        <f>VLOOKUP(D387,'Sheet A'!D387:V997,2,)</f>
        <v>1</v>
      </c>
      <c r="F387" s="38">
        <f>VLOOKUP(E387,'Sheet A'!E387:W997,2,)</f>
        <v>13</v>
      </c>
      <c r="G387" s="41" t="str">
        <f>VLOOKUP(F387,'Sheet A'!F387:X997,2,)</f>
        <v>AfterNoon</v>
      </c>
      <c r="H387" s="38" t="b">
        <f>VLOOKUP(G387,'Sheet A'!G387:Y997,2,)</f>
        <v>1</v>
      </c>
      <c r="I387" s="38">
        <f>VLOOKUP(H387,'Sheet A'!H387:Z997,2,)</f>
        <v>1</v>
      </c>
      <c r="J387" s="41" t="str">
        <f>VLOOKUP(I387,'Sheet A'!I387:AA997,2,)</f>
        <v>Sunday</v>
      </c>
      <c r="K387" s="38">
        <f>VLOOKUP(J387,'Sheet A'!J387:AB997,2,)</f>
        <v>2</v>
      </c>
      <c r="L387" s="38">
        <f>VLOOKUP(K387,'Sheet A'!K387:AC997,2,)</f>
        <v>0.18</v>
      </c>
      <c r="M387" s="70" t="str">
        <f>VLOOKUP(L387,'Sheet A'!L387:AD997,2,)</f>
        <v>Rainy</v>
      </c>
      <c r="N387" s="38">
        <f>VLOOKUP(M387,'Sheet A'!M387:AE997,2,)</f>
        <v>0.19700000000000001</v>
      </c>
      <c r="O387" s="38">
        <f>VLOOKUP(N387,'Sheet A'!N387:AF997,2,)</f>
        <v>0.47</v>
      </c>
      <c r="P387" s="38">
        <f>VLOOKUP(O387,'Sheet A'!O387:AG997,2,)</f>
        <v>0.1343</v>
      </c>
      <c r="Q387" s="38">
        <f>VLOOKUP(P387,'Sheet A'!P387:AH997,2,)</f>
        <v>13</v>
      </c>
      <c r="R387" s="38">
        <f>VLOOKUP(Q387,'Sheet A'!Q387:AI997,2,)</f>
        <v>80</v>
      </c>
      <c r="S387" s="38">
        <f>VLOOKUP(R387,'Sheet A'!R387:AJ997,2,)</f>
        <v>93</v>
      </c>
    </row>
    <row r="388" spans="1:19" x14ac:dyDescent="0.35">
      <c r="A388" s="37">
        <v>387</v>
      </c>
      <c r="B388" s="60">
        <f>VLOOKUP(A388,'Sheet A'!A388:S998,2,)</f>
        <v>40560</v>
      </c>
      <c r="C388" s="38">
        <f>VLOOKUP(B388,'Sheet A'!B388:T998,2,)</f>
        <v>1</v>
      </c>
      <c r="D388" s="38">
        <f>VLOOKUP(C388,'Sheet A'!C388:U998,2,)</f>
        <v>0</v>
      </c>
      <c r="E388" s="38">
        <f>VLOOKUP(D388,'Sheet A'!D388:V998,2,)</f>
        <v>1</v>
      </c>
      <c r="F388" s="38">
        <f>VLOOKUP(E388,'Sheet A'!E388:W998,2,)</f>
        <v>14</v>
      </c>
      <c r="G388" s="41" t="str">
        <f>VLOOKUP(F388,'Sheet A'!F388:X998,2,)</f>
        <v>AfterNoon</v>
      </c>
      <c r="H388" s="38" t="b">
        <f>VLOOKUP(G388,'Sheet A'!G388:Y998,2,)</f>
        <v>1</v>
      </c>
      <c r="I388" s="38">
        <f>VLOOKUP(H388,'Sheet A'!H388:Z998,2,)</f>
        <v>1</v>
      </c>
      <c r="J388" s="41" t="str">
        <f>VLOOKUP(I388,'Sheet A'!I388:AA998,2,)</f>
        <v>Sunday</v>
      </c>
      <c r="K388" s="38">
        <f>VLOOKUP(J388,'Sheet A'!J388:AB998,2,)</f>
        <v>2</v>
      </c>
      <c r="L388" s="38">
        <f>VLOOKUP(K388,'Sheet A'!K388:AC998,2,)</f>
        <v>0.18</v>
      </c>
      <c r="M388" s="70" t="str">
        <f>VLOOKUP(L388,'Sheet A'!L388:AD998,2,)</f>
        <v>Rainy</v>
      </c>
      <c r="N388" s="38">
        <f>VLOOKUP(M388,'Sheet A'!M388:AE998,2,)</f>
        <v>0.21210000000000001</v>
      </c>
      <c r="O388" s="38">
        <f>VLOOKUP(N388,'Sheet A'!N388:AF998,2,)</f>
        <v>0.43</v>
      </c>
      <c r="P388" s="38">
        <f>VLOOKUP(O388,'Sheet A'!O388:AG998,2,)</f>
        <v>0.1045</v>
      </c>
      <c r="Q388" s="38">
        <f>VLOOKUP(P388,'Sheet A'!P388:AH998,2,)</f>
        <v>12</v>
      </c>
      <c r="R388" s="38">
        <f>VLOOKUP(Q388,'Sheet A'!Q388:AI998,2,)</f>
        <v>74</v>
      </c>
      <c r="S388" s="38">
        <f>VLOOKUP(R388,'Sheet A'!R388:AJ998,2,)</f>
        <v>86</v>
      </c>
    </row>
    <row r="389" spans="1:19" x14ac:dyDescent="0.35">
      <c r="A389" s="37">
        <v>388</v>
      </c>
      <c r="B389" s="60">
        <f>VLOOKUP(A389,'Sheet A'!A389:S999,2,)</f>
        <v>40560</v>
      </c>
      <c r="C389" s="38">
        <f>VLOOKUP(B389,'Sheet A'!B389:T999,2,)</f>
        <v>1</v>
      </c>
      <c r="D389" s="38">
        <f>VLOOKUP(C389,'Sheet A'!C389:U999,2,)</f>
        <v>0</v>
      </c>
      <c r="E389" s="38">
        <f>VLOOKUP(D389,'Sheet A'!D389:V999,2,)</f>
        <v>1</v>
      </c>
      <c r="F389" s="38">
        <f>VLOOKUP(E389,'Sheet A'!E389:W999,2,)</f>
        <v>15</v>
      </c>
      <c r="G389" s="41" t="str">
        <f>VLOOKUP(F389,'Sheet A'!F389:X999,2,)</f>
        <v>AfterNoon</v>
      </c>
      <c r="H389" s="38" t="b">
        <f>VLOOKUP(G389,'Sheet A'!G389:Y999,2,)</f>
        <v>1</v>
      </c>
      <c r="I389" s="38">
        <f>VLOOKUP(H389,'Sheet A'!H389:Z999,2,)</f>
        <v>1</v>
      </c>
      <c r="J389" s="41" t="str">
        <f>VLOOKUP(I389,'Sheet A'!I389:AA999,2,)</f>
        <v>Sunday</v>
      </c>
      <c r="K389" s="38">
        <f>VLOOKUP(J389,'Sheet A'!J389:AB999,2,)</f>
        <v>2</v>
      </c>
      <c r="L389" s="38">
        <f>VLOOKUP(K389,'Sheet A'!K389:AC999,2,)</f>
        <v>0.2</v>
      </c>
      <c r="M389" s="70" t="str">
        <f>VLOOKUP(L389,'Sheet A'!L389:AD999,2,)</f>
        <v>Rainy</v>
      </c>
      <c r="N389" s="38">
        <f>VLOOKUP(M389,'Sheet A'!M389:AE999,2,)</f>
        <v>0.21210000000000001</v>
      </c>
      <c r="O389" s="38">
        <f>VLOOKUP(N389,'Sheet A'!N389:AF999,2,)</f>
        <v>0.47</v>
      </c>
      <c r="P389" s="38">
        <f>VLOOKUP(O389,'Sheet A'!O389:AG999,2,)</f>
        <v>0.16420000000000001</v>
      </c>
      <c r="Q389" s="38">
        <f>VLOOKUP(P389,'Sheet A'!P389:AH999,2,)</f>
        <v>21</v>
      </c>
      <c r="R389" s="38">
        <f>VLOOKUP(Q389,'Sheet A'!Q389:AI999,2,)</f>
        <v>72</v>
      </c>
      <c r="S389" s="38">
        <f>VLOOKUP(R389,'Sheet A'!R389:AJ999,2,)</f>
        <v>93</v>
      </c>
    </row>
    <row r="390" spans="1:19" x14ac:dyDescent="0.35">
      <c r="A390" s="37">
        <v>389</v>
      </c>
      <c r="B390" s="60">
        <f>VLOOKUP(A390,'Sheet A'!A390:S1000,2,)</f>
        <v>40560</v>
      </c>
      <c r="C390" s="38">
        <f>VLOOKUP(B390,'Sheet A'!B390:T1000,2,)</f>
        <v>1</v>
      </c>
      <c r="D390" s="38">
        <f>VLOOKUP(C390,'Sheet A'!C390:U1000,2,)</f>
        <v>0</v>
      </c>
      <c r="E390" s="38">
        <f>VLOOKUP(D390,'Sheet A'!D390:V1000,2,)</f>
        <v>1</v>
      </c>
      <c r="F390" s="38">
        <f>VLOOKUP(E390,'Sheet A'!E390:W1000,2,)</f>
        <v>16</v>
      </c>
      <c r="G390" s="41" t="str">
        <f>VLOOKUP(F390,'Sheet A'!F390:X1000,2,)</f>
        <v>AfterNoon</v>
      </c>
      <c r="H390" s="38" t="b">
        <f>VLOOKUP(G390,'Sheet A'!G390:Y1000,2,)</f>
        <v>1</v>
      </c>
      <c r="I390" s="38">
        <f>VLOOKUP(H390,'Sheet A'!H390:Z1000,2,)</f>
        <v>1</v>
      </c>
      <c r="J390" s="41" t="str">
        <f>VLOOKUP(I390,'Sheet A'!I390:AA1000,2,)</f>
        <v>Sunday</v>
      </c>
      <c r="K390" s="38">
        <f>VLOOKUP(J390,'Sheet A'!J390:AB1000,2,)</f>
        <v>2</v>
      </c>
      <c r="L390" s="38">
        <f>VLOOKUP(K390,'Sheet A'!K390:AC1000,2,)</f>
        <v>0.2</v>
      </c>
      <c r="M390" s="70" t="str">
        <f>VLOOKUP(L390,'Sheet A'!L390:AD1000,2,)</f>
        <v>Rainy</v>
      </c>
      <c r="N390" s="38">
        <f>VLOOKUP(M390,'Sheet A'!M390:AE1000,2,)</f>
        <v>0.21210000000000001</v>
      </c>
      <c r="O390" s="38">
        <f>VLOOKUP(N390,'Sheet A'!N390:AF1000,2,)</f>
        <v>0.47</v>
      </c>
      <c r="P390" s="38">
        <f>VLOOKUP(O390,'Sheet A'!O390:AG1000,2,)</f>
        <v>0.16420000000000001</v>
      </c>
      <c r="Q390" s="38">
        <f>VLOOKUP(P390,'Sheet A'!P390:AH1000,2,)</f>
        <v>6</v>
      </c>
      <c r="R390" s="38">
        <f>VLOOKUP(Q390,'Sheet A'!Q390:AI1000,2,)</f>
        <v>76</v>
      </c>
      <c r="S390" s="38">
        <f>VLOOKUP(R390,'Sheet A'!R390:AJ1000,2,)</f>
        <v>82</v>
      </c>
    </row>
    <row r="391" spans="1:19" x14ac:dyDescent="0.35">
      <c r="A391" s="37">
        <v>390</v>
      </c>
      <c r="B391" s="60">
        <f>VLOOKUP(A391,'Sheet A'!A391:S1001,2,)</f>
        <v>40560</v>
      </c>
      <c r="C391" s="38">
        <f>VLOOKUP(B391,'Sheet A'!B391:T1001,2,)</f>
        <v>1</v>
      </c>
      <c r="D391" s="38">
        <f>VLOOKUP(C391,'Sheet A'!C391:U1001,2,)</f>
        <v>0</v>
      </c>
      <c r="E391" s="38">
        <f>VLOOKUP(D391,'Sheet A'!D391:V1001,2,)</f>
        <v>1</v>
      </c>
      <c r="F391" s="38">
        <f>VLOOKUP(E391,'Sheet A'!E391:W1001,2,)</f>
        <v>17</v>
      </c>
      <c r="G391" s="41" t="str">
        <f>VLOOKUP(F391,'Sheet A'!F391:X1001,2,)</f>
        <v>Evening</v>
      </c>
      <c r="H391" s="38" t="b">
        <f>VLOOKUP(G391,'Sheet A'!G391:Y1001,2,)</f>
        <v>1</v>
      </c>
      <c r="I391" s="38">
        <f>VLOOKUP(H391,'Sheet A'!H391:Z1001,2,)</f>
        <v>1</v>
      </c>
      <c r="J391" s="41" t="str">
        <f>VLOOKUP(I391,'Sheet A'!I391:AA1001,2,)</f>
        <v>Sunday</v>
      </c>
      <c r="K391" s="38">
        <f>VLOOKUP(J391,'Sheet A'!J391:AB1001,2,)</f>
        <v>1</v>
      </c>
      <c r="L391" s="38">
        <f>VLOOKUP(K391,'Sheet A'!K391:AC1001,2,)</f>
        <v>0.2</v>
      </c>
      <c r="M391" s="70" t="str">
        <f>VLOOKUP(L391,'Sheet A'!L391:AD1001,2,)</f>
        <v>Rainy</v>
      </c>
      <c r="N391" s="38">
        <f>VLOOKUP(M391,'Sheet A'!M391:AE1001,2,)</f>
        <v>0.19700000000000001</v>
      </c>
      <c r="O391" s="38">
        <f>VLOOKUP(N391,'Sheet A'!N391:AF1001,2,)</f>
        <v>0.51</v>
      </c>
      <c r="P391" s="38">
        <f>VLOOKUP(O391,'Sheet A'!O391:AG1001,2,)</f>
        <v>0.19400000000000001</v>
      </c>
      <c r="Q391" s="38">
        <f>VLOOKUP(P391,'Sheet A'!P391:AH1001,2,)</f>
        <v>4</v>
      </c>
      <c r="R391" s="38">
        <f>VLOOKUP(Q391,'Sheet A'!Q391:AI1001,2,)</f>
        <v>67</v>
      </c>
      <c r="S391" s="38">
        <f>VLOOKUP(R391,'Sheet A'!R391:AJ1001,2,)</f>
        <v>71</v>
      </c>
    </row>
    <row r="392" spans="1:19" x14ac:dyDescent="0.35">
      <c r="A392" s="37">
        <v>391</v>
      </c>
      <c r="B392" s="60">
        <f>VLOOKUP(A392,'Sheet A'!A392:S1002,2,)</f>
        <v>40560</v>
      </c>
      <c r="C392" s="38">
        <f>VLOOKUP(B392,'Sheet A'!B392:T1002,2,)</f>
        <v>1</v>
      </c>
      <c r="D392" s="38">
        <f>VLOOKUP(C392,'Sheet A'!C392:U1002,2,)</f>
        <v>0</v>
      </c>
      <c r="E392" s="38">
        <f>VLOOKUP(D392,'Sheet A'!D392:V1002,2,)</f>
        <v>1</v>
      </c>
      <c r="F392" s="38">
        <f>VLOOKUP(E392,'Sheet A'!E392:W1002,2,)</f>
        <v>18</v>
      </c>
      <c r="G392" s="41" t="str">
        <f>VLOOKUP(F392,'Sheet A'!F392:X1002,2,)</f>
        <v>Evening</v>
      </c>
      <c r="H392" s="38" t="b">
        <f>VLOOKUP(G392,'Sheet A'!G392:Y1002,2,)</f>
        <v>1</v>
      </c>
      <c r="I392" s="38">
        <f>VLOOKUP(H392,'Sheet A'!H392:Z1002,2,)</f>
        <v>1</v>
      </c>
      <c r="J392" s="41" t="str">
        <f>VLOOKUP(I392,'Sheet A'!I392:AA1002,2,)</f>
        <v>Sunday</v>
      </c>
      <c r="K392" s="38">
        <f>VLOOKUP(J392,'Sheet A'!J392:AB1002,2,)</f>
        <v>2</v>
      </c>
      <c r="L392" s="38">
        <f>VLOOKUP(K392,'Sheet A'!K392:AC1002,2,)</f>
        <v>0.18</v>
      </c>
      <c r="M392" s="70" t="str">
        <f>VLOOKUP(L392,'Sheet A'!L392:AD1002,2,)</f>
        <v>Rainy</v>
      </c>
      <c r="N392" s="38">
        <f>VLOOKUP(M392,'Sheet A'!M392:AE1002,2,)</f>
        <v>0.16669999999999999</v>
      </c>
      <c r="O392" s="38">
        <f>VLOOKUP(N392,'Sheet A'!N392:AF1002,2,)</f>
        <v>0.55000000000000004</v>
      </c>
      <c r="P392" s="38">
        <f>VLOOKUP(O392,'Sheet A'!O392:AG1002,2,)</f>
        <v>0.25369999999999998</v>
      </c>
      <c r="Q392" s="38">
        <f>VLOOKUP(P392,'Sheet A'!P392:AH1002,2,)</f>
        <v>7</v>
      </c>
      <c r="R392" s="38">
        <f>VLOOKUP(Q392,'Sheet A'!Q392:AI1002,2,)</f>
        <v>85</v>
      </c>
      <c r="S392" s="38">
        <f>VLOOKUP(R392,'Sheet A'!R392:AJ1002,2,)</f>
        <v>92</v>
      </c>
    </row>
    <row r="393" spans="1:19" x14ac:dyDescent="0.35">
      <c r="A393" s="37">
        <v>392</v>
      </c>
      <c r="B393" s="60">
        <f>VLOOKUP(A393,'Sheet A'!A393:S1003,2,)</f>
        <v>40560</v>
      </c>
      <c r="C393" s="38">
        <f>VLOOKUP(B393,'Sheet A'!B393:T1003,2,)</f>
        <v>1</v>
      </c>
      <c r="D393" s="38">
        <f>VLOOKUP(C393,'Sheet A'!C393:U1003,2,)</f>
        <v>0</v>
      </c>
      <c r="E393" s="38">
        <f>VLOOKUP(D393,'Sheet A'!D393:V1003,2,)</f>
        <v>1</v>
      </c>
      <c r="F393" s="38">
        <f>VLOOKUP(E393,'Sheet A'!E393:W1003,2,)</f>
        <v>19</v>
      </c>
      <c r="G393" s="41" t="str">
        <f>VLOOKUP(F393,'Sheet A'!F393:X1003,2,)</f>
        <v>Evening</v>
      </c>
      <c r="H393" s="38" t="b">
        <f>VLOOKUP(G393,'Sheet A'!G393:Y1003,2,)</f>
        <v>1</v>
      </c>
      <c r="I393" s="38">
        <f>VLOOKUP(H393,'Sheet A'!H393:Z1003,2,)</f>
        <v>1</v>
      </c>
      <c r="J393" s="41" t="str">
        <f>VLOOKUP(I393,'Sheet A'!I393:AA1003,2,)</f>
        <v>Sunday</v>
      </c>
      <c r="K393" s="38">
        <f>VLOOKUP(J393,'Sheet A'!J393:AB1003,2,)</f>
        <v>3</v>
      </c>
      <c r="L393" s="38">
        <f>VLOOKUP(K393,'Sheet A'!K393:AC1003,2,)</f>
        <v>0.18</v>
      </c>
      <c r="M393" s="70" t="str">
        <f>VLOOKUP(L393,'Sheet A'!L393:AD1003,2,)</f>
        <v>Rainy</v>
      </c>
      <c r="N393" s="38">
        <f>VLOOKUP(M393,'Sheet A'!M393:AE1003,2,)</f>
        <v>0.18179999999999999</v>
      </c>
      <c r="O393" s="38">
        <f>VLOOKUP(N393,'Sheet A'!N393:AF1003,2,)</f>
        <v>0.59</v>
      </c>
      <c r="P393" s="38">
        <f>VLOOKUP(O393,'Sheet A'!O393:AG1003,2,)</f>
        <v>0.19400000000000001</v>
      </c>
      <c r="Q393" s="38">
        <f>VLOOKUP(P393,'Sheet A'!P393:AH1003,2,)</f>
        <v>2</v>
      </c>
      <c r="R393" s="38">
        <f>VLOOKUP(Q393,'Sheet A'!Q393:AI1003,2,)</f>
        <v>58</v>
      </c>
      <c r="S393" s="38">
        <f>VLOOKUP(R393,'Sheet A'!R393:AJ1003,2,)</f>
        <v>60</v>
      </c>
    </row>
    <row r="394" spans="1:19" x14ac:dyDescent="0.35">
      <c r="A394" s="37">
        <v>393</v>
      </c>
      <c r="B394" s="60">
        <f>VLOOKUP(A394,'Sheet A'!A394:S1004,2,)</f>
        <v>40560</v>
      </c>
      <c r="C394" s="38">
        <f>VLOOKUP(B394,'Sheet A'!B394:T1004,2,)</f>
        <v>1</v>
      </c>
      <c r="D394" s="38">
        <f>VLOOKUP(C394,'Sheet A'!C394:U1004,2,)</f>
        <v>0</v>
      </c>
      <c r="E394" s="38">
        <f>VLOOKUP(D394,'Sheet A'!D394:V1004,2,)</f>
        <v>1</v>
      </c>
      <c r="F394" s="38">
        <f>VLOOKUP(E394,'Sheet A'!E394:W1004,2,)</f>
        <v>20</v>
      </c>
      <c r="G394" s="41" t="str">
        <f>VLOOKUP(F394,'Sheet A'!F394:X1004,2,)</f>
        <v>Night</v>
      </c>
      <c r="H394" s="38" t="b">
        <f>VLOOKUP(G394,'Sheet A'!G394:Y1004,2,)</f>
        <v>1</v>
      </c>
      <c r="I394" s="38">
        <f>VLOOKUP(H394,'Sheet A'!H394:Z1004,2,)</f>
        <v>1</v>
      </c>
      <c r="J394" s="41" t="str">
        <f>VLOOKUP(I394,'Sheet A'!I394:AA1004,2,)</f>
        <v>Sunday</v>
      </c>
      <c r="K394" s="38">
        <f>VLOOKUP(J394,'Sheet A'!J394:AB1004,2,)</f>
        <v>3</v>
      </c>
      <c r="L394" s="38">
        <f>VLOOKUP(K394,'Sheet A'!K394:AC1004,2,)</f>
        <v>0.16</v>
      </c>
      <c r="M394" s="70" t="str">
        <f>VLOOKUP(L394,'Sheet A'!L394:AD1004,2,)</f>
        <v>Rainy</v>
      </c>
      <c r="N394" s="38">
        <f>VLOOKUP(M394,'Sheet A'!M394:AE1004,2,)</f>
        <v>0.1515</v>
      </c>
      <c r="O394" s="38">
        <f>VLOOKUP(N394,'Sheet A'!N394:AF1004,2,)</f>
        <v>0.8</v>
      </c>
      <c r="P394" s="38">
        <f>VLOOKUP(O394,'Sheet A'!O394:AG1004,2,)</f>
        <v>0.19400000000000001</v>
      </c>
      <c r="Q394" s="38">
        <f>VLOOKUP(P394,'Sheet A'!P394:AH1004,2,)</f>
        <v>4</v>
      </c>
      <c r="R394" s="38">
        <f>VLOOKUP(Q394,'Sheet A'!Q394:AI1004,2,)</f>
        <v>29</v>
      </c>
      <c r="S394" s="38">
        <f>VLOOKUP(R394,'Sheet A'!R394:AJ1004,2,)</f>
        <v>33</v>
      </c>
    </row>
    <row r="395" spans="1:19" x14ac:dyDescent="0.35">
      <c r="A395" s="37">
        <v>394</v>
      </c>
      <c r="B395" s="60">
        <f>VLOOKUP(A395,'Sheet A'!A395:S1005,2,)</f>
        <v>40560</v>
      </c>
      <c r="C395" s="38">
        <f>VLOOKUP(B395,'Sheet A'!B395:T1005,2,)</f>
        <v>1</v>
      </c>
      <c r="D395" s="38">
        <f>VLOOKUP(C395,'Sheet A'!C395:U1005,2,)</f>
        <v>0</v>
      </c>
      <c r="E395" s="38">
        <f>VLOOKUP(D395,'Sheet A'!D395:V1005,2,)</f>
        <v>1</v>
      </c>
      <c r="F395" s="38">
        <f>VLOOKUP(E395,'Sheet A'!E395:W1005,2,)</f>
        <v>21</v>
      </c>
      <c r="G395" s="41" t="str">
        <f>VLOOKUP(F395,'Sheet A'!F395:X1005,2,)</f>
        <v>Night</v>
      </c>
      <c r="H395" s="38" t="b">
        <f>VLOOKUP(G395,'Sheet A'!G395:Y1005,2,)</f>
        <v>1</v>
      </c>
      <c r="I395" s="38">
        <f>VLOOKUP(H395,'Sheet A'!H395:Z1005,2,)</f>
        <v>1</v>
      </c>
      <c r="J395" s="41" t="str">
        <f>VLOOKUP(I395,'Sheet A'!I395:AA1005,2,)</f>
        <v>Sunday</v>
      </c>
      <c r="K395" s="38">
        <f>VLOOKUP(J395,'Sheet A'!J395:AB1005,2,)</f>
        <v>3</v>
      </c>
      <c r="L395" s="38">
        <f>VLOOKUP(K395,'Sheet A'!K395:AC1005,2,)</f>
        <v>0.16</v>
      </c>
      <c r="M395" s="70" t="str">
        <f>VLOOKUP(L395,'Sheet A'!L395:AD1005,2,)</f>
        <v>Rainy</v>
      </c>
      <c r="N395" s="38">
        <f>VLOOKUP(M395,'Sheet A'!M395:AE1005,2,)</f>
        <v>0.1515</v>
      </c>
      <c r="O395" s="38">
        <f>VLOOKUP(N395,'Sheet A'!N395:AF1005,2,)</f>
        <v>0.8</v>
      </c>
      <c r="P395" s="38">
        <f>VLOOKUP(O395,'Sheet A'!O395:AG1005,2,)</f>
        <v>0.19400000000000001</v>
      </c>
      <c r="Q395" s="38">
        <f>VLOOKUP(P395,'Sheet A'!P395:AH1005,2,)</f>
        <v>3</v>
      </c>
      <c r="R395" s="38">
        <f>VLOOKUP(Q395,'Sheet A'!Q395:AI1005,2,)</f>
        <v>24</v>
      </c>
      <c r="S395" s="38">
        <f>VLOOKUP(R395,'Sheet A'!R395:AJ1005,2,)</f>
        <v>27</v>
      </c>
    </row>
    <row r="396" spans="1:19" x14ac:dyDescent="0.35">
      <c r="A396" s="37">
        <v>395</v>
      </c>
      <c r="B396" s="60">
        <f>VLOOKUP(A396,'Sheet A'!A396:S1006,2,)</f>
        <v>40560</v>
      </c>
      <c r="C396" s="38">
        <f>VLOOKUP(B396,'Sheet A'!B396:T1006,2,)</f>
        <v>1</v>
      </c>
      <c r="D396" s="38">
        <f>VLOOKUP(C396,'Sheet A'!C396:U1006,2,)</f>
        <v>0</v>
      </c>
      <c r="E396" s="38">
        <f>VLOOKUP(D396,'Sheet A'!D396:V1006,2,)</f>
        <v>1</v>
      </c>
      <c r="F396" s="38">
        <f>VLOOKUP(E396,'Sheet A'!E396:W1006,2,)</f>
        <v>22</v>
      </c>
      <c r="G396" s="41" t="str">
        <f>VLOOKUP(F396,'Sheet A'!F396:X1006,2,)</f>
        <v>Night</v>
      </c>
      <c r="H396" s="38" t="b">
        <f>VLOOKUP(G396,'Sheet A'!G396:Y1006,2,)</f>
        <v>1</v>
      </c>
      <c r="I396" s="38">
        <f>VLOOKUP(H396,'Sheet A'!H396:Z1006,2,)</f>
        <v>1</v>
      </c>
      <c r="J396" s="41" t="str">
        <f>VLOOKUP(I396,'Sheet A'!I396:AA1006,2,)</f>
        <v>Sunday</v>
      </c>
      <c r="K396" s="38">
        <f>VLOOKUP(J396,'Sheet A'!J396:AB1006,2,)</f>
        <v>3</v>
      </c>
      <c r="L396" s="38">
        <f>VLOOKUP(K396,'Sheet A'!K396:AC1006,2,)</f>
        <v>0.14000000000000001</v>
      </c>
      <c r="M396" s="70" t="str">
        <f>VLOOKUP(L396,'Sheet A'!L396:AD1006,2,)</f>
        <v>Rainy</v>
      </c>
      <c r="N396" s="38">
        <f>VLOOKUP(M396,'Sheet A'!M396:AE1006,2,)</f>
        <v>0.1212</v>
      </c>
      <c r="O396" s="38">
        <f>VLOOKUP(N396,'Sheet A'!N396:AF1006,2,)</f>
        <v>0.93</v>
      </c>
      <c r="P396" s="38">
        <f>VLOOKUP(O396,'Sheet A'!O396:AG1006,2,)</f>
        <v>0.25369999999999998</v>
      </c>
      <c r="Q396" s="38">
        <f>VLOOKUP(P396,'Sheet A'!P396:AH1006,2,)</f>
        <v>0</v>
      </c>
      <c r="R396" s="38">
        <f>VLOOKUP(Q396,'Sheet A'!Q396:AI1006,2,)</f>
        <v>13</v>
      </c>
      <c r="S396" s="38">
        <f>VLOOKUP(R396,'Sheet A'!R396:AJ1006,2,)</f>
        <v>13</v>
      </c>
    </row>
    <row r="397" spans="1:19" x14ac:dyDescent="0.35">
      <c r="A397" s="37">
        <v>396</v>
      </c>
      <c r="B397" s="60">
        <f>VLOOKUP(A397,'Sheet A'!A397:S1007,2,)</f>
        <v>40560</v>
      </c>
      <c r="C397" s="38">
        <f>VLOOKUP(B397,'Sheet A'!B397:T1007,2,)</f>
        <v>1</v>
      </c>
      <c r="D397" s="38">
        <f>VLOOKUP(C397,'Sheet A'!C397:U1007,2,)</f>
        <v>0</v>
      </c>
      <c r="E397" s="38">
        <f>VLOOKUP(D397,'Sheet A'!D397:V1007,2,)</f>
        <v>1</v>
      </c>
      <c r="F397" s="38">
        <f>VLOOKUP(E397,'Sheet A'!E397:W1007,2,)</f>
        <v>23</v>
      </c>
      <c r="G397" s="41" t="str">
        <f>VLOOKUP(F397,'Sheet A'!F397:X1007,2,)</f>
        <v>Night</v>
      </c>
      <c r="H397" s="38" t="b">
        <f>VLOOKUP(G397,'Sheet A'!G397:Y1007,2,)</f>
        <v>1</v>
      </c>
      <c r="I397" s="38">
        <f>VLOOKUP(H397,'Sheet A'!H397:Z1007,2,)</f>
        <v>1</v>
      </c>
      <c r="J397" s="41" t="str">
        <f>VLOOKUP(I397,'Sheet A'!I397:AA1007,2,)</f>
        <v>Sunday</v>
      </c>
      <c r="K397" s="38">
        <f>VLOOKUP(J397,'Sheet A'!J397:AB1007,2,)</f>
        <v>3</v>
      </c>
      <c r="L397" s="38">
        <f>VLOOKUP(K397,'Sheet A'!K397:AC1007,2,)</f>
        <v>0.16</v>
      </c>
      <c r="M397" s="70" t="str">
        <f>VLOOKUP(L397,'Sheet A'!L397:AD1007,2,)</f>
        <v>Rainy</v>
      </c>
      <c r="N397" s="38">
        <f>VLOOKUP(M397,'Sheet A'!M397:AE1007,2,)</f>
        <v>0.13639999999999999</v>
      </c>
      <c r="O397" s="38">
        <f>VLOOKUP(N397,'Sheet A'!N397:AF1007,2,)</f>
        <v>0.86</v>
      </c>
      <c r="P397" s="38">
        <f>VLOOKUP(O397,'Sheet A'!O397:AG1007,2,)</f>
        <v>0.28360000000000002</v>
      </c>
      <c r="Q397" s="38">
        <f>VLOOKUP(P397,'Sheet A'!P397:AH1007,2,)</f>
        <v>1</v>
      </c>
      <c r="R397" s="38">
        <f>VLOOKUP(Q397,'Sheet A'!Q397:AI1007,2,)</f>
        <v>3</v>
      </c>
      <c r="S397" s="38">
        <f>VLOOKUP(R397,'Sheet A'!R397:AJ1007,2,)</f>
        <v>4</v>
      </c>
    </row>
    <row r="398" spans="1:19" x14ac:dyDescent="0.35">
      <c r="A398" s="37">
        <v>397</v>
      </c>
      <c r="B398" s="60">
        <f>VLOOKUP(A398,'Sheet A'!A398:S1008,2,)</f>
        <v>40561</v>
      </c>
      <c r="C398" s="38">
        <f>VLOOKUP(B398,'Sheet A'!B398:T1008,2,)</f>
        <v>1</v>
      </c>
      <c r="D398" s="38">
        <f>VLOOKUP(C398,'Sheet A'!C398:U1008,2,)</f>
        <v>0</v>
      </c>
      <c r="E398" s="38">
        <f>VLOOKUP(D398,'Sheet A'!D398:V1008,2,)</f>
        <v>1</v>
      </c>
      <c r="F398" s="38">
        <f>VLOOKUP(E398,'Sheet A'!E398:W1008,2,)</f>
        <v>12</v>
      </c>
      <c r="G398" s="41" t="str">
        <f>VLOOKUP(F398,'Sheet A'!F398:X1008,2,)</f>
        <v>AfterNoon</v>
      </c>
      <c r="H398" s="38" t="b">
        <f>VLOOKUP(G398,'Sheet A'!G398:Y1008,2,)</f>
        <v>0</v>
      </c>
      <c r="I398" s="38">
        <f>VLOOKUP(H398,'Sheet A'!H398:Z1008,2,)</f>
        <v>2</v>
      </c>
      <c r="J398" s="41" t="str">
        <f>VLOOKUP(I398,'Sheet A'!I398:AA1008,2,)</f>
        <v>Monday</v>
      </c>
      <c r="K398" s="38">
        <f>VLOOKUP(J398,'Sheet A'!J398:AB1008,2,)</f>
        <v>2</v>
      </c>
      <c r="L398" s="38">
        <f>VLOOKUP(K398,'Sheet A'!K398:AC1008,2,)</f>
        <v>0.2</v>
      </c>
      <c r="M398" s="70" t="str">
        <f>VLOOKUP(L398,'Sheet A'!L398:AD1008,2,)</f>
        <v>Rainy</v>
      </c>
      <c r="N398" s="38">
        <f>VLOOKUP(M398,'Sheet A'!M398:AE1008,2,)</f>
        <v>0.18179999999999999</v>
      </c>
      <c r="O398" s="38">
        <f>VLOOKUP(N398,'Sheet A'!N398:AF1008,2,)</f>
        <v>0.86</v>
      </c>
      <c r="P398" s="38">
        <f>VLOOKUP(O398,'Sheet A'!O398:AG1008,2,)</f>
        <v>0.32840000000000003</v>
      </c>
      <c r="Q398" s="38">
        <f>VLOOKUP(P398,'Sheet A'!P398:AH1008,2,)</f>
        <v>0</v>
      </c>
      <c r="R398" s="38">
        <f>VLOOKUP(Q398,'Sheet A'!Q398:AI1008,2,)</f>
        <v>3</v>
      </c>
      <c r="S398" s="38">
        <f>VLOOKUP(R398,'Sheet A'!R398:AJ1008,2,)</f>
        <v>3</v>
      </c>
    </row>
    <row r="399" spans="1:19" x14ac:dyDescent="0.35">
      <c r="A399" s="37">
        <v>398</v>
      </c>
      <c r="B399" s="60">
        <f>VLOOKUP(A399,'Sheet A'!A399:S1009,2,)</f>
        <v>40561</v>
      </c>
      <c r="C399" s="38">
        <f>VLOOKUP(B399,'Sheet A'!B399:T1009,2,)</f>
        <v>1</v>
      </c>
      <c r="D399" s="38">
        <f>VLOOKUP(C399,'Sheet A'!C399:U1009,2,)</f>
        <v>0</v>
      </c>
      <c r="E399" s="38">
        <f>VLOOKUP(D399,'Sheet A'!D399:V1009,2,)</f>
        <v>1</v>
      </c>
      <c r="F399" s="38">
        <f>VLOOKUP(E399,'Sheet A'!E399:W1009,2,)</f>
        <v>13</v>
      </c>
      <c r="G399" s="41" t="str">
        <f>VLOOKUP(F399,'Sheet A'!F399:X1009,2,)</f>
        <v>AfterNoon</v>
      </c>
      <c r="H399" s="38" t="b">
        <f>VLOOKUP(G399,'Sheet A'!G399:Y1009,2,)</f>
        <v>0</v>
      </c>
      <c r="I399" s="38">
        <f>VLOOKUP(H399,'Sheet A'!H399:Z1009,2,)</f>
        <v>2</v>
      </c>
      <c r="J399" s="41" t="str">
        <f>VLOOKUP(I399,'Sheet A'!I399:AA1009,2,)</f>
        <v>Monday</v>
      </c>
      <c r="K399" s="38">
        <f>VLOOKUP(J399,'Sheet A'!J399:AB1009,2,)</f>
        <v>2</v>
      </c>
      <c r="L399" s="38">
        <f>VLOOKUP(K399,'Sheet A'!K399:AC1009,2,)</f>
        <v>0.2</v>
      </c>
      <c r="M399" s="70" t="str">
        <f>VLOOKUP(L399,'Sheet A'!L399:AD1009,2,)</f>
        <v>Rainy</v>
      </c>
      <c r="N399" s="38">
        <f>VLOOKUP(M399,'Sheet A'!M399:AE1009,2,)</f>
        <v>0.19700000000000001</v>
      </c>
      <c r="O399" s="38">
        <f>VLOOKUP(N399,'Sheet A'!N399:AF1009,2,)</f>
        <v>0.86</v>
      </c>
      <c r="P399" s="38">
        <f>VLOOKUP(O399,'Sheet A'!O399:AG1009,2,)</f>
        <v>0.22389999999999999</v>
      </c>
      <c r="Q399" s="38">
        <f>VLOOKUP(P399,'Sheet A'!P399:AH1009,2,)</f>
        <v>0</v>
      </c>
      <c r="R399" s="38">
        <f>VLOOKUP(Q399,'Sheet A'!Q399:AI1009,2,)</f>
        <v>22</v>
      </c>
      <c r="S399" s="38">
        <f>VLOOKUP(R399,'Sheet A'!R399:AJ1009,2,)</f>
        <v>22</v>
      </c>
    </row>
    <row r="400" spans="1:19" x14ac:dyDescent="0.35">
      <c r="A400" s="37">
        <v>399</v>
      </c>
      <c r="B400" s="60">
        <f>VLOOKUP(A400,'Sheet A'!A400:S1010,2,)</f>
        <v>40561</v>
      </c>
      <c r="C400" s="38">
        <f>VLOOKUP(B400,'Sheet A'!B400:T1010,2,)</f>
        <v>1</v>
      </c>
      <c r="D400" s="38">
        <f>VLOOKUP(C400,'Sheet A'!C400:U1010,2,)</f>
        <v>0</v>
      </c>
      <c r="E400" s="38">
        <f>VLOOKUP(D400,'Sheet A'!D400:V1010,2,)</f>
        <v>1</v>
      </c>
      <c r="F400" s="38">
        <f>VLOOKUP(E400,'Sheet A'!E400:W1010,2,)</f>
        <v>14</v>
      </c>
      <c r="G400" s="41" t="str">
        <f>VLOOKUP(F400,'Sheet A'!F400:X1010,2,)</f>
        <v>AfterNoon</v>
      </c>
      <c r="H400" s="38" t="b">
        <f>VLOOKUP(G400,'Sheet A'!G400:Y1010,2,)</f>
        <v>0</v>
      </c>
      <c r="I400" s="38">
        <f>VLOOKUP(H400,'Sheet A'!H400:Z1010,2,)</f>
        <v>2</v>
      </c>
      <c r="J400" s="41" t="str">
        <f>VLOOKUP(I400,'Sheet A'!I400:AA1010,2,)</f>
        <v>Monday</v>
      </c>
      <c r="K400" s="38">
        <f>VLOOKUP(J400,'Sheet A'!J400:AB1010,2,)</f>
        <v>2</v>
      </c>
      <c r="L400" s="38">
        <f>VLOOKUP(K400,'Sheet A'!K400:AC1010,2,)</f>
        <v>0.22</v>
      </c>
      <c r="M400" s="70" t="str">
        <f>VLOOKUP(L400,'Sheet A'!L400:AD1010,2,)</f>
        <v>Cloudy</v>
      </c>
      <c r="N400" s="38">
        <f>VLOOKUP(M400,'Sheet A'!M400:AE1010,2,)</f>
        <v>0.2273</v>
      </c>
      <c r="O400" s="38">
        <f>VLOOKUP(N400,'Sheet A'!N400:AF1010,2,)</f>
        <v>0.8</v>
      </c>
      <c r="P400" s="38">
        <f>VLOOKUP(O400,'Sheet A'!O400:AG1010,2,)</f>
        <v>0.16420000000000001</v>
      </c>
      <c r="Q400" s="38">
        <f>VLOOKUP(P400,'Sheet A'!P400:AH1010,2,)</f>
        <v>2</v>
      </c>
      <c r="R400" s="38">
        <f>VLOOKUP(Q400,'Sheet A'!Q400:AI1010,2,)</f>
        <v>26</v>
      </c>
      <c r="S400" s="38">
        <f>VLOOKUP(R400,'Sheet A'!R400:AJ1010,2,)</f>
        <v>28</v>
      </c>
    </row>
    <row r="401" spans="1:19" x14ac:dyDescent="0.35">
      <c r="A401" s="37">
        <v>400</v>
      </c>
      <c r="B401" s="60">
        <f>VLOOKUP(A401,'Sheet A'!A401:S1011,2,)</f>
        <v>40561</v>
      </c>
      <c r="C401" s="38">
        <f>VLOOKUP(B401,'Sheet A'!B401:T1011,2,)</f>
        <v>1</v>
      </c>
      <c r="D401" s="38">
        <f>VLOOKUP(C401,'Sheet A'!C401:U1011,2,)</f>
        <v>0</v>
      </c>
      <c r="E401" s="38">
        <f>VLOOKUP(D401,'Sheet A'!D401:V1011,2,)</f>
        <v>1</v>
      </c>
      <c r="F401" s="38">
        <f>VLOOKUP(E401,'Sheet A'!E401:W1011,2,)</f>
        <v>15</v>
      </c>
      <c r="G401" s="41" t="str">
        <f>VLOOKUP(F401,'Sheet A'!F401:X1011,2,)</f>
        <v>AfterNoon</v>
      </c>
      <c r="H401" s="38" t="b">
        <f>VLOOKUP(G401,'Sheet A'!G401:Y1011,2,)</f>
        <v>0</v>
      </c>
      <c r="I401" s="38">
        <f>VLOOKUP(H401,'Sheet A'!H401:Z1011,2,)</f>
        <v>2</v>
      </c>
      <c r="J401" s="41" t="str">
        <f>VLOOKUP(I401,'Sheet A'!I401:AA1011,2,)</f>
        <v>Monday</v>
      </c>
      <c r="K401" s="38">
        <f>VLOOKUP(J401,'Sheet A'!J401:AB1011,2,)</f>
        <v>2</v>
      </c>
      <c r="L401" s="38">
        <f>VLOOKUP(K401,'Sheet A'!K401:AC1011,2,)</f>
        <v>0.22</v>
      </c>
      <c r="M401" s="70" t="str">
        <f>VLOOKUP(L401,'Sheet A'!L401:AD1011,2,)</f>
        <v>Cloudy</v>
      </c>
      <c r="N401" s="38">
        <f>VLOOKUP(M401,'Sheet A'!M401:AE1011,2,)</f>
        <v>0.2273</v>
      </c>
      <c r="O401" s="38">
        <f>VLOOKUP(N401,'Sheet A'!N401:AF1011,2,)</f>
        <v>0.87</v>
      </c>
      <c r="P401" s="38">
        <f>VLOOKUP(O401,'Sheet A'!O401:AG1011,2,)</f>
        <v>0.16420000000000001</v>
      </c>
      <c r="Q401" s="38">
        <f>VLOOKUP(P401,'Sheet A'!P401:AH1011,2,)</f>
        <v>3</v>
      </c>
      <c r="R401" s="38">
        <f>VLOOKUP(Q401,'Sheet A'!Q401:AI1011,2,)</f>
        <v>32</v>
      </c>
      <c r="S401" s="38">
        <f>VLOOKUP(R401,'Sheet A'!R401:AJ1011,2,)</f>
        <v>35</v>
      </c>
    </row>
    <row r="402" spans="1:19" x14ac:dyDescent="0.35">
      <c r="A402" s="37">
        <v>401</v>
      </c>
      <c r="B402" s="60">
        <f>VLOOKUP(A402,'Sheet A'!A402:S1012,2,)</f>
        <v>40561</v>
      </c>
      <c r="C402" s="38">
        <f>VLOOKUP(B402,'Sheet A'!B402:T1012,2,)</f>
        <v>1</v>
      </c>
      <c r="D402" s="38">
        <f>VLOOKUP(C402,'Sheet A'!C402:U1012,2,)</f>
        <v>0</v>
      </c>
      <c r="E402" s="38">
        <f>VLOOKUP(D402,'Sheet A'!D402:V1012,2,)</f>
        <v>1</v>
      </c>
      <c r="F402" s="38">
        <f>VLOOKUP(E402,'Sheet A'!E402:W1012,2,)</f>
        <v>16</v>
      </c>
      <c r="G402" s="41" t="str">
        <f>VLOOKUP(F402,'Sheet A'!F402:X1012,2,)</f>
        <v>AfterNoon</v>
      </c>
      <c r="H402" s="38" t="b">
        <f>VLOOKUP(G402,'Sheet A'!G402:Y1012,2,)</f>
        <v>0</v>
      </c>
      <c r="I402" s="38">
        <f>VLOOKUP(H402,'Sheet A'!H402:Z1012,2,)</f>
        <v>2</v>
      </c>
      <c r="J402" s="41" t="str">
        <f>VLOOKUP(I402,'Sheet A'!I402:AA1012,2,)</f>
        <v>Monday</v>
      </c>
      <c r="K402" s="38">
        <f>VLOOKUP(J402,'Sheet A'!J402:AB1012,2,)</f>
        <v>2</v>
      </c>
      <c r="L402" s="38">
        <f>VLOOKUP(K402,'Sheet A'!K402:AC1012,2,)</f>
        <v>0.22</v>
      </c>
      <c r="M402" s="70" t="str">
        <f>VLOOKUP(L402,'Sheet A'!L402:AD1012,2,)</f>
        <v>Cloudy</v>
      </c>
      <c r="N402" s="38">
        <f>VLOOKUP(M402,'Sheet A'!M402:AE1012,2,)</f>
        <v>0.2273</v>
      </c>
      <c r="O402" s="38">
        <f>VLOOKUP(N402,'Sheet A'!N402:AF1012,2,)</f>
        <v>0.87</v>
      </c>
      <c r="P402" s="38">
        <f>VLOOKUP(O402,'Sheet A'!O402:AG1012,2,)</f>
        <v>0.19400000000000001</v>
      </c>
      <c r="Q402" s="38">
        <f>VLOOKUP(P402,'Sheet A'!P402:AH1012,2,)</f>
        <v>0</v>
      </c>
      <c r="R402" s="38">
        <f>VLOOKUP(Q402,'Sheet A'!Q402:AI1012,2,)</f>
        <v>61</v>
      </c>
      <c r="S402" s="38">
        <f>VLOOKUP(R402,'Sheet A'!R402:AJ1012,2,)</f>
        <v>61</v>
      </c>
    </row>
    <row r="403" spans="1:19" x14ac:dyDescent="0.35">
      <c r="A403" s="37">
        <v>402</v>
      </c>
      <c r="B403" s="60">
        <f>VLOOKUP(A403,'Sheet A'!A403:S1013,2,)</f>
        <v>40561</v>
      </c>
      <c r="C403" s="38">
        <f>VLOOKUP(B403,'Sheet A'!B403:T1013,2,)</f>
        <v>1</v>
      </c>
      <c r="D403" s="38">
        <f>VLOOKUP(C403,'Sheet A'!C403:U1013,2,)</f>
        <v>0</v>
      </c>
      <c r="E403" s="38">
        <f>VLOOKUP(D403,'Sheet A'!D403:V1013,2,)</f>
        <v>1</v>
      </c>
      <c r="F403" s="38">
        <f>VLOOKUP(E403,'Sheet A'!E403:W1013,2,)</f>
        <v>17</v>
      </c>
      <c r="G403" s="41" t="str">
        <f>VLOOKUP(F403,'Sheet A'!F403:X1013,2,)</f>
        <v>Evening</v>
      </c>
      <c r="H403" s="38" t="b">
        <f>VLOOKUP(G403,'Sheet A'!G403:Y1013,2,)</f>
        <v>0</v>
      </c>
      <c r="I403" s="38">
        <f>VLOOKUP(H403,'Sheet A'!H403:Z1013,2,)</f>
        <v>2</v>
      </c>
      <c r="J403" s="41" t="str">
        <f>VLOOKUP(I403,'Sheet A'!I403:AA1013,2,)</f>
        <v>Monday</v>
      </c>
      <c r="K403" s="38">
        <f>VLOOKUP(J403,'Sheet A'!J403:AB1013,2,)</f>
        <v>2</v>
      </c>
      <c r="L403" s="38">
        <f>VLOOKUP(K403,'Sheet A'!K403:AC1013,2,)</f>
        <v>0.22</v>
      </c>
      <c r="M403" s="70" t="str">
        <f>VLOOKUP(L403,'Sheet A'!L403:AD1013,2,)</f>
        <v>Cloudy</v>
      </c>
      <c r="N403" s="38">
        <f>VLOOKUP(M403,'Sheet A'!M403:AE1013,2,)</f>
        <v>0.2273</v>
      </c>
      <c r="O403" s="38">
        <f>VLOOKUP(N403,'Sheet A'!N403:AF1013,2,)</f>
        <v>0.82</v>
      </c>
      <c r="P403" s="38">
        <f>VLOOKUP(O403,'Sheet A'!O403:AG1013,2,)</f>
        <v>0.19400000000000001</v>
      </c>
      <c r="Q403" s="38">
        <f>VLOOKUP(P403,'Sheet A'!P403:AH1013,2,)</f>
        <v>1</v>
      </c>
      <c r="R403" s="38">
        <f>VLOOKUP(Q403,'Sheet A'!Q403:AI1013,2,)</f>
        <v>124</v>
      </c>
      <c r="S403" s="38">
        <f>VLOOKUP(R403,'Sheet A'!R403:AJ1013,2,)</f>
        <v>125</v>
      </c>
    </row>
    <row r="404" spans="1:19" x14ac:dyDescent="0.35">
      <c r="A404" s="37">
        <v>403</v>
      </c>
      <c r="B404" s="60">
        <f>VLOOKUP(A404,'Sheet A'!A404:S1014,2,)</f>
        <v>40561</v>
      </c>
      <c r="C404" s="38">
        <f>VLOOKUP(B404,'Sheet A'!B404:T1014,2,)</f>
        <v>1</v>
      </c>
      <c r="D404" s="38">
        <f>VLOOKUP(C404,'Sheet A'!C404:U1014,2,)</f>
        <v>0</v>
      </c>
      <c r="E404" s="38">
        <f>VLOOKUP(D404,'Sheet A'!D404:V1014,2,)</f>
        <v>1</v>
      </c>
      <c r="F404" s="38">
        <f>VLOOKUP(E404,'Sheet A'!E404:W1014,2,)</f>
        <v>18</v>
      </c>
      <c r="G404" s="41" t="str">
        <f>VLOOKUP(F404,'Sheet A'!F404:X1014,2,)</f>
        <v>Evening</v>
      </c>
      <c r="H404" s="38" t="b">
        <f>VLOOKUP(G404,'Sheet A'!G404:Y1014,2,)</f>
        <v>0</v>
      </c>
      <c r="I404" s="38">
        <f>VLOOKUP(H404,'Sheet A'!H404:Z1014,2,)</f>
        <v>2</v>
      </c>
      <c r="J404" s="41" t="str">
        <f>VLOOKUP(I404,'Sheet A'!I404:AA1014,2,)</f>
        <v>Monday</v>
      </c>
      <c r="K404" s="38">
        <f>VLOOKUP(J404,'Sheet A'!J404:AB1014,2,)</f>
        <v>2</v>
      </c>
      <c r="L404" s="38">
        <f>VLOOKUP(K404,'Sheet A'!K404:AC1014,2,)</f>
        <v>0.22</v>
      </c>
      <c r="M404" s="70" t="str">
        <f>VLOOKUP(L404,'Sheet A'!L404:AD1014,2,)</f>
        <v>Cloudy</v>
      </c>
      <c r="N404" s="38">
        <f>VLOOKUP(M404,'Sheet A'!M404:AE1014,2,)</f>
        <v>0.2273</v>
      </c>
      <c r="O404" s="38">
        <f>VLOOKUP(N404,'Sheet A'!N404:AF1014,2,)</f>
        <v>0.8</v>
      </c>
      <c r="P404" s="38">
        <f>VLOOKUP(O404,'Sheet A'!O404:AG1014,2,)</f>
        <v>0.16420000000000001</v>
      </c>
      <c r="Q404" s="38">
        <f>VLOOKUP(P404,'Sheet A'!P404:AH1014,2,)</f>
        <v>1</v>
      </c>
      <c r="R404" s="38">
        <f>VLOOKUP(Q404,'Sheet A'!Q404:AI1014,2,)</f>
        <v>132</v>
      </c>
      <c r="S404" s="38">
        <f>VLOOKUP(R404,'Sheet A'!R404:AJ1014,2,)</f>
        <v>133</v>
      </c>
    </row>
    <row r="405" spans="1:19" x14ac:dyDescent="0.35">
      <c r="A405" s="37">
        <v>404</v>
      </c>
      <c r="B405" s="60">
        <f>VLOOKUP(A405,'Sheet A'!A405:S1015,2,)</f>
        <v>40561</v>
      </c>
      <c r="C405" s="38">
        <f>VLOOKUP(B405,'Sheet A'!B405:T1015,2,)</f>
        <v>1</v>
      </c>
      <c r="D405" s="38">
        <f>VLOOKUP(C405,'Sheet A'!C405:U1015,2,)</f>
        <v>0</v>
      </c>
      <c r="E405" s="38">
        <f>VLOOKUP(D405,'Sheet A'!D405:V1015,2,)</f>
        <v>1</v>
      </c>
      <c r="F405" s="38">
        <f>VLOOKUP(E405,'Sheet A'!E405:W1015,2,)</f>
        <v>19</v>
      </c>
      <c r="G405" s="41" t="str">
        <f>VLOOKUP(F405,'Sheet A'!F405:X1015,2,)</f>
        <v>Evening</v>
      </c>
      <c r="H405" s="38" t="b">
        <f>VLOOKUP(G405,'Sheet A'!G405:Y1015,2,)</f>
        <v>0</v>
      </c>
      <c r="I405" s="38">
        <f>VLOOKUP(H405,'Sheet A'!H405:Z1015,2,)</f>
        <v>2</v>
      </c>
      <c r="J405" s="41" t="str">
        <f>VLOOKUP(I405,'Sheet A'!I405:AA1015,2,)</f>
        <v>Monday</v>
      </c>
      <c r="K405" s="38">
        <f>VLOOKUP(J405,'Sheet A'!J405:AB1015,2,)</f>
        <v>2</v>
      </c>
      <c r="L405" s="38">
        <f>VLOOKUP(K405,'Sheet A'!K405:AC1015,2,)</f>
        <v>0.22</v>
      </c>
      <c r="M405" s="70" t="str">
        <f>VLOOKUP(L405,'Sheet A'!L405:AD1015,2,)</f>
        <v>Cloudy</v>
      </c>
      <c r="N405" s="38">
        <f>VLOOKUP(M405,'Sheet A'!M405:AE1015,2,)</f>
        <v>0.2273</v>
      </c>
      <c r="O405" s="38">
        <f>VLOOKUP(N405,'Sheet A'!N405:AF1015,2,)</f>
        <v>0.8</v>
      </c>
      <c r="P405" s="38">
        <f>VLOOKUP(O405,'Sheet A'!O405:AG1015,2,)</f>
        <v>0.1343</v>
      </c>
      <c r="Q405" s="38">
        <f>VLOOKUP(P405,'Sheet A'!P405:AH1015,2,)</f>
        <v>1</v>
      </c>
      <c r="R405" s="38">
        <f>VLOOKUP(Q405,'Sheet A'!Q405:AI1015,2,)</f>
        <v>98</v>
      </c>
      <c r="S405" s="38">
        <f>VLOOKUP(R405,'Sheet A'!R405:AJ1015,2,)</f>
        <v>99</v>
      </c>
    </row>
    <row r="406" spans="1:19" x14ac:dyDescent="0.35">
      <c r="A406" s="37">
        <v>405</v>
      </c>
      <c r="B406" s="60">
        <f>VLOOKUP(A406,'Sheet A'!A406:S1016,2,)</f>
        <v>40561</v>
      </c>
      <c r="C406" s="38">
        <f>VLOOKUP(B406,'Sheet A'!B406:T1016,2,)</f>
        <v>1</v>
      </c>
      <c r="D406" s="38">
        <f>VLOOKUP(C406,'Sheet A'!C406:U1016,2,)</f>
        <v>0</v>
      </c>
      <c r="E406" s="38">
        <f>VLOOKUP(D406,'Sheet A'!D406:V1016,2,)</f>
        <v>1</v>
      </c>
      <c r="F406" s="38">
        <f>VLOOKUP(E406,'Sheet A'!E406:W1016,2,)</f>
        <v>20</v>
      </c>
      <c r="G406" s="41" t="str">
        <f>VLOOKUP(F406,'Sheet A'!F406:X1016,2,)</f>
        <v>Night</v>
      </c>
      <c r="H406" s="38" t="b">
        <f>VLOOKUP(G406,'Sheet A'!G406:Y1016,2,)</f>
        <v>0</v>
      </c>
      <c r="I406" s="38">
        <f>VLOOKUP(H406,'Sheet A'!H406:Z1016,2,)</f>
        <v>2</v>
      </c>
      <c r="J406" s="41" t="str">
        <f>VLOOKUP(I406,'Sheet A'!I406:AA1016,2,)</f>
        <v>Monday</v>
      </c>
      <c r="K406" s="38">
        <f>VLOOKUP(J406,'Sheet A'!J406:AB1016,2,)</f>
        <v>2</v>
      </c>
      <c r="L406" s="38">
        <f>VLOOKUP(K406,'Sheet A'!K406:AC1016,2,)</f>
        <v>0.22</v>
      </c>
      <c r="M406" s="70" t="str">
        <f>VLOOKUP(L406,'Sheet A'!L406:AD1016,2,)</f>
        <v>Cloudy</v>
      </c>
      <c r="N406" s="38">
        <f>VLOOKUP(M406,'Sheet A'!M406:AE1016,2,)</f>
        <v>0.2727</v>
      </c>
      <c r="O406" s="38">
        <f>VLOOKUP(N406,'Sheet A'!N406:AF1016,2,)</f>
        <v>0.87</v>
      </c>
      <c r="P406" s="38">
        <f>VLOOKUP(O406,'Sheet A'!O406:AG1016,2,)</f>
        <v>0</v>
      </c>
      <c r="Q406" s="38">
        <f>VLOOKUP(P406,'Sheet A'!P406:AH1016,2,)</f>
        <v>0</v>
      </c>
      <c r="R406" s="38">
        <f>VLOOKUP(Q406,'Sheet A'!Q406:AI1016,2,)</f>
        <v>83</v>
      </c>
      <c r="S406" s="38">
        <f>VLOOKUP(R406,'Sheet A'!R406:AJ1016,2,)</f>
        <v>83</v>
      </c>
    </row>
    <row r="407" spans="1:19" x14ac:dyDescent="0.35">
      <c r="A407" s="37">
        <v>406</v>
      </c>
      <c r="B407" s="60">
        <f>VLOOKUP(A407,'Sheet A'!A407:S1017,2,)</f>
        <v>40561</v>
      </c>
      <c r="C407" s="38">
        <f>VLOOKUP(B407,'Sheet A'!B407:T1017,2,)</f>
        <v>1</v>
      </c>
      <c r="D407" s="38">
        <f>VLOOKUP(C407,'Sheet A'!C407:U1017,2,)</f>
        <v>0</v>
      </c>
      <c r="E407" s="38">
        <f>VLOOKUP(D407,'Sheet A'!D407:V1017,2,)</f>
        <v>1</v>
      </c>
      <c r="F407" s="38">
        <f>VLOOKUP(E407,'Sheet A'!E407:W1017,2,)</f>
        <v>21</v>
      </c>
      <c r="G407" s="41" t="str">
        <f>VLOOKUP(F407,'Sheet A'!F407:X1017,2,)</f>
        <v>Night</v>
      </c>
      <c r="H407" s="38" t="b">
        <f>VLOOKUP(G407,'Sheet A'!G407:Y1017,2,)</f>
        <v>0</v>
      </c>
      <c r="I407" s="38">
        <f>VLOOKUP(H407,'Sheet A'!H407:Z1017,2,)</f>
        <v>2</v>
      </c>
      <c r="J407" s="41" t="str">
        <f>VLOOKUP(I407,'Sheet A'!I407:AA1017,2,)</f>
        <v>Monday</v>
      </c>
      <c r="K407" s="38">
        <f>VLOOKUP(J407,'Sheet A'!J407:AB1017,2,)</f>
        <v>2</v>
      </c>
      <c r="L407" s="38">
        <f>VLOOKUP(K407,'Sheet A'!K407:AC1017,2,)</f>
        <v>0.22</v>
      </c>
      <c r="M407" s="70" t="str">
        <f>VLOOKUP(L407,'Sheet A'!L407:AD1017,2,)</f>
        <v>Cloudy</v>
      </c>
      <c r="N407" s="38">
        <f>VLOOKUP(M407,'Sheet A'!M407:AE1017,2,)</f>
        <v>0.2424</v>
      </c>
      <c r="O407" s="38">
        <f>VLOOKUP(N407,'Sheet A'!N407:AF1017,2,)</f>
        <v>0.93</v>
      </c>
      <c r="P407" s="38">
        <f>VLOOKUP(O407,'Sheet A'!O407:AG1017,2,)</f>
        <v>0.1045</v>
      </c>
      <c r="Q407" s="38">
        <f>VLOOKUP(P407,'Sheet A'!P407:AH1017,2,)</f>
        <v>0</v>
      </c>
      <c r="R407" s="38">
        <f>VLOOKUP(Q407,'Sheet A'!Q407:AI1017,2,)</f>
        <v>41</v>
      </c>
      <c r="S407" s="38">
        <f>VLOOKUP(R407,'Sheet A'!R407:AJ1017,2,)</f>
        <v>41</v>
      </c>
    </row>
    <row r="408" spans="1:19" x14ac:dyDescent="0.35">
      <c r="A408" s="37">
        <v>407</v>
      </c>
      <c r="B408" s="60">
        <f>VLOOKUP(A408,'Sheet A'!A408:S1018,2,)</f>
        <v>40561</v>
      </c>
      <c r="C408" s="38">
        <f>VLOOKUP(B408,'Sheet A'!B408:T1018,2,)</f>
        <v>1</v>
      </c>
      <c r="D408" s="38">
        <f>VLOOKUP(C408,'Sheet A'!C408:U1018,2,)</f>
        <v>0</v>
      </c>
      <c r="E408" s="38">
        <f>VLOOKUP(D408,'Sheet A'!D408:V1018,2,)</f>
        <v>1</v>
      </c>
      <c r="F408" s="38">
        <f>VLOOKUP(E408,'Sheet A'!E408:W1018,2,)</f>
        <v>22</v>
      </c>
      <c r="G408" s="41" t="str">
        <f>VLOOKUP(F408,'Sheet A'!F408:X1018,2,)</f>
        <v>Night</v>
      </c>
      <c r="H408" s="38" t="b">
        <f>VLOOKUP(G408,'Sheet A'!G408:Y1018,2,)</f>
        <v>0</v>
      </c>
      <c r="I408" s="38">
        <f>VLOOKUP(H408,'Sheet A'!H408:Z1018,2,)</f>
        <v>2</v>
      </c>
      <c r="J408" s="41" t="str">
        <f>VLOOKUP(I408,'Sheet A'!I408:AA1018,2,)</f>
        <v>Monday</v>
      </c>
      <c r="K408" s="38">
        <f>VLOOKUP(J408,'Sheet A'!J408:AB1018,2,)</f>
        <v>2</v>
      </c>
      <c r="L408" s="38">
        <f>VLOOKUP(K408,'Sheet A'!K408:AC1018,2,)</f>
        <v>0.22</v>
      </c>
      <c r="M408" s="70" t="str">
        <f>VLOOKUP(L408,'Sheet A'!L408:AD1018,2,)</f>
        <v>Cloudy</v>
      </c>
      <c r="N408" s="38">
        <f>VLOOKUP(M408,'Sheet A'!M408:AE1018,2,)</f>
        <v>0.2576</v>
      </c>
      <c r="O408" s="38">
        <f>VLOOKUP(N408,'Sheet A'!N408:AF1018,2,)</f>
        <v>0.93</v>
      </c>
      <c r="P408" s="38">
        <f>VLOOKUP(O408,'Sheet A'!O408:AG1018,2,)</f>
        <v>8.9599999999999999E-2</v>
      </c>
      <c r="Q408" s="38">
        <f>VLOOKUP(P408,'Sheet A'!P408:AH1018,2,)</f>
        <v>0</v>
      </c>
      <c r="R408" s="38">
        <f>VLOOKUP(Q408,'Sheet A'!Q408:AI1018,2,)</f>
        <v>33</v>
      </c>
      <c r="S408" s="38">
        <f>VLOOKUP(R408,'Sheet A'!R408:AJ1018,2,)</f>
        <v>33</v>
      </c>
    </row>
    <row r="409" spans="1:19" x14ac:dyDescent="0.35">
      <c r="A409" s="37">
        <v>408</v>
      </c>
      <c r="B409" s="60">
        <f>VLOOKUP(A409,'Sheet A'!A409:S1019,2,)</f>
        <v>40561</v>
      </c>
      <c r="C409" s="38">
        <f>VLOOKUP(B409,'Sheet A'!B409:T1019,2,)</f>
        <v>1</v>
      </c>
      <c r="D409" s="38">
        <f>VLOOKUP(C409,'Sheet A'!C409:U1019,2,)</f>
        <v>0</v>
      </c>
      <c r="E409" s="38">
        <f>VLOOKUP(D409,'Sheet A'!D409:V1019,2,)</f>
        <v>1</v>
      </c>
      <c r="F409" s="38">
        <f>VLOOKUP(E409,'Sheet A'!E409:W1019,2,)</f>
        <v>23</v>
      </c>
      <c r="G409" s="41" t="str">
        <f>VLOOKUP(F409,'Sheet A'!F409:X1019,2,)</f>
        <v>Night</v>
      </c>
      <c r="H409" s="38" t="b">
        <f>VLOOKUP(G409,'Sheet A'!G409:Y1019,2,)</f>
        <v>0</v>
      </c>
      <c r="I409" s="38">
        <f>VLOOKUP(H409,'Sheet A'!H409:Z1019,2,)</f>
        <v>2</v>
      </c>
      <c r="J409" s="41" t="str">
        <f>VLOOKUP(I409,'Sheet A'!I409:AA1019,2,)</f>
        <v>Monday</v>
      </c>
      <c r="K409" s="38">
        <f>VLOOKUP(J409,'Sheet A'!J409:AB1019,2,)</f>
        <v>2</v>
      </c>
      <c r="L409" s="38">
        <f>VLOOKUP(K409,'Sheet A'!K409:AC1019,2,)</f>
        <v>0.22</v>
      </c>
      <c r="M409" s="70" t="str">
        <f>VLOOKUP(L409,'Sheet A'!L409:AD1019,2,)</f>
        <v>Cloudy</v>
      </c>
      <c r="N409" s="38">
        <f>VLOOKUP(M409,'Sheet A'!M409:AE1019,2,)</f>
        <v>0.2727</v>
      </c>
      <c r="O409" s="38">
        <f>VLOOKUP(N409,'Sheet A'!N409:AF1019,2,)</f>
        <v>0.93</v>
      </c>
      <c r="P409" s="38">
        <f>VLOOKUP(O409,'Sheet A'!O409:AG1019,2,)</f>
        <v>0</v>
      </c>
      <c r="Q409" s="38">
        <f>VLOOKUP(P409,'Sheet A'!P409:AH1019,2,)</f>
        <v>1</v>
      </c>
      <c r="R409" s="38">
        <f>VLOOKUP(Q409,'Sheet A'!Q409:AI1019,2,)</f>
        <v>19</v>
      </c>
      <c r="S409" s="38">
        <f>VLOOKUP(R409,'Sheet A'!R409:AJ1019,2,)</f>
        <v>20</v>
      </c>
    </row>
    <row r="410" spans="1:19" x14ac:dyDescent="0.35">
      <c r="A410" s="37">
        <v>409</v>
      </c>
      <c r="B410" s="60">
        <f>VLOOKUP(A410,'Sheet A'!A410:S1020,2,)</f>
        <v>40562</v>
      </c>
      <c r="C410" s="38">
        <f>VLOOKUP(B410,'Sheet A'!B410:T1020,2,)</f>
        <v>1</v>
      </c>
      <c r="D410" s="38">
        <f>VLOOKUP(C410,'Sheet A'!C410:U1020,2,)</f>
        <v>0</v>
      </c>
      <c r="E410" s="38">
        <f>VLOOKUP(D410,'Sheet A'!D410:V1020,2,)</f>
        <v>1</v>
      </c>
      <c r="F410" s="38">
        <f>VLOOKUP(E410,'Sheet A'!E410:W1020,2,)</f>
        <v>0</v>
      </c>
      <c r="G410" s="41" t="str">
        <f>VLOOKUP(F410,'Sheet A'!F410:X1020,2,)</f>
        <v>Night</v>
      </c>
      <c r="H410" s="38" t="b">
        <f>VLOOKUP(G410,'Sheet A'!G410:Y1020,2,)</f>
        <v>0</v>
      </c>
      <c r="I410" s="38">
        <f>VLOOKUP(H410,'Sheet A'!H410:Z1020,2,)</f>
        <v>3</v>
      </c>
      <c r="J410" s="41" t="str">
        <f>VLOOKUP(I410,'Sheet A'!I410:AA1020,2,)</f>
        <v>Tuesday</v>
      </c>
      <c r="K410" s="38">
        <f>VLOOKUP(J410,'Sheet A'!J410:AB1020,2,)</f>
        <v>2</v>
      </c>
      <c r="L410" s="38">
        <f>VLOOKUP(K410,'Sheet A'!K410:AC1020,2,)</f>
        <v>0.22</v>
      </c>
      <c r="M410" s="70" t="str">
        <f>VLOOKUP(L410,'Sheet A'!L410:AD1020,2,)</f>
        <v>Cloudy</v>
      </c>
      <c r="N410" s="38">
        <f>VLOOKUP(M410,'Sheet A'!M410:AE1020,2,)</f>
        <v>0.2727</v>
      </c>
      <c r="O410" s="38">
        <f>VLOOKUP(N410,'Sheet A'!N410:AF1020,2,)</f>
        <v>0.93</v>
      </c>
      <c r="P410" s="38">
        <f>VLOOKUP(O410,'Sheet A'!O410:AG1020,2,)</f>
        <v>0</v>
      </c>
      <c r="Q410" s="38">
        <f>VLOOKUP(P410,'Sheet A'!P410:AH1020,2,)</f>
        <v>0</v>
      </c>
      <c r="R410" s="38">
        <f>VLOOKUP(Q410,'Sheet A'!Q410:AI1020,2,)</f>
        <v>3</v>
      </c>
      <c r="S410" s="38">
        <f>VLOOKUP(R410,'Sheet A'!R410:AJ1020,2,)</f>
        <v>3</v>
      </c>
    </row>
    <row r="411" spans="1:19" x14ac:dyDescent="0.35">
      <c r="A411" s="37">
        <v>410</v>
      </c>
      <c r="B411" s="60">
        <f>VLOOKUP(A411,'Sheet A'!A411:S1021,2,)</f>
        <v>40562</v>
      </c>
      <c r="C411" s="38">
        <f>VLOOKUP(B411,'Sheet A'!B411:T1021,2,)</f>
        <v>1</v>
      </c>
      <c r="D411" s="38">
        <f>VLOOKUP(C411,'Sheet A'!C411:U1021,2,)</f>
        <v>0</v>
      </c>
      <c r="E411" s="38">
        <f>VLOOKUP(D411,'Sheet A'!D411:V1021,2,)</f>
        <v>1</v>
      </c>
      <c r="F411" s="38">
        <f>VLOOKUP(E411,'Sheet A'!E411:W1021,2,)</f>
        <v>1</v>
      </c>
      <c r="G411" s="41" t="str">
        <f>VLOOKUP(F411,'Sheet A'!F411:X1021,2,)</f>
        <v>Night</v>
      </c>
      <c r="H411" s="38" t="b">
        <f>VLOOKUP(G411,'Sheet A'!G411:Y1021,2,)</f>
        <v>0</v>
      </c>
      <c r="I411" s="38">
        <f>VLOOKUP(H411,'Sheet A'!H411:Z1021,2,)</f>
        <v>3</v>
      </c>
      <c r="J411" s="41" t="str">
        <f>VLOOKUP(I411,'Sheet A'!I411:AA1021,2,)</f>
        <v>Tuesday</v>
      </c>
      <c r="K411" s="38">
        <f>VLOOKUP(J411,'Sheet A'!J411:AB1021,2,)</f>
        <v>3</v>
      </c>
      <c r="L411" s="38">
        <f>VLOOKUP(K411,'Sheet A'!K411:AC1021,2,)</f>
        <v>0.22</v>
      </c>
      <c r="M411" s="70" t="str">
        <f>VLOOKUP(L411,'Sheet A'!L411:AD1021,2,)</f>
        <v>Cloudy</v>
      </c>
      <c r="N411" s="38">
        <f>VLOOKUP(M411,'Sheet A'!M411:AE1021,2,)</f>
        <v>0.2273</v>
      </c>
      <c r="O411" s="38">
        <f>VLOOKUP(N411,'Sheet A'!N411:AF1021,2,)</f>
        <v>0.93</v>
      </c>
      <c r="P411" s="38">
        <f>VLOOKUP(O411,'Sheet A'!O411:AG1021,2,)</f>
        <v>0.1343</v>
      </c>
      <c r="Q411" s="38">
        <f>VLOOKUP(P411,'Sheet A'!P411:AH1021,2,)</f>
        <v>1</v>
      </c>
      <c r="R411" s="38">
        <f>VLOOKUP(Q411,'Sheet A'!Q411:AI1021,2,)</f>
        <v>6</v>
      </c>
      <c r="S411" s="38">
        <f>VLOOKUP(R411,'Sheet A'!R411:AJ1021,2,)</f>
        <v>7</v>
      </c>
    </row>
    <row r="412" spans="1:19" x14ac:dyDescent="0.35">
      <c r="A412" s="37">
        <v>411</v>
      </c>
      <c r="B412" s="60">
        <f>VLOOKUP(A412,'Sheet A'!A412:S1022,2,)</f>
        <v>40562</v>
      </c>
      <c r="C412" s="38">
        <f>VLOOKUP(B412,'Sheet A'!B412:T1022,2,)</f>
        <v>1</v>
      </c>
      <c r="D412" s="38">
        <f>VLOOKUP(C412,'Sheet A'!C412:U1022,2,)</f>
        <v>0</v>
      </c>
      <c r="E412" s="38">
        <f>VLOOKUP(D412,'Sheet A'!D412:V1022,2,)</f>
        <v>1</v>
      </c>
      <c r="F412" s="38">
        <f>VLOOKUP(E412,'Sheet A'!E412:W1022,2,)</f>
        <v>2</v>
      </c>
      <c r="G412" s="41" t="str">
        <f>VLOOKUP(F412,'Sheet A'!F412:X1022,2,)</f>
        <v>Night</v>
      </c>
      <c r="H412" s="38" t="b">
        <f>VLOOKUP(G412,'Sheet A'!G412:Y1022,2,)</f>
        <v>0</v>
      </c>
      <c r="I412" s="38">
        <f>VLOOKUP(H412,'Sheet A'!H412:Z1022,2,)</f>
        <v>3</v>
      </c>
      <c r="J412" s="41" t="str">
        <f>VLOOKUP(I412,'Sheet A'!I412:AA1022,2,)</f>
        <v>Tuesday</v>
      </c>
      <c r="K412" s="38">
        <f>VLOOKUP(J412,'Sheet A'!J412:AB1022,2,)</f>
        <v>3</v>
      </c>
      <c r="L412" s="38">
        <f>VLOOKUP(K412,'Sheet A'!K412:AC1022,2,)</f>
        <v>0.22</v>
      </c>
      <c r="M412" s="70" t="str">
        <f>VLOOKUP(L412,'Sheet A'!L412:AD1022,2,)</f>
        <v>Cloudy</v>
      </c>
      <c r="N412" s="38">
        <f>VLOOKUP(M412,'Sheet A'!M412:AE1022,2,)</f>
        <v>0.2273</v>
      </c>
      <c r="O412" s="38">
        <f>VLOOKUP(N412,'Sheet A'!N412:AF1022,2,)</f>
        <v>0.93</v>
      </c>
      <c r="P412" s="38">
        <f>VLOOKUP(O412,'Sheet A'!O412:AG1022,2,)</f>
        <v>0.1343</v>
      </c>
      <c r="Q412" s="38">
        <f>VLOOKUP(P412,'Sheet A'!P412:AH1022,2,)</f>
        <v>0</v>
      </c>
      <c r="R412" s="38">
        <f>VLOOKUP(Q412,'Sheet A'!Q412:AI1022,2,)</f>
        <v>3</v>
      </c>
      <c r="S412" s="38">
        <f>VLOOKUP(R412,'Sheet A'!R412:AJ1022,2,)</f>
        <v>3</v>
      </c>
    </row>
    <row r="413" spans="1:19" x14ac:dyDescent="0.35">
      <c r="A413" s="37">
        <v>412</v>
      </c>
      <c r="B413" s="60">
        <f>VLOOKUP(A413,'Sheet A'!A413:S1023,2,)</f>
        <v>40562</v>
      </c>
      <c r="C413" s="38">
        <f>VLOOKUP(B413,'Sheet A'!B413:T1023,2,)</f>
        <v>1</v>
      </c>
      <c r="D413" s="38">
        <f>VLOOKUP(C413,'Sheet A'!C413:U1023,2,)</f>
        <v>0</v>
      </c>
      <c r="E413" s="38">
        <f>VLOOKUP(D413,'Sheet A'!D413:V1023,2,)</f>
        <v>1</v>
      </c>
      <c r="F413" s="38">
        <f>VLOOKUP(E413,'Sheet A'!E413:W1023,2,)</f>
        <v>4</v>
      </c>
      <c r="G413" s="41" t="str">
        <f>VLOOKUP(F413,'Sheet A'!F413:X1023,2,)</f>
        <v>Night</v>
      </c>
      <c r="H413" s="38" t="b">
        <f>VLOOKUP(G413,'Sheet A'!G413:Y1023,2,)</f>
        <v>0</v>
      </c>
      <c r="I413" s="38">
        <f>VLOOKUP(H413,'Sheet A'!H413:Z1023,2,)</f>
        <v>3</v>
      </c>
      <c r="J413" s="41" t="str">
        <f>VLOOKUP(I413,'Sheet A'!I413:AA1023,2,)</f>
        <v>Tuesday</v>
      </c>
      <c r="K413" s="38">
        <f>VLOOKUP(J413,'Sheet A'!J413:AB1023,2,)</f>
        <v>3</v>
      </c>
      <c r="L413" s="38">
        <f>VLOOKUP(K413,'Sheet A'!K413:AC1023,2,)</f>
        <v>0.22</v>
      </c>
      <c r="M413" s="70" t="str">
        <f>VLOOKUP(L413,'Sheet A'!L413:AD1023,2,)</f>
        <v>Cloudy</v>
      </c>
      <c r="N413" s="38">
        <f>VLOOKUP(M413,'Sheet A'!M413:AE1023,2,)</f>
        <v>0.2273</v>
      </c>
      <c r="O413" s="38">
        <f>VLOOKUP(N413,'Sheet A'!N413:AF1023,2,)</f>
        <v>0.93</v>
      </c>
      <c r="P413" s="38">
        <f>VLOOKUP(O413,'Sheet A'!O413:AG1023,2,)</f>
        <v>0.1343</v>
      </c>
      <c r="Q413" s="38">
        <f>VLOOKUP(P413,'Sheet A'!P413:AH1023,2,)</f>
        <v>1</v>
      </c>
      <c r="R413" s="38">
        <f>VLOOKUP(Q413,'Sheet A'!Q413:AI1023,2,)</f>
        <v>1</v>
      </c>
      <c r="S413" s="38">
        <f>VLOOKUP(R413,'Sheet A'!R413:AJ1023,2,)</f>
        <v>2</v>
      </c>
    </row>
    <row r="414" spans="1:19" x14ac:dyDescent="0.35">
      <c r="A414" s="37">
        <v>413</v>
      </c>
      <c r="B414" s="60">
        <f>VLOOKUP(A414,'Sheet A'!A414:S1024,2,)</f>
        <v>40562</v>
      </c>
      <c r="C414" s="38">
        <f>VLOOKUP(B414,'Sheet A'!B414:T1024,2,)</f>
        <v>1</v>
      </c>
      <c r="D414" s="38">
        <f>VLOOKUP(C414,'Sheet A'!C414:U1024,2,)</f>
        <v>0</v>
      </c>
      <c r="E414" s="38">
        <f>VLOOKUP(D414,'Sheet A'!D414:V1024,2,)</f>
        <v>1</v>
      </c>
      <c r="F414" s="38">
        <f>VLOOKUP(E414,'Sheet A'!E414:W1024,2,)</f>
        <v>5</v>
      </c>
      <c r="G414" s="41" t="str">
        <f>VLOOKUP(F414,'Sheet A'!F414:X1024,2,)</f>
        <v>Morning</v>
      </c>
      <c r="H414" s="38" t="b">
        <f>VLOOKUP(G414,'Sheet A'!G414:Y1024,2,)</f>
        <v>0</v>
      </c>
      <c r="I414" s="38">
        <f>VLOOKUP(H414,'Sheet A'!H414:Z1024,2,)</f>
        <v>3</v>
      </c>
      <c r="J414" s="41" t="str">
        <f>VLOOKUP(I414,'Sheet A'!I414:AA1024,2,)</f>
        <v>Tuesday</v>
      </c>
      <c r="K414" s="38">
        <f>VLOOKUP(J414,'Sheet A'!J414:AB1024,2,)</f>
        <v>2</v>
      </c>
      <c r="L414" s="38">
        <f>VLOOKUP(K414,'Sheet A'!K414:AC1024,2,)</f>
        <v>0.22</v>
      </c>
      <c r="M414" s="70" t="str">
        <f>VLOOKUP(L414,'Sheet A'!L414:AD1024,2,)</f>
        <v>Cloudy</v>
      </c>
      <c r="N414" s="38">
        <f>VLOOKUP(M414,'Sheet A'!M414:AE1024,2,)</f>
        <v>0.2576</v>
      </c>
      <c r="O414" s="38">
        <f>VLOOKUP(N414,'Sheet A'!N414:AF1024,2,)</f>
        <v>0.93</v>
      </c>
      <c r="P414" s="38">
        <f>VLOOKUP(O414,'Sheet A'!O414:AG1024,2,)</f>
        <v>8.9599999999999999E-2</v>
      </c>
      <c r="Q414" s="38">
        <f>VLOOKUP(P414,'Sheet A'!P414:AH1024,2,)</f>
        <v>0</v>
      </c>
      <c r="R414" s="38">
        <f>VLOOKUP(Q414,'Sheet A'!Q414:AI1024,2,)</f>
        <v>7</v>
      </c>
      <c r="S414" s="38">
        <f>VLOOKUP(R414,'Sheet A'!R414:AJ1024,2,)</f>
        <v>7</v>
      </c>
    </row>
    <row r="415" spans="1:19" x14ac:dyDescent="0.35">
      <c r="A415" s="37">
        <v>414</v>
      </c>
      <c r="B415" s="60">
        <f>VLOOKUP(A415,'Sheet A'!A415:S1025,2,)</f>
        <v>40562</v>
      </c>
      <c r="C415" s="38">
        <f>VLOOKUP(B415,'Sheet A'!B415:T1025,2,)</f>
        <v>1</v>
      </c>
      <c r="D415" s="38">
        <f>VLOOKUP(C415,'Sheet A'!C415:U1025,2,)</f>
        <v>0</v>
      </c>
      <c r="E415" s="38">
        <f>VLOOKUP(D415,'Sheet A'!D415:V1025,2,)</f>
        <v>1</v>
      </c>
      <c r="F415" s="38">
        <f>VLOOKUP(E415,'Sheet A'!E415:W1025,2,)</f>
        <v>6</v>
      </c>
      <c r="G415" s="41" t="str">
        <f>VLOOKUP(F415,'Sheet A'!F415:X1025,2,)</f>
        <v>Morning</v>
      </c>
      <c r="H415" s="38" t="b">
        <f>VLOOKUP(G415,'Sheet A'!G415:Y1025,2,)</f>
        <v>0</v>
      </c>
      <c r="I415" s="38">
        <f>VLOOKUP(H415,'Sheet A'!H415:Z1025,2,)</f>
        <v>3</v>
      </c>
      <c r="J415" s="41" t="str">
        <f>VLOOKUP(I415,'Sheet A'!I415:AA1025,2,)</f>
        <v>Tuesday</v>
      </c>
      <c r="K415" s="38">
        <f>VLOOKUP(J415,'Sheet A'!J415:AB1025,2,)</f>
        <v>2</v>
      </c>
      <c r="L415" s="38">
        <f>VLOOKUP(K415,'Sheet A'!K415:AC1025,2,)</f>
        <v>0.22</v>
      </c>
      <c r="M415" s="70" t="str">
        <f>VLOOKUP(L415,'Sheet A'!L415:AD1025,2,)</f>
        <v>Cloudy</v>
      </c>
      <c r="N415" s="38">
        <f>VLOOKUP(M415,'Sheet A'!M415:AE1025,2,)</f>
        <v>0.2576</v>
      </c>
      <c r="O415" s="38">
        <f>VLOOKUP(N415,'Sheet A'!N415:AF1025,2,)</f>
        <v>0.93</v>
      </c>
      <c r="P415" s="38">
        <f>VLOOKUP(O415,'Sheet A'!O415:AG1025,2,)</f>
        <v>8.9599999999999999E-2</v>
      </c>
      <c r="Q415" s="38">
        <f>VLOOKUP(P415,'Sheet A'!P415:AH1025,2,)</f>
        <v>0</v>
      </c>
      <c r="R415" s="38">
        <f>VLOOKUP(Q415,'Sheet A'!Q415:AI1025,2,)</f>
        <v>32</v>
      </c>
      <c r="S415" s="38">
        <f>VLOOKUP(R415,'Sheet A'!R415:AJ1025,2,)</f>
        <v>32</v>
      </c>
    </row>
    <row r="416" spans="1:19" x14ac:dyDescent="0.35">
      <c r="A416" s="37">
        <v>415</v>
      </c>
      <c r="B416" s="60">
        <f>VLOOKUP(A416,'Sheet A'!A416:S1026,2,)</f>
        <v>40562</v>
      </c>
      <c r="C416" s="38">
        <f>VLOOKUP(B416,'Sheet A'!B416:T1026,2,)</f>
        <v>1</v>
      </c>
      <c r="D416" s="38">
        <f>VLOOKUP(C416,'Sheet A'!C416:U1026,2,)</f>
        <v>0</v>
      </c>
      <c r="E416" s="38">
        <f>VLOOKUP(D416,'Sheet A'!D416:V1026,2,)</f>
        <v>1</v>
      </c>
      <c r="F416" s="38">
        <f>VLOOKUP(E416,'Sheet A'!E416:W1026,2,)</f>
        <v>7</v>
      </c>
      <c r="G416" s="41" t="str">
        <f>VLOOKUP(F416,'Sheet A'!F416:X1026,2,)</f>
        <v>Morning</v>
      </c>
      <c r="H416" s="38" t="b">
        <f>VLOOKUP(G416,'Sheet A'!G416:Y1026,2,)</f>
        <v>0</v>
      </c>
      <c r="I416" s="38">
        <f>VLOOKUP(H416,'Sheet A'!H416:Z1026,2,)</f>
        <v>3</v>
      </c>
      <c r="J416" s="41" t="str">
        <f>VLOOKUP(I416,'Sheet A'!I416:AA1026,2,)</f>
        <v>Tuesday</v>
      </c>
      <c r="K416" s="38">
        <f>VLOOKUP(J416,'Sheet A'!J416:AB1026,2,)</f>
        <v>2</v>
      </c>
      <c r="L416" s="38">
        <f>VLOOKUP(K416,'Sheet A'!K416:AC1026,2,)</f>
        <v>0.24</v>
      </c>
      <c r="M416" s="70" t="str">
        <f>VLOOKUP(L416,'Sheet A'!L416:AD1026,2,)</f>
        <v>Cloudy</v>
      </c>
      <c r="N416" s="38">
        <f>VLOOKUP(M416,'Sheet A'!M416:AE1026,2,)</f>
        <v>0.2576</v>
      </c>
      <c r="O416" s="38">
        <f>VLOOKUP(N416,'Sheet A'!N416:AF1026,2,)</f>
        <v>0.92</v>
      </c>
      <c r="P416" s="38">
        <f>VLOOKUP(O416,'Sheet A'!O416:AG1026,2,)</f>
        <v>0.1045</v>
      </c>
      <c r="Q416" s="38">
        <f>VLOOKUP(P416,'Sheet A'!P416:AH1026,2,)</f>
        <v>1</v>
      </c>
      <c r="R416" s="38">
        <f>VLOOKUP(Q416,'Sheet A'!Q416:AI1026,2,)</f>
        <v>89</v>
      </c>
      <c r="S416" s="38">
        <f>VLOOKUP(R416,'Sheet A'!R416:AJ1026,2,)</f>
        <v>90</v>
      </c>
    </row>
    <row r="417" spans="1:19" x14ac:dyDescent="0.35">
      <c r="A417" s="37">
        <v>416</v>
      </c>
      <c r="B417" s="60">
        <f>VLOOKUP(A417,'Sheet A'!A417:S1027,2,)</f>
        <v>40562</v>
      </c>
      <c r="C417" s="38">
        <f>VLOOKUP(B417,'Sheet A'!B417:T1027,2,)</f>
        <v>1</v>
      </c>
      <c r="D417" s="38">
        <f>VLOOKUP(C417,'Sheet A'!C417:U1027,2,)</f>
        <v>0</v>
      </c>
      <c r="E417" s="38">
        <f>VLOOKUP(D417,'Sheet A'!D417:V1027,2,)</f>
        <v>1</v>
      </c>
      <c r="F417" s="38">
        <f>VLOOKUP(E417,'Sheet A'!E417:W1027,2,)</f>
        <v>8</v>
      </c>
      <c r="G417" s="41" t="str">
        <f>VLOOKUP(F417,'Sheet A'!F417:X1027,2,)</f>
        <v>Morning</v>
      </c>
      <c r="H417" s="38" t="b">
        <f>VLOOKUP(G417,'Sheet A'!G417:Y1027,2,)</f>
        <v>0</v>
      </c>
      <c r="I417" s="38">
        <f>VLOOKUP(H417,'Sheet A'!H417:Z1027,2,)</f>
        <v>3</v>
      </c>
      <c r="J417" s="41" t="str">
        <f>VLOOKUP(I417,'Sheet A'!I417:AA1027,2,)</f>
        <v>Tuesday</v>
      </c>
      <c r="K417" s="38">
        <f>VLOOKUP(J417,'Sheet A'!J417:AB1027,2,)</f>
        <v>2</v>
      </c>
      <c r="L417" s="38">
        <f>VLOOKUP(K417,'Sheet A'!K417:AC1027,2,)</f>
        <v>0.24</v>
      </c>
      <c r="M417" s="70" t="str">
        <f>VLOOKUP(L417,'Sheet A'!L417:AD1027,2,)</f>
        <v>Cloudy</v>
      </c>
      <c r="N417" s="38">
        <f>VLOOKUP(M417,'Sheet A'!M417:AE1027,2,)</f>
        <v>0.2576</v>
      </c>
      <c r="O417" s="38">
        <f>VLOOKUP(N417,'Sheet A'!N417:AF1027,2,)</f>
        <v>0.93</v>
      </c>
      <c r="P417" s="38">
        <f>VLOOKUP(O417,'Sheet A'!O417:AG1027,2,)</f>
        <v>0.1045</v>
      </c>
      <c r="Q417" s="38">
        <f>VLOOKUP(P417,'Sheet A'!P417:AH1027,2,)</f>
        <v>1</v>
      </c>
      <c r="R417" s="38">
        <f>VLOOKUP(Q417,'Sheet A'!Q417:AI1027,2,)</f>
        <v>196</v>
      </c>
      <c r="S417" s="38">
        <f>VLOOKUP(R417,'Sheet A'!R417:AJ1027,2,)</f>
        <v>197</v>
      </c>
    </row>
    <row r="418" spans="1:19" x14ac:dyDescent="0.35">
      <c r="A418" s="37">
        <v>417</v>
      </c>
      <c r="B418" s="60">
        <f>VLOOKUP(A418,'Sheet A'!A418:S1028,2,)</f>
        <v>40562</v>
      </c>
      <c r="C418" s="38">
        <f>VLOOKUP(B418,'Sheet A'!B418:T1028,2,)</f>
        <v>1</v>
      </c>
      <c r="D418" s="38">
        <f>VLOOKUP(C418,'Sheet A'!C418:U1028,2,)</f>
        <v>0</v>
      </c>
      <c r="E418" s="38">
        <f>VLOOKUP(D418,'Sheet A'!D418:V1028,2,)</f>
        <v>1</v>
      </c>
      <c r="F418" s="38">
        <f>VLOOKUP(E418,'Sheet A'!E418:W1028,2,)</f>
        <v>9</v>
      </c>
      <c r="G418" s="41" t="str">
        <f>VLOOKUP(F418,'Sheet A'!F418:X1028,2,)</f>
        <v>Morning</v>
      </c>
      <c r="H418" s="38" t="b">
        <f>VLOOKUP(G418,'Sheet A'!G418:Y1028,2,)</f>
        <v>0</v>
      </c>
      <c r="I418" s="38">
        <f>VLOOKUP(H418,'Sheet A'!H418:Z1028,2,)</f>
        <v>3</v>
      </c>
      <c r="J418" s="41" t="str">
        <f>VLOOKUP(I418,'Sheet A'!I418:AA1028,2,)</f>
        <v>Tuesday</v>
      </c>
      <c r="K418" s="38">
        <f>VLOOKUP(J418,'Sheet A'!J418:AB1028,2,)</f>
        <v>2</v>
      </c>
      <c r="L418" s="38">
        <f>VLOOKUP(K418,'Sheet A'!K418:AC1028,2,)</f>
        <v>0.24</v>
      </c>
      <c r="M418" s="70" t="str">
        <f>VLOOKUP(L418,'Sheet A'!L418:AD1028,2,)</f>
        <v>Cloudy</v>
      </c>
      <c r="N418" s="38">
        <f>VLOOKUP(M418,'Sheet A'!M418:AE1028,2,)</f>
        <v>0.2576</v>
      </c>
      <c r="O418" s="38">
        <f>VLOOKUP(N418,'Sheet A'!N418:AF1028,2,)</f>
        <v>0.93</v>
      </c>
      <c r="P418" s="38">
        <f>VLOOKUP(O418,'Sheet A'!O418:AG1028,2,)</f>
        <v>0.1045</v>
      </c>
      <c r="Q418" s="38">
        <f>VLOOKUP(P418,'Sheet A'!P418:AH1028,2,)</f>
        <v>2</v>
      </c>
      <c r="R418" s="38">
        <f>VLOOKUP(Q418,'Sheet A'!Q418:AI1028,2,)</f>
        <v>107</v>
      </c>
      <c r="S418" s="38">
        <f>VLOOKUP(R418,'Sheet A'!R418:AJ1028,2,)</f>
        <v>109</v>
      </c>
    </row>
    <row r="419" spans="1:19" x14ac:dyDescent="0.35">
      <c r="A419" s="37">
        <v>418</v>
      </c>
      <c r="B419" s="60">
        <f>VLOOKUP(A419,'Sheet A'!A419:S1029,2,)</f>
        <v>40562</v>
      </c>
      <c r="C419" s="38">
        <f>VLOOKUP(B419,'Sheet A'!B419:T1029,2,)</f>
        <v>1</v>
      </c>
      <c r="D419" s="38">
        <f>VLOOKUP(C419,'Sheet A'!C419:U1029,2,)</f>
        <v>0</v>
      </c>
      <c r="E419" s="38">
        <f>VLOOKUP(D419,'Sheet A'!D419:V1029,2,)</f>
        <v>1</v>
      </c>
      <c r="F419" s="38">
        <f>VLOOKUP(E419,'Sheet A'!E419:W1029,2,)</f>
        <v>10</v>
      </c>
      <c r="G419" s="41" t="str">
        <f>VLOOKUP(F419,'Sheet A'!F419:X1029,2,)</f>
        <v>Morning</v>
      </c>
      <c r="H419" s="38" t="b">
        <f>VLOOKUP(G419,'Sheet A'!G419:Y1029,2,)</f>
        <v>0</v>
      </c>
      <c r="I419" s="38">
        <f>VLOOKUP(H419,'Sheet A'!H419:Z1029,2,)</f>
        <v>3</v>
      </c>
      <c r="J419" s="41" t="str">
        <f>VLOOKUP(I419,'Sheet A'!I419:AA1029,2,)</f>
        <v>Tuesday</v>
      </c>
      <c r="K419" s="38">
        <f>VLOOKUP(J419,'Sheet A'!J419:AB1029,2,)</f>
        <v>2</v>
      </c>
      <c r="L419" s="38">
        <f>VLOOKUP(K419,'Sheet A'!K419:AC1029,2,)</f>
        <v>0.26</v>
      </c>
      <c r="M419" s="70" t="str">
        <f>VLOOKUP(L419,'Sheet A'!L419:AD1029,2,)</f>
        <v>Cloudy</v>
      </c>
      <c r="N419" s="38">
        <f>VLOOKUP(M419,'Sheet A'!M419:AE1029,2,)</f>
        <v>0.2727</v>
      </c>
      <c r="O419" s="38">
        <f>VLOOKUP(N419,'Sheet A'!N419:AF1029,2,)</f>
        <v>0.93</v>
      </c>
      <c r="P419" s="38">
        <f>VLOOKUP(O419,'Sheet A'!O419:AG1029,2,)</f>
        <v>0.1343</v>
      </c>
      <c r="Q419" s="38">
        <f>VLOOKUP(P419,'Sheet A'!P419:AH1029,2,)</f>
        <v>1</v>
      </c>
      <c r="R419" s="38">
        <f>VLOOKUP(Q419,'Sheet A'!Q419:AI1029,2,)</f>
        <v>46</v>
      </c>
      <c r="S419" s="38">
        <f>VLOOKUP(R419,'Sheet A'!R419:AJ1029,2,)</f>
        <v>47</v>
      </c>
    </row>
    <row r="420" spans="1:19" x14ac:dyDescent="0.35">
      <c r="A420" s="37">
        <v>419</v>
      </c>
      <c r="B420" s="60">
        <f>VLOOKUP(A420,'Sheet A'!A420:S1030,2,)</f>
        <v>40562</v>
      </c>
      <c r="C420" s="38">
        <f>VLOOKUP(B420,'Sheet A'!B420:T1030,2,)</f>
        <v>1</v>
      </c>
      <c r="D420" s="38">
        <f>VLOOKUP(C420,'Sheet A'!C420:U1030,2,)</f>
        <v>0</v>
      </c>
      <c r="E420" s="38">
        <f>VLOOKUP(D420,'Sheet A'!D420:V1030,2,)</f>
        <v>1</v>
      </c>
      <c r="F420" s="38">
        <f>VLOOKUP(E420,'Sheet A'!E420:W1030,2,)</f>
        <v>11</v>
      </c>
      <c r="G420" s="41" t="str">
        <f>VLOOKUP(F420,'Sheet A'!F420:X1030,2,)</f>
        <v>Morning</v>
      </c>
      <c r="H420" s="38" t="b">
        <f>VLOOKUP(G420,'Sheet A'!G420:Y1030,2,)</f>
        <v>0</v>
      </c>
      <c r="I420" s="38">
        <f>VLOOKUP(H420,'Sheet A'!H420:Z1030,2,)</f>
        <v>3</v>
      </c>
      <c r="J420" s="41" t="str">
        <f>VLOOKUP(I420,'Sheet A'!I420:AA1030,2,)</f>
        <v>Tuesday</v>
      </c>
      <c r="K420" s="38">
        <f>VLOOKUP(J420,'Sheet A'!J420:AB1030,2,)</f>
        <v>2</v>
      </c>
      <c r="L420" s="38">
        <f>VLOOKUP(K420,'Sheet A'!K420:AC1030,2,)</f>
        <v>0.28000000000000003</v>
      </c>
      <c r="M420" s="70" t="str">
        <f>VLOOKUP(L420,'Sheet A'!L420:AD1030,2,)</f>
        <v>Cloudy</v>
      </c>
      <c r="N420" s="38">
        <f>VLOOKUP(M420,'Sheet A'!M420:AE1030,2,)</f>
        <v>0.30299999999999999</v>
      </c>
      <c r="O420" s="38">
        <f>VLOOKUP(N420,'Sheet A'!N420:AF1030,2,)</f>
        <v>0.87</v>
      </c>
      <c r="P420" s="38">
        <f>VLOOKUP(O420,'Sheet A'!O420:AG1030,2,)</f>
        <v>8.9599999999999999E-2</v>
      </c>
      <c r="Q420" s="38">
        <f>VLOOKUP(P420,'Sheet A'!P420:AH1030,2,)</f>
        <v>5</v>
      </c>
      <c r="R420" s="38">
        <f>VLOOKUP(Q420,'Sheet A'!Q420:AI1030,2,)</f>
        <v>47</v>
      </c>
      <c r="S420" s="38">
        <f>VLOOKUP(R420,'Sheet A'!R420:AJ1030,2,)</f>
        <v>52</v>
      </c>
    </row>
    <row r="421" spans="1:19" x14ac:dyDescent="0.35">
      <c r="A421" s="37">
        <v>420</v>
      </c>
      <c r="B421" s="60">
        <f>VLOOKUP(A421,'Sheet A'!A421:S1031,2,)</f>
        <v>40562</v>
      </c>
      <c r="C421" s="38">
        <f>VLOOKUP(B421,'Sheet A'!B421:T1031,2,)</f>
        <v>1</v>
      </c>
      <c r="D421" s="38">
        <f>VLOOKUP(C421,'Sheet A'!C421:U1031,2,)</f>
        <v>0</v>
      </c>
      <c r="E421" s="38">
        <f>VLOOKUP(D421,'Sheet A'!D421:V1031,2,)</f>
        <v>1</v>
      </c>
      <c r="F421" s="38">
        <f>VLOOKUP(E421,'Sheet A'!E421:W1031,2,)</f>
        <v>12</v>
      </c>
      <c r="G421" s="41" t="str">
        <f>VLOOKUP(F421,'Sheet A'!F421:X1031,2,)</f>
        <v>AfterNoon</v>
      </c>
      <c r="H421" s="38" t="b">
        <f>VLOOKUP(G421,'Sheet A'!G421:Y1031,2,)</f>
        <v>0</v>
      </c>
      <c r="I421" s="38">
        <f>VLOOKUP(H421,'Sheet A'!H421:Z1031,2,)</f>
        <v>3</v>
      </c>
      <c r="J421" s="41" t="str">
        <f>VLOOKUP(I421,'Sheet A'!I421:AA1031,2,)</f>
        <v>Tuesday</v>
      </c>
      <c r="K421" s="38">
        <f>VLOOKUP(J421,'Sheet A'!J421:AB1031,2,)</f>
        <v>2</v>
      </c>
      <c r="L421" s="38">
        <f>VLOOKUP(K421,'Sheet A'!K421:AC1031,2,)</f>
        <v>0.3</v>
      </c>
      <c r="M421" s="70" t="str">
        <f>VLOOKUP(L421,'Sheet A'!L421:AD1031,2,)</f>
        <v>Cloudy</v>
      </c>
      <c r="N421" s="38">
        <f>VLOOKUP(M421,'Sheet A'!M421:AE1031,2,)</f>
        <v>0.31819999999999998</v>
      </c>
      <c r="O421" s="38">
        <f>VLOOKUP(N421,'Sheet A'!N421:AF1031,2,)</f>
        <v>0.81</v>
      </c>
      <c r="P421" s="38">
        <f>VLOOKUP(O421,'Sheet A'!O421:AG1031,2,)</f>
        <v>8.9599999999999999E-2</v>
      </c>
      <c r="Q421" s="38">
        <f>VLOOKUP(P421,'Sheet A'!P421:AH1031,2,)</f>
        <v>5</v>
      </c>
      <c r="R421" s="38">
        <f>VLOOKUP(Q421,'Sheet A'!Q421:AI1031,2,)</f>
        <v>65</v>
      </c>
      <c r="S421" s="38">
        <f>VLOOKUP(R421,'Sheet A'!R421:AJ1031,2,)</f>
        <v>70</v>
      </c>
    </row>
    <row r="422" spans="1:19" x14ac:dyDescent="0.35">
      <c r="A422" s="37">
        <v>421</v>
      </c>
      <c r="B422" s="60">
        <f>VLOOKUP(A422,'Sheet A'!A422:S1032,2,)</f>
        <v>40562</v>
      </c>
      <c r="C422" s="38">
        <f>VLOOKUP(B422,'Sheet A'!B422:T1032,2,)</f>
        <v>1</v>
      </c>
      <c r="D422" s="38">
        <f>VLOOKUP(C422,'Sheet A'!C422:U1032,2,)</f>
        <v>0</v>
      </c>
      <c r="E422" s="38">
        <f>VLOOKUP(D422,'Sheet A'!D422:V1032,2,)</f>
        <v>1</v>
      </c>
      <c r="F422" s="38">
        <f>VLOOKUP(E422,'Sheet A'!E422:W1032,2,)</f>
        <v>13</v>
      </c>
      <c r="G422" s="41" t="str">
        <f>VLOOKUP(F422,'Sheet A'!F422:X1032,2,)</f>
        <v>AfterNoon</v>
      </c>
      <c r="H422" s="38" t="b">
        <f>VLOOKUP(G422,'Sheet A'!G422:Y1032,2,)</f>
        <v>0</v>
      </c>
      <c r="I422" s="38">
        <f>VLOOKUP(H422,'Sheet A'!H422:Z1032,2,)</f>
        <v>3</v>
      </c>
      <c r="J422" s="41" t="str">
        <f>VLOOKUP(I422,'Sheet A'!I422:AA1032,2,)</f>
        <v>Tuesday</v>
      </c>
      <c r="K422" s="38">
        <f>VLOOKUP(J422,'Sheet A'!J422:AB1032,2,)</f>
        <v>1</v>
      </c>
      <c r="L422" s="38">
        <f>VLOOKUP(K422,'Sheet A'!K422:AC1032,2,)</f>
        <v>0.4</v>
      </c>
      <c r="M422" s="70" t="str">
        <f>VLOOKUP(L422,'Sheet A'!L422:AD1032,2,)</f>
        <v>Sunny</v>
      </c>
      <c r="N422" s="38">
        <f>VLOOKUP(M422,'Sheet A'!M422:AE1032,2,)</f>
        <v>0.40910000000000002</v>
      </c>
      <c r="O422" s="38">
        <f>VLOOKUP(N422,'Sheet A'!N422:AF1032,2,)</f>
        <v>0.62</v>
      </c>
      <c r="P422" s="38">
        <f>VLOOKUP(O422,'Sheet A'!O422:AG1032,2,)</f>
        <v>0.28360000000000002</v>
      </c>
      <c r="Q422" s="38">
        <f>VLOOKUP(P422,'Sheet A'!P422:AH1032,2,)</f>
        <v>11</v>
      </c>
      <c r="R422" s="38">
        <f>VLOOKUP(Q422,'Sheet A'!Q422:AI1032,2,)</f>
        <v>67</v>
      </c>
      <c r="S422" s="38">
        <f>VLOOKUP(R422,'Sheet A'!R422:AJ1032,2,)</f>
        <v>78</v>
      </c>
    </row>
    <row r="423" spans="1:19" x14ac:dyDescent="0.35">
      <c r="A423" s="37">
        <v>422</v>
      </c>
      <c r="B423" s="60">
        <f>VLOOKUP(A423,'Sheet A'!A423:S1033,2,)</f>
        <v>40562</v>
      </c>
      <c r="C423" s="38">
        <f>VLOOKUP(B423,'Sheet A'!B423:T1033,2,)</f>
        <v>1</v>
      </c>
      <c r="D423" s="38">
        <f>VLOOKUP(C423,'Sheet A'!C423:U1033,2,)</f>
        <v>0</v>
      </c>
      <c r="E423" s="38">
        <f>VLOOKUP(D423,'Sheet A'!D423:V1033,2,)</f>
        <v>1</v>
      </c>
      <c r="F423" s="38">
        <f>VLOOKUP(E423,'Sheet A'!E423:W1033,2,)</f>
        <v>14</v>
      </c>
      <c r="G423" s="41" t="str">
        <f>VLOOKUP(F423,'Sheet A'!F423:X1033,2,)</f>
        <v>AfterNoon</v>
      </c>
      <c r="H423" s="38" t="b">
        <f>VLOOKUP(G423,'Sheet A'!G423:Y1033,2,)</f>
        <v>0</v>
      </c>
      <c r="I423" s="38">
        <f>VLOOKUP(H423,'Sheet A'!H423:Z1033,2,)</f>
        <v>3</v>
      </c>
      <c r="J423" s="41" t="str">
        <f>VLOOKUP(I423,'Sheet A'!I423:AA1033,2,)</f>
        <v>Tuesday</v>
      </c>
      <c r="K423" s="38">
        <f>VLOOKUP(J423,'Sheet A'!J423:AB1033,2,)</f>
        <v>1</v>
      </c>
      <c r="L423" s="38">
        <f>VLOOKUP(K423,'Sheet A'!K423:AC1033,2,)</f>
        <v>0.4</v>
      </c>
      <c r="M423" s="70" t="str">
        <f>VLOOKUP(L423,'Sheet A'!L423:AD1033,2,)</f>
        <v>Sunny</v>
      </c>
      <c r="N423" s="38">
        <f>VLOOKUP(M423,'Sheet A'!M423:AE1033,2,)</f>
        <v>0.40910000000000002</v>
      </c>
      <c r="O423" s="38">
        <f>VLOOKUP(N423,'Sheet A'!N423:AF1033,2,)</f>
        <v>0.57999999999999996</v>
      </c>
      <c r="P423" s="38">
        <f>VLOOKUP(O423,'Sheet A'!O423:AG1033,2,)</f>
        <v>0.25369999999999998</v>
      </c>
      <c r="Q423" s="38">
        <f>VLOOKUP(P423,'Sheet A'!P423:AH1033,2,)</f>
        <v>7</v>
      </c>
      <c r="R423" s="38">
        <f>VLOOKUP(Q423,'Sheet A'!Q423:AI1033,2,)</f>
        <v>68</v>
      </c>
      <c r="S423" s="38">
        <f>VLOOKUP(R423,'Sheet A'!R423:AJ1033,2,)</f>
        <v>75</v>
      </c>
    </row>
    <row r="424" spans="1:19" x14ac:dyDescent="0.35">
      <c r="A424" s="37">
        <v>423</v>
      </c>
      <c r="B424" s="60">
        <f>VLOOKUP(A424,'Sheet A'!A424:S1034,2,)</f>
        <v>40562</v>
      </c>
      <c r="C424" s="38">
        <f>VLOOKUP(B424,'Sheet A'!B424:T1034,2,)</f>
        <v>1</v>
      </c>
      <c r="D424" s="38">
        <f>VLOOKUP(C424,'Sheet A'!C424:U1034,2,)</f>
        <v>0</v>
      </c>
      <c r="E424" s="38">
        <f>VLOOKUP(D424,'Sheet A'!D424:V1034,2,)</f>
        <v>1</v>
      </c>
      <c r="F424" s="38">
        <f>VLOOKUP(E424,'Sheet A'!E424:W1034,2,)</f>
        <v>15</v>
      </c>
      <c r="G424" s="41" t="str">
        <f>VLOOKUP(F424,'Sheet A'!F424:X1034,2,)</f>
        <v>AfterNoon</v>
      </c>
      <c r="H424" s="38" t="b">
        <f>VLOOKUP(G424,'Sheet A'!G424:Y1034,2,)</f>
        <v>0</v>
      </c>
      <c r="I424" s="38">
        <f>VLOOKUP(H424,'Sheet A'!H424:Z1034,2,)</f>
        <v>3</v>
      </c>
      <c r="J424" s="41" t="str">
        <f>VLOOKUP(I424,'Sheet A'!I424:AA1034,2,)</f>
        <v>Tuesday</v>
      </c>
      <c r="K424" s="38">
        <f>VLOOKUP(J424,'Sheet A'!J424:AB1034,2,)</f>
        <v>1</v>
      </c>
      <c r="L424" s="38">
        <f>VLOOKUP(K424,'Sheet A'!K424:AC1034,2,)</f>
        <v>0.4</v>
      </c>
      <c r="M424" s="70" t="str">
        <f>VLOOKUP(L424,'Sheet A'!L424:AD1034,2,)</f>
        <v>Sunny</v>
      </c>
      <c r="N424" s="38">
        <f>VLOOKUP(M424,'Sheet A'!M424:AE1034,2,)</f>
        <v>0.40910000000000002</v>
      </c>
      <c r="O424" s="38">
        <f>VLOOKUP(N424,'Sheet A'!N424:AF1034,2,)</f>
        <v>0.54</v>
      </c>
      <c r="P424" s="38">
        <f>VLOOKUP(O424,'Sheet A'!O424:AG1034,2,)</f>
        <v>0.28360000000000002</v>
      </c>
      <c r="Q424" s="38">
        <f>VLOOKUP(P424,'Sheet A'!P424:AH1034,2,)</f>
        <v>4</v>
      </c>
      <c r="R424" s="38">
        <f>VLOOKUP(Q424,'Sheet A'!Q424:AI1034,2,)</f>
        <v>78</v>
      </c>
      <c r="S424" s="38">
        <f>VLOOKUP(R424,'Sheet A'!R424:AJ1034,2,)</f>
        <v>82</v>
      </c>
    </row>
    <row r="425" spans="1:19" x14ac:dyDescent="0.35">
      <c r="A425" s="37">
        <v>424</v>
      </c>
      <c r="B425" s="60">
        <f>VLOOKUP(A425,'Sheet A'!A425:S1035,2,)</f>
        <v>40562</v>
      </c>
      <c r="C425" s="38">
        <f>VLOOKUP(B425,'Sheet A'!B425:T1035,2,)</f>
        <v>1</v>
      </c>
      <c r="D425" s="38">
        <f>VLOOKUP(C425,'Sheet A'!C425:U1035,2,)</f>
        <v>0</v>
      </c>
      <c r="E425" s="38">
        <f>VLOOKUP(D425,'Sheet A'!D425:V1035,2,)</f>
        <v>1</v>
      </c>
      <c r="F425" s="38">
        <f>VLOOKUP(E425,'Sheet A'!E425:W1035,2,)</f>
        <v>16</v>
      </c>
      <c r="G425" s="41" t="str">
        <f>VLOOKUP(F425,'Sheet A'!F425:X1035,2,)</f>
        <v>AfterNoon</v>
      </c>
      <c r="H425" s="38" t="b">
        <f>VLOOKUP(G425,'Sheet A'!G425:Y1035,2,)</f>
        <v>0</v>
      </c>
      <c r="I425" s="38">
        <f>VLOOKUP(H425,'Sheet A'!H425:Z1035,2,)</f>
        <v>3</v>
      </c>
      <c r="J425" s="41" t="str">
        <f>VLOOKUP(I425,'Sheet A'!I425:AA1035,2,)</f>
        <v>Tuesday</v>
      </c>
      <c r="K425" s="38">
        <f>VLOOKUP(J425,'Sheet A'!J425:AB1035,2,)</f>
        <v>1</v>
      </c>
      <c r="L425" s="38">
        <f>VLOOKUP(K425,'Sheet A'!K425:AC1035,2,)</f>
        <v>0.38</v>
      </c>
      <c r="M425" s="70" t="str">
        <f>VLOOKUP(L425,'Sheet A'!L425:AD1035,2,)</f>
        <v>Sunny</v>
      </c>
      <c r="N425" s="38">
        <f>VLOOKUP(M425,'Sheet A'!M425:AE1035,2,)</f>
        <v>0.39389999999999997</v>
      </c>
      <c r="O425" s="38">
        <f>VLOOKUP(N425,'Sheet A'!N425:AF1035,2,)</f>
        <v>0.57999999999999996</v>
      </c>
      <c r="P425" s="38">
        <f>VLOOKUP(O425,'Sheet A'!O425:AG1035,2,)</f>
        <v>0.3881</v>
      </c>
      <c r="Q425" s="38">
        <f>VLOOKUP(P425,'Sheet A'!P425:AH1035,2,)</f>
        <v>10</v>
      </c>
      <c r="R425" s="38">
        <f>VLOOKUP(Q425,'Sheet A'!Q425:AI1035,2,)</f>
        <v>94</v>
      </c>
      <c r="S425" s="38">
        <f>VLOOKUP(R425,'Sheet A'!R425:AJ1035,2,)</f>
        <v>104</v>
      </c>
    </row>
    <row r="426" spans="1:19" x14ac:dyDescent="0.35">
      <c r="A426" s="37">
        <v>425</v>
      </c>
      <c r="B426" s="60">
        <f>VLOOKUP(A426,'Sheet A'!A426:S1036,2,)</f>
        <v>40562</v>
      </c>
      <c r="C426" s="38">
        <f>VLOOKUP(B426,'Sheet A'!B426:T1036,2,)</f>
        <v>1</v>
      </c>
      <c r="D426" s="38">
        <f>VLOOKUP(C426,'Sheet A'!C426:U1036,2,)</f>
        <v>0</v>
      </c>
      <c r="E426" s="38">
        <f>VLOOKUP(D426,'Sheet A'!D426:V1036,2,)</f>
        <v>1</v>
      </c>
      <c r="F426" s="38">
        <f>VLOOKUP(E426,'Sheet A'!E426:W1036,2,)</f>
        <v>17</v>
      </c>
      <c r="G426" s="41" t="str">
        <f>VLOOKUP(F426,'Sheet A'!F426:X1036,2,)</f>
        <v>Evening</v>
      </c>
      <c r="H426" s="38" t="b">
        <f>VLOOKUP(G426,'Sheet A'!G426:Y1036,2,)</f>
        <v>0</v>
      </c>
      <c r="I426" s="38">
        <f>VLOOKUP(H426,'Sheet A'!H426:Z1036,2,)</f>
        <v>3</v>
      </c>
      <c r="J426" s="41" t="str">
        <f>VLOOKUP(I426,'Sheet A'!I426:AA1036,2,)</f>
        <v>Tuesday</v>
      </c>
      <c r="K426" s="38">
        <f>VLOOKUP(J426,'Sheet A'!J426:AB1036,2,)</f>
        <v>1</v>
      </c>
      <c r="L426" s="38">
        <f>VLOOKUP(K426,'Sheet A'!K426:AC1036,2,)</f>
        <v>0.36</v>
      </c>
      <c r="M426" s="70" t="str">
        <f>VLOOKUP(L426,'Sheet A'!L426:AD1036,2,)</f>
        <v>Sunny</v>
      </c>
      <c r="N426" s="38">
        <f>VLOOKUP(M426,'Sheet A'!M426:AE1036,2,)</f>
        <v>0.33329999999999999</v>
      </c>
      <c r="O426" s="38">
        <f>VLOOKUP(N426,'Sheet A'!N426:AF1036,2,)</f>
        <v>0.56999999999999995</v>
      </c>
      <c r="P426" s="38">
        <f>VLOOKUP(O426,'Sheet A'!O426:AG1036,2,)</f>
        <v>0.32840000000000003</v>
      </c>
      <c r="Q426" s="38">
        <f>VLOOKUP(P426,'Sheet A'!P426:AH1036,2,)</f>
        <v>7</v>
      </c>
      <c r="R426" s="38">
        <f>VLOOKUP(Q426,'Sheet A'!Q426:AI1036,2,)</f>
        <v>190</v>
      </c>
      <c r="S426" s="38">
        <f>VLOOKUP(R426,'Sheet A'!R426:AJ1036,2,)</f>
        <v>197</v>
      </c>
    </row>
    <row r="427" spans="1:19" x14ac:dyDescent="0.35">
      <c r="A427" s="37">
        <v>426</v>
      </c>
      <c r="B427" s="60">
        <f>VLOOKUP(A427,'Sheet A'!A427:S1037,2,)</f>
        <v>40562</v>
      </c>
      <c r="C427" s="38">
        <f>VLOOKUP(B427,'Sheet A'!B427:T1037,2,)</f>
        <v>1</v>
      </c>
      <c r="D427" s="38">
        <f>VLOOKUP(C427,'Sheet A'!C427:U1037,2,)</f>
        <v>0</v>
      </c>
      <c r="E427" s="38">
        <f>VLOOKUP(D427,'Sheet A'!D427:V1037,2,)</f>
        <v>1</v>
      </c>
      <c r="F427" s="38">
        <f>VLOOKUP(E427,'Sheet A'!E427:W1037,2,)</f>
        <v>18</v>
      </c>
      <c r="G427" s="41" t="str">
        <f>VLOOKUP(F427,'Sheet A'!F427:X1037,2,)</f>
        <v>Evening</v>
      </c>
      <c r="H427" s="38" t="b">
        <f>VLOOKUP(G427,'Sheet A'!G427:Y1037,2,)</f>
        <v>0</v>
      </c>
      <c r="I427" s="38">
        <f>VLOOKUP(H427,'Sheet A'!H427:Z1037,2,)</f>
        <v>3</v>
      </c>
      <c r="J427" s="41" t="str">
        <f>VLOOKUP(I427,'Sheet A'!I427:AA1037,2,)</f>
        <v>Tuesday</v>
      </c>
      <c r="K427" s="38">
        <f>VLOOKUP(J427,'Sheet A'!J427:AB1037,2,)</f>
        <v>1</v>
      </c>
      <c r="L427" s="38">
        <f>VLOOKUP(K427,'Sheet A'!K427:AC1037,2,)</f>
        <v>0.34</v>
      </c>
      <c r="M427" s="70" t="str">
        <f>VLOOKUP(L427,'Sheet A'!L427:AD1037,2,)</f>
        <v>Sunny</v>
      </c>
      <c r="N427" s="38">
        <f>VLOOKUP(M427,'Sheet A'!M427:AE1037,2,)</f>
        <v>0.31819999999999998</v>
      </c>
      <c r="O427" s="38">
        <f>VLOOKUP(N427,'Sheet A'!N427:AF1037,2,)</f>
        <v>0.61</v>
      </c>
      <c r="P427" s="38">
        <f>VLOOKUP(O427,'Sheet A'!O427:AG1037,2,)</f>
        <v>0.28360000000000002</v>
      </c>
      <c r="Q427" s="38">
        <f>VLOOKUP(P427,'Sheet A'!P427:AH1037,2,)</f>
        <v>5</v>
      </c>
      <c r="R427" s="38">
        <f>VLOOKUP(Q427,'Sheet A'!Q427:AI1037,2,)</f>
        <v>156</v>
      </c>
      <c r="S427" s="38">
        <f>VLOOKUP(R427,'Sheet A'!R427:AJ1037,2,)</f>
        <v>161</v>
      </c>
    </row>
    <row r="428" spans="1:19" x14ac:dyDescent="0.35">
      <c r="A428" s="37">
        <v>427</v>
      </c>
      <c r="B428" s="60">
        <f>VLOOKUP(A428,'Sheet A'!A428:S1038,2,)</f>
        <v>40562</v>
      </c>
      <c r="C428" s="38">
        <f>VLOOKUP(B428,'Sheet A'!B428:T1038,2,)</f>
        <v>1</v>
      </c>
      <c r="D428" s="38">
        <f>VLOOKUP(C428,'Sheet A'!C428:U1038,2,)</f>
        <v>0</v>
      </c>
      <c r="E428" s="38">
        <f>VLOOKUP(D428,'Sheet A'!D428:V1038,2,)</f>
        <v>1</v>
      </c>
      <c r="F428" s="38">
        <f>VLOOKUP(E428,'Sheet A'!E428:W1038,2,)</f>
        <v>19</v>
      </c>
      <c r="G428" s="41" t="str">
        <f>VLOOKUP(F428,'Sheet A'!F428:X1038,2,)</f>
        <v>Evening</v>
      </c>
      <c r="H428" s="38" t="b">
        <f>VLOOKUP(G428,'Sheet A'!G428:Y1038,2,)</f>
        <v>0</v>
      </c>
      <c r="I428" s="38">
        <f>VLOOKUP(H428,'Sheet A'!H428:Z1038,2,)</f>
        <v>3</v>
      </c>
      <c r="J428" s="41" t="str">
        <f>VLOOKUP(I428,'Sheet A'!I428:AA1038,2,)</f>
        <v>Tuesday</v>
      </c>
      <c r="K428" s="38">
        <f>VLOOKUP(J428,'Sheet A'!J428:AB1038,2,)</f>
        <v>1</v>
      </c>
      <c r="L428" s="38">
        <f>VLOOKUP(K428,'Sheet A'!K428:AC1038,2,)</f>
        <v>0.32</v>
      </c>
      <c r="M428" s="70" t="str">
        <f>VLOOKUP(L428,'Sheet A'!L428:AD1038,2,)</f>
        <v>Sunny</v>
      </c>
      <c r="N428" s="38">
        <f>VLOOKUP(M428,'Sheet A'!M428:AE1038,2,)</f>
        <v>0.28789999999999999</v>
      </c>
      <c r="O428" s="38">
        <f>VLOOKUP(N428,'Sheet A'!N428:AF1038,2,)</f>
        <v>0.56999999999999995</v>
      </c>
      <c r="P428" s="38">
        <f>VLOOKUP(O428,'Sheet A'!O428:AG1038,2,)</f>
        <v>0.41789999999999999</v>
      </c>
      <c r="Q428" s="38">
        <f>VLOOKUP(P428,'Sheet A'!P428:AH1038,2,)</f>
        <v>4</v>
      </c>
      <c r="R428" s="38">
        <f>VLOOKUP(Q428,'Sheet A'!Q428:AI1038,2,)</f>
        <v>108</v>
      </c>
      <c r="S428" s="38">
        <f>VLOOKUP(R428,'Sheet A'!R428:AJ1038,2,)</f>
        <v>112</v>
      </c>
    </row>
    <row r="429" spans="1:19" x14ac:dyDescent="0.35">
      <c r="A429" s="37">
        <v>428</v>
      </c>
      <c r="B429" s="60">
        <f>VLOOKUP(A429,'Sheet A'!A429:S1039,2,)</f>
        <v>40562</v>
      </c>
      <c r="C429" s="38">
        <f>VLOOKUP(B429,'Sheet A'!B429:T1039,2,)</f>
        <v>1</v>
      </c>
      <c r="D429" s="38">
        <f>VLOOKUP(C429,'Sheet A'!C429:U1039,2,)</f>
        <v>0</v>
      </c>
      <c r="E429" s="38">
        <f>VLOOKUP(D429,'Sheet A'!D429:V1039,2,)</f>
        <v>1</v>
      </c>
      <c r="F429" s="38">
        <f>VLOOKUP(E429,'Sheet A'!E429:W1039,2,)</f>
        <v>20</v>
      </c>
      <c r="G429" s="41" t="str">
        <f>VLOOKUP(F429,'Sheet A'!F429:X1039,2,)</f>
        <v>Night</v>
      </c>
      <c r="H429" s="38" t="b">
        <f>VLOOKUP(G429,'Sheet A'!G429:Y1039,2,)</f>
        <v>0</v>
      </c>
      <c r="I429" s="38">
        <f>VLOOKUP(H429,'Sheet A'!H429:Z1039,2,)</f>
        <v>3</v>
      </c>
      <c r="J429" s="41" t="str">
        <f>VLOOKUP(I429,'Sheet A'!I429:AA1039,2,)</f>
        <v>Tuesday</v>
      </c>
      <c r="K429" s="38">
        <f>VLOOKUP(J429,'Sheet A'!J429:AB1039,2,)</f>
        <v>1</v>
      </c>
      <c r="L429" s="38">
        <f>VLOOKUP(K429,'Sheet A'!K429:AC1039,2,)</f>
        <v>0.32</v>
      </c>
      <c r="M429" s="70" t="str">
        <f>VLOOKUP(L429,'Sheet A'!L429:AD1039,2,)</f>
        <v>Sunny</v>
      </c>
      <c r="N429" s="38">
        <f>VLOOKUP(M429,'Sheet A'!M429:AE1039,2,)</f>
        <v>0.30299999999999999</v>
      </c>
      <c r="O429" s="38">
        <f>VLOOKUP(N429,'Sheet A'!N429:AF1039,2,)</f>
        <v>0.49</v>
      </c>
      <c r="P429" s="38">
        <f>VLOOKUP(O429,'Sheet A'!O429:AG1039,2,)</f>
        <v>0.29849999999999999</v>
      </c>
      <c r="Q429" s="38">
        <f>VLOOKUP(P429,'Sheet A'!P429:AH1039,2,)</f>
        <v>2</v>
      </c>
      <c r="R429" s="38">
        <f>VLOOKUP(Q429,'Sheet A'!Q429:AI1039,2,)</f>
        <v>74</v>
      </c>
      <c r="S429" s="38">
        <f>VLOOKUP(R429,'Sheet A'!R429:AJ1039,2,)</f>
        <v>76</v>
      </c>
    </row>
    <row r="430" spans="1:19" x14ac:dyDescent="0.35">
      <c r="A430" s="37">
        <v>429</v>
      </c>
      <c r="B430" s="60">
        <f>VLOOKUP(A430,'Sheet A'!A430:S1040,2,)</f>
        <v>40562</v>
      </c>
      <c r="C430" s="38">
        <f>VLOOKUP(B430,'Sheet A'!B430:T1040,2,)</f>
        <v>1</v>
      </c>
      <c r="D430" s="38">
        <f>VLOOKUP(C430,'Sheet A'!C430:U1040,2,)</f>
        <v>0</v>
      </c>
      <c r="E430" s="38">
        <f>VLOOKUP(D430,'Sheet A'!D430:V1040,2,)</f>
        <v>1</v>
      </c>
      <c r="F430" s="38">
        <f>VLOOKUP(E430,'Sheet A'!E430:W1040,2,)</f>
        <v>21</v>
      </c>
      <c r="G430" s="41" t="str">
        <f>VLOOKUP(F430,'Sheet A'!F430:X1040,2,)</f>
        <v>Night</v>
      </c>
      <c r="H430" s="38" t="b">
        <f>VLOOKUP(G430,'Sheet A'!G430:Y1040,2,)</f>
        <v>0</v>
      </c>
      <c r="I430" s="38">
        <f>VLOOKUP(H430,'Sheet A'!H430:Z1040,2,)</f>
        <v>3</v>
      </c>
      <c r="J430" s="41" t="str">
        <f>VLOOKUP(I430,'Sheet A'!I430:AA1040,2,)</f>
        <v>Tuesday</v>
      </c>
      <c r="K430" s="38">
        <f>VLOOKUP(J430,'Sheet A'!J430:AB1040,2,)</f>
        <v>1</v>
      </c>
      <c r="L430" s="38">
        <f>VLOOKUP(K430,'Sheet A'!K430:AC1040,2,)</f>
        <v>0.32</v>
      </c>
      <c r="M430" s="70" t="str">
        <f>VLOOKUP(L430,'Sheet A'!L430:AD1040,2,)</f>
        <v>Sunny</v>
      </c>
      <c r="N430" s="38">
        <f>VLOOKUP(M430,'Sheet A'!M430:AE1040,2,)</f>
        <v>0.28789999999999999</v>
      </c>
      <c r="O430" s="38">
        <f>VLOOKUP(N430,'Sheet A'!N430:AF1040,2,)</f>
        <v>0.49</v>
      </c>
      <c r="P430" s="38">
        <f>VLOOKUP(O430,'Sheet A'!O430:AG1040,2,)</f>
        <v>0.41789999999999999</v>
      </c>
      <c r="Q430" s="38">
        <f>VLOOKUP(P430,'Sheet A'!P430:AH1040,2,)</f>
        <v>4</v>
      </c>
      <c r="R430" s="38">
        <f>VLOOKUP(Q430,'Sheet A'!Q430:AI1040,2,)</f>
        <v>55</v>
      </c>
      <c r="S430" s="38">
        <f>VLOOKUP(R430,'Sheet A'!R430:AJ1040,2,)</f>
        <v>59</v>
      </c>
    </row>
    <row r="431" spans="1:19" x14ac:dyDescent="0.35">
      <c r="A431" s="37">
        <v>430</v>
      </c>
      <c r="B431" s="60">
        <f>VLOOKUP(A431,'Sheet A'!A431:S1041,2,)</f>
        <v>40562</v>
      </c>
      <c r="C431" s="38">
        <f>VLOOKUP(B431,'Sheet A'!B431:T1041,2,)</f>
        <v>1</v>
      </c>
      <c r="D431" s="38">
        <f>VLOOKUP(C431,'Sheet A'!C431:U1041,2,)</f>
        <v>0</v>
      </c>
      <c r="E431" s="38">
        <f>VLOOKUP(D431,'Sheet A'!D431:V1041,2,)</f>
        <v>1</v>
      </c>
      <c r="F431" s="38">
        <f>VLOOKUP(E431,'Sheet A'!E431:W1041,2,)</f>
        <v>22</v>
      </c>
      <c r="G431" s="41" t="str">
        <f>VLOOKUP(F431,'Sheet A'!F431:X1041,2,)</f>
        <v>Night</v>
      </c>
      <c r="H431" s="38" t="b">
        <f>VLOOKUP(G431,'Sheet A'!G431:Y1041,2,)</f>
        <v>0</v>
      </c>
      <c r="I431" s="38">
        <f>VLOOKUP(H431,'Sheet A'!H431:Z1041,2,)</f>
        <v>3</v>
      </c>
      <c r="J431" s="41" t="str">
        <f>VLOOKUP(I431,'Sheet A'!I431:AA1041,2,)</f>
        <v>Tuesday</v>
      </c>
      <c r="K431" s="38">
        <f>VLOOKUP(J431,'Sheet A'!J431:AB1041,2,)</f>
        <v>1</v>
      </c>
      <c r="L431" s="38">
        <f>VLOOKUP(K431,'Sheet A'!K431:AC1041,2,)</f>
        <v>0.3</v>
      </c>
      <c r="M431" s="70" t="str">
        <f>VLOOKUP(L431,'Sheet A'!L431:AD1041,2,)</f>
        <v>Cloudy</v>
      </c>
      <c r="N431" s="38">
        <f>VLOOKUP(M431,'Sheet A'!M431:AE1041,2,)</f>
        <v>0.30299999999999999</v>
      </c>
      <c r="O431" s="38">
        <f>VLOOKUP(N431,'Sheet A'!N431:AF1041,2,)</f>
        <v>0.52</v>
      </c>
      <c r="P431" s="38">
        <f>VLOOKUP(O431,'Sheet A'!O431:AG1041,2,)</f>
        <v>0.16420000000000001</v>
      </c>
      <c r="Q431" s="38">
        <f>VLOOKUP(P431,'Sheet A'!P431:AH1041,2,)</f>
        <v>6</v>
      </c>
      <c r="R431" s="38">
        <f>VLOOKUP(Q431,'Sheet A'!Q431:AI1041,2,)</f>
        <v>53</v>
      </c>
      <c r="S431" s="38">
        <f>VLOOKUP(R431,'Sheet A'!R431:AJ1041,2,)</f>
        <v>59</v>
      </c>
    </row>
    <row r="432" spans="1:19" x14ac:dyDescent="0.35">
      <c r="A432" s="37">
        <v>431</v>
      </c>
      <c r="B432" s="60">
        <f>VLOOKUP(A432,'Sheet A'!A432:S1042,2,)</f>
        <v>40562</v>
      </c>
      <c r="C432" s="38">
        <f>VLOOKUP(B432,'Sheet A'!B432:T1042,2,)</f>
        <v>1</v>
      </c>
      <c r="D432" s="38">
        <f>VLOOKUP(C432,'Sheet A'!C432:U1042,2,)</f>
        <v>0</v>
      </c>
      <c r="E432" s="38">
        <f>VLOOKUP(D432,'Sheet A'!D432:V1042,2,)</f>
        <v>1</v>
      </c>
      <c r="F432" s="38">
        <f>VLOOKUP(E432,'Sheet A'!E432:W1042,2,)</f>
        <v>23</v>
      </c>
      <c r="G432" s="41" t="str">
        <f>VLOOKUP(F432,'Sheet A'!F432:X1042,2,)</f>
        <v>Night</v>
      </c>
      <c r="H432" s="38" t="b">
        <f>VLOOKUP(G432,'Sheet A'!G432:Y1042,2,)</f>
        <v>0</v>
      </c>
      <c r="I432" s="38">
        <f>VLOOKUP(H432,'Sheet A'!H432:Z1042,2,)</f>
        <v>3</v>
      </c>
      <c r="J432" s="41" t="str">
        <f>VLOOKUP(I432,'Sheet A'!I432:AA1042,2,)</f>
        <v>Tuesday</v>
      </c>
      <c r="K432" s="38">
        <f>VLOOKUP(J432,'Sheet A'!J432:AB1042,2,)</f>
        <v>1</v>
      </c>
      <c r="L432" s="38">
        <f>VLOOKUP(K432,'Sheet A'!K432:AC1042,2,)</f>
        <v>0.3</v>
      </c>
      <c r="M432" s="70" t="str">
        <f>VLOOKUP(L432,'Sheet A'!L432:AD1042,2,)</f>
        <v>Cloudy</v>
      </c>
      <c r="N432" s="38">
        <f>VLOOKUP(M432,'Sheet A'!M432:AE1042,2,)</f>
        <v>0.2727</v>
      </c>
      <c r="O432" s="38">
        <f>VLOOKUP(N432,'Sheet A'!N432:AF1042,2,)</f>
        <v>0.52</v>
      </c>
      <c r="P432" s="38">
        <f>VLOOKUP(O432,'Sheet A'!O432:AG1042,2,)</f>
        <v>0.4627</v>
      </c>
      <c r="Q432" s="38">
        <f>VLOOKUP(P432,'Sheet A'!P432:AH1042,2,)</f>
        <v>1</v>
      </c>
      <c r="R432" s="38">
        <f>VLOOKUP(Q432,'Sheet A'!Q432:AI1042,2,)</f>
        <v>27</v>
      </c>
      <c r="S432" s="38">
        <f>VLOOKUP(R432,'Sheet A'!R432:AJ1042,2,)</f>
        <v>28</v>
      </c>
    </row>
    <row r="433" spans="1:19" x14ac:dyDescent="0.35">
      <c r="A433" s="37">
        <v>432</v>
      </c>
      <c r="B433" s="60">
        <f>VLOOKUP(A433,'Sheet A'!A433:S1043,2,)</f>
        <v>40563</v>
      </c>
      <c r="C433" s="38">
        <f>VLOOKUP(B433,'Sheet A'!B433:T1043,2,)</f>
        <v>1</v>
      </c>
      <c r="D433" s="38">
        <f>VLOOKUP(C433,'Sheet A'!C433:U1043,2,)</f>
        <v>0</v>
      </c>
      <c r="E433" s="38">
        <f>VLOOKUP(D433,'Sheet A'!D433:V1043,2,)</f>
        <v>1</v>
      </c>
      <c r="F433" s="38">
        <f>VLOOKUP(E433,'Sheet A'!E433:W1043,2,)</f>
        <v>0</v>
      </c>
      <c r="G433" s="41" t="str">
        <f>VLOOKUP(F433,'Sheet A'!F433:X1043,2,)</f>
        <v>Night</v>
      </c>
      <c r="H433" s="38" t="b">
        <f>VLOOKUP(G433,'Sheet A'!G433:Y1043,2,)</f>
        <v>0</v>
      </c>
      <c r="I433" s="38">
        <f>VLOOKUP(H433,'Sheet A'!H433:Z1043,2,)</f>
        <v>4</v>
      </c>
      <c r="J433" s="41" t="str">
        <f>VLOOKUP(I433,'Sheet A'!I433:AA1043,2,)</f>
        <v>Wednesday</v>
      </c>
      <c r="K433" s="38">
        <f>VLOOKUP(J433,'Sheet A'!J433:AB1043,2,)</f>
        <v>1</v>
      </c>
      <c r="L433" s="38">
        <f>VLOOKUP(K433,'Sheet A'!K433:AC1043,2,)</f>
        <v>0.26</v>
      </c>
      <c r="M433" s="70" t="str">
        <f>VLOOKUP(L433,'Sheet A'!L433:AD1043,2,)</f>
        <v>Cloudy</v>
      </c>
      <c r="N433" s="38">
        <f>VLOOKUP(M433,'Sheet A'!M433:AE1043,2,)</f>
        <v>0.2273</v>
      </c>
      <c r="O433" s="38">
        <f>VLOOKUP(N433,'Sheet A'!N433:AF1043,2,)</f>
        <v>0.56000000000000005</v>
      </c>
      <c r="P433" s="38">
        <f>VLOOKUP(O433,'Sheet A'!O433:AG1043,2,)</f>
        <v>0.3881</v>
      </c>
      <c r="Q433" s="38">
        <f>VLOOKUP(P433,'Sheet A'!P433:AH1043,2,)</f>
        <v>5</v>
      </c>
      <c r="R433" s="38">
        <f>VLOOKUP(Q433,'Sheet A'!Q433:AI1043,2,)</f>
        <v>8</v>
      </c>
      <c r="S433" s="38">
        <f>VLOOKUP(R433,'Sheet A'!R433:AJ1043,2,)</f>
        <v>13</v>
      </c>
    </row>
    <row r="434" spans="1:19" x14ac:dyDescent="0.35">
      <c r="A434" s="37">
        <v>433</v>
      </c>
      <c r="B434" s="60">
        <f>VLOOKUP(A434,'Sheet A'!A434:S1044,2,)</f>
        <v>40563</v>
      </c>
      <c r="C434" s="38">
        <f>VLOOKUP(B434,'Sheet A'!B434:T1044,2,)</f>
        <v>1</v>
      </c>
      <c r="D434" s="38">
        <f>VLOOKUP(C434,'Sheet A'!C434:U1044,2,)</f>
        <v>0</v>
      </c>
      <c r="E434" s="38">
        <f>VLOOKUP(D434,'Sheet A'!D434:V1044,2,)</f>
        <v>1</v>
      </c>
      <c r="F434" s="38">
        <f>VLOOKUP(E434,'Sheet A'!E434:W1044,2,)</f>
        <v>1</v>
      </c>
      <c r="G434" s="41" t="str">
        <f>VLOOKUP(F434,'Sheet A'!F434:X1044,2,)</f>
        <v>Night</v>
      </c>
      <c r="H434" s="38" t="b">
        <f>VLOOKUP(G434,'Sheet A'!G434:Y1044,2,)</f>
        <v>0</v>
      </c>
      <c r="I434" s="38">
        <f>VLOOKUP(H434,'Sheet A'!H434:Z1044,2,)</f>
        <v>4</v>
      </c>
      <c r="J434" s="41" t="str">
        <f>VLOOKUP(I434,'Sheet A'!I434:AA1044,2,)</f>
        <v>Wednesday</v>
      </c>
      <c r="K434" s="38">
        <f>VLOOKUP(J434,'Sheet A'!J434:AB1044,2,)</f>
        <v>1</v>
      </c>
      <c r="L434" s="38">
        <f>VLOOKUP(K434,'Sheet A'!K434:AC1044,2,)</f>
        <v>0.26</v>
      </c>
      <c r="M434" s="70" t="str">
        <f>VLOOKUP(L434,'Sheet A'!L434:AD1044,2,)</f>
        <v>Cloudy</v>
      </c>
      <c r="N434" s="38">
        <f>VLOOKUP(M434,'Sheet A'!M434:AE1044,2,)</f>
        <v>0.2727</v>
      </c>
      <c r="O434" s="38">
        <f>VLOOKUP(N434,'Sheet A'!N434:AF1044,2,)</f>
        <v>0.56000000000000005</v>
      </c>
      <c r="P434" s="38">
        <f>VLOOKUP(O434,'Sheet A'!O434:AG1044,2,)</f>
        <v>0</v>
      </c>
      <c r="Q434" s="38">
        <f>VLOOKUP(P434,'Sheet A'!P434:AH1044,2,)</f>
        <v>2</v>
      </c>
      <c r="R434" s="38">
        <f>VLOOKUP(Q434,'Sheet A'!Q434:AI1044,2,)</f>
        <v>3</v>
      </c>
      <c r="S434" s="38">
        <f>VLOOKUP(R434,'Sheet A'!R434:AJ1044,2,)</f>
        <v>5</v>
      </c>
    </row>
    <row r="435" spans="1:19" x14ac:dyDescent="0.35">
      <c r="A435" s="37">
        <v>434</v>
      </c>
      <c r="B435" s="60">
        <f>VLOOKUP(A435,'Sheet A'!A435:S1045,2,)</f>
        <v>40563</v>
      </c>
      <c r="C435" s="38">
        <f>VLOOKUP(B435,'Sheet A'!B435:T1045,2,)</f>
        <v>1</v>
      </c>
      <c r="D435" s="38">
        <f>VLOOKUP(C435,'Sheet A'!C435:U1045,2,)</f>
        <v>0</v>
      </c>
      <c r="E435" s="38">
        <f>VLOOKUP(D435,'Sheet A'!D435:V1045,2,)</f>
        <v>1</v>
      </c>
      <c r="F435" s="38">
        <f>VLOOKUP(E435,'Sheet A'!E435:W1045,2,)</f>
        <v>2</v>
      </c>
      <c r="G435" s="41" t="str">
        <f>VLOOKUP(F435,'Sheet A'!F435:X1045,2,)</f>
        <v>Night</v>
      </c>
      <c r="H435" s="38" t="b">
        <f>VLOOKUP(G435,'Sheet A'!G435:Y1045,2,)</f>
        <v>0</v>
      </c>
      <c r="I435" s="38">
        <f>VLOOKUP(H435,'Sheet A'!H435:Z1045,2,)</f>
        <v>4</v>
      </c>
      <c r="J435" s="41" t="str">
        <f>VLOOKUP(I435,'Sheet A'!I435:AA1045,2,)</f>
        <v>Wednesday</v>
      </c>
      <c r="K435" s="38">
        <f>VLOOKUP(J435,'Sheet A'!J435:AB1045,2,)</f>
        <v>1</v>
      </c>
      <c r="L435" s="38">
        <f>VLOOKUP(K435,'Sheet A'!K435:AC1045,2,)</f>
        <v>0.26</v>
      </c>
      <c r="M435" s="70" t="str">
        <f>VLOOKUP(L435,'Sheet A'!L435:AD1045,2,)</f>
        <v>Cloudy</v>
      </c>
      <c r="N435" s="38">
        <f>VLOOKUP(M435,'Sheet A'!M435:AE1045,2,)</f>
        <v>0.2727</v>
      </c>
      <c r="O435" s="38">
        <f>VLOOKUP(N435,'Sheet A'!N435:AF1045,2,)</f>
        <v>0.56000000000000005</v>
      </c>
      <c r="P435" s="38">
        <f>VLOOKUP(O435,'Sheet A'!O435:AG1045,2,)</f>
        <v>0</v>
      </c>
      <c r="Q435" s="38">
        <f>VLOOKUP(P435,'Sheet A'!P435:AH1045,2,)</f>
        <v>0</v>
      </c>
      <c r="R435" s="38">
        <f>VLOOKUP(Q435,'Sheet A'!Q435:AI1045,2,)</f>
        <v>2</v>
      </c>
      <c r="S435" s="38">
        <f>VLOOKUP(R435,'Sheet A'!R435:AJ1045,2,)</f>
        <v>2</v>
      </c>
    </row>
    <row r="436" spans="1:19" x14ac:dyDescent="0.35">
      <c r="A436" s="37">
        <v>435</v>
      </c>
      <c r="B436" s="60">
        <f>VLOOKUP(A436,'Sheet A'!A436:S1046,2,)</f>
        <v>40563</v>
      </c>
      <c r="C436" s="38">
        <f>VLOOKUP(B436,'Sheet A'!B436:T1046,2,)</f>
        <v>1</v>
      </c>
      <c r="D436" s="38">
        <f>VLOOKUP(C436,'Sheet A'!C436:U1046,2,)</f>
        <v>0</v>
      </c>
      <c r="E436" s="38">
        <f>VLOOKUP(D436,'Sheet A'!D436:V1046,2,)</f>
        <v>1</v>
      </c>
      <c r="F436" s="38">
        <f>VLOOKUP(E436,'Sheet A'!E436:W1046,2,)</f>
        <v>3</v>
      </c>
      <c r="G436" s="41" t="str">
        <f>VLOOKUP(F436,'Sheet A'!F436:X1046,2,)</f>
        <v>Night</v>
      </c>
      <c r="H436" s="38" t="b">
        <f>VLOOKUP(G436,'Sheet A'!G436:Y1046,2,)</f>
        <v>0</v>
      </c>
      <c r="I436" s="38">
        <f>VLOOKUP(H436,'Sheet A'!H436:Z1046,2,)</f>
        <v>4</v>
      </c>
      <c r="J436" s="41" t="str">
        <f>VLOOKUP(I436,'Sheet A'!I436:AA1046,2,)</f>
        <v>Wednesday</v>
      </c>
      <c r="K436" s="38">
        <f>VLOOKUP(J436,'Sheet A'!J436:AB1046,2,)</f>
        <v>1</v>
      </c>
      <c r="L436" s="38">
        <f>VLOOKUP(K436,'Sheet A'!K436:AC1046,2,)</f>
        <v>0.26</v>
      </c>
      <c r="M436" s="70" t="str">
        <f>VLOOKUP(L436,'Sheet A'!L436:AD1046,2,)</f>
        <v>Cloudy</v>
      </c>
      <c r="N436" s="38">
        <f>VLOOKUP(M436,'Sheet A'!M436:AE1046,2,)</f>
        <v>0.2576</v>
      </c>
      <c r="O436" s="38">
        <f>VLOOKUP(N436,'Sheet A'!N436:AF1046,2,)</f>
        <v>0.56000000000000005</v>
      </c>
      <c r="P436" s="38">
        <f>VLOOKUP(O436,'Sheet A'!O436:AG1046,2,)</f>
        <v>0.16420000000000001</v>
      </c>
      <c r="Q436" s="38">
        <f>VLOOKUP(P436,'Sheet A'!P436:AH1046,2,)</f>
        <v>0</v>
      </c>
      <c r="R436" s="38">
        <f>VLOOKUP(Q436,'Sheet A'!Q436:AI1046,2,)</f>
        <v>1</v>
      </c>
      <c r="S436" s="38">
        <f>VLOOKUP(R436,'Sheet A'!R436:AJ1046,2,)</f>
        <v>1</v>
      </c>
    </row>
    <row r="437" spans="1:19" x14ac:dyDescent="0.35">
      <c r="A437" s="37">
        <v>436</v>
      </c>
      <c r="B437" s="60">
        <f>VLOOKUP(A437,'Sheet A'!A437:S1047,2,)</f>
        <v>40563</v>
      </c>
      <c r="C437" s="38">
        <f>VLOOKUP(B437,'Sheet A'!B437:T1047,2,)</f>
        <v>1</v>
      </c>
      <c r="D437" s="38">
        <f>VLOOKUP(C437,'Sheet A'!C437:U1047,2,)</f>
        <v>0</v>
      </c>
      <c r="E437" s="38">
        <f>VLOOKUP(D437,'Sheet A'!D437:V1047,2,)</f>
        <v>1</v>
      </c>
      <c r="F437" s="38">
        <f>VLOOKUP(E437,'Sheet A'!E437:W1047,2,)</f>
        <v>4</v>
      </c>
      <c r="G437" s="41" t="str">
        <f>VLOOKUP(F437,'Sheet A'!F437:X1047,2,)</f>
        <v>Night</v>
      </c>
      <c r="H437" s="38" t="b">
        <f>VLOOKUP(G437,'Sheet A'!G437:Y1047,2,)</f>
        <v>0</v>
      </c>
      <c r="I437" s="38">
        <f>VLOOKUP(H437,'Sheet A'!H437:Z1047,2,)</f>
        <v>4</v>
      </c>
      <c r="J437" s="41" t="str">
        <f>VLOOKUP(I437,'Sheet A'!I437:AA1047,2,)</f>
        <v>Wednesday</v>
      </c>
      <c r="K437" s="38">
        <f>VLOOKUP(J437,'Sheet A'!J437:AB1047,2,)</f>
        <v>1</v>
      </c>
      <c r="L437" s="38">
        <f>VLOOKUP(K437,'Sheet A'!K437:AC1047,2,)</f>
        <v>0.26</v>
      </c>
      <c r="M437" s="70" t="str">
        <f>VLOOKUP(L437,'Sheet A'!L437:AD1047,2,)</f>
        <v>Cloudy</v>
      </c>
      <c r="N437" s="38">
        <f>VLOOKUP(M437,'Sheet A'!M437:AE1047,2,)</f>
        <v>0.2576</v>
      </c>
      <c r="O437" s="38">
        <f>VLOOKUP(N437,'Sheet A'!N437:AF1047,2,)</f>
        <v>0.56000000000000005</v>
      </c>
      <c r="P437" s="38">
        <f>VLOOKUP(O437,'Sheet A'!O437:AG1047,2,)</f>
        <v>0.16420000000000001</v>
      </c>
      <c r="Q437" s="38">
        <f>VLOOKUP(P437,'Sheet A'!P437:AH1047,2,)</f>
        <v>0</v>
      </c>
      <c r="R437" s="38">
        <f>VLOOKUP(Q437,'Sheet A'!Q437:AI1047,2,)</f>
        <v>1</v>
      </c>
      <c r="S437" s="38">
        <f>VLOOKUP(R437,'Sheet A'!R437:AJ1047,2,)</f>
        <v>1</v>
      </c>
    </row>
    <row r="438" spans="1:19" x14ac:dyDescent="0.35">
      <c r="A438" s="37">
        <v>437</v>
      </c>
      <c r="B438" s="60">
        <f>VLOOKUP(A438,'Sheet A'!A438:S1048,2,)</f>
        <v>40563</v>
      </c>
      <c r="C438" s="38">
        <f>VLOOKUP(B438,'Sheet A'!B438:T1048,2,)</f>
        <v>1</v>
      </c>
      <c r="D438" s="38">
        <f>VLOOKUP(C438,'Sheet A'!C438:U1048,2,)</f>
        <v>0</v>
      </c>
      <c r="E438" s="38">
        <f>VLOOKUP(D438,'Sheet A'!D438:V1048,2,)</f>
        <v>1</v>
      </c>
      <c r="F438" s="38">
        <f>VLOOKUP(E438,'Sheet A'!E438:W1048,2,)</f>
        <v>5</v>
      </c>
      <c r="G438" s="41" t="str">
        <f>VLOOKUP(F438,'Sheet A'!F438:X1048,2,)</f>
        <v>Morning</v>
      </c>
      <c r="H438" s="38" t="b">
        <f>VLOOKUP(G438,'Sheet A'!G438:Y1048,2,)</f>
        <v>0</v>
      </c>
      <c r="I438" s="38">
        <f>VLOOKUP(H438,'Sheet A'!H438:Z1048,2,)</f>
        <v>4</v>
      </c>
      <c r="J438" s="41" t="str">
        <f>VLOOKUP(I438,'Sheet A'!I438:AA1048,2,)</f>
        <v>Wednesday</v>
      </c>
      <c r="K438" s="38">
        <f>VLOOKUP(J438,'Sheet A'!J438:AB1048,2,)</f>
        <v>1</v>
      </c>
      <c r="L438" s="38">
        <f>VLOOKUP(K438,'Sheet A'!K438:AC1048,2,)</f>
        <v>0.24</v>
      </c>
      <c r="M438" s="70" t="str">
        <f>VLOOKUP(L438,'Sheet A'!L438:AD1048,2,)</f>
        <v>Cloudy</v>
      </c>
      <c r="N438" s="38">
        <f>VLOOKUP(M438,'Sheet A'!M438:AE1048,2,)</f>
        <v>0.2273</v>
      </c>
      <c r="O438" s="38">
        <f>VLOOKUP(N438,'Sheet A'!N438:AF1048,2,)</f>
        <v>0.6</v>
      </c>
      <c r="P438" s="38">
        <f>VLOOKUP(O438,'Sheet A'!O438:AG1048,2,)</f>
        <v>0.22389999999999999</v>
      </c>
      <c r="Q438" s="38">
        <f>VLOOKUP(P438,'Sheet A'!P438:AH1048,2,)</f>
        <v>0</v>
      </c>
      <c r="R438" s="38">
        <f>VLOOKUP(Q438,'Sheet A'!Q438:AI1048,2,)</f>
        <v>6</v>
      </c>
      <c r="S438" s="38">
        <f>VLOOKUP(R438,'Sheet A'!R438:AJ1048,2,)</f>
        <v>6</v>
      </c>
    </row>
    <row r="439" spans="1:19" x14ac:dyDescent="0.35">
      <c r="A439" s="37">
        <v>438</v>
      </c>
      <c r="B439" s="60">
        <f>VLOOKUP(A439,'Sheet A'!A439:S1049,2,)</f>
        <v>40563</v>
      </c>
      <c r="C439" s="38">
        <f>VLOOKUP(B439,'Sheet A'!B439:T1049,2,)</f>
        <v>1</v>
      </c>
      <c r="D439" s="38">
        <f>VLOOKUP(C439,'Sheet A'!C439:U1049,2,)</f>
        <v>0</v>
      </c>
      <c r="E439" s="38">
        <f>VLOOKUP(D439,'Sheet A'!D439:V1049,2,)</f>
        <v>1</v>
      </c>
      <c r="F439" s="38">
        <f>VLOOKUP(E439,'Sheet A'!E439:W1049,2,)</f>
        <v>6</v>
      </c>
      <c r="G439" s="41" t="str">
        <f>VLOOKUP(F439,'Sheet A'!F439:X1049,2,)</f>
        <v>Morning</v>
      </c>
      <c r="H439" s="38" t="b">
        <f>VLOOKUP(G439,'Sheet A'!G439:Y1049,2,)</f>
        <v>0</v>
      </c>
      <c r="I439" s="38">
        <f>VLOOKUP(H439,'Sheet A'!H439:Z1049,2,)</f>
        <v>4</v>
      </c>
      <c r="J439" s="41" t="str">
        <f>VLOOKUP(I439,'Sheet A'!I439:AA1049,2,)</f>
        <v>Wednesday</v>
      </c>
      <c r="K439" s="38">
        <f>VLOOKUP(J439,'Sheet A'!J439:AB1049,2,)</f>
        <v>1</v>
      </c>
      <c r="L439" s="38">
        <f>VLOOKUP(K439,'Sheet A'!K439:AC1049,2,)</f>
        <v>0.22</v>
      </c>
      <c r="M439" s="70" t="str">
        <f>VLOOKUP(L439,'Sheet A'!L439:AD1049,2,)</f>
        <v>Cloudy</v>
      </c>
      <c r="N439" s="38">
        <f>VLOOKUP(M439,'Sheet A'!M439:AE1049,2,)</f>
        <v>0.21210000000000001</v>
      </c>
      <c r="O439" s="38">
        <f>VLOOKUP(N439,'Sheet A'!N439:AF1049,2,)</f>
        <v>0.6</v>
      </c>
      <c r="P439" s="38">
        <f>VLOOKUP(O439,'Sheet A'!O439:AG1049,2,)</f>
        <v>0.22389999999999999</v>
      </c>
      <c r="Q439" s="38">
        <f>VLOOKUP(P439,'Sheet A'!P439:AH1049,2,)</f>
        <v>0</v>
      </c>
      <c r="R439" s="38">
        <f>VLOOKUP(Q439,'Sheet A'!Q439:AI1049,2,)</f>
        <v>35</v>
      </c>
      <c r="S439" s="38">
        <f>VLOOKUP(R439,'Sheet A'!R439:AJ1049,2,)</f>
        <v>35</v>
      </c>
    </row>
    <row r="440" spans="1:19" x14ac:dyDescent="0.35">
      <c r="A440" s="37">
        <v>439</v>
      </c>
      <c r="B440" s="60">
        <f>VLOOKUP(A440,'Sheet A'!A440:S1050,2,)</f>
        <v>40563</v>
      </c>
      <c r="C440" s="38">
        <f>VLOOKUP(B440,'Sheet A'!B440:T1050,2,)</f>
        <v>1</v>
      </c>
      <c r="D440" s="38">
        <f>VLOOKUP(C440,'Sheet A'!C440:U1050,2,)</f>
        <v>0</v>
      </c>
      <c r="E440" s="38">
        <f>VLOOKUP(D440,'Sheet A'!D440:V1050,2,)</f>
        <v>1</v>
      </c>
      <c r="F440" s="38">
        <f>VLOOKUP(E440,'Sheet A'!E440:W1050,2,)</f>
        <v>7</v>
      </c>
      <c r="G440" s="41" t="str">
        <f>VLOOKUP(F440,'Sheet A'!F440:X1050,2,)</f>
        <v>Morning</v>
      </c>
      <c r="H440" s="38" t="b">
        <f>VLOOKUP(G440,'Sheet A'!G440:Y1050,2,)</f>
        <v>0</v>
      </c>
      <c r="I440" s="38">
        <f>VLOOKUP(H440,'Sheet A'!H440:Z1050,2,)</f>
        <v>4</v>
      </c>
      <c r="J440" s="41" t="str">
        <f>VLOOKUP(I440,'Sheet A'!I440:AA1050,2,)</f>
        <v>Wednesday</v>
      </c>
      <c r="K440" s="38">
        <f>VLOOKUP(J440,'Sheet A'!J440:AB1050,2,)</f>
        <v>1</v>
      </c>
      <c r="L440" s="38">
        <f>VLOOKUP(K440,'Sheet A'!K440:AC1050,2,)</f>
        <v>0.22</v>
      </c>
      <c r="M440" s="70" t="str">
        <f>VLOOKUP(L440,'Sheet A'!L440:AD1050,2,)</f>
        <v>Cloudy</v>
      </c>
      <c r="N440" s="38">
        <f>VLOOKUP(M440,'Sheet A'!M440:AE1050,2,)</f>
        <v>0.21210000000000001</v>
      </c>
      <c r="O440" s="38">
        <f>VLOOKUP(N440,'Sheet A'!N440:AF1050,2,)</f>
        <v>0.55000000000000004</v>
      </c>
      <c r="P440" s="38">
        <f>VLOOKUP(O440,'Sheet A'!O440:AG1050,2,)</f>
        <v>0.22389999999999999</v>
      </c>
      <c r="Q440" s="38">
        <f>VLOOKUP(P440,'Sheet A'!P440:AH1050,2,)</f>
        <v>1</v>
      </c>
      <c r="R440" s="38">
        <f>VLOOKUP(Q440,'Sheet A'!Q440:AI1050,2,)</f>
        <v>100</v>
      </c>
      <c r="S440" s="38">
        <f>VLOOKUP(R440,'Sheet A'!R440:AJ1050,2,)</f>
        <v>101</v>
      </c>
    </row>
    <row r="441" spans="1:19" x14ac:dyDescent="0.35">
      <c r="A441" s="37">
        <v>440</v>
      </c>
      <c r="B441" s="60">
        <f>VLOOKUP(A441,'Sheet A'!A441:S1051,2,)</f>
        <v>40563</v>
      </c>
      <c r="C441" s="38">
        <f>VLOOKUP(B441,'Sheet A'!B441:T1051,2,)</f>
        <v>1</v>
      </c>
      <c r="D441" s="38">
        <f>VLOOKUP(C441,'Sheet A'!C441:U1051,2,)</f>
        <v>0</v>
      </c>
      <c r="E441" s="38">
        <f>VLOOKUP(D441,'Sheet A'!D441:V1051,2,)</f>
        <v>1</v>
      </c>
      <c r="F441" s="38">
        <f>VLOOKUP(E441,'Sheet A'!E441:W1051,2,)</f>
        <v>8</v>
      </c>
      <c r="G441" s="41" t="str">
        <f>VLOOKUP(F441,'Sheet A'!F441:X1051,2,)</f>
        <v>Morning</v>
      </c>
      <c r="H441" s="38" t="b">
        <f>VLOOKUP(G441,'Sheet A'!G441:Y1051,2,)</f>
        <v>0</v>
      </c>
      <c r="I441" s="38">
        <f>VLOOKUP(H441,'Sheet A'!H441:Z1051,2,)</f>
        <v>4</v>
      </c>
      <c r="J441" s="41" t="str">
        <f>VLOOKUP(I441,'Sheet A'!I441:AA1051,2,)</f>
        <v>Wednesday</v>
      </c>
      <c r="K441" s="38">
        <f>VLOOKUP(J441,'Sheet A'!J441:AB1051,2,)</f>
        <v>1</v>
      </c>
      <c r="L441" s="38">
        <f>VLOOKUP(K441,'Sheet A'!K441:AC1051,2,)</f>
        <v>0.22</v>
      </c>
      <c r="M441" s="70" t="str">
        <f>VLOOKUP(L441,'Sheet A'!L441:AD1051,2,)</f>
        <v>Cloudy</v>
      </c>
      <c r="N441" s="38">
        <f>VLOOKUP(M441,'Sheet A'!M441:AE1051,2,)</f>
        <v>0.21210000000000001</v>
      </c>
      <c r="O441" s="38">
        <f>VLOOKUP(N441,'Sheet A'!N441:AF1051,2,)</f>
        <v>0.55000000000000004</v>
      </c>
      <c r="P441" s="38">
        <f>VLOOKUP(O441,'Sheet A'!O441:AG1051,2,)</f>
        <v>0.28360000000000002</v>
      </c>
      <c r="Q441" s="38">
        <f>VLOOKUP(P441,'Sheet A'!P441:AH1051,2,)</f>
        <v>2</v>
      </c>
      <c r="R441" s="38">
        <f>VLOOKUP(Q441,'Sheet A'!Q441:AI1051,2,)</f>
        <v>247</v>
      </c>
      <c r="S441" s="38">
        <f>VLOOKUP(R441,'Sheet A'!R441:AJ1051,2,)</f>
        <v>249</v>
      </c>
    </row>
    <row r="442" spans="1:19" x14ac:dyDescent="0.35">
      <c r="A442" s="37">
        <v>441</v>
      </c>
      <c r="B442" s="60">
        <f>VLOOKUP(A442,'Sheet A'!A442:S1052,2,)</f>
        <v>40563</v>
      </c>
      <c r="C442" s="38">
        <f>VLOOKUP(B442,'Sheet A'!B442:T1052,2,)</f>
        <v>1</v>
      </c>
      <c r="D442" s="38">
        <f>VLOOKUP(C442,'Sheet A'!C442:U1052,2,)</f>
        <v>0</v>
      </c>
      <c r="E442" s="38">
        <f>VLOOKUP(D442,'Sheet A'!D442:V1052,2,)</f>
        <v>1</v>
      </c>
      <c r="F442" s="38">
        <f>VLOOKUP(E442,'Sheet A'!E442:W1052,2,)</f>
        <v>9</v>
      </c>
      <c r="G442" s="41" t="str">
        <f>VLOOKUP(F442,'Sheet A'!F442:X1052,2,)</f>
        <v>Morning</v>
      </c>
      <c r="H442" s="38" t="b">
        <f>VLOOKUP(G442,'Sheet A'!G442:Y1052,2,)</f>
        <v>0</v>
      </c>
      <c r="I442" s="38">
        <f>VLOOKUP(H442,'Sheet A'!H442:Z1052,2,)</f>
        <v>4</v>
      </c>
      <c r="J442" s="41" t="str">
        <f>VLOOKUP(I442,'Sheet A'!I442:AA1052,2,)</f>
        <v>Wednesday</v>
      </c>
      <c r="K442" s="38">
        <f>VLOOKUP(J442,'Sheet A'!J442:AB1052,2,)</f>
        <v>2</v>
      </c>
      <c r="L442" s="38">
        <f>VLOOKUP(K442,'Sheet A'!K442:AC1052,2,)</f>
        <v>0.24</v>
      </c>
      <c r="M442" s="70" t="str">
        <f>VLOOKUP(L442,'Sheet A'!L442:AD1052,2,)</f>
        <v>Cloudy</v>
      </c>
      <c r="N442" s="38">
        <f>VLOOKUP(M442,'Sheet A'!M442:AE1052,2,)</f>
        <v>0.2273</v>
      </c>
      <c r="O442" s="38">
        <f>VLOOKUP(N442,'Sheet A'!N442:AF1052,2,)</f>
        <v>0.52</v>
      </c>
      <c r="P442" s="38">
        <f>VLOOKUP(O442,'Sheet A'!O442:AG1052,2,)</f>
        <v>0.22389999999999999</v>
      </c>
      <c r="Q442" s="38">
        <f>VLOOKUP(P442,'Sheet A'!P442:AH1052,2,)</f>
        <v>3</v>
      </c>
      <c r="R442" s="38">
        <f>VLOOKUP(Q442,'Sheet A'!Q442:AI1052,2,)</f>
        <v>140</v>
      </c>
      <c r="S442" s="38">
        <f>VLOOKUP(R442,'Sheet A'!R442:AJ1052,2,)</f>
        <v>143</v>
      </c>
    </row>
    <row r="443" spans="1:19" x14ac:dyDescent="0.35">
      <c r="A443" s="37">
        <v>442</v>
      </c>
      <c r="B443" s="60">
        <f>VLOOKUP(A443,'Sheet A'!A443:S1053,2,)</f>
        <v>40563</v>
      </c>
      <c r="C443" s="38">
        <f>VLOOKUP(B443,'Sheet A'!B443:T1053,2,)</f>
        <v>1</v>
      </c>
      <c r="D443" s="38">
        <f>VLOOKUP(C443,'Sheet A'!C443:U1053,2,)</f>
        <v>0</v>
      </c>
      <c r="E443" s="38">
        <f>VLOOKUP(D443,'Sheet A'!D443:V1053,2,)</f>
        <v>1</v>
      </c>
      <c r="F443" s="38">
        <f>VLOOKUP(E443,'Sheet A'!E443:W1053,2,)</f>
        <v>10</v>
      </c>
      <c r="G443" s="41" t="str">
        <f>VLOOKUP(F443,'Sheet A'!F443:X1053,2,)</f>
        <v>Morning</v>
      </c>
      <c r="H443" s="38" t="b">
        <f>VLOOKUP(G443,'Sheet A'!G443:Y1053,2,)</f>
        <v>0</v>
      </c>
      <c r="I443" s="38">
        <f>VLOOKUP(H443,'Sheet A'!H443:Z1053,2,)</f>
        <v>4</v>
      </c>
      <c r="J443" s="41" t="str">
        <f>VLOOKUP(I443,'Sheet A'!I443:AA1053,2,)</f>
        <v>Wednesday</v>
      </c>
      <c r="K443" s="38">
        <f>VLOOKUP(J443,'Sheet A'!J443:AB1053,2,)</f>
        <v>1</v>
      </c>
      <c r="L443" s="38">
        <f>VLOOKUP(K443,'Sheet A'!K443:AC1053,2,)</f>
        <v>0.26</v>
      </c>
      <c r="M443" s="70" t="str">
        <f>VLOOKUP(L443,'Sheet A'!L443:AD1053,2,)</f>
        <v>Cloudy</v>
      </c>
      <c r="N443" s="38">
        <f>VLOOKUP(M443,'Sheet A'!M443:AE1053,2,)</f>
        <v>0.2273</v>
      </c>
      <c r="O443" s="38">
        <f>VLOOKUP(N443,'Sheet A'!N443:AF1053,2,)</f>
        <v>0.48</v>
      </c>
      <c r="P443" s="38">
        <f>VLOOKUP(O443,'Sheet A'!O443:AG1053,2,)</f>
        <v>0.29849999999999999</v>
      </c>
      <c r="Q443" s="38">
        <f>VLOOKUP(P443,'Sheet A'!P443:AH1053,2,)</f>
        <v>1</v>
      </c>
      <c r="R443" s="38">
        <f>VLOOKUP(Q443,'Sheet A'!Q443:AI1053,2,)</f>
        <v>56</v>
      </c>
      <c r="S443" s="38">
        <f>VLOOKUP(R443,'Sheet A'!R443:AJ1053,2,)</f>
        <v>57</v>
      </c>
    </row>
    <row r="444" spans="1:19" x14ac:dyDescent="0.35">
      <c r="A444" s="37">
        <v>443</v>
      </c>
      <c r="B444" s="60">
        <f>VLOOKUP(A444,'Sheet A'!A444:S1054,2,)</f>
        <v>40563</v>
      </c>
      <c r="C444" s="38">
        <f>VLOOKUP(B444,'Sheet A'!B444:T1054,2,)</f>
        <v>1</v>
      </c>
      <c r="D444" s="38">
        <f>VLOOKUP(C444,'Sheet A'!C444:U1054,2,)</f>
        <v>0</v>
      </c>
      <c r="E444" s="38">
        <f>VLOOKUP(D444,'Sheet A'!D444:V1054,2,)</f>
        <v>1</v>
      </c>
      <c r="F444" s="38">
        <f>VLOOKUP(E444,'Sheet A'!E444:W1054,2,)</f>
        <v>11</v>
      </c>
      <c r="G444" s="41" t="str">
        <f>VLOOKUP(F444,'Sheet A'!F444:X1054,2,)</f>
        <v>Morning</v>
      </c>
      <c r="H444" s="38" t="b">
        <f>VLOOKUP(G444,'Sheet A'!G444:Y1054,2,)</f>
        <v>0</v>
      </c>
      <c r="I444" s="38">
        <f>VLOOKUP(H444,'Sheet A'!H444:Z1054,2,)</f>
        <v>4</v>
      </c>
      <c r="J444" s="41" t="str">
        <f>VLOOKUP(I444,'Sheet A'!I444:AA1054,2,)</f>
        <v>Wednesday</v>
      </c>
      <c r="K444" s="38">
        <f>VLOOKUP(J444,'Sheet A'!J444:AB1054,2,)</f>
        <v>2</v>
      </c>
      <c r="L444" s="38">
        <f>VLOOKUP(K444,'Sheet A'!K444:AC1054,2,)</f>
        <v>0.28000000000000003</v>
      </c>
      <c r="M444" s="70" t="str">
        <f>VLOOKUP(L444,'Sheet A'!L444:AD1054,2,)</f>
        <v>Cloudy</v>
      </c>
      <c r="N444" s="38">
        <f>VLOOKUP(M444,'Sheet A'!M444:AE1054,2,)</f>
        <v>0.2727</v>
      </c>
      <c r="O444" s="38">
        <f>VLOOKUP(N444,'Sheet A'!N444:AF1054,2,)</f>
        <v>0.45</v>
      </c>
      <c r="P444" s="38">
        <f>VLOOKUP(O444,'Sheet A'!O444:AG1054,2,)</f>
        <v>0.16420000000000001</v>
      </c>
      <c r="Q444" s="38">
        <f>VLOOKUP(P444,'Sheet A'!P444:AH1054,2,)</f>
        <v>5</v>
      </c>
      <c r="R444" s="38">
        <f>VLOOKUP(Q444,'Sheet A'!Q444:AI1054,2,)</f>
        <v>63</v>
      </c>
      <c r="S444" s="38">
        <f>VLOOKUP(R444,'Sheet A'!R444:AJ1054,2,)</f>
        <v>68</v>
      </c>
    </row>
    <row r="445" spans="1:19" x14ac:dyDescent="0.35">
      <c r="A445" s="37">
        <v>444</v>
      </c>
      <c r="B445" s="60">
        <f>VLOOKUP(A445,'Sheet A'!A445:S1055,2,)</f>
        <v>40563</v>
      </c>
      <c r="C445" s="38">
        <f>VLOOKUP(B445,'Sheet A'!B445:T1055,2,)</f>
        <v>1</v>
      </c>
      <c r="D445" s="38">
        <f>VLOOKUP(C445,'Sheet A'!C445:U1055,2,)</f>
        <v>0</v>
      </c>
      <c r="E445" s="38">
        <f>VLOOKUP(D445,'Sheet A'!D445:V1055,2,)</f>
        <v>1</v>
      </c>
      <c r="F445" s="38">
        <f>VLOOKUP(E445,'Sheet A'!E445:W1055,2,)</f>
        <v>12</v>
      </c>
      <c r="G445" s="41" t="str">
        <f>VLOOKUP(F445,'Sheet A'!F445:X1055,2,)</f>
        <v>AfterNoon</v>
      </c>
      <c r="H445" s="38" t="b">
        <f>VLOOKUP(G445,'Sheet A'!G445:Y1055,2,)</f>
        <v>0</v>
      </c>
      <c r="I445" s="38">
        <f>VLOOKUP(H445,'Sheet A'!H445:Z1055,2,)</f>
        <v>4</v>
      </c>
      <c r="J445" s="41" t="str">
        <f>VLOOKUP(I445,'Sheet A'!I445:AA1055,2,)</f>
        <v>Wednesday</v>
      </c>
      <c r="K445" s="38">
        <f>VLOOKUP(J445,'Sheet A'!J445:AB1055,2,)</f>
        <v>2</v>
      </c>
      <c r="L445" s="38">
        <f>VLOOKUP(K445,'Sheet A'!K445:AC1055,2,)</f>
        <v>0.3</v>
      </c>
      <c r="M445" s="70" t="str">
        <f>VLOOKUP(L445,'Sheet A'!L445:AD1055,2,)</f>
        <v>Cloudy</v>
      </c>
      <c r="N445" s="38">
        <f>VLOOKUP(M445,'Sheet A'!M445:AE1055,2,)</f>
        <v>0.33329999999999999</v>
      </c>
      <c r="O445" s="38">
        <f>VLOOKUP(N445,'Sheet A'!N445:AF1055,2,)</f>
        <v>0.42</v>
      </c>
      <c r="P445" s="38">
        <f>VLOOKUP(O445,'Sheet A'!O445:AG1055,2,)</f>
        <v>0</v>
      </c>
      <c r="Q445" s="38">
        <f>VLOOKUP(P445,'Sheet A'!P445:AH1055,2,)</f>
        <v>7</v>
      </c>
      <c r="R445" s="38">
        <f>VLOOKUP(Q445,'Sheet A'!Q445:AI1055,2,)</f>
        <v>77</v>
      </c>
      <c r="S445" s="38">
        <f>VLOOKUP(R445,'Sheet A'!R445:AJ1055,2,)</f>
        <v>84</v>
      </c>
    </row>
    <row r="446" spans="1:19" x14ac:dyDescent="0.35">
      <c r="A446" s="37">
        <v>445</v>
      </c>
      <c r="B446" s="60">
        <f>VLOOKUP(A446,'Sheet A'!A446:S1056,2,)</f>
        <v>40563</v>
      </c>
      <c r="C446" s="38">
        <f>VLOOKUP(B446,'Sheet A'!B446:T1056,2,)</f>
        <v>1</v>
      </c>
      <c r="D446" s="38">
        <f>VLOOKUP(C446,'Sheet A'!C446:U1056,2,)</f>
        <v>0</v>
      </c>
      <c r="E446" s="38">
        <f>VLOOKUP(D446,'Sheet A'!D446:V1056,2,)</f>
        <v>1</v>
      </c>
      <c r="F446" s="38">
        <f>VLOOKUP(E446,'Sheet A'!E446:W1056,2,)</f>
        <v>13</v>
      </c>
      <c r="G446" s="41" t="str">
        <f>VLOOKUP(F446,'Sheet A'!F446:X1056,2,)</f>
        <v>AfterNoon</v>
      </c>
      <c r="H446" s="38" t="b">
        <f>VLOOKUP(G446,'Sheet A'!G446:Y1056,2,)</f>
        <v>0</v>
      </c>
      <c r="I446" s="38">
        <f>VLOOKUP(H446,'Sheet A'!H446:Z1056,2,)</f>
        <v>4</v>
      </c>
      <c r="J446" s="41" t="str">
        <f>VLOOKUP(I446,'Sheet A'!I446:AA1056,2,)</f>
        <v>Wednesday</v>
      </c>
      <c r="K446" s="38">
        <f>VLOOKUP(J446,'Sheet A'!J446:AB1056,2,)</f>
        <v>2</v>
      </c>
      <c r="L446" s="38">
        <f>VLOOKUP(K446,'Sheet A'!K446:AC1056,2,)</f>
        <v>0.28000000000000003</v>
      </c>
      <c r="M446" s="70" t="str">
        <f>VLOOKUP(L446,'Sheet A'!L446:AD1056,2,)</f>
        <v>Cloudy</v>
      </c>
      <c r="N446" s="38">
        <f>VLOOKUP(M446,'Sheet A'!M446:AE1056,2,)</f>
        <v>0.28789999999999999</v>
      </c>
      <c r="O446" s="38">
        <f>VLOOKUP(N446,'Sheet A'!N446:AF1056,2,)</f>
        <v>0.45</v>
      </c>
      <c r="P446" s="38">
        <f>VLOOKUP(O446,'Sheet A'!O446:AG1056,2,)</f>
        <v>0.1045</v>
      </c>
      <c r="Q446" s="38">
        <f>VLOOKUP(P446,'Sheet A'!P446:AH1056,2,)</f>
        <v>12</v>
      </c>
      <c r="R446" s="38">
        <f>VLOOKUP(Q446,'Sheet A'!Q446:AI1056,2,)</f>
        <v>86</v>
      </c>
      <c r="S446" s="38">
        <f>VLOOKUP(R446,'Sheet A'!R446:AJ1056,2,)</f>
        <v>98</v>
      </c>
    </row>
    <row r="447" spans="1:19" x14ac:dyDescent="0.35">
      <c r="A447" s="37">
        <v>446</v>
      </c>
      <c r="B447" s="60">
        <f>VLOOKUP(A447,'Sheet A'!A447:S1057,2,)</f>
        <v>40563</v>
      </c>
      <c r="C447" s="38">
        <f>VLOOKUP(B447,'Sheet A'!B447:T1057,2,)</f>
        <v>1</v>
      </c>
      <c r="D447" s="38">
        <f>VLOOKUP(C447,'Sheet A'!C447:U1057,2,)</f>
        <v>0</v>
      </c>
      <c r="E447" s="38">
        <f>VLOOKUP(D447,'Sheet A'!D447:V1057,2,)</f>
        <v>1</v>
      </c>
      <c r="F447" s="38">
        <f>VLOOKUP(E447,'Sheet A'!E447:W1057,2,)</f>
        <v>14</v>
      </c>
      <c r="G447" s="41" t="str">
        <f>VLOOKUP(F447,'Sheet A'!F447:X1057,2,)</f>
        <v>AfterNoon</v>
      </c>
      <c r="H447" s="38" t="b">
        <f>VLOOKUP(G447,'Sheet A'!G447:Y1057,2,)</f>
        <v>0</v>
      </c>
      <c r="I447" s="38">
        <f>VLOOKUP(H447,'Sheet A'!H447:Z1057,2,)</f>
        <v>4</v>
      </c>
      <c r="J447" s="41" t="str">
        <f>VLOOKUP(I447,'Sheet A'!I447:AA1057,2,)</f>
        <v>Wednesday</v>
      </c>
      <c r="K447" s="38">
        <f>VLOOKUP(J447,'Sheet A'!J447:AB1057,2,)</f>
        <v>2</v>
      </c>
      <c r="L447" s="38">
        <f>VLOOKUP(K447,'Sheet A'!K447:AC1057,2,)</f>
        <v>0.3</v>
      </c>
      <c r="M447" s="70" t="str">
        <f>VLOOKUP(L447,'Sheet A'!L447:AD1057,2,)</f>
        <v>Cloudy</v>
      </c>
      <c r="N447" s="38">
        <f>VLOOKUP(M447,'Sheet A'!M447:AE1057,2,)</f>
        <v>0.30299999999999999</v>
      </c>
      <c r="O447" s="38">
        <f>VLOOKUP(N447,'Sheet A'!N447:AF1057,2,)</f>
        <v>0.45</v>
      </c>
      <c r="P447" s="38">
        <f>VLOOKUP(O447,'Sheet A'!O447:AG1057,2,)</f>
        <v>0.1343</v>
      </c>
      <c r="Q447" s="38">
        <f>VLOOKUP(P447,'Sheet A'!P447:AH1057,2,)</f>
        <v>6</v>
      </c>
      <c r="R447" s="38">
        <f>VLOOKUP(Q447,'Sheet A'!Q447:AI1057,2,)</f>
        <v>75</v>
      </c>
      <c r="S447" s="38">
        <f>VLOOKUP(R447,'Sheet A'!R447:AJ1057,2,)</f>
        <v>81</v>
      </c>
    </row>
    <row r="448" spans="1:19" x14ac:dyDescent="0.35">
      <c r="A448" s="37">
        <v>447</v>
      </c>
      <c r="B448" s="60">
        <f>VLOOKUP(A448,'Sheet A'!A448:S1058,2,)</f>
        <v>40563</v>
      </c>
      <c r="C448" s="38">
        <f>VLOOKUP(B448,'Sheet A'!B448:T1058,2,)</f>
        <v>1</v>
      </c>
      <c r="D448" s="38">
        <f>VLOOKUP(C448,'Sheet A'!C448:U1058,2,)</f>
        <v>0</v>
      </c>
      <c r="E448" s="38">
        <f>VLOOKUP(D448,'Sheet A'!D448:V1058,2,)</f>
        <v>1</v>
      </c>
      <c r="F448" s="38">
        <f>VLOOKUP(E448,'Sheet A'!E448:W1058,2,)</f>
        <v>15</v>
      </c>
      <c r="G448" s="41" t="str">
        <f>VLOOKUP(F448,'Sheet A'!F448:X1058,2,)</f>
        <v>AfterNoon</v>
      </c>
      <c r="H448" s="38" t="b">
        <f>VLOOKUP(G448,'Sheet A'!G448:Y1058,2,)</f>
        <v>0</v>
      </c>
      <c r="I448" s="38">
        <f>VLOOKUP(H448,'Sheet A'!H448:Z1058,2,)</f>
        <v>4</v>
      </c>
      <c r="J448" s="41" t="str">
        <f>VLOOKUP(I448,'Sheet A'!I448:AA1058,2,)</f>
        <v>Wednesday</v>
      </c>
      <c r="K448" s="38">
        <f>VLOOKUP(J448,'Sheet A'!J448:AB1058,2,)</f>
        <v>2</v>
      </c>
      <c r="L448" s="38">
        <f>VLOOKUP(K448,'Sheet A'!K448:AC1058,2,)</f>
        <v>0.32</v>
      </c>
      <c r="M448" s="70" t="str">
        <f>VLOOKUP(L448,'Sheet A'!L448:AD1058,2,)</f>
        <v>Sunny</v>
      </c>
      <c r="N448" s="38">
        <f>VLOOKUP(M448,'Sheet A'!M448:AE1058,2,)</f>
        <v>0.31819999999999998</v>
      </c>
      <c r="O448" s="38">
        <f>VLOOKUP(N448,'Sheet A'!N448:AF1058,2,)</f>
        <v>0.45</v>
      </c>
      <c r="P448" s="38">
        <f>VLOOKUP(O448,'Sheet A'!O448:AG1058,2,)</f>
        <v>0.19400000000000001</v>
      </c>
      <c r="Q448" s="38">
        <f>VLOOKUP(P448,'Sheet A'!P448:AH1058,2,)</f>
        <v>8</v>
      </c>
      <c r="R448" s="38">
        <f>VLOOKUP(Q448,'Sheet A'!Q448:AI1058,2,)</f>
        <v>62</v>
      </c>
      <c r="S448" s="38">
        <f>VLOOKUP(R448,'Sheet A'!R448:AJ1058,2,)</f>
        <v>70</v>
      </c>
    </row>
    <row r="449" spans="1:19" x14ac:dyDescent="0.35">
      <c r="A449" s="37">
        <v>448</v>
      </c>
      <c r="B449" s="60">
        <f>VLOOKUP(A449,'Sheet A'!A449:S1059,2,)</f>
        <v>40563</v>
      </c>
      <c r="C449" s="38">
        <f>VLOOKUP(B449,'Sheet A'!B449:T1059,2,)</f>
        <v>1</v>
      </c>
      <c r="D449" s="38">
        <f>VLOOKUP(C449,'Sheet A'!C449:U1059,2,)</f>
        <v>0</v>
      </c>
      <c r="E449" s="38">
        <f>VLOOKUP(D449,'Sheet A'!D449:V1059,2,)</f>
        <v>1</v>
      </c>
      <c r="F449" s="38">
        <f>VLOOKUP(E449,'Sheet A'!E449:W1059,2,)</f>
        <v>16</v>
      </c>
      <c r="G449" s="41" t="str">
        <f>VLOOKUP(F449,'Sheet A'!F449:X1059,2,)</f>
        <v>AfterNoon</v>
      </c>
      <c r="H449" s="38" t="b">
        <f>VLOOKUP(G449,'Sheet A'!G449:Y1059,2,)</f>
        <v>0</v>
      </c>
      <c r="I449" s="38">
        <f>VLOOKUP(H449,'Sheet A'!H449:Z1059,2,)</f>
        <v>4</v>
      </c>
      <c r="J449" s="41" t="str">
        <f>VLOOKUP(I449,'Sheet A'!I449:AA1059,2,)</f>
        <v>Wednesday</v>
      </c>
      <c r="K449" s="38">
        <f>VLOOKUP(J449,'Sheet A'!J449:AB1059,2,)</f>
        <v>2</v>
      </c>
      <c r="L449" s="38">
        <f>VLOOKUP(K449,'Sheet A'!K449:AC1059,2,)</f>
        <v>0.3</v>
      </c>
      <c r="M449" s="70" t="str">
        <f>VLOOKUP(L449,'Sheet A'!L449:AD1059,2,)</f>
        <v>Cloudy</v>
      </c>
      <c r="N449" s="38">
        <f>VLOOKUP(M449,'Sheet A'!M449:AE1059,2,)</f>
        <v>0.30299999999999999</v>
      </c>
      <c r="O449" s="38">
        <f>VLOOKUP(N449,'Sheet A'!N449:AF1059,2,)</f>
        <v>0.49</v>
      </c>
      <c r="P449" s="38">
        <f>VLOOKUP(O449,'Sheet A'!O449:AG1059,2,)</f>
        <v>0.1343</v>
      </c>
      <c r="Q449" s="38">
        <f>VLOOKUP(P449,'Sheet A'!P449:AH1059,2,)</f>
        <v>8</v>
      </c>
      <c r="R449" s="38">
        <f>VLOOKUP(Q449,'Sheet A'!Q449:AI1059,2,)</f>
        <v>83</v>
      </c>
      <c r="S449" s="38">
        <f>VLOOKUP(R449,'Sheet A'!R449:AJ1059,2,)</f>
        <v>91</v>
      </c>
    </row>
    <row r="450" spans="1:19" x14ac:dyDescent="0.35">
      <c r="A450" s="37">
        <v>449</v>
      </c>
      <c r="B450" s="60">
        <f>VLOOKUP(A450,'Sheet A'!A450:S1060,2,)</f>
        <v>40563</v>
      </c>
      <c r="C450" s="38">
        <f>VLOOKUP(B450,'Sheet A'!B450:T1060,2,)</f>
        <v>1</v>
      </c>
      <c r="D450" s="38">
        <f>VLOOKUP(C450,'Sheet A'!C450:U1060,2,)</f>
        <v>0</v>
      </c>
      <c r="E450" s="38">
        <f>VLOOKUP(D450,'Sheet A'!D450:V1060,2,)</f>
        <v>1</v>
      </c>
      <c r="F450" s="38">
        <f>VLOOKUP(E450,'Sheet A'!E450:W1060,2,)</f>
        <v>17</v>
      </c>
      <c r="G450" s="41" t="str">
        <f>VLOOKUP(F450,'Sheet A'!F450:X1060,2,)</f>
        <v>Evening</v>
      </c>
      <c r="H450" s="38" t="b">
        <f>VLOOKUP(G450,'Sheet A'!G450:Y1060,2,)</f>
        <v>0</v>
      </c>
      <c r="I450" s="38">
        <f>VLOOKUP(H450,'Sheet A'!H450:Z1060,2,)</f>
        <v>4</v>
      </c>
      <c r="J450" s="41" t="str">
        <f>VLOOKUP(I450,'Sheet A'!I450:AA1060,2,)</f>
        <v>Wednesday</v>
      </c>
      <c r="K450" s="38">
        <f>VLOOKUP(J450,'Sheet A'!J450:AB1060,2,)</f>
        <v>2</v>
      </c>
      <c r="L450" s="38">
        <f>VLOOKUP(K450,'Sheet A'!K450:AC1060,2,)</f>
        <v>0.3</v>
      </c>
      <c r="M450" s="70" t="str">
        <f>VLOOKUP(L450,'Sheet A'!L450:AD1060,2,)</f>
        <v>Cloudy</v>
      </c>
      <c r="N450" s="38">
        <f>VLOOKUP(M450,'Sheet A'!M450:AE1060,2,)</f>
        <v>0.31819999999999998</v>
      </c>
      <c r="O450" s="38">
        <f>VLOOKUP(N450,'Sheet A'!N450:AF1060,2,)</f>
        <v>0.49</v>
      </c>
      <c r="P450" s="38">
        <f>VLOOKUP(O450,'Sheet A'!O450:AG1060,2,)</f>
        <v>0.1045</v>
      </c>
      <c r="Q450" s="38">
        <f>VLOOKUP(P450,'Sheet A'!P450:AH1060,2,)</f>
        <v>8</v>
      </c>
      <c r="R450" s="38">
        <f>VLOOKUP(Q450,'Sheet A'!Q450:AI1060,2,)</f>
        <v>207</v>
      </c>
      <c r="S450" s="38">
        <f>VLOOKUP(R450,'Sheet A'!R450:AJ1060,2,)</f>
        <v>215</v>
      </c>
    </row>
    <row r="451" spans="1:19" x14ac:dyDescent="0.35">
      <c r="A451" s="37">
        <v>450</v>
      </c>
      <c r="B451" s="60">
        <f>VLOOKUP(A451,'Sheet A'!A451:S1061,2,)</f>
        <v>40563</v>
      </c>
      <c r="C451" s="38">
        <f>VLOOKUP(B451,'Sheet A'!B451:T1061,2,)</f>
        <v>1</v>
      </c>
      <c r="D451" s="38">
        <f>VLOOKUP(C451,'Sheet A'!C451:U1061,2,)</f>
        <v>0</v>
      </c>
      <c r="E451" s="38">
        <f>VLOOKUP(D451,'Sheet A'!D451:V1061,2,)</f>
        <v>1</v>
      </c>
      <c r="F451" s="38">
        <f>VLOOKUP(E451,'Sheet A'!E451:W1061,2,)</f>
        <v>18</v>
      </c>
      <c r="G451" s="41" t="str">
        <f>VLOOKUP(F451,'Sheet A'!F451:X1061,2,)</f>
        <v>Evening</v>
      </c>
      <c r="H451" s="38" t="b">
        <f>VLOOKUP(G451,'Sheet A'!G451:Y1061,2,)</f>
        <v>0</v>
      </c>
      <c r="I451" s="38">
        <f>VLOOKUP(H451,'Sheet A'!H451:Z1061,2,)</f>
        <v>4</v>
      </c>
      <c r="J451" s="41" t="str">
        <f>VLOOKUP(I451,'Sheet A'!I451:AA1061,2,)</f>
        <v>Wednesday</v>
      </c>
      <c r="K451" s="38">
        <f>VLOOKUP(J451,'Sheet A'!J451:AB1061,2,)</f>
        <v>2</v>
      </c>
      <c r="L451" s="38">
        <f>VLOOKUP(K451,'Sheet A'!K451:AC1061,2,)</f>
        <v>0.26</v>
      </c>
      <c r="M451" s="70" t="str">
        <f>VLOOKUP(L451,'Sheet A'!L451:AD1061,2,)</f>
        <v>Cloudy</v>
      </c>
      <c r="N451" s="38">
        <f>VLOOKUP(M451,'Sheet A'!M451:AE1061,2,)</f>
        <v>0.2576</v>
      </c>
      <c r="O451" s="38">
        <f>VLOOKUP(N451,'Sheet A'!N451:AF1061,2,)</f>
        <v>0.56000000000000005</v>
      </c>
      <c r="P451" s="38">
        <f>VLOOKUP(O451,'Sheet A'!O451:AG1061,2,)</f>
        <v>0.19400000000000001</v>
      </c>
      <c r="Q451" s="38">
        <f>VLOOKUP(P451,'Sheet A'!P451:AH1061,2,)</f>
        <v>1</v>
      </c>
      <c r="R451" s="38">
        <f>VLOOKUP(Q451,'Sheet A'!Q451:AI1061,2,)</f>
        <v>184</v>
      </c>
      <c r="S451" s="38">
        <f>VLOOKUP(R451,'Sheet A'!R451:AJ1061,2,)</f>
        <v>185</v>
      </c>
    </row>
    <row r="452" spans="1:19" x14ac:dyDescent="0.35">
      <c r="A452" s="37">
        <v>451</v>
      </c>
      <c r="B452" s="60">
        <f>VLOOKUP(A452,'Sheet A'!A452:S1062,2,)</f>
        <v>40563</v>
      </c>
      <c r="C452" s="38">
        <f>VLOOKUP(B452,'Sheet A'!B452:T1062,2,)</f>
        <v>1</v>
      </c>
      <c r="D452" s="38">
        <f>VLOOKUP(C452,'Sheet A'!C452:U1062,2,)</f>
        <v>0</v>
      </c>
      <c r="E452" s="38">
        <f>VLOOKUP(D452,'Sheet A'!D452:V1062,2,)</f>
        <v>1</v>
      </c>
      <c r="F452" s="38">
        <f>VLOOKUP(E452,'Sheet A'!E452:W1062,2,)</f>
        <v>19</v>
      </c>
      <c r="G452" s="41" t="str">
        <f>VLOOKUP(F452,'Sheet A'!F452:X1062,2,)</f>
        <v>Evening</v>
      </c>
      <c r="H452" s="38" t="b">
        <f>VLOOKUP(G452,'Sheet A'!G452:Y1062,2,)</f>
        <v>0</v>
      </c>
      <c r="I452" s="38">
        <f>VLOOKUP(H452,'Sheet A'!H452:Z1062,2,)</f>
        <v>4</v>
      </c>
      <c r="J452" s="41" t="str">
        <f>VLOOKUP(I452,'Sheet A'!I452:AA1062,2,)</f>
        <v>Wednesday</v>
      </c>
      <c r="K452" s="38">
        <f>VLOOKUP(J452,'Sheet A'!J452:AB1062,2,)</f>
        <v>1</v>
      </c>
      <c r="L452" s="38">
        <f>VLOOKUP(K452,'Sheet A'!K452:AC1062,2,)</f>
        <v>0.26</v>
      </c>
      <c r="M452" s="70" t="str">
        <f>VLOOKUP(L452,'Sheet A'!L452:AD1062,2,)</f>
        <v>Cloudy</v>
      </c>
      <c r="N452" s="38">
        <f>VLOOKUP(M452,'Sheet A'!M452:AE1062,2,)</f>
        <v>0.2273</v>
      </c>
      <c r="O452" s="38">
        <f>VLOOKUP(N452,'Sheet A'!N452:AF1062,2,)</f>
        <v>0.56000000000000005</v>
      </c>
      <c r="P452" s="38">
        <f>VLOOKUP(O452,'Sheet A'!O452:AG1062,2,)</f>
        <v>0.32840000000000003</v>
      </c>
      <c r="Q452" s="38">
        <f>VLOOKUP(P452,'Sheet A'!P452:AH1062,2,)</f>
        <v>6</v>
      </c>
      <c r="R452" s="38">
        <f>VLOOKUP(Q452,'Sheet A'!Q452:AI1062,2,)</f>
        <v>146</v>
      </c>
      <c r="S452" s="38">
        <f>VLOOKUP(R452,'Sheet A'!R452:AJ1062,2,)</f>
        <v>152</v>
      </c>
    </row>
    <row r="453" spans="1:19" x14ac:dyDescent="0.35">
      <c r="A453" s="37">
        <v>452</v>
      </c>
      <c r="B453" s="60">
        <f>VLOOKUP(A453,'Sheet A'!A453:S1063,2,)</f>
        <v>40563</v>
      </c>
      <c r="C453" s="38">
        <f>VLOOKUP(B453,'Sheet A'!B453:T1063,2,)</f>
        <v>1</v>
      </c>
      <c r="D453" s="38">
        <f>VLOOKUP(C453,'Sheet A'!C453:U1063,2,)</f>
        <v>0</v>
      </c>
      <c r="E453" s="38">
        <f>VLOOKUP(D453,'Sheet A'!D453:V1063,2,)</f>
        <v>1</v>
      </c>
      <c r="F453" s="38">
        <f>VLOOKUP(E453,'Sheet A'!E453:W1063,2,)</f>
        <v>20</v>
      </c>
      <c r="G453" s="41" t="str">
        <f>VLOOKUP(F453,'Sheet A'!F453:X1063,2,)</f>
        <v>Night</v>
      </c>
      <c r="H453" s="38" t="b">
        <f>VLOOKUP(G453,'Sheet A'!G453:Y1063,2,)</f>
        <v>0</v>
      </c>
      <c r="I453" s="38">
        <f>VLOOKUP(H453,'Sheet A'!H453:Z1063,2,)</f>
        <v>4</v>
      </c>
      <c r="J453" s="41" t="str">
        <f>VLOOKUP(I453,'Sheet A'!I453:AA1063,2,)</f>
        <v>Wednesday</v>
      </c>
      <c r="K453" s="38">
        <f>VLOOKUP(J453,'Sheet A'!J453:AB1063,2,)</f>
        <v>2</v>
      </c>
      <c r="L453" s="38">
        <f>VLOOKUP(K453,'Sheet A'!K453:AC1063,2,)</f>
        <v>0.26</v>
      </c>
      <c r="M453" s="70" t="str">
        <f>VLOOKUP(L453,'Sheet A'!L453:AD1063,2,)</f>
        <v>Cloudy</v>
      </c>
      <c r="N453" s="38">
        <f>VLOOKUP(M453,'Sheet A'!M453:AE1063,2,)</f>
        <v>0.2424</v>
      </c>
      <c r="O453" s="38">
        <f>VLOOKUP(N453,'Sheet A'!N453:AF1063,2,)</f>
        <v>0.6</v>
      </c>
      <c r="P453" s="38">
        <f>VLOOKUP(O453,'Sheet A'!O453:AG1063,2,)</f>
        <v>0.28360000000000002</v>
      </c>
      <c r="Q453" s="38">
        <f>VLOOKUP(P453,'Sheet A'!P453:AH1063,2,)</f>
        <v>2</v>
      </c>
      <c r="R453" s="38">
        <f>VLOOKUP(Q453,'Sheet A'!Q453:AI1063,2,)</f>
        <v>124</v>
      </c>
      <c r="S453" s="38">
        <f>VLOOKUP(R453,'Sheet A'!R453:AJ1063,2,)</f>
        <v>126</v>
      </c>
    </row>
    <row r="454" spans="1:19" x14ac:dyDescent="0.35">
      <c r="A454" s="37">
        <v>453</v>
      </c>
      <c r="B454" s="60">
        <f>VLOOKUP(A454,'Sheet A'!A454:S1064,2,)</f>
        <v>40563</v>
      </c>
      <c r="C454" s="38">
        <f>VLOOKUP(B454,'Sheet A'!B454:T1064,2,)</f>
        <v>1</v>
      </c>
      <c r="D454" s="38">
        <f>VLOOKUP(C454,'Sheet A'!C454:U1064,2,)</f>
        <v>0</v>
      </c>
      <c r="E454" s="38">
        <f>VLOOKUP(D454,'Sheet A'!D454:V1064,2,)</f>
        <v>1</v>
      </c>
      <c r="F454" s="38">
        <f>VLOOKUP(E454,'Sheet A'!E454:W1064,2,)</f>
        <v>21</v>
      </c>
      <c r="G454" s="41" t="str">
        <f>VLOOKUP(F454,'Sheet A'!F454:X1064,2,)</f>
        <v>Night</v>
      </c>
      <c r="H454" s="38" t="b">
        <f>VLOOKUP(G454,'Sheet A'!G454:Y1064,2,)</f>
        <v>0</v>
      </c>
      <c r="I454" s="38">
        <f>VLOOKUP(H454,'Sheet A'!H454:Z1064,2,)</f>
        <v>4</v>
      </c>
      <c r="J454" s="41" t="str">
        <f>VLOOKUP(I454,'Sheet A'!I454:AA1064,2,)</f>
        <v>Wednesday</v>
      </c>
      <c r="K454" s="38">
        <f>VLOOKUP(J454,'Sheet A'!J454:AB1064,2,)</f>
        <v>2</v>
      </c>
      <c r="L454" s="38">
        <f>VLOOKUP(K454,'Sheet A'!K454:AC1064,2,)</f>
        <v>0.24</v>
      </c>
      <c r="M454" s="70" t="str">
        <f>VLOOKUP(L454,'Sheet A'!L454:AD1064,2,)</f>
        <v>Cloudy</v>
      </c>
      <c r="N454" s="38">
        <f>VLOOKUP(M454,'Sheet A'!M454:AE1064,2,)</f>
        <v>0.2273</v>
      </c>
      <c r="O454" s="38">
        <f>VLOOKUP(N454,'Sheet A'!N454:AF1064,2,)</f>
        <v>0.6</v>
      </c>
      <c r="P454" s="38">
        <f>VLOOKUP(O454,'Sheet A'!O454:AG1064,2,)</f>
        <v>0.25369999999999998</v>
      </c>
      <c r="Q454" s="38">
        <f>VLOOKUP(P454,'Sheet A'!P454:AH1064,2,)</f>
        <v>3</v>
      </c>
      <c r="R454" s="38">
        <f>VLOOKUP(Q454,'Sheet A'!Q454:AI1064,2,)</f>
        <v>54</v>
      </c>
      <c r="S454" s="38">
        <f>VLOOKUP(R454,'Sheet A'!R454:AJ1064,2,)</f>
        <v>57</v>
      </c>
    </row>
    <row r="455" spans="1:19" x14ac:dyDescent="0.35">
      <c r="A455" s="37">
        <v>454</v>
      </c>
      <c r="B455" s="60">
        <f>VLOOKUP(A455,'Sheet A'!A455:S1065,2,)</f>
        <v>40563</v>
      </c>
      <c r="C455" s="38">
        <f>VLOOKUP(B455,'Sheet A'!B455:T1065,2,)</f>
        <v>1</v>
      </c>
      <c r="D455" s="38">
        <f>VLOOKUP(C455,'Sheet A'!C455:U1065,2,)</f>
        <v>0</v>
      </c>
      <c r="E455" s="38">
        <f>VLOOKUP(D455,'Sheet A'!D455:V1065,2,)</f>
        <v>1</v>
      </c>
      <c r="F455" s="38">
        <f>VLOOKUP(E455,'Sheet A'!E455:W1065,2,)</f>
        <v>22</v>
      </c>
      <c r="G455" s="41" t="str">
        <f>VLOOKUP(F455,'Sheet A'!F455:X1065,2,)</f>
        <v>Night</v>
      </c>
      <c r="H455" s="38" t="b">
        <f>VLOOKUP(G455,'Sheet A'!G455:Y1065,2,)</f>
        <v>0</v>
      </c>
      <c r="I455" s="38">
        <f>VLOOKUP(H455,'Sheet A'!H455:Z1065,2,)</f>
        <v>4</v>
      </c>
      <c r="J455" s="41" t="str">
        <f>VLOOKUP(I455,'Sheet A'!I455:AA1065,2,)</f>
        <v>Wednesday</v>
      </c>
      <c r="K455" s="38">
        <f>VLOOKUP(J455,'Sheet A'!J455:AB1065,2,)</f>
        <v>2</v>
      </c>
      <c r="L455" s="38">
        <f>VLOOKUP(K455,'Sheet A'!K455:AC1065,2,)</f>
        <v>0.24</v>
      </c>
      <c r="M455" s="70" t="str">
        <f>VLOOKUP(L455,'Sheet A'!L455:AD1065,2,)</f>
        <v>Cloudy</v>
      </c>
      <c r="N455" s="38">
        <f>VLOOKUP(M455,'Sheet A'!M455:AE1065,2,)</f>
        <v>0.21210000000000001</v>
      </c>
      <c r="O455" s="38">
        <f>VLOOKUP(N455,'Sheet A'!N455:AF1065,2,)</f>
        <v>0.65</v>
      </c>
      <c r="P455" s="38">
        <f>VLOOKUP(O455,'Sheet A'!O455:AG1065,2,)</f>
        <v>0.28360000000000002</v>
      </c>
      <c r="Q455" s="38">
        <f>VLOOKUP(P455,'Sheet A'!P455:AH1065,2,)</f>
        <v>0</v>
      </c>
      <c r="R455" s="38">
        <f>VLOOKUP(Q455,'Sheet A'!Q455:AI1065,2,)</f>
        <v>56</v>
      </c>
      <c r="S455" s="38">
        <f>VLOOKUP(R455,'Sheet A'!R455:AJ1065,2,)</f>
        <v>56</v>
      </c>
    </row>
    <row r="456" spans="1:19" x14ac:dyDescent="0.35">
      <c r="A456" s="37">
        <v>455</v>
      </c>
      <c r="B456" s="60">
        <f>VLOOKUP(A456,'Sheet A'!A456:S1066,2,)</f>
        <v>40563</v>
      </c>
      <c r="C456" s="38">
        <f>VLOOKUP(B456,'Sheet A'!B456:T1066,2,)</f>
        <v>1</v>
      </c>
      <c r="D456" s="38">
        <f>VLOOKUP(C456,'Sheet A'!C456:U1066,2,)</f>
        <v>0</v>
      </c>
      <c r="E456" s="38">
        <f>VLOOKUP(D456,'Sheet A'!D456:V1066,2,)</f>
        <v>1</v>
      </c>
      <c r="F456" s="38">
        <f>VLOOKUP(E456,'Sheet A'!E456:W1066,2,)</f>
        <v>23</v>
      </c>
      <c r="G456" s="41" t="str">
        <f>VLOOKUP(F456,'Sheet A'!F456:X1066,2,)</f>
        <v>Night</v>
      </c>
      <c r="H456" s="38" t="b">
        <f>VLOOKUP(G456,'Sheet A'!G456:Y1066,2,)</f>
        <v>0</v>
      </c>
      <c r="I456" s="38">
        <f>VLOOKUP(H456,'Sheet A'!H456:Z1066,2,)</f>
        <v>4</v>
      </c>
      <c r="J456" s="41" t="str">
        <f>VLOOKUP(I456,'Sheet A'!I456:AA1066,2,)</f>
        <v>Wednesday</v>
      </c>
      <c r="K456" s="38">
        <f>VLOOKUP(J456,'Sheet A'!J456:AB1066,2,)</f>
        <v>2</v>
      </c>
      <c r="L456" s="38">
        <f>VLOOKUP(K456,'Sheet A'!K456:AC1066,2,)</f>
        <v>0.24</v>
      </c>
      <c r="M456" s="70" t="str">
        <f>VLOOKUP(L456,'Sheet A'!L456:AD1066,2,)</f>
        <v>Cloudy</v>
      </c>
      <c r="N456" s="38">
        <f>VLOOKUP(M456,'Sheet A'!M456:AE1066,2,)</f>
        <v>0.21210000000000001</v>
      </c>
      <c r="O456" s="38">
        <f>VLOOKUP(N456,'Sheet A'!N456:AF1066,2,)</f>
        <v>0.65</v>
      </c>
      <c r="P456" s="38">
        <f>VLOOKUP(O456,'Sheet A'!O456:AG1066,2,)</f>
        <v>0.32840000000000003</v>
      </c>
      <c r="Q456" s="38">
        <f>VLOOKUP(P456,'Sheet A'!P456:AH1066,2,)</f>
        <v>3</v>
      </c>
      <c r="R456" s="38">
        <f>VLOOKUP(Q456,'Sheet A'!Q456:AI1066,2,)</f>
        <v>28</v>
      </c>
      <c r="S456" s="38">
        <f>VLOOKUP(R456,'Sheet A'!R456:AJ1066,2,)</f>
        <v>31</v>
      </c>
    </row>
    <row r="457" spans="1:19" x14ac:dyDescent="0.35">
      <c r="A457" s="37">
        <v>456</v>
      </c>
      <c r="B457" s="60">
        <f>VLOOKUP(A457,'Sheet A'!A457:S1067,2,)</f>
        <v>40564</v>
      </c>
      <c r="C457" s="38">
        <f>VLOOKUP(B457,'Sheet A'!B457:T1067,2,)</f>
        <v>1</v>
      </c>
      <c r="D457" s="38">
        <f>VLOOKUP(C457,'Sheet A'!C457:U1067,2,)</f>
        <v>0</v>
      </c>
      <c r="E457" s="38">
        <f>VLOOKUP(D457,'Sheet A'!D457:V1067,2,)</f>
        <v>1</v>
      </c>
      <c r="F457" s="38">
        <f>VLOOKUP(E457,'Sheet A'!E457:W1067,2,)</f>
        <v>0</v>
      </c>
      <c r="G457" s="41" t="str">
        <f>VLOOKUP(F457,'Sheet A'!F457:X1067,2,)</f>
        <v>Night</v>
      </c>
      <c r="H457" s="38" t="b">
        <f>VLOOKUP(G457,'Sheet A'!G457:Y1067,2,)</f>
        <v>0</v>
      </c>
      <c r="I457" s="38">
        <f>VLOOKUP(H457,'Sheet A'!H457:Z1067,2,)</f>
        <v>5</v>
      </c>
      <c r="J457" s="41" t="str">
        <f>VLOOKUP(I457,'Sheet A'!I457:AA1067,2,)</f>
        <v>Thusday</v>
      </c>
      <c r="K457" s="38">
        <f>VLOOKUP(J457,'Sheet A'!J457:AB1067,2,)</f>
        <v>2</v>
      </c>
      <c r="L457" s="38">
        <f>VLOOKUP(K457,'Sheet A'!K457:AC1067,2,)</f>
        <v>0.24</v>
      </c>
      <c r="M457" s="70" t="str">
        <f>VLOOKUP(L457,'Sheet A'!L457:AD1067,2,)</f>
        <v>Cloudy</v>
      </c>
      <c r="N457" s="38">
        <f>VLOOKUP(M457,'Sheet A'!M457:AE1067,2,)</f>
        <v>0.2273</v>
      </c>
      <c r="O457" s="38">
        <f>VLOOKUP(N457,'Sheet A'!N457:AF1067,2,)</f>
        <v>0.7</v>
      </c>
      <c r="P457" s="38">
        <f>VLOOKUP(O457,'Sheet A'!O457:AG1067,2,)</f>
        <v>0.25369999999999998</v>
      </c>
      <c r="Q457" s="38">
        <f>VLOOKUP(P457,'Sheet A'!P457:AH1067,2,)</f>
        <v>1</v>
      </c>
      <c r="R457" s="38">
        <f>VLOOKUP(Q457,'Sheet A'!Q457:AI1067,2,)</f>
        <v>20</v>
      </c>
      <c r="S457" s="38">
        <f>VLOOKUP(R457,'Sheet A'!R457:AJ1067,2,)</f>
        <v>21</v>
      </c>
    </row>
    <row r="458" spans="1:19" x14ac:dyDescent="0.35">
      <c r="A458" s="37">
        <v>457</v>
      </c>
      <c r="B458" s="60">
        <f>VLOOKUP(A458,'Sheet A'!A458:S1068,2,)</f>
        <v>40564</v>
      </c>
      <c r="C458" s="38">
        <f>VLOOKUP(B458,'Sheet A'!B458:T1068,2,)</f>
        <v>1</v>
      </c>
      <c r="D458" s="38">
        <f>VLOOKUP(C458,'Sheet A'!C458:U1068,2,)</f>
        <v>0</v>
      </c>
      <c r="E458" s="38">
        <f>VLOOKUP(D458,'Sheet A'!D458:V1068,2,)</f>
        <v>1</v>
      </c>
      <c r="F458" s="38">
        <f>VLOOKUP(E458,'Sheet A'!E458:W1068,2,)</f>
        <v>1</v>
      </c>
      <c r="G458" s="41" t="str">
        <f>VLOOKUP(F458,'Sheet A'!F458:X1068,2,)</f>
        <v>Night</v>
      </c>
      <c r="H458" s="38" t="b">
        <f>VLOOKUP(G458,'Sheet A'!G458:Y1068,2,)</f>
        <v>0</v>
      </c>
      <c r="I458" s="38">
        <f>VLOOKUP(H458,'Sheet A'!H458:Z1068,2,)</f>
        <v>5</v>
      </c>
      <c r="J458" s="41" t="str">
        <f>VLOOKUP(I458,'Sheet A'!I458:AA1068,2,)</f>
        <v>Thusday</v>
      </c>
      <c r="K458" s="38">
        <f>VLOOKUP(J458,'Sheet A'!J458:AB1068,2,)</f>
        <v>2</v>
      </c>
      <c r="L458" s="38">
        <f>VLOOKUP(K458,'Sheet A'!K458:AC1068,2,)</f>
        <v>0.24</v>
      </c>
      <c r="M458" s="70" t="str">
        <f>VLOOKUP(L458,'Sheet A'!L458:AD1068,2,)</f>
        <v>Cloudy</v>
      </c>
      <c r="N458" s="38">
        <f>VLOOKUP(M458,'Sheet A'!M458:AE1068,2,)</f>
        <v>0.2273</v>
      </c>
      <c r="O458" s="38">
        <f>VLOOKUP(N458,'Sheet A'!N458:AF1068,2,)</f>
        <v>0.7</v>
      </c>
      <c r="P458" s="38">
        <f>VLOOKUP(O458,'Sheet A'!O458:AG1068,2,)</f>
        <v>0.25369999999999998</v>
      </c>
      <c r="Q458" s="38">
        <f>VLOOKUP(P458,'Sheet A'!P458:AH1068,2,)</f>
        <v>0</v>
      </c>
      <c r="R458" s="38">
        <f>VLOOKUP(Q458,'Sheet A'!Q458:AI1068,2,)</f>
        <v>6</v>
      </c>
      <c r="S458" s="38">
        <f>VLOOKUP(R458,'Sheet A'!R458:AJ1068,2,)</f>
        <v>6</v>
      </c>
    </row>
    <row r="459" spans="1:19" x14ac:dyDescent="0.35">
      <c r="A459" s="37">
        <v>458</v>
      </c>
      <c r="B459" s="60">
        <f>VLOOKUP(A459,'Sheet A'!A459:S1069,2,)</f>
        <v>40564</v>
      </c>
      <c r="C459" s="38">
        <f>VLOOKUP(B459,'Sheet A'!B459:T1069,2,)</f>
        <v>1</v>
      </c>
      <c r="D459" s="38">
        <f>VLOOKUP(C459,'Sheet A'!C459:U1069,2,)</f>
        <v>0</v>
      </c>
      <c r="E459" s="38">
        <f>VLOOKUP(D459,'Sheet A'!D459:V1069,2,)</f>
        <v>1</v>
      </c>
      <c r="F459" s="38">
        <f>VLOOKUP(E459,'Sheet A'!E459:W1069,2,)</f>
        <v>2</v>
      </c>
      <c r="G459" s="41" t="str">
        <f>VLOOKUP(F459,'Sheet A'!F459:X1069,2,)</f>
        <v>Night</v>
      </c>
      <c r="H459" s="38" t="b">
        <f>VLOOKUP(G459,'Sheet A'!G459:Y1069,2,)</f>
        <v>0</v>
      </c>
      <c r="I459" s="38">
        <f>VLOOKUP(H459,'Sheet A'!H459:Z1069,2,)</f>
        <v>5</v>
      </c>
      <c r="J459" s="41" t="str">
        <f>VLOOKUP(I459,'Sheet A'!I459:AA1069,2,)</f>
        <v>Thusday</v>
      </c>
      <c r="K459" s="38">
        <f>VLOOKUP(J459,'Sheet A'!J459:AB1069,2,)</f>
        <v>3</v>
      </c>
      <c r="L459" s="38">
        <f>VLOOKUP(K459,'Sheet A'!K459:AC1069,2,)</f>
        <v>0.24</v>
      </c>
      <c r="M459" s="70" t="str">
        <f>VLOOKUP(L459,'Sheet A'!L459:AD1069,2,)</f>
        <v>Cloudy</v>
      </c>
      <c r="N459" s="38">
        <f>VLOOKUP(M459,'Sheet A'!M459:AE1069,2,)</f>
        <v>0.2424</v>
      </c>
      <c r="O459" s="38">
        <f>VLOOKUP(N459,'Sheet A'!N459:AF1069,2,)</f>
        <v>0.75</v>
      </c>
      <c r="P459" s="38">
        <f>VLOOKUP(O459,'Sheet A'!O459:AG1069,2,)</f>
        <v>0.16420000000000001</v>
      </c>
      <c r="Q459" s="38">
        <f>VLOOKUP(P459,'Sheet A'!P459:AH1069,2,)</f>
        <v>0</v>
      </c>
      <c r="R459" s="38">
        <f>VLOOKUP(Q459,'Sheet A'!Q459:AI1069,2,)</f>
        <v>2</v>
      </c>
      <c r="S459" s="38">
        <f>VLOOKUP(R459,'Sheet A'!R459:AJ1069,2,)</f>
        <v>2</v>
      </c>
    </row>
    <row r="460" spans="1:19" x14ac:dyDescent="0.35">
      <c r="A460" s="37">
        <v>459</v>
      </c>
      <c r="B460" s="60">
        <f>VLOOKUP(A460,'Sheet A'!A460:S1070,2,)</f>
        <v>40564</v>
      </c>
      <c r="C460" s="38">
        <f>VLOOKUP(B460,'Sheet A'!B460:T1070,2,)</f>
        <v>1</v>
      </c>
      <c r="D460" s="38">
        <f>VLOOKUP(C460,'Sheet A'!C460:U1070,2,)</f>
        <v>0</v>
      </c>
      <c r="E460" s="38">
        <f>VLOOKUP(D460,'Sheet A'!D460:V1070,2,)</f>
        <v>1</v>
      </c>
      <c r="F460" s="38">
        <f>VLOOKUP(E460,'Sheet A'!E460:W1070,2,)</f>
        <v>3</v>
      </c>
      <c r="G460" s="41" t="str">
        <f>VLOOKUP(F460,'Sheet A'!F460:X1070,2,)</f>
        <v>Night</v>
      </c>
      <c r="H460" s="38" t="b">
        <f>VLOOKUP(G460,'Sheet A'!G460:Y1070,2,)</f>
        <v>0</v>
      </c>
      <c r="I460" s="38">
        <f>VLOOKUP(H460,'Sheet A'!H460:Z1070,2,)</f>
        <v>5</v>
      </c>
      <c r="J460" s="41" t="str">
        <f>VLOOKUP(I460,'Sheet A'!I460:AA1070,2,)</f>
        <v>Thusday</v>
      </c>
      <c r="K460" s="38">
        <f>VLOOKUP(J460,'Sheet A'!J460:AB1070,2,)</f>
        <v>3</v>
      </c>
      <c r="L460" s="38">
        <f>VLOOKUP(K460,'Sheet A'!K460:AC1070,2,)</f>
        <v>0.22</v>
      </c>
      <c r="M460" s="70" t="str">
        <f>VLOOKUP(L460,'Sheet A'!L460:AD1070,2,)</f>
        <v>Cloudy</v>
      </c>
      <c r="N460" s="38">
        <f>VLOOKUP(M460,'Sheet A'!M460:AE1070,2,)</f>
        <v>0.21210000000000001</v>
      </c>
      <c r="O460" s="38">
        <f>VLOOKUP(N460,'Sheet A'!N460:AF1070,2,)</f>
        <v>0.8</v>
      </c>
      <c r="P460" s="38">
        <f>VLOOKUP(O460,'Sheet A'!O460:AG1070,2,)</f>
        <v>0.29849999999999999</v>
      </c>
      <c r="Q460" s="38">
        <f>VLOOKUP(P460,'Sheet A'!P460:AH1070,2,)</f>
        <v>0</v>
      </c>
      <c r="R460" s="38">
        <f>VLOOKUP(Q460,'Sheet A'!Q460:AI1070,2,)</f>
        <v>1</v>
      </c>
      <c r="S460" s="38">
        <f>VLOOKUP(R460,'Sheet A'!R460:AJ1070,2,)</f>
        <v>1</v>
      </c>
    </row>
    <row r="461" spans="1:19" x14ac:dyDescent="0.35">
      <c r="A461" s="37">
        <v>460</v>
      </c>
      <c r="B461" s="60">
        <f>VLOOKUP(A461,'Sheet A'!A461:S1071,2,)</f>
        <v>40564</v>
      </c>
      <c r="C461" s="38">
        <f>VLOOKUP(B461,'Sheet A'!B461:T1071,2,)</f>
        <v>1</v>
      </c>
      <c r="D461" s="38">
        <f>VLOOKUP(C461,'Sheet A'!C461:U1071,2,)</f>
        <v>0</v>
      </c>
      <c r="E461" s="38">
        <f>VLOOKUP(D461,'Sheet A'!D461:V1071,2,)</f>
        <v>1</v>
      </c>
      <c r="F461" s="38">
        <f>VLOOKUP(E461,'Sheet A'!E461:W1071,2,)</f>
        <v>4</v>
      </c>
      <c r="G461" s="41" t="str">
        <f>VLOOKUP(F461,'Sheet A'!F461:X1071,2,)</f>
        <v>Night</v>
      </c>
      <c r="H461" s="38" t="b">
        <f>VLOOKUP(G461,'Sheet A'!G461:Y1071,2,)</f>
        <v>0</v>
      </c>
      <c r="I461" s="38">
        <f>VLOOKUP(H461,'Sheet A'!H461:Z1071,2,)</f>
        <v>5</v>
      </c>
      <c r="J461" s="41" t="str">
        <f>VLOOKUP(I461,'Sheet A'!I461:AA1071,2,)</f>
        <v>Thusday</v>
      </c>
      <c r="K461" s="38">
        <f>VLOOKUP(J461,'Sheet A'!J461:AB1071,2,)</f>
        <v>2</v>
      </c>
      <c r="L461" s="38">
        <f>VLOOKUP(K461,'Sheet A'!K461:AC1071,2,)</f>
        <v>0.22</v>
      </c>
      <c r="M461" s="70" t="str">
        <f>VLOOKUP(L461,'Sheet A'!L461:AD1071,2,)</f>
        <v>Cloudy</v>
      </c>
      <c r="N461" s="38">
        <f>VLOOKUP(M461,'Sheet A'!M461:AE1071,2,)</f>
        <v>0.2576</v>
      </c>
      <c r="O461" s="38">
        <f>VLOOKUP(N461,'Sheet A'!N461:AF1071,2,)</f>
        <v>0.87</v>
      </c>
      <c r="P461" s="38">
        <f>VLOOKUP(O461,'Sheet A'!O461:AG1071,2,)</f>
        <v>8.9599999999999999E-2</v>
      </c>
      <c r="Q461" s="38">
        <f>VLOOKUP(P461,'Sheet A'!P461:AH1071,2,)</f>
        <v>0</v>
      </c>
      <c r="R461" s="38">
        <f>VLOOKUP(Q461,'Sheet A'!Q461:AI1071,2,)</f>
        <v>1</v>
      </c>
      <c r="S461" s="38">
        <f>VLOOKUP(R461,'Sheet A'!R461:AJ1071,2,)</f>
        <v>1</v>
      </c>
    </row>
    <row r="462" spans="1:19" x14ac:dyDescent="0.35">
      <c r="A462" s="37">
        <v>461</v>
      </c>
      <c r="B462" s="60">
        <f>VLOOKUP(A462,'Sheet A'!A462:S1072,2,)</f>
        <v>40564</v>
      </c>
      <c r="C462" s="38">
        <f>VLOOKUP(B462,'Sheet A'!B462:T1072,2,)</f>
        <v>1</v>
      </c>
      <c r="D462" s="38">
        <f>VLOOKUP(C462,'Sheet A'!C462:U1072,2,)</f>
        <v>0</v>
      </c>
      <c r="E462" s="38">
        <f>VLOOKUP(D462,'Sheet A'!D462:V1072,2,)</f>
        <v>1</v>
      </c>
      <c r="F462" s="38">
        <f>VLOOKUP(E462,'Sheet A'!E462:W1072,2,)</f>
        <v>5</v>
      </c>
      <c r="G462" s="41" t="str">
        <f>VLOOKUP(F462,'Sheet A'!F462:X1072,2,)</f>
        <v>Morning</v>
      </c>
      <c r="H462" s="38" t="b">
        <f>VLOOKUP(G462,'Sheet A'!G462:Y1072,2,)</f>
        <v>0</v>
      </c>
      <c r="I462" s="38">
        <f>VLOOKUP(H462,'Sheet A'!H462:Z1072,2,)</f>
        <v>5</v>
      </c>
      <c r="J462" s="41" t="str">
        <f>VLOOKUP(I462,'Sheet A'!I462:AA1072,2,)</f>
        <v>Thusday</v>
      </c>
      <c r="K462" s="38">
        <f>VLOOKUP(J462,'Sheet A'!J462:AB1072,2,)</f>
        <v>1</v>
      </c>
      <c r="L462" s="38">
        <f>VLOOKUP(K462,'Sheet A'!K462:AC1072,2,)</f>
        <v>0.24</v>
      </c>
      <c r="M462" s="70" t="str">
        <f>VLOOKUP(L462,'Sheet A'!L462:AD1072,2,)</f>
        <v>Cloudy</v>
      </c>
      <c r="N462" s="38">
        <f>VLOOKUP(M462,'Sheet A'!M462:AE1072,2,)</f>
        <v>0.19700000000000001</v>
      </c>
      <c r="O462" s="38">
        <f>VLOOKUP(N462,'Sheet A'!N462:AF1072,2,)</f>
        <v>0.6</v>
      </c>
      <c r="P462" s="38">
        <f>VLOOKUP(O462,'Sheet A'!O462:AG1072,2,)</f>
        <v>0.41789999999999999</v>
      </c>
      <c r="Q462" s="38">
        <f>VLOOKUP(P462,'Sheet A'!P462:AH1072,2,)</f>
        <v>1</v>
      </c>
      <c r="R462" s="38">
        <f>VLOOKUP(Q462,'Sheet A'!Q462:AI1072,2,)</f>
        <v>4</v>
      </c>
      <c r="S462" s="38">
        <f>VLOOKUP(R462,'Sheet A'!R462:AJ1072,2,)</f>
        <v>5</v>
      </c>
    </row>
    <row r="463" spans="1:19" x14ac:dyDescent="0.35">
      <c r="A463" s="37">
        <v>462</v>
      </c>
      <c r="B463" s="60">
        <f>VLOOKUP(A463,'Sheet A'!A463:S1073,2,)</f>
        <v>40564</v>
      </c>
      <c r="C463" s="38">
        <f>VLOOKUP(B463,'Sheet A'!B463:T1073,2,)</f>
        <v>1</v>
      </c>
      <c r="D463" s="38">
        <f>VLOOKUP(C463,'Sheet A'!C463:U1073,2,)</f>
        <v>0</v>
      </c>
      <c r="E463" s="38">
        <f>VLOOKUP(D463,'Sheet A'!D463:V1073,2,)</f>
        <v>1</v>
      </c>
      <c r="F463" s="38">
        <f>VLOOKUP(E463,'Sheet A'!E463:W1073,2,)</f>
        <v>6</v>
      </c>
      <c r="G463" s="41" t="str">
        <f>VLOOKUP(F463,'Sheet A'!F463:X1073,2,)</f>
        <v>Morning</v>
      </c>
      <c r="H463" s="38" t="b">
        <f>VLOOKUP(G463,'Sheet A'!G463:Y1073,2,)</f>
        <v>0</v>
      </c>
      <c r="I463" s="38">
        <f>VLOOKUP(H463,'Sheet A'!H463:Z1073,2,)</f>
        <v>5</v>
      </c>
      <c r="J463" s="41" t="str">
        <f>VLOOKUP(I463,'Sheet A'!I463:AA1073,2,)</f>
        <v>Thusday</v>
      </c>
      <c r="K463" s="38">
        <f>VLOOKUP(J463,'Sheet A'!J463:AB1073,2,)</f>
        <v>1</v>
      </c>
      <c r="L463" s="38">
        <f>VLOOKUP(K463,'Sheet A'!K463:AC1073,2,)</f>
        <v>0.22</v>
      </c>
      <c r="M463" s="70" t="str">
        <f>VLOOKUP(L463,'Sheet A'!L463:AD1073,2,)</f>
        <v>Cloudy</v>
      </c>
      <c r="N463" s="38">
        <f>VLOOKUP(M463,'Sheet A'!M463:AE1073,2,)</f>
        <v>0.21210000000000001</v>
      </c>
      <c r="O463" s="38">
        <f>VLOOKUP(N463,'Sheet A'!N463:AF1073,2,)</f>
        <v>0.55000000000000004</v>
      </c>
      <c r="P463" s="38">
        <f>VLOOKUP(O463,'Sheet A'!O463:AG1073,2,)</f>
        <v>0.25369999999999998</v>
      </c>
      <c r="Q463" s="38">
        <f>VLOOKUP(P463,'Sheet A'!P463:AH1073,2,)</f>
        <v>0</v>
      </c>
      <c r="R463" s="38">
        <f>VLOOKUP(Q463,'Sheet A'!Q463:AI1073,2,)</f>
        <v>27</v>
      </c>
      <c r="S463" s="38">
        <f>VLOOKUP(R463,'Sheet A'!R463:AJ1073,2,)</f>
        <v>27</v>
      </c>
    </row>
    <row r="464" spans="1:19" x14ac:dyDescent="0.35">
      <c r="A464" s="37">
        <v>463</v>
      </c>
      <c r="B464" s="60">
        <f>VLOOKUP(A464,'Sheet A'!A464:S1074,2,)</f>
        <v>40564</v>
      </c>
      <c r="C464" s="38">
        <f>VLOOKUP(B464,'Sheet A'!B464:T1074,2,)</f>
        <v>1</v>
      </c>
      <c r="D464" s="38">
        <f>VLOOKUP(C464,'Sheet A'!C464:U1074,2,)</f>
        <v>0</v>
      </c>
      <c r="E464" s="38">
        <f>VLOOKUP(D464,'Sheet A'!D464:V1074,2,)</f>
        <v>1</v>
      </c>
      <c r="F464" s="38">
        <f>VLOOKUP(E464,'Sheet A'!E464:W1074,2,)</f>
        <v>7</v>
      </c>
      <c r="G464" s="41" t="str">
        <f>VLOOKUP(F464,'Sheet A'!F464:X1074,2,)</f>
        <v>Morning</v>
      </c>
      <c r="H464" s="38" t="b">
        <f>VLOOKUP(G464,'Sheet A'!G464:Y1074,2,)</f>
        <v>0</v>
      </c>
      <c r="I464" s="38">
        <f>VLOOKUP(H464,'Sheet A'!H464:Z1074,2,)</f>
        <v>5</v>
      </c>
      <c r="J464" s="41" t="str">
        <f>VLOOKUP(I464,'Sheet A'!I464:AA1074,2,)</f>
        <v>Thusday</v>
      </c>
      <c r="K464" s="38">
        <f>VLOOKUP(J464,'Sheet A'!J464:AB1074,2,)</f>
        <v>1</v>
      </c>
      <c r="L464" s="38">
        <f>VLOOKUP(K464,'Sheet A'!K464:AC1074,2,)</f>
        <v>0.2</v>
      </c>
      <c r="M464" s="70" t="str">
        <f>VLOOKUP(L464,'Sheet A'!L464:AD1074,2,)</f>
        <v>Rainy</v>
      </c>
      <c r="N464" s="38">
        <f>VLOOKUP(M464,'Sheet A'!M464:AE1074,2,)</f>
        <v>0.18179999999999999</v>
      </c>
      <c r="O464" s="38">
        <f>VLOOKUP(N464,'Sheet A'!N464:AF1074,2,)</f>
        <v>0.51</v>
      </c>
      <c r="P464" s="38">
        <f>VLOOKUP(O464,'Sheet A'!O464:AG1074,2,)</f>
        <v>0.28360000000000002</v>
      </c>
      <c r="Q464" s="38">
        <f>VLOOKUP(P464,'Sheet A'!P464:AH1074,2,)</f>
        <v>2</v>
      </c>
      <c r="R464" s="38">
        <f>VLOOKUP(Q464,'Sheet A'!Q464:AI1074,2,)</f>
        <v>66</v>
      </c>
      <c r="S464" s="38">
        <f>VLOOKUP(R464,'Sheet A'!R464:AJ1074,2,)</f>
        <v>68</v>
      </c>
    </row>
    <row r="465" spans="1:19" x14ac:dyDescent="0.35">
      <c r="A465" s="37">
        <v>464</v>
      </c>
      <c r="B465" s="60">
        <f>VLOOKUP(A465,'Sheet A'!A465:S1075,2,)</f>
        <v>40564</v>
      </c>
      <c r="C465" s="38">
        <f>VLOOKUP(B465,'Sheet A'!B465:T1075,2,)</f>
        <v>1</v>
      </c>
      <c r="D465" s="38">
        <f>VLOOKUP(C465,'Sheet A'!C465:U1075,2,)</f>
        <v>0</v>
      </c>
      <c r="E465" s="38">
        <f>VLOOKUP(D465,'Sheet A'!D465:V1075,2,)</f>
        <v>1</v>
      </c>
      <c r="F465" s="38">
        <f>VLOOKUP(E465,'Sheet A'!E465:W1075,2,)</f>
        <v>8</v>
      </c>
      <c r="G465" s="41" t="str">
        <f>VLOOKUP(F465,'Sheet A'!F465:X1075,2,)</f>
        <v>Morning</v>
      </c>
      <c r="H465" s="38" t="b">
        <f>VLOOKUP(G465,'Sheet A'!G465:Y1075,2,)</f>
        <v>0</v>
      </c>
      <c r="I465" s="38">
        <f>VLOOKUP(H465,'Sheet A'!H465:Z1075,2,)</f>
        <v>5</v>
      </c>
      <c r="J465" s="41" t="str">
        <f>VLOOKUP(I465,'Sheet A'!I465:AA1075,2,)</f>
        <v>Thusday</v>
      </c>
      <c r="K465" s="38">
        <f>VLOOKUP(J465,'Sheet A'!J465:AB1075,2,)</f>
        <v>1</v>
      </c>
      <c r="L465" s="38">
        <f>VLOOKUP(K465,'Sheet A'!K465:AC1075,2,)</f>
        <v>0.2</v>
      </c>
      <c r="M465" s="70" t="str">
        <f>VLOOKUP(L465,'Sheet A'!L465:AD1075,2,)</f>
        <v>Rainy</v>
      </c>
      <c r="N465" s="38">
        <f>VLOOKUP(M465,'Sheet A'!M465:AE1075,2,)</f>
        <v>0.18179999999999999</v>
      </c>
      <c r="O465" s="38">
        <f>VLOOKUP(N465,'Sheet A'!N465:AF1075,2,)</f>
        <v>0.47</v>
      </c>
      <c r="P465" s="38">
        <f>VLOOKUP(O465,'Sheet A'!O465:AG1075,2,)</f>
        <v>0.32840000000000003</v>
      </c>
      <c r="Q465" s="38">
        <f>VLOOKUP(P465,'Sheet A'!P465:AH1075,2,)</f>
        <v>7</v>
      </c>
      <c r="R465" s="38">
        <f>VLOOKUP(Q465,'Sheet A'!Q465:AI1075,2,)</f>
        <v>210</v>
      </c>
      <c r="S465" s="38">
        <f>VLOOKUP(R465,'Sheet A'!R465:AJ1075,2,)</f>
        <v>217</v>
      </c>
    </row>
    <row r="466" spans="1:19" x14ac:dyDescent="0.35">
      <c r="A466" s="37">
        <v>465</v>
      </c>
      <c r="B466" s="60">
        <f>VLOOKUP(A466,'Sheet A'!A466:S1076,2,)</f>
        <v>40564</v>
      </c>
      <c r="C466" s="38">
        <f>VLOOKUP(B466,'Sheet A'!B466:T1076,2,)</f>
        <v>1</v>
      </c>
      <c r="D466" s="38">
        <f>VLOOKUP(C466,'Sheet A'!C466:U1076,2,)</f>
        <v>0</v>
      </c>
      <c r="E466" s="38">
        <f>VLOOKUP(D466,'Sheet A'!D466:V1076,2,)</f>
        <v>1</v>
      </c>
      <c r="F466" s="38">
        <f>VLOOKUP(E466,'Sheet A'!E466:W1076,2,)</f>
        <v>9</v>
      </c>
      <c r="G466" s="41" t="str">
        <f>VLOOKUP(F466,'Sheet A'!F466:X1076,2,)</f>
        <v>Morning</v>
      </c>
      <c r="H466" s="38" t="b">
        <f>VLOOKUP(G466,'Sheet A'!G466:Y1076,2,)</f>
        <v>0</v>
      </c>
      <c r="I466" s="38">
        <f>VLOOKUP(H466,'Sheet A'!H466:Z1076,2,)</f>
        <v>5</v>
      </c>
      <c r="J466" s="41" t="str">
        <f>VLOOKUP(I466,'Sheet A'!I466:AA1076,2,)</f>
        <v>Thusday</v>
      </c>
      <c r="K466" s="38">
        <f>VLOOKUP(J466,'Sheet A'!J466:AB1076,2,)</f>
        <v>1</v>
      </c>
      <c r="L466" s="38">
        <f>VLOOKUP(K466,'Sheet A'!K466:AC1076,2,)</f>
        <v>0.2</v>
      </c>
      <c r="M466" s="70" t="str">
        <f>VLOOKUP(L466,'Sheet A'!L466:AD1076,2,)</f>
        <v>Rainy</v>
      </c>
      <c r="N466" s="38">
        <f>VLOOKUP(M466,'Sheet A'!M466:AE1076,2,)</f>
        <v>0.18179999999999999</v>
      </c>
      <c r="O466" s="38">
        <f>VLOOKUP(N466,'Sheet A'!N466:AF1076,2,)</f>
        <v>0.51</v>
      </c>
      <c r="P466" s="38">
        <f>VLOOKUP(O466,'Sheet A'!O466:AG1076,2,)</f>
        <v>0.35820000000000002</v>
      </c>
      <c r="Q466" s="38">
        <f>VLOOKUP(P466,'Sheet A'!P466:AH1076,2,)</f>
        <v>7</v>
      </c>
      <c r="R466" s="38">
        <f>VLOOKUP(Q466,'Sheet A'!Q466:AI1076,2,)</f>
        <v>159</v>
      </c>
      <c r="S466" s="38">
        <f>VLOOKUP(R466,'Sheet A'!R466:AJ1076,2,)</f>
        <v>166</v>
      </c>
    </row>
    <row r="467" spans="1:19" x14ac:dyDescent="0.35">
      <c r="A467" s="37">
        <v>466</v>
      </c>
      <c r="B467" s="60">
        <f>VLOOKUP(A467,'Sheet A'!A467:S1077,2,)</f>
        <v>40564</v>
      </c>
      <c r="C467" s="38">
        <f>VLOOKUP(B467,'Sheet A'!B467:T1077,2,)</f>
        <v>1</v>
      </c>
      <c r="D467" s="38">
        <f>VLOOKUP(C467,'Sheet A'!C467:U1077,2,)</f>
        <v>0</v>
      </c>
      <c r="E467" s="38">
        <f>VLOOKUP(D467,'Sheet A'!D467:V1077,2,)</f>
        <v>1</v>
      </c>
      <c r="F467" s="38">
        <f>VLOOKUP(E467,'Sheet A'!E467:W1077,2,)</f>
        <v>10</v>
      </c>
      <c r="G467" s="41" t="str">
        <f>VLOOKUP(F467,'Sheet A'!F467:X1077,2,)</f>
        <v>Morning</v>
      </c>
      <c r="H467" s="38" t="b">
        <f>VLOOKUP(G467,'Sheet A'!G467:Y1077,2,)</f>
        <v>0</v>
      </c>
      <c r="I467" s="38">
        <f>VLOOKUP(H467,'Sheet A'!H467:Z1077,2,)</f>
        <v>5</v>
      </c>
      <c r="J467" s="41" t="str">
        <f>VLOOKUP(I467,'Sheet A'!I467:AA1077,2,)</f>
        <v>Thusday</v>
      </c>
      <c r="K467" s="38">
        <f>VLOOKUP(J467,'Sheet A'!J467:AB1077,2,)</f>
        <v>1</v>
      </c>
      <c r="L467" s="38">
        <f>VLOOKUP(K467,'Sheet A'!K467:AC1077,2,)</f>
        <v>0.2</v>
      </c>
      <c r="M467" s="70" t="str">
        <f>VLOOKUP(L467,'Sheet A'!L467:AD1077,2,)</f>
        <v>Rainy</v>
      </c>
      <c r="N467" s="38">
        <f>VLOOKUP(M467,'Sheet A'!M467:AE1077,2,)</f>
        <v>0.16669999999999999</v>
      </c>
      <c r="O467" s="38">
        <f>VLOOKUP(N467,'Sheet A'!N467:AF1077,2,)</f>
        <v>0.47</v>
      </c>
      <c r="P467" s="38">
        <f>VLOOKUP(O467,'Sheet A'!O467:AG1077,2,)</f>
        <v>0.4627</v>
      </c>
      <c r="Q467" s="38">
        <f>VLOOKUP(P467,'Sheet A'!P467:AH1077,2,)</f>
        <v>6</v>
      </c>
      <c r="R467" s="38">
        <f>VLOOKUP(Q467,'Sheet A'!Q467:AI1077,2,)</f>
        <v>57</v>
      </c>
      <c r="S467" s="38">
        <f>VLOOKUP(R467,'Sheet A'!R467:AJ1077,2,)</f>
        <v>63</v>
      </c>
    </row>
    <row r="468" spans="1:19" x14ac:dyDescent="0.35">
      <c r="A468" s="37">
        <v>467</v>
      </c>
      <c r="B468" s="60">
        <f>VLOOKUP(A468,'Sheet A'!A468:S1078,2,)</f>
        <v>40564</v>
      </c>
      <c r="C468" s="38">
        <f>VLOOKUP(B468,'Sheet A'!B468:T1078,2,)</f>
        <v>1</v>
      </c>
      <c r="D468" s="38">
        <f>VLOOKUP(C468,'Sheet A'!C468:U1078,2,)</f>
        <v>0</v>
      </c>
      <c r="E468" s="38">
        <f>VLOOKUP(D468,'Sheet A'!D468:V1078,2,)</f>
        <v>1</v>
      </c>
      <c r="F468" s="38">
        <f>VLOOKUP(E468,'Sheet A'!E468:W1078,2,)</f>
        <v>11</v>
      </c>
      <c r="G468" s="41" t="str">
        <f>VLOOKUP(F468,'Sheet A'!F468:X1078,2,)</f>
        <v>Morning</v>
      </c>
      <c r="H468" s="38" t="b">
        <f>VLOOKUP(G468,'Sheet A'!G468:Y1078,2,)</f>
        <v>0</v>
      </c>
      <c r="I468" s="38">
        <f>VLOOKUP(H468,'Sheet A'!H468:Z1078,2,)</f>
        <v>5</v>
      </c>
      <c r="J468" s="41" t="str">
        <f>VLOOKUP(I468,'Sheet A'!I468:AA1078,2,)</f>
        <v>Thusday</v>
      </c>
      <c r="K468" s="38">
        <f>VLOOKUP(J468,'Sheet A'!J468:AB1078,2,)</f>
        <v>1</v>
      </c>
      <c r="L468" s="38">
        <f>VLOOKUP(K468,'Sheet A'!K468:AC1078,2,)</f>
        <v>0.22</v>
      </c>
      <c r="M468" s="70" t="str">
        <f>VLOOKUP(L468,'Sheet A'!L468:AD1078,2,)</f>
        <v>Cloudy</v>
      </c>
      <c r="N468" s="38">
        <f>VLOOKUP(M468,'Sheet A'!M468:AE1078,2,)</f>
        <v>0.18179999999999999</v>
      </c>
      <c r="O468" s="38">
        <f>VLOOKUP(N468,'Sheet A'!N468:AF1078,2,)</f>
        <v>0.41</v>
      </c>
      <c r="P468" s="38">
        <f>VLOOKUP(O468,'Sheet A'!O468:AG1078,2,)</f>
        <v>0.4627</v>
      </c>
      <c r="Q468" s="38">
        <f>VLOOKUP(P468,'Sheet A'!P468:AH1078,2,)</f>
        <v>6</v>
      </c>
      <c r="R468" s="38">
        <f>VLOOKUP(Q468,'Sheet A'!Q468:AI1078,2,)</f>
        <v>53</v>
      </c>
      <c r="S468" s="38">
        <f>VLOOKUP(R468,'Sheet A'!R468:AJ1078,2,)</f>
        <v>59</v>
      </c>
    </row>
    <row r="469" spans="1:19" x14ac:dyDescent="0.35">
      <c r="A469" s="37">
        <v>468</v>
      </c>
      <c r="B469" s="60">
        <f>VLOOKUP(A469,'Sheet A'!A469:S1079,2,)</f>
        <v>40564</v>
      </c>
      <c r="C469" s="38">
        <f>VLOOKUP(B469,'Sheet A'!B469:T1079,2,)</f>
        <v>1</v>
      </c>
      <c r="D469" s="38">
        <f>VLOOKUP(C469,'Sheet A'!C469:U1079,2,)</f>
        <v>0</v>
      </c>
      <c r="E469" s="38">
        <f>VLOOKUP(D469,'Sheet A'!D469:V1079,2,)</f>
        <v>1</v>
      </c>
      <c r="F469" s="38">
        <f>VLOOKUP(E469,'Sheet A'!E469:W1079,2,)</f>
        <v>12</v>
      </c>
      <c r="G469" s="41" t="str">
        <f>VLOOKUP(F469,'Sheet A'!F469:X1079,2,)</f>
        <v>AfterNoon</v>
      </c>
      <c r="H469" s="38" t="b">
        <f>VLOOKUP(G469,'Sheet A'!G469:Y1079,2,)</f>
        <v>0</v>
      </c>
      <c r="I469" s="38">
        <f>VLOOKUP(H469,'Sheet A'!H469:Z1079,2,)</f>
        <v>5</v>
      </c>
      <c r="J469" s="41" t="str">
        <f>VLOOKUP(I469,'Sheet A'!I469:AA1079,2,)</f>
        <v>Thusday</v>
      </c>
      <c r="K469" s="38">
        <f>VLOOKUP(J469,'Sheet A'!J469:AB1079,2,)</f>
        <v>1</v>
      </c>
      <c r="L469" s="38">
        <f>VLOOKUP(K469,'Sheet A'!K469:AC1079,2,)</f>
        <v>0.22</v>
      </c>
      <c r="M469" s="70" t="str">
        <f>VLOOKUP(L469,'Sheet A'!L469:AD1079,2,)</f>
        <v>Cloudy</v>
      </c>
      <c r="N469" s="38">
        <f>VLOOKUP(M469,'Sheet A'!M469:AE1079,2,)</f>
        <v>0.18179999999999999</v>
      </c>
      <c r="O469" s="38">
        <f>VLOOKUP(N469,'Sheet A'!N469:AF1079,2,)</f>
        <v>0.27</v>
      </c>
      <c r="P469" s="38">
        <f>VLOOKUP(O469,'Sheet A'!O469:AG1079,2,)</f>
        <v>0.58209999999999995</v>
      </c>
      <c r="Q469" s="38">
        <f>VLOOKUP(P469,'Sheet A'!P469:AH1079,2,)</f>
        <v>11</v>
      </c>
      <c r="R469" s="38">
        <f>VLOOKUP(Q469,'Sheet A'!Q469:AI1079,2,)</f>
        <v>67</v>
      </c>
      <c r="S469" s="38">
        <f>VLOOKUP(R469,'Sheet A'!R469:AJ1079,2,)</f>
        <v>78</v>
      </c>
    </row>
    <row r="470" spans="1:19" x14ac:dyDescent="0.35">
      <c r="A470" s="37">
        <v>469</v>
      </c>
      <c r="B470" s="60">
        <f>VLOOKUP(A470,'Sheet A'!A470:S1080,2,)</f>
        <v>40564</v>
      </c>
      <c r="C470" s="38">
        <f>VLOOKUP(B470,'Sheet A'!B470:T1080,2,)</f>
        <v>1</v>
      </c>
      <c r="D470" s="38">
        <f>VLOOKUP(C470,'Sheet A'!C470:U1080,2,)</f>
        <v>0</v>
      </c>
      <c r="E470" s="38">
        <f>VLOOKUP(D470,'Sheet A'!D470:V1080,2,)</f>
        <v>1</v>
      </c>
      <c r="F470" s="38">
        <f>VLOOKUP(E470,'Sheet A'!E470:W1080,2,)</f>
        <v>13</v>
      </c>
      <c r="G470" s="41" t="str">
        <f>VLOOKUP(F470,'Sheet A'!F470:X1080,2,)</f>
        <v>AfterNoon</v>
      </c>
      <c r="H470" s="38" t="b">
        <f>VLOOKUP(G470,'Sheet A'!G470:Y1080,2,)</f>
        <v>0</v>
      </c>
      <c r="I470" s="38">
        <f>VLOOKUP(H470,'Sheet A'!H470:Z1080,2,)</f>
        <v>5</v>
      </c>
      <c r="J470" s="41" t="str">
        <f>VLOOKUP(I470,'Sheet A'!I470:AA1080,2,)</f>
        <v>Thusday</v>
      </c>
      <c r="K470" s="38">
        <f>VLOOKUP(J470,'Sheet A'!J470:AB1080,2,)</f>
        <v>1</v>
      </c>
      <c r="L470" s="38">
        <f>VLOOKUP(K470,'Sheet A'!K470:AC1080,2,)</f>
        <v>0.2</v>
      </c>
      <c r="M470" s="70" t="str">
        <f>VLOOKUP(L470,'Sheet A'!L470:AD1080,2,)</f>
        <v>Rainy</v>
      </c>
      <c r="N470" s="38">
        <f>VLOOKUP(M470,'Sheet A'!M470:AE1080,2,)</f>
        <v>0.1515</v>
      </c>
      <c r="O470" s="38">
        <f>VLOOKUP(N470,'Sheet A'!N470:AF1080,2,)</f>
        <v>0.21</v>
      </c>
      <c r="P470" s="38">
        <f>VLOOKUP(O470,'Sheet A'!O470:AG1080,2,)</f>
        <v>0.58209999999999995</v>
      </c>
      <c r="Q470" s="38">
        <f>VLOOKUP(P470,'Sheet A'!P470:AH1080,2,)</f>
        <v>8</v>
      </c>
      <c r="R470" s="38">
        <f>VLOOKUP(Q470,'Sheet A'!Q470:AI1080,2,)</f>
        <v>65</v>
      </c>
      <c r="S470" s="38">
        <f>VLOOKUP(R470,'Sheet A'!R470:AJ1080,2,)</f>
        <v>73</v>
      </c>
    </row>
    <row r="471" spans="1:19" x14ac:dyDescent="0.35">
      <c r="A471" s="37">
        <v>470</v>
      </c>
      <c r="B471" s="60">
        <f>VLOOKUP(A471,'Sheet A'!A471:S1081,2,)</f>
        <v>40564</v>
      </c>
      <c r="C471" s="38">
        <f>VLOOKUP(B471,'Sheet A'!B471:T1081,2,)</f>
        <v>1</v>
      </c>
      <c r="D471" s="38">
        <f>VLOOKUP(C471,'Sheet A'!C471:U1081,2,)</f>
        <v>0</v>
      </c>
      <c r="E471" s="38">
        <f>VLOOKUP(D471,'Sheet A'!D471:V1081,2,)</f>
        <v>1</v>
      </c>
      <c r="F471" s="38">
        <f>VLOOKUP(E471,'Sheet A'!E471:W1081,2,)</f>
        <v>14</v>
      </c>
      <c r="G471" s="41" t="str">
        <f>VLOOKUP(F471,'Sheet A'!F471:X1081,2,)</f>
        <v>AfterNoon</v>
      </c>
      <c r="H471" s="38" t="b">
        <f>VLOOKUP(G471,'Sheet A'!G471:Y1081,2,)</f>
        <v>0</v>
      </c>
      <c r="I471" s="38">
        <f>VLOOKUP(H471,'Sheet A'!H471:Z1081,2,)</f>
        <v>5</v>
      </c>
      <c r="J471" s="41" t="str">
        <f>VLOOKUP(I471,'Sheet A'!I471:AA1081,2,)</f>
        <v>Thusday</v>
      </c>
      <c r="K471" s="38">
        <f>VLOOKUP(J471,'Sheet A'!J471:AB1081,2,)</f>
        <v>1</v>
      </c>
      <c r="L471" s="38">
        <f>VLOOKUP(K471,'Sheet A'!K471:AC1081,2,)</f>
        <v>0.2</v>
      </c>
      <c r="M471" s="70" t="str">
        <f>VLOOKUP(L471,'Sheet A'!L471:AD1081,2,)</f>
        <v>Rainy</v>
      </c>
      <c r="N471" s="38">
        <f>VLOOKUP(M471,'Sheet A'!M471:AE1081,2,)</f>
        <v>0.1515</v>
      </c>
      <c r="O471" s="38">
        <f>VLOOKUP(N471,'Sheet A'!N471:AF1081,2,)</f>
        <v>0.25</v>
      </c>
      <c r="P471" s="38">
        <f>VLOOKUP(O471,'Sheet A'!O471:AG1081,2,)</f>
        <v>0.52239999999999998</v>
      </c>
      <c r="Q471" s="38">
        <f>VLOOKUP(P471,'Sheet A'!P471:AH1081,2,)</f>
        <v>6</v>
      </c>
      <c r="R471" s="38">
        <f>VLOOKUP(Q471,'Sheet A'!Q471:AI1081,2,)</f>
        <v>56</v>
      </c>
      <c r="S471" s="38">
        <f>VLOOKUP(R471,'Sheet A'!R471:AJ1081,2,)</f>
        <v>62</v>
      </c>
    </row>
    <row r="472" spans="1:19" x14ac:dyDescent="0.35">
      <c r="A472" s="37">
        <v>471</v>
      </c>
      <c r="B472" s="60">
        <f>VLOOKUP(A472,'Sheet A'!A472:S1082,2,)</f>
        <v>40564</v>
      </c>
      <c r="C472" s="38">
        <f>VLOOKUP(B472,'Sheet A'!B472:T1082,2,)</f>
        <v>1</v>
      </c>
      <c r="D472" s="38">
        <f>VLOOKUP(C472,'Sheet A'!C472:U1082,2,)</f>
        <v>0</v>
      </c>
      <c r="E472" s="38">
        <f>VLOOKUP(D472,'Sheet A'!D472:V1082,2,)</f>
        <v>1</v>
      </c>
      <c r="F472" s="38">
        <f>VLOOKUP(E472,'Sheet A'!E472:W1082,2,)</f>
        <v>15</v>
      </c>
      <c r="G472" s="41" t="str">
        <f>VLOOKUP(F472,'Sheet A'!F472:X1082,2,)</f>
        <v>AfterNoon</v>
      </c>
      <c r="H472" s="38" t="b">
        <f>VLOOKUP(G472,'Sheet A'!G472:Y1082,2,)</f>
        <v>0</v>
      </c>
      <c r="I472" s="38">
        <f>VLOOKUP(H472,'Sheet A'!H472:Z1082,2,)</f>
        <v>5</v>
      </c>
      <c r="J472" s="41" t="str">
        <f>VLOOKUP(I472,'Sheet A'!I472:AA1082,2,)</f>
        <v>Thusday</v>
      </c>
      <c r="K472" s="38">
        <f>VLOOKUP(J472,'Sheet A'!J472:AB1082,2,)</f>
        <v>1</v>
      </c>
      <c r="L472" s="38">
        <f>VLOOKUP(K472,'Sheet A'!K472:AC1082,2,)</f>
        <v>0.16</v>
      </c>
      <c r="M472" s="70" t="str">
        <f>VLOOKUP(L472,'Sheet A'!L472:AD1082,2,)</f>
        <v>Rainy</v>
      </c>
      <c r="N472" s="38">
        <f>VLOOKUP(M472,'Sheet A'!M472:AE1082,2,)</f>
        <v>0.1212</v>
      </c>
      <c r="O472" s="38">
        <f>VLOOKUP(N472,'Sheet A'!N472:AF1082,2,)</f>
        <v>0.26</v>
      </c>
      <c r="P472" s="38">
        <f>VLOOKUP(O472,'Sheet A'!O472:AG1082,2,)</f>
        <v>0.44779999999999998</v>
      </c>
      <c r="Q472" s="38">
        <f>VLOOKUP(P472,'Sheet A'!P472:AH1082,2,)</f>
        <v>4</v>
      </c>
      <c r="R472" s="38">
        <f>VLOOKUP(Q472,'Sheet A'!Q472:AI1082,2,)</f>
        <v>61</v>
      </c>
      <c r="S472" s="38">
        <f>VLOOKUP(R472,'Sheet A'!R472:AJ1082,2,)</f>
        <v>65</v>
      </c>
    </row>
    <row r="473" spans="1:19" x14ac:dyDescent="0.35">
      <c r="A473" s="37">
        <v>472</v>
      </c>
      <c r="B473" s="60">
        <f>VLOOKUP(A473,'Sheet A'!A473:S1083,2,)</f>
        <v>40564</v>
      </c>
      <c r="C473" s="38">
        <f>VLOOKUP(B473,'Sheet A'!B473:T1083,2,)</f>
        <v>1</v>
      </c>
      <c r="D473" s="38">
        <f>VLOOKUP(C473,'Sheet A'!C473:U1083,2,)</f>
        <v>0</v>
      </c>
      <c r="E473" s="38">
        <f>VLOOKUP(D473,'Sheet A'!D473:V1083,2,)</f>
        <v>1</v>
      </c>
      <c r="F473" s="38">
        <f>VLOOKUP(E473,'Sheet A'!E473:W1083,2,)</f>
        <v>16</v>
      </c>
      <c r="G473" s="41" t="str">
        <f>VLOOKUP(F473,'Sheet A'!F473:X1083,2,)</f>
        <v>AfterNoon</v>
      </c>
      <c r="H473" s="38" t="b">
        <f>VLOOKUP(G473,'Sheet A'!G473:Y1083,2,)</f>
        <v>0</v>
      </c>
      <c r="I473" s="38">
        <f>VLOOKUP(H473,'Sheet A'!H473:Z1083,2,)</f>
        <v>5</v>
      </c>
      <c r="J473" s="41" t="str">
        <f>VLOOKUP(I473,'Sheet A'!I473:AA1083,2,)</f>
        <v>Thusday</v>
      </c>
      <c r="K473" s="38">
        <f>VLOOKUP(J473,'Sheet A'!J473:AB1083,2,)</f>
        <v>1</v>
      </c>
      <c r="L473" s="38">
        <f>VLOOKUP(K473,'Sheet A'!K473:AC1083,2,)</f>
        <v>0.16</v>
      </c>
      <c r="M473" s="70" t="str">
        <f>VLOOKUP(L473,'Sheet A'!L473:AD1083,2,)</f>
        <v>Rainy</v>
      </c>
      <c r="N473" s="38">
        <f>VLOOKUP(M473,'Sheet A'!M473:AE1083,2,)</f>
        <v>0.13639999999999999</v>
      </c>
      <c r="O473" s="38">
        <f>VLOOKUP(N473,'Sheet A'!N473:AF1083,2,)</f>
        <v>0.26</v>
      </c>
      <c r="P473" s="38">
        <f>VLOOKUP(O473,'Sheet A'!O473:AG1083,2,)</f>
        <v>0.35820000000000002</v>
      </c>
      <c r="Q473" s="38">
        <f>VLOOKUP(P473,'Sheet A'!P473:AH1083,2,)</f>
        <v>0</v>
      </c>
      <c r="R473" s="38">
        <f>VLOOKUP(Q473,'Sheet A'!Q473:AI1083,2,)</f>
        <v>97</v>
      </c>
      <c r="S473" s="38">
        <f>VLOOKUP(R473,'Sheet A'!R473:AJ1083,2,)</f>
        <v>97</v>
      </c>
    </row>
    <row r="474" spans="1:19" x14ac:dyDescent="0.35">
      <c r="A474" s="37">
        <v>473</v>
      </c>
      <c r="B474" s="60">
        <f>VLOOKUP(A474,'Sheet A'!A474:S1084,2,)</f>
        <v>40564</v>
      </c>
      <c r="C474" s="38">
        <f>VLOOKUP(B474,'Sheet A'!B474:T1084,2,)</f>
        <v>1</v>
      </c>
      <c r="D474" s="38">
        <f>VLOOKUP(C474,'Sheet A'!C474:U1084,2,)</f>
        <v>0</v>
      </c>
      <c r="E474" s="38">
        <f>VLOOKUP(D474,'Sheet A'!D474:V1084,2,)</f>
        <v>1</v>
      </c>
      <c r="F474" s="38">
        <f>VLOOKUP(E474,'Sheet A'!E474:W1084,2,)</f>
        <v>17</v>
      </c>
      <c r="G474" s="41" t="str">
        <f>VLOOKUP(F474,'Sheet A'!F474:X1084,2,)</f>
        <v>Evening</v>
      </c>
      <c r="H474" s="38" t="b">
        <f>VLOOKUP(G474,'Sheet A'!G474:Y1084,2,)</f>
        <v>0</v>
      </c>
      <c r="I474" s="38">
        <f>VLOOKUP(H474,'Sheet A'!H474:Z1084,2,)</f>
        <v>5</v>
      </c>
      <c r="J474" s="41" t="str">
        <f>VLOOKUP(I474,'Sheet A'!I474:AA1084,2,)</f>
        <v>Thusday</v>
      </c>
      <c r="K474" s="38">
        <f>VLOOKUP(J474,'Sheet A'!J474:AB1084,2,)</f>
        <v>1</v>
      </c>
      <c r="L474" s="38">
        <f>VLOOKUP(K474,'Sheet A'!K474:AC1084,2,)</f>
        <v>0.14000000000000001</v>
      </c>
      <c r="M474" s="70" t="str">
        <f>VLOOKUP(L474,'Sheet A'!L474:AD1084,2,)</f>
        <v>Rainy</v>
      </c>
      <c r="N474" s="38">
        <f>VLOOKUP(M474,'Sheet A'!M474:AE1084,2,)</f>
        <v>0.1212</v>
      </c>
      <c r="O474" s="38">
        <f>VLOOKUP(N474,'Sheet A'!N474:AF1084,2,)</f>
        <v>0.28000000000000003</v>
      </c>
      <c r="P474" s="38">
        <f>VLOOKUP(O474,'Sheet A'!O474:AG1084,2,)</f>
        <v>0.35820000000000002</v>
      </c>
      <c r="Q474" s="38">
        <f>VLOOKUP(P474,'Sheet A'!P474:AH1084,2,)</f>
        <v>10</v>
      </c>
      <c r="R474" s="38">
        <f>VLOOKUP(Q474,'Sheet A'!Q474:AI1084,2,)</f>
        <v>151</v>
      </c>
      <c r="S474" s="38">
        <f>VLOOKUP(R474,'Sheet A'!R474:AJ1084,2,)</f>
        <v>161</v>
      </c>
    </row>
    <row r="475" spans="1:19" x14ac:dyDescent="0.35">
      <c r="A475" s="37">
        <v>474</v>
      </c>
      <c r="B475" s="60">
        <f>VLOOKUP(A475,'Sheet A'!A475:S1085,2,)</f>
        <v>40564</v>
      </c>
      <c r="C475" s="38">
        <f>VLOOKUP(B475,'Sheet A'!B475:T1085,2,)</f>
        <v>1</v>
      </c>
      <c r="D475" s="38">
        <f>VLOOKUP(C475,'Sheet A'!C475:U1085,2,)</f>
        <v>0</v>
      </c>
      <c r="E475" s="38">
        <f>VLOOKUP(D475,'Sheet A'!D475:V1085,2,)</f>
        <v>1</v>
      </c>
      <c r="F475" s="38">
        <f>VLOOKUP(E475,'Sheet A'!E475:W1085,2,)</f>
        <v>18</v>
      </c>
      <c r="G475" s="41" t="str">
        <f>VLOOKUP(F475,'Sheet A'!F475:X1085,2,)</f>
        <v>Evening</v>
      </c>
      <c r="H475" s="38" t="b">
        <f>VLOOKUP(G475,'Sheet A'!G475:Y1085,2,)</f>
        <v>0</v>
      </c>
      <c r="I475" s="38">
        <f>VLOOKUP(H475,'Sheet A'!H475:Z1085,2,)</f>
        <v>5</v>
      </c>
      <c r="J475" s="41" t="str">
        <f>VLOOKUP(I475,'Sheet A'!I475:AA1085,2,)</f>
        <v>Thusday</v>
      </c>
      <c r="K475" s="38">
        <f>VLOOKUP(J475,'Sheet A'!J475:AB1085,2,)</f>
        <v>1</v>
      </c>
      <c r="L475" s="38">
        <f>VLOOKUP(K475,'Sheet A'!K475:AC1085,2,)</f>
        <v>0.12</v>
      </c>
      <c r="M475" s="70" t="str">
        <f>VLOOKUP(L475,'Sheet A'!L475:AD1085,2,)</f>
        <v>Rainy</v>
      </c>
      <c r="N475" s="38">
        <f>VLOOKUP(M475,'Sheet A'!M475:AE1085,2,)</f>
        <v>0.1212</v>
      </c>
      <c r="O475" s="38">
        <f>VLOOKUP(N475,'Sheet A'!N475:AF1085,2,)</f>
        <v>0.3</v>
      </c>
      <c r="P475" s="38">
        <f>VLOOKUP(O475,'Sheet A'!O475:AG1085,2,)</f>
        <v>0.25369999999999998</v>
      </c>
      <c r="Q475" s="38">
        <f>VLOOKUP(P475,'Sheet A'!P475:AH1085,2,)</f>
        <v>1</v>
      </c>
      <c r="R475" s="38">
        <f>VLOOKUP(Q475,'Sheet A'!Q475:AI1085,2,)</f>
        <v>119</v>
      </c>
      <c r="S475" s="38">
        <f>VLOOKUP(R475,'Sheet A'!R475:AJ1085,2,)</f>
        <v>120</v>
      </c>
    </row>
    <row r="476" spans="1:19" x14ac:dyDescent="0.35">
      <c r="A476" s="37">
        <v>475</v>
      </c>
      <c r="B476" s="60">
        <f>VLOOKUP(A476,'Sheet A'!A476:S1086,2,)</f>
        <v>40564</v>
      </c>
      <c r="C476" s="38">
        <f>VLOOKUP(B476,'Sheet A'!B476:T1086,2,)</f>
        <v>1</v>
      </c>
      <c r="D476" s="38">
        <f>VLOOKUP(C476,'Sheet A'!C476:U1086,2,)</f>
        <v>0</v>
      </c>
      <c r="E476" s="38">
        <f>VLOOKUP(D476,'Sheet A'!D476:V1086,2,)</f>
        <v>1</v>
      </c>
      <c r="F476" s="38">
        <f>VLOOKUP(E476,'Sheet A'!E476:W1086,2,)</f>
        <v>19</v>
      </c>
      <c r="G476" s="41" t="str">
        <f>VLOOKUP(F476,'Sheet A'!F476:X1086,2,)</f>
        <v>Evening</v>
      </c>
      <c r="H476" s="38" t="b">
        <f>VLOOKUP(G476,'Sheet A'!G476:Y1086,2,)</f>
        <v>0</v>
      </c>
      <c r="I476" s="38">
        <f>VLOOKUP(H476,'Sheet A'!H476:Z1086,2,)</f>
        <v>5</v>
      </c>
      <c r="J476" s="41" t="str">
        <f>VLOOKUP(I476,'Sheet A'!I476:AA1086,2,)</f>
        <v>Thusday</v>
      </c>
      <c r="K476" s="38">
        <f>VLOOKUP(J476,'Sheet A'!J476:AB1086,2,)</f>
        <v>1</v>
      </c>
      <c r="L476" s="38">
        <f>VLOOKUP(K476,'Sheet A'!K476:AC1086,2,)</f>
        <v>0.12</v>
      </c>
      <c r="M476" s="70" t="str">
        <f>VLOOKUP(L476,'Sheet A'!L476:AD1086,2,)</f>
        <v>Rainy</v>
      </c>
      <c r="N476" s="38">
        <f>VLOOKUP(M476,'Sheet A'!M476:AE1086,2,)</f>
        <v>0.1061</v>
      </c>
      <c r="O476" s="38">
        <f>VLOOKUP(N476,'Sheet A'!N476:AF1086,2,)</f>
        <v>0.3</v>
      </c>
      <c r="P476" s="38">
        <f>VLOOKUP(O476,'Sheet A'!O476:AG1086,2,)</f>
        <v>0.32840000000000003</v>
      </c>
      <c r="Q476" s="38">
        <f>VLOOKUP(P476,'Sheet A'!P476:AH1086,2,)</f>
        <v>3</v>
      </c>
      <c r="R476" s="38">
        <f>VLOOKUP(Q476,'Sheet A'!Q476:AI1086,2,)</f>
        <v>93</v>
      </c>
      <c r="S476" s="38">
        <f>VLOOKUP(R476,'Sheet A'!R476:AJ1086,2,)</f>
        <v>96</v>
      </c>
    </row>
    <row r="477" spans="1:19" x14ac:dyDescent="0.35">
      <c r="A477" s="37">
        <v>476</v>
      </c>
      <c r="B477" s="60">
        <f>VLOOKUP(A477,'Sheet A'!A477:S1087,2,)</f>
        <v>40564</v>
      </c>
      <c r="C477" s="38">
        <f>VLOOKUP(B477,'Sheet A'!B477:T1087,2,)</f>
        <v>1</v>
      </c>
      <c r="D477" s="38">
        <f>VLOOKUP(C477,'Sheet A'!C477:U1087,2,)</f>
        <v>0</v>
      </c>
      <c r="E477" s="38">
        <f>VLOOKUP(D477,'Sheet A'!D477:V1087,2,)</f>
        <v>1</v>
      </c>
      <c r="F477" s="38">
        <f>VLOOKUP(E477,'Sheet A'!E477:W1087,2,)</f>
        <v>20</v>
      </c>
      <c r="G477" s="41" t="str">
        <f>VLOOKUP(F477,'Sheet A'!F477:X1087,2,)</f>
        <v>Night</v>
      </c>
      <c r="H477" s="38" t="b">
        <f>VLOOKUP(G477,'Sheet A'!G477:Y1087,2,)</f>
        <v>0</v>
      </c>
      <c r="I477" s="38">
        <f>VLOOKUP(H477,'Sheet A'!H477:Z1087,2,)</f>
        <v>5</v>
      </c>
      <c r="J477" s="41" t="str">
        <f>VLOOKUP(I477,'Sheet A'!I477:AA1087,2,)</f>
        <v>Thusday</v>
      </c>
      <c r="K477" s="38">
        <f>VLOOKUP(J477,'Sheet A'!J477:AB1087,2,)</f>
        <v>1</v>
      </c>
      <c r="L477" s="38">
        <f>VLOOKUP(K477,'Sheet A'!K477:AC1087,2,)</f>
        <v>0.1</v>
      </c>
      <c r="M477" s="70" t="str">
        <f>VLOOKUP(L477,'Sheet A'!L477:AD1087,2,)</f>
        <v>Stromy</v>
      </c>
      <c r="N477" s="38">
        <f>VLOOKUP(M477,'Sheet A'!M477:AE1087,2,)</f>
        <v>7.5800000000000006E-2</v>
      </c>
      <c r="O477" s="38">
        <f>VLOOKUP(N477,'Sheet A'!N477:AF1087,2,)</f>
        <v>0.33</v>
      </c>
      <c r="P477" s="38">
        <f>VLOOKUP(O477,'Sheet A'!O477:AG1087,2,)</f>
        <v>0.41789999999999999</v>
      </c>
      <c r="Q477" s="38">
        <f>VLOOKUP(P477,'Sheet A'!P477:AH1087,2,)</f>
        <v>1</v>
      </c>
      <c r="R477" s="38">
        <f>VLOOKUP(Q477,'Sheet A'!Q477:AI1087,2,)</f>
        <v>52</v>
      </c>
      <c r="S477" s="38">
        <f>VLOOKUP(R477,'Sheet A'!R477:AJ1087,2,)</f>
        <v>53</v>
      </c>
    </row>
    <row r="478" spans="1:19" x14ac:dyDescent="0.35">
      <c r="A478" s="37">
        <v>477</v>
      </c>
      <c r="B478" s="60">
        <f>VLOOKUP(A478,'Sheet A'!A478:S1088,2,)</f>
        <v>40564</v>
      </c>
      <c r="C478" s="38">
        <f>VLOOKUP(B478,'Sheet A'!B478:T1088,2,)</f>
        <v>1</v>
      </c>
      <c r="D478" s="38">
        <f>VLOOKUP(C478,'Sheet A'!C478:U1088,2,)</f>
        <v>0</v>
      </c>
      <c r="E478" s="38">
        <f>VLOOKUP(D478,'Sheet A'!D478:V1088,2,)</f>
        <v>1</v>
      </c>
      <c r="F478" s="38">
        <f>VLOOKUP(E478,'Sheet A'!E478:W1088,2,)</f>
        <v>21</v>
      </c>
      <c r="G478" s="41" t="str">
        <f>VLOOKUP(F478,'Sheet A'!F478:X1088,2,)</f>
        <v>Night</v>
      </c>
      <c r="H478" s="38" t="b">
        <f>VLOOKUP(G478,'Sheet A'!G478:Y1088,2,)</f>
        <v>0</v>
      </c>
      <c r="I478" s="38">
        <f>VLOOKUP(H478,'Sheet A'!H478:Z1088,2,)</f>
        <v>5</v>
      </c>
      <c r="J478" s="41" t="str">
        <f>VLOOKUP(I478,'Sheet A'!I478:AA1088,2,)</f>
        <v>Thusday</v>
      </c>
      <c r="K478" s="38">
        <f>VLOOKUP(J478,'Sheet A'!J478:AB1088,2,)</f>
        <v>1</v>
      </c>
      <c r="L478" s="38">
        <f>VLOOKUP(K478,'Sheet A'!K478:AC1088,2,)</f>
        <v>0.08</v>
      </c>
      <c r="M478" s="70" t="str">
        <f>VLOOKUP(L478,'Sheet A'!L478:AD1088,2,)</f>
        <v>Stromy</v>
      </c>
      <c r="N478" s="38">
        <f>VLOOKUP(M478,'Sheet A'!M478:AE1088,2,)</f>
        <v>7.5800000000000006E-2</v>
      </c>
      <c r="O478" s="38">
        <f>VLOOKUP(N478,'Sheet A'!N478:AF1088,2,)</f>
        <v>0.38</v>
      </c>
      <c r="P478" s="38">
        <f>VLOOKUP(O478,'Sheet A'!O478:AG1088,2,)</f>
        <v>0.28360000000000002</v>
      </c>
      <c r="Q478" s="38">
        <f>VLOOKUP(P478,'Sheet A'!P478:AH1088,2,)</f>
        <v>0</v>
      </c>
      <c r="R478" s="38">
        <f>VLOOKUP(Q478,'Sheet A'!Q478:AI1088,2,)</f>
        <v>41</v>
      </c>
      <c r="S478" s="38">
        <f>VLOOKUP(R478,'Sheet A'!R478:AJ1088,2,)</f>
        <v>41</v>
      </c>
    </row>
    <row r="479" spans="1:19" x14ac:dyDescent="0.35">
      <c r="A479" s="37">
        <v>478</v>
      </c>
      <c r="B479" s="60">
        <f>VLOOKUP(A479,'Sheet A'!A479:S1089,2,)</f>
        <v>40564</v>
      </c>
      <c r="C479" s="38">
        <f>VLOOKUP(B479,'Sheet A'!B479:T1089,2,)</f>
        <v>1</v>
      </c>
      <c r="D479" s="38">
        <f>VLOOKUP(C479,'Sheet A'!C479:U1089,2,)</f>
        <v>0</v>
      </c>
      <c r="E479" s="38">
        <f>VLOOKUP(D479,'Sheet A'!D479:V1089,2,)</f>
        <v>1</v>
      </c>
      <c r="F479" s="38">
        <f>VLOOKUP(E479,'Sheet A'!E479:W1089,2,)</f>
        <v>22</v>
      </c>
      <c r="G479" s="41" t="str">
        <f>VLOOKUP(F479,'Sheet A'!F479:X1089,2,)</f>
        <v>Night</v>
      </c>
      <c r="H479" s="38" t="b">
        <f>VLOOKUP(G479,'Sheet A'!G479:Y1089,2,)</f>
        <v>0</v>
      </c>
      <c r="I479" s="38">
        <f>VLOOKUP(H479,'Sheet A'!H479:Z1089,2,)</f>
        <v>5</v>
      </c>
      <c r="J479" s="41" t="str">
        <f>VLOOKUP(I479,'Sheet A'!I479:AA1089,2,)</f>
        <v>Thusday</v>
      </c>
      <c r="K479" s="38">
        <f>VLOOKUP(J479,'Sheet A'!J479:AB1089,2,)</f>
        <v>1</v>
      </c>
      <c r="L479" s="38">
        <f>VLOOKUP(K479,'Sheet A'!K479:AC1089,2,)</f>
        <v>0.06</v>
      </c>
      <c r="M479" s="70" t="str">
        <f>VLOOKUP(L479,'Sheet A'!L479:AD1089,2,)</f>
        <v>Stromy</v>
      </c>
      <c r="N479" s="38">
        <f>VLOOKUP(M479,'Sheet A'!M479:AE1089,2,)</f>
        <v>3.0300000000000001E-2</v>
      </c>
      <c r="O479" s="38">
        <f>VLOOKUP(N479,'Sheet A'!N479:AF1089,2,)</f>
        <v>0.41</v>
      </c>
      <c r="P479" s="38">
        <f>VLOOKUP(O479,'Sheet A'!O479:AG1089,2,)</f>
        <v>0.3881</v>
      </c>
      <c r="Q479" s="38">
        <f>VLOOKUP(P479,'Sheet A'!P479:AH1089,2,)</f>
        <v>1</v>
      </c>
      <c r="R479" s="38">
        <f>VLOOKUP(Q479,'Sheet A'!Q479:AI1089,2,)</f>
        <v>33</v>
      </c>
      <c r="S479" s="38">
        <f>VLOOKUP(R479,'Sheet A'!R479:AJ1089,2,)</f>
        <v>34</v>
      </c>
    </row>
    <row r="480" spans="1:19" x14ac:dyDescent="0.35">
      <c r="A480" s="37">
        <v>479</v>
      </c>
      <c r="B480" s="60">
        <f>VLOOKUP(A480,'Sheet A'!A480:S1090,2,)</f>
        <v>40564</v>
      </c>
      <c r="C480" s="38">
        <f>VLOOKUP(B480,'Sheet A'!B480:T1090,2,)</f>
        <v>1</v>
      </c>
      <c r="D480" s="38">
        <f>VLOOKUP(C480,'Sheet A'!C480:U1090,2,)</f>
        <v>0</v>
      </c>
      <c r="E480" s="38">
        <f>VLOOKUP(D480,'Sheet A'!D480:V1090,2,)</f>
        <v>1</v>
      </c>
      <c r="F480" s="38">
        <f>VLOOKUP(E480,'Sheet A'!E480:W1090,2,)</f>
        <v>23</v>
      </c>
      <c r="G480" s="41" t="str">
        <f>VLOOKUP(F480,'Sheet A'!F480:X1090,2,)</f>
        <v>Night</v>
      </c>
      <c r="H480" s="38" t="b">
        <f>VLOOKUP(G480,'Sheet A'!G480:Y1090,2,)</f>
        <v>0</v>
      </c>
      <c r="I480" s="38">
        <f>VLOOKUP(H480,'Sheet A'!H480:Z1090,2,)</f>
        <v>5</v>
      </c>
      <c r="J480" s="41" t="str">
        <f>VLOOKUP(I480,'Sheet A'!I480:AA1090,2,)</f>
        <v>Thusday</v>
      </c>
      <c r="K480" s="38">
        <f>VLOOKUP(J480,'Sheet A'!J480:AB1090,2,)</f>
        <v>1</v>
      </c>
      <c r="L480" s="38">
        <f>VLOOKUP(K480,'Sheet A'!K480:AC1090,2,)</f>
        <v>0.06</v>
      </c>
      <c r="M480" s="70" t="str">
        <f>VLOOKUP(L480,'Sheet A'!L480:AD1090,2,)</f>
        <v>Stromy</v>
      </c>
      <c r="N480" s="38">
        <f>VLOOKUP(M480,'Sheet A'!M480:AE1090,2,)</f>
        <v>4.5499999999999999E-2</v>
      </c>
      <c r="O480" s="38">
        <f>VLOOKUP(N480,'Sheet A'!N480:AF1090,2,)</f>
        <v>0.38</v>
      </c>
      <c r="P480" s="38">
        <f>VLOOKUP(O480,'Sheet A'!O480:AG1090,2,)</f>
        <v>0.32840000000000003</v>
      </c>
      <c r="Q480" s="38">
        <f>VLOOKUP(P480,'Sheet A'!P480:AH1090,2,)</f>
        <v>0</v>
      </c>
      <c r="R480" s="38">
        <f>VLOOKUP(Q480,'Sheet A'!Q480:AI1090,2,)</f>
        <v>27</v>
      </c>
      <c r="S480" s="38">
        <f>VLOOKUP(R480,'Sheet A'!R480:AJ1090,2,)</f>
        <v>27</v>
      </c>
    </row>
    <row r="481" spans="1:19" x14ac:dyDescent="0.35">
      <c r="A481" s="37">
        <v>480</v>
      </c>
      <c r="B481" s="60">
        <f>VLOOKUP(A481,'Sheet A'!A481:S1091,2,)</f>
        <v>40565</v>
      </c>
      <c r="C481" s="38">
        <f>VLOOKUP(B481,'Sheet A'!B481:T1091,2,)</f>
        <v>1</v>
      </c>
      <c r="D481" s="38">
        <f>VLOOKUP(C481,'Sheet A'!C481:U1091,2,)</f>
        <v>0</v>
      </c>
      <c r="E481" s="38">
        <f>VLOOKUP(D481,'Sheet A'!D481:V1091,2,)</f>
        <v>1</v>
      </c>
      <c r="F481" s="38">
        <f>VLOOKUP(E481,'Sheet A'!E481:W1091,2,)</f>
        <v>0</v>
      </c>
      <c r="G481" s="41" t="str">
        <f>VLOOKUP(F481,'Sheet A'!F481:X1091,2,)</f>
        <v>Night</v>
      </c>
      <c r="H481" s="38" t="b">
        <f>VLOOKUP(G481,'Sheet A'!G481:Y1091,2,)</f>
        <v>0</v>
      </c>
      <c r="I481" s="38">
        <f>VLOOKUP(H481,'Sheet A'!H481:Z1091,2,)</f>
        <v>6</v>
      </c>
      <c r="J481" s="41" t="str">
        <f>VLOOKUP(I481,'Sheet A'!I481:AA1091,2,)</f>
        <v>Friday</v>
      </c>
      <c r="K481" s="38">
        <f>VLOOKUP(J481,'Sheet A'!J481:AB1091,2,)</f>
        <v>1</v>
      </c>
      <c r="L481" s="38">
        <f>VLOOKUP(K481,'Sheet A'!K481:AC1091,2,)</f>
        <v>0.04</v>
      </c>
      <c r="M481" s="70" t="str">
        <f>VLOOKUP(L481,'Sheet A'!L481:AD1091,2,)</f>
        <v>Stromy</v>
      </c>
      <c r="N481" s="38">
        <f>VLOOKUP(M481,'Sheet A'!M481:AE1091,2,)</f>
        <v>3.0300000000000001E-2</v>
      </c>
      <c r="O481" s="38">
        <f>VLOOKUP(N481,'Sheet A'!N481:AF1091,2,)</f>
        <v>0.45</v>
      </c>
      <c r="P481" s="38">
        <f>VLOOKUP(O481,'Sheet A'!O481:AG1091,2,)</f>
        <v>0.25369999999999998</v>
      </c>
      <c r="Q481" s="38">
        <f>VLOOKUP(P481,'Sheet A'!P481:AH1091,2,)</f>
        <v>0</v>
      </c>
      <c r="R481" s="38">
        <f>VLOOKUP(Q481,'Sheet A'!Q481:AI1091,2,)</f>
        <v>13</v>
      </c>
      <c r="S481" s="38">
        <f>VLOOKUP(R481,'Sheet A'!R481:AJ1091,2,)</f>
        <v>13</v>
      </c>
    </row>
    <row r="482" spans="1:19" x14ac:dyDescent="0.35">
      <c r="A482" s="37">
        <v>481</v>
      </c>
      <c r="B482" s="60">
        <f>VLOOKUP(A482,'Sheet A'!A482:S1092,2,)</f>
        <v>40565</v>
      </c>
      <c r="C482" s="38">
        <f>VLOOKUP(B482,'Sheet A'!B482:T1092,2,)</f>
        <v>1</v>
      </c>
      <c r="D482" s="38">
        <f>VLOOKUP(C482,'Sheet A'!C482:U1092,2,)</f>
        <v>0</v>
      </c>
      <c r="E482" s="38">
        <f>VLOOKUP(D482,'Sheet A'!D482:V1092,2,)</f>
        <v>1</v>
      </c>
      <c r="F482" s="38">
        <f>VLOOKUP(E482,'Sheet A'!E482:W1092,2,)</f>
        <v>1</v>
      </c>
      <c r="G482" s="41" t="str">
        <f>VLOOKUP(F482,'Sheet A'!F482:X1092,2,)</f>
        <v>Night</v>
      </c>
      <c r="H482" s="38" t="b">
        <f>VLOOKUP(G482,'Sheet A'!G482:Y1092,2,)</f>
        <v>0</v>
      </c>
      <c r="I482" s="38">
        <f>VLOOKUP(H482,'Sheet A'!H482:Z1092,2,)</f>
        <v>6</v>
      </c>
      <c r="J482" s="41" t="str">
        <f>VLOOKUP(I482,'Sheet A'!I482:AA1092,2,)</f>
        <v>Friday</v>
      </c>
      <c r="K482" s="38">
        <f>VLOOKUP(J482,'Sheet A'!J482:AB1092,2,)</f>
        <v>2</v>
      </c>
      <c r="L482" s="38">
        <f>VLOOKUP(K482,'Sheet A'!K482:AC1092,2,)</f>
        <v>0.04</v>
      </c>
      <c r="M482" s="70" t="str">
        <f>VLOOKUP(L482,'Sheet A'!L482:AD1092,2,)</f>
        <v>Stromy</v>
      </c>
      <c r="N482" s="38">
        <f>VLOOKUP(M482,'Sheet A'!M482:AE1092,2,)</f>
        <v>0</v>
      </c>
      <c r="O482" s="38">
        <f>VLOOKUP(N482,'Sheet A'!N482:AF1092,2,)</f>
        <v>0.41</v>
      </c>
      <c r="P482" s="38">
        <f>VLOOKUP(O482,'Sheet A'!O482:AG1092,2,)</f>
        <v>0.3881</v>
      </c>
      <c r="Q482" s="38">
        <f>VLOOKUP(P482,'Sheet A'!P482:AH1092,2,)</f>
        <v>3</v>
      </c>
      <c r="R482" s="38">
        <f>VLOOKUP(Q482,'Sheet A'!Q482:AI1092,2,)</f>
        <v>9</v>
      </c>
      <c r="S482" s="38">
        <f>VLOOKUP(R482,'Sheet A'!R482:AJ1092,2,)</f>
        <v>12</v>
      </c>
    </row>
    <row r="483" spans="1:19" x14ac:dyDescent="0.35">
      <c r="A483" s="37">
        <v>482</v>
      </c>
      <c r="B483" s="60">
        <f>VLOOKUP(A483,'Sheet A'!A483:S1093,2,)</f>
        <v>40565</v>
      </c>
      <c r="C483" s="38">
        <f>VLOOKUP(B483,'Sheet A'!B483:T1093,2,)</f>
        <v>1</v>
      </c>
      <c r="D483" s="38">
        <f>VLOOKUP(C483,'Sheet A'!C483:U1093,2,)</f>
        <v>0</v>
      </c>
      <c r="E483" s="38">
        <f>VLOOKUP(D483,'Sheet A'!D483:V1093,2,)</f>
        <v>1</v>
      </c>
      <c r="F483" s="38">
        <f>VLOOKUP(E483,'Sheet A'!E483:W1093,2,)</f>
        <v>2</v>
      </c>
      <c r="G483" s="41" t="str">
        <f>VLOOKUP(F483,'Sheet A'!F483:X1093,2,)</f>
        <v>Night</v>
      </c>
      <c r="H483" s="38" t="b">
        <f>VLOOKUP(G483,'Sheet A'!G483:Y1093,2,)</f>
        <v>0</v>
      </c>
      <c r="I483" s="38">
        <f>VLOOKUP(H483,'Sheet A'!H483:Z1093,2,)</f>
        <v>6</v>
      </c>
      <c r="J483" s="41" t="str">
        <f>VLOOKUP(I483,'Sheet A'!I483:AA1093,2,)</f>
        <v>Friday</v>
      </c>
      <c r="K483" s="38">
        <f>VLOOKUP(J483,'Sheet A'!J483:AB1093,2,)</f>
        <v>2</v>
      </c>
      <c r="L483" s="38">
        <f>VLOOKUP(K483,'Sheet A'!K483:AC1093,2,)</f>
        <v>0.04</v>
      </c>
      <c r="M483" s="70" t="str">
        <f>VLOOKUP(L483,'Sheet A'!L483:AD1093,2,)</f>
        <v>Stromy</v>
      </c>
      <c r="N483" s="38">
        <f>VLOOKUP(M483,'Sheet A'!M483:AE1093,2,)</f>
        <v>3.0300000000000001E-2</v>
      </c>
      <c r="O483" s="38">
        <f>VLOOKUP(N483,'Sheet A'!N483:AF1093,2,)</f>
        <v>0.41</v>
      </c>
      <c r="P483" s="38">
        <f>VLOOKUP(O483,'Sheet A'!O483:AG1093,2,)</f>
        <v>0.25369999999999998</v>
      </c>
      <c r="Q483" s="38">
        <f>VLOOKUP(P483,'Sheet A'!P483:AH1093,2,)</f>
        <v>0</v>
      </c>
      <c r="R483" s="38">
        <f>VLOOKUP(Q483,'Sheet A'!Q483:AI1093,2,)</f>
        <v>11</v>
      </c>
      <c r="S483" s="38">
        <f>VLOOKUP(R483,'Sheet A'!R483:AJ1093,2,)</f>
        <v>11</v>
      </c>
    </row>
    <row r="484" spans="1:19" x14ac:dyDescent="0.35">
      <c r="A484" s="37">
        <v>483</v>
      </c>
      <c r="B484" s="60">
        <f>VLOOKUP(A484,'Sheet A'!A484:S1094,2,)</f>
        <v>40565</v>
      </c>
      <c r="C484" s="38">
        <f>VLOOKUP(B484,'Sheet A'!B484:T1094,2,)</f>
        <v>1</v>
      </c>
      <c r="D484" s="38">
        <f>VLOOKUP(C484,'Sheet A'!C484:U1094,2,)</f>
        <v>0</v>
      </c>
      <c r="E484" s="38">
        <f>VLOOKUP(D484,'Sheet A'!D484:V1094,2,)</f>
        <v>1</v>
      </c>
      <c r="F484" s="38">
        <f>VLOOKUP(E484,'Sheet A'!E484:W1094,2,)</f>
        <v>3</v>
      </c>
      <c r="G484" s="41" t="str">
        <f>VLOOKUP(F484,'Sheet A'!F484:X1094,2,)</f>
        <v>Night</v>
      </c>
      <c r="H484" s="38" t="b">
        <f>VLOOKUP(G484,'Sheet A'!G484:Y1094,2,)</f>
        <v>0</v>
      </c>
      <c r="I484" s="38">
        <f>VLOOKUP(H484,'Sheet A'!H484:Z1094,2,)</f>
        <v>6</v>
      </c>
      <c r="J484" s="41" t="str">
        <f>VLOOKUP(I484,'Sheet A'!I484:AA1094,2,)</f>
        <v>Friday</v>
      </c>
      <c r="K484" s="38">
        <f>VLOOKUP(J484,'Sheet A'!J484:AB1094,2,)</f>
        <v>2</v>
      </c>
      <c r="L484" s="38">
        <f>VLOOKUP(K484,'Sheet A'!K484:AC1094,2,)</f>
        <v>0.04</v>
      </c>
      <c r="M484" s="70" t="str">
        <f>VLOOKUP(L484,'Sheet A'!L484:AD1094,2,)</f>
        <v>Stromy</v>
      </c>
      <c r="N484" s="38">
        <f>VLOOKUP(M484,'Sheet A'!M484:AE1094,2,)</f>
        <v>3.0300000000000001E-2</v>
      </c>
      <c r="O484" s="38">
        <f>VLOOKUP(N484,'Sheet A'!N484:AF1094,2,)</f>
        <v>0.41</v>
      </c>
      <c r="P484" s="38">
        <f>VLOOKUP(O484,'Sheet A'!O484:AG1094,2,)</f>
        <v>0.28360000000000002</v>
      </c>
      <c r="Q484" s="38">
        <f>VLOOKUP(P484,'Sheet A'!P484:AH1094,2,)</f>
        <v>1</v>
      </c>
      <c r="R484" s="38">
        <f>VLOOKUP(Q484,'Sheet A'!Q484:AI1094,2,)</f>
        <v>6</v>
      </c>
      <c r="S484" s="38">
        <f>VLOOKUP(R484,'Sheet A'!R484:AJ1094,2,)</f>
        <v>7</v>
      </c>
    </row>
    <row r="485" spans="1:19" x14ac:dyDescent="0.35">
      <c r="A485" s="37">
        <v>484</v>
      </c>
      <c r="B485" s="60">
        <f>VLOOKUP(A485,'Sheet A'!A485:S1095,2,)</f>
        <v>40565</v>
      </c>
      <c r="C485" s="38">
        <f>VLOOKUP(B485,'Sheet A'!B485:T1095,2,)</f>
        <v>1</v>
      </c>
      <c r="D485" s="38">
        <f>VLOOKUP(C485,'Sheet A'!C485:U1095,2,)</f>
        <v>0</v>
      </c>
      <c r="E485" s="38">
        <f>VLOOKUP(D485,'Sheet A'!D485:V1095,2,)</f>
        <v>1</v>
      </c>
      <c r="F485" s="38">
        <f>VLOOKUP(E485,'Sheet A'!E485:W1095,2,)</f>
        <v>4</v>
      </c>
      <c r="G485" s="41" t="str">
        <f>VLOOKUP(F485,'Sheet A'!F485:X1095,2,)</f>
        <v>Night</v>
      </c>
      <c r="H485" s="38" t="b">
        <f>VLOOKUP(G485,'Sheet A'!G485:Y1095,2,)</f>
        <v>0</v>
      </c>
      <c r="I485" s="38">
        <f>VLOOKUP(H485,'Sheet A'!H485:Z1095,2,)</f>
        <v>6</v>
      </c>
      <c r="J485" s="41" t="str">
        <f>VLOOKUP(I485,'Sheet A'!I485:AA1095,2,)</f>
        <v>Friday</v>
      </c>
      <c r="K485" s="38">
        <f>VLOOKUP(J485,'Sheet A'!J485:AB1095,2,)</f>
        <v>2</v>
      </c>
      <c r="L485" s="38">
        <f>VLOOKUP(K485,'Sheet A'!K485:AC1095,2,)</f>
        <v>0.02</v>
      </c>
      <c r="M485" s="70" t="str">
        <f>VLOOKUP(L485,'Sheet A'!L485:AD1095,2,)</f>
        <v>Stromy</v>
      </c>
      <c r="N485" s="38">
        <f>VLOOKUP(M485,'Sheet A'!M485:AE1095,2,)</f>
        <v>1.52E-2</v>
      </c>
      <c r="O485" s="38">
        <f>VLOOKUP(N485,'Sheet A'!N485:AF1095,2,)</f>
        <v>0.48</v>
      </c>
      <c r="P485" s="38">
        <f>VLOOKUP(O485,'Sheet A'!O485:AG1095,2,)</f>
        <v>0.29849999999999999</v>
      </c>
      <c r="Q485" s="38">
        <f>VLOOKUP(P485,'Sheet A'!P485:AH1095,2,)</f>
        <v>0</v>
      </c>
      <c r="R485" s="38">
        <f>VLOOKUP(Q485,'Sheet A'!Q485:AI1095,2,)</f>
        <v>3</v>
      </c>
      <c r="S485" s="38">
        <f>VLOOKUP(R485,'Sheet A'!R485:AJ1095,2,)</f>
        <v>3</v>
      </c>
    </row>
    <row r="486" spans="1:19" x14ac:dyDescent="0.35">
      <c r="A486" s="37">
        <v>485</v>
      </c>
      <c r="B486" s="60">
        <f>VLOOKUP(A486,'Sheet A'!A486:S1096,2,)</f>
        <v>40565</v>
      </c>
      <c r="C486" s="38">
        <f>VLOOKUP(B486,'Sheet A'!B486:T1096,2,)</f>
        <v>1</v>
      </c>
      <c r="D486" s="38">
        <f>VLOOKUP(C486,'Sheet A'!C486:U1096,2,)</f>
        <v>0</v>
      </c>
      <c r="E486" s="38">
        <f>VLOOKUP(D486,'Sheet A'!D486:V1096,2,)</f>
        <v>1</v>
      </c>
      <c r="F486" s="38">
        <f>VLOOKUP(E486,'Sheet A'!E486:W1096,2,)</f>
        <v>6</v>
      </c>
      <c r="G486" s="41" t="str">
        <f>VLOOKUP(F486,'Sheet A'!F486:X1096,2,)</f>
        <v>Morning</v>
      </c>
      <c r="H486" s="38" t="b">
        <f>VLOOKUP(G486,'Sheet A'!G486:Y1096,2,)</f>
        <v>0</v>
      </c>
      <c r="I486" s="38">
        <f>VLOOKUP(H486,'Sheet A'!H486:Z1096,2,)</f>
        <v>6</v>
      </c>
      <c r="J486" s="41" t="str">
        <f>VLOOKUP(I486,'Sheet A'!I486:AA1096,2,)</f>
        <v>Friday</v>
      </c>
      <c r="K486" s="38">
        <f>VLOOKUP(J486,'Sheet A'!J486:AB1096,2,)</f>
        <v>2</v>
      </c>
      <c r="L486" s="38">
        <f>VLOOKUP(K486,'Sheet A'!K486:AC1096,2,)</f>
        <v>0.02</v>
      </c>
      <c r="M486" s="70" t="str">
        <f>VLOOKUP(L486,'Sheet A'!L486:AD1096,2,)</f>
        <v>Stromy</v>
      </c>
      <c r="N486" s="38">
        <f>VLOOKUP(M486,'Sheet A'!M486:AE1096,2,)</f>
        <v>3.0300000000000001E-2</v>
      </c>
      <c r="O486" s="38">
        <f>VLOOKUP(N486,'Sheet A'!N486:AF1096,2,)</f>
        <v>0.44</v>
      </c>
      <c r="P486" s="38">
        <f>VLOOKUP(O486,'Sheet A'!O486:AG1096,2,)</f>
        <v>0.22389999999999999</v>
      </c>
      <c r="Q486" s="38">
        <f>VLOOKUP(P486,'Sheet A'!P486:AH1096,2,)</f>
        <v>0</v>
      </c>
      <c r="R486" s="38">
        <f>VLOOKUP(Q486,'Sheet A'!Q486:AI1096,2,)</f>
        <v>2</v>
      </c>
      <c r="S486" s="38">
        <f>VLOOKUP(R486,'Sheet A'!R486:AJ1096,2,)</f>
        <v>2</v>
      </c>
    </row>
    <row r="487" spans="1:19" x14ac:dyDescent="0.35">
      <c r="A487" s="37">
        <v>486</v>
      </c>
      <c r="B487" s="60">
        <f>VLOOKUP(A487,'Sheet A'!A487:S1097,2,)</f>
        <v>40565</v>
      </c>
      <c r="C487" s="38">
        <f>VLOOKUP(B487,'Sheet A'!B487:T1097,2,)</f>
        <v>1</v>
      </c>
      <c r="D487" s="38">
        <f>VLOOKUP(C487,'Sheet A'!C487:U1097,2,)</f>
        <v>0</v>
      </c>
      <c r="E487" s="38">
        <f>VLOOKUP(D487,'Sheet A'!D487:V1097,2,)</f>
        <v>1</v>
      </c>
      <c r="F487" s="38">
        <f>VLOOKUP(E487,'Sheet A'!E487:W1097,2,)</f>
        <v>7</v>
      </c>
      <c r="G487" s="41" t="str">
        <f>VLOOKUP(F487,'Sheet A'!F487:X1097,2,)</f>
        <v>Morning</v>
      </c>
      <c r="H487" s="38" t="b">
        <f>VLOOKUP(G487,'Sheet A'!G487:Y1097,2,)</f>
        <v>0</v>
      </c>
      <c r="I487" s="38">
        <f>VLOOKUP(H487,'Sheet A'!H487:Z1097,2,)</f>
        <v>6</v>
      </c>
      <c r="J487" s="41" t="str">
        <f>VLOOKUP(I487,'Sheet A'!I487:AA1097,2,)</f>
        <v>Friday</v>
      </c>
      <c r="K487" s="38">
        <f>VLOOKUP(J487,'Sheet A'!J487:AB1097,2,)</f>
        <v>1</v>
      </c>
      <c r="L487" s="38">
        <f>VLOOKUP(K487,'Sheet A'!K487:AC1097,2,)</f>
        <v>0.02</v>
      </c>
      <c r="M487" s="70" t="str">
        <f>VLOOKUP(L487,'Sheet A'!L487:AD1097,2,)</f>
        <v>Stromy</v>
      </c>
      <c r="N487" s="38">
        <f>VLOOKUP(M487,'Sheet A'!M487:AE1097,2,)</f>
        <v>1.52E-2</v>
      </c>
      <c r="O487" s="38">
        <f>VLOOKUP(N487,'Sheet A'!N487:AF1097,2,)</f>
        <v>0.44</v>
      </c>
      <c r="P487" s="38">
        <f>VLOOKUP(O487,'Sheet A'!O487:AG1097,2,)</f>
        <v>0.28360000000000002</v>
      </c>
      <c r="Q487" s="38">
        <f>VLOOKUP(P487,'Sheet A'!P487:AH1097,2,)</f>
        <v>0</v>
      </c>
      <c r="R487" s="38">
        <f>VLOOKUP(Q487,'Sheet A'!Q487:AI1097,2,)</f>
        <v>8</v>
      </c>
      <c r="S487" s="38">
        <f>VLOOKUP(R487,'Sheet A'!R487:AJ1097,2,)</f>
        <v>8</v>
      </c>
    </row>
    <row r="488" spans="1:19" x14ac:dyDescent="0.35">
      <c r="A488" s="37">
        <v>487</v>
      </c>
      <c r="B488" s="60">
        <f>VLOOKUP(A488,'Sheet A'!A488:S1098,2,)</f>
        <v>40565</v>
      </c>
      <c r="C488" s="38">
        <f>VLOOKUP(B488,'Sheet A'!B488:T1098,2,)</f>
        <v>1</v>
      </c>
      <c r="D488" s="38">
        <f>VLOOKUP(C488,'Sheet A'!C488:U1098,2,)</f>
        <v>0</v>
      </c>
      <c r="E488" s="38">
        <f>VLOOKUP(D488,'Sheet A'!D488:V1098,2,)</f>
        <v>1</v>
      </c>
      <c r="F488" s="38">
        <f>VLOOKUP(E488,'Sheet A'!E488:W1098,2,)</f>
        <v>8</v>
      </c>
      <c r="G488" s="41" t="str">
        <f>VLOOKUP(F488,'Sheet A'!F488:X1098,2,)</f>
        <v>Morning</v>
      </c>
      <c r="H488" s="38" t="b">
        <f>VLOOKUP(G488,'Sheet A'!G488:Y1098,2,)</f>
        <v>0</v>
      </c>
      <c r="I488" s="38">
        <f>VLOOKUP(H488,'Sheet A'!H488:Z1098,2,)</f>
        <v>6</v>
      </c>
      <c r="J488" s="41" t="str">
        <f>VLOOKUP(I488,'Sheet A'!I488:AA1098,2,)</f>
        <v>Friday</v>
      </c>
      <c r="K488" s="38">
        <f>VLOOKUP(J488,'Sheet A'!J488:AB1098,2,)</f>
        <v>1</v>
      </c>
      <c r="L488" s="38">
        <f>VLOOKUP(K488,'Sheet A'!K488:AC1098,2,)</f>
        <v>0.02</v>
      </c>
      <c r="M488" s="70" t="str">
        <f>VLOOKUP(L488,'Sheet A'!L488:AD1098,2,)</f>
        <v>Stromy</v>
      </c>
      <c r="N488" s="38">
        <f>VLOOKUP(M488,'Sheet A'!M488:AE1098,2,)</f>
        <v>0</v>
      </c>
      <c r="O488" s="38">
        <f>VLOOKUP(N488,'Sheet A'!N488:AF1098,2,)</f>
        <v>0.44</v>
      </c>
      <c r="P488" s="38">
        <f>VLOOKUP(O488,'Sheet A'!O488:AG1098,2,)</f>
        <v>0.32840000000000003</v>
      </c>
      <c r="Q488" s="38">
        <f>VLOOKUP(P488,'Sheet A'!P488:AH1098,2,)</f>
        <v>1</v>
      </c>
      <c r="R488" s="38">
        <f>VLOOKUP(Q488,'Sheet A'!Q488:AI1098,2,)</f>
        <v>26</v>
      </c>
      <c r="S488" s="38">
        <f>VLOOKUP(R488,'Sheet A'!R488:AJ1098,2,)</f>
        <v>27</v>
      </c>
    </row>
    <row r="489" spans="1:19" x14ac:dyDescent="0.35">
      <c r="A489" s="37">
        <v>488</v>
      </c>
      <c r="B489" s="60">
        <f>VLOOKUP(A489,'Sheet A'!A489:S1099,2,)</f>
        <v>40565</v>
      </c>
      <c r="C489" s="38">
        <f>VLOOKUP(B489,'Sheet A'!B489:T1099,2,)</f>
        <v>1</v>
      </c>
      <c r="D489" s="38">
        <f>VLOOKUP(C489,'Sheet A'!C489:U1099,2,)</f>
        <v>0</v>
      </c>
      <c r="E489" s="38">
        <f>VLOOKUP(D489,'Sheet A'!D489:V1099,2,)</f>
        <v>1</v>
      </c>
      <c r="F489" s="38">
        <f>VLOOKUP(E489,'Sheet A'!E489:W1099,2,)</f>
        <v>9</v>
      </c>
      <c r="G489" s="41" t="str">
        <f>VLOOKUP(F489,'Sheet A'!F489:X1099,2,)</f>
        <v>Morning</v>
      </c>
      <c r="H489" s="38" t="b">
        <f>VLOOKUP(G489,'Sheet A'!G489:Y1099,2,)</f>
        <v>0</v>
      </c>
      <c r="I489" s="38">
        <f>VLOOKUP(H489,'Sheet A'!H489:Z1099,2,)</f>
        <v>6</v>
      </c>
      <c r="J489" s="41" t="str">
        <f>VLOOKUP(I489,'Sheet A'!I489:AA1099,2,)</f>
        <v>Friday</v>
      </c>
      <c r="K489" s="38">
        <f>VLOOKUP(J489,'Sheet A'!J489:AB1099,2,)</f>
        <v>1</v>
      </c>
      <c r="L489" s="38">
        <f>VLOOKUP(K489,'Sheet A'!K489:AC1099,2,)</f>
        <v>0.04</v>
      </c>
      <c r="M489" s="70" t="str">
        <f>VLOOKUP(L489,'Sheet A'!L489:AD1099,2,)</f>
        <v>Stromy</v>
      </c>
      <c r="N489" s="38">
        <f>VLOOKUP(M489,'Sheet A'!M489:AE1099,2,)</f>
        <v>3.0300000000000001E-2</v>
      </c>
      <c r="O489" s="38">
        <f>VLOOKUP(N489,'Sheet A'!N489:AF1099,2,)</f>
        <v>0.41</v>
      </c>
      <c r="P489" s="38">
        <f>VLOOKUP(O489,'Sheet A'!O489:AG1099,2,)</f>
        <v>0.25369999999999998</v>
      </c>
      <c r="Q489" s="38">
        <f>VLOOKUP(P489,'Sheet A'!P489:AH1099,2,)</f>
        <v>3</v>
      </c>
      <c r="R489" s="38">
        <f>VLOOKUP(Q489,'Sheet A'!Q489:AI1099,2,)</f>
        <v>37</v>
      </c>
      <c r="S489" s="38">
        <f>VLOOKUP(R489,'Sheet A'!R489:AJ1099,2,)</f>
        <v>40</v>
      </c>
    </row>
    <row r="490" spans="1:19" x14ac:dyDescent="0.35">
      <c r="A490" s="37">
        <v>489</v>
      </c>
      <c r="B490" s="60">
        <f>VLOOKUP(A490,'Sheet A'!A490:S1100,2,)</f>
        <v>40565</v>
      </c>
      <c r="C490" s="38">
        <f>VLOOKUP(B490,'Sheet A'!B490:T1100,2,)</f>
        <v>1</v>
      </c>
      <c r="D490" s="38">
        <f>VLOOKUP(C490,'Sheet A'!C490:U1100,2,)</f>
        <v>0</v>
      </c>
      <c r="E490" s="38">
        <f>VLOOKUP(D490,'Sheet A'!D490:V1100,2,)</f>
        <v>1</v>
      </c>
      <c r="F490" s="38">
        <f>VLOOKUP(E490,'Sheet A'!E490:W1100,2,)</f>
        <v>10</v>
      </c>
      <c r="G490" s="41" t="str">
        <f>VLOOKUP(F490,'Sheet A'!F490:X1100,2,)</f>
        <v>Morning</v>
      </c>
      <c r="H490" s="38" t="b">
        <f>VLOOKUP(G490,'Sheet A'!G490:Y1100,2,)</f>
        <v>0</v>
      </c>
      <c r="I490" s="38">
        <f>VLOOKUP(H490,'Sheet A'!H490:Z1100,2,)</f>
        <v>6</v>
      </c>
      <c r="J490" s="41" t="str">
        <f>VLOOKUP(I490,'Sheet A'!I490:AA1100,2,)</f>
        <v>Friday</v>
      </c>
      <c r="K490" s="38">
        <f>VLOOKUP(J490,'Sheet A'!J490:AB1100,2,)</f>
        <v>2</v>
      </c>
      <c r="L490" s="38">
        <f>VLOOKUP(K490,'Sheet A'!K490:AC1100,2,)</f>
        <v>0.04</v>
      </c>
      <c r="M490" s="70" t="str">
        <f>VLOOKUP(L490,'Sheet A'!L490:AD1100,2,)</f>
        <v>Stromy</v>
      </c>
      <c r="N490" s="38">
        <f>VLOOKUP(M490,'Sheet A'!M490:AE1100,2,)</f>
        <v>6.0600000000000001E-2</v>
      </c>
      <c r="O490" s="38">
        <f>VLOOKUP(N490,'Sheet A'!N490:AF1100,2,)</f>
        <v>0.41</v>
      </c>
      <c r="P490" s="38">
        <f>VLOOKUP(O490,'Sheet A'!O490:AG1100,2,)</f>
        <v>0.16420000000000001</v>
      </c>
      <c r="Q490" s="38">
        <f>VLOOKUP(P490,'Sheet A'!P490:AH1100,2,)</f>
        <v>3</v>
      </c>
      <c r="R490" s="38">
        <f>VLOOKUP(Q490,'Sheet A'!Q490:AI1100,2,)</f>
        <v>50</v>
      </c>
      <c r="S490" s="38">
        <f>VLOOKUP(R490,'Sheet A'!R490:AJ1100,2,)</f>
        <v>53</v>
      </c>
    </row>
    <row r="491" spans="1:19" x14ac:dyDescent="0.35">
      <c r="A491" s="37">
        <v>490</v>
      </c>
      <c r="B491" s="60">
        <f>VLOOKUP(A491,'Sheet A'!A491:S1101,2,)</f>
        <v>40565</v>
      </c>
      <c r="C491" s="38">
        <f>VLOOKUP(B491,'Sheet A'!B491:T1101,2,)</f>
        <v>1</v>
      </c>
      <c r="D491" s="38">
        <f>VLOOKUP(C491,'Sheet A'!C491:U1101,2,)</f>
        <v>0</v>
      </c>
      <c r="E491" s="38">
        <f>VLOOKUP(D491,'Sheet A'!D491:V1101,2,)</f>
        <v>1</v>
      </c>
      <c r="F491" s="38">
        <f>VLOOKUP(E491,'Sheet A'!E491:W1101,2,)</f>
        <v>11</v>
      </c>
      <c r="G491" s="41" t="str">
        <f>VLOOKUP(F491,'Sheet A'!F491:X1101,2,)</f>
        <v>Morning</v>
      </c>
      <c r="H491" s="38" t="b">
        <f>VLOOKUP(G491,'Sheet A'!G491:Y1101,2,)</f>
        <v>0</v>
      </c>
      <c r="I491" s="38">
        <f>VLOOKUP(H491,'Sheet A'!H491:Z1101,2,)</f>
        <v>6</v>
      </c>
      <c r="J491" s="41" t="str">
        <f>VLOOKUP(I491,'Sheet A'!I491:AA1101,2,)</f>
        <v>Friday</v>
      </c>
      <c r="K491" s="38">
        <f>VLOOKUP(J491,'Sheet A'!J491:AB1101,2,)</f>
        <v>2</v>
      </c>
      <c r="L491" s="38">
        <f>VLOOKUP(K491,'Sheet A'!K491:AC1101,2,)</f>
        <v>0.06</v>
      </c>
      <c r="M491" s="70" t="str">
        <f>VLOOKUP(L491,'Sheet A'!L491:AD1101,2,)</f>
        <v>Stromy</v>
      </c>
      <c r="N491" s="38">
        <f>VLOOKUP(M491,'Sheet A'!M491:AE1101,2,)</f>
        <v>7.5800000000000006E-2</v>
      </c>
      <c r="O491" s="38">
        <f>VLOOKUP(N491,'Sheet A'!N491:AF1101,2,)</f>
        <v>0.38</v>
      </c>
      <c r="P491" s="38">
        <f>VLOOKUP(O491,'Sheet A'!O491:AG1101,2,)</f>
        <v>0.1343</v>
      </c>
      <c r="Q491" s="38">
        <f>VLOOKUP(P491,'Sheet A'!P491:AH1101,2,)</f>
        <v>4</v>
      </c>
      <c r="R491" s="38">
        <f>VLOOKUP(Q491,'Sheet A'!Q491:AI1101,2,)</f>
        <v>59</v>
      </c>
      <c r="S491" s="38">
        <f>VLOOKUP(R491,'Sheet A'!R491:AJ1101,2,)</f>
        <v>63</v>
      </c>
    </row>
    <row r="492" spans="1:19" x14ac:dyDescent="0.35">
      <c r="A492" s="37">
        <v>491</v>
      </c>
      <c r="B492" s="60">
        <f>VLOOKUP(A492,'Sheet A'!A492:S1102,2,)</f>
        <v>40565</v>
      </c>
      <c r="C492" s="38">
        <f>VLOOKUP(B492,'Sheet A'!B492:T1102,2,)</f>
        <v>1</v>
      </c>
      <c r="D492" s="38">
        <f>VLOOKUP(C492,'Sheet A'!C492:U1102,2,)</f>
        <v>0</v>
      </c>
      <c r="E492" s="38">
        <f>VLOOKUP(D492,'Sheet A'!D492:V1102,2,)</f>
        <v>1</v>
      </c>
      <c r="F492" s="38">
        <f>VLOOKUP(E492,'Sheet A'!E492:W1102,2,)</f>
        <v>12</v>
      </c>
      <c r="G492" s="41" t="str">
        <f>VLOOKUP(F492,'Sheet A'!F492:X1102,2,)</f>
        <v>AfterNoon</v>
      </c>
      <c r="H492" s="38" t="b">
        <f>VLOOKUP(G492,'Sheet A'!G492:Y1102,2,)</f>
        <v>0</v>
      </c>
      <c r="I492" s="38">
        <f>VLOOKUP(H492,'Sheet A'!H492:Z1102,2,)</f>
        <v>6</v>
      </c>
      <c r="J492" s="41" t="str">
        <f>VLOOKUP(I492,'Sheet A'!I492:AA1102,2,)</f>
        <v>Friday</v>
      </c>
      <c r="K492" s="38">
        <f>VLOOKUP(J492,'Sheet A'!J492:AB1102,2,)</f>
        <v>2</v>
      </c>
      <c r="L492" s="38">
        <f>VLOOKUP(K492,'Sheet A'!K492:AC1102,2,)</f>
        <v>0.06</v>
      </c>
      <c r="M492" s="70" t="str">
        <f>VLOOKUP(L492,'Sheet A'!L492:AD1102,2,)</f>
        <v>Stromy</v>
      </c>
      <c r="N492" s="38">
        <f>VLOOKUP(M492,'Sheet A'!M492:AE1102,2,)</f>
        <v>0.1061</v>
      </c>
      <c r="O492" s="38">
        <f>VLOOKUP(N492,'Sheet A'!N492:AF1102,2,)</f>
        <v>0.38</v>
      </c>
      <c r="P492" s="38">
        <f>VLOOKUP(O492,'Sheet A'!O492:AG1102,2,)</f>
        <v>0.1045</v>
      </c>
      <c r="Q492" s="38">
        <f>VLOOKUP(P492,'Sheet A'!P492:AH1102,2,)</f>
        <v>10</v>
      </c>
      <c r="R492" s="38">
        <f>VLOOKUP(Q492,'Sheet A'!Q492:AI1102,2,)</f>
        <v>60</v>
      </c>
      <c r="S492" s="38">
        <f>VLOOKUP(R492,'Sheet A'!R492:AJ1102,2,)</f>
        <v>70</v>
      </c>
    </row>
    <row r="493" spans="1:19" x14ac:dyDescent="0.35">
      <c r="A493" s="37">
        <v>492</v>
      </c>
      <c r="B493" s="60">
        <f>VLOOKUP(A493,'Sheet A'!A493:S1103,2,)</f>
        <v>40565</v>
      </c>
      <c r="C493" s="38">
        <f>VLOOKUP(B493,'Sheet A'!B493:T1103,2,)</f>
        <v>1</v>
      </c>
      <c r="D493" s="38">
        <f>VLOOKUP(C493,'Sheet A'!C493:U1103,2,)</f>
        <v>0</v>
      </c>
      <c r="E493" s="38">
        <f>VLOOKUP(D493,'Sheet A'!D493:V1103,2,)</f>
        <v>1</v>
      </c>
      <c r="F493" s="38">
        <f>VLOOKUP(E493,'Sheet A'!E493:W1103,2,)</f>
        <v>13</v>
      </c>
      <c r="G493" s="41" t="str">
        <f>VLOOKUP(F493,'Sheet A'!F493:X1103,2,)</f>
        <v>AfterNoon</v>
      </c>
      <c r="H493" s="38" t="b">
        <f>VLOOKUP(G493,'Sheet A'!G493:Y1103,2,)</f>
        <v>0</v>
      </c>
      <c r="I493" s="38">
        <f>VLOOKUP(H493,'Sheet A'!H493:Z1103,2,)</f>
        <v>6</v>
      </c>
      <c r="J493" s="41" t="str">
        <f>VLOOKUP(I493,'Sheet A'!I493:AA1103,2,)</f>
        <v>Friday</v>
      </c>
      <c r="K493" s="38">
        <f>VLOOKUP(J493,'Sheet A'!J493:AB1103,2,)</f>
        <v>1</v>
      </c>
      <c r="L493" s="38">
        <f>VLOOKUP(K493,'Sheet A'!K493:AC1103,2,)</f>
        <v>0.08</v>
      </c>
      <c r="M493" s="70" t="str">
        <f>VLOOKUP(L493,'Sheet A'!L493:AD1103,2,)</f>
        <v>Stromy</v>
      </c>
      <c r="N493" s="38">
        <f>VLOOKUP(M493,'Sheet A'!M493:AE1103,2,)</f>
        <v>0.16669999999999999</v>
      </c>
      <c r="O493" s="38">
        <f>VLOOKUP(N493,'Sheet A'!N493:AF1103,2,)</f>
        <v>0.35</v>
      </c>
      <c r="P493" s="38">
        <f>VLOOKUP(O493,'Sheet A'!O493:AG1103,2,)</f>
        <v>0</v>
      </c>
      <c r="Q493" s="38">
        <f>VLOOKUP(P493,'Sheet A'!P493:AH1103,2,)</f>
        <v>12</v>
      </c>
      <c r="R493" s="38">
        <f>VLOOKUP(Q493,'Sheet A'!Q493:AI1103,2,)</f>
        <v>72</v>
      </c>
      <c r="S493" s="38">
        <f>VLOOKUP(R493,'Sheet A'!R493:AJ1103,2,)</f>
        <v>84</v>
      </c>
    </row>
    <row r="494" spans="1:19" x14ac:dyDescent="0.35">
      <c r="A494" s="37">
        <v>493</v>
      </c>
      <c r="B494" s="60">
        <f>VLOOKUP(A494,'Sheet A'!A494:S1104,2,)</f>
        <v>40565</v>
      </c>
      <c r="C494" s="38">
        <f>VLOOKUP(B494,'Sheet A'!B494:T1104,2,)</f>
        <v>1</v>
      </c>
      <c r="D494" s="38">
        <f>VLOOKUP(C494,'Sheet A'!C494:U1104,2,)</f>
        <v>0</v>
      </c>
      <c r="E494" s="38">
        <f>VLOOKUP(D494,'Sheet A'!D494:V1104,2,)</f>
        <v>1</v>
      </c>
      <c r="F494" s="38">
        <f>VLOOKUP(E494,'Sheet A'!E494:W1104,2,)</f>
        <v>14</v>
      </c>
      <c r="G494" s="41" t="str">
        <f>VLOOKUP(F494,'Sheet A'!F494:X1104,2,)</f>
        <v>AfterNoon</v>
      </c>
      <c r="H494" s="38" t="b">
        <f>VLOOKUP(G494,'Sheet A'!G494:Y1104,2,)</f>
        <v>0</v>
      </c>
      <c r="I494" s="38">
        <f>VLOOKUP(H494,'Sheet A'!H494:Z1104,2,)</f>
        <v>6</v>
      </c>
      <c r="J494" s="41" t="str">
        <f>VLOOKUP(I494,'Sheet A'!I494:AA1104,2,)</f>
        <v>Friday</v>
      </c>
      <c r="K494" s="38">
        <f>VLOOKUP(J494,'Sheet A'!J494:AB1104,2,)</f>
        <v>1</v>
      </c>
      <c r="L494" s="38">
        <f>VLOOKUP(K494,'Sheet A'!K494:AC1104,2,)</f>
        <v>0.1</v>
      </c>
      <c r="M494" s="70" t="str">
        <f>VLOOKUP(L494,'Sheet A'!L494:AD1104,2,)</f>
        <v>Stromy</v>
      </c>
      <c r="N494" s="38">
        <f>VLOOKUP(M494,'Sheet A'!M494:AE1104,2,)</f>
        <v>0.13639999999999999</v>
      </c>
      <c r="O494" s="38">
        <f>VLOOKUP(N494,'Sheet A'!N494:AF1104,2,)</f>
        <v>0.33</v>
      </c>
      <c r="P494" s="38">
        <f>VLOOKUP(O494,'Sheet A'!O494:AG1104,2,)</f>
        <v>0.1045</v>
      </c>
      <c r="Q494" s="38">
        <f>VLOOKUP(P494,'Sheet A'!P494:AH1104,2,)</f>
        <v>11</v>
      </c>
      <c r="R494" s="38">
        <f>VLOOKUP(Q494,'Sheet A'!Q494:AI1104,2,)</f>
        <v>64</v>
      </c>
      <c r="S494" s="38">
        <f>VLOOKUP(R494,'Sheet A'!R494:AJ1104,2,)</f>
        <v>75</v>
      </c>
    </row>
    <row r="495" spans="1:19" x14ac:dyDescent="0.35">
      <c r="A495" s="37">
        <v>494</v>
      </c>
      <c r="B495" s="60">
        <f>VLOOKUP(A495,'Sheet A'!A495:S1105,2,)</f>
        <v>40565</v>
      </c>
      <c r="C495" s="38">
        <f>VLOOKUP(B495,'Sheet A'!B495:T1105,2,)</f>
        <v>1</v>
      </c>
      <c r="D495" s="38">
        <f>VLOOKUP(C495,'Sheet A'!C495:U1105,2,)</f>
        <v>0</v>
      </c>
      <c r="E495" s="38">
        <f>VLOOKUP(D495,'Sheet A'!D495:V1105,2,)</f>
        <v>1</v>
      </c>
      <c r="F495" s="38">
        <f>VLOOKUP(E495,'Sheet A'!E495:W1105,2,)</f>
        <v>15</v>
      </c>
      <c r="G495" s="41" t="str">
        <f>VLOOKUP(F495,'Sheet A'!F495:X1105,2,)</f>
        <v>AfterNoon</v>
      </c>
      <c r="H495" s="38" t="b">
        <f>VLOOKUP(G495,'Sheet A'!G495:Y1105,2,)</f>
        <v>0</v>
      </c>
      <c r="I495" s="38">
        <f>VLOOKUP(H495,'Sheet A'!H495:Z1105,2,)</f>
        <v>6</v>
      </c>
      <c r="J495" s="41" t="str">
        <f>VLOOKUP(I495,'Sheet A'!I495:AA1105,2,)</f>
        <v>Friday</v>
      </c>
      <c r="K495" s="38">
        <f>VLOOKUP(J495,'Sheet A'!J495:AB1105,2,)</f>
        <v>1</v>
      </c>
      <c r="L495" s="38">
        <f>VLOOKUP(K495,'Sheet A'!K495:AC1105,2,)</f>
        <v>0.12</v>
      </c>
      <c r="M495" s="70" t="str">
        <f>VLOOKUP(L495,'Sheet A'!L495:AD1105,2,)</f>
        <v>Rainy</v>
      </c>
      <c r="N495" s="38">
        <f>VLOOKUP(M495,'Sheet A'!M495:AE1105,2,)</f>
        <v>0.1515</v>
      </c>
      <c r="O495" s="38">
        <f>VLOOKUP(N495,'Sheet A'!N495:AF1105,2,)</f>
        <v>0.28000000000000003</v>
      </c>
      <c r="P495" s="38">
        <f>VLOOKUP(O495,'Sheet A'!O495:AG1105,2,)</f>
        <v>0</v>
      </c>
      <c r="Q495" s="38">
        <f>VLOOKUP(P495,'Sheet A'!P495:AH1105,2,)</f>
        <v>10</v>
      </c>
      <c r="R495" s="38">
        <f>VLOOKUP(Q495,'Sheet A'!Q495:AI1105,2,)</f>
        <v>93</v>
      </c>
      <c r="S495" s="38">
        <f>VLOOKUP(R495,'Sheet A'!R495:AJ1105,2,)</f>
        <v>103</v>
      </c>
    </row>
    <row r="496" spans="1:19" x14ac:dyDescent="0.35">
      <c r="A496" s="37">
        <v>495</v>
      </c>
      <c r="B496" s="60">
        <f>VLOOKUP(A496,'Sheet A'!A496:S1106,2,)</f>
        <v>40565</v>
      </c>
      <c r="C496" s="38">
        <f>VLOOKUP(B496,'Sheet A'!B496:T1106,2,)</f>
        <v>1</v>
      </c>
      <c r="D496" s="38">
        <f>VLOOKUP(C496,'Sheet A'!C496:U1106,2,)</f>
        <v>0</v>
      </c>
      <c r="E496" s="38">
        <f>VLOOKUP(D496,'Sheet A'!D496:V1106,2,)</f>
        <v>1</v>
      </c>
      <c r="F496" s="38">
        <f>VLOOKUP(E496,'Sheet A'!E496:W1106,2,)</f>
        <v>16</v>
      </c>
      <c r="G496" s="41" t="str">
        <f>VLOOKUP(F496,'Sheet A'!F496:X1106,2,)</f>
        <v>AfterNoon</v>
      </c>
      <c r="H496" s="38" t="b">
        <f>VLOOKUP(G496,'Sheet A'!G496:Y1106,2,)</f>
        <v>0</v>
      </c>
      <c r="I496" s="38">
        <f>VLOOKUP(H496,'Sheet A'!H496:Z1106,2,)</f>
        <v>6</v>
      </c>
      <c r="J496" s="41" t="str">
        <f>VLOOKUP(I496,'Sheet A'!I496:AA1106,2,)</f>
        <v>Friday</v>
      </c>
      <c r="K496" s="38">
        <f>VLOOKUP(J496,'Sheet A'!J496:AB1106,2,)</f>
        <v>1</v>
      </c>
      <c r="L496" s="38">
        <f>VLOOKUP(K496,'Sheet A'!K496:AC1106,2,)</f>
        <v>0.12</v>
      </c>
      <c r="M496" s="70" t="str">
        <f>VLOOKUP(L496,'Sheet A'!L496:AD1106,2,)</f>
        <v>Rainy</v>
      </c>
      <c r="N496" s="38">
        <f>VLOOKUP(M496,'Sheet A'!M496:AE1106,2,)</f>
        <v>0.13639999999999999</v>
      </c>
      <c r="O496" s="38">
        <f>VLOOKUP(N496,'Sheet A'!N496:AF1106,2,)</f>
        <v>0.28000000000000003</v>
      </c>
      <c r="P496" s="38">
        <f>VLOOKUP(O496,'Sheet A'!O496:AG1106,2,)</f>
        <v>0.19400000000000001</v>
      </c>
      <c r="Q496" s="38">
        <f>VLOOKUP(P496,'Sheet A'!P496:AH1106,2,)</f>
        <v>11</v>
      </c>
      <c r="R496" s="38">
        <f>VLOOKUP(Q496,'Sheet A'!Q496:AI1106,2,)</f>
        <v>72</v>
      </c>
      <c r="S496" s="38">
        <f>VLOOKUP(R496,'Sheet A'!R496:AJ1106,2,)</f>
        <v>83</v>
      </c>
    </row>
    <row r="497" spans="1:19" x14ac:dyDescent="0.35">
      <c r="A497" s="37">
        <v>496</v>
      </c>
      <c r="B497" s="60">
        <f>VLOOKUP(A497,'Sheet A'!A497:S1107,2,)</f>
        <v>40565</v>
      </c>
      <c r="C497" s="38">
        <f>VLOOKUP(B497,'Sheet A'!B497:T1107,2,)</f>
        <v>1</v>
      </c>
      <c r="D497" s="38">
        <f>VLOOKUP(C497,'Sheet A'!C497:U1107,2,)</f>
        <v>0</v>
      </c>
      <c r="E497" s="38">
        <f>VLOOKUP(D497,'Sheet A'!D497:V1107,2,)</f>
        <v>1</v>
      </c>
      <c r="F497" s="38">
        <f>VLOOKUP(E497,'Sheet A'!E497:W1107,2,)</f>
        <v>17</v>
      </c>
      <c r="G497" s="41" t="str">
        <f>VLOOKUP(F497,'Sheet A'!F497:X1107,2,)</f>
        <v>Evening</v>
      </c>
      <c r="H497" s="38" t="b">
        <f>VLOOKUP(G497,'Sheet A'!G497:Y1107,2,)</f>
        <v>0</v>
      </c>
      <c r="I497" s="38">
        <f>VLOOKUP(H497,'Sheet A'!H497:Z1107,2,)</f>
        <v>6</v>
      </c>
      <c r="J497" s="41" t="str">
        <f>VLOOKUP(I497,'Sheet A'!I497:AA1107,2,)</f>
        <v>Friday</v>
      </c>
      <c r="K497" s="38">
        <f>VLOOKUP(J497,'Sheet A'!J497:AB1107,2,)</f>
        <v>1</v>
      </c>
      <c r="L497" s="38">
        <f>VLOOKUP(K497,'Sheet A'!K497:AC1107,2,)</f>
        <v>0.12</v>
      </c>
      <c r="M497" s="70" t="str">
        <f>VLOOKUP(L497,'Sheet A'!L497:AD1107,2,)</f>
        <v>Rainy</v>
      </c>
      <c r="N497" s="38">
        <f>VLOOKUP(M497,'Sheet A'!M497:AE1107,2,)</f>
        <v>0.19700000000000001</v>
      </c>
      <c r="O497" s="38">
        <f>VLOOKUP(N497,'Sheet A'!N497:AF1107,2,)</f>
        <v>0.28000000000000003</v>
      </c>
      <c r="P497" s="38">
        <f>VLOOKUP(O497,'Sheet A'!O497:AG1107,2,)</f>
        <v>0</v>
      </c>
      <c r="Q497" s="38">
        <f>VLOOKUP(P497,'Sheet A'!P497:AH1107,2,)</f>
        <v>8</v>
      </c>
      <c r="R497" s="38">
        <f>VLOOKUP(Q497,'Sheet A'!Q497:AI1107,2,)</f>
        <v>59</v>
      </c>
      <c r="S497" s="38">
        <f>VLOOKUP(R497,'Sheet A'!R497:AJ1107,2,)</f>
        <v>67</v>
      </c>
    </row>
    <row r="498" spans="1:19" x14ac:dyDescent="0.35">
      <c r="A498" s="37">
        <v>497</v>
      </c>
      <c r="B498" s="60">
        <f>VLOOKUP(A498,'Sheet A'!A498:S1108,2,)</f>
        <v>40565</v>
      </c>
      <c r="C498" s="38">
        <f>VLOOKUP(B498,'Sheet A'!B498:T1108,2,)</f>
        <v>1</v>
      </c>
      <c r="D498" s="38">
        <f>VLOOKUP(C498,'Sheet A'!C498:U1108,2,)</f>
        <v>0</v>
      </c>
      <c r="E498" s="38">
        <f>VLOOKUP(D498,'Sheet A'!D498:V1108,2,)</f>
        <v>1</v>
      </c>
      <c r="F498" s="38">
        <f>VLOOKUP(E498,'Sheet A'!E498:W1108,2,)</f>
        <v>18</v>
      </c>
      <c r="G498" s="41" t="str">
        <f>VLOOKUP(F498,'Sheet A'!F498:X1108,2,)</f>
        <v>Evening</v>
      </c>
      <c r="H498" s="38" t="b">
        <f>VLOOKUP(G498,'Sheet A'!G498:Y1108,2,)</f>
        <v>0</v>
      </c>
      <c r="I498" s="38">
        <f>VLOOKUP(H498,'Sheet A'!H498:Z1108,2,)</f>
        <v>6</v>
      </c>
      <c r="J498" s="41" t="str">
        <f>VLOOKUP(I498,'Sheet A'!I498:AA1108,2,)</f>
        <v>Friday</v>
      </c>
      <c r="K498" s="38">
        <f>VLOOKUP(J498,'Sheet A'!J498:AB1108,2,)</f>
        <v>1</v>
      </c>
      <c r="L498" s="38">
        <f>VLOOKUP(K498,'Sheet A'!K498:AC1108,2,)</f>
        <v>0.08</v>
      </c>
      <c r="M498" s="70" t="str">
        <f>VLOOKUP(L498,'Sheet A'!L498:AD1108,2,)</f>
        <v>Stromy</v>
      </c>
      <c r="N498" s="38">
        <f>VLOOKUP(M498,'Sheet A'!M498:AE1108,2,)</f>
        <v>9.0899999999999995E-2</v>
      </c>
      <c r="O498" s="38">
        <f>VLOOKUP(N498,'Sheet A'!N498:AF1108,2,)</f>
        <v>0.35</v>
      </c>
      <c r="P498" s="38">
        <f>VLOOKUP(O498,'Sheet A'!O498:AG1108,2,)</f>
        <v>0.19400000000000001</v>
      </c>
      <c r="Q498" s="38">
        <f>VLOOKUP(P498,'Sheet A'!P498:AH1108,2,)</f>
        <v>0</v>
      </c>
      <c r="R498" s="38">
        <f>VLOOKUP(Q498,'Sheet A'!Q498:AI1108,2,)</f>
        <v>54</v>
      </c>
      <c r="S498" s="38">
        <f>VLOOKUP(R498,'Sheet A'!R498:AJ1108,2,)</f>
        <v>54</v>
      </c>
    </row>
    <row r="499" spans="1:19" x14ac:dyDescent="0.35">
      <c r="A499" s="37">
        <v>498</v>
      </c>
      <c r="B499" s="60">
        <f>VLOOKUP(A499,'Sheet A'!A499:S1109,2,)</f>
        <v>40565</v>
      </c>
      <c r="C499" s="38">
        <f>VLOOKUP(B499,'Sheet A'!B499:T1109,2,)</f>
        <v>1</v>
      </c>
      <c r="D499" s="38">
        <f>VLOOKUP(C499,'Sheet A'!C499:U1109,2,)</f>
        <v>0</v>
      </c>
      <c r="E499" s="38">
        <f>VLOOKUP(D499,'Sheet A'!D499:V1109,2,)</f>
        <v>1</v>
      </c>
      <c r="F499" s="38">
        <f>VLOOKUP(E499,'Sheet A'!E499:W1109,2,)</f>
        <v>19</v>
      </c>
      <c r="G499" s="41" t="str">
        <f>VLOOKUP(F499,'Sheet A'!F499:X1109,2,)</f>
        <v>Evening</v>
      </c>
      <c r="H499" s="38" t="b">
        <f>VLOOKUP(G499,'Sheet A'!G499:Y1109,2,)</f>
        <v>0</v>
      </c>
      <c r="I499" s="38">
        <f>VLOOKUP(H499,'Sheet A'!H499:Z1109,2,)</f>
        <v>6</v>
      </c>
      <c r="J499" s="41" t="str">
        <f>VLOOKUP(I499,'Sheet A'!I499:AA1109,2,)</f>
        <v>Friday</v>
      </c>
      <c r="K499" s="38">
        <f>VLOOKUP(J499,'Sheet A'!J499:AB1109,2,)</f>
        <v>1</v>
      </c>
      <c r="L499" s="38">
        <f>VLOOKUP(K499,'Sheet A'!K499:AC1109,2,)</f>
        <v>0.08</v>
      </c>
      <c r="M499" s="70" t="str">
        <f>VLOOKUP(L499,'Sheet A'!L499:AD1109,2,)</f>
        <v>Stromy</v>
      </c>
      <c r="N499" s="38">
        <f>VLOOKUP(M499,'Sheet A'!M499:AE1109,2,)</f>
        <v>0.1061</v>
      </c>
      <c r="O499" s="38">
        <f>VLOOKUP(N499,'Sheet A'!N499:AF1109,2,)</f>
        <v>0.35</v>
      </c>
      <c r="P499" s="38">
        <f>VLOOKUP(O499,'Sheet A'!O499:AG1109,2,)</f>
        <v>0.1343</v>
      </c>
      <c r="Q499" s="38">
        <f>VLOOKUP(P499,'Sheet A'!P499:AH1109,2,)</f>
        <v>6</v>
      </c>
      <c r="R499" s="38">
        <f>VLOOKUP(Q499,'Sheet A'!Q499:AI1109,2,)</f>
        <v>53</v>
      </c>
      <c r="S499" s="38">
        <f>VLOOKUP(R499,'Sheet A'!R499:AJ1109,2,)</f>
        <v>59</v>
      </c>
    </row>
    <row r="500" spans="1:19" x14ac:dyDescent="0.35">
      <c r="A500" s="37">
        <v>499</v>
      </c>
      <c r="B500" s="60">
        <f>VLOOKUP(A500,'Sheet A'!A500:S1110,2,)</f>
        <v>40565</v>
      </c>
      <c r="C500" s="38">
        <f>VLOOKUP(B500,'Sheet A'!B500:T1110,2,)</f>
        <v>1</v>
      </c>
      <c r="D500" s="38">
        <f>VLOOKUP(C500,'Sheet A'!C500:U1110,2,)</f>
        <v>0</v>
      </c>
      <c r="E500" s="38">
        <f>VLOOKUP(D500,'Sheet A'!D500:V1110,2,)</f>
        <v>1</v>
      </c>
      <c r="F500" s="38">
        <f>VLOOKUP(E500,'Sheet A'!E500:W1110,2,)</f>
        <v>20</v>
      </c>
      <c r="G500" s="41" t="str">
        <f>VLOOKUP(F500,'Sheet A'!F500:X1110,2,)</f>
        <v>Night</v>
      </c>
      <c r="H500" s="38" t="b">
        <f>VLOOKUP(G500,'Sheet A'!G500:Y1110,2,)</f>
        <v>0</v>
      </c>
      <c r="I500" s="38">
        <f>VLOOKUP(H500,'Sheet A'!H500:Z1110,2,)</f>
        <v>6</v>
      </c>
      <c r="J500" s="41" t="str">
        <f>VLOOKUP(I500,'Sheet A'!I500:AA1110,2,)</f>
        <v>Friday</v>
      </c>
      <c r="K500" s="38">
        <f>VLOOKUP(J500,'Sheet A'!J500:AB1110,2,)</f>
        <v>1</v>
      </c>
      <c r="L500" s="38">
        <f>VLOOKUP(K500,'Sheet A'!K500:AC1110,2,)</f>
        <v>0.06</v>
      </c>
      <c r="M500" s="70" t="str">
        <f>VLOOKUP(L500,'Sheet A'!L500:AD1110,2,)</f>
        <v>Stromy</v>
      </c>
      <c r="N500" s="38">
        <f>VLOOKUP(M500,'Sheet A'!M500:AE1110,2,)</f>
        <v>7.5800000000000006E-2</v>
      </c>
      <c r="O500" s="38">
        <f>VLOOKUP(N500,'Sheet A'!N500:AF1110,2,)</f>
        <v>0.45</v>
      </c>
      <c r="P500" s="38">
        <f>VLOOKUP(O500,'Sheet A'!O500:AG1110,2,)</f>
        <v>0.16420000000000001</v>
      </c>
      <c r="Q500" s="38">
        <f>VLOOKUP(P500,'Sheet A'!P500:AH1110,2,)</f>
        <v>1</v>
      </c>
      <c r="R500" s="38">
        <f>VLOOKUP(Q500,'Sheet A'!Q500:AI1110,2,)</f>
        <v>44</v>
      </c>
      <c r="S500" s="38">
        <f>VLOOKUP(R500,'Sheet A'!R500:AJ1110,2,)</f>
        <v>45</v>
      </c>
    </row>
    <row r="501" spans="1:19" x14ac:dyDescent="0.35">
      <c r="A501" s="37">
        <v>500</v>
      </c>
      <c r="B501" s="60">
        <f>VLOOKUP(A501,'Sheet A'!A501:S1111,2,)</f>
        <v>40565</v>
      </c>
      <c r="C501" s="38">
        <f>VLOOKUP(B501,'Sheet A'!B501:T1111,2,)</f>
        <v>1</v>
      </c>
      <c r="D501" s="38">
        <f>VLOOKUP(C501,'Sheet A'!C501:U1111,2,)</f>
        <v>0</v>
      </c>
      <c r="E501" s="38">
        <f>VLOOKUP(D501,'Sheet A'!D501:V1111,2,)</f>
        <v>1</v>
      </c>
      <c r="F501" s="38">
        <f>VLOOKUP(E501,'Sheet A'!E501:W1111,2,)</f>
        <v>21</v>
      </c>
      <c r="G501" s="41" t="str">
        <f>VLOOKUP(F501,'Sheet A'!F501:X1111,2,)</f>
        <v>Night</v>
      </c>
      <c r="H501" s="38" t="b">
        <f>VLOOKUP(G501,'Sheet A'!G501:Y1111,2,)</f>
        <v>0</v>
      </c>
      <c r="I501" s="38">
        <f>VLOOKUP(H501,'Sheet A'!H501:Z1111,2,)</f>
        <v>6</v>
      </c>
      <c r="J501" s="41" t="str">
        <f>VLOOKUP(I501,'Sheet A'!I501:AA1111,2,)</f>
        <v>Friday</v>
      </c>
      <c r="K501" s="38">
        <f>VLOOKUP(J501,'Sheet A'!J501:AB1111,2,)</f>
        <v>1</v>
      </c>
      <c r="L501" s="38">
        <f>VLOOKUP(K501,'Sheet A'!K501:AC1111,2,)</f>
        <v>0.06</v>
      </c>
      <c r="M501" s="70" t="str">
        <f>VLOOKUP(L501,'Sheet A'!L501:AD1111,2,)</f>
        <v>Stromy</v>
      </c>
      <c r="N501" s="38">
        <f>VLOOKUP(M501,'Sheet A'!M501:AE1111,2,)</f>
        <v>0.1061</v>
      </c>
      <c r="O501" s="38">
        <f>VLOOKUP(N501,'Sheet A'!N501:AF1111,2,)</f>
        <v>0.41</v>
      </c>
      <c r="P501" s="38">
        <f>VLOOKUP(O501,'Sheet A'!O501:AG1111,2,)</f>
        <v>8.9599999999999999E-2</v>
      </c>
      <c r="Q501" s="38">
        <f>VLOOKUP(P501,'Sheet A'!P501:AH1111,2,)</f>
        <v>0</v>
      </c>
      <c r="R501" s="38">
        <f>VLOOKUP(Q501,'Sheet A'!Q501:AI1111,2,)</f>
        <v>39</v>
      </c>
      <c r="S501" s="38">
        <f>VLOOKUP(R501,'Sheet A'!R501:AJ1111,2,)</f>
        <v>39</v>
      </c>
    </row>
    <row r="502" spans="1:19" x14ac:dyDescent="0.35">
      <c r="A502" s="37">
        <v>501</v>
      </c>
      <c r="B502" s="60">
        <f>VLOOKUP(A502,'Sheet A'!A502:S1112,2,)</f>
        <v>40565</v>
      </c>
      <c r="C502" s="38">
        <f>VLOOKUP(B502,'Sheet A'!B502:T1112,2,)</f>
        <v>1</v>
      </c>
      <c r="D502" s="38">
        <f>VLOOKUP(C502,'Sheet A'!C502:U1112,2,)</f>
        <v>0</v>
      </c>
      <c r="E502" s="38">
        <f>VLOOKUP(D502,'Sheet A'!D502:V1112,2,)</f>
        <v>1</v>
      </c>
      <c r="F502" s="38">
        <f>VLOOKUP(E502,'Sheet A'!E502:W1112,2,)</f>
        <v>22</v>
      </c>
      <c r="G502" s="41" t="str">
        <f>VLOOKUP(F502,'Sheet A'!F502:X1112,2,)</f>
        <v>Night</v>
      </c>
      <c r="H502" s="38" t="b">
        <f>VLOOKUP(G502,'Sheet A'!G502:Y1112,2,)</f>
        <v>0</v>
      </c>
      <c r="I502" s="38">
        <f>VLOOKUP(H502,'Sheet A'!H502:Z1112,2,)</f>
        <v>6</v>
      </c>
      <c r="J502" s="41" t="str">
        <f>VLOOKUP(I502,'Sheet A'!I502:AA1112,2,)</f>
        <v>Friday</v>
      </c>
      <c r="K502" s="38">
        <f>VLOOKUP(J502,'Sheet A'!J502:AB1112,2,)</f>
        <v>1</v>
      </c>
      <c r="L502" s="38">
        <f>VLOOKUP(K502,'Sheet A'!K502:AC1112,2,)</f>
        <v>0.06</v>
      </c>
      <c r="M502" s="70" t="str">
        <f>VLOOKUP(L502,'Sheet A'!L502:AD1112,2,)</f>
        <v>Stromy</v>
      </c>
      <c r="N502" s="38">
        <f>VLOOKUP(M502,'Sheet A'!M502:AE1112,2,)</f>
        <v>0.1515</v>
      </c>
      <c r="O502" s="38">
        <f>VLOOKUP(N502,'Sheet A'!N502:AF1112,2,)</f>
        <v>0.49</v>
      </c>
      <c r="P502" s="38">
        <f>VLOOKUP(O502,'Sheet A'!O502:AG1112,2,)</f>
        <v>0</v>
      </c>
      <c r="Q502" s="38">
        <f>VLOOKUP(P502,'Sheet A'!P502:AH1112,2,)</f>
        <v>7</v>
      </c>
      <c r="R502" s="38">
        <f>VLOOKUP(Q502,'Sheet A'!Q502:AI1112,2,)</f>
        <v>23</v>
      </c>
      <c r="S502" s="38">
        <f>VLOOKUP(R502,'Sheet A'!R502:AJ1112,2,)</f>
        <v>30</v>
      </c>
    </row>
    <row r="503" spans="1:19" x14ac:dyDescent="0.35">
      <c r="A503" s="37">
        <v>502</v>
      </c>
      <c r="B503" s="60">
        <f>VLOOKUP(A503,'Sheet A'!A503:S1113,2,)</f>
        <v>40565</v>
      </c>
      <c r="C503" s="38">
        <f>VLOOKUP(B503,'Sheet A'!B503:T1113,2,)</f>
        <v>1</v>
      </c>
      <c r="D503" s="38">
        <f>VLOOKUP(C503,'Sheet A'!C503:U1113,2,)</f>
        <v>0</v>
      </c>
      <c r="E503" s="38">
        <f>VLOOKUP(D503,'Sheet A'!D503:V1113,2,)</f>
        <v>1</v>
      </c>
      <c r="F503" s="38">
        <f>VLOOKUP(E503,'Sheet A'!E503:W1113,2,)</f>
        <v>23</v>
      </c>
      <c r="G503" s="41" t="str">
        <f>VLOOKUP(F503,'Sheet A'!F503:X1113,2,)</f>
        <v>Night</v>
      </c>
      <c r="H503" s="38" t="b">
        <f>VLOOKUP(G503,'Sheet A'!G503:Y1113,2,)</f>
        <v>0</v>
      </c>
      <c r="I503" s="38">
        <f>VLOOKUP(H503,'Sheet A'!H503:Z1113,2,)</f>
        <v>6</v>
      </c>
      <c r="J503" s="41" t="str">
        <f>VLOOKUP(I503,'Sheet A'!I503:AA1113,2,)</f>
        <v>Friday</v>
      </c>
      <c r="K503" s="38">
        <f>VLOOKUP(J503,'Sheet A'!J503:AB1113,2,)</f>
        <v>1</v>
      </c>
      <c r="L503" s="38">
        <f>VLOOKUP(K503,'Sheet A'!K503:AC1113,2,)</f>
        <v>0.04</v>
      </c>
      <c r="M503" s="70" t="str">
        <f>VLOOKUP(L503,'Sheet A'!L503:AD1113,2,)</f>
        <v>Stromy</v>
      </c>
      <c r="N503" s="38">
        <f>VLOOKUP(M503,'Sheet A'!M503:AE1113,2,)</f>
        <v>7.5800000000000006E-2</v>
      </c>
      <c r="O503" s="38">
        <f>VLOOKUP(N503,'Sheet A'!N503:AF1113,2,)</f>
        <v>0.56999999999999995</v>
      </c>
      <c r="P503" s="38">
        <f>VLOOKUP(O503,'Sheet A'!O503:AG1113,2,)</f>
        <v>0.1045</v>
      </c>
      <c r="Q503" s="38">
        <f>VLOOKUP(P503,'Sheet A'!P503:AH1113,2,)</f>
        <v>2</v>
      </c>
      <c r="R503" s="38">
        <f>VLOOKUP(Q503,'Sheet A'!Q503:AI1113,2,)</f>
        <v>31</v>
      </c>
      <c r="S503" s="38">
        <f>VLOOKUP(R503,'Sheet A'!R503:AJ1113,2,)</f>
        <v>33</v>
      </c>
    </row>
    <row r="504" spans="1:19" x14ac:dyDescent="0.35">
      <c r="A504" s="37">
        <v>503</v>
      </c>
      <c r="B504" s="60">
        <f>VLOOKUP(A504,'Sheet A'!A504:S1114,2,)</f>
        <v>40566</v>
      </c>
      <c r="C504" s="38">
        <f>VLOOKUP(B504,'Sheet A'!B504:T1114,2,)</f>
        <v>1</v>
      </c>
      <c r="D504" s="38">
        <f>VLOOKUP(C504,'Sheet A'!C504:U1114,2,)</f>
        <v>0</v>
      </c>
      <c r="E504" s="38">
        <f>VLOOKUP(D504,'Sheet A'!D504:V1114,2,)</f>
        <v>1</v>
      </c>
      <c r="F504" s="38">
        <f>VLOOKUP(E504,'Sheet A'!E504:W1114,2,)</f>
        <v>0</v>
      </c>
      <c r="G504" s="41" t="str">
        <f>VLOOKUP(F504,'Sheet A'!F504:X1114,2,)</f>
        <v>Night</v>
      </c>
      <c r="H504" s="38" t="b">
        <f>VLOOKUP(G504,'Sheet A'!G504:Y1114,2,)</f>
        <v>0</v>
      </c>
      <c r="I504" s="38">
        <f>VLOOKUP(H504,'Sheet A'!H504:Z1114,2,)</f>
        <v>0</v>
      </c>
      <c r="J504" s="41" t="str">
        <f>VLOOKUP(I504,'Sheet A'!I504:AA1114,2,)</f>
        <v>Saturday</v>
      </c>
      <c r="K504" s="38">
        <f>VLOOKUP(J504,'Sheet A'!J504:AB1114,2,)</f>
        <v>1</v>
      </c>
      <c r="L504" s="38">
        <f>VLOOKUP(K504,'Sheet A'!K504:AC1114,2,)</f>
        <v>0.04</v>
      </c>
      <c r="M504" s="70" t="str">
        <f>VLOOKUP(L504,'Sheet A'!L504:AD1114,2,)</f>
        <v>Stromy</v>
      </c>
      <c r="N504" s="38">
        <f>VLOOKUP(M504,'Sheet A'!M504:AE1114,2,)</f>
        <v>7.5800000000000006E-2</v>
      </c>
      <c r="O504" s="38">
        <f>VLOOKUP(N504,'Sheet A'!N504:AF1114,2,)</f>
        <v>0.56999999999999995</v>
      </c>
      <c r="P504" s="38">
        <f>VLOOKUP(O504,'Sheet A'!O504:AG1114,2,)</f>
        <v>0.1045</v>
      </c>
      <c r="Q504" s="38">
        <f>VLOOKUP(P504,'Sheet A'!P504:AH1114,2,)</f>
        <v>2</v>
      </c>
      <c r="R504" s="38">
        <f>VLOOKUP(Q504,'Sheet A'!Q504:AI1114,2,)</f>
        <v>20</v>
      </c>
      <c r="S504" s="38">
        <f>VLOOKUP(R504,'Sheet A'!R504:AJ1114,2,)</f>
        <v>22</v>
      </c>
    </row>
    <row r="505" spans="1:19" x14ac:dyDescent="0.35">
      <c r="A505" s="37">
        <v>504</v>
      </c>
      <c r="B505" s="60">
        <f>VLOOKUP(A505,'Sheet A'!A505:S1115,2,)</f>
        <v>40566</v>
      </c>
      <c r="C505" s="38">
        <f>VLOOKUP(B505,'Sheet A'!B505:T1115,2,)</f>
        <v>1</v>
      </c>
      <c r="D505" s="38">
        <f>VLOOKUP(C505,'Sheet A'!C505:U1115,2,)</f>
        <v>0</v>
      </c>
      <c r="E505" s="38">
        <f>VLOOKUP(D505,'Sheet A'!D505:V1115,2,)</f>
        <v>1</v>
      </c>
      <c r="F505" s="38">
        <f>VLOOKUP(E505,'Sheet A'!E505:W1115,2,)</f>
        <v>1</v>
      </c>
      <c r="G505" s="41" t="str">
        <f>VLOOKUP(F505,'Sheet A'!F505:X1115,2,)</f>
        <v>Night</v>
      </c>
      <c r="H505" s="38" t="b">
        <f>VLOOKUP(G505,'Sheet A'!G505:Y1115,2,)</f>
        <v>0</v>
      </c>
      <c r="I505" s="38">
        <f>VLOOKUP(H505,'Sheet A'!H505:Z1115,2,)</f>
        <v>0</v>
      </c>
      <c r="J505" s="41" t="str">
        <f>VLOOKUP(I505,'Sheet A'!I505:AA1115,2,)</f>
        <v>Saturday</v>
      </c>
      <c r="K505" s="38">
        <f>VLOOKUP(J505,'Sheet A'!J505:AB1115,2,)</f>
        <v>1</v>
      </c>
      <c r="L505" s="38">
        <f>VLOOKUP(K505,'Sheet A'!K505:AC1115,2,)</f>
        <v>0.04</v>
      </c>
      <c r="M505" s="70" t="str">
        <f>VLOOKUP(L505,'Sheet A'!L505:AD1115,2,)</f>
        <v>Stromy</v>
      </c>
      <c r="N505" s="38">
        <f>VLOOKUP(M505,'Sheet A'!M505:AE1115,2,)</f>
        <v>7.5800000000000006E-2</v>
      </c>
      <c r="O505" s="38">
        <f>VLOOKUP(N505,'Sheet A'!N505:AF1115,2,)</f>
        <v>0.56999999999999995</v>
      </c>
      <c r="P505" s="38">
        <f>VLOOKUP(O505,'Sheet A'!O505:AG1115,2,)</f>
        <v>0.1045</v>
      </c>
      <c r="Q505" s="38">
        <f>VLOOKUP(P505,'Sheet A'!P505:AH1115,2,)</f>
        <v>1</v>
      </c>
      <c r="R505" s="38">
        <f>VLOOKUP(Q505,'Sheet A'!Q505:AI1115,2,)</f>
        <v>12</v>
      </c>
      <c r="S505" s="38">
        <f>VLOOKUP(R505,'Sheet A'!R505:AJ1115,2,)</f>
        <v>13</v>
      </c>
    </row>
    <row r="506" spans="1:19" x14ac:dyDescent="0.35">
      <c r="A506" s="37">
        <v>505</v>
      </c>
      <c r="B506" s="60">
        <f>VLOOKUP(A506,'Sheet A'!A506:S1116,2,)</f>
        <v>40566</v>
      </c>
      <c r="C506" s="38">
        <f>VLOOKUP(B506,'Sheet A'!B506:T1116,2,)</f>
        <v>1</v>
      </c>
      <c r="D506" s="38">
        <f>VLOOKUP(C506,'Sheet A'!C506:U1116,2,)</f>
        <v>0</v>
      </c>
      <c r="E506" s="38">
        <f>VLOOKUP(D506,'Sheet A'!D506:V1116,2,)</f>
        <v>1</v>
      </c>
      <c r="F506" s="38">
        <f>VLOOKUP(E506,'Sheet A'!E506:W1116,2,)</f>
        <v>2</v>
      </c>
      <c r="G506" s="41" t="str">
        <f>VLOOKUP(F506,'Sheet A'!F506:X1116,2,)</f>
        <v>Night</v>
      </c>
      <c r="H506" s="38" t="b">
        <f>VLOOKUP(G506,'Sheet A'!G506:Y1116,2,)</f>
        <v>0</v>
      </c>
      <c r="I506" s="38">
        <f>VLOOKUP(H506,'Sheet A'!H506:Z1116,2,)</f>
        <v>0</v>
      </c>
      <c r="J506" s="41" t="str">
        <f>VLOOKUP(I506,'Sheet A'!I506:AA1116,2,)</f>
        <v>Saturday</v>
      </c>
      <c r="K506" s="38">
        <f>VLOOKUP(J506,'Sheet A'!J506:AB1116,2,)</f>
        <v>1</v>
      </c>
      <c r="L506" s="38">
        <f>VLOOKUP(K506,'Sheet A'!K506:AC1116,2,)</f>
        <v>0.02</v>
      </c>
      <c r="M506" s="70" t="str">
        <f>VLOOKUP(L506,'Sheet A'!L506:AD1116,2,)</f>
        <v>Stromy</v>
      </c>
      <c r="N506" s="38">
        <f>VLOOKUP(M506,'Sheet A'!M506:AE1116,2,)</f>
        <v>6.0600000000000001E-2</v>
      </c>
      <c r="O506" s="38">
        <f>VLOOKUP(N506,'Sheet A'!N506:AF1116,2,)</f>
        <v>0.62</v>
      </c>
      <c r="P506" s="38">
        <f>VLOOKUP(O506,'Sheet A'!O506:AG1116,2,)</f>
        <v>0.1343</v>
      </c>
      <c r="Q506" s="38">
        <f>VLOOKUP(P506,'Sheet A'!P506:AH1116,2,)</f>
        <v>3</v>
      </c>
      <c r="R506" s="38">
        <f>VLOOKUP(Q506,'Sheet A'!Q506:AI1116,2,)</f>
        <v>15</v>
      </c>
      <c r="S506" s="38">
        <f>VLOOKUP(R506,'Sheet A'!R506:AJ1116,2,)</f>
        <v>18</v>
      </c>
    </row>
    <row r="507" spans="1:19" x14ac:dyDescent="0.35">
      <c r="A507" s="37">
        <v>506</v>
      </c>
      <c r="B507" s="60">
        <f>VLOOKUP(A507,'Sheet A'!A507:S1117,2,)</f>
        <v>40566</v>
      </c>
      <c r="C507" s="38">
        <f>VLOOKUP(B507,'Sheet A'!B507:T1117,2,)</f>
        <v>1</v>
      </c>
      <c r="D507" s="38">
        <f>VLOOKUP(C507,'Sheet A'!C507:U1117,2,)</f>
        <v>0</v>
      </c>
      <c r="E507" s="38">
        <f>VLOOKUP(D507,'Sheet A'!D507:V1117,2,)</f>
        <v>1</v>
      </c>
      <c r="F507" s="38">
        <f>VLOOKUP(E507,'Sheet A'!E507:W1117,2,)</f>
        <v>3</v>
      </c>
      <c r="G507" s="41" t="str">
        <f>VLOOKUP(F507,'Sheet A'!F507:X1117,2,)</f>
        <v>Night</v>
      </c>
      <c r="H507" s="38" t="b">
        <f>VLOOKUP(G507,'Sheet A'!G507:Y1117,2,)</f>
        <v>0</v>
      </c>
      <c r="I507" s="38">
        <f>VLOOKUP(H507,'Sheet A'!H507:Z1117,2,)</f>
        <v>0</v>
      </c>
      <c r="J507" s="41" t="str">
        <f>VLOOKUP(I507,'Sheet A'!I507:AA1117,2,)</f>
        <v>Saturday</v>
      </c>
      <c r="K507" s="38">
        <f>VLOOKUP(J507,'Sheet A'!J507:AB1117,2,)</f>
        <v>1</v>
      </c>
      <c r="L507" s="38">
        <f>VLOOKUP(K507,'Sheet A'!K507:AC1117,2,)</f>
        <v>0.02</v>
      </c>
      <c r="M507" s="70" t="str">
        <f>VLOOKUP(L507,'Sheet A'!L507:AD1117,2,)</f>
        <v>Stromy</v>
      </c>
      <c r="N507" s="38">
        <f>VLOOKUP(M507,'Sheet A'!M507:AE1117,2,)</f>
        <v>6.0600000000000001E-2</v>
      </c>
      <c r="O507" s="38">
        <f>VLOOKUP(N507,'Sheet A'!N507:AF1117,2,)</f>
        <v>0.62</v>
      </c>
      <c r="P507" s="38">
        <f>VLOOKUP(O507,'Sheet A'!O507:AG1117,2,)</f>
        <v>0.1343</v>
      </c>
      <c r="Q507" s="38">
        <f>VLOOKUP(P507,'Sheet A'!P507:AH1117,2,)</f>
        <v>1</v>
      </c>
      <c r="R507" s="38">
        <f>VLOOKUP(Q507,'Sheet A'!Q507:AI1117,2,)</f>
        <v>4</v>
      </c>
      <c r="S507" s="38">
        <f>VLOOKUP(R507,'Sheet A'!R507:AJ1117,2,)</f>
        <v>5</v>
      </c>
    </row>
    <row r="508" spans="1:19" x14ac:dyDescent="0.35">
      <c r="A508" s="37">
        <v>507</v>
      </c>
      <c r="B508" s="60">
        <f>VLOOKUP(A508,'Sheet A'!A508:S1118,2,)</f>
        <v>40566</v>
      </c>
      <c r="C508" s="38">
        <f>VLOOKUP(B508,'Sheet A'!B508:T1118,2,)</f>
        <v>1</v>
      </c>
      <c r="D508" s="38">
        <f>VLOOKUP(C508,'Sheet A'!C508:U1118,2,)</f>
        <v>0</v>
      </c>
      <c r="E508" s="38">
        <f>VLOOKUP(D508,'Sheet A'!D508:V1118,2,)</f>
        <v>1</v>
      </c>
      <c r="F508" s="38">
        <f>VLOOKUP(E508,'Sheet A'!E508:W1118,2,)</f>
        <v>5</v>
      </c>
      <c r="G508" s="41" t="str">
        <f>VLOOKUP(F508,'Sheet A'!F508:X1118,2,)</f>
        <v>Morning</v>
      </c>
      <c r="H508" s="38" t="b">
        <f>VLOOKUP(G508,'Sheet A'!G508:Y1118,2,)</f>
        <v>0</v>
      </c>
      <c r="I508" s="38">
        <f>VLOOKUP(H508,'Sheet A'!H508:Z1118,2,)</f>
        <v>0</v>
      </c>
      <c r="J508" s="41" t="str">
        <f>VLOOKUP(I508,'Sheet A'!I508:AA1118,2,)</f>
        <v>Saturday</v>
      </c>
      <c r="K508" s="38">
        <f>VLOOKUP(J508,'Sheet A'!J508:AB1118,2,)</f>
        <v>2</v>
      </c>
      <c r="L508" s="38">
        <f>VLOOKUP(K508,'Sheet A'!K508:AC1118,2,)</f>
        <v>0.04</v>
      </c>
      <c r="M508" s="70" t="str">
        <f>VLOOKUP(L508,'Sheet A'!L508:AD1118,2,)</f>
        <v>Stromy</v>
      </c>
      <c r="N508" s="38">
        <f>VLOOKUP(M508,'Sheet A'!M508:AE1118,2,)</f>
        <v>7.5800000000000006E-2</v>
      </c>
      <c r="O508" s="38">
        <f>VLOOKUP(N508,'Sheet A'!N508:AF1118,2,)</f>
        <v>0.56999999999999995</v>
      </c>
      <c r="P508" s="38">
        <f>VLOOKUP(O508,'Sheet A'!O508:AG1118,2,)</f>
        <v>0.1045</v>
      </c>
      <c r="Q508" s="38">
        <f>VLOOKUP(P508,'Sheet A'!P508:AH1118,2,)</f>
        <v>0</v>
      </c>
      <c r="R508" s="38">
        <f>VLOOKUP(Q508,'Sheet A'!Q508:AI1118,2,)</f>
        <v>3</v>
      </c>
      <c r="S508" s="38">
        <f>VLOOKUP(R508,'Sheet A'!R508:AJ1118,2,)</f>
        <v>3</v>
      </c>
    </row>
    <row r="509" spans="1:19" x14ac:dyDescent="0.35">
      <c r="A509" s="37">
        <v>508</v>
      </c>
      <c r="B509" s="60">
        <f>VLOOKUP(A509,'Sheet A'!A509:S1119,2,)</f>
        <v>40566</v>
      </c>
      <c r="C509" s="38">
        <f>VLOOKUP(B509,'Sheet A'!B509:T1119,2,)</f>
        <v>1</v>
      </c>
      <c r="D509" s="38">
        <f>VLOOKUP(C509,'Sheet A'!C509:U1119,2,)</f>
        <v>0</v>
      </c>
      <c r="E509" s="38">
        <f>VLOOKUP(D509,'Sheet A'!D509:V1119,2,)</f>
        <v>1</v>
      </c>
      <c r="F509" s="38">
        <f>VLOOKUP(E509,'Sheet A'!E509:W1119,2,)</f>
        <v>6</v>
      </c>
      <c r="G509" s="41" t="str">
        <f>VLOOKUP(F509,'Sheet A'!F509:X1119,2,)</f>
        <v>Morning</v>
      </c>
      <c r="H509" s="38" t="b">
        <f>VLOOKUP(G509,'Sheet A'!G509:Y1119,2,)</f>
        <v>0</v>
      </c>
      <c r="I509" s="38">
        <f>VLOOKUP(H509,'Sheet A'!H509:Z1119,2,)</f>
        <v>0</v>
      </c>
      <c r="J509" s="41" t="str">
        <f>VLOOKUP(I509,'Sheet A'!I509:AA1119,2,)</f>
        <v>Saturday</v>
      </c>
      <c r="K509" s="38">
        <f>VLOOKUP(J509,'Sheet A'!J509:AB1119,2,)</f>
        <v>2</v>
      </c>
      <c r="L509" s="38">
        <f>VLOOKUP(K509,'Sheet A'!K509:AC1119,2,)</f>
        <v>0.04</v>
      </c>
      <c r="M509" s="70" t="str">
        <f>VLOOKUP(L509,'Sheet A'!L509:AD1119,2,)</f>
        <v>Stromy</v>
      </c>
      <c r="N509" s="38">
        <f>VLOOKUP(M509,'Sheet A'!M509:AE1119,2,)</f>
        <v>7.5800000000000006E-2</v>
      </c>
      <c r="O509" s="38">
        <f>VLOOKUP(N509,'Sheet A'!N509:AF1119,2,)</f>
        <v>0.56999999999999995</v>
      </c>
      <c r="P509" s="38">
        <f>VLOOKUP(O509,'Sheet A'!O509:AG1119,2,)</f>
        <v>0.1045</v>
      </c>
      <c r="Q509" s="38">
        <f>VLOOKUP(P509,'Sheet A'!P509:AH1119,2,)</f>
        <v>0</v>
      </c>
      <c r="R509" s="38">
        <f>VLOOKUP(Q509,'Sheet A'!Q509:AI1119,2,)</f>
        <v>1</v>
      </c>
      <c r="S509" s="38">
        <f>VLOOKUP(R509,'Sheet A'!R509:AJ1119,2,)</f>
        <v>1</v>
      </c>
    </row>
    <row r="510" spans="1:19" x14ac:dyDescent="0.35">
      <c r="A510" s="37">
        <v>509</v>
      </c>
      <c r="B510" s="60">
        <f>VLOOKUP(A510,'Sheet A'!A510:S1120,2,)</f>
        <v>40566</v>
      </c>
      <c r="C510" s="38">
        <f>VLOOKUP(B510,'Sheet A'!B510:T1120,2,)</f>
        <v>1</v>
      </c>
      <c r="D510" s="38">
        <f>VLOOKUP(C510,'Sheet A'!C510:U1120,2,)</f>
        <v>0</v>
      </c>
      <c r="E510" s="38">
        <f>VLOOKUP(D510,'Sheet A'!D510:V1120,2,)</f>
        <v>1</v>
      </c>
      <c r="F510" s="38">
        <f>VLOOKUP(E510,'Sheet A'!E510:W1120,2,)</f>
        <v>7</v>
      </c>
      <c r="G510" s="41" t="str">
        <f>VLOOKUP(F510,'Sheet A'!F510:X1120,2,)</f>
        <v>Morning</v>
      </c>
      <c r="H510" s="38" t="b">
        <f>VLOOKUP(G510,'Sheet A'!G510:Y1120,2,)</f>
        <v>0</v>
      </c>
      <c r="I510" s="38">
        <f>VLOOKUP(H510,'Sheet A'!H510:Z1120,2,)</f>
        <v>0</v>
      </c>
      <c r="J510" s="41" t="str">
        <f>VLOOKUP(I510,'Sheet A'!I510:AA1120,2,)</f>
        <v>Saturday</v>
      </c>
      <c r="K510" s="38">
        <f>VLOOKUP(J510,'Sheet A'!J510:AB1120,2,)</f>
        <v>1</v>
      </c>
      <c r="L510" s="38">
        <f>VLOOKUP(K510,'Sheet A'!K510:AC1120,2,)</f>
        <v>0.08</v>
      </c>
      <c r="M510" s="70" t="str">
        <f>VLOOKUP(L510,'Sheet A'!L510:AD1120,2,)</f>
        <v>Stromy</v>
      </c>
      <c r="N510" s="38">
        <f>VLOOKUP(M510,'Sheet A'!M510:AE1120,2,)</f>
        <v>0.1061</v>
      </c>
      <c r="O510" s="38">
        <f>VLOOKUP(N510,'Sheet A'!N510:AF1120,2,)</f>
        <v>0.57999999999999996</v>
      </c>
      <c r="P510" s="38">
        <f>VLOOKUP(O510,'Sheet A'!O510:AG1120,2,)</f>
        <v>0.16420000000000001</v>
      </c>
      <c r="Q510" s="38">
        <f>VLOOKUP(P510,'Sheet A'!P510:AH1120,2,)</f>
        <v>1</v>
      </c>
      <c r="R510" s="38">
        <f>VLOOKUP(Q510,'Sheet A'!Q510:AI1120,2,)</f>
        <v>1</v>
      </c>
      <c r="S510" s="38">
        <f>VLOOKUP(R510,'Sheet A'!R510:AJ1120,2,)</f>
        <v>2</v>
      </c>
    </row>
    <row r="511" spans="1:19" x14ac:dyDescent="0.35">
      <c r="A511" s="37">
        <v>510</v>
      </c>
      <c r="B511" s="60">
        <f>VLOOKUP(A511,'Sheet A'!A511:S1121,2,)</f>
        <v>40566</v>
      </c>
      <c r="C511" s="38">
        <f>VLOOKUP(B511,'Sheet A'!B511:T1121,2,)</f>
        <v>1</v>
      </c>
      <c r="D511" s="38">
        <f>VLOOKUP(C511,'Sheet A'!C511:U1121,2,)</f>
        <v>0</v>
      </c>
      <c r="E511" s="38">
        <f>VLOOKUP(D511,'Sheet A'!D511:V1121,2,)</f>
        <v>1</v>
      </c>
      <c r="F511" s="38">
        <f>VLOOKUP(E511,'Sheet A'!E511:W1121,2,)</f>
        <v>8</v>
      </c>
      <c r="G511" s="41" t="str">
        <f>VLOOKUP(F511,'Sheet A'!F511:X1121,2,)</f>
        <v>Morning</v>
      </c>
      <c r="H511" s="38" t="b">
        <f>VLOOKUP(G511,'Sheet A'!G511:Y1121,2,)</f>
        <v>0</v>
      </c>
      <c r="I511" s="38">
        <f>VLOOKUP(H511,'Sheet A'!H511:Z1121,2,)</f>
        <v>0</v>
      </c>
      <c r="J511" s="41" t="str">
        <f>VLOOKUP(I511,'Sheet A'!I511:AA1121,2,)</f>
        <v>Saturday</v>
      </c>
      <c r="K511" s="38">
        <f>VLOOKUP(J511,'Sheet A'!J511:AB1121,2,)</f>
        <v>1</v>
      </c>
      <c r="L511" s="38">
        <f>VLOOKUP(K511,'Sheet A'!K511:AC1121,2,)</f>
        <v>0.06</v>
      </c>
      <c r="M511" s="70" t="str">
        <f>VLOOKUP(L511,'Sheet A'!L511:AD1121,2,)</f>
        <v>Stromy</v>
      </c>
      <c r="N511" s="38">
        <f>VLOOKUP(M511,'Sheet A'!M511:AE1121,2,)</f>
        <v>7.5800000000000006E-2</v>
      </c>
      <c r="O511" s="38">
        <f>VLOOKUP(N511,'Sheet A'!N511:AF1121,2,)</f>
        <v>0.62</v>
      </c>
      <c r="P511" s="38">
        <f>VLOOKUP(O511,'Sheet A'!O511:AG1121,2,)</f>
        <v>0.16420000000000001</v>
      </c>
      <c r="Q511" s="38">
        <f>VLOOKUP(P511,'Sheet A'!P511:AH1121,2,)</f>
        <v>2</v>
      </c>
      <c r="R511" s="38">
        <f>VLOOKUP(Q511,'Sheet A'!Q511:AI1121,2,)</f>
        <v>17</v>
      </c>
      <c r="S511" s="38">
        <f>VLOOKUP(R511,'Sheet A'!R511:AJ1121,2,)</f>
        <v>19</v>
      </c>
    </row>
    <row r="512" spans="1:19" x14ac:dyDescent="0.35">
      <c r="A512" s="37">
        <v>511</v>
      </c>
      <c r="B512" s="60">
        <f>VLOOKUP(A512,'Sheet A'!A512:S1122,2,)</f>
        <v>40566</v>
      </c>
      <c r="C512" s="38">
        <f>VLOOKUP(B512,'Sheet A'!B512:T1122,2,)</f>
        <v>1</v>
      </c>
      <c r="D512" s="38">
        <f>VLOOKUP(C512,'Sheet A'!C512:U1122,2,)</f>
        <v>0</v>
      </c>
      <c r="E512" s="38">
        <f>VLOOKUP(D512,'Sheet A'!D512:V1122,2,)</f>
        <v>1</v>
      </c>
      <c r="F512" s="38">
        <f>VLOOKUP(E512,'Sheet A'!E512:W1122,2,)</f>
        <v>9</v>
      </c>
      <c r="G512" s="41" t="str">
        <f>VLOOKUP(F512,'Sheet A'!F512:X1122,2,)</f>
        <v>Morning</v>
      </c>
      <c r="H512" s="38" t="b">
        <f>VLOOKUP(G512,'Sheet A'!G512:Y1122,2,)</f>
        <v>0</v>
      </c>
      <c r="I512" s="38">
        <f>VLOOKUP(H512,'Sheet A'!H512:Z1122,2,)</f>
        <v>0</v>
      </c>
      <c r="J512" s="41" t="str">
        <f>VLOOKUP(I512,'Sheet A'!I512:AA1122,2,)</f>
        <v>Saturday</v>
      </c>
      <c r="K512" s="38">
        <f>VLOOKUP(J512,'Sheet A'!J512:AB1122,2,)</f>
        <v>1</v>
      </c>
      <c r="L512" s="38">
        <f>VLOOKUP(K512,'Sheet A'!K512:AC1122,2,)</f>
        <v>0.1</v>
      </c>
      <c r="M512" s="70" t="str">
        <f>VLOOKUP(L512,'Sheet A'!L512:AD1122,2,)</f>
        <v>Stromy</v>
      </c>
      <c r="N512" s="38">
        <f>VLOOKUP(M512,'Sheet A'!M512:AE1122,2,)</f>
        <v>7.5800000000000006E-2</v>
      </c>
      <c r="O512" s="38">
        <f>VLOOKUP(N512,'Sheet A'!N512:AF1122,2,)</f>
        <v>0.54</v>
      </c>
      <c r="P512" s="38">
        <f>VLOOKUP(O512,'Sheet A'!O512:AG1122,2,)</f>
        <v>0.35820000000000002</v>
      </c>
      <c r="Q512" s="38">
        <f>VLOOKUP(P512,'Sheet A'!P512:AH1122,2,)</f>
        <v>3</v>
      </c>
      <c r="R512" s="38">
        <f>VLOOKUP(Q512,'Sheet A'!Q512:AI1122,2,)</f>
        <v>25</v>
      </c>
      <c r="S512" s="38">
        <f>VLOOKUP(R512,'Sheet A'!R512:AJ1122,2,)</f>
        <v>28</v>
      </c>
    </row>
    <row r="513" spans="1:19" x14ac:dyDescent="0.35">
      <c r="A513" s="37">
        <v>512</v>
      </c>
      <c r="B513" s="60">
        <f>VLOOKUP(A513,'Sheet A'!A513:S1123,2,)</f>
        <v>40566</v>
      </c>
      <c r="C513" s="38">
        <f>VLOOKUP(B513,'Sheet A'!B513:T1123,2,)</f>
        <v>1</v>
      </c>
      <c r="D513" s="38">
        <f>VLOOKUP(C513,'Sheet A'!C513:U1123,2,)</f>
        <v>0</v>
      </c>
      <c r="E513" s="38">
        <f>VLOOKUP(D513,'Sheet A'!D513:V1123,2,)</f>
        <v>1</v>
      </c>
      <c r="F513" s="38">
        <f>VLOOKUP(E513,'Sheet A'!E513:W1123,2,)</f>
        <v>10</v>
      </c>
      <c r="G513" s="41" t="str">
        <f>VLOOKUP(F513,'Sheet A'!F513:X1123,2,)</f>
        <v>Morning</v>
      </c>
      <c r="H513" s="38" t="b">
        <f>VLOOKUP(G513,'Sheet A'!G513:Y1123,2,)</f>
        <v>0</v>
      </c>
      <c r="I513" s="38">
        <f>VLOOKUP(H513,'Sheet A'!H513:Z1123,2,)</f>
        <v>0</v>
      </c>
      <c r="J513" s="41" t="str">
        <f>VLOOKUP(I513,'Sheet A'!I513:AA1123,2,)</f>
        <v>Saturday</v>
      </c>
      <c r="K513" s="38">
        <f>VLOOKUP(J513,'Sheet A'!J513:AB1123,2,)</f>
        <v>1</v>
      </c>
      <c r="L513" s="38">
        <f>VLOOKUP(K513,'Sheet A'!K513:AC1123,2,)</f>
        <v>0.14000000000000001</v>
      </c>
      <c r="M513" s="70" t="str">
        <f>VLOOKUP(L513,'Sheet A'!L513:AD1123,2,)</f>
        <v>Rainy</v>
      </c>
      <c r="N513" s="38">
        <f>VLOOKUP(M513,'Sheet A'!M513:AE1123,2,)</f>
        <v>0.1061</v>
      </c>
      <c r="O513" s="38">
        <f>VLOOKUP(N513,'Sheet A'!N513:AF1123,2,)</f>
        <v>0.46</v>
      </c>
      <c r="P513" s="38">
        <f>VLOOKUP(O513,'Sheet A'!O513:AG1123,2,)</f>
        <v>0.3881</v>
      </c>
      <c r="Q513" s="38">
        <f>VLOOKUP(P513,'Sheet A'!P513:AH1123,2,)</f>
        <v>7</v>
      </c>
      <c r="R513" s="38">
        <f>VLOOKUP(Q513,'Sheet A'!Q513:AI1123,2,)</f>
        <v>51</v>
      </c>
      <c r="S513" s="38">
        <f>VLOOKUP(R513,'Sheet A'!R513:AJ1123,2,)</f>
        <v>58</v>
      </c>
    </row>
    <row r="514" spans="1:19" x14ac:dyDescent="0.35">
      <c r="A514" s="37">
        <v>513</v>
      </c>
      <c r="B514" s="60">
        <f>VLOOKUP(A514,'Sheet A'!A514:S1124,2,)</f>
        <v>40566</v>
      </c>
      <c r="C514" s="38">
        <f>VLOOKUP(B514,'Sheet A'!B514:T1124,2,)</f>
        <v>1</v>
      </c>
      <c r="D514" s="38">
        <f>VLOOKUP(C514,'Sheet A'!C514:U1124,2,)</f>
        <v>0</v>
      </c>
      <c r="E514" s="38">
        <f>VLOOKUP(D514,'Sheet A'!D514:V1124,2,)</f>
        <v>1</v>
      </c>
      <c r="F514" s="38">
        <f>VLOOKUP(E514,'Sheet A'!E514:W1124,2,)</f>
        <v>11</v>
      </c>
      <c r="G514" s="41" t="str">
        <f>VLOOKUP(F514,'Sheet A'!F514:X1124,2,)</f>
        <v>Morning</v>
      </c>
      <c r="H514" s="38" t="b">
        <f>VLOOKUP(G514,'Sheet A'!G514:Y1124,2,)</f>
        <v>0</v>
      </c>
      <c r="I514" s="38">
        <f>VLOOKUP(H514,'Sheet A'!H514:Z1124,2,)</f>
        <v>0</v>
      </c>
      <c r="J514" s="41" t="str">
        <f>VLOOKUP(I514,'Sheet A'!I514:AA1124,2,)</f>
        <v>Saturday</v>
      </c>
      <c r="K514" s="38">
        <f>VLOOKUP(J514,'Sheet A'!J514:AB1124,2,)</f>
        <v>1</v>
      </c>
      <c r="L514" s="38">
        <f>VLOOKUP(K514,'Sheet A'!K514:AC1124,2,)</f>
        <v>0.14000000000000001</v>
      </c>
      <c r="M514" s="70" t="str">
        <f>VLOOKUP(L514,'Sheet A'!L514:AD1124,2,)</f>
        <v>Rainy</v>
      </c>
      <c r="N514" s="38">
        <f>VLOOKUP(M514,'Sheet A'!M514:AE1124,2,)</f>
        <v>0.13639999999999999</v>
      </c>
      <c r="O514" s="38">
        <f>VLOOKUP(N514,'Sheet A'!N514:AF1124,2,)</f>
        <v>0.43</v>
      </c>
      <c r="P514" s="38">
        <f>VLOOKUP(O514,'Sheet A'!O514:AG1124,2,)</f>
        <v>0.22389999999999999</v>
      </c>
      <c r="Q514" s="38">
        <f>VLOOKUP(P514,'Sheet A'!P514:AH1124,2,)</f>
        <v>22</v>
      </c>
      <c r="R514" s="38">
        <f>VLOOKUP(Q514,'Sheet A'!Q514:AI1124,2,)</f>
        <v>77</v>
      </c>
      <c r="S514" s="38">
        <f>VLOOKUP(R514,'Sheet A'!R514:AJ1124,2,)</f>
        <v>99</v>
      </c>
    </row>
    <row r="515" spans="1:19" x14ac:dyDescent="0.35">
      <c r="A515" s="37">
        <v>514</v>
      </c>
      <c r="B515" s="60">
        <f>VLOOKUP(A515,'Sheet A'!A515:S1125,2,)</f>
        <v>40566</v>
      </c>
      <c r="C515" s="38">
        <f>VLOOKUP(B515,'Sheet A'!B515:T1125,2,)</f>
        <v>1</v>
      </c>
      <c r="D515" s="38">
        <f>VLOOKUP(C515,'Sheet A'!C515:U1125,2,)</f>
        <v>0</v>
      </c>
      <c r="E515" s="38">
        <f>VLOOKUP(D515,'Sheet A'!D515:V1125,2,)</f>
        <v>1</v>
      </c>
      <c r="F515" s="38">
        <f>VLOOKUP(E515,'Sheet A'!E515:W1125,2,)</f>
        <v>12</v>
      </c>
      <c r="G515" s="41" t="str">
        <f>VLOOKUP(F515,'Sheet A'!F515:X1125,2,)</f>
        <v>AfterNoon</v>
      </c>
      <c r="H515" s="38" t="b">
        <f>VLOOKUP(G515,'Sheet A'!G515:Y1125,2,)</f>
        <v>0</v>
      </c>
      <c r="I515" s="38">
        <f>VLOOKUP(H515,'Sheet A'!H515:Z1125,2,)</f>
        <v>0</v>
      </c>
      <c r="J515" s="41" t="str">
        <f>VLOOKUP(I515,'Sheet A'!I515:AA1125,2,)</f>
        <v>Saturday</v>
      </c>
      <c r="K515" s="38">
        <f>VLOOKUP(J515,'Sheet A'!J515:AB1125,2,)</f>
        <v>1</v>
      </c>
      <c r="L515" s="38">
        <f>VLOOKUP(K515,'Sheet A'!K515:AC1125,2,)</f>
        <v>0.16</v>
      </c>
      <c r="M515" s="70" t="str">
        <f>VLOOKUP(L515,'Sheet A'!L515:AD1125,2,)</f>
        <v>Rainy</v>
      </c>
      <c r="N515" s="38">
        <f>VLOOKUP(M515,'Sheet A'!M515:AE1125,2,)</f>
        <v>0.1212</v>
      </c>
      <c r="O515" s="38">
        <f>VLOOKUP(N515,'Sheet A'!N515:AF1125,2,)</f>
        <v>0.37</v>
      </c>
      <c r="P515" s="38">
        <f>VLOOKUP(O515,'Sheet A'!O515:AG1125,2,)</f>
        <v>0.4627</v>
      </c>
      <c r="Q515" s="38">
        <f>VLOOKUP(P515,'Sheet A'!P515:AH1125,2,)</f>
        <v>24</v>
      </c>
      <c r="R515" s="38">
        <f>VLOOKUP(Q515,'Sheet A'!Q515:AI1125,2,)</f>
        <v>92</v>
      </c>
      <c r="S515" s="38">
        <f>VLOOKUP(R515,'Sheet A'!R515:AJ1125,2,)</f>
        <v>116</v>
      </c>
    </row>
    <row r="516" spans="1:19" x14ac:dyDescent="0.35">
      <c r="A516" s="37">
        <v>515</v>
      </c>
      <c r="B516" s="60">
        <f>VLOOKUP(A516,'Sheet A'!A516:S1126,2,)</f>
        <v>40566</v>
      </c>
      <c r="C516" s="38">
        <f>VLOOKUP(B516,'Sheet A'!B516:T1126,2,)</f>
        <v>1</v>
      </c>
      <c r="D516" s="38">
        <f>VLOOKUP(C516,'Sheet A'!C516:U1126,2,)</f>
        <v>0</v>
      </c>
      <c r="E516" s="38">
        <f>VLOOKUP(D516,'Sheet A'!D516:V1126,2,)</f>
        <v>1</v>
      </c>
      <c r="F516" s="38">
        <f>VLOOKUP(E516,'Sheet A'!E516:W1126,2,)</f>
        <v>13</v>
      </c>
      <c r="G516" s="41" t="str">
        <f>VLOOKUP(F516,'Sheet A'!F516:X1126,2,)</f>
        <v>AfterNoon</v>
      </c>
      <c r="H516" s="38" t="b">
        <f>VLOOKUP(G516,'Sheet A'!G516:Y1126,2,)</f>
        <v>0</v>
      </c>
      <c r="I516" s="38">
        <f>VLOOKUP(H516,'Sheet A'!H516:Z1126,2,)</f>
        <v>0</v>
      </c>
      <c r="J516" s="41" t="str">
        <f>VLOOKUP(I516,'Sheet A'!I516:AA1126,2,)</f>
        <v>Saturday</v>
      </c>
      <c r="K516" s="38">
        <f>VLOOKUP(J516,'Sheet A'!J516:AB1126,2,)</f>
        <v>1</v>
      </c>
      <c r="L516" s="38">
        <f>VLOOKUP(K516,'Sheet A'!K516:AC1126,2,)</f>
        <v>0.14000000000000001</v>
      </c>
      <c r="M516" s="70" t="str">
        <f>VLOOKUP(L516,'Sheet A'!L516:AD1126,2,)</f>
        <v>Rainy</v>
      </c>
      <c r="N516" s="38">
        <f>VLOOKUP(M516,'Sheet A'!M516:AE1126,2,)</f>
        <v>0.1061</v>
      </c>
      <c r="O516" s="38">
        <f>VLOOKUP(N516,'Sheet A'!N516:AF1126,2,)</f>
        <v>0.33</v>
      </c>
      <c r="P516" s="38">
        <f>VLOOKUP(O516,'Sheet A'!O516:AG1126,2,)</f>
        <v>0.3881</v>
      </c>
      <c r="Q516" s="38">
        <f>VLOOKUP(P516,'Sheet A'!P516:AH1126,2,)</f>
        <v>12</v>
      </c>
      <c r="R516" s="38">
        <f>VLOOKUP(Q516,'Sheet A'!Q516:AI1126,2,)</f>
        <v>75</v>
      </c>
      <c r="S516" s="38">
        <f>VLOOKUP(R516,'Sheet A'!R516:AJ1126,2,)</f>
        <v>87</v>
      </c>
    </row>
    <row r="517" spans="1:19" x14ac:dyDescent="0.35">
      <c r="A517" s="37">
        <v>516</v>
      </c>
      <c r="B517" s="60">
        <f>VLOOKUP(A517,'Sheet A'!A517:S1127,2,)</f>
        <v>40566</v>
      </c>
      <c r="C517" s="38">
        <f>VLOOKUP(B517,'Sheet A'!B517:T1127,2,)</f>
        <v>1</v>
      </c>
      <c r="D517" s="38">
        <f>VLOOKUP(C517,'Sheet A'!C517:U1127,2,)</f>
        <v>0</v>
      </c>
      <c r="E517" s="38">
        <f>VLOOKUP(D517,'Sheet A'!D517:V1127,2,)</f>
        <v>1</v>
      </c>
      <c r="F517" s="38">
        <f>VLOOKUP(E517,'Sheet A'!E517:W1127,2,)</f>
        <v>14</v>
      </c>
      <c r="G517" s="41" t="str">
        <f>VLOOKUP(F517,'Sheet A'!F517:X1127,2,)</f>
        <v>AfterNoon</v>
      </c>
      <c r="H517" s="38" t="b">
        <f>VLOOKUP(G517,'Sheet A'!G517:Y1127,2,)</f>
        <v>0</v>
      </c>
      <c r="I517" s="38">
        <f>VLOOKUP(H517,'Sheet A'!H517:Z1127,2,)</f>
        <v>0</v>
      </c>
      <c r="J517" s="41" t="str">
        <f>VLOOKUP(I517,'Sheet A'!I517:AA1127,2,)</f>
        <v>Saturday</v>
      </c>
      <c r="K517" s="38">
        <f>VLOOKUP(J517,'Sheet A'!J517:AB1127,2,)</f>
        <v>1</v>
      </c>
      <c r="L517" s="38">
        <f>VLOOKUP(K517,'Sheet A'!K517:AC1127,2,)</f>
        <v>0.16</v>
      </c>
      <c r="M517" s="70" t="str">
        <f>VLOOKUP(L517,'Sheet A'!L517:AD1127,2,)</f>
        <v>Rainy</v>
      </c>
      <c r="N517" s="38">
        <f>VLOOKUP(M517,'Sheet A'!M517:AE1127,2,)</f>
        <v>0.13639999999999999</v>
      </c>
      <c r="O517" s="38">
        <f>VLOOKUP(N517,'Sheet A'!N517:AF1127,2,)</f>
        <v>0.28000000000000003</v>
      </c>
      <c r="P517" s="38">
        <f>VLOOKUP(O517,'Sheet A'!O517:AG1127,2,)</f>
        <v>0.35820000000000002</v>
      </c>
      <c r="Q517" s="38">
        <f>VLOOKUP(P517,'Sheet A'!P517:AH1127,2,)</f>
        <v>17</v>
      </c>
      <c r="R517" s="38">
        <f>VLOOKUP(Q517,'Sheet A'!Q517:AI1127,2,)</f>
        <v>93</v>
      </c>
      <c r="S517" s="38">
        <f>VLOOKUP(R517,'Sheet A'!R517:AJ1127,2,)</f>
        <v>110</v>
      </c>
    </row>
    <row r="518" spans="1:19" x14ac:dyDescent="0.35">
      <c r="A518" s="37">
        <v>517</v>
      </c>
      <c r="B518" s="60">
        <f>VLOOKUP(A518,'Sheet A'!A518:S1128,2,)</f>
        <v>40566</v>
      </c>
      <c r="C518" s="38">
        <f>VLOOKUP(B518,'Sheet A'!B518:T1128,2,)</f>
        <v>1</v>
      </c>
      <c r="D518" s="38">
        <f>VLOOKUP(C518,'Sheet A'!C518:U1128,2,)</f>
        <v>0</v>
      </c>
      <c r="E518" s="38">
        <f>VLOOKUP(D518,'Sheet A'!D518:V1128,2,)</f>
        <v>1</v>
      </c>
      <c r="F518" s="38">
        <f>VLOOKUP(E518,'Sheet A'!E518:W1128,2,)</f>
        <v>15</v>
      </c>
      <c r="G518" s="41" t="str">
        <f>VLOOKUP(F518,'Sheet A'!F518:X1128,2,)</f>
        <v>AfterNoon</v>
      </c>
      <c r="H518" s="38" t="b">
        <f>VLOOKUP(G518,'Sheet A'!G518:Y1128,2,)</f>
        <v>0</v>
      </c>
      <c r="I518" s="38">
        <f>VLOOKUP(H518,'Sheet A'!H518:Z1128,2,)</f>
        <v>0</v>
      </c>
      <c r="J518" s="41" t="str">
        <f>VLOOKUP(I518,'Sheet A'!I518:AA1128,2,)</f>
        <v>Saturday</v>
      </c>
      <c r="K518" s="38">
        <f>VLOOKUP(J518,'Sheet A'!J518:AB1128,2,)</f>
        <v>1</v>
      </c>
      <c r="L518" s="38">
        <f>VLOOKUP(K518,'Sheet A'!K518:AC1128,2,)</f>
        <v>0.16</v>
      </c>
      <c r="M518" s="70" t="str">
        <f>VLOOKUP(L518,'Sheet A'!L518:AD1128,2,)</f>
        <v>Rainy</v>
      </c>
      <c r="N518" s="38">
        <f>VLOOKUP(M518,'Sheet A'!M518:AE1128,2,)</f>
        <v>0.13639999999999999</v>
      </c>
      <c r="O518" s="38">
        <f>VLOOKUP(N518,'Sheet A'!N518:AF1128,2,)</f>
        <v>0.28000000000000003</v>
      </c>
      <c r="P518" s="38">
        <f>VLOOKUP(O518,'Sheet A'!O518:AG1128,2,)</f>
        <v>0.35820000000000002</v>
      </c>
      <c r="Q518" s="38">
        <f>VLOOKUP(P518,'Sheet A'!P518:AH1128,2,)</f>
        <v>13</v>
      </c>
      <c r="R518" s="38">
        <f>VLOOKUP(Q518,'Sheet A'!Q518:AI1128,2,)</f>
        <v>64</v>
      </c>
      <c r="S518" s="38">
        <f>VLOOKUP(R518,'Sheet A'!R518:AJ1128,2,)</f>
        <v>77</v>
      </c>
    </row>
    <row r="519" spans="1:19" x14ac:dyDescent="0.35">
      <c r="A519" s="37">
        <v>518</v>
      </c>
      <c r="B519" s="60">
        <f>VLOOKUP(A519,'Sheet A'!A519:S1129,2,)</f>
        <v>40566</v>
      </c>
      <c r="C519" s="38">
        <f>VLOOKUP(B519,'Sheet A'!B519:T1129,2,)</f>
        <v>1</v>
      </c>
      <c r="D519" s="38">
        <f>VLOOKUP(C519,'Sheet A'!C519:U1129,2,)</f>
        <v>0</v>
      </c>
      <c r="E519" s="38">
        <f>VLOOKUP(D519,'Sheet A'!D519:V1129,2,)</f>
        <v>1</v>
      </c>
      <c r="F519" s="38">
        <f>VLOOKUP(E519,'Sheet A'!E519:W1129,2,)</f>
        <v>16</v>
      </c>
      <c r="G519" s="41" t="str">
        <f>VLOOKUP(F519,'Sheet A'!F519:X1129,2,)</f>
        <v>AfterNoon</v>
      </c>
      <c r="H519" s="38" t="b">
        <f>VLOOKUP(G519,'Sheet A'!G519:Y1129,2,)</f>
        <v>0</v>
      </c>
      <c r="I519" s="38">
        <f>VLOOKUP(H519,'Sheet A'!H519:Z1129,2,)</f>
        <v>0</v>
      </c>
      <c r="J519" s="41" t="str">
        <f>VLOOKUP(I519,'Sheet A'!I519:AA1129,2,)</f>
        <v>Saturday</v>
      </c>
      <c r="K519" s="38">
        <f>VLOOKUP(J519,'Sheet A'!J519:AB1129,2,)</f>
        <v>1</v>
      </c>
      <c r="L519" s="38">
        <f>VLOOKUP(K519,'Sheet A'!K519:AC1129,2,)</f>
        <v>0.16</v>
      </c>
      <c r="M519" s="70" t="str">
        <f>VLOOKUP(L519,'Sheet A'!L519:AD1129,2,)</f>
        <v>Rainy</v>
      </c>
      <c r="N519" s="38">
        <f>VLOOKUP(M519,'Sheet A'!M519:AE1129,2,)</f>
        <v>0.13639999999999999</v>
      </c>
      <c r="O519" s="38">
        <f>VLOOKUP(N519,'Sheet A'!N519:AF1129,2,)</f>
        <v>0.26</v>
      </c>
      <c r="P519" s="38">
        <f>VLOOKUP(O519,'Sheet A'!O519:AG1129,2,)</f>
        <v>0.32840000000000003</v>
      </c>
      <c r="Q519" s="38">
        <f>VLOOKUP(P519,'Sheet A'!P519:AH1129,2,)</f>
        <v>9</v>
      </c>
      <c r="R519" s="38">
        <f>VLOOKUP(Q519,'Sheet A'!Q519:AI1129,2,)</f>
        <v>56</v>
      </c>
      <c r="S519" s="38">
        <f>VLOOKUP(R519,'Sheet A'!R519:AJ1129,2,)</f>
        <v>65</v>
      </c>
    </row>
    <row r="520" spans="1:19" x14ac:dyDescent="0.35">
      <c r="A520" s="37">
        <v>519</v>
      </c>
      <c r="B520" s="60">
        <f>VLOOKUP(A520,'Sheet A'!A520:S1130,2,)</f>
        <v>40566</v>
      </c>
      <c r="C520" s="38">
        <f>VLOOKUP(B520,'Sheet A'!B520:T1130,2,)</f>
        <v>1</v>
      </c>
      <c r="D520" s="38">
        <f>VLOOKUP(C520,'Sheet A'!C520:U1130,2,)</f>
        <v>0</v>
      </c>
      <c r="E520" s="38">
        <f>VLOOKUP(D520,'Sheet A'!D520:V1130,2,)</f>
        <v>1</v>
      </c>
      <c r="F520" s="38">
        <f>VLOOKUP(E520,'Sheet A'!E520:W1130,2,)</f>
        <v>17</v>
      </c>
      <c r="G520" s="41" t="str">
        <f>VLOOKUP(F520,'Sheet A'!F520:X1130,2,)</f>
        <v>Evening</v>
      </c>
      <c r="H520" s="38" t="b">
        <f>VLOOKUP(G520,'Sheet A'!G520:Y1130,2,)</f>
        <v>0</v>
      </c>
      <c r="I520" s="38">
        <f>VLOOKUP(H520,'Sheet A'!H520:Z1130,2,)</f>
        <v>0</v>
      </c>
      <c r="J520" s="41" t="str">
        <f>VLOOKUP(I520,'Sheet A'!I520:AA1130,2,)</f>
        <v>Saturday</v>
      </c>
      <c r="K520" s="38">
        <f>VLOOKUP(J520,'Sheet A'!J520:AB1130,2,)</f>
        <v>1</v>
      </c>
      <c r="L520" s="38">
        <f>VLOOKUP(K520,'Sheet A'!K520:AC1130,2,)</f>
        <v>0.14000000000000001</v>
      </c>
      <c r="M520" s="70" t="str">
        <f>VLOOKUP(L520,'Sheet A'!L520:AD1130,2,)</f>
        <v>Rainy</v>
      </c>
      <c r="N520" s="38">
        <f>VLOOKUP(M520,'Sheet A'!M520:AE1130,2,)</f>
        <v>0.1061</v>
      </c>
      <c r="O520" s="38">
        <f>VLOOKUP(N520,'Sheet A'!N520:AF1130,2,)</f>
        <v>0.26</v>
      </c>
      <c r="P520" s="38">
        <f>VLOOKUP(O520,'Sheet A'!O520:AG1130,2,)</f>
        <v>0.3881</v>
      </c>
      <c r="Q520" s="38">
        <f>VLOOKUP(P520,'Sheet A'!P520:AH1130,2,)</f>
        <v>5</v>
      </c>
      <c r="R520" s="38">
        <f>VLOOKUP(Q520,'Sheet A'!Q520:AI1130,2,)</f>
        <v>50</v>
      </c>
      <c r="S520" s="38">
        <f>VLOOKUP(R520,'Sheet A'!R520:AJ1130,2,)</f>
        <v>55</v>
      </c>
    </row>
    <row r="521" spans="1:19" x14ac:dyDescent="0.35">
      <c r="A521" s="37">
        <v>520</v>
      </c>
      <c r="B521" s="60">
        <f>VLOOKUP(A521,'Sheet A'!A521:S1131,2,)</f>
        <v>40566</v>
      </c>
      <c r="C521" s="38">
        <f>VLOOKUP(B521,'Sheet A'!B521:T1131,2,)</f>
        <v>1</v>
      </c>
      <c r="D521" s="38">
        <f>VLOOKUP(C521,'Sheet A'!C521:U1131,2,)</f>
        <v>0</v>
      </c>
      <c r="E521" s="38">
        <f>VLOOKUP(D521,'Sheet A'!D521:V1131,2,)</f>
        <v>1</v>
      </c>
      <c r="F521" s="38">
        <f>VLOOKUP(E521,'Sheet A'!E521:W1131,2,)</f>
        <v>18</v>
      </c>
      <c r="G521" s="41" t="str">
        <f>VLOOKUP(F521,'Sheet A'!F521:X1131,2,)</f>
        <v>Evening</v>
      </c>
      <c r="H521" s="38" t="b">
        <f>VLOOKUP(G521,'Sheet A'!G521:Y1131,2,)</f>
        <v>0</v>
      </c>
      <c r="I521" s="38">
        <f>VLOOKUP(H521,'Sheet A'!H521:Z1131,2,)</f>
        <v>0</v>
      </c>
      <c r="J521" s="41" t="str">
        <f>VLOOKUP(I521,'Sheet A'!I521:AA1131,2,)</f>
        <v>Saturday</v>
      </c>
      <c r="K521" s="38">
        <f>VLOOKUP(J521,'Sheet A'!J521:AB1131,2,)</f>
        <v>1</v>
      </c>
      <c r="L521" s="38">
        <f>VLOOKUP(K521,'Sheet A'!K521:AC1131,2,)</f>
        <v>0.12</v>
      </c>
      <c r="M521" s="70" t="str">
        <f>VLOOKUP(L521,'Sheet A'!L521:AD1131,2,)</f>
        <v>Rainy</v>
      </c>
      <c r="N521" s="38">
        <f>VLOOKUP(M521,'Sheet A'!M521:AE1131,2,)</f>
        <v>0.1212</v>
      </c>
      <c r="O521" s="38">
        <f>VLOOKUP(N521,'Sheet A'!N521:AF1131,2,)</f>
        <v>0.3</v>
      </c>
      <c r="P521" s="38">
        <f>VLOOKUP(O521,'Sheet A'!O521:AG1131,2,)</f>
        <v>0.25369999999999998</v>
      </c>
      <c r="Q521" s="38">
        <f>VLOOKUP(P521,'Sheet A'!P521:AH1131,2,)</f>
        <v>5</v>
      </c>
      <c r="R521" s="38">
        <f>VLOOKUP(Q521,'Sheet A'!Q521:AI1131,2,)</f>
        <v>44</v>
      </c>
      <c r="S521" s="38">
        <f>VLOOKUP(R521,'Sheet A'!R521:AJ1131,2,)</f>
        <v>49</v>
      </c>
    </row>
    <row r="522" spans="1:19" x14ac:dyDescent="0.35">
      <c r="A522" s="37">
        <v>521</v>
      </c>
      <c r="B522" s="60">
        <f>VLOOKUP(A522,'Sheet A'!A522:S1132,2,)</f>
        <v>40566</v>
      </c>
      <c r="C522" s="38">
        <f>VLOOKUP(B522,'Sheet A'!B522:T1132,2,)</f>
        <v>1</v>
      </c>
      <c r="D522" s="38">
        <f>VLOOKUP(C522,'Sheet A'!C522:U1132,2,)</f>
        <v>0</v>
      </c>
      <c r="E522" s="38">
        <f>VLOOKUP(D522,'Sheet A'!D522:V1132,2,)</f>
        <v>1</v>
      </c>
      <c r="F522" s="38">
        <f>VLOOKUP(E522,'Sheet A'!E522:W1132,2,)</f>
        <v>19</v>
      </c>
      <c r="G522" s="41" t="str">
        <f>VLOOKUP(F522,'Sheet A'!F522:X1132,2,)</f>
        <v>Evening</v>
      </c>
      <c r="H522" s="38" t="b">
        <f>VLOOKUP(G522,'Sheet A'!G522:Y1132,2,)</f>
        <v>0</v>
      </c>
      <c r="I522" s="38">
        <f>VLOOKUP(H522,'Sheet A'!H522:Z1132,2,)</f>
        <v>0</v>
      </c>
      <c r="J522" s="41" t="str">
        <f>VLOOKUP(I522,'Sheet A'!I522:AA1132,2,)</f>
        <v>Saturday</v>
      </c>
      <c r="K522" s="38">
        <f>VLOOKUP(J522,'Sheet A'!J522:AB1132,2,)</f>
        <v>1</v>
      </c>
      <c r="L522" s="38">
        <f>VLOOKUP(K522,'Sheet A'!K522:AC1132,2,)</f>
        <v>0.12</v>
      </c>
      <c r="M522" s="70" t="str">
        <f>VLOOKUP(L522,'Sheet A'!L522:AD1132,2,)</f>
        <v>Rainy</v>
      </c>
      <c r="N522" s="38">
        <f>VLOOKUP(M522,'Sheet A'!M522:AE1132,2,)</f>
        <v>0.1212</v>
      </c>
      <c r="O522" s="38">
        <f>VLOOKUP(N522,'Sheet A'!N522:AF1132,2,)</f>
        <v>0.3</v>
      </c>
      <c r="P522" s="38">
        <f>VLOOKUP(O522,'Sheet A'!O522:AG1132,2,)</f>
        <v>0.28360000000000002</v>
      </c>
      <c r="Q522" s="38">
        <f>VLOOKUP(P522,'Sheet A'!P522:AH1132,2,)</f>
        <v>5</v>
      </c>
      <c r="R522" s="38">
        <f>VLOOKUP(Q522,'Sheet A'!Q522:AI1132,2,)</f>
        <v>45</v>
      </c>
      <c r="S522" s="38">
        <f>VLOOKUP(R522,'Sheet A'!R522:AJ1132,2,)</f>
        <v>50</v>
      </c>
    </row>
    <row r="523" spans="1:19" x14ac:dyDescent="0.35">
      <c r="A523" s="37">
        <v>522</v>
      </c>
      <c r="B523" s="60">
        <f>VLOOKUP(A523,'Sheet A'!A523:S1133,2,)</f>
        <v>40566</v>
      </c>
      <c r="C523" s="38">
        <f>VLOOKUP(B523,'Sheet A'!B523:T1133,2,)</f>
        <v>1</v>
      </c>
      <c r="D523" s="38">
        <f>VLOOKUP(C523,'Sheet A'!C523:U1133,2,)</f>
        <v>0</v>
      </c>
      <c r="E523" s="38">
        <f>VLOOKUP(D523,'Sheet A'!D523:V1133,2,)</f>
        <v>1</v>
      </c>
      <c r="F523" s="38">
        <f>VLOOKUP(E523,'Sheet A'!E523:W1133,2,)</f>
        <v>20</v>
      </c>
      <c r="G523" s="41" t="str">
        <f>VLOOKUP(F523,'Sheet A'!F523:X1133,2,)</f>
        <v>Night</v>
      </c>
      <c r="H523" s="38" t="b">
        <f>VLOOKUP(G523,'Sheet A'!G523:Y1133,2,)</f>
        <v>0</v>
      </c>
      <c r="I523" s="38">
        <f>VLOOKUP(H523,'Sheet A'!H523:Z1133,2,)</f>
        <v>0</v>
      </c>
      <c r="J523" s="41" t="str">
        <f>VLOOKUP(I523,'Sheet A'!I523:AA1133,2,)</f>
        <v>Saturday</v>
      </c>
      <c r="K523" s="38">
        <f>VLOOKUP(J523,'Sheet A'!J523:AB1133,2,)</f>
        <v>1</v>
      </c>
      <c r="L523" s="38">
        <f>VLOOKUP(K523,'Sheet A'!K523:AC1133,2,)</f>
        <v>0.1</v>
      </c>
      <c r="M523" s="70" t="str">
        <f>VLOOKUP(L523,'Sheet A'!L523:AD1133,2,)</f>
        <v>Stromy</v>
      </c>
      <c r="N523" s="38">
        <f>VLOOKUP(M523,'Sheet A'!M523:AE1133,2,)</f>
        <v>0.1061</v>
      </c>
      <c r="O523" s="38">
        <f>VLOOKUP(N523,'Sheet A'!N523:AF1133,2,)</f>
        <v>0.36</v>
      </c>
      <c r="P523" s="38">
        <f>VLOOKUP(O523,'Sheet A'!O523:AG1133,2,)</f>
        <v>0.25369999999999998</v>
      </c>
      <c r="Q523" s="38">
        <f>VLOOKUP(P523,'Sheet A'!P523:AH1133,2,)</f>
        <v>4</v>
      </c>
      <c r="R523" s="38">
        <f>VLOOKUP(Q523,'Sheet A'!Q523:AI1133,2,)</f>
        <v>31</v>
      </c>
      <c r="S523" s="38">
        <f>VLOOKUP(R523,'Sheet A'!R523:AJ1133,2,)</f>
        <v>35</v>
      </c>
    </row>
    <row r="524" spans="1:19" x14ac:dyDescent="0.35">
      <c r="A524" s="37">
        <v>523</v>
      </c>
      <c r="B524" s="60">
        <f>VLOOKUP(A524,'Sheet A'!A524:S1134,2,)</f>
        <v>40566</v>
      </c>
      <c r="C524" s="38">
        <f>VLOOKUP(B524,'Sheet A'!B524:T1134,2,)</f>
        <v>1</v>
      </c>
      <c r="D524" s="38">
        <f>VLOOKUP(C524,'Sheet A'!C524:U1134,2,)</f>
        <v>0</v>
      </c>
      <c r="E524" s="38">
        <f>VLOOKUP(D524,'Sheet A'!D524:V1134,2,)</f>
        <v>1</v>
      </c>
      <c r="F524" s="38">
        <f>VLOOKUP(E524,'Sheet A'!E524:W1134,2,)</f>
        <v>21</v>
      </c>
      <c r="G524" s="41" t="str">
        <f>VLOOKUP(F524,'Sheet A'!F524:X1134,2,)</f>
        <v>Night</v>
      </c>
      <c r="H524" s="38" t="b">
        <f>VLOOKUP(G524,'Sheet A'!G524:Y1134,2,)</f>
        <v>0</v>
      </c>
      <c r="I524" s="38">
        <f>VLOOKUP(H524,'Sheet A'!H524:Z1134,2,)</f>
        <v>0</v>
      </c>
      <c r="J524" s="41" t="str">
        <f>VLOOKUP(I524,'Sheet A'!I524:AA1134,2,)</f>
        <v>Saturday</v>
      </c>
      <c r="K524" s="38">
        <f>VLOOKUP(J524,'Sheet A'!J524:AB1134,2,)</f>
        <v>1</v>
      </c>
      <c r="L524" s="38">
        <f>VLOOKUP(K524,'Sheet A'!K524:AC1134,2,)</f>
        <v>0.1</v>
      </c>
      <c r="M524" s="70" t="str">
        <f>VLOOKUP(L524,'Sheet A'!L524:AD1134,2,)</f>
        <v>Stromy</v>
      </c>
      <c r="N524" s="38">
        <f>VLOOKUP(M524,'Sheet A'!M524:AE1134,2,)</f>
        <v>0.1061</v>
      </c>
      <c r="O524" s="38">
        <f>VLOOKUP(N524,'Sheet A'!N524:AF1134,2,)</f>
        <v>0.36</v>
      </c>
      <c r="P524" s="38">
        <f>VLOOKUP(O524,'Sheet A'!O524:AG1134,2,)</f>
        <v>0.19400000000000001</v>
      </c>
      <c r="Q524" s="38">
        <f>VLOOKUP(P524,'Sheet A'!P524:AH1134,2,)</f>
        <v>5</v>
      </c>
      <c r="R524" s="38">
        <f>VLOOKUP(Q524,'Sheet A'!Q524:AI1134,2,)</f>
        <v>20</v>
      </c>
      <c r="S524" s="38">
        <f>VLOOKUP(R524,'Sheet A'!R524:AJ1134,2,)</f>
        <v>25</v>
      </c>
    </row>
    <row r="525" spans="1:19" x14ac:dyDescent="0.35">
      <c r="A525" s="37">
        <v>524</v>
      </c>
      <c r="B525" s="60">
        <f>VLOOKUP(A525,'Sheet A'!A525:S1135,2,)</f>
        <v>40566</v>
      </c>
      <c r="C525" s="38">
        <f>VLOOKUP(B525,'Sheet A'!B525:T1135,2,)</f>
        <v>1</v>
      </c>
      <c r="D525" s="38">
        <f>VLOOKUP(C525,'Sheet A'!C525:U1135,2,)</f>
        <v>0</v>
      </c>
      <c r="E525" s="38">
        <f>VLOOKUP(D525,'Sheet A'!D525:V1135,2,)</f>
        <v>1</v>
      </c>
      <c r="F525" s="38">
        <f>VLOOKUP(E525,'Sheet A'!E525:W1135,2,)</f>
        <v>22</v>
      </c>
      <c r="G525" s="41" t="str">
        <f>VLOOKUP(F525,'Sheet A'!F525:X1135,2,)</f>
        <v>Night</v>
      </c>
      <c r="H525" s="38" t="b">
        <f>VLOOKUP(G525,'Sheet A'!G525:Y1135,2,)</f>
        <v>0</v>
      </c>
      <c r="I525" s="38">
        <f>VLOOKUP(H525,'Sheet A'!H525:Z1135,2,)</f>
        <v>0</v>
      </c>
      <c r="J525" s="41" t="str">
        <f>VLOOKUP(I525,'Sheet A'!I525:AA1135,2,)</f>
        <v>Saturday</v>
      </c>
      <c r="K525" s="38">
        <f>VLOOKUP(J525,'Sheet A'!J525:AB1135,2,)</f>
        <v>1</v>
      </c>
      <c r="L525" s="38">
        <f>VLOOKUP(K525,'Sheet A'!K525:AC1135,2,)</f>
        <v>0.08</v>
      </c>
      <c r="M525" s="70" t="str">
        <f>VLOOKUP(L525,'Sheet A'!L525:AD1135,2,)</f>
        <v>Stromy</v>
      </c>
      <c r="N525" s="38">
        <f>VLOOKUP(M525,'Sheet A'!M525:AE1135,2,)</f>
        <v>9.0899999999999995E-2</v>
      </c>
      <c r="O525" s="38">
        <f>VLOOKUP(N525,'Sheet A'!N525:AF1135,2,)</f>
        <v>0.38</v>
      </c>
      <c r="P525" s="38">
        <f>VLOOKUP(O525,'Sheet A'!O525:AG1135,2,)</f>
        <v>0.19400000000000001</v>
      </c>
      <c r="Q525" s="38">
        <f>VLOOKUP(P525,'Sheet A'!P525:AH1135,2,)</f>
        <v>5</v>
      </c>
      <c r="R525" s="38">
        <f>VLOOKUP(Q525,'Sheet A'!Q525:AI1135,2,)</f>
        <v>23</v>
      </c>
      <c r="S525" s="38">
        <f>VLOOKUP(R525,'Sheet A'!R525:AJ1135,2,)</f>
        <v>28</v>
      </c>
    </row>
    <row r="526" spans="1:19" x14ac:dyDescent="0.35">
      <c r="A526" s="37">
        <v>525</v>
      </c>
      <c r="B526" s="60">
        <f>VLOOKUP(A526,'Sheet A'!A526:S1136,2,)</f>
        <v>40566</v>
      </c>
      <c r="C526" s="38">
        <f>VLOOKUP(B526,'Sheet A'!B526:T1136,2,)</f>
        <v>1</v>
      </c>
      <c r="D526" s="38">
        <f>VLOOKUP(C526,'Sheet A'!C526:U1136,2,)</f>
        <v>0</v>
      </c>
      <c r="E526" s="38">
        <f>VLOOKUP(D526,'Sheet A'!D526:V1136,2,)</f>
        <v>1</v>
      </c>
      <c r="F526" s="38">
        <f>VLOOKUP(E526,'Sheet A'!E526:W1136,2,)</f>
        <v>23</v>
      </c>
      <c r="G526" s="41" t="str">
        <f>VLOOKUP(F526,'Sheet A'!F526:X1136,2,)</f>
        <v>Night</v>
      </c>
      <c r="H526" s="38" t="b">
        <f>VLOOKUP(G526,'Sheet A'!G526:Y1136,2,)</f>
        <v>0</v>
      </c>
      <c r="I526" s="38">
        <f>VLOOKUP(H526,'Sheet A'!H526:Z1136,2,)</f>
        <v>0</v>
      </c>
      <c r="J526" s="41" t="str">
        <f>VLOOKUP(I526,'Sheet A'!I526:AA1136,2,)</f>
        <v>Saturday</v>
      </c>
      <c r="K526" s="38">
        <f>VLOOKUP(J526,'Sheet A'!J526:AB1136,2,)</f>
        <v>1</v>
      </c>
      <c r="L526" s="38">
        <f>VLOOKUP(K526,'Sheet A'!K526:AC1136,2,)</f>
        <v>0.06</v>
      </c>
      <c r="M526" s="70" t="str">
        <f>VLOOKUP(L526,'Sheet A'!L526:AD1136,2,)</f>
        <v>Stromy</v>
      </c>
      <c r="N526" s="38">
        <f>VLOOKUP(M526,'Sheet A'!M526:AE1136,2,)</f>
        <v>6.0600000000000001E-2</v>
      </c>
      <c r="O526" s="38">
        <f>VLOOKUP(N526,'Sheet A'!N526:AF1136,2,)</f>
        <v>0.41</v>
      </c>
      <c r="P526" s="38">
        <f>VLOOKUP(O526,'Sheet A'!O526:AG1136,2,)</f>
        <v>0.22389999999999999</v>
      </c>
      <c r="Q526" s="38">
        <f>VLOOKUP(P526,'Sheet A'!P526:AH1136,2,)</f>
        <v>4</v>
      </c>
      <c r="R526" s="38">
        <f>VLOOKUP(Q526,'Sheet A'!Q526:AI1136,2,)</f>
        <v>17</v>
      </c>
      <c r="S526" s="38">
        <f>VLOOKUP(R526,'Sheet A'!R526:AJ1136,2,)</f>
        <v>21</v>
      </c>
    </row>
    <row r="527" spans="1:19" x14ac:dyDescent="0.35">
      <c r="A527" s="37">
        <v>526</v>
      </c>
      <c r="B527" s="60">
        <f>VLOOKUP(A527,'Sheet A'!A527:S1137,2,)</f>
        <v>40567</v>
      </c>
      <c r="C527" s="38">
        <f>VLOOKUP(B527,'Sheet A'!B527:T1137,2,)</f>
        <v>1</v>
      </c>
      <c r="D527" s="38">
        <f>VLOOKUP(C527,'Sheet A'!C527:U1137,2,)</f>
        <v>0</v>
      </c>
      <c r="E527" s="38">
        <f>VLOOKUP(D527,'Sheet A'!D527:V1137,2,)</f>
        <v>1</v>
      </c>
      <c r="F527" s="38">
        <f>VLOOKUP(E527,'Sheet A'!E527:W1137,2,)</f>
        <v>0</v>
      </c>
      <c r="G527" s="41" t="str">
        <f>VLOOKUP(F527,'Sheet A'!F527:X1137,2,)</f>
        <v>Night</v>
      </c>
      <c r="H527" s="38" t="b">
        <f>VLOOKUP(G527,'Sheet A'!G527:Y1137,2,)</f>
        <v>0</v>
      </c>
      <c r="I527" s="38">
        <f>VLOOKUP(H527,'Sheet A'!H527:Z1137,2,)</f>
        <v>1</v>
      </c>
      <c r="J527" s="41" t="str">
        <f>VLOOKUP(I527,'Sheet A'!I527:AA1137,2,)</f>
        <v>Sunday</v>
      </c>
      <c r="K527" s="38">
        <f>VLOOKUP(J527,'Sheet A'!J527:AB1137,2,)</f>
        <v>1</v>
      </c>
      <c r="L527" s="38">
        <f>VLOOKUP(K527,'Sheet A'!K527:AC1137,2,)</f>
        <v>0.06</v>
      </c>
      <c r="M527" s="70" t="str">
        <f>VLOOKUP(L527,'Sheet A'!L527:AD1137,2,)</f>
        <v>Stromy</v>
      </c>
      <c r="N527" s="38">
        <f>VLOOKUP(M527,'Sheet A'!M527:AE1137,2,)</f>
        <v>6.0600000000000001E-2</v>
      </c>
      <c r="O527" s="38">
        <f>VLOOKUP(N527,'Sheet A'!N527:AF1137,2,)</f>
        <v>0.41</v>
      </c>
      <c r="P527" s="38">
        <f>VLOOKUP(O527,'Sheet A'!O527:AG1137,2,)</f>
        <v>0.19400000000000001</v>
      </c>
      <c r="Q527" s="38">
        <f>VLOOKUP(P527,'Sheet A'!P527:AH1137,2,)</f>
        <v>0</v>
      </c>
      <c r="R527" s="38">
        <f>VLOOKUP(Q527,'Sheet A'!Q527:AI1137,2,)</f>
        <v>7</v>
      </c>
      <c r="S527" s="38">
        <f>VLOOKUP(R527,'Sheet A'!R527:AJ1137,2,)</f>
        <v>7</v>
      </c>
    </row>
    <row r="528" spans="1:19" x14ac:dyDescent="0.35">
      <c r="A528" s="37">
        <v>527</v>
      </c>
      <c r="B528" s="60">
        <f>VLOOKUP(A528,'Sheet A'!A528:S1138,2,)</f>
        <v>40567</v>
      </c>
      <c r="C528" s="38">
        <f>VLOOKUP(B528,'Sheet A'!B528:T1138,2,)</f>
        <v>1</v>
      </c>
      <c r="D528" s="38">
        <f>VLOOKUP(C528,'Sheet A'!C528:U1138,2,)</f>
        <v>0</v>
      </c>
      <c r="E528" s="38">
        <f>VLOOKUP(D528,'Sheet A'!D528:V1138,2,)</f>
        <v>1</v>
      </c>
      <c r="F528" s="38">
        <f>VLOOKUP(E528,'Sheet A'!E528:W1138,2,)</f>
        <v>1</v>
      </c>
      <c r="G528" s="41" t="str">
        <f>VLOOKUP(F528,'Sheet A'!F528:X1138,2,)</f>
        <v>Night</v>
      </c>
      <c r="H528" s="38" t="b">
        <f>VLOOKUP(G528,'Sheet A'!G528:Y1138,2,)</f>
        <v>0</v>
      </c>
      <c r="I528" s="38">
        <f>VLOOKUP(H528,'Sheet A'!H528:Z1138,2,)</f>
        <v>1</v>
      </c>
      <c r="J528" s="41" t="str">
        <f>VLOOKUP(I528,'Sheet A'!I528:AA1138,2,)</f>
        <v>Sunday</v>
      </c>
      <c r="K528" s="38">
        <f>VLOOKUP(J528,'Sheet A'!J528:AB1138,2,)</f>
        <v>1</v>
      </c>
      <c r="L528" s="38">
        <f>VLOOKUP(K528,'Sheet A'!K528:AC1138,2,)</f>
        <v>0.04</v>
      </c>
      <c r="M528" s="70" t="str">
        <f>VLOOKUP(L528,'Sheet A'!L528:AD1138,2,)</f>
        <v>Stromy</v>
      </c>
      <c r="N528" s="38">
        <f>VLOOKUP(M528,'Sheet A'!M528:AE1138,2,)</f>
        <v>4.5499999999999999E-2</v>
      </c>
      <c r="O528" s="38">
        <f>VLOOKUP(N528,'Sheet A'!N528:AF1138,2,)</f>
        <v>0.45</v>
      </c>
      <c r="P528" s="38">
        <f>VLOOKUP(O528,'Sheet A'!O528:AG1138,2,)</f>
        <v>0.19400000000000001</v>
      </c>
      <c r="Q528" s="38">
        <f>VLOOKUP(P528,'Sheet A'!P528:AH1138,2,)</f>
        <v>0</v>
      </c>
      <c r="R528" s="38">
        <f>VLOOKUP(Q528,'Sheet A'!Q528:AI1138,2,)</f>
        <v>1</v>
      </c>
      <c r="S528" s="38">
        <f>VLOOKUP(R528,'Sheet A'!R528:AJ1138,2,)</f>
        <v>1</v>
      </c>
    </row>
    <row r="529" spans="1:19" x14ac:dyDescent="0.35">
      <c r="A529" s="37">
        <v>528</v>
      </c>
      <c r="B529" s="60">
        <f>VLOOKUP(A529,'Sheet A'!A529:S1139,2,)</f>
        <v>40567</v>
      </c>
      <c r="C529" s="38">
        <f>VLOOKUP(B529,'Sheet A'!B529:T1139,2,)</f>
        <v>1</v>
      </c>
      <c r="D529" s="38">
        <f>VLOOKUP(C529,'Sheet A'!C529:U1139,2,)</f>
        <v>0</v>
      </c>
      <c r="E529" s="38">
        <f>VLOOKUP(D529,'Sheet A'!D529:V1139,2,)</f>
        <v>1</v>
      </c>
      <c r="F529" s="38">
        <f>VLOOKUP(E529,'Sheet A'!E529:W1139,2,)</f>
        <v>3</v>
      </c>
      <c r="G529" s="41" t="str">
        <f>VLOOKUP(F529,'Sheet A'!F529:X1139,2,)</f>
        <v>Night</v>
      </c>
      <c r="H529" s="38" t="b">
        <f>VLOOKUP(G529,'Sheet A'!G529:Y1139,2,)</f>
        <v>0</v>
      </c>
      <c r="I529" s="38">
        <f>VLOOKUP(H529,'Sheet A'!H529:Z1139,2,)</f>
        <v>1</v>
      </c>
      <c r="J529" s="41" t="str">
        <f>VLOOKUP(I529,'Sheet A'!I529:AA1139,2,)</f>
        <v>Sunday</v>
      </c>
      <c r="K529" s="38">
        <f>VLOOKUP(J529,'Sheet A'!J529:AB1139,2,)</f>
        <v>1</v>
      </c>
      <c r="L529" s="38">
        <f>VLOOKUP(K529,'Sheet A'!K529:AC1139,2,)</f>
        <v>0.04</v>
      </c>
      <c r="M529" s="70" t="str">
        <f>VLOOKUP(L529,'Sheet A'!L529:AD1139,2,)</f>
        <v>Stromy</v>
      </c>
      <c r="N529" s="38">
        <f>VLOOKUP(M529,'Sheet A'!M529:AE1139,2,)</f>
        <v>3.0300000000000001E-2</v>
      </c>
      <c r="O529" s="38">
        <f>VLOOKUP(N529,'Sheet A'!N529:AF1139,2,)</f>
        <v>0.45</v>
      </c>
      <c r="P529" s="38">
        <f>VLOOKUP(O529,'Sheet A'!O529:AG1139,2,)</f>
        <v>0.25369999999999998</v>
      </c>
      <c r="Q529" s="38">
        <f>VLOOKUP(P529,'Sheet A'!P529:AH1139,2,)</f>
        <v>0</v>
      </c>
      <c r="R529" s="38">
        <f>VLOOKUP(Q529,'Sheet A'!Q529:AI1139,2,)</f>
        <v>1</v>
      </c>
      <c r="S529" s="38">
        <f>VLOOKUP(R529,'Sheet A'!R529:AJ1139,2,)</f>
        <v>1</v>
      </c>
    </row>
    <row r="530" spans="1:19" x14ac:dyDescent="0.35">
      <c r="A530" s="37">
        <v>529</v>
      </c>
      <c r="B530" s="60">
        <f>VLOOKUP(A530,'Sheet A'!A530:S1140,2,)</f>
        <v>40567</v>
      </c>
      <c r="C530" s="38">
        <f>VLOOKUP(B530,'Sheet A'!B530:T1140,2,)</f>
        <v>1</v>
      </c>
      <c r="D530" s="38">
        <f>VLOOKUP(C530,'Sheet A'!C530:U1140,2,)</f>
        <v>0</v>
      </c>
      <c r="E530" s="38">
        <f>VLOOKUP(D530,'Sheet A'!D530:V1140,2,)</f>
        <v>1</v>
      </c>
      <c r="F530" s="38">
        <f>VLOOKUP(E530,'Sheet A'!E530:W1140,2,)</f>
        <v>4</v>
      </c>
      <c r="G530" s="41" t="str">
        <f>VLOOKUP(F530,'Sheet A'!F530:X1140,2,)</f>
        <v>Night</v>
      </c>
      <c r="H530" s="38" t="b">
        <f>VLOOKUP(G530,'Sheet A'!G530:Y1140,2,)</f>
        <v>0</v>
      </c>
      <c r="I530" s="38">
        <f>VLOOKUP(H530,'Sheet A'!H530:Z1140,2,)</f>
        <v>1</v>
      </c>
      <c r="J530" s="41" t="str">
        <f>VLOOKUP(I530,'Sheet A'!I530:AA1140,2,)</f>
        <v>Sunday</v>
      </c>
      <c r="K530" s="38">
        <f>VLOOKUP(J530,'Sheet A'!J530:AB1140,2,)</f>
        <v>1</v>
      </c>
      <c r="L530" s="38">
        <f>VLOOKUP(K530,'Sheet A'!K530:AC1140,2,)</f>
        <v>0.02</v>
      </c>
      <c r="M530" s="70" t="str">
        <f>VLOOKUP(L530,'Sheet A'!L530:AD1140,2,)</f>
        <v>Stromy</v>
      </c>
      <c r="N530" s="38">
        <f>VLOOKUP(M530,'Sheet A'!M530:AE1140,2,)</f>
        <v>6.0600000000000001E-2</v>
      </c>
      <c r="O530" s="38">
        <f>VLOOKUP(N530,'Sheet A'!N530:AF1140,2,)</f>
        <v>0.48</v>
      </c>
      <c r="P530" s="38">
        <f>VLOOKUP(O530,'Sheet A'!O530:AG1140,2,)</f>
        <v>0.1343</v>
      </c>
      <c r="Q530" s="38">
        <f>VLOOKUP(P530,'Sheet A'!P530:AH1140,2,)</f>
        <v>0</v>
      </c>
      <c r="R530" s="38">
        <f>VLOOKUP(Q530,'Sheet A'!Q530:AI1140,2,)</f>
        <v>1</v>
      </c>
      <c r="S530" s="38">
        <f>VLOOKUP(R530,'Sheet A'!R530:AJ1140,2,)</f>
        <v>1</v>
      </c>
    </row>
    <row r="531" spans="1:19" x14ac:dyDescent="0.35">
      <c r="A531" s="37">
        <v>530</v>
      </c>
      <c r="B531" s="60">
        <f>VLOOKUP(A531,'Sheet A'!A531:S1141,2,)</f>
        <v>40567</v>
      </c>
      <c r="C531" s="38">
        <f>VLOOKUP(B531,'Sheet A'!B531:T1141,2,)</f>
        <v>1</v>
      </c>
      <c r="D531" s="38">
        <f>VLOOKUP(C531,'Sheet A'!C531:U1141,2,)</f>
        <v>0</v>
      </c>
      <c r="E531" s="38">
        <f>VLOOKUP(D531,'Sheet A'!D531:V1141,2,)</f>
        <v>1</v>
      </c>
      <c r="F531" s="38">
        <f>VLOOKUP(E531,'Sheet A'!E531:W1141,2,)</f>
        <v>5</v>
      </c>
      <c r="G531" s="41" t="str">
        <f>VLOOKUP(F531,'Sheet A'!F531:X1141,2,)</f>
        <v>Morning</v>
      </c>
      <c r="H531" s="38" t="b">
        <f>VLOOKUP(G531,'Sheet A'!G531:Y1141,2,)</f>
        <v>0</v>
      </c>
      <c r="I531" s="38">
        <f>VLOOKUP(H531,'Sheet A'!H531:Z1141,2,)</f>
        <v>1</v>
      </c>
      <c r="J531" s="41" t="str">
        <f>VLOOKUP(I531,'Sheet A'!I531:AA1141,2,)</f>
        <v>Sunday</v>
      </c>
      <c r="K531" s="38">
        <f>VLOOKUP(J531,'Sheet A'!J531:AB1141,2,)</f>
        <v>1</v>
      </c>
      <c r="L531" s="38">
        <f>VLOOKUP(K531,'Sheet A'!K531:AC1141,2,)</f>
        <v>0.02</v>
      </c>
      <c r="M531" s="70" t="str">
        <f>VLOOKUP(L531,'Sheet A'!L531:AD1141,2,)</f>
        <v>Stromy</v>
      </c>
      <c r="N531" s="38">
        <f>VLOOKUP(M531,'Sheet A'!M531:AE1141,2,)</f>
        <v>6.0600000000000001E-2</v>
      </c>
      <c r="O531" s="38">
        <f>VLOOKUP(N531,'Sheet A'!N531:AF1141,2,)</f>
        <v>0.48</v>
      </c>
      <c r="P531" s="38">
        <f>VLOOKUP(O531,'Sheet A'!O531:AG1141,2,)</f>
        <v>0.1343</v>
      </c>
      <c r="Q531" s="38">
        <f>VLOOKUP(P531,'Sheet A'!P531:AH1141,2,)</f>
        <v>0</v>
      </c>
      <c r="R531" s="38">
        <f>VLOOKUP(Q531,'Sheet A'!Q531:AI1141,2,)</f>
        <v>5</v>
      </c>
      <c r="S531" s="38">
        <f>VLOOKUP(R531,'Sheet A'!R531:AJ1141,2,)</f>
        <v>5</v>
      </c>
    </row>
    <row r="532" spans="1:19" x14ac:dyDescent="0.35">
      <c r="A532" s="37">
        <v>531</v>
      </c>
      <c r="B532" s="60">
        <f>VLOOKUP(A532,'Sheet A'!A532:S1142,2,)</f>
        <v>40567</v>
      </c>
      <c r="C532" s="38">
        <f>VLOOKUP(B532,'Sheet A'!B532:T1142,2,)</f>
        <v>1</v>
      </c>
      <c r="D532" s="38">
        <f>VLOOKUP(C532,'Sheet A'!C532:U1142,2,)</f>
        <v>0</v>
      </c>
      <c r="E532" s="38">
        <f>VLOOKUP(D532,'Sheet A'!D532:V1142,2,)</f>
        <v>1</v>
      </c>
      <c r="F532" s="38">
        <f>VLOOKUP(E532,'Sheet A'!E532:W1142,2,)</f>
        <v>6</v>
      </c>
      <c r="G532" s="41" t="str">
        <f>VLOOKUP(F532,'Sheet A'!F532:X1142,2,)</f>
        <v>Morning</v>
      </c>
      <c r="H532" s="38" t="b">
        <f>VLOOKUP(G532,'Sheet A'!G532:Y1142,2,)</f>
        <v>0</v>
      </c>
      <c r="I532" s="38">
        <f>VLOOKUP(H532,'Sheet A'!H532:Z1142,2,)</f>
        <v>1</v>
      </c>
      <c r="J532" s="41" t="str">
        <f>VLOOKUP(I532,'Sheet A'!I532:AA1142,2,)</f>
        <v>Sunday</v>
      </c>
      <c r="K532" s="38">
        <f>VLOOKUP(J532,'Sheet A'!J532:AB1142,2,)</f>
        <v>1</v>
      </c>
      <c r="L532" s="38">
        <f>VLOOKUP(K532,'Sheet A'!K532:AC1142,2,)</f>
        <v>0.02</v>
      </c>
      <c r="M532" s="70" t="str">
        <f>VLOOKUP(L532,'Sheet A'!L532:AD1142,2,)</f>
        <v>Stromy</v>
      </c>
      <c r="N532" s="38">
        <f>VLOOKUP(M532,'Sheet A'!M532:AE1142,2,)</f>
        <v>7.5800000000000006E-2</v>
      </c>
      <c r="O532" s="38">
        <f>VLOOKUP(N532,'Sheet A'!N532:AF1142,2,)</f>
        <v>0.48</v>
      </c>
      <c r="P532" s="38">
        <f>VLOOKUP(O532,'Sheet A'!O532:AG1142,2,)</f>
        <v>8.9599999999999999E-2</v>
      </c>
      <c r="Q532" s="38">
        <f>VLOOKUP(P532,'Sheet A'!P532:AH1142,2,)</f>
        <v>0</v>
      </c>
      <c r="R532" s="38">
        <f>VLOOKUP(Q532,'Sheet A'!Q532:AI1142,2,)</f>
        <v>15</v>
      </c>
      <c r="S532" s="38">
        <f>VLOOKUP(R532,'Sheet A'!R532:AJ1142,2,)</f>
        <v>15</v>
      </c>
    </row>
    <row r="533" spans="1:19" x14ac:dyDescent="0.35">
      <c r="A533" s="37">
        <v>532</v>
      </c>
      <c r="B533" s="60">
        <f>VLOOKUP(A533,'Sheet A'!A533:S1143,2,)</f>
        <v>40567</v>
      </c>
      <c r="C533" s="38">
        <f>VLOOKUP(B533,'Sheet A'!B533:T1143,2,)</f>
        <v>1</v>
      </c>
      <c r="D533" s="38">
        <f>VLOOKUP(C533,'Sheet A'!C533:U1143,2,)</f>
        <v>0</v>
      </c>
      <c r="E533" s="38">
        <f>VLOOKUP(D533,'Sheet A'!D533:V1143,2,)</f>
        <v>1</v>
      </c>
      <c r="F533" s="38">
        <f>VLOOKUP(E533,'Sheet A'!E533:W1143,2,)</f>
        <v>7</v>
      </c>
      <c r="G533" s="41" t="str">
        <f>VLOOKUP(F533,'Sheet A'!F533:X1143,2,)</f>
        <v>Morning</v>
      </c>
      <c r="H533" s="38" t="b">
        <f>VLOOKUP(G533,'Sheet A'!G533:Y1143,2,)</f>
        <v>0</v>
      </c>
      <c r="I533" s="38">
        <f>VLOOKUP(H533,'Sheet A'!H533:Z1143,2,)</f>
        <v>1</v>
      </c>
      <c r="J533" s="41" t="str">
        <f>VLOOKUP(I533,'Sheet A'!I533:AA1143,2,)</f>
        <v>Sunday</v>
      </c>
      <c r="K533" s="38">
        <f>VLOOKUP(J533,'Sheet A'!J533:AB1143,2,)</f>
        <v>1</v>
      </c>
      <c r="L533" s="38">
        <f>VLOOKUP(K533,'Sheet A'!K533:AC1143,2,)</f>
        <v>0.02</v>
      </c>
      <c r="M533" s="70" t="str">
        <f>VLOOKUP(L533,'Sheet A'!L533:AD1143,2,)</f>
        <v>Stromy</v>
      </c>
      <c r="N533" s="38">
        <f>VLOOKUP(M533,'Sheet A'!M533:AE1143,2,)</f>
        <v>0.1212</v>
      </c>
      <c r="O533" s="38">
        <f>VLOOKUP(N533,'Sheet A'!N533:AF1143,2,)</f>
        <v>0.48</v>
      </c>
      <c r="P533" s="38">
        <f>VLOOKUP(O533,'Sheet A'!O533:AG1143,2,)</f>
        <v>0</v>
      </c>
      <c r="Q533" s="38">
        <f>VLOOKUP(P533,'Sheet A'!P533:AH1143,2,)</f>
        <v>5</v>
      </c>
      <c r="R533" s="38">
        <f>VLOOKUP(Q533,'Sheet A'!Q533:AI1143,2,)</f>
        <v>79</v>
      </c>
      <c r="S533" s="38">
        <f>VLOOKUP(R533,'Sheet A'!R533:AJ1143,2,)</f>
        <v>84</v>
      </c>
    </row>
    <row r="534" spans="1:19" x14ac:dyDescent="0.35">
      <c r="A534" s="37">
        <v>533</v>
      </c>
      <c r="B534" s="60">
        <f>VLOOKUP(A534,'Sheet A'!A534:S1144,2,)</f>
        <v>40567</v>
      </c>
      <c r="C534" s="38">
        <f>VLOOKUP(B534,'Sheet A'!B534:T1144,2,)</f>
        <v>1</v>
      </c>
      <c r="D534" s="38">
        <f>VLOOKUP(C534,'Sheet A'!C534:U1144,2,)</f>
        <v>0</v>
      </c>
      <c r="E534" s="38">
        <f>VLOOKUP(D534,'Sheet A'!D534:V1144,2,)</f>
        <v>1</v>
      </c>
      <c r="F534" s="38">
        <f>VLOOKUP(E534,'Sheet A'!E534:W1144,2,)</f>
        <v>8</v>
      </c>
      <c r="G534" s="41" t="str">
        <f>VLOOKUP(F534,'Sheet A'!F534:X1144,2,)</f>
        <v>Morning</v>
      </c>
      <c r="H534" s="38" t="b">
        <f>VLOOKUP(G534,'Sheet A'!G534:Y1144,2,)</f>
        <v>0</v>
      </c>
      <c r="I534" s="38">
        <f>VLOOKUP(H534,'Sheet A'!H534:Z1144,2,)</f>
        <v>1</v>
      </c>
      <c r="J534" s="41" t="str">
        <f>VLOOKUP(I534,'Sheet A'!I534:AA1144,2,)</f>
        <v>Sunday</v>
      </c>
      <c r="K534" s="38">
        <f>VLOOKUP(J534,'Sheet A'!J534:AB1144,2,)</f>
        <v>1</v>
      </c>
      <c r="L534" s="38">
        <f>VLOOKUP(K534,'Sheet A'!K534:AC1144,2,)</f>
        <v>0.04</v>
      </c>
      <c r="M534" s="70" t="str">
        <f>VLOOKUP(L534,'Sheet A'!L534:AD1144,2,)</f>
        <v>Stromy</v>
      </c>
      <c r="N534" s="38">
        <f>VLOOKUP(M534,'Sheet A'!M534:AE1144,2,)</f>
        <v>0.13639999999999999</v>
      </c>
      <c r="O534" s="38">
        <f>VLOOKUP(N534,'Sheet A'!N534:AF1144,2,)</f>
        <v>0.49</v>
      </c>
      <c r="P534" s="38">
        <f>VLOOKUP(O534,'Sheet A'!O534:AG1144,2,)</f>
        <v>0</v>
      </c>
      <c r="Q534" s="38">
        <f>VLOOKUP(P534,'Sheet A'!P534:AH1144,2,)</f>
        <v>6</v>
      </c>
      <c r="R534" s="38">
        <f>VLOOKUP(Q534,'Sheet A'!Q534:AI1144,2,)</f>
        <v>171</v>
      </c>
      <c r="S534" s="38">
        <f>VLOOKUP(R534,'Sheet A'!R534:AJ1144,2,)</f>
        <v>177</v>
      </c>
    </row>
    <row r="535" spans="1:19" x14ac:dyDescent="0.35">
      <c r="A535" s="37">
        <v>534</v>
      </c>
      <c r="B535" s="60">
        <f>VLOOKUP(A535,'Sheet A'!A535:S1145,2,)</f>
        <v>40567</v>
      </c>
      <c r="C535" s="38">
        <f>VLOOKUP(B535,'Sheet A'!B535:T1145,2,)</f>
        <v>1</v>
      </c>
      <c r="D535" s="38">
        <f>VLOOKUP(C535,'Sheet A'!C535:U1145,2,)</f>
        <v>0</v>
      </c>
      <c r="E535" s="38">
        <f>VLOOKUP(D535,'Sheet A'!D535:V1145,2,)</f>
        <v>1</v>
      </c>
      <c r="F535" s="38">
        <f>VLOOKUP(E535,'Sheet A'!E535:W1145,2,)</f>
        <v>9</v>
      </c>
      <c r="G535" s="41" t="str">
        <f>VLOOKUP(F535,'Sheet A'!F535:X1145,2,)</f>
        <v>Morning</v>
      </c>
      <c r="H535" s="38" t="b">
        <f>VLOOKUP(G535,'Sheet A'!G535:Y1145,2,)</f>
        <v>0</v>
      </c>
      <c r="I535" s="38">
        <f>VLOOKUP(H535,'Sheet A'!H535:Z1145,2,)</f>
        <v>1</v>
      </c>
      <c r="J535" s="41" t="str">
        <f>VLOOKUP(I535,'Sheet A'!I535:AA1145,2,)</f>
        <v>Sunday</v>
      </c>
      <c r="K535" s="38">
        <f>VLOOKUP(J535,'Sheet A'!J535:AB1145,2,)</f>
        <v>1</v>
      </c>
      <c r="L535" s="38">
        <f>VLOOKUP(K535,'Sheet A'!K535:AC1145,2,)</f>
        <v>0.06</v>
      </c>
      <c r="M535" s="70" t="str">
        <f>VLOOKUP(L535,'Sheet A'!L535:AD1145,2,)</f>
        <v>Stromy</v>
      </c>
      <c r="N535" s="38">
        <f>VLOOKUP(M535,'Sheet A'!M535:AE1145,2,)</f>
        <v>0.1515</v>
      </c>
      <c r="O535" s="38">
        <f>VLOOKUP(N535,'Sheet A'!N535:AF1145,2,)</f>
        <v>0.41</v>
      </c>
      <c r="P535" s="38">
        <f>VLOOKUP(O535,'Sheet A'!O535:AG1145,2,)</f>
        <v>0</v>
      </c>
      <c r="Q535" s="38">
        <f>VLOOKUP(P535,'Sheet A'!P535:AH1145,2,)</f>
        <v>4</v>
      </c>
      <c r="R535" s="38">
        <f>VLOOKUP(Q535,'Sheet A'!Q535:AI1145,2,)</f>
        <v>98</v>
      </c>
      <c r="S535" s="38">
        <f>VLOOKUP(R535,'Sheet A'!R535:AJ1145,2,)</f>
        <v>102</v>
      </c>
    </row>
    <row r="536" spans="1:19" x14ac:dyDescent="0.35">
      <c r="A536" s="37">
        <v>535</v>
      </c>
      <c r="B536" s="60">
        <f>VLOOKUP(A536,'Sheet A'!A536:S1146,2,)</f>
        <v>40567</v>
      </c>
      <c r="C536" s="38">
        <f>VLOOKUP(B536,'Sheet A'!B536:T1146,2,)</f>
        <v>1</v>
      </c>
      <c r="D536" s="38">
        <f>VLOOKUP(C536,'Sheet A'!C536:U1146,2,)</f>
        <v>0</v>
      </c>
      <c r="E536" s="38">
        <f>VLOOKUP(D536,'Sheet A'!D536:V1146,2,)</f>
        <v>1</v>
      </c>
      <c r="F536" s="38">
        <f>VLOOKUP(E536,'Sheet A'!E536:W1146,2,)</f>
        <v>10</v>
      </c>
      <c r="G536" s="41" t="str">
        <f>VLOOKUP(F536,'Sheet A'!F536:X1146,2,)</f>
        <v>Morning</v>
      </c>
      <c r="H536" s="38" t="b">
        <f>VLOOKUP(G536,'Sheet A'!G536:Y1146,2,)</f>
        <v>0</v>
      </c>
      <c r="I536" s="38">
        <f>VLOOKUP(H536,'Sheet A'!H536:Z1146,2,)</f>
        <v>1</v>
      </c>
      <c r="J536" s="41" t="str">
        <f>VLOOKUP(I536,'Sheet A'!I536:AA1146,2,)</f>
        <v>Sunday</v>
      </c>
      <c r="K536" s="38">
        <f>VLOOKUP(J536,'Sheet A'!J536:AB1146,2,)</f>
        <v>1</v>
      </c>
      <c r="L536" s="38">
        <f>VLOOKUP(K536,'Sheet A'!K536:AC1146,2,)</f>
        <v>0.1</v>
      </c>
      <c r="M536" s="70" t="str">
        <f>VLOOKUP(L536,'Sheet A'!L536:AD1146,2,)</f>
        <v>Stromy</v>
      </c>
      <c r="N536" s="38">
        <f>VLOOKUP(M536,'Sheet A'!M536:AE1146,2,)</f>
        <v>0.13639999999999999</v>
      </c>
      <c r="O536" s="38">
        <f>VLOOKUP(N536,'Sheet A'!N536:AF1146,2,)</f>
        <v>0.42</v>
      </c>
      <c r="P536" s="38">
        <f>VLOOKUP(O536,'Sheet A'!O536:AG1146,2,)</f>
        <v>0</v>
      </c>
      <c r="Q536" s="38">
        <f>VLOOKUP(P536,'Sheet A'!P536:AH1146,2,)</f>
        <v>6</v>
      </c>
      <c r="R536" s="38">
        <f>VLOOKUP(Q536,'Sheet A'!Q536:AI1146,2,)</f>
        <v>34</v>
      </c>
      <c r="S536" s="38">
        <f>VLOOKUP(R536,'Sheet A'!R536:AJ1146,2,)</f>
        <v>40</v>
      </c>
    </row>
    <row r="537" spans="1:19" x14ac:dyDescent="0.35">
      <c r="A537" s="37">
        <v>536</v>
      </c>
      <c r="B537" s="60">
        <f>VLOOKUP(A537,'Sheet A'!A537:S1147,2,)</f>
        <v>40567</v>
      </c>
      <c r="C537" s="38">
        <f>VLOOKUP(B537,'Sheet A'!B537:T1147,2,)</f>
        <v>1</v>
      </c>
      <c r="D537" s="38">
        <f>VLOOKUP(C537,'Sheet A'!C537:U1147,2,)</f>
        <v>0</v>
      </c>
      <c r="E537" s="38">
        <f>VLOOKUP(D537,'Sheet A'!D537:V1147,2,)</f>
        <v>1</v>
      </c>
      <c r="F537" s="38">
        <f>VLOOKUP(E537,'Sheet A'!E537:W1147,2,)</f>
        <v>11</v>
      </c>
      <c r="G537" s="41" t="str">
        <f>VLOOKUP(F537,'Sheet A'!F537:X1147,2,)</f>
        <v>Morning</v>
      </c>
      <c r="H537" s="38" t="b">
        <f>VLOOKUP(G537,'Sheet A'!G537:Y1147,2,)</f>
        <v>0</v>
      </c>
      <c r="I537" s="38">
        <f>VLOOKUP(H537,'Sheet A'!H537:Z1147,2,)</f>
        <v>1</v>
      </c>
      <c r="J537" s="41" t="str">
        <f>VLOOKUP(I537,'Sheet A'!I537:AA1147,2,)</f>
        <v>Sunday</v>
      </c>
      <c r="K537" s="38">
        <f>VLOOKUP(J537,'Sheet A'!J537:AB1147,2,)</f>
        <v>1</v>
      </c>
      <c r="L537" s="38">
        <f>VLOOKUP(K537,'Sheet A'!K537:AC1147,2,)</f>
        <v>0.1</v>
      </c>
      <c r="M537" s="70" t="str">
        <f>VLOOKUP(L537,'Sheet A'!L537:AD1147,2,)</f>
        <v>Stromy</v>
      </c>
      <c r="N537" s="38">
        <f>VLOOKUP(M537,'Sheet A'!M537:AE1147,2,)</f>
        <v>0.1212</v>
      </c>
      <c r="O537" s="38">
        <f>VLOOKUP(N537,'Sheet A'!N537:AF1147,2,)</f>
        <v>0.46</v>
      </c>
      <c r="P537" s="38">
        <f>VLOOKUP(O537,'Sheet A'!O537:AG1147,2,)</f>
        <v>0.1343</v>
      </c>
      <c r="Q537" s="38">
        <f>VLOOKUP(P537,'Sheet A'!P537:AH1147,2,)</f>
        <v>3</v>
      </c>
      <c r="R537" s="38">
        <f>VLOOKUP(Q537,'Sheet A'!Q537:AI1147,2,)</f>
        <v>43</v>
      </c>
      <c r="S537" s="38">
        <f>VLOOKUP(R537,'Sheet A'!R537:AJ1147,2,)</f>
        <v>46</v>
      </c>
    </row>
    <row r="538" spans="1:19" x14ac:dyDescent="0.35">
      <c r="A538" s="37">
        <v>537</v>
      </c>
      <c r="B538" s="60">
        <f>VLOOKUP(A538,'Sheet A'!A538:S1148,2,)</f>
        <v>40567</v>
      </c>
      <c r="C538" s="38">
        <f>VLOOKUP(B538,'Sheet A'!B538:T1148,2,)</f>
        <v>1</v>
      </c>
      <c r="D538" s="38">
        <f>VLOOKUP(C538,'Sheet A'!C538:U1148,2,)</f>
        <v>0</v>
      </c>
      <c r="E538" s="38">
        <f>VLOOKUP(D538,'Sheet A'!D538:V1148,2,)</f>
        <v>1</v>
      </c>
      <c r="F538" s="38">
        <f>VLOOKUP(E538,'Sheet A'!E538:W1148,2,)</f>
        <v>12</v>
      </c>
      <c r="G538" s="41" t="str">
        <f>VLOOKUP(F538,'Sheet A'!F538:X1148,2,)</f>
        <v>AfterNoon</v>
      </c>
      <c r="H538" s="38" t="b">
        <f>VLOOKUP(G538,'Sheet A'!G538:Y1148,2,)</f>
        <v>0</v>
      </c>
      <c r="I538" s="38">
        <f>VLOOKUP(H538,'Sheet A'!H538:Z1148,2,)</f>
        <v>1</v>
      </c>
      <c r="J538" s="41" t="str">
        <f>VLOOKUP(I538,'Sheet A'!I538:AA1148,2,)</f>
        <v>Sunday</v>
      </c>
      <c r="K538" s="38">
        <f>VLOOKUP(J538,'Sheet A'!J538:AB1148,2,)</f>
        <v>2</v>
      </c>
      <c r="L538" s="38">
        <f>VLOOKUP(K538,'Sheet A'!K538:AC1148,2,)</f>
        <v>0.12</v>
      </c>
      <c r="M538" s="70" t="str">
        <f>VLOOKUP(L538,'Sheet A'!L538:AD1148,2,)</f>
        <v>Rainy</v>
      </c>
      <c r="N538" s="38">
        <f>VLOOKUP(M538,'Sheet A'!M538:AE1148,2,)</f>
        <v>0.13639999999999999</v>
      </c>
      <c r="O538" s="38">
        <f>VLOOKUP(N538,'Sheet A'!N538:AF1148,2,)</f>
        <v>0.42</v>
      </c>
      <c r="P538" s="38">
        <f>VLOOKUP(O538,'Sheet A'!O538:AG1148,2,)</f>
        <v>0.19400000000000001</v>
      </c>
      <c r="Q538" s="38">
        <f>VLOOKUP(P538,'Sheet A'!P538:AH1148,2,)</f>
        <v>11</v>
      </c>
      <c r="R538" s="38">
        <f>VLOOKUP(Q538,'Sheet A'!Q538:AI1148,2,)</f>
        <v>52</v>
      </c>
      <c r="S538" s="38">
        <f>VLOOKUP(R538,'Sheet A'!R538:AJ1148,2,)</f>
        <v>63</v>
      </c>
    </row>
    <row r="539" spans="1:19" x14ac:dyDescent="0.35">
      <c r="A539" s="37">
        <v>538</v>
      </c>
      <c r="B539" s="60">
        <f>VLOOKUP(A539,'Sheet A'!A539:S1149,2,)</f>
        <v>40567</v>
      </c>
      <c r="C539" s="38">
        <f>VLOOKUP(B539,'Sheet A'!B539:T1149,2,)</f>
        <v>1</v>
      </c>
      <c r="D539" s="38">
        <f>VLOOKUP(C539,'Sheet A'!C539:U1149,2,)</f>
        <v>0</v>
      </c>
      <c r="E539" s="38">
        <f>VLOOKUP(D539,'Sheet A'!D539:V1149,2,)</f>
        <v>1</v>
      </c>
      <c r="F539" s="38">
        <f>VLOOKUP(E539,'Sheet A'!E539:W1149,2,)</f>
        <v>13</v>
      </c>
      <c r="G539" s="41" t="str">
        <f>VLOOKUP(F539,'Sheet A'!F539:X1149,2,)</f>
        <v>AfterNoon</v>
      </c>
      <c r="H539" s="38" t="b">
        <f>VLOOKUP(G539,'Sheet A'!G539:Y1149,2,)</f>
        <v>0</v>
      </c>
      <c r="I539" s="38">
        <f>VLOOKUP(H539,'Sheet A'!H539:Z1149,2,)</f>
        <v>1</v>
      </c>
      <c r="J539" s="41" t="str">
        <f>VLOOKUP(I539,'Sheet A'!I539:AA1149,2,)</f>
        <v>Sunday</v>
      </c>
      <c r="K539" s="38">
        <f>VLOOKUP(J539,'Sheet A'!J539:AB1149,2,)</f>
        <v>2</v>
      </c>
      <c r="L539" s="38">
        <f>VLOOKUP(K539,'Sheet A'!K539:AC1149,2,)</f>
        <v>0.14000000000000001</v>
      </c>
      <c r="M539" s="70" t="str">
        <f>VLOOKUP(L539,'Sheet A'!L539:AD1149,2,)</f>
        <v>Rainy</v>
      </c>
      <c r="N539" s="38">
        <f>VLOOKUP(M539,'Sheet A'!M539:AE1149,2,)</f>
        <v>0.13639999999999999</v>
      </c>
      <c r="O539" s="38">
        <f>VLOOKUP(N539,'Sheet A'!N539:AF1149,2,)</f>
        <v>0.43</v>
      </c>
      <c r="P539" s="38">
        <f>VLOOKUP(O539,'Sheet A'!O539:AG1149,2,)</f>
        <v>0.22389999999999999</v>
      </c>
      <c r="Q539" s="38">
        <f>VLOOKUP(P539,'Sheet A'!P539:AH1149,2,)</f>
        <v>6</v>
      </c>
      <c r="R539" s="38">
        <f>VLOOKUP(Q539,'Sheet A'!Q539:AI1149,2,)</f>
        <v>54</v>
      </c>
      <c r="S539" s="38">
        <f>VLOOKUP(R539,'Sheet A'!R539:AJ1149,2,)</f>
        <v>60</v>
      </c>
    </row>
    <row r="540" spans="1:19" x14ac:dyDescent="0.35">
      <c r="A540" s="37">
        <v>539</v>
      </c>
      <c r="B540" s="60">
        <f>VLOOKUP(A540,'Sheet A'!A540:S1150,2,)</f>
        <v>40567</v>
      </c>
      <c r="C540" s="38">
        <f>VLOOKUP(B540,'Sheet A'!B540:T1150,2,)</f>
        <v>1</v>
      </c>
      <c r="D540" s="38">
        <f>VLOOKUP(C540,'Sheet A'!C540:U1150,2,)</f>
        <v>0</v>
      </c>
      <c r="E540" s="38">
        <f>VLOOKUP(D540,'Sheet A'!D540:V1150,2,)</f>
        <v>1</v>
      </c>
      <c r="F540" s="38">
        <f>VLOOKUP(E540,'Sheet A'!E540:W1150,2,)</f>
        <v>14</v>
      </c>
      <c r="G540" s="41" t="str">
        <f>VLOOKUP(F540,'Sheet A'!F540:X1150,2,)</f>
        <v>AfterNoon</v>
      </c>
      <c r="H540" s="38" t="b">
        <f>VLOOKUP(G540,'Sheet A'!G540:Y1150,2,)</f>
        <v>0</v>
      </c>
      <c r="I540" s="38">
        <f>VLOOKUP(H540,'Sheet A'!H540:Z1150,2,)</f>
        <v>1</v>
      </c>
      <c r="J540" s="41" t="str">
        <f>VLOOKUP(I540,'Sheet A'!I540:AA1150,2,)</f>
        <v>Sunday</v>
      </c>
      <c r="K540" s="38">
        <f>VLOOKUP(J540,'Sheet A'!J540:AB1150,2,)</f>
        <v>2</v>
      </c>
      <c r="L540" s="38">
        <f>VLOOKUP(K540,'Sheet A'!K540:AC1150,2,)</f>
        <v>0.14000000000000001</v>
      </c>
      <c r="M540" s="70" t="str">
        <f>VLOOKUP(L540,'Sheet A'!L540:AD1150,2,)</f>
        <v>Rainy</v>
      </c>
      <c r="N540" s="38">
        <f>VLOOKUP(M540,'Sheet A'!M540:AE1150,2,)</f>
        <v>0.13639999999999999</v>
      </c>
      <c r="O540" s="38">
        <f>VLOOKUP(N540,'Sheet A'!N540:AF1150,2,)</f>
        <v>0.46</v>
      </c>
      <c r="P540" s="38">
        <f>VLOOKUP(O540,'Sheet A'!O540:AG1150,2,)</f>
        <v>0.22389999999999999</v>
      </c>
      <c r="Q540" s="38">
        <f>VLOOKUP(P540,'Sheet A'!P540:AH1150,2,)</f>
        <v>2</v>
      </c>
      <c r="R540" s="38">
        <f>VLOOKUP(Q540,'Sheet A'!Q540:AI1150,2,)</f>
        <v>43</v>
      </c>
      <c r="S540" s="38">
        <f>VLOOKUP(R540,'Sheet A'!R540:AJ1150,2,)</f>
        <v>45</v>
      </c>
    </row>
    <row r="541" spans="1:19" x14ac:dyDescent="0.35">
      <c r="A541" s="37">
        <v>540</v>
      </c>
      <c r="B541" s="60">
        <f>VLOOKUP(A541,'Sheet A'!A541:S1151,2,)</f>
        <v>40567</v>
      </c>
      <c r="C541" s="38">
        <f>VLOOKUP(B541,'Sheet A'!B541:T1151,2,)</f>
        <v>1</v>
      </c>
      <c r="D541" s="38">
        <f>VLOOKUP(C541,'Sheet A'!C541:U1151,2,)</f>
        <v>0</v>
      </c>
      <c r="E541" s="38">
        <f>VLOOKUP(D541,'Sheet A'!D541:V1151,2,)</f>
        <v>1</v>
      </c>
      <c r="F541" s="38">
        <f>VLOOKUP(E541,'Sheet A'!E541:W1151,2,)</f>
        <v>15</v>
      </c>
      <c r="G541" s="41" t="str">
        <f>VLOOKUP(F541,'Sheet A'!F541:X1151,2,)</f>
        <v>AfterNoon</v>
      </c>
      <c r="H541" s="38" t="b">
        <f>VLOOKUP(G541,'Sheet A'!G541:Y1151,2,)</f>
        <v>0</v>
      </c>
      <c r="I541" s="38">
        <f>VLOOKUP(H541,'Sheet A'!H541:Z1151,2,)</f>
        <v>1</v>
      </c>
      <c r="J541" s="41" t="str">
        <f>VLOOKUP(I541,'Sheet A'!I541:AA1151,2,)</f>
        <v>Sunday</v>
      </c>
      <c r="K541" s="38">
        <f>VLOOKUP(J541,'Sheet A'!J541:AB1151,2,)</f>
        <v>1</v>
      </c>
      <c r="L541" s="38">
        <f>VLOOKUP(K541,'Sheet A'!K541:AC1151,2,)</f>
        <v>0.16</v>
      </c>
      <c r="M541" s="70" t="str">
        <f>VLOOKUP(L541,'Sheet A'!L541:AD1151,2,)</f>
        <v>Rainy</v>
      </c>
      <c r="N541" s="38">
        <f>VLOOKUP(M541,'Sheet A'!M541:AE1151,2,)</f>
        <v>0.16669999999999999</v>
      </c>
      <c r="O541" s="38">
        <f>VLOOKUP(N541,'Sheet A'!N541:AF1151,2,)</f>
        <v>0.4</v>
      </c>
      <c r="P541" s="38">
        <f>VLOOKUP(O541,'Sheet A'!O541:AG1151,2,)</f>
        <v>0.16420000000000001</v>
      </c>
      <c r="Q541" s="38">
        <f>VLOOKUP(P541,'Sheet A'!P541:AH1151,2,)</f>
        <v>7</v>
      </c>
      <c r="R541" s="38">
        <f>VLOOKUP(Q541,'Sheet A'!Q541:AI1151,2,)</f>
        <v>50</v>
      </c>
      <c r="S541" s="38">
        <f>VLOOKUP(R541,'Sheet A'!R541:AJ1151,2,)</f>
        <v>57</v>
      </c>
    </row>
    <row r="542" spans="1:19" x14ac:dyDescent="0.35">
      <c r="A542" s="37">
        <v>541</v>
      </c>
      <c r="B542" s="60">
        <f>VLOOKUP(A542,'Sheet A'!A542:S1152,2,)</f>
        <v>40567</v>
      </c>
      <c r="C542" s="38">
        <f>VLOOKUP(B542,'Sheet A'!B542:T1152,2,)</f>
        <v>1</v>
      </c>
      <c r="D542" s="38">
        <f>VLOOKUP(C542,'Sheet A'!C542:U1152,2,)</f>
        <v>0</v>
      </c>
      <c r="E542" s="38">
        <f>VLOOKUP(D542,'Sheet A'!D542:V1152,2,)</f>
        <v>1</v>
      </c>
      <c r="F542" s="38">
        <f>VLOOKUP(E542,'Sheet A'!E542:W1152,2,)</f>
        <v>16</v>
      </c>
      <c r="G542" s="41" t="str">
        <f>VLOOKUP(F542,'Sheet A'!F542:X1152,2,)</f>
        <v>AfterNoon</v>
      </c>
      <c r="H542" s="38" t="b">
        <f>VLOOKUP(G542,'Sheet A'!G542:Y1152,2,)</f>
        <v>0</v>
      </c>
      <c r="I542" s="38">
        <f>VLOOKUP(H542,'Sheet A'!H542:Z1152,2,)</f>
        <v>1</v>
      </c>
      <c r="J542" s="41" t="str">
        <f>VLOOKUP(I542,'Sheet A'!I542:AA1152,2,)</f>
        <v>Sunday</v>
      </c>
      <c r="K542" s="38">
        <f>VLOOKUP(J542,'Sheet A'!J542:AB1152,2,)</f>
        <v>1</v>
      </c>
      <c r="L542" s="38">
        <f>VLOOKUP(K542,'Sheet A'!K542:AC1152,2,)</f>
        <v>0.16</v>
      </c>
      <c r="M542" s="70" t="str">
        <f>VLOOKUP(L542,'Sheet A'!L542:AD1152,2,)</f>
        <v>Rainy</v>
      </c>
      <c r="N542" s="38">
        <f>VLOOKUP(M542,'Sheet A'!M542:AE1152,2,)</f>
        <v>0.1515</v>
      </c>
      <c r="O542" s="38">
        <f>VLOOKUP(N542,'Sheet A'!N542:AF1152,2,)</f>
        <v>0.47</v>
      </c>
      <c r="P542" s="38">
        <f>VLOOKUP(O542,'Sheet A'!O542:AG1152,2,)</f>
        <v>0.25369999999999998</v>
      </c>
      <c r="Q542" s="38">
        <f>VLOOKUP(P542,'Sheet A'!P542:AH1152,2,)</f>
        <v>4</v>
      </c>
      <c r="R542" s="38">
        <f>VLOOKUP(Q542,'Sheet A'!Q542:AI1152,2,)</f>
        <v>66</v>
      </c>
      <c r="S542" s="38">
        <f>VLOOKUP(R542,'Sheet A'!R542:AJ1152,2,)</f>
        <v>70</v>
      </c>
    </row>
    <row r="543" spans="1:19" x14ac:dyDescent="0.35">
      <c r="A543" s="37">
        <v>542</v>
      </c>
      <c r="B543" s="60">
        <f>VLOOKUP(A543,'Sheet A'!A543:S1153,2,)</f>
        <v>40567</v>
      </c>
      <c r="C543" s="38">
        <f>VLOOKUP(B543,'Sheet A'!B543:T1153,2,)</f>
        <v>1</v>
      </c>
      <c r="D543" s="38">
        <f>VLOOKUP(C543,'Sheet A'!C543:U1153,2,)</f>
        <v>0</v>
      </c>
      <c r="E543" s="38">
        <f>VLOOKUP(D543,'Sheet A'!D543:V1153,2,)</f>
        <v>1</v>
      </c>
      <c r="F543" s="38">
        <f>VLOOKUP(E543,'Sheet A'!E543:W1153,2,)</f>
        <v>17</v>
      </c>
      <c r="G543" s="41" t="str">
        <f>VLOOKUP(F543,'Sheet A'!F543:X1153,2,)</f>
        <v>Evening</v>
      </c>
      <c r="H543" s="38" t="b">
        <f>VLOOKUP(G543,'Sheet A'!G543:Y1153,2,)</f>
        <v>0</v>
      </c>
      <c r="I543" s="38">
        <f>VLOOKUP(H543,'Sheet A'!H543:Z1153,2,)</f>
        <v>1</v>
      </c>
      <c r="J543" s="41" t="str">
        <f>VLOOKUP(I543,'Sheet A'!I543:AA1153,2,)</f>
        <v>Sunday</v>
      </c>
      <c r="K543" s="38">
        <f>VLOOKUP(J543,'Sheet A'!J543:AB1153,2,)</f>
        <v>1</v>
      </c>
      <c r="L543" s="38">
        <f>VLOOKUP(K543,'Sheet A'!K543:AC1153,2,)</f>
        <v>0.14000000000000001</v>
      </c>
      <c r="M543" s="70" t="str">
        <f>VLOOKUP(L543,'Sheet A'!L543:AD1153,2,)</f>
        <v>Rainy</v>
      </c>
      <c r="N543" s="38">
        <f>VLOOKUP(M543,'Sheet A'!M543:AE1153,2,)</f>
        <v>0.1212</v>
      </c>
      <c r="O543" s="38">
        <f>VLOOKUP(N543,'Sheet A'!N543:AF1153,2,)</f>
        <v>0.5</v>
      </c>
      <c r="P543" s="38">
        <f>VLOOKUP(O543,'Sheet A'!O543:AG1153,2,)</f>
        <v>0.25369999999999998</v>
      </c>
      <c r="Q543" s="38">
        <f>VLOOKUP(P543,'Sheet A'!P543:AH1153,2,)</f>
        <v>6</v>
      </c>
      <c r="R543" s="38">
        <f>VLOOKUP(Q543,'Sheet A'!Q543:AI1153,2,)</f>
        <v>178</v>
      </c>
      <c r="S543" s="38">
        <f>VLOOKUP(R543,'Sheet A'!R543:AJ1153,2,)</f>
        <v>184</v>
      </c>
    </row>
    <row r="544" spans="1:19" x14ac:dyDescent="0.35">
      <c r="A544" s="37">
        <v>543</v>
      </c>
      <c r="B544" s="60">
        <f>VLOOKUP(A544,'Sheet A'!A544:S1154,2,)</f>
        <v>40567</v>
      </c>
      <c r="C544" s="38">
        <f>VLOOKUP(B544,'Sheet A'!B544:T1154,2,)</f>
        <v>1</v>
      </c>
      <c r="D544" s="38">
        <f>VLOOKUP(C544,'Sheet A'!C544:U1154,2,)</f>
        <v>0</v>
      </c>
      <c r="E544" s="38">
        <f>VLOOKUP(D544,'Sheet A'!D544:V1154,2,)</f>
        <v>1</v>
      </c>
      <c r="F544" s="38">
        <f>VLOOKUP(E544,'Sheet A'!E544:W1154,2,)</f>
        <v>18</v>
      </c>
      <c r="G544" s="41" t="str">
        <f>VLOOKUP(F544,'Sheet A'!F544:X1154,2,)</f>
        <v>Evening</v>
      </c>
      <c r="H544" s="38" t="b">
        <f>VLOOKUP(G544,'Sheet A'!G544:Y1154,2,)</f>
        <v>0</v>
      </c>
      <c r="I544" s="38">
        <f>VLOOKUP(H544,'Sheet A'!H544:Z1154,2,)</f>
        <v>1</v>
      </c>
      <c r="J544" s="41" t="str">
        <f>VLOOKUP(I544,'Sheet A'!I544:AA1154,2,)</f>
        <v>Sunday</v>
      </c>
      <c r="K544" s="38">
        <f>VLOOKUP(J544,'Sheet A'!J544:AB1154,2,)</f>
        <v>1</v>
      </c>
      <c r="L544" s="38">
        <f>VLOOKUP(K544,'Sheet A'!K544:AC1154,2,)</f>
        <v>0.14000000000000001</v>
      </c>
      <c r="M544" s="70" t="str">
        <f>VLOOKUP(L544,'Sheet A'!L544:AD1154,2,)</f>
        <v>Rainy</v>
      </c>
      <c r="N544" s="38">
        <f>VLOOKUP(M544,'Sheet A'!M544:AE1154,2,)</f>
        <v>0.13639999999999999</v>
      </c>
      <c r="O544" s="38">
        <f>VLOOKUP(N544,'Sheet A'!N544:AF1154,2,)</f>
        <v>0.59</v>
      </c>
      <c r="P544" s="38">
        <f>VLOOKUP(O544,'Sheet A'!O544:AG1154,2,)</f>
        <v>0.19400000000000001</v>
      </c>
      <c r="Q544" s="38">
        <f>VLOOKUP(P544,'Sheet A'!P544:AH1154,2,)</f>
        <v>8</v>
      </c>
      <c r="R544" s="38">
        <f>VLOOKUP(Q544,'Sheet A'!Q544:AI1154,2,)</f>
        <v>145</v>
      </c>
      <c r="S544" s="38">
        <f>VLOOKUP(R544,'Sheet A'!R544:AJ1154,2,)</f>
        <v>153</v>
      </c>
    </row>
    <row r="545" spans="1:19" x14ac:dyDescent="0.35">
      <c r="A545" s="37">
        <v>544</v>
      </c>
      <c r="B545" s="60">
        <f>VLOOKUP(A545,'Sheet A'!A545:S1155,2,)</f>
        <v>40567</v>
      </c>
      <c r="C545" s="38">
        <f>VLOOKUP(B545,'Sheet A'!B545:T1155,2,)</f>
        <v>1</v>
      </c>
      <c r="D545" s="38">
        <f>VLOOKUP(C545,'Sheet A'!C545:U1155,2,)</f>
        <v>0</v>
      </c>
      <c r="E545" s="38">
        <f>VLOOKUP(D545,'Sheet A'!D545:V1155,2,)</f>
        <v>1</v>
      </c>
      <c r="F545" s="38">
        <f>VLOOKUP(E545,'Sheet A'!E545:W1155,2,)</f>
        <v>19</v>
      </c>
      <c r="G545" s="41" t="str">
        <f>VLOOKUP(F545,'Sheet A'!F545:X1155,2,)</f>
        <v>Evening</v>
      </c>
      <c r="H545" s="38" t="b">
        <f>VLOOKUP(G545,'Sheet A'!G545:Y1155,2,)</f>
        <v>0</v>
      </c>
      <c r="I545" s="38">
        <f>VLOOKUP(H545,'Sheet A'!H545:Z1155,2,)</f>
        <v>1</v>
      </c>
      <c r="J545" s="41" t="str">
        <f>VLOOKUP(I545,'Sheet A'!I545:AA1155,2,)</f>
        <v>Sunday</v>
      </c>
      <c r="K545" s="38">
        <f>VLOOKUP(J545,'Sheet A'!J545:AB1155,2,)</f>
        <v>1</v>
      </c>
      <c r="L545" s="38">
        <f>VLOOKUP(K545,'Sheet A'!K545:AC1155,2,)</f>
        <v>0.14000000000000001</v>
      </c>
      <c r="M545" s="70" t="str">
        <f>VLOOKUP(L545,'Sheet A'!L545:AD1155,2,)</f>
        <v>Rainy</v>
      </c>
      <c r="N545" s="38">
        <f>VLOOKUP(M545,'Sheet A'!M545:AE1155,2,)</f>
        <v>0.1515</v>
      </c>
      <c r="O545" s="38">
        <f>VLOOKUP(N545,'Sheet A'!N545:AF1155,2,)</f>
        <v>0.54</v>
      </c>
      <c r="P545" s="38">
        <f>VLOOKUP(O545,'Sheet A'!O545:AG1155,2,)</f>
        <v>0.16420000000000001</v>
      </c>
      <c r="Q545" s="38">
        <f>VLOOKUP(P545,'Sheet A'!P545:AH1155,2,)</f>
        <v>5</v>
      </c>
      <c r="R545" s="38">
        <f>VLOOKUP(Q545,'Sheet A'!Q545:AI1155,2,)</f>
        <v>101</v>
      </c>
      <c r="S545" s="38">
        <f>VLOOKUP(R545,'Sheet A'!R545:AJ1155,2,)</f>
        <v>106</v>
      </c>
    </row>
    <row r="546" spans="1:19" x14ac:dyDescent="0.35">
      <c r="A546" s="37">
        <v>545</v>
      </c>
      <c r="B546" s="60">
        <f>VLOOKUP(A546,'Sheet A'!A546:S1156,2,)</f>
        <v>40567</v>
      </c>
      <c r="C546" s="38">
        <f>VLOOKUP(B546,'Sheet A'!B546:T1156,2,)</f>
        <v>1</v>
      </c>
      <c r="D546" s="38">
        <f>VLOOKUP(C546,'Sheet A'!C546:U1156,2,)</f>
        <v>0</v>
      </c>
      <c r="E546" s="38">
        <f>VLOOKUP(D546,'Sheet A'!D546:V1156,2,)</f>
        <v>1</v>
      </c>
      <c r="F546" s="38">
        <f>VLOOKUP(E546,'Sheet A'!E546:W1156,2,)</f>
        <v>20</v>
      </c>
      <c r="G546" s="41" t="str">
        <f>VLOOKUP(F546,'Sheet A'!F546:X1156,2,)</f>
        <v>Night</v>
      </c>
      <c r="H546" s="38" t="b">
        <f>VLOOKUP(G546,'Sheet A'!G546:Y1156,2,)</f>
        <v>0</v>
      </c>
      <c r="I546" s="38">
        <f>VLOOKUP(H546,'Sheet A'!H546:Z1156,2,)</f>
        <v>1</v>
      </c>
      <c r="J546" s="41" t="str">
        <f>VLOOKUP(I546,'Sheet A'!I546:AA1156,2,)</f>
        <v>Sunday</v>
      </c>
      <c r="K546" s="38">
        <f>VLOOKUP(J546,'Sheet A'!J546:AB1156,2,)</f>
        <v>1</v>
      </c>
      <c r="L546" s="38">
        <f>VLOOKUP(K546,'Sheet A'!K546:AC1156,2,)</f>
        <v>0.14000000000000001</v>
      </c>
      <c r="M546" s="70" t="str">
        <f>VLOOKUP(L546,'Sheet A'!L546:AD1156,2,)</f>
        <v>Rainy</v>
      </c>
      <c r="N546" s="38">
        <f>VLOOKUP(M546,'Sheet A'!M546:AE1156,2,)</f>
        <v>0.13639999999999999</v>
      </c>
      <c r="O546" s="38">
        <f>VLOOKUP(N546,'Sheet A'!N546:AF1156,2,)</f>
        <v>0.59</v>
      </c>
      <c r="P546" s="38">
        <f>VLOOKUP(O546,'Sheet A'!O546:AG1156,2,)</f>
        <v>0.19400000000000001</v>
      </c>
      <c r="Q546" s="38">
        <f>VLOOKUP(P546,'Sheet A'!P546:AH1156,2,)</f>
        <v>1</v>
      </c>
      <c r="R546" s="38">
        <f>VLOOKUP(Q546,'Sheet A'!Q546:AI1156,2,)</f>
        <v>80</v>
      </c>
      <c r="S546" s="38">
        <f>VLOOKUP(R546,'Sheet A'!R546:AJ1156,2,)</f>
        <v>81</v>
      </c>
    </row>
    <row r="547" spans="1:19" x14ac:dyDescent="0.35">
      <c r="A547" s="37">
        <v>546</v>
      </c>
      <c r="B547" s="60">
        <f>VLOOKUP(A547,'Sheet A'!A547:S1157,2,)</f>
        <v>40567</v>
      </c>
      <c r="C547" s="38">
        <f>VLOOKUP(B547,'Sheet A'!B547:T1157,2,)</f>
        <v>1</v>
      </c>
      <c r="D547" s="38">
        <f>VLOOKUP(C547,'Sheet A'!C547:U1157,2,)</f>
        <v>0</v>
      </c>
      <c r="E547" s="38">
        <f>VLOOKUP(D547,'Sheet A'!D547:V1157,2,)</f>
        <v>1</v>
      </c>
      <c r="F547" s="38">
        <f>VLOOKUP(E547,'Sheet A'!E547:W1157,2,)</f>
        <v>21</v>
      </c>
      <c r="G547" s="41" t="str">
        <f>VLOOKUP(F547,'Sheet A'!F547:X1157,2,)</f>
        <v>Night</v>
      </c>
      <c r="H547" s="38" t="b">
        <f>VLOOKUP(G547,'Sheet A'!G547:Y1157,2,)</f>
        <v>0</v>
      </c>
      <c r="I547" s="38">
        <f>VLOOKUP(H547,'Sheet A'!H547:Z1157,2,)</f>
        <v>1</v>
      </c>
      <c r="J547" s="41" t="str">
        <f>VLOOKUP(I547,'Sheet A'!I547:AA1157,2,)</f>
        <v>Sunday</v>
      </c>
      <c r="K547" s="38">
        <f>VLOOKUP(J547,'Sheet A'!J547:AB1157,2,)</f>
        <v>1</v>
      </c>
      <c r="L547" s="38">
        <f>VLOOKUP(K547,'Sheet A'!K547:AC1157,2,)</f>
        <v>0.14000000000000001</v>
      </c>
      <c r="M547" s="70" t="str">
        <f>VLOOKUP(L547,'Sheet A'!L547:AD1157,2,)</f>
        <v>Rainy</v>
      </c>
      <c r="N547" s="38">
        <f>VLOOKUP(M547,'Sheet A'!M547:AE1157,2,)</f>
        <v>0.1515</v>
      </c>
      <c r="O547" s="38">
        <f>VLOOKUP(N547,'Sheet A'!N547:AF1157,2,)</f>
        <v>0.63</v>
      </c>
      <c r="P547" s="38">
        <f>VLOOKUP(O547,'Sheet A'!O547:AG1157,2,)</f>
        <v>0.16420000000000001</v>
      </c>
      <c r="Q547" s="38">
        <f>VLOOKUP(P547,'Sheet A'!P547:AH1157,2,)</f>
        <v>6</v>
      </c>
      <c r="R547" s="38">
        <f>VLOOKUP(Q547,'Sheet A'!Q547:AI1157,2,)</f>
        <v>53</v>
      </c>
      <c r="S547" s="38">
        <f>VLOOKUP(R547,'Sheet A'!R547:AJ1157,2,)</f>
        <v>59</v>
      </c>
    </row>
    <row r="548" spans="1:19" x14ac:dyDescent="0.35">
      <c r="A548" s="37">
        <v>547</v>
      </c>
      <c r="B548" s="60">
        <f>VLOOKUP(A548,'Sheet A'!A548:S1158,2,)</f>
        <v>40567</v>
      </c>
      <c r="C548" s="38">
        <f>VLOOKUP(B548,'Sheet A'!B548:T1158,2,)</f>
        <v>1</v>
      </c>
      <c r="D548" s="38">
        <f>VLOOKUP(C548,'Sheet A'!C548:U1158,2,)</f>
        <v>0</v>
      </c>
      <c r="E548" s="38">
        <f>VLOOKUP(D548,'Sheet A'!D548:V1158,2,)</f>
        <v>1</v>
      </c>
      <c r="F548" s="38">
        <f>VLOOKUP(E548,'Sheet A'!E548:W1158,2,)</f>
        <v>22</v>
      </c>
      <c r="G548" s="41" t="str">
        <f>VLOOKUP(F548,'Sheet A'!F548:X1158,2,)</f>
        <v>Night</v>
      </c>
      <c r="H548" s="38" t="b">
        <f>VLOOKUP(G548,'Sheet A'!G548:Y1158,2,)</f>
        <v>0</v>
      </c>
      <c r="I548" s="38">
        <f>VLOOKUP(H548,'Sheet A'!H548:Z1158,2,)</f>
        <v>1</v>
      </c>
      <c r="J548" s="41" t="str">
        <f>VLOOKUP(I548,'Sheet A'!I548:AA1158,2,)</f>
        <v>Sunday</v>
      </c>
      <c r="K548" s="38">
        <f>VLOOKUP(J548,'Sheet A'!J548:AB1158,2,)</f>
        <v>2</v>
      </c>
      <c r="L548" s="38">
        <f>VLOOKUP(K548,'Sheet A'!K548:AC1158,2,)</f>
        <v>0.14000000000000001</v>
      </c>
      <c r="M548" s="70" t="str">
        <f>VLOOKUP(L548,'Sheet A'!L548:AD1158,2,)</f>
        <v>Rainy</v>
      </c>
      <c r="N548" s="38">
        <f>VLOOKUP(M548,'Sheet A'!M548:AE1158,2,)</f>
        <v>0.13639999999999999</v>
      </c>
      <c r="O548" s="38">
        <f>VLOOKUP(N548,'Sheet A'!N548:AF1158,2,)</f>
        <v>0.63</v>
      </c>
      <c r="P548" s="38">
        <f>VLOOKUP(O548,'Sheet A'!O548:AG1158,2,)</f>
        <v>0.22389999999999999</v>
      </c>
      <c r="Q548" s="38">
        <f>VLOOKUP(P548,'Sheet A'!P548:AH1158,2,)</f>
        <v>3</v>
      </c>
      <c r="R548" s="38">
        <f>VLOOKUP(Q548,'Sheet A'!Q548:AI1158,2,)</f>
        <v>32</v>
      </c>
      <c r="S548" s="38">
        <f>VLOOKUP(R548,'Sheet A'!R548:AJ1158,2,)</f>
        <v>35</v>
      </c>
    </row>
    <row r="549" spans="1:19" x14ac:dyDescent="0.35">
      <c r="A549" s="37">
        <v>548</v>
      </c>
      <c r="B549" s="60">
        <f>VLOOKUP(A549,'Sheet A'!A549:S1159,2,)</f>
        <v>40567</v>
      </c>
      <c r="C549" s="38">
        <f>VLOOKUP(B549,'Sheet A'!B549:T1159,2,)</f>
        <v>1</v>
      </c>
      <c r="D549" s="38">
        <f>VLOOKUP(C549,'Sheet A'!C549:U1159,2,)</f>
        <v>0</v>
      </c>
      <c r="E549" s="38">
        <f>VLOOKUP(D549,'Sheet A'!D549:V1159,2,)</f>
        <v>1</v>
      </c>
      <c r="F549" s="38">
        <f>VLOOKUP(E549,'Sheet A'!E549:W1159,2,)</f>
        <v>23</v>
      </c>
      <c r="G549" s="41" t="str">
        <f>VLOOKUP(F549,'Sheet A'!F549:X1159,2,)</f>
        <v>Night</v>
      </c>
      <c r="H549" s="38" t="b">
        <f>VLOOKUP(G549,'Sheet A'!G549:Y1159,2,)</f>
        <v>0</v>
      </c>
      <c r="I549" s="38">
        <f>VLOOKUP(H549,'Sheet A'!H549:Z1159,2,)</f>
        <v>1</v>
      </c>
      <c r="J549" s="41" t="str">
        <f>VLOOKUP(I549,'Sheet A'!I549:AA1159,2,)</f>
        <v>Sunday</v>
      </c>
      <c r="K549" s="38">
        <f>VLOOKUP(J549,'Sheet A'!J549:AB1159,2,)</f>
        <v>2</v>
      </c>
      <c r="L549" s="38">
        <f>VLOOKUP(K549,'Sheet A'!K549:AC1159,2,)</f>
        <v>0.16</v>
      </c>
      <c r="M549" s="70" t="str">
        <f>VLOOKUP(L549,'Sheet A'!L549:AD1159,2,)</f>
        <v>Rainy</v>
      </c>
      <c r="N549" s="38">
        <f>VLOOKUP(M549,'Sheet A'!M549:AE1159,2,)</f>
        <v>0.1515</v>
      </c>
      <c r="O549" s="38">
        <f>VLOOKUP(N549,'Sheet A'!N549:AF1159,2,)</f>
        <v>0.64</v>
      </c>
      <c r="P549" s="38">
        <f>VLOOKUP(O549,'Sheet A'!O549:AG1159,2,)</f>
        <v>0.25369999999999998</v>
      </c>
      <c r="Q549" s="38">
        <f>VLOOKUP(P549,'Sheet A'!P549:AH1159,2,)</f>
        <v>3</v>
      </c>
      <c r="R549" s="38">
        <f>VLOOKUP(Q549,'Sheet A'!Q549:AI1159,2,)</f>
        <v>21</v>
      </c>
      <c r="S549" s="38">
        <f>VLOOKUP(R549,'Sheet A'!R549:AJ1159,2,)</f>
        <v>24</v>
      </c>
    </row>
    <row r="550" spans="1:19" x14ac:dyDescent="0.35">
      <c r="A550" s="37">
        <v>549</v>
      </c>
      <c r="B550" s="60">
        <f>VLOOKUP(A550,'Sheet A'!A550:S1160,2,)</f>
        <v>40568</v>
      </c>
      <c r="C550" s="38">
        <f>VLOOKUP(B550,'Sheet A'!B550:T1160,2,)</f>
        <v>1</v>
      </c>
      <c r="D550" s="38">
        <f>VLOOKUP(C550,'Sheet A'!C550:U1160,2,)</f>
        <v>0</v>
      </c>
      <c r="E550" s="38">
        <f>VLOOKUP(D550,'Sheet A'!D550:V1160,2,)</f>
        <v>1</v>
      </c>
      <c r="F550" s="38">
        <f>VLOOKUP(E550,'Sheet A'!E550:W1160,2,)</f>
        <v>0</v>
      </c>
      <c r="G550" s="41" t="str">
        <f>VLOOKUP(F550,'Sheet A'!F550:X1160,2,)</f>
        <v>Night</v>
      </c>
      <c r="H550" s="38" t="b">
        <f>VLOOKUP(G550,'Sheet A'!G550:Y1160,2,)</f>
        <v>0</v>
      </c>
      <c r="I550" s="38">
        <f>VLOOKUP(H550,'Sheet A'!H550:Z1160,2,)</f>
        <v>2</v>
      </c>
      <c r="J550" s="41" t="str">
        <f>VLOOKUP(I550,'Sheet A'!I550:AA1160,2,)</f>
        <v>Monday</v>
      </c>
      <c r="K550" s="38">
        <f>VLOOKUP(J550,'Sheet A'!J550:AB1160,2,)</f>
        <v>2</v>
      </c>
      <c r="L550" s="38">
        <f>VLOOKUP(K550,'Sheet A'!K550:AC1160,2,)</f>
        <v>0.16</v>
      </c>
      <c r="M550" s="70" t="str">
        <f>VLOOKUP(L550,'Sheet A'!L550:AD1160,2,)</f>
        <v>Rainy</v>
      </c>
      <c r="N550" s="38">
        <f>VLOOKUP(M550,'Sheet A'!M550:AE1160,2,)</f>
        <v>0.13639999999999999</v>
      </c>
      <c r="O550" s="38">
        <f>VLOOKUP(N550,'Sheet A'!N550:AF1160,2,)</f>
        <v>0.69</v>
      </c>
      <c r="P550" s="38">
        <f>VLOOKUP(O550,'Sheet A'!O550:AG1160,2,)</f>
        <v>0.28360000000000002</v>
      </c>
      <c r="Q550" s="38">
        <f>VLOOKUP(P550,'Sheet A'!P550:AH1160,2,)</f>
        <v>3</v>
      </c>
      <c r="R550" s="38">
        <f>VLOOKUP(Q550,'Sheet A'!Q550:AI1160,2,)</f>
        <v>6</v>
      </c>
      <c r="S550" s="38">
        <f>VLOOKUP(R550,'Sheet A'!R550:AJ1160,2,)</f>
        <v>9</v>
      </c>
    </row>
    <row r="551" spans="1:19" x14ac:dyDescent="0.35">
      <c r="A551" s="37">
        <v>550</v>
      </c>
      <c r="B551" s="60">
        <f>VLOOKUP(A551,'Sheet A'!A551:S1161,2,)</f>
        <v>40568</v>
      </c>
      <c r="C551" s="38">
        <f>VLOOKUP(B551,'Sheet A'!B551:T1161,2,)</f>
        <v>1</v>
      </c>
      <c r="D551" s="38">
        <f>VLOOKUP(C551,'Sheet A'!C551:U1161,2,)</f>
        <v>0</v>
      </c>
      <c r="E551" s="38">
        <f>VLOOKUP(D551,'Sheet A'!D551:V1161,2,)</f>
        <v>1</v>
      </c>
      <c r="F551" s="38">
        <f>VLOOKUP(E551,'Sheet A'!E551:W1161,2,)</f>
        <v>1</v>
      </c>
      <c r="G551" s="41" t="str">
        <f>VLOOKUP(F551,'Sheet A'!F551:X1161,2,)</f>
        <v>Night</v>
      </c>
      <c r="H551" s="38" t="b">
        <f>VLOOKUP(G551,'Sheet A'!G551:Y1161,2,)</f>
        <v>0</v>
      </c>
      <c r="I551" s="38">
        <f>VLOOKUP(H551,'Sheet A'!H551:Z1161,2,)</f>
        <v>2</v>
      </c>
      <c r="J551" s="41" t="str">
        <f>VLOOKUP(I551,'Sheet A'!I551:AA1161,2,)</f>
        <v>Monday</v>
      </c>
      <c r="K551" s="38">
        <f>VLOOKUP(J551,'Sheet A'!J551:AB1161,2,)</f>
        <v>2</v>
      </c>
      <c r="L551" s="38">
        <f>VLOOKUP(K551,'Sheet A'!K551:AC1161,2,)</f>
        <v>0.16</v>
      </c>
      <c r="M551" s="70" t="str">
        <f>VLOOKUP(L551,'Sheet A'!L551:AD1161,2,)</f>
        <v>Rainy</v>
      </c>
      <c r="N551" s="38">
        <f>VLOOKUP(M551,'Sheet A'!M551:AE1161,2,)</f>
        <v>0.16669999999999999</v>
      </c>
      <c r="O551" s="38">
        <f>VLOOKUP(N551,'Sheet A'!N551:AF1161,2,)</f>
        <v>0.69</v>
      </c>
      <c r="P551" s="38">
        <f>VLOOKUP(O551,'Sheet A'!O551:AG1161,2,)</f>
        <v>0.16420000000000001</v>
      </c>
      <c r="Q551" s="38">
        <f>VLOOKUP(P551,'Sheet A'!P551:AH1161,2,)</f>
        <v>0</v>
      </c>
      <c r="R551" s="38">
        <f>VLOOKUP(Q551,'Sheet A'!Q551:AI1161,2,)</f>
        <v>5</v>
      </c>
      <c r="S551" s="38">
        <f>VLOOKUP(R551,'Sheet A'!R551:AJ1161,2,)</f>
        <v>5</v>
      </c>
    </row>
    <row r="552" spans="1:19" x14ac:dyDescent="0.35">
      <c r="A552" s="37">
        <v>551</v>
      </c>
      <c r="B552" s="60">
        <f>VLOOKUP(A552,'Sheet A'!A552:S1162,2,)</f>
        <v>40568</v>
      </c>
      <c r="C552" s="38">
        <f>VLOOKUP(B552,'Sheet A'!B552:T1162,2,)</f>
        <v>1</v>
      </c>
      <c r="D552" s="38">
        <f>VLOOKUP(C552,'Sheet A'!C552:U1162,2,)</f>
        <v>0</v>
      </c>
      <c r="E552" s="38">
        <f>VLOOKUP(D552,'Sheet A'!D552:V1162,2,)</f>
        <v>1</v>
      </c>
      <c r="F552" s="38">
        <f>VLOOKUP(E552,'Sheet A'!E552:W1162,2,)</f>
        <v>2</v>
      </c>
      <c r="G552" s="41" t="str">
        <f>VLOOKUP(F552,'Sheet A'!F552:X1162,2,)</f>
        <v>Night</v>
      </c>
      <c r="H552" s="38" t="b">
        <f>VLOOKUP(G552,'Sheet A'!G552:Y1162,2,)</f>
        <v>0</v>
      </c>
      <c r="I552" s="38">
        <f>VLOOKUP(H552,'Sheet A'!H552:Z1162,2,)</f>
        <v>2</v>
      </c>
      <c r="J552" s="41" t="str">
        <f>VLOOKUP(I552,'Sheet A'!I552:AA1162,2,)</f>
        <v>Monday</v>
      </c>
      <c r="K552" s="38">
        <f>VLOOKUP(J552,'Sheet A'!J552:AB1162,2,)</f>
        <v>1</v>
      </c>
      <c r="L552" s="38">
        <f>VLOOKUP(K552,'Sheet A'!K552:AC1162,2,)</f>
        <v>0.16</v>
      </c>
      <c r="M552" s="70" t="str">
        <f>VLOOKUP(L552,'Sheet A'!L552:AD1162,2,)</f>
        <v>Rainy</v>
      </c>
      <c r="N552" s="38">
        <f>VLOOKUP(M552,'Sheet A'!M552:AE1162,2,)</f>
        <v>0.1515</v>
      </c>
      <c r="O552" s="38">
        <f>VLOOKUP(N552,'Sheet A'!N552:AF1162,2,)</f>
        <v>0.69</v>
      </c>
      <c r="P552" s="38">
        <f>VLOOKUP(O552,'Sheet A'!O552:AG1162,2,)</f>
        <v>0.22389999999999999</v>
      </c>
      <c r="Q552" s="38">
        <f>VLOOKUP(P552,'Sheet A'!P552:AH1162,2,)</f>
        <v>0</v>
      </c>
      <c r="R552" s="38">
        <f>VLOOKUP(Q552,'Sheet A'!Q552:AI1162,2,)</f>
        <v>2</v>
      </c>
      <c r="S552" s="38">
        <f>VLOOKUP(R552,'Sheet A'!R552:AJ1162,2,)</f>
        <v>2</v>
      </c>
    </row>
    <row r="553" spans="1:19" x14ac:dyDescent="0.35">
      <c r="A553" s="37">
        <v>552</v>
      </c>
      <c r="B553" s="60">
        <f>VLOOKUP(A553,'Sheet A'!A553:S1163,2,)</f>
        <v>40568</v>
      </c>
      <c r="C553" s="38">
        <f>VLOOKUP(B553,'Sheet A'!B553:T1163,2,)</f>
        <v>1</v>
      </c>
      <c r="D553" s="38">
        <f>VLOOKUP(C553,'Sheet A'!C553:U1163,2,)</f>
        <v>0</v>
      </c>
      <c r="E553" s="38">
        <f>VLOOKUP(D553,'Sheet A'!D553:V1163,2,)</f>
        <v>1</v>
      </c>
      <c r="F553" s="38">
        <f>VLOOKUP(E553,'Sheet A'!E553:W1163,2,)</f>
        <v>4</v>
      </c>
      <c r="G553" s="41" t="str">
        <f>VLOOKUP(F553,'Sheet A'!F553:X1163,2,)</f>
        <v>Night</v>
      </c>
      <c r="H553" s="38" t="b">
        <f>VLOOKUP(G553,'Sheet A'!G553:Y1163,2,)</f>
        <v>0</v>
      </c>
      <c r="I553" s="38">
        <f>VLOOKUP(H553,'Sheet A'!H553:Z1163,2,)</f>
        <v>2</v>
      </c>
      <c r="J553" s="41" t="str">
        <f>VLOOKUP(I553,'Sheet A'!I553:AA1163,2,)</f>
        <v>Monday</v>
      </c>
      <c r="K553" s="38">
        <f>VLOOKUP(J553,'Sheet A'!J553:AB1163,2,)</f>
        <v>1</v>
      </c>
      <c r="L553" s="38">
        <f>VLOOKUP(K553,'Sheet A'!K553:AC1163,2,)</f>
        <v>0.14000000000000001</v>
      </c>
      <c r="M553" s="70" t="str">
        <f>VLOOKUP(L553,'Sheet A'!L553:AD1163,2,)</f>
        <v>Rainy</v>
      </c>
      <c r="N553" s="38">
        <f>VLOOKUP(M553,'Sheet A'!M553:AE1163,2,)</f>
        <v>0.16669999999999999</v>
      </c>
      <c r="O553" s="38">
        <f>VLOOKUP(N553,'Sheet A'!N553:AF1163,2,)</f>
        <v>0.74</v>
      </c>
      <c r="P553" s="38">
        <f>VLOOKUP(O553,'Sheet A'!O553:AG1163,2,)</f>
        <v>0.1045</v>
      </c>
      <c r="Q553" s="38">
        <f>VLOOKUP(P553,'Sheet A'!P553:AH1163,2,)</f>
        <v>0</v>
      </c>
      <c r="R553" s="38">
        <f>VLOOKUP(Q553,'Sheet A'!Q553:AI1163,2,)</f>
        <v>1</v>
      </c>
      <c r="S553" s="38">
        <f>VLOOKUP(R553,'Sheet A'!R553:AJ1163,2,)</f>
        <v>1</v>
      </c>
    </row>
    <row r="554" spans="1:19" x14ac:dyDescent="0.35">
      <c r="A554" s="37">
        <v>553</v>
      </c>
      <c r="B554" s="60">
        <f>VLOOKUP(A554,'Sheet A'!A554:S1164,2,)</f>
        <v>40568</v>
      </c>
      <c r="C554" s="38">
        <f>VLOOKUP(B554,'Sheet A'!B554:T1164,2,)</f>
        <v>1</v>
      </c>
      <c r="D554" s="38">
        <f>VLOOKUP(C554,'Sheet A'!C554:U1164,2,)</f>
        <v>0</v>
      </c>
      <c r="E554" s="38">
        <f>VLOOKUP(D554,'Sheet A'!D554:V1164,2,)</f>
        <v>1</v>
      </c>
      <c r="F554" s="38">
        <f>VLOOKUP(E554,'Sheet A'!E554:W1164,2,)</f>
        <v>5</v>
      </c>
      <c r="G554" s="41" t="str">
        <f>VLOOKUP(F554,'Sheet A'!F554:X1164,2,)</f>
        <v>Morning</v>
      </c>
      <c r="H554" s="38" t="b">
        <f>VLOOKUP(G554,'Sheet A'!G554:Y1164,2,)</f>
        <v>0</v>
      </c>
      <c r="I554" s="38">
        <f>VLOOKUP(H554,'Sheet A'!H554:Z1164,2,)</f>
        <v>2</v>
      </c>
      <c r="J554" s="41" t="str">
        <f>VLOOKUP(I554,'Sheet A'!I554:AA1164,2,)</f>
        <v>Monday</v>
      </c>
      <c r="K554" s="38">
        <f>VLOOKUP(J554,'Sheet A'!J554:AB1164,2,)</f>
        <v>1</v>
      </c>
      <c r="L554" s="38">
        <f>VLOOKUP(K554,'Sheet A'!K554:AC1164,2,)</f>
        <v>0.14000000000000001</v>
      </c>
      <c r="M554" s="70" t="str">
        <f>VLOOKUP(L554,'Sheet A'!L554:AD1164,2,)</f>
        <v>Rainy</v>
      </c>
      <c r="N554" s="38">
        <f>VLOOKUP(M554,'Sheet A'!M554:AE1164,2,)</f>
        <v>0.13639999999999999</v>
      </c>
      <c r="O554" s="38">
        <f>VLOOKUP(N554,'Sheet A'!N554:AF1164,2,)</f>
        <v>0.74</v>
      </c>
      <c r="P554" s="38">
        <f>VLOOKUP(O554,'Sheet A'!O554:AG1164,2,)</f>
        <v>0.22389999999999999</v>
      </c>
      <c r="Q554" s="38">
        <f>VLOOKUP(P554,'Sheet A'!P554:AH1164,2,)</f>
        <v>0</v>
      </c>
      <c r="R554" s="38">
        <f>VLOOKUP(Q554,'Sheet A'!Q554:AI1164,2,)</f>
        <v>9</v>
      </c>
      <c r="S554" s="38">
        <f>VLOOKUP(R554,'Sheet A'!R554:AJ1164,2,)</f>
        <v>9</v>
      </c>
    </row>
    <row r="555" spans="1:19" x14ac:dyDescent="0.35">
      <c r="A555" s="37">
        <v>554</v>
      </c>
      <c r="B555" s="60">
        <f>VLOOKUP(A555,'Sheet A'!A555:S1165,2,)</f>
        <v>40568</v>
      </c>
      <c r="C555" s="38">
        <f>VLOOKUP(B555,'Sheet A'!B555:T1165,2,)</f>
        <v>1</v>
      </c>
      <c r="D555" s="38">
        <f>VLOOKUP(C555,'Sheet A'!C555:U1165,2,)</f>
        <v>0</v>
      </c>
      <c r="E555" s="38">
        <f>VLOOKUP(D555,'Sheet A'!D555:V1165,2,)</f>
        <v>1</v>
      </c>
      <c r="F555" s="38">
        <f>VLOOKUP(E555,'Sheet A'!E555:W1165,2,)</f>
        <v>6</v>
      </c>
      <c r="G555" s="41" t="str">
        <f>VLOOKUP(F555,'Sheet A'!F555:X1165,2,)</f>
        <v>Morning</v>
      </c>
      <c r="H555" s="38" t="b">
        <f>VLOOKUP(G555,'Sheet A'!G555:Y1165,2,)</f>
        <v>0</v>
      </c>
      <c r="I555" s="38">
        <f>VLOOKUP(H555,'Sheet A'!H555:Z1165,2,)</f>
        <v>2</v>
      </c>
      <c r="J555" s="41" t="str">
        <f>VLOOKUP(I555,'Sheet A'!I555:AA1165,2,)</f>
        <v>Monday</v>
      </c>
      <c r="K555" s="38">
        <f>VLOOKUP(J555,'Sheet A'!J555:AB1165,2,)</f>
        <v>1</v>
      </c>
      <c r="L555" s="38">
        <f>VLOOKUP(K555,'Sheet A'!K555:AC1165,2,)</f>
        <v>0.16</v>
      </c>
      <c r="M555" s="70" t="str">
        <f>VLOOKUP(L555,'Sheet A'!L555:AD1165,2,)</f>
        <v>Rainy</v>
      </c>
      <c r="N555" s="38">
        <f>VLOOKUP(M555,'Sheet A'!M555:AE1165,2,)</f>
        <v>0.18179999999999999</v>
      </c>
      <c r="O555" s="38">
        <f>VLOOKUP(N555,'Sheet A'!N555:AF1165,2,)</f>
        <v>0.74</v>
      </c>
      <c r="P555" s="38">
        <f>VLOOKUP(O555,'Sheet A'!O555:AG1165,2,)</f>
        <v>0.1045</v>
      </c>
      <c r="Q555" s="38">
        <f>VLOOKUP(P555,'Sheet A'!P555:AH1165,2,)</f>
        <v>1</v>
      </c>
      <c r="R555" s="38">
        <f>VLOOKUP(Q555,'Sheet A'!Q555:AI1165,2,)</f>
        <v>35</v>
      </c>
      <c r="S555" s="38">
        <f>VLOOKUP(R555,'Sheet A'!R555:AJ1165,2,)</f>
        <v>36</v>
      </c>
    </row>
    <row r="556" spans="1:19" x14ac:dyDescent="0.35">
      <c r="A556" s="37">
        <v>555</v>
      </c>
      <c r="B556" s="60">
        <f>VLOOKUP(A556,'Sheet A'!A556:S1166,2,)</f>
        <v>40568</v>
      </c>
      <c r="C556" s="38">
        <f>VLOOKUP(B556,'Sheet A'!B556:T1166,2,)</f>
        <v>1</v>
      </c>
      <c r="D556" s="38">
        <f>VLOOKUP(C556,'Sheet A'!C556:U1166,2,)</f>
        <v>0</v>
      </c>
      <c r="E556" s="38">
        <f>VLOOKUP(D556,'Sheet A'!D556:V1166,2,)</f>
        <v>1</v>
      </c>
      <c r="F556" s="38">
        <f>VLOOKUP(E556,'Sheet A'!E556:W1166,2,)</f>
        <v>7</v>
      </c>
      <c r="G556" s="41" t="str">
        <f>VLOOKUP(F556,'Sheet A'!F556:X1166,2,)</f>
        <v>Morning</v>
      </c>
      <c r="H556" s="38" t="b">
        <f>VLOOKUP(G556,'Sheet A'!G556:Y1166,2,)</f>
        <v>0</v>
      </c>
      <c r="I556" s="38">
        <f>VLOOKUP(H556,'Sheet A'!H556:Z1166,2,)</f>
        <v>2</v>
      </c>
      <c r="J556" s="41" t="str">
        <f>VLOOKUP(I556,'Sheet A'!I556:AA1166,2,)</f>
        <v>Monday</v>
      </c>
      <c r="K556" s="38">
        <f>VLOOKUP(J556,'Sheet A'!J556:AB1166,2,)</f>
        <v>1</v>
      </c>
      <c r="L556" s="38">
        <f>VLOOKUP(K556,'Sheet A'!K556:AC1166,2,)</f>
        <v>0.16</v>
      </c>
      <c r="M556" s="70" t="str">
        <f>VLOOKUP(L556,'Sheet A'!L556:AD1166,2,)</f>
        <v>Rainy</v>
      </c>
      <c r="N556" s="38">
        <f>VLOOKUP(M556,'Sheet A'!M556:AE1166,2,)</f>
        <v>0.1515</v>
      </c>
      <c r="O556" s="38">
        <f>VLOOKUP(N556,'Sheet A'!N556:AF1166,2,)</f>
        <v>0.74</v>
      </c>
      <c r="P556" s="38">
        <f>VLOOKUP(O556,'Sheet A'!O556:AG1166,2,)</f>
        <v>0.22389999999999999</v>
      </c>
      <c r="Q556" s="38">
        <f>VLOOKUP(P556,'Sheet A'!P556:AH1166,2,)</f>
        <v>5</v>
      </c>
      <c r="R556" s="38">
        <f>VLOOKUP(Q556,'Sheet A'!Q556:AI1166,2,)</f>
        <v>103</v>
      </c>
      <c r="S556" s="38">
        <f>VLOOKUP(R556,'Sheet A'!R556:AJ1166,2,)</f>
        <v>108</v>
      </c>
    </row>
    <row r="557" spans="1:19" x14ac:dyDescent="0.35">
      <c r="A557" s="37">
        <v>556</v>
      </c>
      <c r="B557" s="60">
        <f>VLOOKUP(A557,'Sheet A'!A557:S1167,2,)</f>
        <v>40568</v>
      </c>
      <c r="C557" s="38">
        <f>VLOOKUP(B557,'Sheet A'!B557:T1167,2,)</f>
        <v>1</v>
      </c>
      <c r="D557" s="38">
        <f>VLOOKUP(C557,'Sheet A'!C557:U1167,2,)</f>
        <v>0</v>
      </c>
      <c r="E557" s="38">
        <f>VLOOKUP(D557,'Sheet A'!D557:V1167,2,)</f>
        <v>1</v>
      </c>
      <c r="F557" s="38">
        <f>VLOOKUP(E557,'Sheet A'!E557:W1167,2,)</f>
        <v>8</v>
      </c>
      <c r="G557" s="41" t="str">
        <f>VLOOKUP(F557,'Sheet A'!F557:X1167,2,)</f>
        <v>Morning</v>
      </c>
      <c r="H557" s="38" t="b">
        <f>VLOOKUP(G557,'Sheet A'!G557:Y1167,2,)</f>
        <v>0</v>
      </c>
      <c r="I557" s="38">
        <f>VLOOKUP(H557,'Sheet A'!H557:Z1167,2,)</f>
        <v>2</v>
      </c>
      <c r="J557" s="41" t="str">
        <f>VLOOKUP(I557,'Sheet A'!I557:AA1167,2,)</f>
        <v>Monday</v>
      </c>
      <c r="K557" s="38">
        <f>VLOOKUP(J557,'Sheet A'!J557:AB1167,2,)</f>
        <v>2</v>
      </c>
      <c r="L557" s="38">
        <f>VLOOKUP(K557,'Sheet A'!K557:AC1167,2,)</f>
        <v>0.16</v>
      </c>
      <c r="M557" s="70" t="str">
        <f>VLOOKUP(L557,'Sheet A'!L557:AD1167,2,)</f>
        <v>Rainy</v>
      </c>
      <c r="N557" s="38">
        <f>VLOOKUP(M557,'Sheet A'!M557:AE1167,2,)</f>
        <v>0.18179999999999999</v>
      </c>
      <c r="O557" s="38">
        <f>VLOOKUP(N557,'Sheet A'!N557:AF1167,2,)</f>
        <v>0.74</v>
      </c>
      <c r="P557" s="38">
        <f>VLOOKUP(O557,'Sheet A'!O557:AG1167,2,)</f>
        <v>0.1343</v>
      </c>
      <c r="Q557" s="38">
        <f>VLOOKUP(P557,'Sheet A'!P557:AH1167,2,)</f>
        <v>5</v>
      </c>
      <c r="R557" s="38">
        <f>VLOOKUP(Q557,'Sheet A'!Q557:AI1167,2,)</f>
        <v>233</v>
      </c>
      <c r="S557" s="38">
        <f>VLOOKUP(R557,'Sheet A'!R557:AJ1167,2,)</f>
        <v>238</v>
      </c>
    </row>
    <row r="558" spans="1:19" x14ac:dyDescent="0.35">
      <c r="A558" s="37">
        <v>557</v>
      </c>
      <c r="B558" s="60">
        <f>VLOOKUP(A558,'Sheet A'!A558:S1168,2,)</f>
        <v>40568</v>
      </c>
      <c r="C558" s="38">
        <f>VLOOKUP(B558,'Sheet A'!B558:T1168,2,)</f>
        <v>1</v>
      </c>
      <c r="D558" s="38">
        <f>VLOOKUP(C558,'Sheet A'!C558:U1168,2,)</f>
        <v>0</v>
      </c>
      <c r="E558" s="38">
        <f>VLOOKUP(D558,'Sheet A'!D558:V1168,2,)</f>
        <v>1</v>
      </c>
      <c r="F558" s="38">
        <f>VLOOKUP(E558,'Sheet A'!E558:W1168,2,)</f>
        <v>9</v>
      </c>
      <c r="G558" s="41" t="str">
        <f>VLOOKUP(F558,'Sheet A'!F558:X1168,2,)</f>
        <v>Morning</v>
      </c>
      <c r="H558" s="38" t="b">
        <f>VLOOKUP(G558,'Sheet A'!G558:Y1168,2,)</f>
        <v>0</v>
      </c>
      <c r="I558" s="38">
        <f>VLOOKUP(H558,'Sheet A'!H558:Z1168,2,)</f>
        <v>2</v>
      </c>
      <c r="J558" s="41" t="str">
        <f>VLOOKUP(I558,'Sheet A'!I558:AA1168,2,)</f>
        <v>Monday</v>
      </c>
      <c r="K558" s="38">
        <f>VLOOKUP(J558,'Sheet A'!J558:AB1168,2,)</f>
        <v>2</v>
      </c>
      <c r="L558" s="38">
        <f>VLOOKUP(K558,'Sheet A'!K558:AC1168,2,)</f>
        <v>0.2</v>
      </c>
      <c r="M558" s="70" t="str">
        <f>VLOOKUP(L558,'Sheet A'!L558:AD1168,2,)</f>
        <v>Rainy</v>
      </c>
      <c r="N558" s="38">
        <f>VLOOKUP(M558,'Sheet A'!M558:AE1168,2,)</f>
        <v>0.2273</v>
      </c>
      <c r="O558" s="38">
        <f>VLOOKUP(N558,'Sheet A'!N558:AF1168,2,)</f>
        <v>0.64</v>
      </c>
      <c r="P558" s="38">
        <f>VLOOKUP(O558,'Sheet A'!O558:AG1168,2,)</f>
        <v>8.9599999999999999E-2</v>
      </c>
      <c r="Q558" s="38">
        <f>VLOOKUP(P558,'Sheet A'!P558:AH1168,2,)</f>
        <v>10</v>
      </c>
      <c r="R558" s="38">
        <f>VLOOKUP(Q558,'Sheet A'!Q558:AI1168,2,)</f>
        <v>134</v>
      </c>
      <c r="S558" s="38">
        <f>VLOOKUP(R558,'Sheet A'!R558:AJ1168,2,)</f>
        <v>144</v>
      </c>
    </row>
    <row r="559" spans="1:19" x14ac:dyDescent="0.35">
      <c r="A559" s="37">
        <v>558</v>
      </c>
      <c r="B559" s="60">
        <f>VLOOKUP(A559,'Sheet A'!A559:S1169,2,)</f>
        <v>40568</v>
      </c>
      <c r="C559" s="38">
        <f>VLOOKUP(B559,'Sheet A'!B559:T1169,2,)</f>
        <v>1</v>
      </c>
      <c r="D559" s="38">
        <f>VLOOKUP(C559,'Sheet A'!C559:U1169,2,)</f>
        <v>0</v>
      </c>
      <c r="E559" s="38">
        <f>VLOOKUP(D559,'Sheet A'!D559:V1169,2,)</f>
        <v>1</v>
      </c>
      <c r="F559" s="38">
        <f>VLOOKUP(E559,'Sheet A'!E559:W1169,2,)</f>
        <v>10</v>
      </c>
      <c r="G559" s="41" t="str">
        <f>VLOOKUP(F559,'Sheet A'!F559:X1169,2,)</f>
        <v>Morning</v>
      </c>
      <c r="H559" s="38" t="b">
        <f>VLOOKUP(G559,'Sheet A'!G559:Y1169,2,)</f>
        <v>0</v>
      </c>
      <c r="I559" s="38">
        <f>VLOOKUP(H559,'Sheet A'!H559:Z1169,2,)</f>
        <v>2</v>
      </c>
      <c r="J559" s="41" t="str">
        <f>VLOOKUP(I559,'Sheet A'!I559:AA1169,2,)</f>
        <v>Monday</v>
      </c>
      <c r="K559" s="38">
        <f>VLOOKUP(J559,'Sheet A'!J559:AB1169,2,)</f>
        <v>2</v>
      </c>
      <c r="L559" s="38">
        <f>VLOOKUP(K559,'Sheet A'!K559:AC1169,2,)</f>
        <v>0.22</v>
      </c>
      <c r="M559" s="70" t="str">
        <f>VLOOKUP(L559,'Sheet A'!L559:AD1169,2,)</f>
        <v>Cloudy</v>
      </c>
      <c r="N559" s="38">
        <f>VLOOKUP(M559,'Sheet A'!M559:AE1169,2,)</f>
        <v>0.2424</v>
      </c>
      <c r="O559" s="38">
        <f>VLOOKUP(N559,'Sheet A'!N559:AF1169,2,)</f>
        <v>0.6</v>
      </c>
      <c r="P559" s="38">
        <f>VLOOKUP(O559,'Sheet A'!O559:AG1169,2,)</f>
        <v>0.1045</v>
      </c>
      <c r="Q559" s="38">
        <f>VLOOKUP(P559,'Sheet A'!P559:AH1169,2,)</f>
        <v>6</v>
      </c>
      <c r="R559" s="38">
        <f>VLOOKUP(Q559,'Sheet A'!Q559:AI1169,2,)</f>
        <v>49</v>
      </c>
      <c r="S559" s="38">
        <f>VLOOKUP(R559,'Sheet A'!R559:AJ1169,2,)</f>
        <v>55</v>
      </c>
    </row>
    <row r="560" spans="1:19" x14ac:dyDescent="0.35">
      <c r="A560" s="37">
        <v>559</v>
      </c>
      <c r="B560" s="60">
        <f>VLOOKUP(A560,'Sheet A'!A560:S1170,2,)</f>
        <v>40568</v>
      </c>
      <c r="C560" s="38">
        <f>VLOOKUP(B560,'Sheet A'!B560:T1170,2,)</f>
        <v>1</v>
      </c>
      <c r="D560" s="38">
        <f>VLOOKUP(C560,'Sheet A'!C560:U1170,2,)</f>
        <v>0</v>
      </c>
      <c r="E560" s="38">
        <f>VLOOKUP(D560,'Sheet A'!D560:V1170,2,)</f>
        <v>1</v>
      </c>
      <c r="F560" s="38">
        <f>VLOOKUP(E560,'Sheet A'!E560:W1170,2,)</f>
        <v>11</v>
      </c>
      <c r="G560" s="41" t="str">
        <f>VLOOKUP(F560,'Sheet A'!F560:X1170,2,)</f>
        <v>Morning</v>
      </c>
      <c r="H560" s="38" t="b">
        <f>VLOOKUP(G560,'Sheet A'!G560:Y1170,2,)</f>
        <v>0</v>
      </c>
      <c r="I560" s="38">
        <f>VLOOKUP(H560,'Sheet A'!H560:Z1170,2,)</f>
        <v>2</v>
      </c>
      <c r="J560" s="41" t="str">
        <f>VLOOKUP(I560,'Sheet A'!I560:AA1170,2,)</f>
        <v>Monday</v>
      </c>
      <c r="K560" s="38">
        <f>VLOOKUP(J560,'Sheet A'!J560:AB1170,2,)</f>
        <v>2</v>
      </c>
      <c r="L560" s="38">
        <f>VLOOKUP(K560,'Sheet A'!K560:AC1170,2,)</f>
        <v>0.24</v>
      </c>
      <c r="M560" s="70" t="str">
        <f>VLOOKUP(L560,'Sheet A'!L560:AD1170,2,)</f>
        <v>Cloudy</v>
      </c>
      <c r="N560" s="38">
        <f>VLOOKUP(M560,'Sheet A'!M560:AE1170,2,)</f>
        <v>0.2424</v>
      </c>
      <c r="O560" s="38">
        <f>VLOOKUP(N560,'Sheet A'!N560:AF1170,2,)</f>
        <v>0.6</v>
      </c>
      <c r="P560" s="38">
        <f>VLOOKUP(O560,'Sheet A'!O560:AG1170,2,)</f>
        <v>0.1343</v>
      </c>
      <c r="Q560" s="38">
        <f>VLOOKUP(P560,'Sheet A'!P560:AH1170,2,)</f>
        <v>6</v>
      </c>
      <c r="R560" s="38">
        <f>VLOOKUP(Q560,'Sheet A'!Q560:AI1170,2,)</f>
        <v>55</v>
      </c>
      <c r="S560" s="38">
        <f>VLOOKUP(R560,'Sheet A'!R560:AJ1170,2,)</f>
        <v>61</v>
      </c>
    </row>
    <row r="561" spans="1:19" x14ac:dyDescent="0.35">
      <c r="A561" s="37">
        <v>560</v>
      </c>
      <c r="B561" s="60">
        <f>VLOOKUP(A561,'Sheet A'!A561:S1171,2,)</f>
        <v>40568</v>
      </c>
      <c r="C561" s="38">
        <f>VLOOKUP(B561,'Sheet A'!B561:T1171,2,)</f>
        <v>1</v>
      </c>
      <c r="D561" s="38">
        <f>VLOOKUP(C561,'Sheet A'!C561:U1171,2,)</f>
        <v>0</v>
      </c>
      <c r="E561" s="38">
        <f>VLOOKUP(D561,'Sheet A'!D561:V1171,2,)</f>
        <v>1</v>
      </c>
      <c r="F561" s="38">
        <f>VLOOKUP(E561,'Sheet A'!E561:W1171,2,)</f>
        <v>12</v>
      </c>
      <c r="G561" s="41" t="str">
        <f>VLOOKUP(F561,'Sheet A'!F561:X1171,2,)</f>
        <v>AfterNoon</v>
      </c>
      <c r="H561" s="38" t="b">
        <f>VLOOKUP(G561,'Sheet A'!G561:Y1171,2,)</f>
        <v>0</v>
      </c>
      <c r="I561" s="38">
        <f>VLOOKUP(H561,'Sheet A'!H561:Z1171,2,)</f>
        <v>2</v>
      </c>
      <c r="J561" s="41" t="str">
        <f>VLOOKUP(I561,'Sheet A'!I561:AA1171,2,)</f>
        <v>Monday</v>
      </c>
      <c r="K561" s="38">
        <f>VLOOKUP(J561,'Sheet A'!J561:AB1171,2,)</f>
        <v>2</v>
      </c>
      <c r="L561" s="38">
        <f>VLOOKUP(K561,'Sheet A'!K561:AC1171,2,)</f>
        <v>0.26</v>
      </c>
      <c r="M561" s="70" t="str">
        <f>VLOOKUP(L561,'Sheet A'!L561:AD1171,2,)</f>
        <v>Cloudy</v>
      </c>
      <c r="N561" s="38">
        <f>VLOOKUP(M561,'Sheet A'!M561:AE1171,2,)</f>
        <v>0.28789999999999999</v>
      </c>
      <c r="O561" s="38">
        <f>VLOOKUP(N561,'Sheet A'!N561:AF1171,2,)</f>
        <v>0.56000000000000005</v>
      </c>
      <c r="P561" s="38">
        <f>VLOOKUP(O561,'Sheet A'!O561:AG1171,2,)</f>
        <v>8.9599999999999999E-2</v>
      </c>
      <c r="Q561" s="38">
        <f>VLOOKUP(P561,'Sheet A'!P561:AH1171,2,)</f>
        <v>21</v>
      </c>
      <c r="R561" s="38">
        <f>VLOOKUP(Q561,'Sheet A'!Q561:AI1171,2,)</f>
        <v>85</v>
      </c>
      <c r="S561" s="38">
        <f>VLOOKUP(R561,'Sheet A'!R561:AJ1171,2,)</f>
        <v>106</v>
      </c>
    </row>
    <row r="562" spans="1:19" x14ac:dyDescent="0.35">
      <c r="A562" s="37">
        <v>561</v>
      </c>
      <c r="B562" s="60">
        <f>VLOOKUP(A562,'Sheet A'!A562:S1172,2,)</f>
        <v>40568</v>
      </c>
      <c r="C562" s="38">
        <f>VLOOKUP(B562,'Sheet A'!B562:T1172,2,)</f>
        <v>1</v>
      </c>
      <c r="D562" s="38">
        <f>VLOOKUP(C562,'Sheet A'!C562:U1172,2,)</f>
        <v>0</v>
      </c>
      <c r="E562" s="38">
        <f>VLOOKUP(D562,'Sheet A'!D562:V1172,2,)</f>
        <v>1</v>
      </c>
      <c r="F562" s="38">
        <f>VLOOKUP(E562,'Sheet A'!E562:W1172,2,)</f>
        <v>13</v>
      </c>
      <c r="G562" s="41" t="str">
        <f>VLOOKUP(F562,'Sheet A'!F562:X1172,2,)</f>
        <v>AfterNoon</v>
      </c>
      <c r="H562" s="38" t="b">
        <f>VLOOKUP(G562,'Sheet A'!G562:Y1172,2,)</f>
        <v>0</v>
      </c>
      <c r="I562" s="38">
        <f>VLOOKUP(H562,'Sheet A'!H562:Z1172,2,)</f>
        <v>2</v>
      </c>
      <c r="J562" s="41" t="str">
        <f>VLOOKUP(I562,'Sheet A'!I562:AA1172,2,)</f>
        <v>Monday</v>
      </c>
      <c r="K562" s="38">
        <f>VLOOKUP(J562,'Sheet A'!J562:AB1172,2,)</f>
        <v>2</v>
      </c>
      <c r="L562" s="38">
        <f>VLOOKUP(K562,'Sheet A'!K562:AC1172,2,)</f>
        <v>0.26</v>
      </c>
      <c r="M562" s="70" t="str">
        <f>VLOOKUP(L562,'Sheet A'!L562:AD1172,2,)</f>
        <v>Cloudy</v>
      </c>
      <c r="N562" s="38">
        <f>VLOOKUP(M562,'Sheet A'!M562:AE1172,2,)</f>
        <v>0.2727</v>
      </c>
      <c r="O562" s="38">
        <f>VLOOKUP(N562,'Sheet A'!N562:AF1172,2,)</f>
        <v>0.56000000000000005</v>
      </c>
      <c r="P562" s="38">
        <f>VLOOKUP(O562,'Sheet A'!O562:AG1172,2,)</f>
        <v>0.1343</v>
      </c>
      <c r="Q562" s="38">
        <f>VLOOKUP(P562,'Sheet A'!P562:AH1172,2,)</f>
        <v>21</v>
      </c>
      <c r="R562" s="38">
        <f>VLOOKUP(Q562,'Sheet A'!Q562:AI1172,2,)</f>
        <v>72</v>
      </c>
      <c r="S562" s="38">
        <f>VLOOKUP(R562,'Sheet A'!R562:AJ1172,2,)</f>
        <v>93</v>
      </c>
    </row>
    <row r="563" spans="1:19" x14ac:dyDescent="0.35">
      <c r="A563" s="37">
        <v>562</v>
      </c>
      <c r="B563" s="60">
        <f>VLOOKUP(A563,'Sheet A'!A563:S1173,2,)</f>
        <v>40568</v>
      </c>
      <c r="C563" s="38">
        <f>VLOOKUP(B563,'Sheet A'!B563:T1173,2,)</f>
        <v>1</v>
      </c>
      <c r="D563" s="38">
        <f>VLOOKUP(C563,'Sheet A'!C563:U1173,2,)</f>
        <v>0</v>
      </c>
      <c r="E563" s="38">
        <f>VLOOKUP(D563,'Sheet A'!D563:V1173,2,)</f>
        <v>1</v>
      </c>
      <c r="F563" s="38">
        <f>VLOOKUP(E563,'Sheet A'!E563:W1173,2,)</f>
        <v>14</v>
      </c>
      <c r="G563" s="41" t="str">
        <f>VLOOKUP(F563,'Sheet A'!F563:X1173,2,)</f>
        <v>AfterNoon</v>
      </c>
      <c r="H563" s="38" t="b">
        <f>VLOOKUP(G563,'Sheet A'!G563:Y1173,2,)</f>
        <v>0</v>
      </c>
      <c r="I563" s="38">
        <f>VLOOKUP(H563,'Sheet A'!H563:Z1173,2,)</f>
        <v>2</v>
      </c>
      <c r="J563" s="41" t="str">
        <f>VLOOKUP(I563,'Sheet A'!I563:AA1173,2,)</f>
        <v>Monday</v>
      </c>
      <c r="K563" s="38">
        <f>VLOOKUP(J563,'Sheet A'!J563:AB1173,2,)</f>
        <v>2</v>
      </c>
      <c r="L563" s="38">
        <f>VLOOKUP(K563,'Sheet A'!K563:AC1173,2,)</f>
        <v>0.3</v>
      </c>
      <c r="M563" s="70" t="str">
        <f>VLOOKUP(L563,'Sheet A'!L563:AD1173,2,)</f>
        <v>Cloudy</v>
      </c>
      <c r="N563" s="38">
        <f>VLOOKUP(M563,'Sheet A'!M563:AE1173,2,)</f>
        <v>0.33329999999999999</v>
      </c>
      <c r="O563" s="38">
        <f>VLOOKUP(N563,'Sheet A'!N563:AF1173,2,)</f>
        <v>0.45</v>
      </c>
      <c r="P563" s="38">
        <f>VLOOKUP(O563,'Sheet A'!O563:AG1173,2,)</f>
        <v>0</v>
      </c>
      <c r="Q563" s="38">
        <f>VLOOKUP(P563,'Sheet A'!P563:AH1173,2,)</f>
        <v>11</v>
      </c>
      <c r="R563" s="38">
        <f>VLOOKUP(Q563,'Sheet A'!Q563:AI1173,2,)</f>
        <v>57</v>
      </c>
      <c r="S563" s="38">
        <f>VLOOKUP(R563,'Sheet A'!R563:AJ1173,2,)</f>
        <v>68</v>
      </c>
    </row>
    <row r="564" spans="1:19" x14ac:dyDescent="0.35">
      <c r="A564" s="37">
        <v>563</v>
      </c>
      <c r="B564" s="60">
        <f>VLOOKUP(A564,'Sheet A'!A564:S1174,2,)</f>
        <v>40568</v>
      </c>
      <c r="C564" s="38">
        <f>VLOOKUP(B564,'Sheet A'!B564:T1174,2,)</f>
        <v>1</v>
      </c>
      <c r="D564" s="38">
        <f>VLOOKUP(C564,'Sheet A'!C564:U1174,2,)</f>
        <v>0</v>
      </c>
      <c r="E564" s="38">
        <f>VLOOKUP(D564,'Sheet A'!D564:V1174,2,)</f>
        <v>1</v>
      </c>
      <c r="F564" s="38">
        <f>VLOOKUP(E564,'Sheet A'!E564:W1174,2,)</f>
        <v>15</v>
      </c>
      <c r="G564" s="41" t="str">
        <f>VLOOKUP(F564,'Sheet A'!F564:X1174,2,)</f>
        <v>AfterNoon</v>
      </c>
      <c r="H564" s="38" t="b">
        <f>VLOOKUP(G564,'Sheet A'!G564:Y1174,2,)</f>
        <v>0</v>
      </c>
      <c r="I564" s="38">
        <f>VLOOKUP(H564,'Sheet A'!H564:Z1174,2,)</f>
        <v>2</v>
      </c>
      <c r="J564" s="41" t="str">
        <f>VLOOKUP(I564,'Sheet A'!I564:AA1174,2,)</f>
        <v>Monday</v>
      </c>
      <c r="K564" s="38">
        <f>VLOOKUP(J564,'Sheet A'!J564:AB1174,2,)</f>
        <v>2</v>
      </c>
      <c r="L564" s="38">
        <f>VLOOKUP(K564,'Sheet A'!K564:AC1174,2,)</f>
        <v>0.32</v>
      </c>
      <c r="M564" s="70" t="str">
        <f>VLOOKUP(L564,'Sheet A'!L564:AD1174,2,)</f>
        <v>Sunny</v>
      </c>
      <c r="N564" s="38">
        <f>VLOOKUP(M564,'Sheet A'!M564:AE1174,2,)</f>
        <v>0.34849999999999998</v>
      </c>
      <c r="O564" s="38">
        <f>VLOOKUP(N564,'Sheet A'!N564:AF1174,2,)</f>
        <v>0.42</v>
      </c>
      <c r="P564" s="38">
        <f>VLOOKUP(O564,'Sheet A'!O564:AG1174,2,)</f>
        <v>0</v>
      </c>
      <c r="Q564" s="38">
        <f>VLOOKUP(P564,'Sheet A'!P564:AH1174,2,)</f>
        <v>21</v>
      </c>
      <c r="R564" s="38">
        <f>VLOOKUP(Q564,'Sheet A'!Q564:AI1174,2,)</f>
        <v>63</v>
      </c>
      <c r="S564" s="38">
        <f>VLOOKUP(R564,'Sheet A'!R564:AJ1174,2,)</f>
        <v>84</v>
      </c>
    </row>
    <row r="565" spans="1:19" x14ac:dyDescent="0.35">
      <c r="A565" s="37">
        <v>564</v>
      </c>
      <c r="B565" s="60">
        <f>VLOOKUP(A565,'Sheet A'!A565:S1175,2,)</f>
        <v>40568</v>
      </c>
      <c r="C565" s="38">
        <f>VLOOKUP(B565,'Sheet A'!B565:T1175,2,)</f>
        <v>1</v>
      </c>
      <c r="D565" s="38">
        <f>VLOOKUP(C565,'Sheet A'!C565:U1175,2,)</f>
        <v>0</v>
      </c>
      <c r="E565" s="38">
        <f>VLOOKUP(D565,'Sheet A'!D565:V1175,2,)</f>
        <v>1</v>
      </c>
      <c r="F565" s="38">
        <f>VLOOKUP(E565,'Sheet A'!E565:W1175,2,)</f>
        <v>16</v>
      </c>
      <c r="G565" s="41" t="str">
        <f>VLOOKUP(F565,'Sheet A'!F565:X1175,2,)</f>
        <v>AfterNoon</v>
      </c>
      <c r="H565" s="38" t="b">
        <f>VLOOKUP(G565,'Sheet A'!G565:Y1175,2,)</f>
        <v>0</v>
      </c>
      <c r="I565" s="38">
        <f>VLOOKUP(H565,'Sheet A'!H565:Z1175,2,)</f>
        <v>2</v>
      </c>
      <c r="J565" s="41" t="str">
        <f>VLOOKUP(I565,'Sheet A'!I565:AA1175,2,)</f>
        <v>Monday</v>
      </c>
      <c r="K565" s="38">
        <f>VLOOKUP(J565,'Sheet A'!J565:AB1175,2,)</f>
        <v>2</v>
      </c>
      <c r="L565" s="38">
        <f>VLOOKUP(K565,'Sheet A'!K565:AC1175,2,)</f>
        <v>0.32</v>
      </c>
      <c r="M565" s="70" t="str">
        <f>VLOOKUP(L565,'Sheet A'!L565:AD1175,2,)</f>
        <v>Sunny</v>
      </c>
      <c r="N565" s="38">
        <f>VLOOKUP(M565,'Sheet A'!M565:AE1175,2,)</f>
        <v>0.34849999999999998</v>
      </c>
      <c r="O565" s="38">
        <f>VLOOKUP(N565,'Sheet A'!N565:AF1175,2,)</f>
        <v>0.42</v>
      </c>
      <c r="P565" s="38">
        <f>VLOOKUP(O565,'Sheet A'!O565:AG1175,2,)</f>
        <v>0</v>
      </c>
      <c r="Q565" s="38">
        <f>VLOOKUP(P565,'Sheet A'!P565:AH1175,2,)</f>
        <v>14</v>
      </c>
      <c r="R565" s="38">
        <f>VLOOKUP(Q565,'Sheet A'!Q565:AI1175,2,)</f>
        <v>102</v>
      </c>
      <c r="S565" s="38">
        <f>VLOOKUP(R565,'Sheet A'!R565:AJ1175,2,)</f>
        <v>116</v>
      </c>
    </row>
    <row r="566" spans="1:19" x14ac:dyDescent="0.35">
      <c r="A566" s="37">
        <v>565</v>
      </c>
      <c r="B566" s="60">
        <f>VLOOKUP(A566,'Sheet A'!A566:S1176,2,)</f>
        <v>40568</v>
      </c>
      <c r="C566" s="38">
        <f>VLOOKUP(B566,'Sheet A'!B566:T1176,2,)</f>
        <v>1</v>
      </c>
      <c r="D566" s="38">
        <f>VLOOKUP(C566,'Sheet A'!C566:U1176,2,)</f>
        <v>0</v>
      </c>
      <c r="E566" s="38">
        <f>VLOOKUP(D566,'Sheet A'!D566:V1176,2,)</f>
        <v>1</v>
      </c>
      <c r="F566" s="38">
        <f>VLOOKUP(E566,'Sheet A'!E566:W1176,2,)</f>
        <v>17</v>
      </c>
      <c r="G566" s="41" t="str">
        <f>VLOOKUP(F566,'Sheet A'!F566:X1176,2,)</f>
        <v>Evening</v>
      </c>
      <c r="H566" s="38" t="b">
        <f>VLOOKUP(G566,'Sheet A'!G566:Y1176,2,)</f>
        <v>0</v>
      </c>
      <c r="I566" s="38">
        <f>VLOOKUP(H566,'Sheet A'!H566:Z1176,2,)</f>
        <v>2</v>
      </c>
      <c r="J566" s="41" t="str">
        <f>VLOOKUP(I566,'Sheet A'!I566:AA1176,2,)</f>
        <v>Monday</v>
      </c>
      <c r="K566" s="38">
        <f>VLOOKUP(J566,'Sheet A'!J566:AB1176,2,)</f>
        <v>1</v>
      </c>
      <c r="L566" s="38">
        <f>VLOOKUP(K566,'Sheet A'!K566:AC1176,2,)</f>
        <v>0.3</v>
      </c>
      <c r="M566" s="70" t="str">
        <f>VLOOKUP(L566,'Sheet A'!L566:AD1176,2,)</f>
        <v>Cloudy</v>
      </c>
      <c r="N566" s="38">
        <f>VLOOKUP(M566,'Sheet A'!M566:AE1176,2,)</f>
        <v>0.33329999999999999</v>
      </c>
      <c r="O566" s="38">
        <f>VLOOKUP(N566,'Sheet A'!N566:AF1176,2,)</f>
        <v>0.45</v>
      </c>
      <c r="P566" s="38">
        <f>VLOOKUP(O566,'Sheet A'!O566:AG1176,2,)</f>
        <v>0</v>
      </c>
      <c r="Q566" s="38">
        <f>VLOOKUP(P566,'Sheet A'!P566:AH1176,2,)</f>
        <v>14</v>
      </c>
      <c r="R566" s="38">
        <f>VLOOKUP(Q566,'Sheet A'!Q566:AI1176,2,)</f>
        <v>208</v>
      </c>
      <c r="S566" s="38">
        <f>VLOOKUP(R566,'Sheet A'!R566:AJ1176,2,)</f>
        <v>222</v>
      </c>
    </row>
    <row r="567" spans="1:19" x14ac:dyDescent="0.35">
      <c r="A567" s="37">
        <v>566</v>
      </c>
      <c r="B567" s="60">
        <f>VLOOKUP(A567,'Sheet A'!A567:S1177,2,)</f>
        <v>40568</v>
      </c>
      <c r="C567" s="38">
        <f>VLOOKUP(B567,'Sheet A'!B567:T1177,2,)</f>
        <v>1</v>
      </c>
      <c r="D567" s="38">
        <f>VLOOKUP(C567,'Sheet A'!C567:U1177,2,)</f>
        <v>0</v>
      </c>
      <c r="E567" s="38">
        <f>VLOOKUP(D567,'Sheet A'!D567:V1177,2,)</f>
        <v>1</v>
      </c>
      <c r="F567" s="38">
        <f>VLOOKUP(E567,'Sheet A'!E567:W1177,2,)</f>
        <v>18</v>
      </c>
      <c r="G567" s="41" t="str">
        <f>VLOOKUP(F567,'Sheet A'!F567:X1177,2,)</f>
        <v>Evening</v>
      </c>
      <c r="H567" s="38" t="b">
        <f>VLOOKUP(G567,'Sheet A'!G567:Y1177,2,)</f>
        <v>0</v>
      </c>
      <c r="I567" s="38">
        <f>VLOOKUP(H567,'Sheet A'!H567:Z1177,2,)</f>
        <v>2</v>
      </c>
      <c r="J567" s="41" t="str">
        <f>VLOOKUP(I567,'Sheet A'!I567:AA1177,2,)</f>
        <v>Monday</v>
      </c>
      <c r="K567" s="38">
        <f>VLOOKUP(J567,'Sheet A'!J567:AB1177,2,)</f>
        <v>2</v>
      </c>
      <c r="L567" s="38">
        <f>VLOOKUP(K567,'Sheet A'!K567:AC1177,2,)</f>
        <v>0.3</v>
      </c>
      <c r="M567" s="70" t="str">
        <f>VLOOKUP(L567,'Sheet A'!L567:AD1177,2,)</f>
        <v>Cloudy</v>
      </c>
      <c r="N567" s="38">
        <f>VLOOKUP(M567,'Sheet A'!M567:AE1177,2,)</f>
        <v>0.31819999999999998</v>
      </c>
      <c r="O567" s="38">
        <f>VLOOKUP(N567,'Sheet A'!N567:AF1177,2,)</f>
        <v>0.49</v>
      </c>
      <c r="P567" s="38">
        <f>VLOOKUP(O567,'Sheet A'!O567:AG1177,2,)</f>
        <v>8.9599999999999999E-2</v>
      </c>
      <c r="Q567" s="38">
        <f>VLOOKUP(P567,'Sheet A'!P567:AH1177,2,)</f>
        <v>7</v>
      </c>
      <c r="R567" s="38">
        <f>VLOOKUP(Q567,'Sheet A'!Q567:AI1177,2,)</f>
        <v>218</v>
      </c>
      <c r="S567" s="38">
        <f>VLOOKUP(R567,'Sheet A'!R567:AJ1177,2,)</f>
        <v>225</v>
      </c>
    </row>
    <row r="568" spans="1:19" x14ac:dyDescent="0.35">
      <c r="A568" s="37">
        <v>567</v>
      </c>
      <c r="B568" s="60">
        <f>VLOOKUP(A568,'Sheet A'!A568:S1178,2,)</f>
        <v>40568</v>
      </c>
      <c r="C568" s="38">
        <f>VLOOKUP(B568,'Sheet A'!B568:T1178,2,)</f>
        <v>1</v>
      </c>
      <c r="D568" s="38">
        <f>VLOOKUP(C568,'Sheet A'!C568:U1178,2,)</f>
        <v>0</v>
      </c>
      <c r="E568" s="38">
        <f>VLOOKUP(D568,'Sheet A'!D568:V1178,2,)</f>
        <v>1</v>
      </c>
      <c r="F568" s="38">
        <f>VLOOKUP(E568,'Sheet A'!E568:W1178,2,)</f>
        <v>19</v>
      </c>
      <c r="G568" s="41" t="str">
        <f>VLOOKUP(F568,'Sheet A'!F568:X1178,2,)</f>
        <v>Evening</v>
      </c>
      <c r="H568" s="38" t="b">
        <f>VLOOKUP(G568,'Sheet A'!G568:Y1178,2,)</f>
        <v>0</v>
      </c>
      <c r="I568" s="38">
        <f>VLOOKUP(H568,'Sheet A'!H568:Z1178,2,)</f>
        <v>2</v>
      </c>
      <c r="J568" s="41" t="str">
        <f>VLOOKUP(I568,'Sheet A'!I568:AA1178,2,)</f>
        <v>Monday</v>
      </c>
      <c r="K568" s="38">
        <f>VLOOKUP(J568,'Sheet A'!J568:AB1178,2,)</f>
        <v>2</v>
      </c>
      <c r="L568" s="38">
        <f>VLOOKUP(K568,'Sheet A'!K568:AC1178,2,)</f>
        <v>0.26</v>
      </c>
      <c r="M568" s="70" t="str">
        <f>VLOOKUP(L568,'Sheet A'!L568:AD1178,2,)</f>
        <v>Cloudy</v>
      </c>
      <c r="N568" s="38">
        <f>VLOOKUP(M568,'Sheet A'!M568:AE1178,2,)</f>
        <v>0.2576</v>
      </c>
      <c r="O568" s="38">
        <f>VLOOKUP(N568,'Sheet A'!N568:AF1178,2,)</f>
        <v>0.65</v>
      </c>
      <c r="P568" s="38">
        <f>VLOOKUP(O568,'Sheet A'!O568:AG1178,2,)</f>
        <v>0.16420000000000001</v>
      </c>
      <c r="Q568" s="38">
        <f>VLOOKUP(P568,'Sheet A'!P568:AH1178,2,)</f>
        <v>13</v>
      </c>
      <c r="R568" s="38">
        <f>VLOOKUP(Q568,'Sheet A'!Q568:AI1178,2,)</f>
        <v>133</v>
      </c>
      <c r="S568" s="38">
        <f>VLOOKUP(R568,'Sheet A'!R568:AJ1178,2,)</f>
        <v>146</v>
      </c>
    </row>
    <row r="569" spans="1:19" x14ac:dyDescent="0.35">
      <c r="A569" s="37">
        <v>568</v>
      </c>
      <c r="B569" s="60">
        <f>VLOOKUP(A569,'Sheet A'!A569:S1179,2,)</f>
        <v>40568</v>
      </c>
      <c r="C569" s="38">
        <f>VLOOKUP(B569,'Sheet A'!B569:T1179,2,)</f>
        <v>1</v>
      </c>
      <c r="D569" s="38">
        <f>VLOOKUP(C569,'Sheet A'!C569:U1179,2,)</f>
        <v>0</v>
      </c>
      <c r="E569" s="38">
        <f>VLOOKUP(D569,'Sheet A'!D569:V1179,2,)</f>
        <v>1</v>
      </c>
      <c r="F569" s="38">
        <f>VLOOKUP(E569,'Sheet A'!E569:W1179,2,)</f>
        <v>20</v>
      </c>
      <c r="G569" s="41" t="str">
        <f>VLOOKUP(F569,'Sheet A'!F569:X1179,2,)</f>
        <v>Night</v>
      </c>
      <c r="H569" s="38" t="b">
        <f>VLOOKUP(G569,'Sheet A'!G569:Y1179,2,)</f>
        <v>0</v>
      </c>
      <c r="I569" s="38">
        <f>VLOOKUP(H569,'Sheet A'!H569:Z1179,2,)</f>
        <v>2</v>
      </c>
      <c r="J569" s="41" t="str">
        <f>VLOOKUP(I569,'Sheet A'!I569:AA1179,2,)</f>
        <v>Monday</v>
      </c>
      <c r="K569" s="38">
        <f>VLOOKUP(J569,'Sheet A'!J569:AB1179,2,)</f>
        <v>1</v>
      </c>
      <c r="L569" s="38">
        <f>VLOOKUP(K569,'Sheet A'!K569:AC1179,2,)</f>
        <v>0.24</v>
      </c>
      <c r="M569" s="70" t="str">
        <f>VLOOKUP(L569,'Sheet A'!L569:AD1179,2,)</f>
        <v>Cloudy</v>
      </c>
      <c r="N569" s="38">
        <f>VLOOKUP(M569,'Sheet A'!M569:AE1179,2,)</f>
        <v>0.2273</v>
      </c>
      <c r="O569" s="38">
        <f>VLOOKUP(N569,'Sheet A'!N569:AF1179,2,)</f>
        <v>0.65</v>
      </c>
      <c r="P569" s="38">
        <f>VLOOKUP(O569,'Sheet A'!O569:AG1179,2,)</f>
        <v>0.19400000000000001</v>
      </c>
      <c r="Q569" s="38">
        <f>VLOOKUP(P569,'Sheet A'!P569:AH1179,2,)</f>
        <v>16</v>
      </c>
      <c r="R569" s="38">
        <f>VLOOKUP(Q569,'Sheet A'!Q569:AI1179,2,)</f>
        <v>103</v>
      </c>
      <c r="S569" s="38">
        <f>VLOOKUP(R569,'Sheet A'!R569:AJ1179,2,)</f>
        <v>119</v>
      </c>
    </row>
    <row r="570" spans="1:19" x14ac:dyDescent="0.35">
      <c r="A570" s="37">
        <v>569</v>
      </c>
      <c r="B570" s="60">
        <f>VLOOKUP(A570,'Sheet A'!A570:S1180,2,)</f>
        <v>40568</v>
      </c>
      <c r="C570" s="38">
        <f>VLOOKUP(B570,'Sheet A'!B570:T1180,2,)</f>
        <v>1</v>
      </c>
      <c r="D570" s="38">
        <f>VLOOKUP(C570,'Sheet A'!C570:U1180,2,)</f>
        <v>0</v>
      </c>
      <c r="E570" s="38">
        <f>VLOOKUP(D570,'Sheet A'!D570:V1180,2,)</f>
        <v>1</v>
      </c>
      <c r="F570" s="38">
        <f>VLOOKUP(E570,'Sheet A'!E570:W1180,2,)</f>
        <v>21</v>
      </c>
      <c r="G570" s="41" t="str">
        <f>VLOOKUP(F570,'Sheet A'!F570:X1180,2,)</f>
        <v>Night</v>
      </c>
      <c r="H570" s="38" t="b">
        <f>VLOOKUP(G570,'Sheet A'!G570:Y1180,2,)</f>
        <v>0</v>
      </c>
      <c r="I570" s="38">
        <f>VLOOKUP(H570,'Sheet A'!H570:Z1180,2,)</f>
        <v>2</v>
      </c>
      <c r="J570" s="41" t="str">
        <f>VLOOKUP(I570,'Sheet A'!I570:AA1180,2,)</f>
        <v>Monday</v>
      </c>
      <c r="K570" s="38">
        <f>VLOOKUP(J570,'Sheet A'!J570:AB1180,2,)</f>
        <v>1</v>
      </c>
      <c r="L570" s="38">
        <f>VLOOKUP(K570,'Sheet A'!K570:AC1180,2,)</f>
        <v>0.24</v>
      </c>
      <c r="M570" s="70" t="str">
        <f>VLOOKUP(L570,'Sheet A'!L570:AD1180,2,)</f>
        <v>Cloudy</v>
      </c>
      <c r="N570" s="38">
        <f>VLOOKUP(M570,'Sheet A'!M570:AE1180,2,)</f>
        <v>0.2273</v>
      </c>
      <c r="O570" s="38">
        <f>VLOOKUP(N570,'Sheet A'!N570:AF1180,2,)</f>
        <v>0.65</v>
      </c>
      <c r="P570" s="38">
        <f>VLOOKUP(O570,'Sheet A'!O570:AG1180,2,)</f>
        <v>0.19400000000000001</v>
      </c>
      <c r="Q570" s="38">
        <f>VLOOKUP(P570,'Sheet A'!P570:AH1180,2,)</f>
        <v>5</v>
      </c>
      <c r="R570" s="38">
        <f>VLOOKUP(Q570,'Sheet A'!Q570:AI1180,2,)</f>
        <v>40</v>
      </c>
      <c r="S570" s="38">
        <f>VLOOKUP(R570,'Sheet A'!R570:AJ1180,2,)</f>
        <v>45</v>
      </c>
    </row>
    <row r="571" spans="1:19" x14ac:dyDescent="0.35">
      <c r="A571" s="37">
        <v>570</v>
      </c>
      <c r="B571" s="60">
        <f>VLOOKUP(A571,'Sheet A'!A571:S1181,2,)</f>
        <v>40568</v>
      </c>
      <c r="C571" s="38">
        <f>VLOOKUP(B571,'Sheet A'!B571:T1181,2,)</f>
        <v>1</v>
      </c>
      <c r="D571" s="38">
        <f>VLOOKUP(C571,'Sheet A'!C571:U1181,2,)</f>
        <v>0</v>
      </c>
      <c r="E571" s="38">
        <f>VLOOKUP(D571,'Sheet A'!D571:V1181,2,)</f>
        <v>1</v>
      </c>
      <c r="F571" s="38">
        <f>VLOOKUP(E571,'Sheet A'!E571:W1181,2,)</f>
        <v>22</v>
      </c>
      <c r="G571" s="41" t="str">
        <f>VLOOKUP(F571,'Sheet A'!F571:X1181,2,)</f>
        <v>Night</v>
      </c>
      <c r="H571" s="38" t="b">
        <f>VLOOKUP(G571,'Sheet A'!G571:Y1181,2,)</f>
        <v>0</v>
      </c>
      <c r="I571" s="38">
        <f>VLOOKUP(H571,'Sheet A'!H571:Z1181,2,)</f>
        <v>2</v>
      </c>
      <c r="J571" s="41" t="str">
        <f>VLOOKUP(I571,'Sheet A'!I571:AA1181,2,)</f>
        <v>Monday</v>
      </c>
      <c r="K571" s="38">
        <f>VLOOKUP(J571,'Sheet A'!J571:AB1181,2,)</f>
        <v>1</v>
      </c>
      <c r="L571" s="38">
        <f>VLOOKUP(K571,'Sheet A'!K571:AC1181,2,)</f>
        <v>0.22</v>
      </c>
      <c r="M571" s="70" t="str">
        <f>VLOOKUP(L571,'Sheet A'!L571:AD1181,2,)</f>
        <v>Cloudy</v>
      </c>
      <c r="N571" s="38">
        <f>VLOOKUP(M571,'Sheet A'!M571:AE1181,2,)</f>
        <v>0.2273</v>
      </c>
      <c r="O571" s="38">
        <f>VLOOKUP(N571,'Sheet A'!N571:AF1181,2,)</f>
        <v>0.64</v>
      </c>
      <c r="P571" s="38">
        <f>VLOOKUP(O571,'Sheet A'!O571:AG1181,2,)</f>
        <v>0.16420000000000001</v>
      </c>
      <c r="Q571" s="38">
        <f>VLOOKUP(P571,'Sheet A'!P571:AH1181,2,)</f>
        <v>4</v>
      </c>
      <c r="R571" s="38">
        <f>VLOOKUP(Q571,'Sheet A'!Q571:AI1181,2,)</f>
        <v>49</v>
      </c>
      <c r="S571" s="38">
        <f>VLOOKUP(R571,'Sheet A'!R571:AJ1181,2,)</f>
        <v>53</v>
      </c>
    </row>
    <row r="572" spans="1:19" x14ac:dyDescent="0.35">
      <c r="A572" s="37">
        <v>571</v>
      </c>
      <c r="B572" s="60">
        <f>VLOOKUP(A572,'Sheet A'!A572:S1182,2,)</f>
        <v>40568</v>
      </c>
      <c r="C572" s="38">
        <f>VLOOKUP(B572,'Sheet A'!B572:T1182,2,)</f>
        <v>1</v>
      </c>
      <c r="D572" s="38">
        <f>VLOOKUP(C572,'Sheet A'!C572:U1182,2,)</f>
        <v>0</v>
      </c>
      <c r="E572" s="38">
        <f>VLOOKUP(D572,'Sheet A'!D572:V1182,2,)</f>
        <v>1</v>
      </c>
      <c r="F572" s="38">
        <f>VLOOKUP(E572,'Sheet A'!E572:W1182,2,)</f>
        <v>23</v>
      </c>
      <c r="G572" s="41" t="str">
        <f>VLOOKUP(F572,'Sheet A'!F572:X1182,2,)</f>
        <v>Night</v>
      </c>
      <c r="H572" s="38" t="b">
        <f>VLOOKUP(G572,'Sheet A'!G572:Y1182,2,)</f>
        <v>0</v>
      </c>
      <c r="I572" s="38">
        <f>VLOOKUP(H572,'Sheet A'!H572:Z1182,2,)</f>
        <v>2</v>
      </c>
      <c r="J572" s="41" t="str">
        <f>VLOOKUP(I572,'Sheet A'!I572:AA1182,2,)</f>
        <v>Monday</v>
      </c>
      <c r="K572" s="38">
        <f>VLOOKUP(J572,'Sheet A'!J572:AB1182,2,)</f>
        <v>2</v>
      </c>
      <c r="L572" s="38">
        <f>VLOOKUP(K572,'Sheet A'!K572:AC1182,2,)</f>
        <v>0.22</v>
      </c>
      <c r="M572" s="70" t="str">
        <f>VLOOKUP(L572,'Sheet A'!L572:AD1182,2,)</f>
        <v>Cloudy</v>
      </c>
      <c r="N572" s="38">
        <f>VLOOKUP(M572,'Sheet A'!M572:AE1182,2,)</f>
        <v>0.2273</v>
      </c>
      <c r="O572" s="38">
        <f>VLOOKUP(N572,'Sheet A'!N572:AF1182,2,)</f>
        <v>0.64</v>
      </c>
      <c r="P572" s="38">
        <f>VLOOKUP(O572,'Sheet A'!O572:AG1182,2,)</f>
        <v>0.16420000000000001</v>
      </c>
      <c r="Q572" s="38">
        <f>VLOOKUP(P572,'Sheet A'!P572:AH1182,2,)</f>
        <v>3</v>
      </c>
      <c r="R572" s="38">
        <f>VLOOKUP(Q572,'Sheet A'!Q572:AI1182,2,)</f>
        <v>37</v>
      </c>
      <c r="S572" s="38">
        <f>VLOOKUP(R572,'Sheet A'!R572:AJ1182,2,)</f>
        <v>40</v>
      </c>
    </row>
    <row r="573" spans="1:19" x14ac:dyDescent="0.35">
      <c r="A573" s="37">
        <v>572</v>
      </c>
      <c r="B573" s="60">
        <f>VLOOKUP(A573,'Sheet A'!A573:S1183,2,)</f>
        <v>40569</v>
      </c>
      <c r="C573" s="38">
        <f>VLOOKUP(B573,'Sheet A'!B573:T1183,2,)</f>
        <v>1</v>
      </c>
      <c r="D573" s="38">
        <f>VLOOKUP(C573,'Sheet A'!C573:U1183,2,)</f>
        <v>0</v>
      </c>
      <c r="E573" s="38">
        <f>VLOOKUP(D573,'Sheet A'!D573:V1183,2,)</f>
        <v>1</v>
      </c>
      <c r="F573" s="38">
        <f>VLOOKUP(E573,'Sheet A'!E573:W1183,2,)</f>
        <v>0</v>
      </c>
      <c r="G573" s="41" t="str">
        <f>VLOOKUP(F573,'Sheet A'!F573:X1183,2,)</f>
        <v>Night</v>
      </c>
      <c r="H573" s="38" t="b">
        <f>VLOOKUP(G573,'Sheet A'!G573:Y1183,2,)</f>
        <v>0</v>
      </c>
      <c r="I573" s="38">
        <f>VLOOKUP(H573,'Sheet A'!H573:Z1183,2,)</f>
        <v>3</v>
      </c>
      <c r="J573" s="41" t="str">
        <f>VLOOKUP(I573,'Sheet A'!I573:AA1183,2,)</f>
        <v>Tuesday</v>
      </c>
      <c r="K573" s="38">
        <f>VLOOKUP(J573,'Sheet A'!J573:AB1183,2,)</f>
        <v>2</v>
      </c>
      <c r="L573" s="38">
        <f>VLOOKUP(K573,'Sheet A'!K573:AC1183,2,)</f>
        <v>0.22</v>
      </c>
      <c r="M573" s="70" t="str">
        <f>VLOOKUP(L573,'Sheet A'!L573:AD1183,2,)</f>
        <v>Cloudy</v>
      </c>
      <c r="N573" s="38">
        <f>VLOOKUP(M573,'Sheet A'!M573:AE1183,2,)</f>
        <v>0.2273</v>
      </c>
      <c r="O573" s="38">
        <f>VLOOKUP(N573,'Sheet A'!N573:AF1183,2,)</f>
        <v>0.69</v>
      </c>
      <c r="P573" s="38">
        <f>VLOOKUP(O573,'Sheet A'!O573:AG1183,2,)</f>
        <v>0.1343</v>
      </c>
      <c r="Q573" s="38">
        <f>VLOOKUP(P573,'Sheet A'!P573:AH1183,2,)</f>
        <v>3</v>
      </c>
      <c r="R573" s="38">
        <f>VLOOKUP(Q573,'Sheet A'!Q573:AI1183,2,)</f>
        <v>14</v>
      </c>
      <c r="S573" s="38">
        <f>VLOOKUP(R573,'Sheet A'!R573:AJ1183,2,)</f>
        <v>17</v>
      </c>
    </row>
    <row r="574" spans="1:19" x14ac:dyDescent="0.35">
      <c r="A574" s="37">
        <v>573</v>
      </c>
      <c r="B574" s="60">
        <f>VLOOKUP(A574,'Sheet A'!A574:S1184,2,)</f>
        <v>40569</v>
      </c>
      <c r="C574" s="38">
        <f>VLOOKUP(B574,'Sheet A'!B574:T1184,2,)</f>
        <v>1</v>
      </c>
      <c r="D574" s="38">
        <f>VLOOKUP(C574,'Sheet A'!C574:U1184,2,)</f>
        <v>0</v>
      </c>
      <c r="E574" s="38">
        <f>VLOOKUP(D574,'Sheet A'!D574:V1184,2,)</f>
        <v>1</v>
      </c>
      <c r="F574" s="38">
        <f>VLOOKUP(E574,'Sheet A'!E574:W1184,2,)</f>
        <v>1</v>
      </c>
      <c r="G574" s="41" t="str">
        <f>VLOOKUP(F574,'Sheet A'!F574:X1184,2,)</f>
        <v>Night</v>
      </c>
      <c r="H574" s="38" t="b">
        <f>VLOOKUP(G574,'Sheet A'!G574:Y1184,2,)</f>
        <v>0</v>
      </c>
      <c r="I574" s="38">
        <f>VLOOKUP(H574,'Sheet A'!H574:Z1184,2,)</f>
        <v>3</v>
      </c>
      <c r="J574" s="41" t="str">
        <f>VLOOKUP(I574,'Sheet A'!I574:AA1184,2,)</f>
        <v>Tuesday</v>
      </c>
      <c r="K574" s="38">
        <f>VLOOKUP(J574,'Sheet A'!J574:AB1184,2,)</f>
        <v>2</v>
      </c>
      <c r="L574" s="38">
        <f>VLOOKUP(K574,'Sheet A'!K574:AC1184,2,)</f>
        <v>0.24</v>
      </c>
      <c r="M574" s="70" t="str">
        <f>VLOOKUP(L574,'Sheet A'!L574:AD1184,2,)</f>
        <v>Cloudy</v>
      </c>
      <c r="N574" s="38">
        <f>VLOOKUP(M574,'Sheet A'!M574:AE1184,2,)</f>
        <v>0.2424</v>
      </c>
      <c r="O574" s="38">
        <f>VLOOKUP(N574,'Sheet A'!N574:AF1184,2,)</f>
        <v>0.65</v>
      </c>
      <c r="P574" s="38">
        <f>VLOOKUP(O574,'Sheet A'!O574:AG1184,2,)</f>
        <v>0.1343</v>
      </c>
      <c r="Q574" s="38">
        <f>VLOOKUP(P574,'Sheet A'!P574:AH1184,2,)</f>
        <v>0</v>
      </c>
      <c r="R574" s="38">
        <f>VLOOKUP(Q574,'Sheet A'!Q574:AI1184,2,)</f>
        <v>5</v>
      </c>
      <c r="S574" s="38">
        <f>VLOOKUP(R574,'Sheet A'!R574:AJ1184,2,)</f>
        <v>5</v>
      </c>
    </row>
    <row r="575" spans="1:19" x14ac:dyDescent="0.35">
      <c r="A575" s="37">
        <v>574</v>
      </c>
      <c r="B575" s="60">
        <f>VLOOKUP(A575,'Sheet A'!A575:S1185,2,)</f>
        <v>40569</v>
      </c>
      <c r="C575" s="38">
        <f>VLOOKUP(B575,'Sheet A'!B575:T1185,2,)</f>
        <v>1</v>
      </c>
      <c r="D575" s="38">
        <f>VLOOKUP(C575,'Sheet A'!C575:U1185,2,)</f>
        <v>0</v>
      </c>
      <c r="E575" s="38">
        <f>VLOOKUP(D575,'Sheet A'!D575:V1185,2,)</f>
        <v>1</v>
      </c>
      <c r="F575" s="38">
        <f>VLOOKUP(E575,'Sheet A'!E575:W1185,2,)</f>
        <v>2</v>
      </c>
      <c r="G575" s="41" t="str">
        <f>VLOOKUP(F575,'Sheet A'!F575:X1185,2,)</f>
        <v>Night</v>
      </c>
      <c r="H575" s="38" t="b">
        <f>VLOOKUP(G575,'Sheet A'!G575:Y1185,2,)</f>
        <v>0</v>
      </c>
      <c r="I575" s="38">
        <f>VLOOKUP(H575,'Sheet A'!H575:Z1185,2,)</f>
        <v>3</v>
      </c>
      <c r="J575" s="41" t="str">
        <f>VLOOKUP(I575,'Sheet A'!I575:AA1185,2,)</f>
        <v>Tuesday</v>
      </c>
      <c r="K575" s="38">
        <f>VLOOKUP(J575,'Sheet A'!J575:AB1185,2,)</f>
        <v>3</v>
      </c>
      <c r="L575" s="38">
        <f>VLOOKUP(K575,'Sheet A'!K575:AC1185,2,)</f>
        <v>0.22</v>
      </c>
      <c r="M575" s="70" t="str">
        <f>VLOOKUP(L575,'Sheet A'!L575:AD1185,2,)</f>
        <v>Cloudy</v>
      </c>
      <c r="N575" s="38">
        <f>VLOOKUP(M575,'Sheet A'!M575:AE1185,2,)</f>
        <v>0.2273</v>
      </c>
      <c r="O575" s="38">
        <f>VLOOKUP(N575,'Sheet A'!N575:AF1185,2,)</f>
        <v>0.69</v>
      </c>
      <c r="P575" s="38">
        <f>VLOOKUP(O575,'Sheet A'!O575:AG1185,2,)</f>
        <v>0.19400000000000001</v>
      </c>
      <c r="Q575" s="38">
        <f>VLOOKUP(P575,'Sheet A'!P575:AH1185,2,)</f>
        <v>3</v>
      </c>
      <c r="R575" s="38">
        <f>VLOOKUP(Q575,'Sheet A'!Q575:AI1185,2,)</f>
        <v>7</v>
      </c>
      <c r="S575" s="38">
        <f>VLOOKUP(R575,'Sheet A'!R575:AJ1185,2,)</f>
        <v>10</v>
      </c>
    </row>
    <row r="576" spans="1:19" x14ac:dyDescent="0.35">
      <c r="A576" s="37">
        <v>575</v>
      </c>
      <c r="B576" s="60">
        <f>VLOOKUP(A576,'Sheet A'!A576:S1186,2,)</f>
        <v>40569</v>
      </c>
      <c r="C576" s="38">
        <f>VLOOKUP(B576,'Sheet A'!B576:T1186,2,)</f>
        <v>1</v>
      </c>
      <c r="D576" s="38">
        <f>VLOOKUP(C576,'Sheet A'!C576:U1186,2,)</f>
        <v>0</v>
      </c>
      <c r="E576" s="38">
        <f>VLOOKUP(D576,'Sheet A'!D576:V1186,2,)</f>
        <v>1</v>
      </c>
      <c r="F576" s="38">
        <f>VLOOKUP(E576,'Sheet A'!E576:W1186,2,)</f>
        <v>5</v>
      </c>
      <c r="G576" s="41" t="str">
        <f>VLOOKUP(F576,'Sheet A'!F576:X1186,2,)</f>
        <v>Morning</v>
      </c>
      <c r="H576" s="38" t="b">
        <f>VLOOKUP(G576,'Sheet A'!G576:Y1186,2,)</f>
        <v>0</v>
      </c>
      <c r="I576" s="38">
        <f>VLOOKUP(H576,'Sheet A'!H576:Z1186,2,)</f>
        <v>3</v>
      </c>
      <c r="J576" s="41" t="str">
        <f>VLOOKUP(I576,'Sheet A'!I576:AA1186,2,)</f>
        <v>Tuesday</v>
      </c>
      <c r="K576" s="38">
        <f>VLOOKUP(J576,'Sheet A'!J576:AB1186,2,)</f>
        <v>3</v>
      </c>
      <c r="L576" s="38">
        <f>VLOOKUP(K576,'Sheet A'!K576:AC1186,2,)</f>
        <v>0.2</v>
      </c>
      <c r="M576" s="70" t="str">
        <f>VLOOKUP(L576,'Sheet A'!L576:AD1186,2,)</f>
        <v>Rainy</v>
      </c>
      <c r="N576" s="38">
        <f>VLOOKUP(M576,'Sheet A'!M576:AE1186,2,)</f>
        <v>0.18179999999999999</v>
      </c>
      <c r="O576" s="38">
        <f>VLOOKUP(N576,'Sheet A'!N576:AF1186,2,)</f>
        <v>0.86</v>
      </c>
      <c r="P576" s="38">
        <f>VLOOKUP(O576,'Sheet A'!O576:AG1186,2,)</f>
        <v>0.28360000000000002</v>
      </c>
      <c r="Q576" s="38">
        <f>VLOOKUP(P576,'Sheet A'!P576:AH1186,2,)</f>
        <v>0</v>
      </c>
      <c r="R576" s="38">
        <f>VLOOKUP(Q576,'Sheet A'!Q576:AI1186,2,)</f>
        <v>1</v>
      </c>
      <c r="S576" s="38">
        <f>VLOOKUP(R576,'Sheet A'!R576:AJ1186,2,)</f>
        <v>1</v>
      </c>
    </row>
    <row r="577" spans="1:19" x14ac:dyDescent="0.35">
      <c r="A577" s="37">
        <v>576</v>
      </c>
      <c r="B577" s="60">
        <f>VLOOKUP(A577,'Sheet A'!A577:S1187,2,)</f>
        <v>40569</v>
      </c>
      <c r="C577" s="38">
        <f>VLOOKUP(B577,'Sheet A'!B577:T1187,2,)</f>
        <v>1</v>
      </c>
      <c r="D577" s="38">
        <f>VLOOKUP(C577,'Sheet A'!C577:U1187,2,)</f>
        <v>0</v>
      </c>
      <c r="E577" s="38">
        <f>VLOOKUP(D577,'Sheet A'!D577:V1187,2,)</f>
        <v>1</v>
      </c>
      <c r="F577" s="38">
        <f>VLOOKUP(E577,'Sheet A'!E577:W1187,2,)</f>
        <v>6</v>
      </c>
      <c r="G577" s="41" t="str">
        <f>VLOOKUP(F577,'Sheet A'!F577:X1187,2,)</f>
        <v>Morning</v>
      </c>
      <c r="H577" s="38" t="b">
        <f>VLOOKUP(G577,'Sheet A'!G577:Y1187,2,)</f>
        <v>0</v>
      </c>
      <c r="I577" s="38">
        <f>VLOOKUP(H577,'Sheet A'!H577:Z1187,2,)</f>
        <v>3</v>
      </c>
      <c r="J577" s="41" t="str">
        <f>VLOOKUP(I577,'Sheet A'!I577:AA1187,2,)</f>
        <v>Tuesday</v>
      </c>
      <c r="K577" s="38">
        <f>VLOOKUP(J577,'Sheet A'!J577:AB1187,2,)</f>
        <v>3</v>
      </c>
      <c r="L577" s="38">
        <f>VLOOKUP(K577,'Sheet A'!K577:AC1187,2,)</f>
        <v>0.2</v>
      </c>
      <c r="M577" s="70" t="str">
        <f>VLOOKUP(L577,'Sheet A'!L577:AD1187,2,)</f>
        <v>Rainy</v>
      </c>
      <c r="N577" s="38">
        <f>VLOOKUP(M577,'Sheet A'!M577:AE1187,2,)</f>
        <v>0.18179999999999999</v>
      </c>
      <c r="O577" s="38">
        <f>VLOOKUP(N577,'Sheet A'!N577:AF1187,2,)</f>
        <v>0.86</v>
      </c>
      <c r="P577" s="38">
        <f>VLOOKUP(O577,'Sheet A'!O577:AG1187,2,)</f>
        <v>0.28360000000000002</v>
      </c>
      <c r="Q577" s="38">
        <f>VLOOKUP(P577,'Sheet A'!P577:AH1187,2,)</f>
        <v>0</v>
      </c>
      <c r="R577" s="38">
        <f>VLOOKUP(Q577,'Sheet A'!Q577:AI1187,2,)</f>
        <v>8</v>
      </c>
      <c r="S577" s="38">
        <f>VLOOKUP(R577,'Sheet A'!R577:AJ1187,2,)</f>
        <v>8</v>
      </c>
    </row>
    <row r="578" spans="1:19" x14ac:dyDescent="0.35">
      <c r="A578" s="37">
        <v>577</v>
      </c>
      <c r="B578" s="60">
        <f>VLOOKUP(A578,'Sheet A'!A578:S1188,2,)</f>
        <v>40569</v>
      </c>
      <c r="C578" s="38">
        <f>VLOOKUP(B578,'Sheet A'!B578:T1188,2,)</f>
        <v>1</v>
      </c>
      <c r="D578" s="38">
        <f>VLOOKUP(C578,'Sheet A'!C578:U1188,2,)</f>
        <v>0</v>
      </c>
      <c r="E578" s="38">
        <f>VLOOKUP(D578,'Sheet A'!D578:V1188,2,)</f>
        <v>1</v>
      </c>
      <c r="F578" s="38">
        <f>VLOOKUP(E578,'Sheet A'!E578:W1188,2,)</f>
        <v>7</v>
      </c>
      <c r="G578" s="41" t="str">
        <f>VLOOKUP(F578,'Sheet A'!F578:X1188,2,)</f>
        <v>Morning</v>
      </c>
      <c r="H578" s="38" t="b">
        <f>VLOOKUP(G578,'Sheet A'!G578:Y1188,2,)</f>
        <v>0</v>
      </c>
      <c r="I578" s="38">
        <f>VLOOKUP(H578,'Sheet A'!H578:Z1188,2,)</f>
        <v>3</v>
      </c>
      <c r="J578" s="41" t="str">
        <f>VLOOKUP(I578,'Sheet A'!I578:AA1188,2,)</f>
        <v>Tuesday</v>
      </c>
      <c r="K578" s="38">
        <f>VLOOKUP(J578,'Sheet A'!J578:AB1188,2,)</f>
        <v>3</v>
      </c>
      <c r="L578" s="38">
        <f>VLOOKUP(K578,'Sheet A'!K578:AC1188,2,)</f>
        <v>0.22</v>
      </c>
      <c r="M578" s="70" t="str">
        <f>VLOOKUP(L578,'Sheet A'!L578:AD1188,2,)</f>
        <v>Cloudy</v>
      </c>
      <c r="N578" s="38">
        <f>VLOOKUP(M578,'Sheet A'!M578:AE1188,2,)</f>
        <v>0.21210000000000001</v>
      </c>
      <c r="O578" s="38">
        <f>VLOOKUP(N578,'Sheet A'!N578:AF1188,2,)</f>
        <v>0.87</v>
      </c>
      <c r="P578" s="38">
        <f>VLOOKUP(O578,'Sheet A'!O578:AG1188,2,)</f>
        <v>0.29849999999999999</v>
      </c>
      <c r="Q578" s="38">
        <f>VLOOKUP(P578,'Sheet A'!P578:AH1188,2,)</f>
        <v>1</v>
      </c>
      <c r="R578" s="38">
        <f>VLOOKUP(Q578,'Sheet A'!Q578:AI1188,2,)</f>
        <v>29</v>
      </c>
      <c r="S578" s="38">
        <f>VLOOKUP(R578,'Sheet A'!R578:AJ1188,2,)</f>
        <v>30</v>
      </c>
    </row>
    <row r="579" spans="1:19" x14ac:dyDescent="0.35">
      <c r="A579" s="37">
        <v>578</v>
      </c>
      <c r="B579" s="60">
        <f>VLOOKUP(A579,'Sheet A'!A579:S1189,2,)</f>
        <v>40569</v>
      </c>
      <c r="C579" s="38">
        <f>VLOOKUP(B579,'Sheet A'!B579:T1189,2,)</f>
        <v>1</v>
      </c>
      <c r="D579" s="38">
        <f>VLOOKUP(C579,'Sheet A'!C579:U1189,2,)</f>
        <v>0</v>
      </c>
      <c r="E579" s="38">
        <f>VLOOKUP(D579,'Sheet A'!D579:V1189,2,)</f>
        <v>1</v>
      </c>
      <c r="F579" s="38">
        <f>VLOOKUP(E579,'Sheet A'!E579:W1189,2,)</f>
        <v>8</v>
      </c>
      <c r="G579" s="41" t="str">
        <f>VLOOKUP(F579,'Sheet A'!F579:X1189,2,)</f>
        <v>Morning</v>
      </c>
      <c r="H579" s="38" t="b">
        <f>VLOOKUP(G579,'Sheet A'!G579:Y1189,2,)</f>
        <v>0</v>
      </c>
      <c r="I579" s="38">
        <f>VLOOKUP(H579,'Sheet A'!H579:Z1189,2,)</f>
        <v>3</v>
      </c>
      <c r="J579" s="41" t="str">
        <f>VLOOKUP(I579,'Sheet A'!I579:AA1189,2,)</f>
        <v>Tuesday</v>
      </c>
      <c r="K579" s="38">
        <f>VLOOKUP(J579,'Sheet A'!J579:AB1189,2,)</f>
        <v>3</v>
      </c>
      <c r="L579" s="38">
        <f>VLOOKUP(K579,'Sheet A'!K579:AC1189,2,)</f>
        <v>0.22</v>
      </c>
      <c r="M579" s="70" t="str">
        <f>VLOOKUP(L579,'Sheet A'!L579:AD1189,2,)</f>
        <v>Cloudy</v>
      </c>
      <c r="N579" s="38">
        <f>VLOOKUP(M579,'Sheet A'!M579:AE1189,2,)</f>
        <v>0.21210000000000001</v>
      </c>
      <c r="O579" s="38">
        <f>VLOOKUP(N579,'Sheet A'!N579:AF1189,2,)</f>
        <v>0.87</v>
      </c>
      <c r="P579" s="38">
        <f>VLOOKUP(O579,'Sheet A'!O579:AG1189,2,)</f>
        <v>0.29849999999999999</v>
      </c>
      <c r="Q579" s="38">
        <f>VLOOKUP(P579,'Sheet A'!P579:AH1189,2,)</f>
        <v>3</v>
      </c>
      <c r="R579" s="38">
        <f>VLOOKUP(Q579,'Sheet A'!Q579:AI1189,2,)</f>
        <v>69</v>
      </c>
      <c r="S579" s="38">
        <f>VLOOKUP(R579,'Sheet A'!R579:AJ1189,2,)</f>
        <v>72</v>
      </c>
    </row>
    <row r="580" spans="1:19" x14ac:dyDescent="0.35">
      <c r="A580" s="37">
        <v>579</v>
      </c>
      <c r="B580" s="60">
        <f>VLOOKUP(A580,'Sheet A'!A580:S1190,2,)</f>
        <v>40569</v>
      </c>
      <c r="C580" s="38">
        <f>VLOOKUP(B580,'Sheet A'!B580:T1190,2,)</f>
        <v>1</v>
      </c>
      <c r="D580" s="38">
        <f>VLOOKUP(C580,'Sheet A'!C580:U1190,2,)</f>
        <v>0</v>
      </c>
      <c r="E580" s="38">
        <f>VLOOKUP(D580,'Sheet A'!D580:V1190,2,)</f>
        <v>1</v>
      </c>
      <c r="F580" s="38">
        <f>VLOOKUP(E580,'Sheet A'!E580:W1190,2,)</f>
        <v>9</v>
      </c>
      <c r="G580" s="41" t="str">
        <f>VLOOKUP(F580,'Sheet A'!F580:X1190,2,)</f>
        <v>Morning</v>
      </c>
      <c r="H580" s="38" t="b">
        <f>VLOOKUP(G580,'Sheet A'!G580:Y1190,2,)</f>
        <v>0</v>
      </c>
      <c r="I580" s="38">
        <f>VLOOKUP(H580,'Sheet A'!H580:Z1190,2,)</f>
        <v>3</v>
      </c>
      <c r="J580" s="41" t="str">
        <f>VLOOKUP(I580,'Sheet A'!I580:AA1190,2,)</f>
        <v>Tuesday</v>
      </c>
      <c r="K580" s="38">
        <f>VLOOKUP(J580,'Sheet A'!J580:AB1190,2,)</f>
        <v>3</v>
      </c>
      <c r="L580" s="38">
        <f>VLOOKUP(K580,'Sheet A'!K580:AC1190,2,)</f>
        <v>0.22</v>
      </c>
      <c r="M580" s="70" t="str">
        <f>VLOOKUP(L580,'Sheet A'!L580:AD1190,2,)</f>
        <v>Cloudy</v>
      </c>
      <c r="N580" s="38">
        <f>VLOOKUP(M580,'Sheet A'!M580:AE1190,2,)</f>
        <v>0.21210000000000001</v>
      </c>
      <c r="O580" s="38">
        <f>VLOOKUP(N580,'Sheet A'!N580:AF1190,2,)</f>
        <v>0.87</v>
      </c>
      <c r="P580" s="38">
        <f>VLOOKUP(O580,'Sheet A'!O580:AG1190,2,)</f>
        <v>0.29849999999999999</v>
      </c>
      <c r="Q580" s="38">
        <f>VLOOKUP(P580,'Sheet A'!P580:AH1190,2,)</f>
        <v>3</v>
      </c>
      <c r="R580" s="38">
        <f>VLOOKUP(Q580,'Sheet A'!Q580:AI1190,2,)</f>
        <v>55</v>
      </c>
      <c r="S580" s="38">
        <f>VLOOKUP(R580,'Sheet A'!R580:AJ1190,2,)</f>
        <v>58</v>
      </c>
    </row>
    <row r="581" spans="1:19" x14ac:dyDescent="0.35">
      <c r="A581" s="37">
        <v>580</v>
      </c>
      <c r="B581" s="60">
        <f>VLOOKUP(A581,'Sheet A'!A581:S1191,2,)</f>
        <v>40569</v>
      </c>
      <c r="C581" s="38">
        <f>VLOOKUP(B581,'Sheet A'!B581:T1191,2,)</f>
        <v>1</v>
      </c>
      <c r="D581" s="38">
        <f>VLOOKUP(C581,'Sheet A'!C581:U1191,2,)</f>
        <v>0</v>
      </c>
      <c r="E581" s="38">
        <f>VLOOKUP(D581,'Sheet A'!D581:V1191,2,)</f>
        <v>1</v>
      </c>
      <c r="F581" s="38">
        <f>VLOOKUP(E581,'Sheet A'!E581:W1191,2,)</f>
        <v>10</v>
      </c>
      <c r="G581" s="41" t="str">
        <f>VLOOKUP(F581,'Sheet A'!F581:X1191,2,)</f>
        <v>Morning</v>
      </c>
      <c r="H581" s="38" t="b">
        <f>VLOOKUP(G581,'Sheet A'!G581:Y1191,2,)</f>
        <v>0</v>
      </c>
      <c r="I581" s="38">
        <f>VLOOKUP(H581,'Sheet A'!H581:Z1191,2,)</f>
        <v>3</v>
      </c>
      <c r="J581" s="41" t="str">
        <f>VLOOKUP(I581,'Sheet A'!I581:AA1191,2,)</f>
        <v>Tuesday</v>
      </c>
      <c r="K581" s="38">
        <f>VLOOKUP(J581,'Sheet A'!J581:AB1191,2,)</f>
        <v>3</v>
      </c>
      <c r="L581" s="38">
        <f>VLOOKUP(K581,'Sheet A'!K581:AC1191,2,)</f>
        <v>0.22</v>
      </c>
      <c r="M581" s="70" t="str">
        <f>VLOOKUP(L581,'Sheet A'!L581:AD1191,2,)</f>
        <v>Cloudy</v>
      </c>
      <c r="N581" s="38">
        <f>VLOOKUP(M581,'Sheet A'!M581:AE1191,2,)</f>
        <v>0.21210000000000001</v>
      </c>
      <c r="O581" s="38">
        <f>VLOOKUP(N581,'Sheet A'!N581:AF1191,2,)</f>
        <v>0.93</v>
      </c>
      <c r="P581" s="38">
        <f>VLOOKUP(O581,'Sheet A'!O581:AG1191,2,)</f>
        <v>0.28360000000000002</v>
      </c>
      <c r="Q581" s="38">
        <f>VLOOKUP(P581,'Sheet A'!P581:AH1191,2,)</f>
        <v>2</v>
      </c>
      <c r="R581" s="38">
        <f>VLOOKUP(Q581,'Sheet A'!Q581:AI1191,2,)</f>
        <v>26</v>
      </c>
      <c r="S581" s="38">
        <f>VLOOKUP(R581,'Sheet A'!R581:AJ1191,2,)</f>
        <v>28</v>
      </c>
    </row>
    <row r="582" spans="1:19" x14ac:dyDescent="0.35">
      <c r="A582" s="37">
        <v>581</v>
      </c>
      <c r="B582" s="60">
        <f>VLOOKUP(A582,'Sheet A'!A582:S1192,2,)</f>
        <v>40569</v>
      </c>
      <c r="C582" s="38">
        <f>VLOOKUP(B582,'Sheet A'!B582:T1192,2,)</f>
        <v>1</v>
      </c>
      <c r="D582" s="38">
        <f>VLOOKUP(C582,'Sheet A'!C582:U1192,2,)</f>
        <v>0</v>
      </c>
      <c r="E582" s="38">
        <f>VLOOKUP(D582,'Sheet A'!D582:V1192,2,)</f>
        <v>1</v>
      </c>
      <c r="F582" s="38">
        <f>VLOOKUP(E582,'Sheet A'!E582:W1192,2,)</f>
        <v>11</v>
      </c>
      <c r="G582" s="41" t="str">
        <f>VLOOKUP(F582,'Sheet A'!F582:X1192,2,)</f>
        <v>Morning</v>
      </c>
      <c r="H582" s="38" t="b">
        <f>VLOOKUP(G582,'Sheet A'!G582:Y1192,2,)</f>
        <v>0</v>
      </c>
      <c r="I582" s="38">
        <f>VLOOKUP(H582,'Sheet A'!H582:Z1192,2,)</f>
        <v>3</v>
      </c>
      <c r="J582" s="41" t="str">
        <f>VLOOKUP(I582,'Sheet A'!I582:AA1192,2,)</f>
        <v>Tuesday</v>
      </c>
      <c r="K582" s="38">
        <f>VLOOKUP(J582,'Sheet A'!J582:AB1192,2,)</f>
        <v>3</v>
      </c>
      <c r="L582" s="38">
        <f>VLOOKUP(K582,'Sheet A'!K582:AC1192,2,)</f>
        <v>0.22</v>
      </c>
      <c r="M582" s="70" t="str">
        <f>VLOOKUP(L582,'Sheet A'!L582:AD1192,2,)</f>
        <v>Cloudy</v>
      </c>
      <c r="N582" s="38">
        <f>VLOOKUP(M582,'Sheet A'!M582:AE1192,2,)</f>
        <v>0.19700000000000001</v>
      </c>
      <c r="O582" s="38">
        <f>VLOOKUP(N582,'Sheet A'!N582:AF1192,2,)</f>
        <v>0.93</v>
      </c>
      <c r="P582" s="38">
        <f>VLOOKUP(O582,'Sheet A'!O582:AG1192,2,)</f>
        <v>0.32840000000000003</v>
      </c>
      <c r="Q582" s="38">
        <f>VLOOKUP(P582,'Sheet A'!P582:AH1192,2,)</f>
        <v>6</v>
      </c>
      <c r="R582" s="38">
        <f>VLOOKUP(Q582,'Sheet A'!Q582:AI1192,2,)</f>
        <v>35</v>
      </c>
      <c r="S582" s="38">
        <f>VLOOKUP(R582,'Sheet A'!R582:AJ1192,2,)</f>
        <v>41</v>
      </c>
    </row>
    <row r="583" spans="1:19" x14ac:dyDescent="0.35">
      <c r="A583" s="37">
        <v>582</v>
      </c>
      <c r="B583" s="60">
        <f>VLOOKUP(A583,'Sheet A'!A583:S1193,2,)</f>
        <v>40569</v>
      </c>
      <c r="C583" s="38">
        <f>VLOOKUP(B583,'Sheet A'!B583:T1193,2,)</f>
        <v>1</v>
      </c>
      <c r="D583" s="38">
        <f>VLOOKUP(C583,'Sheet A'!C583:U1193,2,)</f>
        <v>0</v>
      </c>
      <c r="E583" s="38">
        <f>VLOOKUP(D583,'Sheet A'!D583:V1193,2,)</f>
        <v>1</v>
      </c>
      <c r="F583" s="38">
        <f>VLOOKUP(E583,'Sheet A'!E583:W1193,2,)</f>
        <v>12</v>
      </c>
      <c r="G583" s="41" t="str">
        <f>VLOOKUP(F583,'Sheet A'!F583:X1193,2,)</f>
        <v>AfterNoon</v>
      </c>
      <c r="H583" s="38" t="b">
        <f>VLOOKUP(G583,'Sheet A'!G583:Y1193,2,)</f>
        <v>0</v>
      </c>
      <c r="I583" s="38">
        <f>VLOOKUP(H583,'Sheet A'!H583:Z1193,2,)</f>
        <v>3</v>
      </c>
      <c r="J583" s="41" t="str">
        <f>VLOOKUP(I583,'Sheet A'!I583:AA1193,2,)</f>
        <v>Tuesday</v>
      </c>
      <c r="K583" s="38">
        <f>VLOOKUP(J583,'Sheet A'!J583:AB1193,2,)</f>
        <v>3</v>
      </c>
      <c r="L583" s="38">
        <f>VLOOKUP(K583,'Sheet A'!K583:AC1193,2,)</f>
        <v>0.22</v>
      </c>
      <c r="M583" s="70" t="str">
        <f>VLOOKUP(L583,'Sheet A'!L583:AD1193,2,)</f>
        <v>Cloudy</v>
      </c>
      <c r="N583" s="38">
        <f>VLOOKUP(M583,'Sheet A'!M583:AE1193,2,)</f>
        <v>0.19700000000000001</v>
      </c>
      <c r="O583" s="38">
        <f>VLOOKUP(N583,'Sheet A'!N583:AF1193,2,)</f>
        <v>0.93</v>
      </c>
      <c r="P583" s="38">
        <f>VLOOKUP(O583,'Sheet A'!O583:AG1193,2,)</f>
        <v>0.32840000000000003</v>
      </c>
      <c r="Q583" s="38">
        <f>VLOOKUP(P583,'Sheet A'!P583:AH1193,2,)</f>
        <v>7</v>
      </c>
      <c r="R583" s="38">
        <f>VLOOKUP(Q583,'Sheet A'!Q583:AI1193,2,)</f>
        <v>41</v>
      </c>
      <c r="S583" s="38">
        <f>VLOOKUP(R583,'Sheet A'!R583:AJ1193,2,)</f>
        <v>48</v>
      </c>
    </row>
    <row r="584" spans="1:19" x14ac:dyDescent="0.35">
      <c r="A584" s="37">
        <v>583</v>
      </c>
      <c r="B584" s="60">
        <f>VLOOKUP(A584,'Sheet A'!A584:S1194,2,)</f>
        <v>40569</v>
      </c>
      <c r="C584" s="38">
        <f>VLOOKUP(B584,'Sheet A'!B584:T1194,2,)</f>
        <v>1</v>
      </c>
      <c r="D584" s="38">
        <f>VLOOKUP(C584,'Sheet A'!C584:U1194,2,)</f>
        <v>0</v>
      </c>
      <c r="E584" s="38">
        <f>VLOOKUP(D584,'Sheet A'!D584:V1194,2,)</f>
        <v>1</v>
      </c>
      <c r="F584" s="38">
        <f>VLOOKUP(E584,'Sheet A'!E584:W1194,2,)</f>
        <v>13</v>
      </c>
      <c r="G584" s="41" t="str">
        <f>VLOOKUP(F584,'Sheet A'!F584:X1194,2,)</f>
        <v>AfterNoon</v>
      </c>
      <c r="H584" s="38" t="b">
        <f>VLOOKUP(G584,'Sheet A'!G584:Y1194,2,)</f>
        <v>0</v>
      </c>
      <c r="I584" s="38">
        <f>VLOOKUP(H584,'Sheet A'!H584:Z1194,2,)</f>
        <v>3</v>
      </c>
      <c r="J584" s="41" t="str">
        <f>VLOOKUP(I584,'Sheet A'!I584:AA1194,2,)</f>
        <v>Tuesday</v>
      </c>
      <c r="K584" s="38">
        <f>VLOOKUP(J584,'Sheet A'!J584:AB1194,2,)</f>
        <v>3</v>
      </c>
      <c r="L584" s="38">
        <f>VLOOKUP(K584,'Sheet A'!K584:AC1194,2,)</f>
        <v>0.22</v>
      </c>
      <c r="M584" s="70" t="str">
        <f>VLOOKUP(L584,'Sheet A'!L584:AD1194,2,)</f>
        <v>Cloudy</v>
      </c>
      <c r="N584" s="38">
        <f>VLOOKUP(M584,'Sheet A'!M584:AE1194,2,)</f>
        <v>0.19700000000000001</v>
      </c>
      <c r="O584" s="38">
        <f>VLOOKUP(N584,'Sheet A'!N584:AF1194,2,)</f>
        <v>0.93</v>
      </c>
      <c r="P584" s="38">
        <f>VLOOKUP(O584,'Sheet A'!O584:AG1194,2,)</f>
        <v>0.32840000000000003</v>
      </c>
      <c r="Q584" s="38">
        <f>VLOOKUP(P584,'Sheet A'!P584:AH1194,2,)</f>
        <v>4</v>
      </c>
      <c r="R584" s="38">
        <f>VLOOKUP(Q584,'Sheet A'!Q584:AI1194,2,)</f>
        <v>43</v>
      </c>
      <c r="S584" s="38">
        <f>VLOOKUP(R584,'Sheet A'!R584:AJ1194,2,)</f>
        <v>47</v>
      </c>
    </row>
    <row r="585" spans="1:19" x14ac:dyDescent="0.35">
      <c r="A585" s="37">
        <v>584</v>
      </c>
      <c r="B585" s="60">
        <f>VLOOKUP(A585,'Sheet A'!A585:S1195,2,)</f>
        <v>40569</v>
      </c>
      <c r="C585" s="38">
        <f>VLOOKUP(B585,'Sheet A'!B585:T1195,2,)</f>
        <v>1</v>
      </c>
      <c r="D585" s="38">
        <f>VLOOKUP(C585,'Sheet A'!C585:U1195,2,)</f>
        <v>0</v>
      </c>
      <c r="E585" s="38">
        <f>VLOOKUP(D585,'Sheet A'!D585:V1195,2,)</f>
        <v>1</v>
      </c>
      <c r="F585" s="38">
        <f>VLOOKUP(E585,'Sheet A'!E585:W1195,2,)</f>
        <v>14</v>
      </c>
      <c r="G585" s="41" t="str">
        <f>VLOOKUP(F585,'Sheet A'!F585:X1195,2,)</f>
        <v>AfterNoon</v>
      </c>
      <c r="H585" s="38" t="b">
        <f>VLOOKUP(G585,'Sheet A'!G585:Y1195,2,)</f>
        <v>0</v>
      </c>
      <c r="I585" s="38">
        <f>VLOOKUP(H585,'Sheet A'!H585:Z1195,2,)</f>
        <v>3</v>
      </c>
      <c r="J585" s="41" t="str">
        <f>VLOOKUP(I585,'Sheet A'!I585:AA1195,2,)</f>
        <v>Tuesday</v>
      </c>
      <c r="K585" s="38">
        <f>VLOOKUP(J585,'Sheet A'!J585:AB1195,2,)</f>
        <v>3</v>
      </c>
      <c r="L585" s="38">
        <f>VLOOKUP(K585,'Sheet A'!K585:AC1195,2,)</f>
        <v>0.22</v>
      </c>
      <c r="M585" s="70" t="str">
        <f>VLOOKUP(L585,'Sheet A'!L585:AD1195,2,)</f>
        <v>Cloudy</v>
      </c>
      <c r="N585" s="38">
        <f>VLOOKUP(M585,'Sheet A'!M585:AE1195,2,)</f>
        <v>0.19700000000000001</v>
      </c>
      <c r="O585" s="38">
        <f>VLOOKUP(N585,'Sheet A'!N585:AF1195,2,)</f>
        <v>0.93</v>
      </c>
      <c r="P585" s="38">
        <f>VLOOKUP(O585,'Sheet A'!O585:AG1195,2,)</f>
        <v>0.35820000000000002</v>
      </c>
      <c r="Q585" s="38">
        <f>VLOOKUP(P585,'Sheet A'!P585:AH1195,2,)</f>
        <v>0</v>
      </c>
      <c r="R585" s="38">
        <f>VLOOKUP(Q585,'Sheet A'!Q585:AI1195,2,)</f>
        <v>36</v>
      </c>
      <c r="S585" s="38">
        <f>VLOOKUP(R585,'Sheet A'!R585:AJ1195,2,)</f>
        <v>36</v>
      </c>
    </row>
    <row r="586" spans="1:19" x14ac:dyDescent="0.35">
      <c r="A586" s="37">
        <v>585</v>
      </c>
      <c r="B586" s="60">
        <f>VLOOKUP(A586,'Sheet A'!A586:S1196,2,)</f>
        <v>40569</v>
      </c>
      <c r="C586" s="38">
        <f>VLOOKUP(B586,'Sheet A'!B586:T1196,2,)</f>
        <v>1</v>
      </c>
      <c r="D586" s="38">
        <f>VLOOKUP(C586,'Sheet A'!C586:U1196,2,)</f>
        <v>0</v>
      </c>
      <c r="E586" s="38">
        <f>VLOOKUP(D586,'Sheet A'!D586:V1196,2,)</f>
        <v>1</v>
      </c>
      <c r="F586" s="38">
        <f>VLOOKUP(E586,'Sheet A'!E586:W1196,2,)</f>
        <v>15</v>
      </c>
      <c r="G586" s="41" t="str">
        <f>VLOOKUP(F586,'Sheet A'!F586:X1196,2,)</f>
        <v>AfterNoon</v>
      </c>
      <c r="H586" s="38" t="b">
        <f>VLOOKUP(G586,'Sheet A'!G586:Y1196,2,)</f>
        <v>0</v>
      </c>
      <c r="I586" s="38">
        <f>VLOOKUP(H586,'Sheet A'!H586:Z1196,2,)</f>
        <v>3</v>
      </c>
      <c r="J586" s="41" t="str">
        <f>VLOOKUP(I586,'Sheet A'!I586:AA1196,2,)</f>
        <v>Tuesday</v>
      </c>
      <c r="K586" s="38">
        <f>VLOOKUP(J586,'Sheet A'!J586:AB1196,2,)</f>
        <v>3</v>
      </c>
      <c r="L586" s="38">
        <f>VLOOKUP(K586,'Sheet A'!K586:AC1196,2,)</f>
        <v>0.22</v>
      </c>
      <c r="M586" s="70" t="str">
        <f>VLOOKUP(L586,'Sheet A'!L586:AD1196,2,)</f>
        <v>Cloudy</v>
      </c>
      <c r="N586" s="38">
        <f>VLOOKUP(M586,'Sheet A'!M586:AE1196,2,)</f>
        <v>0.18179999999999999</v>
      </c>
      <c r="O586" s="38">
        <f>VLOOKUP(N586,'Sheet A'!N586:AF1196,2,)</f>
        <v>0.93</v>
      </c>
      <c r="P586" s="38">
        <f>VLOOKUP(O586,'Sheet A'!O586:AG1196,2,)</f>
        <v>0.4627</v>
      </c>
      <c r="Q586" s="38">
        <f>VLOOKUP(P586,'Sheet A'!P586:AH1196,2,)</f>
        <v>1</v>
      </c>
      <c r="R586" s="38">
        <f>VLOOKUP(Q586,'Sheet A'!Q586:AI1196,2,)</f>
        <v>42</v>
      </c>
      <c r="S586" s="38">
        <f>VLOOKUP(R586,'Sheet A'!R586:AJ1196,2,)</f>
        <v>43</v>
      </c>
    </row>
    <row r="587" spans="1:19" x14ac:dyDescent="0.35">
      <c r="A587" s="37">
        <v>586</v>
      </c>
      <c r="B587" s="60">
        <f>VLOOKUP(A587,'Sheet A'!A587:S1197,2,)</f>
        <v>40569</v>
      </c>
      <c r="C587" s="38">
        <f>VLOOKUP(B587,'Sheet A'!B587:T1197,2,)</f>
        <v>1</v>
      </c>
      <c r="D587" s="38">
        <f>VLOOKUP(C587,'Sheet A'!C587:U1197,2,)</f>
        <v>0</v>
      </c>
      <c r="E587" s="38">
        <f>VLOOKUP(D587,'Sheet A'!D587:V1197,2,)</f>
        <v>1</v>
      </c>
      <c r="F587" s="38">
        <f>VLOOKUP(E587,'Sheet A'!E587:W1197,2,)</f>
        <v>16</v>
      </c>
      <c r="G587" s="41" t="str">
        <f>VLOOKUP(F587,'Sheet A'!F587:X1197,2,)</f>
        <v>AfterNoon</v>
      </c>
      <c r="H587" s="38" t="b">
        <f>VLOOKUP(G587,'Sheet A'!G587:Y1197,2,)</f>
        <v>0</v>
      </c>
      <c r="I587" s="38">
        <f>VLOOKUP(H587,'Sheet A'!H587:Z1197,2,)</f>
        <v>3</v>
      </c>
      <c r="J587" s="41" t="str">
        <f>VLOOKUP(I587,'Sheet A'!I587:AA1197,2,)</f>
        <v>Tuesday</v>
      </c>
      <c r="K587" s="38">
        <f>VLOOKUP(J587,'Sheet A'!J587:AB1197,2,)</f>
        <v>4</v>
      </c>
      <c r="L587" s="38">
        <f>VLOOKUP(K587,'Sheet A'!K587:AC1197,2,)</f>
        <v>0.22</v>
      </c>
      <c r="M587" s="70" t="str">
        <f>VLOOKUP(L587,'Sheet A'!L587:AD1197,2,)</f>
        <v>Cloudy</v>
      </c>
      <c r="N587" s="38">
        <f>VLOOKUP(M587,'Sheet A'!M587:AE1197,2,)</f>
        <v>0.19700000000000001</v>
      </c>
      <c r="O587" s="38">
        <f>VLOOKUP(N587,'Sheet A'!N587:AF1197,2,)</f>
        <v>0.93</v>
      </c>
      <c r="P587" s="38">
        <f>VLOOKUP(O587,'Sheet A'!O587:AG1197,2,)</f>
        <v>0.32840000000000003</v>
      </c>
      <c r="Q587" s="38">
        <f>VLOOKUP(P587,'Sheet A'!P587:AH1197,2,)</f>
        <v>1</v>
      </c>
      <c r="R587" s="38">
        <f>VLOOKUP(Q587,'Sheet A'!Q587:AI1197,2,)</f>
        <v>35</v>
      </c>
      <c r="S587" s="38">
        <f>VLOOKUP(R587,'Sheet A'!R587:AJ1197,2,)</f>
        <v>36</v>
      </c>
    </row>
    <row r="588" spans="1:19" x14ac:dyDescent="0.35">
      <c r="A588" s="37">
        <v>587</v>
      </c>
      <c r="B588" s="60">
        <f>VLOOKUP(A588,'Sheet A'!A588:S1198,2,)</f>
        <v>40569</v>
      </c>
      <c r="C588" s="38">
        <f>VLOOKUP(B588,'Sheet A'!B588:T1198,2,)</f>
        <v>1</v>
      </c>
      <c r="D588" s="38">
        <f>VLOOKUP(C588,'Sheet A'!C588:U1198,2,)</f>
        <v>0</v>
      </c>
      <c r="E588" s="38">
        <f>VLOOKUP(D588,'Sheet A'!D588:V1198,2,)</f>
        <v>1</v>
      </c>
      <c r="F588" s="38">
        <f>VLOOKUP(E588,'Sheet A'!E588:W1198,2,)</f>
        <v>17</v>
      </c>
      <c r="G588" s="41" t="str">
        <f>VLOOKUP(F588,'Sheet A'!F588:X1198,2,)</f>
        <v>Evening</v>
      </c>
      <c r="H588" s="38" t="b">
        <f>VLOOKUP(G588,'Sheet A'!G588:Y1198,2,)</f>
        <v>0</v>
      </c>
      <c r="I588" s="38">
        <f>VLOOKUP(H588,'Sheet A'!H588:Z1198,2,)</f>
        <v>3</v>
      </c>
      <c r="J588" s="41" t="str">
        <f>VLOOKUP(I588,'Sheet A'!I588:AA1198,2,)</f>
        <v>Tuesday</v>
      </c>
      <c r="K588" s="38">
        <f>VLOOKUP(J588,'Sheet A'!J588:AB1198,2,)</f>
        <v>3</v>
      </c>
      <c r="L588" s="38">
        <f>VLOOKUP(K588,'Sheet A'!K588:AC1198,2,)</f>
        <v>0.2</v>
      </c>
      <c r="M588" s="70" t="str">
        <f>VLOOKUP(L588,'Sheet A'!L588:AD1198,2,)</f>
        <v>Rainy</v>
      </c>
      <c r="N588" s="38">
        <f>VLOOKUP(M588,'Sheet A'!M588:AE1198,2,)</f>
        <v>0.18179999999999999</v>
      </c>
      <c r="O588" s="38">
        <f>VLOOKUP(N588,'Sheet A'!N588:AF1198,2,)</f>
        <v>0.93</v>
      </c>
      <c r="P588" s="38">
        <f>VLOOKUP(O588,'Sheet A'!O588:AG1198,2,)</f>
        <v>0.35820000000000002</v>
      </c>
      <c r="Q588" s="38">
        <f>VLOOKUP(P588,'Sheet A'!P588:AH1198,2,)</f>
        <v>0</v>
      </c>
      <c r="R588" s="38">
        <f>VLOOKUP(Q588,'Sheet A'!Q588:AI1198,2,)</f>
        <v>26</v>
      </c>
      <c r="S588" s="38">
        <f>VLOOKUP(R588,'Sheet A'!R588:AJ1198,2,)</f>
        <v>26</v>
      </c>
    </row>
    <row r="589" spans="1:19" x14ac:dyDescent="0.35">
      <c r="A589" s="37">
        <v>588</v>
      </c>
      <c r="B589" s="60">
        <f>VLOOKUP(A589,'Sheet A'!A589:S1199,2,)</f>
        <v>40570</v>
      </c>
      <c r="C589" s="38">
        <f>VLOOKUP(B589,'Sheet A'!B589:T1199,2,)</f>
        <v>1</v>
      </c>
      <c r="D589" s="38">
        <f>VLOOKUP(C589,'Sheet A'!C589:U1199,2,)</f>
        <v>0</v>
      </c>
      <c r="E589" s="38">
        <f>VLOOKUP(D589,'Sheet A'!D589:V1199,2,)</f>
        <v>1</v>
      </c>
      <c r="F589" s="38">
        <f>VLOOKUP(E589,'Sheet A'!E589:W1199,2,)</f>
        <v>16</v>
      </c>
      <c r="G589" s="41" t="str">
        <f>VLOOKUP(F589,'Sheet A'!F589:X1199,2,)</f>
        <v>AfterNoon</v>
      </c>
      <c r="H589" s="38" t="b">
        <f>VLOOKUP(G589,'Sheet A'!G589:Y1199,2,)</f>
        <v>0</v>
      </c>
      <c r="I589" s="38">
        <f>VLOOKUP(H589,'Sheet A'!H589:Z1199,2,)</f>
        <v>4</v>
      </c>
      <c r="J589" s="41" t="str">
        <f>VLOOKUP(I589,'Sheet A'!I589:AA1199,2,)</f>
        <v>Wednesday</v>
      </c>
      <c r="K589" s="38">
        <f>VLOOKUP(J589,'Sheet A'!J589:AB1199,2,)</f>
        <v>1</v>
      </c>
      <c r="L589" s="38">
        <f>VLOOKUP(K589,'Sheet A'!K589:AC1199,2,)</f>
        <v>0.22</v>
      </c>
      <c r="M589" s="70" t="str">
        <f>VLOOKUP(L589,'Sheet A'!L589:AD1199,2,)</f>
        <v>Cloudy</v>
      </c>
      <c r="N589" s="38">
        <f>VLOOKUP(M589,'Sheet A'!M589:AE1199,2,)</f>
        <v>0.2273</v>
      </c>
      <c r="O589" s="38">
        <f>VLOOKUP(N589,'Sheet A'!N589:AF1199,2,)</f>
        <v>0.55000000000000004</v>
      </c>
      <c r="P589" s="38">
        <f>VLOOKUP(O589,'Sheet A'!O589:AG1199,2,)</f>
        <v>0.19400000000000001</v>
      </c>
      <c r="Q589" s="38">
        <f>VLOOKUP(P589,'Sheet A'!P589:AH1199,2,)</f>
        <v>1</v>
      </c>
      <c r="R589" s="38">
        <f>VLOOKUP(Q589,'Sheet A'!Q589:AI1199,2,)</f>
        <v>23</v>
      </c>
      <c r="S589" s="38">
        <f>VLOOKUP(R589,'Sheet A'!R589:AJ1199,2,)</f>
        <v>24</v>
      </c>
    </row>
    <row r="590" spans="1:19" x14ac:dyDescent="0.35">
      <c r="A590" s="37">
        <v>589</v>
      </c>
      <c r="B590" s="60">
        <f>VLOOKUP(A590,'Sheet A'!A590:S1200,2,)</f>
        <v>40570</v>
      </c>
      <c r="C590" s="38">
        <f>VLOOKUP(B590,'Sheet A'!B590:T1200,2,)</f>
        <v>1</v>
      </c>
      <c r="D590" s="38">
        <f>VLOOKUP(C590,'Sheet A'!C590:U1200,2,)</f>
        <v>0</v>
      </c>
      <c r="E590" s="38">
        <f>VLOOKUP(D590,'Sheet A'!D590:V1200,2,)</f>
        <v>1</v>
      </c>
      <c r="F590" s="38">
        <f>VLOOKUP(E590,'Sheet A'!E590:W1200,2,)</f>
        <v>17</v>
      </c>
      <c r="G590" s="41" t="str">
        <f>VLOOKUP(F590,'Sheet A'!F590:X1200,2,)</f>
        <v>Evening</v>
      </c>
      <c r="H590" s="38" t="b">
        <f>VLOOKUP(G590,'Sheet A'!G590:Y1200,2,)</f>
        <v>0</v>
      </c>
      <c r="I590" s="38">
        <f>VLOOKUP(H590,'Sheet A'!H590:Z1200,2,)</f>
        <v>4</v>
      </c>
      <c r="J590" s="41" t="str">
        <f>VLOOKUP(I590,'Sheet A'!I590:AA1200,2,)</f>
        <v>Wednesday</v>
      </c>
      <c r="K590" s="38">
        <f>VLOOKUP(J590,'Sheet A'!J590:AB1200,2,)</f>
        <v>1</v>
      </c>
      <c r="L590" s="38">
        <f>VLOOKUP(K590,'Sheet A'!K590:AC1200,2,)</f>
        <v>0.22</v>
      </c>
      <c r="M590" s="70" t="str">
        <f>VLOOKUP(L590,'Sheet A'!L590:AD1200,2,)</f>
        <v>Cloudy</v>
      </c>
      <c r="N590" s="38">
        <f>VLOOKUP(M590,'Sheet A'!M590:AE1200,2,)</f>
        <v>0.2424</v>
      </c>
      <c r="O590" s="38">
        <f>VLOOKUP(N590,'Sheet A'!N590:AF1200,2,)</f>
        <v>0.55000000000000004</v>
      </c>
      <c r="P590" s="38">
        <f>VLOOKUP(O590,'Sheet A'!O590:AG1200,2,)</f>
        <v>0.1045</v>
      </c>
      <c r="Q590" s="38">
        <f>VLOOKUP(P590,'Sheet A'!P590:AH1200,2,)</f>
        <v>2</v>
      </c>
      <c r="R590" s="38">
        <f>VLOOKUP(Q590,'Sheet A'!Q590:AI1200,2,)</f>
        <v>82</v>
      </c>
      <c r="S590" s="38">
        <f>VLOOKUP(R590,'Sheet A'!R590:AJ1200,2,)</f>
        <v>84</v>
      </c>
    </row>
    <row r="591" spans="1:19" x14ac:dyDescent="0.35">
      <c r="A591" s="37">
        <v>590</v>
      </c>
      <c r="B591" s="60">
        <f>VLOOKUP(A591,'Sheet A'!A591:S1201,2,)</f>
        <v>40570</v>
      </c>
      <c r="C591" s="38">
        <f>VLOOKUP(B591,'Sheet A'!B591:T1201,2,)</f>
        <v>1</v>
      </c>
      <c r="D591" s="38">
        <f>VLOOKUP(C591,'Sheet A'!C591:U1201,2,)</f>
        <v>0</v>
      </c>
      <c r="E591" s="38">
        <f>VLOOKUP(D591,'Sheet A'!D591:V1201,2,)</f>
        <v>1</v>
      </c>
      <c r="F591" s="38">
        <f>VLOOKUP(E591,'Sheet A'!E591:W1201,2,)</f>
        <v>18</v>
      </c>
      <c r="G591" s="41" t="str">
        <f>VLOOKUP(F591,'Sheet A'!F591:X1201,2,)</f>
        <v>Evening</v>
      </c>
      <c r="H591" s="38" t="b">
        <f>VLOOKUP(G591,'Sheet A'!G591:Y1201,2,)</f>
        <v>0</v>
      </c>
      <c r="I591" s="38">
        <f>VLOOKUP(H591,'Sheet A'!H591:Z1201,2,)</f>
        <v>4</v>
      </c>
      <c r="J591" s="41" t="str">
        <f>VLOOKUP(I591,'Sheet A'!I591:AA1201,2,)</f>
        <v>Wednesday</v>
      </c>
      <c r="K591" s="38">
        <f>VLOOKUP(J591,'Sheet A'!J591:AB1201,2,)</f>
        <v>1</v>
      </c>
      <c r="L591" s="38">
        <f>VLOOKUP(K591,'Sheet A'!K591:AC1201,2,)</f>
        <v>0.2</v>
      </c>
      <c r="M591" s="70" t="str">
        <f>VLOOKUP(L591,'Sheet A'!L591:AD1201,2,)</f>
        <v>Rainy</v>
      </c>
      <c r="N591" s="38">
        <f>VLOOKUP(M591,'Sheet A'!M591:AE1201,2,)</f>
        <v>0.2273</v>
      </c>
      <c r="O591" s="38">
        <f>VLOOKUP(N591,'Sheet A'!N591:AF1201,2,)</f>
        <v>0.69</v>
      </c>
      <c r="P591" s="38">
        <f>VLOOKUP(O591,'Sheet A'!O591:AG1201,2,)</f>
        <v>8.9599999999999999E-2</v>
      </c>
      <c r="Q591" s="38">
        <f>VLOOKUP(P591,'Sheet A'!P591:AH1201,2,)</f>
        <v>3</v>
      </c>
      <c r="R591" s="38">
        <f>VLOOKUP(Q591,'Sheet A'!Q591:AI1201,2,)</f>
        <v>101</v>
      </c>
      <c r="S591" s="38">
        <f>VLOOKUP(R591,'Sheet A'!R591:AJ1201,2,)</f>
        <v>104</v>
      </c>
    </row>
    <row r="592" spans="1:19" x14ac:dyDescent="0.35">
      <c r="A592" s="37">
        <v>591</v>
      </c>
      <c r="B592" s="60">
        <f>VLOOKUP(A592,'Sheet A'!A592:S1202,2,)</f>
        <v>40570</v>
      </c>
      <c r="C592" s="38">
        <f>VLOOKUP(B592,'Sheet A'!B592:T1202,2,)</f>
        <v>1</v>
      </c>
      <c r="D592" s="38">
        <f>VLOOKUP(C592,'Sheet A'!C592:U1202,2,)</f>
        <v>0</v>
      </c>
      <c r="E592" s="38">
        <f>VLOOKUP(D592,'Sheet A'!D592:V1202,2,)</f>
        <v>1</v>
      </c>
      <c r="F592" s="38">
        <f>VLOOKUP(E592,'Sheet A'!E592:W1202,2,)</f>
        <v>19</v>
      </c>
      <c r="G592" s="41" t="str">
        <f>VLOOKUP(F592,'Sheet A'!F592:X1202,2,)</f>
        <v>Evening</v>
      </c>
      <c r="H592" s="38" t="b">
        <f>VLOOKUP(G592,'Sheet A'!G592:Y1202,2,)</f>
        <v>0</v>
      </c>
      <c r="I592" s="38">
        <f>VLOOKUP(H592,'Sheet A'!H592:Z1202,2,)</f>
        <v>4</v>
      </c>
      <c r="J592" s="41" t="str">
        <f>VLOOKUP(I592,'Sheet A'!I592:AA1202,2,)</f>
        <v>Wednesday</v>
      </c>
      <c r="K592" s="38">
        <f>VLOOKUP(J592,'Sheet A'!J592:AB1202,2,)</f>
        <v>1</v>
      </c>
      <c r="L592" s="38">
        <f>VLOOKUP(K592,'Sheet A'!K592:AC1202,2,)</f>
        <v>0.2</v>
      </c>
      <c r="M592" s="70" t="str">
        <f>VLOOKUP(L592,'Sheet A'!L592:AD1202,2,)</f>
        <v>Rainy</v>
      </c>
      <c r="N592" s="38">
        <f>VLOOKUP(M592,'Sheet A'!M592:AE1202,2,)</f>
        <v>0.2273</v>
      </c>
      <c r="O592" s="38">
        <f>VLOOKUP(N592,'Sheet A'!N592:AF1202,2,)</f>
        <v>0.69</v>
      </c>
      <c r="P592" s="38">
        <f>VLOOKUP(O592,'Sheet A'!O592:AG1202,2,)</f>
        <v>8.9599999999999999E-2</v>
      </c>
      <c r="Q592" s="38">
        <f>VLOOKUP(P592,'Sheet A'!P592:AH1202,2,)</f>
        <v>3</v>
      </c>
      <c r="R592" s="38">
        <f>VLOOKUP(Q592,'Sheet A'!Q592:AI1202,2,)</f>
        <v>76</v>
      </c>
      <c r="S592" s="38">
        <f>VLOOKUP(R592,'Sheet A'!R592:AJ1202,2,)</f>
        <v>79</v>
      </c>
    </row>
    <row r="593" spans="1:19" x14ac:dyDescent="0.35">
      <c r="A593" s="37">
        <v>592</v>
      </c>
      <c r="B593" s="60">
        <f>VLOOKUP(A593,'Sheet A'!A593:S1203,2,)</f>
        <v>40570</v>
      </c>
      <c r="C593" s="38">
        <f>VLOOKUP(B593,'Sheet A'!B593:T1203,2,)</f>
        <v>1</v>
      </c>
      <c r="D593" s="38">
        <f>VLOOKUP(C593,'Sheet A'!C593:U1203,2,)</f>
        <v>0</v>
      </c>
      <c r="E593" s="38">
        <f>VLOOKUP(D593,'Sheet A'!D593:V1203,2,)</f>
        <v>1</v>
      </c>
      <c r="F593" s="38">
        <f>VLOOKUP(E593,'Sheet A'!E593:W1203,2,)</f>
        <v>20</v>
      </c>
      <c r="G593" s="41" t="str">
        <f>VLOOKUP(F593,'Sheet A'!F593:X1203,2,)</f>
        <v>Night</v>
      </c>
      <c r="H593" s="38" t="b">
        <f>VLOOKUP(G593,'Sheet A'!G593:Y1203,2,)</f>
        <v>0</v>
      </c>
      <c r="I593" s="38">
        <f>VLOOKUP(H593,'Sheet A'!H593:Z1203,2,)</f>
        <v>4</v>
      </c>
      <c r="J593" s="41" t="str">
        <f>VLOOKUP(I593,'Sheet A'!I593:AA1203,2,)</f>
        <v>Wednesday</v>
      </c>
      <c r="K593" s="38">
        <f>VLOOKUP(J593,'Sheet A'!J593:AB1203,2,)</f>
        <v>1</v>
      </c>
      <c r="L593" s="38">
        <f>VLOOKUP(K593,'Sheet A'!K593:AC1203,2,)</f>
        <v>0.18</v>
      </c>
      <c r="M593" s="70" t="str">
        <f>VLOOKUP(L593,'Sheet A'!L593:AD1203,2,)</f>
        <v>Rainy</v>
      </c>
      <c r="N593" s="38">
        <f>VLOOKUP(M593,'Sheet A'!M593:AE1203,2,)</f>
        <v>0.21210000000000001</v>
      </c>
      <c r="O593" s="38">
        <f>VLOOKUP(N593,'Sheet A'!N593:AF1203,2,)</f>
        <v>0.74</v>
      </c>
      <c r="P593" s="38">
        <f>VLOOKUP(O593,'Sheet A'!O593:AG1203,2,)</f>
        <v>8.9599999999999999E-2</v>
      </c>
      <c r="Q593" s="38">
        <f>VLOOKUP(P593,'Sheet A'!P593:AH1203,2,)</f>
        <v>4</v>
      </c>
      <c r="R593" s="38">
        <f>VLOOKUP(Q593,'Sheet A'!Q593:AI1203,2,)</f>
        <v>55</v>
      </c>
      <c r="S593" s="38">
        <f>VLOOKUP(R593,'Sheet A'!R593:AJ1203,2,)</f>
        <v>59</v>
      </c>
    </row>
    <row r="594" spans="1:19" x14ac:dyDescent="0.35">
      <c r="A594" s="37">
        <v>593</v>
      </c>
      <c r="B594" s="60">
        <f>VLOOKUP(A594,'Sheet A'!A594:S1204,2,)</f>
        <v>40570</v>
      </c>
      <c r="C594" s="38">
        <f>VLOOKUP(B594,'Sheet A'!B594:T1204,2,)</f>
        <v>1</v>
      </c>
      <c r="D594" s="38">
        <f>VLOOKUP(C594,'Sheet A'!C594:U1204,2,)</f>
        <v>0</v>
      </c>
      <c r="E594" s="38">
        <f>VLOOKUP(D594,'Sheet A'!D594:V1204,2,)</f>
        <v>1</v>
      </c>
      <c r="F594" s="38">
        <f>VLOOKUP(E594,'Sheet A'!E594:W1204,2,)</f>
        <v>21</v>
      </c>
      <c r="G594" s="41" t="str">
        <f>VLOOKUP(F594,'Sheet A'!F594:X1204,2,)</f>
        <v>Night</v>
      </c>
      <c r="H594" s="38" t="b">
        <f>VLOOKUP(G594,'Sheet A'!G594:Y1204,2,)</f>
        <v>0</v>
      </c>
      <c r="I594" s="38">
        <f>VLOOKUP(H594,'Sheet A'!H594:Z1204,2,)</f>
        <v>4</v>
      </c>
      <c r="J594" s="41" t="str">
        <f>VLOOKUP(I594,'Sheet A'!I594:AA1204,2,)</f>
        <v>Wednesday</v>
      </c>
      <c r="K594" s="38">
        <f>VLOOKUP(J594,'Sheet A'!J594:AB1204,2,)</f>
        <v>1</v>
      </c>
      <c r="L594" s="38">
        <f>VLOOKUP(K594,'Sheet A'!K594:AC1204,2,)</f>
        <v>0.18</v>
      </c>
      <c r="M594" s="70" t="str">
        <f>VLOOKUP(L594,'Sheet A'!L594:AD1204,2,)</f>
        <v>Rainy</v>
      </c>
      <c r="N594" s="38">
        <f>VLOOKUP(M594,'Sheet A'!M594:AE1204,2,)</f>
        <v>0.21210000000000001</v>
      </c>
      <c r="O594" s="38">
        <f>VLOOKUP(N594,'Sheet A'!N594:AF1204,2,)</f>
        <v>0.74</v>
      </c>
      <c r="P594" s="38">
        <f>VLOOKUP(O594,'Sheet A'!O594:AG1204,2,)</f>
        <v>8.9599999999999999E-2</v>
      </c>
      <c r="Q594" s="38">
        <f>VLOOKUP(P594,'Sheet A'!P594:AH1204,2,)</f>
        <v>2</v>
      </c>
      <c r="R594" s="38">
        <f>VLOOKUP(Q594,'Sheet A'!Q594:AI1204,2,)</f>
        <v>36</v>
      </c>
      <c r="S594" s="38">
        <f>VLOOKUP(R594,'Sheet A'!R594:AJ1204,2,)</f>
        <v>38</v>
      </c>
    </row>
    <row r="595" spans="1:19" x14ac:dyDescent="0.35">
      <c r="A595" s="37">
        <v>594</v>
      </c>
      <c r="B595" s="60">
        <f>VLOOKUP(A595,'Sheet A'!A595:S1205,2,)</f>
        <v>40570</v>
      </c>
      <c r="C595" s="38">
        <f>VLOOKUP(B595,'Sheet A'!B595:T1205,2,)</f>
        <v>1</v>
      </c>
      <c r="D595" s="38">
        <f>VLOOKUP(C595,'Sheet A'!C595:U1205,2,)</f>
        <v>0</v>
      </c>
      <c r="E595" s="38">
        <f>VLOOKUP(D595,'Sheet A'!D595:V1205,2,)</f>
        <v>1</v>
      </c>
      <c r="F595" s="38">
        <f>VLOOKUP(E595,'Sheet A'!E595:W1205,2,)</f>
        <v>22</v>
      </c>
      <c r="G595" s="41" t="str">
        <f>VLOOKUP(F595,'Sheet A'!F595:X1205,2,)</f>
        <v>Night</v>
      </c>
      <c r="H595" s="38" t="b">
        <f>VLOOKUP(G595,'Sheet A'!G595:Y1205,2,)</f>
        <v>0</v>
      </c>
      <c r="I595" s="38">
        <f>VLOOKUP(H595,'Sheet A'!H595:Z1205,2,)</f>
        <v>4</v>
      </c>
      <c r="J595" s="41" t="str">
        <f>VLOOKUP(I595,'Sheet A'!I595:AA1205,2,)</f>
        <v>Wednesday</v>
      </c>
      <c r="K595" s="38">
        <f>VLOOKUP(J595,'Sheet A'!J595:AB1205,2,)</f>
        <v>1</v>
      </c>
      <c r="L595" s="38">
        <f>VLOOKUP(K595,'Sheet A'!K595:AC1205,2,)</f>
        <v>0.18</v>
      </c>
      <c r="M595" s="70" t="str">
        <f>VLOOKUP(L595,'Sheet A'!L595:AD1205,2,)</f>
        <v>Rainy</v>
      </c>
      <c r="N595" s="38">
        <f>VLOOKUP(M595,'Sheet A'!M595:AE1205,2,)</f>
        <v>0.21210000000000001</v>
      </c>
      <c r="O595" s="38">
        <f>VLOOKUP(N595,'Sheet A'!N595:AF1205,2,)</f>
        <v>0.74</v>
      </c>
      <c r="P595" s="38">
        <f>VLOOKUP(O595,'Sheet A'!O595:AG1205,2,)</f>
        <v>8.9599999999999999E-2</v>
      </c>
      <c r="Q595" s="38">
        <f>VLOOKUP(P595,'Sheet A'!P595:AH1205,2,)</f>
        <v>0</v>
      </c>
      <c r="R595" s="38">
        <f>VLOOKUP(Q595,'Sheet A'!Q595:AI1205,2,)</f>
        <v>27</v>
      </c>
      <c r="S595" s="38">
        <f>VLOOKUP(R595,'Sheet A'!R595:AJ1205,2,)</f>
        <v>27</v>
      </c>
    </row>
    <row r="596" spans="1:19" x14ac:dyDescent="0.35">
      <c r="A596" s="37">
        <v>595</v>
      </c>
      <c r="B596" s="60">
        <f>VLOOKUP(A596,'Sheet A'!A596:S1206,2,)</f>
        <v>40570</v>
      </c>
      <c r="C596" s="38">
        <f>VLOOKUP(B596,'Sheet A'!B596:T1206,2,)</f>
        <v>1</v>
      </c>
      <c r="D596" s="38">
        <f>VLOOKUP(C596,'Sheet A'!C596:U1206,2,)</f>
        <v>0</v>
      </c>
      <c r="E596" s="38">
        <f>VLOOKUP(D596,'Sheet A'!D596:V1206,2,)</f>
        <v>1</v>
      </c>
      <c r="F596" s="38">
        <f>VLOOKUP(E596,'Sheet A'!E596:W1206,2,)</f>
        <v>23</v>
      </c>
      <c r="G596" s="41" t="str">
        <f>VLOOKUP(F596,'Sheet A'!F596:X1206,2,)</f>
        <v>Night</v>
      </c>
      <c r="H596" s="38" t="b">
        <f>VLOOKUP(G596,'Sheet A'!G596:Y1206,2,)</f>
        <v>0</v>
      </c>
      <c r="I596" s="38">
        <f>VLOOKUP(H596,'Sheet A'!H596:Z1206,2,)</f>
        <v>4</v>
      </c>
      <c r="J596" s="41" t="str">
        <f>VLOOKUP(I596,'Sheet A'!I596:AA1206,2,)</f>
        <v>Wednesday</v>
      </c>
      <c r="K596" s="38">
        <f>VLOOKUP(J596,'Sheet A'!J596:AB1206,2,)</f>
        <v>1</v>
      </c>
      <c r="L596" s="38">
        <f>VLOOKUP(K596,'Sheet A'!K596:AC1206,2,)</f>
        <v>0.18</v>
      </c>
      <c r="M596" s="70" t="str">
        <f>VLOOKUP(L596,'Sheet A'!L596:AD1206,2,)</f>
        <v>Rainy</v>
      </c>
      <c r="N596" s="38">
        <f>VLOOKUP(M596,'Sheet A'!M596:AE1206,2,)</f>
        <v>0.19700000000000001</v>
      </c>
      <c r="O596" s="38">
        <f>VLOOKUP(N596,'Sheet A'!N596:AF1206,2,)</f>
        <v>0.8</v>
      </c>
      <c r="P596" s="38">
        <f>VLOOKUP(O596,'Sheet A'!O596:AG1206,2,)</f>
        <v>0.16420000000000001</v>
      </c>
      <c r="Q596" s="38">
        <f>VLOOKUP(P596,'Sheet A'!P596:AH1206,2,)</f>
        <v>0</v>
      </c>
      <c r="R596" s="38">
        <f>VLOOKUP(Q596,'Sheet A'!Q596:AI1206,2,)</f>
        <v>16</v>
      </c>
      <c r="S596" s="38">
        <f>VLOOKUP(R596,'Sheet A'!R596:AJ1206,2,)</f>
        <v>16</v>
      </c>
    </row>
    <row r="597" spans="1:19" x14ac:dyDescent="0.35">
      <c r="A597" s="37">
        <v>596</v>
      </c>
      <c r="B597" s="60">
        <f>VLOOKUP(A597,'Sheet A'!A597:S1207,2,)</f>
        <v>40571</v>
      </c>
      <c r="C597" s="38">
        <f>VLOOKUP(B597,'Sheet A'!B597:T1207,2,)</f>
        <v>1</v>
      </c>
      <c r="D597" s="38">
        <f>VLOOKUP(C597,'Sheet A'!C597:U1207,2,)</f>
        <v>0</v>
      </c>
      <c r="E597" s="38">
        <f>VLOOKUP(D597,'Sheet A'!D597:V1207,2,)</f>
        <v>1</v>
      </c>
      <c r="F597" s="38">
        <f>VLOOKUP(E597,'Sheet A'!E597:W1207,2,)</f>
        <v>0</v>
      </c>
      <c r="G597" s="41" t="str">
        <f>VLOOKUP(F597,'Sheet A'!F597:X1207,2,)</f>
        <v>Night</v>
      </c>
      <c r="H597" s="38" t="b">
        <f>VLOOKUP(G597,'Sheet A'!G597:Y1207,2,)</f>
        <v>0</v>
      </c>
      <c r="I597" s="38">
        <f>VLOOKUP(H597,'Sheet A'!H597:Z1207,2,)</f>
        <v>5</v>
      </c>
      <c r="J597" s="41" t="str">
        <f>VLOOKUP(I597,'Sheet A'!I597:AA1207,2,)</f>
        <v>Thusday</v>
      </c>
      <c r="K597" s="38">
        <f>VLOOKUP(J597,'Sheet A'!J597:AB1207,2,)</f>
        <v>2</v>
      </c>
      <c r="L597" s="38">
        <f>VLOOKUP(K597,'Sheet A'!K597:AC1207,2,)</f>
        <v>0.2</v>
      </c>
      <c r="M597" s="70" t="str">
        <f>VLOOKUP(L597,'Sheet A'!L597:AD1207,2,)</f>
        <v>Rainy</v>
      </c>
      <c r="N597" s="38">
        <f>VLOOKUP(M597,'Sheet A'!M597:AE1207,2,)</f>
        <v>0.21210000000000001</v>
      </c>
      <c r="O597" s="38">
        <f>VLOOKUP(N597,'Sheet A'!N597:AF1207,2,)</f>
        <v>0.75</v>
      </c>
      <c r="P597" s="38">
        <f>VLOOKUP(O597,'Sheet A'!O597:AG1207,2,)</f>
        <v>0.1343</v>
      </c>
      <c r="Q597" s="38">
        <f>VLOOKUP(P597,'Sheet A'!P597:AH1207,2,)</f>
        <v>0</v>
      </c>
      <c r="R597" s="38">
        <f>VLOOKUP(Q597,'Sheet A'!Q597:AI1207,2,)</f>
        <v>9</v>
      </c>
      <c r="S597" s="38">
        <f>VLOOKUP(R597,'Sheet A'!R597:AJ1207,2,)</f>
        <v>9</v>
      </c>
    </row>
    <row r="598" spans="1:19" x14ac:dyDescent="0.35">
      <c r="A598" s="37">
        <v>597</v>
      </c>
      <c r="B598" s="60">
        <f>VLOOKUP(A598,'Sheet A'!A598:S1208,2,)</f>
        <v>40571</v>
      </c>
      <c r="C598" s="38">
        <f>VLOOKUP(B598,'Sheet A'!B598:T1208,2,)</f>
        <v>1</v>
      </c>
      <c r="D598" s="38">
        <f>VLOOKUP(C598,'Sheet A'!C598:U1208,2,)</f>
        <v>0</v>
      </c>
      <c r="E598" s="38">
        <f>VLOOKUP(D598,'Sheet A'!D598:V1208,2,)</f>
        <v>1</v>
      </c>
      <c r="F598" s="38">
        <f>VLOOKUP(E598,'Sheet A'!E598:W1208,2,)</f>
        <v>1</v>
      </c>
      <c r="G598" s="41" t="str">
        <f>VLOOKUP(F598,'Sheet A'!F598:X1208,2,)</f>
        <v>Night</v>
      </c>
      <c r="H598" s="38" t="b">
        <f>VLOOKUP(G598,'Sheet A'!G598:Y1208,2,)</f>
        <v>0</v>
      </c>
      <c r="I598" s="38">
        <f>VLOOKUP(H598,'Sheet A'!H598:Z1208,2,)</f>
        <v>5</v>
      </c>
      <c r="J598" s="41" t="str">
        <f>VLOOKUP(I598,'Sheet A'!I598:AA1208,2,)</f>
        <v>Thusday</v>
      </c>
      <c r="K598" s="38">
        <f>VLOOKUP(J598,'Sheet A'!J598:AB1208,2,)</f>
        <v>2</v>
      </c>
      <c r="L598" s="38">
        <f>VLOOKUP(K598,'Sheet A'!K598:AC1208,2,)</f>
        <v>0.2</v>
      </c>
      <c r="M598" s="70" t="str">
        <f>VLOOKUP(L598,'Sheet A'!L598:AD1208,2,)</f>
        <v>Rainy</v>
      </c>
      <c r="N598" s="38">
        <f>VLOOKUP(M598,'Sheet A'!M598:AE1208,2,)</f>
        <v>0.21210000000000001</v>
      </c>
      <c r="O598" s="38">
        <f>VLOOKUP(N598,'Sheet A'!N598:AF1208,2,)</f>
        <v>0.75</v>
      </c>
      <c r="P598" s="38">
        <f>VLOOKUP(O598,'Sheet A'!O598:AG1208,2,)</f>
        <v>0.1343</v>
      </c>
      <c r="Q598" s="38">
        <f>VLOOKUP(P598,'Sheet A'!P598:AH1208,2,)</f>
        <v>1</v>
      </c>
      <c r="R598" s="38">
        <f>VLOOKUP(Q598,'Sheet A'!Q598:AI1208,2,)</f>
        <v>2</v>
      </c>
      <c r="S598" s="38">
        <f>VLOOKUP(R598,'Sheet A'!R598:AJ1208,2,)</f>
        <v>3</v>
      </c>
    </row>
    <row r="599" spans="1:19" x14ac:dyDescent="0.35">
      <c r="A599" s="37">
        <v>598</v>
      </c>
      <c r="B599" s="60">
        <f>VLOOKUP(A599,'Sheet A'!A599:S1209,2,)</f>
        <v>40571</v>
      </c>
      <c r="C599" s="38">
        <f>VLOOKUP(B599,'Sheet A'!B599:T1209,2,)</f>
        <v>1</v>
      </c>
      <c r="D599" s="38">
        <f>VLOOKUP(C599,'Sheet A'!C599:U1209,2,)</f>
        <v>0</v>
      </c>
      <c r="E599" s="38">
        <f>VLOOKUP(D599,'Sheet A'!D599:V1209,2,)</f>
        <v>1</v>
      </c>
      <c r="F599" s="38">
        <f>VLOOKUP(E599,'Sheet A'!E599:W1209,2,)</f>
        <v>2</v>
      </c>
      <c r="G599" s="41" t="str">
        <f>VLOOKUP(F599,'Sheet A'!F599:X1209,2,)</f>
        <v>Night</v>
      </c>
      <c r="H599" s="38" t="b">
        <f>VLOOKUP(G599,'Sheet A'!G599:Y1209,2,)</f>
        <v>0</v>
      </c>
      <c r="I599" s="38">
        <f>VLOOKUP(H599,'Sheet A'!H599:Z1209,2,)</f>
        <v>5</v>
      </c>
      <c r="J599" s="41" t="str">
        <f>VLOOKUP(I599,'Sheet A'!I599:AA1209,2,)</f>
        <v>Thusday</v>
      </c>
      <c r="K599" s="38">
        <f>VLOOKUP(J599,'Sheet A'!J599:AB1209,2,)</f>
        <v>2</v>
      </c>
      <c r="L599" s="38">
        <f>VLOOKUP(K599,'Sheet A'!K599:AC1209,2,)</f>
        <v>0.2</v>
      </c>
      <c r="M599" s="70" t="str">
        <f>VLOOKUP(L599,'Sheet A'!L599:AD1209,2,)</f>
        <v>Rainy</v>
      </c>
      <c r="N599" s="38">
        <f>VLOOKUP(M599,'Sheet A'!M599:AE1209,2,)</f>
        <v>0.21210000000000001</v>
      </c>
      <c r="O599" s="38">
        <f>VLOOKUP(N599,'Sheet A'!N599:AF1209,2,)</f>
        <v>0.75</v>
      </c>
      <c r="P599" s="38">
        <f>VLOOKUP(O599,'Sheet A'!O599:AG1209,2,)</f>
        <v>0.16420000000000001</v>
      </c>
      <c r="Q599" s="38">
        <f>VLOOKUP(P599,'Sheet A'!P599:AH1209,2,)</f>
        <v>0</v>
      </c>
      <c r="R599" s="38">
        <f>VLOOKUP(Q599,'Sheet A'!Q599:AI1209,2,)</f>
        <v>2</v>
      </c>
      <c r="S599" s="38">
        <f>VLOOKUP(R599,'Sheet A'!R599:AJ1209,2,)</f>
        <v>2</v>
      </c>
    </row>
    <row r="600" spans="1:19" x14ac:dyDescent="0.35">
      <c r="A600" s="37">
        <v>599</v>
      </c>
      <c r="B600" s="60">
        <f>VLOOKUP(A600,'Sheet A'!A600:S1210,2,)</f>
        <v>40571</v>
      </c>
      <c r="C600" s="38">
        <f>VLOOKUP(B600,'Sheet A'!B600:T1210,2,)</f>
        <v>1</v>
      </c>
      <c r="D600" s="38">
        <f>VLOOKUP(C600,'Sheet A'!C600:U1210,2,)</f>
        <v>0</v>
      </c>
      <c r="E600" s="38">
        <f>VLOOKUP(D600,'Sheet A'!D600:V1210,2,)</f>
        <v>1</v>
      </c>
      <c r="F600" s="38">
        <f>VLOOKUP(E600,'Sheet A'!E600:W1210,2,)</f>
        <v>3</v>
      </c>
      <c r="G600" s="41" t="str">
        <f>VLOOKUP(F600,'Sheet A'!F600:X1210,2,)</f>
        <v>Night</v>
      </c>
      <c r="H600" s="38" t="b">
        <f>VLOOKUP(G600,'Sheet A'!G600:Y1210,2,)</f>
        <v>0</v>
      </c>
      <c r="I600" s="38">
        <f>VLOOKUP(H600,'Sheet A'!H600:Z1210,2,)</f>
        <v>5</v>
      </c>
      <c r="J600" s="41" t="str">
        <f>VLOOKUP(I600,'Sheet A'!I600:AA1210,2,)</f>
        <v>Thusday</v>
      </c>
      <c r="K600" s="38">
        <f>VLOOKUP(J600,'Sheet A'!J600:AB1210,2,)</f>
        <v>2</v>
      </c>
      <c r="L600" s="38">
        <f>VLOOKUP(K600,'Sheet A'!K600:AC1210,2,)</f>
        <v>0.2</v>
      </c>
      <c r="M600" s="70" t="str">
        <f>VLOOKUP(L600,'Sheet A'!L600:AD1210,2,)</f>
        <v>Rainy</v>
      </c>
      <c r="N600" s="38">
        <f>VLOOKUP(M600,'Sheet A'!M600:AE1210,2,)</f>
        <v>0.2273</v>
      </c>
      <c r="O600" s="38">
        <f>VLOOKUP(N600,'Sheet A'!N600:AF1210,2,)</f>
        <v>0.75</v>
      </c>
      <c r="P600" s="38">
        <f>VLOOKUP(O600,'Sheet A'!O600:AG1210,2,)</f>
        <v>0.1045</v>
      </c>
      <c r="Q600" s="38">
        <f>VLOOKUP(P600,'Sheet A'!P600:AH1210,2,)</f>
        <v>1</v>
      </c>
      <c r="R600" s="38">
        <f>VLOOKUP(Q600,'Sheet A'!Q600:AI1210,2,)</f>
        <v>0</v>
      </c>
      <c r="S600" s="38">
        <f>VLOOKUP(R600,'Sheet A'!R600:AJ1210,2,)</f>
        <v>1</v>
      </c>
    </row>
    <row r="601" spans="1:19" x14ac:dyDescent="0.35">
      <c r="A601" s="37">
        <v>600</v>
      </c>
      <c r="B601" s="60">
        <f>VLOOKUP(A601,'Sheet A'!A601:S1211,2,)</f>
        <v>40571</v>
      </c>
      <c r="C601" s="38">
        <f>VLOOKUP(B601,'Sheet A'!B601:T1211,2,)</f>
        <v>1</v>
      </c>
      <c r="D601" s="38">
        <f>VLOOKUP(C601,'Sheet A'!C601:U1211,2,)</f>
        <v>0</v>
      </c>
      <c r="E601" s="38">
        <f>VLOOKUP(D601,'Sheet A'!D601:V1211,2,)</f>
        <v>1</v>
      </c>
      <c r="F601" s="38">
        <f>VLOOKUP(E601,'Sheet A'!E601:W1211,2,)</f>
        <v>5</v>
      </c>
      <c r="G601" s="41" t="str">
        <f>VLOOKUP(F601,'Sheet A'!F601:X1211,2,)</f>
        <v>Morning</v>
      </c>
      <c r="H601" s="38" t="b">
        <f>VLOOKUP(G601,'Sheet A'!G601:Y1211,2,)</f>
        <v>0</v>
      </c>
      <c r="I601" s="38">
        <f>VLOOKUP(H601,'Sheet A'!H601:Z1211,2,)</f>
        <v>5</v>
      </c>
      <c r="J601" s="41" t="str">
        <f>VLOOKUP(I601,'Sheet A'!I601:AA1211,2,)</f>
        <v>Thusday</v>
      </c>
      <c r="K601" s="38">
        <f>VLOOKUP(J601,'Sheet A'!J601:AB1211,2,)</f>
        <v>2</v>
      </c>
      <c r="L601" s="38">
        <f>VLOOKUP(K601,'Sheet A'!K601:AC1211,2,)</f>
        <v>0.18</v>
      </c>
      <c r="M601" s="70" t="str">
        <f>VLOOKUP(L601,'Sheet A'!L601:AD1211,2,)</f>
        <v>Rainy</v>
      </c>
      <c r="N601" s="38">
        <f>VLOOKUP(M601,'Sheet A'!M601:AE1211,2,)</f>
        <v>0.21210000000000001</v>
      </c>
      <c r="O601" s="38">
        <f>VLOOKUP(N601,'Sheet A'!N601:AF1211,2,)</f>
        <v>0.8</v>
      </c>
      <c r="P601" s="38">
        <f>VLOOKUP(O601,'Sheet A'!O601:AG1211,2,)</f>
        <v>0.1045</v>
      </c>
      <c r="Q601" s="38">
        <f>VLOOKUP(P601,'Sheet A'!P601:AH1211,2,)</f>
        <v>0</v>
      </c>
      <c r="R601" s="38">
        <f>VLOOKUP(Q601,'Sheet A'!Q601:AI1211,2,)</f>
        <v>4</v>
      </c>
      <c r="S601" s="38">
        <f>VLOOKUP(R601,'Sheet A'!R601:AJ1211,2,)</f>
        <v>4</v>
      </c>
    </row>
    <row r="602" spans="1:19" x14ac:dyDescent="0.35">
      <c r="A602" s="37">
        <v>601</v>
      </c>
      <c r="B602" s="60">
        <f>VLOOKUP(A602,'Sheet A'!A602:S1212,2,)</f>
        <v>40571</v>
      </c>
      <c r="C602" s="38">
        <f>VLOOKUP(B602,'Sheet A'!B602:T1212,2,)</f>
        <v>1</v>
      </c>
      <c r="D602" s="38">
        <f>VLOOKUP(C602,'Sheet A'!C602:U1212,2,)</f>
        <v>0</v>
      </c>
      <c r="E602" s="38">
        <f>VLOOKUP(D602,'Sheet A'!D602:V1212,2,)</f>
        <v>1</v>
      </c>
      <c r="F602" s="38">
        <f>VLOOKUP(E602,'Sheet A'!E602:W1212,2,)</f>
        <v>6</v>
      </c>
      <c r="G602" s="41" t="str">
        <f>VLOOKUP(F602,'Sheet A'!F602:X1212,2,)</f>
        <v>Morning</v>
      </c>
      <c r="H602" s="38" t="b">
        <f>VLOOKUP(G602,'Sheet A'!G602:Y1212,2,)</f>
        <v>0</v>
      </c>
      <c r="I602" s="38">
        <f>VLOOKUP(H602,'Sheet A'!H602:Z1212,2,)</f>
        <v>5</v>
      </c>
      <c r="J602" s="41" t="str">
        <f>VLOOKUP(I602,'Sheet A'!I602:AA1212,2,)</f>
        <v>Thusday</v>
      </c>
      <c r="K602" s="38">
        <f>VLOOKUP(J602,'Sheet A'!J602:AB1212,2,)</f>
        <v>2</v>
      </c>
      <c r="L602" s="38">
        <f>VLOOKUP(K602,'Sheet A'!K602:AC1212,2,)</f>
        <v>0.18</v>
      </c>
      <c r="M602" s="70" t="str">
        <f>VLOOKUP(L602,'Sheet A'!L602:AD1212,2,)</f>
        <v>Rainy</v>
      </c>
      <c r="N602" s="38">
        <f>VLOOKUP(M602,'Sheet A'!M602:AE1212,2,)</f>
        <v>0.19700000000000001</v>
      </c>
      <c r="O602" s="38">
        <f>VLOOKUP(N602,'Sheet A'!N602:AF1212,2,)</f>
        <v>0.8</v>
      </c>
      <c r="P602" s="38">
        <f>VLOOKUP(O602,'Sheet A'!O602:AG1212,2,)</f>
        <v>0.1343</v>
      </c>
      <c r="Q602" s="38">
        <f>VLOOKUP(P602,'Sheet A'!P602:AH1212,2,)</f>
        <v>0</v>
      </c>
      <c r="R602" s="38">
        <f>VLOOKUP(Q602,'Sheet A'!Q602:AI1212,2,)</f>
        <v>16</v>
      </c>
      <c r="S602" s="38">
        <f>VLOOKUP(R602,'Sheet A'!R602:AJ1212,2,)</f>
        <v>16</v>
      </c>
    </row>
    <row r="603" spans="1:19" x14ac:dyDescent="0.35">
      <c r="A603" s="37">
        <v>602</v>
      </c>
      <c r="B603" s="60">
        <f>VLOOKUP(A603,'Sheet A'!A603:S1213,2,)</f>
        <v>40571</v>
      </c>
      <c r="C603" s="38">
        <f>VLOOKUP(B603,'Sheet A'!B603:T1213,2,)</f>
        <v>1</v>
      </c>
      <c r="D603" s="38">
        <f>VLOOKUP(C603,'Sheet A'!C603:U1213,2,)</f>
        <v>0</v>
      </c>
      <c r="E603" s="38">
        <f>VLOOKUP(D603,'Sheet A'!D603:V1213,2,)</f>
        <v>1</v>
      </c>
      <c r="F603" s="38">
        <f>VLOOKUP(E603,'Sheet A'!E603:W1213,2,)</f>
        <v>7</v>
      </c>
      <c r="G603" s="41" t="str">
        <f>VLOOKUP(F603,'Sheet A'!F603:X1213,2,)</f>
        <v>Morning</v>
      </c>
      <c r="H603" s="38" t="b">
        <f>VLOOKUP(G603,'Sheet A'!G603:Y1213,2,)</f>
        <v>0</v>
      </c>
      <c r="I603" s="38">
        <f>VLOOKUP(H603,'Sheet A'!H603:Z1213,2,)</f>
        <v>5</v>
      </c>
      <c r="J603" s="41" t="str">
        <f>VLOOKUP(I603,'Sheet A'!I603:AA1213,2,)</f>
        <v>Thusday</v>
      </c>
      <c r="K603" s="38">
        <f>VLOOKUP(J603,'Sheet A'!J603:AB1213,2,)</f>
        <v>2</v>
      </c>
      <c r="L603" s="38">
        <f>VLOOKUP(K603,'Sheet A'!K603:AC1213,2,)</f>
        <v>0.16</v>
      </c>
      <c r="M603" s="70" t="str">
        <f>VLOOKUP(L603,'Sheet A'!L603:AD1213,2,)</f>
        <v>Rainy</v>
      </c>
      <c r="N603" s="38">
        <f>VLOOKUP(M603,'Sheet A'!M603:AE1213,2,)</f>
        <v>0.19700000000000001</v>
      </c>
      <c r="O603" s="38">
        <f>VLOOKUP(N603,'Sheet A'!N603:AF1213,2,)</f>
        <v>0.86</v>
      </c>
      <c r="P603" s="38">
        <f>VLOOKUP(O603,'Sheet A'!O603:AG1213,2,)</f>
        <v>8.9599999999999999E-2</v>
      </c>
      <c r="Q603" s="38">
        <f>VLOOKUP(P603,'Sheet A'!P603:AH1213,2,)</f>
        <v>2</v>
      </c>
      <c r="R603" s="38">
        <f>VLOOKUP(Q603,'Sheet A'!Q603:AI1213,2,)</f>
        <v>58</v>
      </c>
      <c r="S603" s="38">
        <f>VLOOKUP(R603,'Sheet A'!R603:AJ1213,2,)</f>
        <v>60</v>
      </c>
    </row>
    <row r="604" spans="1:19" x14ac:dyDescent="0.35">
      <c r="A604" s="37">
        <v>603</v>
      </c>
      <c r="B604" s="60">
        <f>VLOOKUP(A604,'Sheet A'!A604:S1214,2,)</f>
        <v>40571</v>
      </c>
      <c r="C604" s="38">
        <f>VLOOKUP(B604,'Sheet A'!B604:T1214,2,)</f>
        <v>1</v>
      </c>
      <c r="D604" s="38">
        <f>VLOOKUP(C604,'Sheet A'!C604:U1214,2,)</f>
        <v>0</v>
      </c>
      <c r="E604" s="38">
        <f>VLOOKUP(D604,'Sheet A'!D604:V1214,2,)</f>
        <v>1</v>
      </c>
      <c r="F604" s="38">
        <f>VLOOKUP(E604,'Sheet A'!E604:W1214,2,)</f>
        <v>8</v>
      </c>
      <c r="G604" s="41" t="str">
        <f>VLOOKUP(F604,'Sheet A'!F604:X1214,2,)</f>
        <v>Morning</v>
      </c>
      <c r="H604" s="38" t="b">
        <f>VLOOKUP(G604,'Sheet A'!G604:Y1214,2,)</f>
        <v>0</v>
      </c>
      <c r="I604" s="38">
        <f>VLOOKUP(H604,'Sheet A'!H604:Z1214,2,)</f>
        <v>5</v>
      </c>
      <c r="J604" s="41" t="str">
        <f>VLOOKUP(I604,'Sheet A'!I604:AA1214,2,)</f>
        <v>Thusday</v>
      </c>
      <c r="K604" s="38">
        <f>VLOOKUP(J604,'Sheet A'!J604:AB1214,2,)</f>
        <v>2</v>
      </c>
      <c r="L604" s="38">
        <f>VLOOKUP(K604,'Sheet A'!K604:AC1214,2,)</f>
        <v>0.16</v>
      </c>
      <c r="M604" s="70" t="str">
        <f>VLOOKUP(L604,'Sheet A'!L604:AD1214,2,)</f>
        <v>Rainy</v>
      </c>
      <c r="N604" s="38">
        <f>VLOOKUP(M604,'Sheet A'!M604:AE1214,2,)</f>
        <v>0.19700000000000001</v>
      </c>
      <c r="O604" s="38">
        <f>VLOOKUP(N604,'Sheet A'!N604:AF1214,2,)</f>
        <v>0.86</v>
      </c>
      <c r="P604" s="38">
        <f>VLOOKUP(O604,'Sheet A'!O604:AG1214,2,)</f>
        <v>8.9599999999999999E-2</v>
      </c>
      <c r="Q604" s="38">
        <f>VLOOKUP(P604,'Sheet A'!P604:AH1214,2,)</f>
        <v>2</v>
      </c>
      <c r="R604" s="38">
        <f>VLOOKUP(Q604,'Sheet A'!Q604:AI1214,2,)</f>
        <v>155</v>
      </c>
      <c r="S604" s="38">
        <f>VLOOKUP(R604,'Sheet A'!R604:AJ1214,2,)</f>
        <v>157</v>
      </c>
    </row>
    <row r="605" spans="1:19" x14ac:dyDescent="0.35">
      <c r="A605" s="37">
        <v>604</v>
      </c>
      <c r="B605" s="60">
        <f>VLOOKUP(A605,'Sheet A'!A605:S1215,2,)</f>
        <v>40571</v>
      </c>
      <c r="C605" s="38">
        <f>VLOOKUP(B605,'Sheet A'!B605:T1215,2,)</f>
        <v>1</v>
      </c>
      <c r="D605" s="38">
        <f>VLOOKUP(C605,'Sheet A'!C605:U1215,2,)</f>
        <v>0</v>
      </c>
      <c r="E605" s="38">
        <f>VLOOKUP(D605,'Sheet A'!D605:V1215,2,)</f>
        <v>1</v>
      </c>
      <c r="F605" s="38">
        <f>VLOOKUP(E605,'Sheet A'!E605:W1215,2,)</f>
        <v>9</v>
      </c>
      <c r="G605" s="41" t="str">
        <f>VLOOKUP(F605,'Sheet A'!F605:X1215,2,)</f>
        <v>Morning</v>
      </c>
      <c r="H605" s="38" t="b">
        <f>VLOOKUP(G605,'Sheet A'!G605:Y1215,2,)</f>
        <v>0</v>
      </c>
      <c r="I605" s="38">
        <f>VLOOKUP(H605,'Sheet A'!H605:Z1215,2,)</f>
        <v>5</v>
      </c>
      <c r="J605" s="41" t="str">
        <f>VLOOKUP(I605,'Sheet A'!I605:AA1215,2,)</f>
        <v>Thusday</v>
      </c>
      <c r="K605" s="38">
        <f>VLOOKUP(J605,'Sheet A'!J605:AB1215,2,)</f>
        <v>3</v>
      </c>
      <c r="L605" s="38">
        <f>VLOOKUP(K605,'Sheet A'!K605:AC1215,2,)</f>
        <v>0.18</v>
      </c>
      <c r="M605" s="70" t="str">
        <f>VLOOKUP(L605,'Sheet A'!L605:AD1215,2,)</f>
        <v>Rainy</v>
      </c>
      <c r="N605" s="38">
        <f>VLOOKUP(M605,'Sheet A'!M605:AE1215,2,)</f>
        <v>0.21210000000000001</v>
      </c>
      <c r="O605" s="38">
        <f>VLOOKUP(N605,'Sheet A'!N605:AF1215,2,)</f>
        <v>0.86</v>
      </c>
      <c r="P605" s="38">
        <f>VLOOKUP(O605,'Sheet A'!O605:AG1215,2,)</f>
        <v>8.9599999999999999E-2</v>
      </c>
      <c r="Q605" s="38">
        <f>VLOOKUP(P605,'Sheet A'!P605:AH1215,2,)</f>
        <v>6</v>
      </c>
      <c r="R605" s="38">
        <f>VLOOKUP(Q605,'Sheet A'!Q605:AI1215,2,)</f>
        <v>95</v>
      </c>
      <c r="S605" s="38">
        <f>VLOOKUP(R605,'Sheet A'!R605:AJ1215,2,)</f>
        <v>101</v>
      </c>
    </row>
    <row r="606" spans="1:19" x14ac:dyDescent="0.35">
      <c r="A606" s="37">
        <v>605</v>
      </c>
      <c r="B606" s="60">
        <f>VLOOKUP(A606,'Sheet A'!A606:S1216,2,)</f>
        <v>40571</v>
      </c>
      <c r="C606" s="38">
        <f>VLOOKUP(B606,'Sheet A'!B606:T1216,2,)</f>
        <v>1</v>
      </c>
      <c r="D606" s="38">
        <f>VLOOKUP(C606,'Sheet A'!C606:U1216,2,)</f>
        <v>0</v>
      </c>
      <c r="E606" s="38">
        <f>VLOOKUP(D606,'Sheet A'!D606:V1216,2,)</f>
        <v>1</v>
      </c>
      <c r="F606" s="38">
        <f>VLOOKUP(E606,'Sheet A'!E606:W1216,2,)</f>
        <v>10</v>
      </c>
      <c r="G606" s="41" t="str">
        <f>VLOOKUP(F606,'Sheet A'!F606:X1216,2,)</f>
        <v>Morning</v>
      </c>
      <c r="H606" s="38" t="b">
        <f>VLOOKUP(G606,'Sheet A'!G606:Y1216,2,)</f>
        <v>0</v>
      </c>
      <c r="I606" s="38">
        <f>VLOOKUP(H606,'Sheet A'!H606:Z1216,2,)</f>
        <v>5</v>
      </c>
      <c r="J606" s="41" t="str">
        <f>VLOOKUP(I606,'Sheet A'!I606:AA1216,2,)</f>
        <v>Thusday</v>
      </c>
      <c r="K606" s="38">
        <f>VLOOKUP(J606,'Sheet A'!J606:AB1216,2,)</f>
        <v>3</v>
      </c>
      <c r="L606" s="38">
        <f>VLOOKUP(K606,'Sheet A'!K606:AC1216,2,)</f>
        <v>0.18</v>
      </c>
      <c r="M606" s="70" t="str">
        <f>VLOOKUP(L606,'Sheet A'!L606:AD1216,2,)</f>
        <v>Rainy</v>
      </c>
      <c r="N606" s="38">
        <f>VLOOKUP(M606,'Sheet A'!M606:AE1216,2,)</f>
        <v>0.21210000000000001</v>
      </c>
      <c r="O606" s="38">
        <f>VLOOKUP(N606,'Sheet A'!N606:AF1216,2,)</f>
        <v>0.86</v>
      </c>
      <c r="P606" s="38">
        <f>VLOOKUP(O606,'Sheet A'!O606:AG1216,2,)</f>
        <v>0.1045</v>
      </c>
      <c r="Q606" s="38">
        <f>VLOOKUP(P606,'Sheet A'!P606:AH1216,2,)</f>
        <v>0</v>
      </c>
      <c r="R606" s="38">
        <f>VLOOKUP(Q606,'Sheet A'!Q606:AI1216,2,)</f>
        <v>49</v>
      </c>
      <c r="S606" s="38">
        <f>VLOOKUP(R606,'Sheet A'!R606:AJ1216,2,)</f>
        <v>49</v>
      </c>
    </row>
    <row r="607" spans="1:19" x14ac:dyDescent="0.35">
      <c r="A607" s="37">
        <v>606</v>
      </c>
      <c r="B607" s="60">
        <f>VLOOKUP(A607,'Sheet A'!A607:S1217,2,)</f>
        <v>40571</v>
      </c>
      <c r="C607" s="38">
        <f>VLOOKUP(B607,'Sheet A'!B607:T1217,2,)</f>
        <v>1</v>
      </c>
      <c r="D607" s="38">
        <f>VLOOKUP(C607,'Sheet A'!C607:U1217,2,)</f>
        <v>0</v>
      </c>
      <c r="E607" s="38">
        <f>VLOOKUP(D607,'Sheet A'!D607:V1217,2,)</f>
        <v>1</v>
      </c>
      <c r="F607" s="38">
        <f>VLOOKUP(E607,'Sheet A'!E607:W1217,2,)</f>
        <v>11</v>
      </c>
      <c r="G607" s="41" t="str">
        <f>VLOOKUP(F607,'Sheet A'!F607:X1217,2,)</f>
        <v>Morning</v>
      </c>
      <c r="H607" s="38" t="b">
        <f>VLOOKUP(G607,'Sheet A'!G607:Y1217,2,)</f>
        <v>0</v>
      </c>
      <c r="I607" s="38">
        <f>VLOOKUP(H607,'Sheet A'!H607:Z1217,2,)</f>
        <v>5</v>
      </c>
      <c r="J607" s="41" t="str">
        <f>VLOOKUP(I607,'Sheet A'!I607:AA1217,2,)</f>
        <v>Thusday</v>
      </c>
      <c r="K607" s="38">
        <f>VLOOKUP(J607,'Sheet A'!J607:AB1217,2,)</f>
        <v>3</v>
      </c>
      <c r="L607" s="38">
        <f>VLOOKUP(K607,'Sheet A'!K607:AC1217,2,)</f>
        <v>0.18</v>
      </c>
      <c r="M607" s="70" t="str">
        <f>VLOOKUP(L607,'Sheet A'!L607:AD1217,2,)</f>
        <v>Rainy</v>
      </c>
      <c r="N607" s="38">
        <f>VLOOKUP(M607,'Sheet A'!M607:AE1217,2,)</f>
        <v>0.21210000000000001</v>
      </c>
      <c r="O607" s="38">
        <f>VLOOKUP(N607,'Sheet A'!N607:AF1217,2,)</f>
        <v>0.93</v>
      </c>
      <c r="P607" s="38">
        <f>VLOOKUP(O607,'Sheet A'!O607:AG1217,2,)</f>
        <v>0.1045</v>
      </c>
      <c r="Q607" s="38">
        <f>VLOOKUP(P607,'Sheet A'!P607:AH1217,2,)</f>
        <v>0</v>
      </c>
      <c r="R607" s="38">
        <f>VLOOKUP(Q607,'Sheet A'!Q607:AI1217,2,)</f>
        <v>30</v>
      </c>
      <c r="S607" s="38">
        <f>VLOOKUP(R607,'Sheet A'!R607:AJ1217,2,)</f>
        <v>30</v>
      </c>
    </row>
    <row r="608" spans="1:19" x14ac:dyDescent="0.35">
      <c r="A608" s="37">
        <v>607</v>
      </c>
      <c r="B608" s="60">
        <f>VLOOKUP(A608,'Sheet A'!A608:S1218,2,)</f>
        <v>40571</v>
      </c>
      <c r="C608" s="38">
        <f>VLOOKUP(B608,'Sheet A'!B608:T1218,2,)</f>
        <v>1</v>
      </c>
      <c r="D608" s="38">
        <f>VLOOKUP(C608,'Sheet A'!C608:U1218,2,)</f>
        <v>0</v>
      </c>
      <c r="E608" s="38">
        <f>VLOOKUP(D608,'Sheet A'!D608:V1218,2,)</f>
        <v>1</v>
      </c>
      <c r="F608" s="38">
        <f>VLOOKUP(E608,'Sheet A'!E608:W1218,2,)</f>
        <v>12</v>
      </c>
      <c r="G608" s="41" t="str">
        <f>VLOOKUP(F608,'Sheet A'!F608:X1218,2,)</f>
        <v>AfterNoon</v>
      </c>
      <c r="H608" s="38" t="b">
        <f>VLOOKUP(G608,'Sheet A'!G608:Y1218,2,)</f>
        <v>0</v>
      </c>
      <c r="I608" s="38">
        <f>VLOOKUP(H608,'Sheet A'!H608:Z1218,2,)</f>
        <v>5</v>
      </c>
      <c r="J608" s="41" t="str">
        <f>VLOOKUP(I608,'Sheet A'!I608:AA1218,2,)</f>
        <v>Thusday</v>
      </c>
      <c r="K608" s="38">
        <f>VLOOKUP(J608,'Sheet A'!J608:AB1218,2,)</f>
        <v>3</v>
      </c>
      <c r="L608" s="38">
        <f>VLOOKUP(K608,'Sheet A'!K608:AC1218,2,)</f>
        <v>0.18</v>
      </c>
      <c r="M608" s="70" t="str">
        <f>VLOOKUP(L608,'Sheet A'!L608:AD1218,2,)</f>
        <v>Rainy</v>
      </c>
      <c r="N608" s="38">
        <f>VLOOKUP(M608,'Sheet A'!M608:AE1218,2,)</f>
        <v>0.21210000000000001</v>
      </c>
      <c r="O608" s="38">
        <f>VLOOKUP(N608,'Sheet A'!N608:AF1218,2,)</f>
        <v>0.93</v>
      </c>
      <c r="P608" s="38">
        <f>VLOOKUP(O608,'Sheet A'!O608:AG1218,2,)</f>
        <v>0.1045</v>
      </c>
      <c r="Q608" s="38">
        <f>VLOOKUP(P608,'Sheet A'!P608:AH1218,2,)</f>
        <v>1</v>
      </c>
      <c r="R608" s="38">
        <f>VLOOKUP(Q608,'Sheet A'!Q608:AI1218,2,)</f>
        <v>28</v>
      </c>
      <c r="S608" s="38">
        <f>VLOOKUP(R608,'Sheet A'!R608:AJ1218,2,)</f>
        <v>29</v>
      </c>
    </row>
    <row r="609" spans="1:19" x14ac:dyDescent="0.35">
      <c r="A609" s="37">
        <v>608</v>
      </c>
      <c r="B609" s="60">
        <f>VLOOKUP(A609,'Sheet A'!A609:S1219,2,)</f>
        <v>40571</v>
      </c>
      <c r="C609" s="38">
        <f>VLOOKUP(B609,'Sheet A'!B609:T1219,2,)</f>
        <v>1</v>
      </c>
      <c r="D609" s="38">
        <f>VLOOKUP(C609,'Sheet A'!C609:U1219,2,)</f>
        <v>0</v>
      </c>
      <c r="E609" s="38">
        <f>VLOOKUP(D609,'Sheet A'!D609:V1219,2,)</f>
        <v>1</v>
      </c>
      <c r="F609" s="38">
        <f>VLOOKUP(E609,'Sheet A'!E609:W1219,2,)</f>
        <v>13</v>
      </c>
      <c r="G609" s="41" t="str">
        <f>VLOOKUP(F609,'Sheet A'!F609:X1219,2,)</f>
        <v>AfterNoon</v>
      </c>
      <c r="H609" s="38" t="b">
        <f>VLOOKUP(G609,'Sheet A'!G609:Y1219,2,)</f>
        <v>0</v>
      </c>
      <c r="I609" s="38">
        <f>VLOOKUP(H609,'Sheet A'!H609:Z1219,2,)</f>
        <v>5</v>
      </c>
      <c r="J609" s="41" t="str">
        <f>VLOOKUP(I609,'Sheet A'!I609:AA1219,2,)</f>
        <v>Thusday</v>
      </c>
      <c r="K609" s="38">
        <f>VLOOKUP(J609,'Sheet A'!J609:AB1219,2,)</f>
        <v>3</v>
      </c>
      <c r="L609" s="38">
        <f>VLOOKUP(K609,'Sheet A'!K609:AC1219,2,)</f>
        <v>0.18</v>
      </c>
      <c r="M609" s="70" t="str">
        <f>VLOOKUP(L609,'Sheet A'!L609:AD1219,2,)</f>
        <v>Rainy</v>
      </c>
      <c r="N609" s="38">
        <f>VLOOKUP(M609,'Sheet A'!M609:AE1219,2,)</f>
        <v>0.21210000000000001</v>
      </c>
      <c r="O609" s="38">
        <f>VLOOKUP(N609,'Sheet A'!N609:AF1219,2,)</f>
        <v>0.93</v>
      </c>
      <c r="P609" s="38">
        <f>VLOOKUP(O609,'Sheet A'!O609:AG1219,2,)</f>
        <v>0.1045</v>
      </c>
      <c r="Q609" s="38">
        <f>VLOOKUP(P609,'Sheet A'!P609:AH1219,2,)</f>
        <v>0</v>
      </c>
      <c r="R609" s="38">
        <f>VLOOKUP(Q609,'Sheet A'!Q609:AI1219,2,)</f>
        <v>31</v>
      </c>
      <c r="S609" s="38">
        <f>VLOOKUP(R609,'Sheet A'!R609:AJ1219,2,)</f>
        <v>31</v>
      </c>
    </row>
    <row r="610" spans="1:19" x14ac:dyDescent="0.35">
      <c r="A610" s="37">
        <v>609</v>
      </c>
      <c r="B610" s="60">
        <f>VLOOKUP(A610,'Sheet A'!A610:S1220,2,)</f>
        <v>40571</v>
      </c>
      <c r="C610" s="38">
        <f>VLOOKUP(B610,'Sheet A'!B610:T1220,2,)</f>
        <v>1</v>
      </c>
      <c r="D610" s="38">
        <f>VLOOKUP(C610,'Sheet A'!C610:U1220,2,)</f>
        <v>0</v>
      </c>
      <c r="E610" s="38">
        <f>VLOOKUP(D610,'Sheet A'!D610:V1220,2,)</f>
        <v>1</v>
      </c>
      <c r="F610" s="38">
        <f>VLOOKUP(E610,'Sheet A'!E610:W1220,2,)</f>
        <v>14</v>
      </c>
      <c r="G610" s="41" t="str">
        <f>VLOOKUP(F610,'Sheet A'!F610:X1220,2,)</f>
        <v>AfterNoon</v>
      </c>
      <c r="H610" s="38" t="b">
        <f>VLOOKUP(G610,'Sheet A'!G610:Y1220,2,)</f>
        <v>0</v>
      </c>
      <c r="I610" s="38">
        <f>VLOOKUP(H610,'Sheet A'!H610:Z1220,2,)</f>
        <v>5</v>
      </c>
      <c r="J610" s="41" t="str">
        <f>VLOOKUP(I610,'Sheet A'!I610:AA1220,2,)</f>
        <v>Thusday</v>
      </c>
      <c r="K610" s="38">
        <f>VLOOKUP(J610,'Sheet A'!J610:AB1220,2,)</f>
        <v>3</v>
      </c>
      <c r="L610" s="38">
        <f>VLOOKUP(K610,'Sheet A'!K610:AC1220,2,)</f>
        <v>0.22</v>
      </c>
      <c r="M610" s="70" t="str">
        <f>VLOOKUP(L610,'Sheet A'!L610:AD1220,2,)</f>
        <v>Cloudy</v>
      </c>
      <c r="N610" s="38">
        <f>VLOOKUP(M610,'Sheet A'!M610:AE1220,2,)</f>
        <v>0.2727</v>
      </c>
      <c r="O610" s="38">
        <f>VLOOKUP(N610,'Sheet A'!N610:AF1220,2,)</f>
        <v>0.8</v>
      </c>
      <c r="P610" s="38">
        <f>VLOOKUP(O610,'Sheet A'!O610:AG1220,2,)</f>
        <v>0</v>
      </c>
      <c r="Q610" s="38">
        <f>VLOOKUP(P610,'Sheet A'!P610:AH1220,2,)</f>
        <v>2</v>
      </c>
      <c r="R610" s="38">
        <f>VLOOKUP(Q610,'Sheet A'!Q610:AI1220,2,)</f>
        <v>36</v>
      </c>
      <c r="S610" s="38">
        <f>VLOOKUP(R610,'Sheet A'!R610:AJ1220,2,)</f>
        <v>38</v>
      </c>
    </row>
    <row r="611" spans="1:19" x14ac:dyDescent="0.35">
      <c r="A611" s="37">
        <v>610</v>
      </c>
      <c r="B611" s="60">
        <f>VLOOKUP(A611,'Sheet A'!A611:S1221,2,)</f>
        <v>40571</v>
      </c>
      <c r="C611" s="38">
        <f>VLOOKUP(B611,'Sheet A'!B611:T1221,2,)</f>
        <v>1</v>
      </c>
      <c r="D611" s="38">
        <f>VLOOKUP(C611,'Sheet A'!C611:U1221,2,)</f>
        <v>0</v>
      </c>
      <c r="E611" s="38">
        <f>VLOOKUP(D611,'Sheet A'!D611:V1221,2,)</f>
        <v>1</v>
      </c>
      <c r="F611" s="38">
        <f>VLOOKUP(E611,'Sheet A'!E611:W1221,2,)</f>
        <v>15</v>
      </c>
      <c r="G611" s="41" t="str">
        <f>VLOOKUP(F611,'Sheet A'!F611:X1221,2,)</f>
        <v>AfterNoon</v>
      </c>
      <c r="H611" s="38" t="b">
        <f>VLOOKUP(G611,'Sheet A'!G611:Y1221,2,)</f>
        <v>0</v>
      </c>
      <c r="I611" s="38">
        <f>VLOOKUP(H611,'Sheet A'!H611:Z1221,2,)</f>
        <v>5</v>
      </c>
      <c r="J611" s="41" t="str">
        <f>VLOOKUP(I611,'Sheet A'!I611:AA1221,2,)</f>
        <v>Thusday</v>
      </c>
      <c r="K611" s="38">
        <f>VLOOKUP(J611,'Sheet A'!J611:AB1221,2,)</f>
        <v>2</v>
      </c>
      <c r="L611" s="38">
        <f>VLOOKUP(K611,'Sheet A'!K611:AC1221,2,)</f>
        <v>0.2</v>
      </c>
      <c r="M611" s="70" t="str">
        <f>VLOOKUP(L611,'Sheet A'!L611:AD1221,2,)</f>
        <v>Rainy</v>
      </c>
      <c r="N611" s="38">
        <f>VLOOKUP(M611,'Sheet A'!M611:AE1221,2,)</f>
        <v>0.2576</v>
      </c>
      <c r="O611" s="38">
        <f>VLOOKUP(N611,'Sheet A'!N611:AF1221,2,)</f>
        <v>0.86</v>
      </c>
      <c r="P611" s="38">
        <f>VLOOKUP(O611,'Sheet A'!O611:AG1221,2,)</f>
        <v>0</v>
      </c>
      <c r="Q611" s="38">
        <f>VLOOKUP(P611,'Sheet A'!P611:AH1221,2,)</f>
        <v>1</v>
      </c>
      <c r="R611" s="38">
        <f>VLOOKUP(Q611,'Sheet A'!Q611:AI1221,2,)</f>
        <v>40</v>
      </c>
      <c r="S611" s="38">
        <f>VLOOKUP(R611,'Sheet A'!R611:AJ1221,2,)</f>
        <v>41</v>
      </c>
    </row>
    <row r="612" spans="1:19" x14ac:dyDescent="0.35">
      <c r="A612" s="37">
        <v>611</v>
      </c>
      <c r="B612" s="60">
        <f>VLOOKUP(A612,'Dataset-3'!A3:S392,2,)</f>
        <v>40571</v>
      </c>
      <c r="C612" s="38">
        <f>VLOOKUP(B612,'Dataset-3'!B3:T392,2,)</f>
        <v>1</v>
      </c>
      <c r="D612" s="38">
        <f>VLOOKUP(C612,'Dataset-3'!C3:U392,2,)</f>
        <v>0</v>
      </c>
      <c r="E612" s="38">
        <f>VLOOKUP(D612,'Dataset-3'!D3:V392,2,)</f>
        <v>1</v>
      </c>
      <c r="F612" s="38">
        <f>VLOOKUP(E612,'Dataset-3'!E3:W392,2,)</f>
        <v>16</v>
      </c>
      <c r="G612" s="41" t="str">
        <f>VLOOKUP(F612,'Dataset-3'!F3:X392,2,)</f>
        <v>AfterNoon</v>
      </c>
      <c r="H612" s="38" t="b">
        <f>VLOOKUP(G612,'Dataset-3'!G3:Y392,2,)</f>
        <v>0</v>
      </c>
      <c r="I612" s="38">
        <f>VLOOKUP(H612,'Dataset-3'!H3:Z392,2,)</f>
        <v>5</v>
      </c>
      <c r="J612" s="41" t="str">
        <f>VLOOKUP(I612,'Dataset-3'!I3:AA392,2,)</f>
        <v>Thusday</v>
      </c>
      <c r="K612" s="38">
        <f>VLOOKUP(J612,'Dataset-3'!J3:AB392,2,)</f>
        <v>1</v>
      </c>
      <c r="L612" s="38">
        <f>VLOOKUP(K612,'Dataset-3'!K3:AC392,2,)</f>
        <v>0.22</v>
      </c>
      <c r="M612" s="70" t="str">
        <f>VLOOKUP(L612,'Dataset-3'!L3:AD392,2,)</f>
        <v>Cloudy</v>
      </c>
      <c r="N612" s="38">
        <f>VLOOKUP(M612,'Dataset-3'!M3:AE392,2,)</f>
        <v>0.2727</v>
      </c>
      <c r="O612" s="38">
        <f>VLOOKUP(N612,'Dataset-3'!N3:AF392,2,)</f>
        <v>0.8</v>
      </c>
      <c r="P612" s="38">
        <f>VLOOKUP(O612,'Dataset-3'!O3:AG392,2,)</f>
        <v>0</v>
      </c>
      <c r="Q612" s="38">
        <f>VLOOKUP(P612,'Dataset-3'!P3:AH392,2,)</f>
        <v>10</v>
      </c>
      <c r="R612" s="38">
        <f>VLOOKUP(Q612,'Dataset-3'!Q3:AI392,2,)</f>
        <v>70</v>
      </c>
      <c r="S612" s="38">
        <f>VLOOKUP(R612,'Dataset-3'!R3:AJ392,2,)</f>
        <v>80</v>
      </c>
    </row>
    <row r="613" spans="1:19" x14ac:dyDescent="0.35">
      <c r="A613" s="37">
        <v>612</v>
      </c>
      <c r="B613" s="60">
        <f>VLOOKUP(A613,'Dataset-3'!A4:S393,2,)</f>
        <v>40571</v>
      </c>
      <c r="C613" s="38">
        <f>VLOOKUP(B613,'Dataset-3'!B4:T393,2,)</f>
        <v>1</v>
      </c>
      <c r="D613" s="38">
        <f>VLOOKUP(C613,'Dataset-3'!C4:U393,2,)</f>
        <v>0</v>
      </c>
      <c r="E613" s="38">
        <f>VLOOKUP(D613,'Dataset-3'!D4:V393,2,)</f>
        <v>1</v>
      </c>
      <c r="F613" s="38">
        <f>VLOOKUP(E613,'Dataset-3'!E4:W393,2,)</f>
        <v>17</v>
      </c>
      <c r="G613" s="41" t="str">
        <f>VLOOKUP(F613,'Dataset-3'!F4:X393,2,)</f>
        <v>Evening</v>
      </c>
      <c r="H613" s="38" t="b">
        <f>VLOOKUP(G613,'Dataset-3'!G4:Y393,2,)</f>
        <v>0</v>
      </c>
      <c r="I613" s="38">
        <f>VLOOKUP(H613,'Dataset-3'!H4:Z393,2,)</f>
        <v>5</v>
      </c>
      <c r="J613" s="41" t="str">
        <f>VLOOKUP(I613,'Dataset-3'!I4:AA393,2,)</f>
        <v>Thusday</v>
      </c>
      <c r="K613" s="38">
        <f>VLOOKUP(J613,'Dataset-3'!J4:AB393,2,)</f>
        <v>1</v>
      </c>
      <c r="L613" s="38">
        <f>VLOOKUP(K613,'Dataset-3'!K4:AC393,2,)</f>
        <v>0.24</v>
      </c>
      <c r="M613" s="70" t="str">
        <f>VLOOKUP(L613,'Dataset-3'!L4:AD393,2,)</f>
        <v>Cloudy</v>
      </c>
      <c r="N613" s="38">
        <f>VLOOKUP(M613,'Dataset-3'!M4:AE393,2,)</f>
        <v>0.2424</v>
      </c>
      <c r="O613" s="38">
        <f>VLOOKUP(N613,'Dataset-3'!N4:AF393,2,)</f>
        <v>0.75</v>
      </c>
      <c r="P613" s="38">
        <f>VLOOKUP(O613,'Dataset-3'!O4:AG393,2,)</f>
        <v>0.1343</v>
      </c>
      <c r="Q613" s="38">
        <f>VLOOKUP(P613,'Dataset-3'!P4:AH393,2,)</f>
        <v>2</v>
      </c>
      <c r="R613" s="38">
        <f>VLOOKUP(Q613,'Dataset-3'!Q4:AI393,2,)</f>
        <v>147</v>
      </c>
      <c r="S613" s="38">
        <f>VLOOKUP(R613,'Dataset-3'!R4:AJ393,2,)</f>
        <v>149</v>
      </c>
    </row>
    <row r="614" spans="1:19" x14ac:dyDescent="0.35">
      <c r="A614" s="37">
        <v>613</v>
      </c>
      <c r="B614" s="60">
        <f>VLOOKUP(A614,'Dataset-3'!A5:S394,2,)</f>
        <v>40571</v>
      </c>
      <c r="C614" s="38">
        <f>VLOOKUP(B614,'Dataset-3'!B5:T394,2,)</f>
        <v>1</v>
      </c>
      <c r="D614" s="38">
        <f>VLOOKUP(C614,'Dataset-3'!C5:U394,2,)</f>
        <v>0</v>
      </c>
      <c r="E614" s="38">
        <f>VLOOKUP(D614,'Dataset-3'!D5:V394,2,)</f>
        <v>1</v>
      </c>
      <c r="F614" s="38">
        <f>VLOOKUP(E614,'Dataset-3'!E5:W394,2,)</f>
        <v>18</v>
      </c>
      <c r="G614" s="41" t="str">
        <f>VLOOKUP(F614,'Dataset-3'!F5:X394,2,)</f>
        <v>Evening</v>
      </c>
      <c r="H614" s="38" t="b">
        <f>VLOOKUP(G614,'Dataset-3'!G5:Y394,2,)</f>
        <v>0</v>
      </c>
      <c r="I614" s="38">
        <f>VLOOKUP(H614,'Dataset-3'!H5:Z394,2,)</f>
        <v>5</v>
      </c>
      <c r="J614" s="41" t="str">
        <f>VLOOKUP(I614,'Dataset-3'!I5:AA394,2,)</f>
        <v>Thusday</v>
      </c>
      <c r="K614" s="38">
        <f>VLOOKUP(J614,'Dataset-3'!J5:AB394,2,)</f>
        <v>1</v>
      </c>
      <c r="L614" s="38">
        <f>VLOOKUP(K614,'Dataset-3'!K5:AC394,2,)</f>
        <v>0.24</v>
      </c>
      <c r="M614" s="70" t="str">
        <f>VLOOKUP(L614,'Dataset-3'!L5:AD394,2,)</f>
        <v>Cloudy</v>
      </c>
      <c r="N614" s="38">
        <f>VLOOKUP(M614,'Dataset-3'!M5:AE394,2,)</f>
        <v>0.2273</v>
      </c>
      <c r="O614" s="38">
        <f>VLOOKUP(N614,'Dataset-3'!N5:AF394,2,)</f>
        <v>0.75</v>
      </c>
      <c r="P614" s="38">
        <f>VLOOKUP(O614,'Dataset-3'!O5:AG394,2,)</f>
        <v>0.19400000000000001</v>
      </c>
      <c r="Q614" s="38">
        <f>VLOOKUP(P614,'Dataset-3'!P5:AH394,2,)</f>
        <v>2</v>
      </c>
      <c r="R614" s="38">
        <f>VLOOKUP(Q614,'Dataset-3'!Q5:AI394,2,)</f>
        <v>107</v>
      </c>
      <c r="S614" s="38">
        <f>VLOOKUP(R614,'Dataset-3'!R5:AJ394,2,)</f>
        <v>109</v>
      </c>
    </row>
    <row r="615" spans="1:19" x14ac:dyDescent="0.35">
      <c r="A615" s="37">
        <v>614</v>
      </c>
      <c r="B615" s="60">
        <f>VLOOKUP(A615,'Dataset-3'!A6:S395,2,)</f>
        <v>40571</v>
      </c>
      <c r="C615" s="38">
        <f>VLOOKUP(B615,'Dataset-3'!B6:T395,2,)</f>
        <v>1</v>
      </c>
      <c r="D615" s="38">
        <f>VLOOKUP(C615,'Dataset-3'!C6:U395,2,)</f>
        <v>0</v>
      </c>
      <c r="E615" s="38">
        <f>VLOOKUP(D615,'Dataset-3'!D6:V395,2,)</f>
        <v>1</v>
      </c>
      <c r="F615" s="38">
        <f>VLOOKUP(E615,'Dataset-3'!E6:W395,2,)</f>
        <v>19</v>
      </c>
      <c r="G615" s="41" t="str">
        <f>VLOOKUP(F615,'Dataset-3'!F6:X395,2,)</f>
        <v>Evening</v>
      </c>
      <c r="H615" s="38" t="b">
        <f>VLOOKUP(G615,'Dataset-3'!G6:Y395,2,)</f>
        <v>0</v>
      </c>
      <c r="I615" s="38">
        <f>VLOOKUP(H615,'Dataset-3'!H6:Z395,2,)</f>
        <v>5</v>
      </c>
      <c r="J615" s="41" t="str">
        <f>VLOOKUP(I615,'Dataset-3'!I6:AA395,2,)</f>
        <v>Thusday</v>
      </c>
      <c r="K615" s="38">
        <f>VLOOKUP(J615,'Dataset-3'!J6:AB395,2,)</f>
        <v>2</v>
      </c>
      <c r="L615" s="38">
        <f>VLOOKUP(K615,'Dataset-3'!K6:AC395,2,)</f>
        <v>0.24</v>
      </c>
      <c r="M615" s="70" t="str">
        <f>VLOOKUP(L615,'Dataset-3'!L6:AD395,2,)</f>
        <v>Cloudy</v>
      </c>
      <c r="N615" s="38">
        <f>VLOOKUP(M615,'Dataset-3'!M6:AE395,2,)</f>
        <v>0.2424</v>
      </c>
      <c r="O615" s="38">
        <f>VLOOKUP(N615,'Dataset-3'!N6:AF395,2,)</f>
        <v>0.75</v>
      </c>
      <c r="P615" s="38">
        <f>VLOOKUP(O615,'Dataset-3'!O6:AG395,2,)</f>
        <v>0.1343</v>
      </c>
      <c r="Q615" s="38">
        <f>VLOOKUP(P615,'Dataset-3'!P6:AH395,2,)</f>
        <v>5</v>
      </c>
      <c r="R615" s="38">
        <f>VLOOKUP(Q615,'Dataset-3'!Q6:AI395,2,)</f>
        <v>84</v>
      </c>
      <c r="S615" s="38">
        <f>VLOOKUP(R615,'Dataset-3'!R6:AJ395,2,)</f>
        <v>89</v>
      </c>
    </row>
    <row r="616" spans="1:19" x14ac:dyDescent="0.35">
      <c r="A616" s="37">
        <v>615</v>
      </c>
      <c r="B616" s="60">
        <f>VLOOKUP(A616,'Dataset-3'!A7:S396,2,)</f>
        <v>40571</v>
      </c>
      <c r="C616" s="38">
        <f>VLOOKUP(B616,'Dataset-3'!B7:T396,2,)</f>
        <v>1</v>
      </c>
      <c r="D616" s="38">
        <f>VLOOKUP(C616,'Dataset-3'!C7:U396,2,)</f>
        <v>0</v>
      </c>
      <c r="E616" s="38">
        <f>VLOOKUP(D616,'Dataset-3'!D7:V396,2,)</f>
        <v>1</v>
      </c>
      <c r="F616" s="38">
        <f>VLOOKUP(E616,'Dataset-3'!E7:W396,2,)</f>
        <v>20</v>
      </c>
      <c r="G616" s="41" t="str">
        <f>VLOOKUP(F616,'Dataset-3'!F7:X396,2,)</f>
        <v>Night</v>
      </c>
      <c r="H616" s="38" t="b">
        <f>VLOOKUP(G616,'Dataset-3'!G7:Y396,2,)</f>
        <v>0</v>
      </c>
      <c r="I616" s="38">
        <f>VLOOKUP(H616,'Dataset-3'!H7:Z396,2,)</f>
        <v>5</v>
      </c>
      <c r="J616" s="41" t="str">
        <f>VLOOKUP(I616,'Dataset-3'!I7:AA396,2,)</f>
        <v>Thusday</v>
      </c>
      <c r="K616" s="38">
        <f>VLOOKUP(J616,'Dataset-3'!J7:AB396,2,)</f>
        <v>2</v>
      </c>
      <c r="L616" s="38">
        <f>VLOOKUP(K616,'Dataset-3'!K7:AC396,2,)</f>
        <v>0.24</v>
      </c>
      <c r="M616" s="70" t="str">
        <f>VLOOKUP(L616,'Dataset-3'!L7:AD396,2,)</f>
        <v>Cloudy</v>
      </c>
      <c r="N616" s="38">
        <f>VLOOKUP(M616,'Dataset-3'!M7:AE396,2,)</f>
        <v>0.2273</v>
      </c>
      <c r="O616" s="38">
        <f>VLOOKUP(N616,'Dataset-3'!N7:AF396,2,)</f>
        <v>0.7</v>
      </c>
      <c r="P616" s="38">
        <f>VLOOKUP(O616,'Dataset-3'!O7:AG396,2,)</f>
        <v>0.19400000000000001</v>
      </c>
      <c r="Q616" s="38">
        <f>VLOOKUP(P616,'Dataset-3'!P7:AH396,2,)</f>
        <v>1</v>
      </c>
      <c r="R616" s="38">
        <f>VLOOKUP(Q616,'Dataset-3'!Q7:AI396,2,)</f>
        <v>61</v>
      </c>
      <c r="S616" s="38">
        <f>VLOOKUP(R616,'Dataset-3'!R7:AJ396,2,)</f>
        <v>62</v>
      </c>
    </row>
    <row r="617" spans="1:19" x14ac:dyDescent="0.35">
      <c r="A617" s="37">
        <v>616</v>
      </c>
      <c r="B617" s="60">
        <f>VLOOKUP(A617,'Dataset-3'!A8:S397,2,)</f>
        <v>40571</v>
      </c>
      <c r="C617" s="38">
        <f>VLOOKUP(B617,'Dataset-3'!B8:T397,2,)</f>
        <v>1</v>
      </c>
      <c r="D617" s="38">
        <f>VLOOKUP(C617,'Dataset-3'!C8:U397,2,)</f>
        <v>0</v>
      </c>
      <c r="E617" s="38">
        <f>VLOOKUP(D617,'Dataset-3'!D8:V397,2,)</f>
        <v>1</v>
      </c>
      <c r="F617" s="38">
        <f>VLOOKUP(E617,'Dataset-3'!E8:W397,2,)</f>
        <v>21</v>
      </c>
      <c r="G617" s="41" t="str">
        <f>VLOOKUP(F617,'Dataset-3'!F8:X397,2,)</f>
        <v>Night</v>
      </c>
      <c r="H617" s="38" t="b">
        <f>VLOOKUP(G617,'Dataset-3'!G8:Y397,2,)</f>
        <v>0</v>
      </c>
      <c r="I617" s="38">
        <f>VLOOKUP(H617,'Dataset-3'!H8:Z397,2,)</f>
        <v>5</v>
      </c>
      <c r="J617" s="41" t="str">
        <f>VLOOKUP(I617,'Dataset-3'!I8:AA397,2,)</f>
        <v>Thusday</v>
      </c>
      <c r="K617" s="38">
        <f>VLOOKUP(J617,'Dataset-3'!J8:AB397,2,)</f>
        <v>2</v>
      </c>
      <c r="L617" s="38">
        <f>VLOOKUP(K617,'Dataset-3'!K8:AC397,2,)</f>
        <v>0.22</v>
      </c>
      <c r="M617" s="70" t="str">
        <f>VLOOKUP(L617,'Dataset-3'!L8:AD397,2,)</f>
        <v>Cloudy</v>
      </c>
      <c r="N617" s="38">
        <f>VLOOKUP(M617,'Dataset-3'!M8:AE397,2,)</f>
        <v>0.2273</v>
      </c>
      <c r="O617" s="38">
        <f>VLOOKUP(N617,'Dataset-3'!N8:AF397,2,)</f>
        <v>0.75</v>
      </c>
      <c r="P617" s="38">
        <f>VLOOKUP(O617,'Dataset-3'!O8:AG397,2,)</f>
        <v>0.1343</v>
      </c>
      <c r="Q617" s="38">
        <f>VLOOKUP(P617,'Dataset-3'!P8:AH397,2,)</f>
        <v>1</v>
      </c>
      <c r="R617" s="38">
        <f>VLOOKUP(Q617,'Dataset-3'!Q8:AI397,2,)</f>
        <v>57</v>
      </c>
      <c r="S617" s="38">
        <f>VLOOKUP(R617,'Dataset-3'!R8:AJ397,2,)</f>
        <v>58</v>
      </c>
    </row>
    <row r="618" spans="1:19" x14ac:dyDescent="0.35">
      <c r="A618" s="37">
        <v>617</v>
      </c>
      <c r="B618" s="60">
        <f>VLOOKUP(A618,'Dataset-3'!A9:S398,2,)</f>
        <v>40571</v>
      </c>
      <c r="C618" s="38">
        <f>VLOOKUP(B618,'Dataset-3'!B9:T398,2,)</f>
        <v>1</v>
      </c>
      <c r="D618" s="38">
        <f>VLOOKUP(C618,'Dataset-3'!C9:U398,2,)</f>
        <v>0</v>
      </c>
      <c r="E618" s="38">
        <f>VLOOKUP(D618,'Dataset-3'!D9:V398,2,)</f>
        <v>1</v>
      </c>
      <c r="F618" s="38">
        <f>VLOOKUP(E618,'Dataset-3'!E9:W398,2,)</f>
        <v>22</v>
      </c>
      <c r="G618" s="41" t="str">
        <f>VLOOKUP(F618,'Dataset-3'!F9:X398,2,)</f>
        <v>Night</v>
      </c>
      <c r="H618" s="38" t="b">
        <f>VLOOKUP(G618,'Dataset-3'!G9:Y398,2,)</f>
        <v>0</v>
      </c>
      <c r="I618" s="38">
        <f>VLOOKUP(H618,'Dataset-3'!H9:Z398,2,)</f>
        <v>5</v>
      </c>
      <c r="J618" s="41" t="str">
        <f>VLOOKUP(I618,'Dataset-3'!I9:AA398,2,)</f>
        <v>Thusday</v>
      </c>
      <c r="K618" s="38">
        <f>VLOOKUP(J618,'Dataset-3'!J9:AB398,2,)</f>
        <v>1</v>
      </c>
      <c r="L618" s="38">
        <f>VLOOKUP(K618,'Dataset-3'!K9:AC398,2,)</f>
        <v>0.24</v>
      </c>
      <c r="M618" s="70" t="str">
        <f>VLOOKUP(L618,'Dataset-3'!L9:AD398,2,)</f>
        <v>Cloudy</v>
      </c>
      <c r="N618" s="38">
        <f>VLOOKUP(M618,'Dataset-3'!M9:AE398,2,)</f>
        <v>0.21210000000000001</v>
      </c>
      <c r="O618" s="38">
        <f>VLOOKUP(N618,'Dataset-3'!N9:AF398,2,)</f>
        <v>0.65</v>
      </c>
      <c r="P618" s="38">
        <f>VLOOKUP(O618,'Dataset-3'!O9:AG398,2,)</f>
        <v>0.35820000000000002</v>
      </c>
      <c r="Q618" s="38">
        <f>VLOOKUP(P618,'Dataset-3'!P9:AH398,2,)</f>
        <v>0</v>
      </c>
      <c r="R618" s="38">
        <f>VLOOKUP(Q618,'Dataset-3'!Q9:AI398,2,)</f>
        <v>26</v>
      </c>
      <c r="S618" s="38">
        <f>VLOOKUP(R618,'Dataset-3'!R9:AJ398,2,)</f>
        <v>26</v>
      </c>
    </row>
    <row r="619" spans="1:19" x14ac:dyDescent="0.35">
      <c r="A619" s="37">
        <v>618</v>
      </c>
      <c r="B619" s="60">
        <f>VLOOKUP(A619,'Dataset-3'!A10:S399,2,)</f>
        <v>40571</v>
      </c>
      <c r="C619" s="38">
        <f>VLOOKUP(B619,'Dataset-3'!B10:T399,2,)</f>
        <v>1</v>
      </c>
      <c r="D619" s="38">
        <f>VLOOKUP(C619,'Dataset-3'!C10:U399,2,)</f>
        <v>0</v>
      </c>
      <c r="E619" s="38">
        <f>VLOOKUP(D619,'Dataset-3'!D10:V399,2,)</f>
        <v>1</v>
      </c>
      <c r="F619" s="38">
        <f>VLOOKUP(E619,'Dataset-3'!E10:W399,2,)</f>
        <v>23</v>
      </c>
      <c r="G619" s="41" t="str">
        <f>VLOOKUP(F619,'Dataset-3'!F10:X399,2,)</f>
        <v>Night</v>
      </c>
      <c r="H619" s="38" t="b">
        <f>VLOOKUP(G619,'Dataset-3'!G10:Y399,2,)</f>
        <v>0</v>
      </c>
      <c r="I619" s="38">
        <f>VLOOKUP(H619,'Dataset-3'!H10:Z399,2,)</f>
        <v>5</v>
      </c>
      <c r="J619" s="41" t="str">
        <f>VLOOKUP(I619,'Dataset-3'!I10:AA399,2,)</f>
        <v>Thusday</v>
      </c>
      <c r="K619" s="38">
        <f>VLOOKUP(J619,'Dataset-3'!J10:AB399,2,)</f>
        <v>1</v>
      </c>
      <c r="L619" s="38">
        <f>VLOOKUP(K619,'Dataset-3'!K10:AC399,2,)</f>
        <v>0.24</v>
      </c>
      <c r="M619" s="70" t="str">
        <f>VLOOKUP(L619,'Dataset-3'!L10:AD399,2,)</f>
        <v>Cloudy</v>
      </c>
      <c r="N619" s="38">
        <f>VLOOKUP(M619,'Dataset-3'!M10:AE399,2,)</f>
        <v>0.2273</v>
      </c>
      <c r="O619" s="38">
        <f>VLOOKUP(N619,'Dataset-3'!N10:AF399,2,)</f>
        <v>0.6</v>
      </c>
      <c r="P619" s="38">
        <f>VLOOKUP(O619,'Dataset-3'!O10:AG399,2,)</f>
        <v>0.22389999999999999</v>
      </c>
      <c r="Q619" s="38">
        <f>VLOOKUP(P619,'Dataset-3'!P10:AH399,2,)</f>
        <v>1</v>
      </c>
      <c r="R619" s="38">
        <f>VLOOKUP(Q619,'Dataset-3'!Q10:AI399,2,)</f>
        <v>22</v>
      </c>
      <c r="S619" s="38">
        <f>VLOOKUP(R619,'Dataset-3'!R10:AJ399,2,)</f>
        <v>23</v>
      </c>
    </row>
    <row r="620" spans="1:19" x14ac:dyDescent="0.35">
      <c r="A620" s="37">
        <v>619</v>
      </c>
      <c r="B620" s="60">
        <f>VLOOKUP(A620,'Dataset-3'!A11:S400,2,)</f>
        <v>40572</v>
      </c>
      <c r="C620" s="38">
        <f>VLOOKUP(B620,'Dataset-3'!B11:T400,2,)</f>
        <v>1</v>
      </c>
      <c r="D620" s="38">
        <f>VLOOKUP(C620,'Dataset-3'!C11:U400,2,)</f>
        <v>0</v>
      </c>
      <c r="E620" s="38">
        <f>VLOOKUP(D620,'Dataset-3'!D11:V400,2,)</f>
        <v>1</v>
      </c>
      <c r="F620" s="38">
        <f>VLOOKUP(E620,'Dataset-3'!E11:W400,2,)</f>
        <v>0</v>
      </c>
      <c r="G620" s="41" t="str">
        <f>VLOOKUP(F620,'Dataset-3'!F11:X400,2,)</f>
        <v>Night</v>
      </c>
      <c r="H620" s="38" t="b">
        <f>VLOOKUP(G620,'Dataset-3'!G11:Y400,2,)</f>
        <v>0</v>
      </c>
      <c r="I620" s="38">
        <f>VLOOKUP(H620,'Dataset-3'!H11:Z400,2,)</f>
        <v>6</v>
      </c>
      <c r="J620" s="41" t="str">
        <f>VLOOKUP(I620,'Dataset-3'!I11:AA400,2,)</f>
        <v>Friday</v>
      </c>
      <c r="K620" s="38">
        <f>VLOOKUP(J620,'Dataset-3'!J11:AB400,2,)</f>
        <v>1</v>
      </c>
      <c r="L620" s="38">
        <f>VLOOKUP(K620,'Dataset-3'!K11:AC400,2,)</f>
        <v>0.22</v>
      </c>
      <c r="M620" s="70" t="str">
        <f>VLOOKUP(L620,'Dataset-3'!L11:AD400,2,)</f>
        <v>Cloudy</v>
      </c>
      <c r="N620" s="38">
        <f>VLOOKUP(M620,'Dataset-3'!M11:AE400,2,)</f>
        <v>0.19700000000000001</v>
      </c>
      <c r="O620" s="38">
        <f>VLOOKUP(N620,'Dataset-3'!N11:AF400,2,)</f>
        <v>0.64</v>
      </c>
      <c r="P620" s="38">
        <f>VLOOKUP(O620,'Dataset-3'!O11:AG400,2,)</f>
        <v>0.35820000000000002</v>
      </c>
      <c r="Q620" s="38">
        <f>VLOOKUP(P620,'Dataset-3'!P11:AH400,2,)</f>
        <v>2</v>
      </c>
      <c r="R620" s="38">
        <f>VLOOKUP(Q620,'Dataset-3'!Q11:AI400,2,)</f>
        <v>26</v>
      </c>
      <c r="S620" s="38">
        <f>VLOOKUP(R620,'Dataset-3'!R11:AJ400,2,)</f>
        <v>28</v>
      </c>
    </row>
    <row r="621" spans="1:19" x14ac:dyDescent="0.35">
      <c r="A621" s="37">
        <v>620</v>
      </c>
      <c r="B621" s="60">
        <f>VLOOKUP(A621,'Dataset-3'!A12:S401,2,)</f>
        <v>40572</v>
      </c>
      <c r="C621" s="38">
        <f>VLOOKUP(B621,'Dataset-3'!B12:T401,2,)</f>
        <v>1</v>
      </c>
      <c r="D621" s="38">
        <f>VLOOKUP(C621,'Dataset-3'!C12:U401,2,)</f>
        <v>0</v>
      </c>
      <c r="E621" s="38">
        <f>VLOOKUP(D621,'Dataset-3'!D12:V401,2,)</f>
        <v>1</v>
      </c>
      <c r="F621" s="38">
        <f>VLOOKUP(E621,'Dataset-3'!E12:W401,2,)</f>
        <v>1</v>
      </c>
      <c r="G621" s="41" t="str">
        <f>VLOOKUP(F621,'Dataset-3'!F12:X401,2,)</f>
        <v>Night</v>
      </c>
      <c r="H621" s="38" t="b">
        <f>VLOOKUP(G621,'Dataset-3'!G12:Y401,2,)</f>
        <v>0</v>
      </c>
      <c r="I621" s="38">
        <f>VLOOKUP(H621,'Dataset-3'!H12:Z401,2,)</f>
        <v>6</v>
      </c>
      <c r="J621" s="41" t="str">
        <f>VLOOKUP(I621,'Dataset-3'!I12:AA401,2,)</f>
        <v>Friday</v>
      </c>
      <c r="K621" s="38">
        <f>VLOOKUP(J621,'Dataset-3'!J12:AB401,2,)</f>
        <v>1</v>
      </c>
      <c r="L621" s="38">
        <f>VLOOKUP(K621,'Dataset-3'!K12:AC401,2,)</f>
        <v>0.22</v>
      </c>
      <c r="M621" s="70" t="str">
        <f>VLOOKUP(L621,'Dataset-3'!L12:AD401,2,)</f>
        <v>Cloudy</v>
      </c>
      <c r="N621" s="38">
        <f>VLOOKUP(M621,'Dataset-3'!M12:AE401,2,)</f>
        <v>0.2273</v>
      </c>
      <c r="O621" s="38">
        <f>VLOOKUP(N621,'Dataset-3'!N12:AF401,2,)</f>
        <v>0.64</v>
      </c>
      <c r="P621" s="38">
        <f>VLOOKUP(O621,'Dataset-3'!O12:AG401,2,)</f>
        <v>0.19400000000000001</v>
      </c>
      <c r="Q621" s="38">
        <f>VLOOKUP(P621,'Dataset-3'!P12:AH401,2,)</f>
        <v>0</v>
      </c>
      <c r="R621" s="38">
        <f>VLOOKUP(Q621,'Dataset-3'!Q12:AI401,2,)</f>
        <v>20</v>
      </c>
      <c r="S621" s="38">
        <f>VLOOKUP(R621,'Dataset-3'!R12:AJ401,2,)</f>
        <v>20</v>
      </c>
    </row>
    <row r="622" spans="1:19" x14ac:dyDescent="0.35">
      <c r="A622" s="37">
        <v>621</v>
      </c>
      <c r="B622" s="60">
        <f>VLOOKUP(A622,'Dataset-3'!A13:S402,2,)</f>
        <v>40572</v>
      </c>
      <c r="C622" s="38">
        <f>VLOOKUP(B622,'Dataset-3'!B13:T402,2,)</f>
        <v>1</v>
      </c>
      <c r="D622" s="38">
        <f>VLOOKUP(C622,'Dataset-3'!C13:U402,2,)</f>
        <v>0</v>
      </c>
      <c r="E622" s="38">
        <f>VLOOKUP(D622,'Dataset-3'!D13:V402,2,)</f>
        <v>1</v>
      </c>
      <c r="F622" s="38">
        <f>VLOOKUP(E622,'Dataset-3'!E13:W402,2,)</f>
        <v>2</v>
      </c>
      <c r="G622" s="41" t="str">
        <f>VLOOKUP(F622,'Dataset-3'!F13:X402,2,)</f>
        <v>Night</v>
      </c>
      <c r="H622" s="38" t="b">
        <f>VLOOKUP(G622,'Dataset-3'!G13:Y402,2,)</f>
        <v>0</v>
      </c>
      <c r="I622" s="38">
        <f>VLOOKUP(H622,'Dataset-3'!H13:Z402,2,)</f>
        <v>6</v>
      </c>
      <c r="J622" s="41" t="str">
        <f>VLOOKUP(I622,'Dataset-3'!I13:AA402,2,)</f>
        <v>Friday</v>
      </c>
      <c r="K622" s="38">
        <f>VLOOKUP(J622,'Dataset-3'!J13:AB402,2,)</f>
        <v>1</v>
      </c>
      <c r="L622" s="38">
        <f>VLOOKUP(K622,'Dataset-3'!K13:AC402,2,)</f>
        <v>0.22</v>
      </c>
      <c r="M622" s="70" t="str">
        <f>VLOOKUP(L622,'Dataset-3'!L13:AD402,2,)</f>
        <v>Cloudy</v>
      </c>
      <c r="N622" s="38">
        <f>VLOOKUP(M622,'Dataset-3'!M13:AE402,2,)</f>
        <v>0.2273</v>
      </c>
      <c r="O622" s="38">
        <f>VLOOKUP(N622,'Dataset-3'!N13:AF402,2,)</f>
        <v>0.64</v>
      </c>
      <c r="P622" s="38">
        <f>VLOOKUP(O622,'Dataset-3'!O13:AG402,2,)</f>
        <v>0.16420000000000001</v>
      </c>
      <c r="Q622" s="38">
        <f>VLOOKUP(P622,'Dataset-3'!P13:AH402,2,)</f>
        <v>0</v>
      </c>
      <c r="R622" s="38">
        <f>VLOOKUP(Q622,'Dataset-3'!Q13:AI402,2,)</f>
        <v>15</v>
      </c>
      <c r="S622" s="38">
        <f>VLOOKUP(R622,'Dataset-3'!R13:AJ402,2,)</f>
        <v>15</v>
      </c>
    </row>
    <row r="623" spans="1:19" x14ac:dyDescent="0.35">
      <c r="A623" s="37">
        <v>622</v>
      </c>
      <c r="B623" s="60">
        <f>VLOOKUP(A623,'Dataset-3'!A14:S403,2,)</f>
        <v>40572</v>
      </c>
      <c r="C623" s="38">
        <f>VLOOKUP(B623,'Dataset-3'!B14:T403,2,)</f>
        <v>1</v>
      </c>
      <c r="D623" s="38">
        <f>VLOOKUP(C623,'Dataset-3'!C14:U403,2,)</f>
        <v>0</v>
      </c>
      <c r="E623" s="38">
        <f>VLOOKUP(D623,'Dataset-3'!D14:V403,2,)</f>
        <v>1</v>
      </c>
      <c r="F623" s="38">
        <f>VLOOKUP(E623,'Dataset-3'!E14:W403,2,)</f>
        <v>3</v>
      </c>
      <c r="G623" s="41" t="str">
        <f>VLOOKUP(F623,'Dataset-3'!F14:X403,2,)</f>
        <v>Night</v>
      </c>
      <c r="H623" s="38" t="b">
        <f>VLOOKUP(G623,'Dataset-3'!G14:Y403,2,)</f>
        <v>0</v>
      </c>
      <c r="I623" s="38">
        <f>VLOOKUP(H623,'Dataset-3'!H14:Z403,2,)</f>
        <v>6</v>
      </c>
      <c r="J623" s="41" t="str">
        <f>VLOOKUP(I623,'Dataset-3'!I14:AA403,2,)</f>
        <v>Friday</v>
      </c>
      <c r="K623" s="38">
        <f>VLOOKUP(J623,'Dataset-3'!J14:AB403,2,)</f>
        <v>1</v>
      </c>
      <c r="L623" s="38">
        <f>VLOOKUP(K623,'Dataset-3'!K14:AC403,2,)</f>
        <v>0.2</v>
      </c>
      <c r="M623" s="70" t="str">
        <f>VLOOKUP(L623,'Dataset-3'!L14:AD403,2,)</f>
        <v>Rainy</v>
      </c>
      <c r="N623" s="38">
        <f>VLOOKUP(M623,'Dataset-3'!M14:AE403,2,)</f>
        <v>0.21210000000000001</v>
      </c>
      <c r="O623" s="38">
        <f>VLOOKUP(N623,'Dataset-3'!N14:AF403,2,)</f>
        <v>0.64</v>
      </c>
      <c r="P623" s="38">
        <f>VLOOKUP(O623,'Dataset-3'!O14:AG403,2,)</f>
        <v>0.1343</v>
      </c>
      <c r="Q623" s="38">
        <f>VLOOKUP(P623,'Dataset-3'!P14:AH403,2,)</f>
        <v>3</v>
      </c>
      <c r="R623" s="38">
        <f>VLOOKUP(Q623,'Dataset-3'!Q14:AI403,2,)</f>
        <v>5</v>
      </c>
      <c r="S623" s="38">
        <f>VLOOKUP(R623,'Dataset-3'!R14:AJ403,2,)</f>
        <v>8</v>
      </c>
    </row>
    <row r="624" spans="1:19" x14ac:dyDescent="0.35">
      <c r="A624" s="37">
        <v>623</v>
      </c>
      <c r="B624" s="60">
        <f>VLOOKUP(A624,'Dataset-3'!A15:S404,2,)</f>
        <v>40572</v>
      </c>
      <c r="C624" s="38">
        <f>VLOOKUP(B624,'Dataset-3'!B15:T404,2,)</f>
        <v>1</v>
      </c>
      <c r="D624" s="38">
        <f>VLOOKUP(C624,'Dataset-3'!C15:U404,2,)</f>
        <v>0</v>
      </c>
      <c r="E624" s="38">
        <f>VLOOKUP(D624,'Dataset-3'!D15:V404,2,)</f>
        <v>1</v>
      </c>
      <c r="F624" s="38">
        <f>VLOOKUP(E624,'Dataset-3'!E15:W404,2,)</f>
        <v>4</v>
      </c>
      <c r="G624" s="41" t="str">
        <f>VLOOKUP(F624,'Dataset-3'!F15:X404,2,)</f>
        <v>Night</v>
      </c>
      <c r="H624" s="38" t="b">
        <f>VLOOKUP(G624,'Dataset-3'!G15:Y404,2,)</f>
        <v>0</v>
      </c>
      <c r="I624" s="38">
        <f>VLOOKUP(H624,'Dataset-3'!H15:Z404,2,)</f>
        <v>6</v>
      </c>
      <c r="J624" s="41" t="str">
        <f>VLOOKUP(I624,'Dataset-3'!I15:AA404,2,)</f>
        <v>Friday</v>
      </c>
      <c r="K624" s="38">
        <f>VLOOKUP(J624,'Dataset-3'!J15:AB404,2,)</f>
        <v>1</v>
      </c>
      <c r="L624" s="38">
        <f>VLOOKUP(K624,'Dataset-3'!K15:AC404,2,)</f>
        <v>0.16</v>
      </c>
      <c r="M624" s="70" t="str">
        <f>VLOOKUP(L624,'Dataset-3'!L15:AD404,2,)</f>
        <v>Rainy</v>
      </c>
      <c r="N624" s="38">
        <f>VLOOKUP(M624,'Dataset-3'!M15:AE404,2,)</f>
        <v>0.18179999999999999</v>
      </c>
      <c r="O624" s="38">
        <f>VLOOKUP(N624,'Dataset-3'!N15:AF404,2,)</f>
        <v>0.69</v>
      </c>
      <c r="P624" s="38">
        <f>VLOOKUP(O624,'Dataset-3'!O15:AG404,2,)</f>
        <v>0.1045</v>
      </c>
      <c r="Q624" s="38">
        <f>VLOOKUP(P624,'Dataset-3'!P15:AH404,2,)</f>
        <v>1</v>
      </c>
      <c r="R624" s="38">
        <f>VLOOKUP(Q624,'Dataset-3'!Q15:AI404,2,)</f>
        <v>2</v>
      </c>
      <c r="S624" s="38">
        <f>VLOOKUP(R624,'Dataset-3'!R15:AJ404,2,)</f>
        <v>3</v>
      </c>
    </row>
    <row r="625" spans="1:19" x14ac:dyDescent="0.35">
      <c r="A625" s="37">
        <v>624</v>
      </c>
      <c r="B625" s="60">
        <f>VLOOKUP(A625,'Dataset-3'!A16:S405,2,)</f>
        <v>40572</v>
      </c>
      <c r="C625" s="38">
        <f>VLOOKUP(B625,'Dataset-3'!B16:T405,2,)</f>
        <v>1</v>
      </c>
      <c r="D625" s="38">
        <f>VLOOKUP(C625,'Dataset-3'!C16:U405,2,)</f>
        <v>0</v>
      </c>
      <c r="E625" s="38">
        <f>VLOOKUP(D625,'Dataset-3'!D16:V405,2,)</f>
        <v>1</v>
      </c>
      <c r="F625" s="38">
        <f>VLOOKUP(E625,'Dataset-3'!E16:W405,2,)</f>
        <v>6</v>
      </c>
      <c r="G625" s="41" t="str">
        <f>VLOOKUP(F625,'Dataset-3'!F16:X405,2,)</f>
        <v>Morning</v>
      </c>
      <c r="H625" s="38" t="b">
        <f>VLOOKUP(G625,'Dataset-3'!G16:Y405,2,)</f>
        <v>0</v>
      </c>
      <c r="I625" s="38">
        <f>VLOOKUP(H625,'Dataset-3'!H16:Z405,2,)</f>
        <v>6</v>
      </c>
      <c r="J625" s="41" t="str">
        <f>VLOOKUP(I625,'Dataset-3'!I16:AA405,2,)</f>
        <v>Friday</v>
      </c>
      <c r="K625" s="38">
        <f>VLOOKUP(J625,'Dataset-3'!J16:AB405,2,)</f>
        <v>1</v>
      </c>
      <c r="L625" s="38">
        <f>VLOOKUP(K625,'Dataset-3'!K16:AC405,2,)</f>
        <v>0.16</v>
      </c>
      <c r="M625" s="70" t="str">
        <f>VLOOKUP(L625,'Dataset-3'!L16:AD405,2,)</f>
        <v>Rainy</v>
      </c>
      <c r="N625" s="38">
        <f>VLOOKUP(M625,'Dataset-3'!M16:AE405,2,)</f>
        <v>0.18179999999999999</v>
      </c>
      <c r="O625" s="38">
        <f>VLOOKUP(N625,'Dataset-3'!N16:AF405,2,)</f>
        <v>0.64</v>
      </c>
      <c r="P625" s="38">
        <f>VLOOKUP(O625,'Dataset-3'!O16:AG405,2,)</f>
        <v>0.1343</v>
      </c>
      <c r="Q625" s="38">
        <f>VLOOKUP(P625,'Dataset-3'!P16:AH405,2,)</f>
        <v>0</v>
      </c>
      <c r="R625" s="38">
        <f>VLOOKUP(Q625,'Dataset-3'!Q16:AI405,2,)</f>
        <v>2</v>
      </c>
      <c r="S625" s="38">
        <f>VLOOKUP(R625,'Dataset-3'!R16:AJ405,2,)</f>
        <v>2</v>
      </c>
    </row>
    <row r="626" spans="1:19" x14ac:dyDescent="0.35">
      <c r="A626" s="37">
        <v>625</v>
      </c>
      <c r="B626" s="60">
        <f>VLOOKUP(A626,'Dataset-3'!A17:S406,2,)</f>
        <v>40572</v>
      </c>
      <c r="C626" s="38">
        <f>VLOOKUP(B626,'Dataset-3'!B17:T406,2,)</f>
        <v>1</v>
      </c>
      <c r="D626" s="38">
        <f>VLOOKUP(C626,'Dataset-3'!C17:U406,2,)</f>
        <v>0</v>
      </c>
      <c r="E626" s="38">
        <f>VLOOKUP(D626,'Dataset-3'!D17:V406,2,)</f>
        <v>1</v>
      </c>
      <c r="F626" s="38">
        <f>VLOOKUP(E626,'Dataset-3'!E17:W406,2,)</f>
        <v>7</v>
      </c>
      <c r="G626" s="41" t="str">
        <f>VLOOKUP(F626,'Dataset-3'!F17:X406,2,)</f>
        <v>Morning</v>
      </c>
      <c r="H626" s="38" t="b">
        <f>VLOOKUP(G626,'Dataset-3'!G17:Y406,2,)</f>
        <v>0</v>
      </c>
      <c r="I626" s="38">
        <f>VLOOKUP(H626,'Dataset-3'!H17:Z406,2,)</f>
        <v>6</v>
      </c>
      <c r="J626" s="41" t="str">
        <f>VLOOKUP(I626,'Dataset-3'!I17:AA406,2,)</f>
        <v>Friday</v>
      </c>
      <c r="K626" s="38">
        <f>VLOOKUP(J626,'Dataset-3'!J17:AB406,2,)</f>
        <v>1</v>
      </c>
      <c r="L626" s="38">
        <f>VLOOKUP(K626,'Dataset-3'!K17:AC406,2,)</f>
        <v>0.16</v>
      </c>
      <c r="M626" s="70" t="str">
        <f>VLOOKUP(L626,'Dataset-3'!L17:AD406,2,)</f>
        <v>Rainy</v>
      </c>
      <c r="N626" s="38">
        <f>VLOOKUP(M626,'Dataset-3'!M17:AE406,2,)</f>
        <v>0.18179999999999999</v>
      </c>
      <c r="O626" s="38">
        <f>VLOOKUP(N626,'Dataset-3'!N17:AF406,2,)</f>
        <v>0.59</v>
      </c>
      <c r="P626" s="38">
        <f>VLOOKUP(O626,'Dataset-3'!O17:AG406,2,)</f>
        <v>0.1045</v>
      </c>
      <c r="Q626" s="38">
        <f>VLOOKUP(P626,'Dataset-3'!P17:AH406,2,)</f>
        <v>1</v>
      </c>
      <c r="R626" s="38">
        <f>VLOOKUP(Q626,'Dataset-3'!Q17:AI406,2,)</f>
        <v>4</v>
      </c>
      <c r="S626" s="38">
        <f>VLOOKUP(R626,'Dataset-3'!R17:AJ406,2,)</f>
        <v>5</v>
      </c>
    </row>
    <row r="627" spans="1:19" x14ac:dyDescent="0.35">
      <c r="A627" s="37">
        <v>626</v>
      </c>
      <c r="B627" s="60">
        <f>VLOOKUP(A627,'Dataset-3'!A18:S407,2,)</f>
        <v>40572</v>
      </c>
      <c r="C627" s="38">
        <f>VLOOKUP(B627,'Dataset-3'!B18:T407,2,)</f>
        <v>1</v>
      </c>
      <c r="D627" s="38">
        <f>VLOOKUP(C627,'Dataset-3'!C18:U407,2,)</f>
        <v>0</v>
      </c>
      <c r="E627" s="38">
        <f>VLOOKUP(D627,'Dataset-3'!D18:V407,2,)</f>
        <v>1</v>
      </c>
      <c r="F627" s="38">
        <f>VLOOKUP(E627,'Dataset-3'!E18:W407,2,)</f>
        <v>8</v>
      </c>
      <c r="G627" s="41" t="str">
        <f>VLOOKUP(F627,'Dataset-3'!F18:X407,2,)</f>
        <v>Morning</v>
      </c>
      <c r="H627" s="38" t="b">
        <f>VLOOKUP(G627,'Dataset-3'!G18:Y407,2,)</f>
        <v>0</v>
      </c>
      <c r="I627" s="38">
        <f>VLOOKUP(H627,'Dataset-3'!H18:Z407,2,)</f>
        <v>6</v>
      </c>
      <c r="J627" s="41" t="str">
        <f>VLOOKUP(I627,'Dataset-3'!I18:AA407,2,)</f>
        <v>Friday</v>
      </c>
      <c r="K627" s="38">
        <f>VLOOKUP(J627,'Dataset-3'!J18:AB407,2,)</f>
        <v>1</v>
      </c>
      <c r="L627" s="38">
        <f>VLOOKUP(K627,'Dataset-3'!K18:AC407,2,)</f>
        <v>0.18</v>
      </c>
      <c r="M627" s="70" t="str">
        <f>VLOOKUP(L627,'Dataset-3'!L18:AD407,2,)</f>
        <v>Rainy</v>
      </c>
      <c r="N627" s="38">
        <f>VLOOKUP(M627,'Dataset-3'!M18:AE407,2,)</f>
        <v>0.19700000000000001</v>
      </c>
      <c r="O627" s="38">
        <f>VLOOKUP(N627,'Dataset-3'!N18:AF407,2,)</f>
        <v>0.55000000000000004</v>
      </c>
      <c r="P627" s="38">
        <f>VLOOKUP(O627,'Dataset-3'!O18:AG407,2,)</f>
        <v>0.16420000000000001</v>
      </c>
      <c r="Q627" s="38">
        <f>VLOOKUP(P627,'Dataset-3'!P18:AH407,2,)</f>
        <v>3</v>
      </c>
      <c r="R627" s="38">
        <f>VLOOKUP(Q627,'Dataset-3'!Q18:AI407,2,)</f>
        <v>31</v>
      </c>
      <c r="S627" s="38">
        <f>VLOOKUP(R627,'Dataset-3'!R18:AJ407,2,)</f>
        <v>34</v>
      </c>
    </row>
    <row r="628" spans="1:19" x14ac:dyDescent="0.35">
      <c r="A628" s="37">
        <v>627</v>
      </c>
      <c r="B628" s="60">
        <f>VLOOKUP(A628,'Dataset-3'!A19:S408,2,)</f>
        <v>40572</v>
      </c>
      <c r="C628" s="38">
        <f>VLOOKUP(B628,'Dataset-3'!B19:T408,2,)</f>
        <v>1</v>
      </c>
      <c r="D628" s="38">
        <f>VLOOKUP(C628,'Dataset-3'!C19:U408,2,)</f>
        <v>0</v>
      </c>
      <c r="E628" s="38">
        <f>VLOOKUP(D628,'Dataset-3'!D19:V408,2,)</f>
        <v>1</v>
      </c>
      <c r="F628" s="38">
        <f>VLOOKUP(E628,'Dataset-3'!E19:W408,2,)</f>
        <v>9</v>
      </c>
      <c r="G628" s="41" t="str">
        <f>VLOOKUP(F628,'Dataset-3'!F19:X408,2,)</f>
        <v>Morning</v>
      </c>
      <c r="H628" s="38" t="b">
        <f>VLOOKUP(G628,'Dataset-3'!G19:Y408,2,)</f>
        <v>0</v>
      </c>
      <c r="I628" s="38">
        <f>VLOOKUP(H628,'Dataset-3'!H19:Z408,2,)</f>
        <v>6</v>
      </c>
      <c r="J628" s="41" t="str">
        <f>VLOOKUP(I628,'Dataset-3'!I19:AA408,2,)</f>
        <v>Friday</v>
      </c>
      <c r="K628" s="38">
        <f>VLOOKUP(J628,'Dataset-3'!J19:AB408,2,)</f>
        <v>1</v>
      </c>
      <c r="L628" s="38">
        <f>VLOOKUP(K628,'Dataset-3'!K19:AC408,2,)</f>
        <v>0.18</v>
      </c>
      <c r="M628" s="70" t="str">
        <f>VLOOKUP(L628,'Dataset-3'!L19:AD408,2,)</f>
        <v>Rainy</v>
      </c>
      <c r="N628" s="38">
        <f>VLOOKUP(M628,'Dataset-3'!M19:AE408,2,)</f>
        <v>0.21210000000000001</v>
      </c>
      <c r="O628" s="38">
        <f>VLOOKUP(N628,'Dataset-3'!N19:AF408,2,)</f>
        <v>0.59</v>
      </c>
      <c r="P628" s="38">
        <f>VLOOKUP(O628,'Dataset-3'!O19:AG408,2,)</f>
        <v>8.9599999999999999E-2</v>
      </c>
      <c r="Q628" s="38">
        <f>VLOOKUP(P628,'Dataset-3'!P19:AH408,2,)</f>
        <v>0</v>
      </c>
      <c r="R628" s="38">
        <f>VLOOKUP(Q628,'Dataset-3'!Q19:AI408,2,)</f>
        <v>34</v>
      </c>
      <c r="S628" s="38">
        <f>VLOOKUP(R628,'Dataset-3'!R19:AJ408,2,)</f>
        <v>34</v>
      </c>
    </row>
    <row r="629" spans="1:19" x14ac:dyDescent="0.35">
      <c r="A629" s="37">
        <v>628</v>
      </c>
      <c r="B629" s="60">
        <f>VLOOKUP(A629,'Dataset-3'!A20:S409,2,)</f>
        <v>40572</v>
      </c>
      <c r="C629" s="38">
        <f>VLOOKUP(B629,'Dataset-3'!B20:T409,2,)</f>
        <v>1</v>
      </c>
      <c r="D629" s="38">
        <f>VLOOKUP(C629,'Dataset-3'!C20:U409,2,)</f>
        <v>0</v>
      </c>
      <c r="E629" s="38">
        <f>VLOOKUP(D629,'Dataset-3'!D20:V409,2,)</f>
        <v>1</v>
      </c>
      <c r="F629" s="38">
        <f>VLOOKUP(E629,'Dataset-3'!E20:W409,2,)</f>
        <v>10</v>
      </c>
      <c r="G629" s="41" t="str">
        <f>VLOOKUP(F629,'Dataset-3'!F20:X409,2,)</f>
        <v>Morning</v>
      </c>
      <c r="H629" s="38" t="b">
        <f>VLOOKUP(G629,'Dataset-3'!G20:Y409,2,)</f>
        <v>0</v>
      </c>
      <c r="I629" s="38">
        <f>VLOOKUP(H629,'Dataset-3'!H20:Z409,2,)</f>
        <v>6</v>
      </c>
      <c r="J629" s="41" t="str">
        <f>VLOOKUP(I629,'Dataset-3'!I20:AA409,2,)</f>
        <v>Friday</v>
      </c>
      <c r="K629" s="38">
        <f>VLOOKUP(J629,'Dataset-3'!J20:AB409,2,)</f>
        <v>2</v>
      </c>
      <c r="L629" s="38">
        <f>VLOOKUP(K629,'Dataset-3'!K20:AC409,2,)</f>
        <v>0.18</v>
      </c>
      <c r="M629" s="70" t="str">
        <f>VLOOKUP(L629,'Dataset-3'!L20:AD409,2,)</f>
        <v>Rainy</v>
      </c>
      <c r="N629" s="38">
        <f>VLOOKUP(M629,'Dataset-3'!M20:AE409,2,)</f>
        <v>0.21210000000000001</v>
      </c>
      <c r="O629" s="38">
        <f>VLOOKUP(N629,'Dataset-3'!N20:AF409,2,)</f>
        <v>0.64</v>
      </c>
      <c r="P629" s="38">
        <f>VLOOKUP(O629,'Dataset-3'!O20:AG409,2,)</f>
        <v>0.1045</v>
      </c>
      <c r="Q629" s="38">
        <f>VLOOKUP(P629,'Dataset-3'!P20:AH409,2,)</f>
        <v>4</v>
      </c>
      <c r="R629" s="38">
        <f>VLOOKUP(Q629,'Dataset-3'!Q20:AI409,2,)</f>
        <v>51</v>
      </c>
      <c r="S629" s="38">
        <f>VLOOKUP(R629,'Dataset-3'!R20:AJ409,2,)</f>
        <v>55</v>
      </c>
    </row>
    <row r="630" spans="1:19" x14ac:dyDescent="0.35">
      <c r="A630" s="37">
        <v>629</v>
      </c>
      <c r="B630" s="60">
        <f>VLOOKUP(A630,'Dataset-3'!A21:S410,2,)</f>
        <v>40572</v>
      </c>
      <c r="C630" s="38">
        <f>VLOOKUP(B630,'Dataset-3'!B21:T410,2,)</f>
        <v>1</v>
      </c>
      <c r="D630" s="38">
        <f>VLOOKUP(C630,'Dataset-3'!C21:U410,2,)</f>
        <v>0</v>
      </c>
      <c r="E630" s="38">
        <f>VLOOKUP(D630,'Dataset-3'!D21:V410,2,)</f>
        <v>1</v>
      </c>
      <c r="F630" s="38">
        <f>VLOOKUP(E630,'Dataset-3'!E21:W410,2,)</f>
        <v>11</v>
      </c>
      <c r="G630" s="41" t="str">
        <f>VLOOKUP(F630,'Dataset-3'!F21:X410,2,)</f>
        <v>Morning</v>
      </c>
      <c r="H630" s="38" t="b">
        <f>VLOOKUP(G630,'Dataset-3'!G21:Y410,2,)</f>
        <v>0</v>
      </c>
      <c r="I630" s="38">
        <f>VLOOKUP(H630,'Dataset-3'!H21:Z410,2,)</f>
        <v>6</v>
      </c>
      <c r="J630" s="41" t="str">
        <f>VLOOKUP(I630,'Dataset-3'!I21:AA410,2,)</f>
        <v>Friday</v>
      </c>
      <c r="K630" s="38">
        <f>VLOOKUP(J630,'Dataset-3'!J21:AB410,2,)</f>
        <v>2</v>
      </c>
      <c r="L630" s="38">
        <f>VLOOKUP(K630,'Dataset-3'!K21:AC410,2,)</f>
        <v>0.18</v>
      </c>
      <c r="M630" s="70" t="str">
        <f>VLOOKUP(L630,'Dataset-3'!L21:AD410,2,)</f>
        <v>Rainy</v>
      </c>
      <c r="N630" s="38">
        <f>VLOOKUP(M630,'Dataset-3'!M21:AE410,2,)</f>
        <v>0.19700000000000001</v>
      </c>
      <c r="O630" s="38">
        <f>VLOOKUP(N630,'Dataset-3'!N21:AF410,2,)</f>
        <v>0.64</v>
      </c>
      <c r="P630" s="38">
        <f>VLOOKUP(O630,'Dataset-3'!O21:AG410,2,)</f>
        <v>0.1343</v>
      </c>
      <c r="Q630" s="38">
        <f>VLOOKUP(P630,'Dataset-3'!P21:AH410,2,)</f>
        <v>4</v>
      </c>
      <c r="R630" s="38">
        <f>VLOOKUP(Q630,'Dataset-3'!Q21:AI410,2,)</f>
        <v>60</v>
      </c>
      <c r="S630" s="38">
        <f>VLOOKUP(R630,'Dataset-3'!R21:AJ410,2,)</f>
        <v>64</v>
      </c>
    </row>
    <row r="631" spans="1:19" x14ac:dyDescent="0.35">
      <c r="A631" s="37">
        <v>630</v>
      </c>
      <c r="B631" s="60">
        <f>VLOOKUP(A631,'Dataset-3'!A22:S411,2,)</f>
        <v>40572</v>
      </c>
      <c r="C631" s="38">
        <f>VLOOKUP(B631,'Dataset-3'!B22:T411,2,)</f>
        <v>1</v>
      </c>
      <c r="D631" s="38">
        <f>VLOOKUP(C631,'Dataset-3'!C22:U411,2,)</f>
        <v>0</v>
      </c>
      <c r="E631" s="38">
        <f>VLOOKUP(D631,'Dataset-3'!D22:V411,2,)</f>
        <v>1</v>
      </c>
      <c r="F631" s="38">
        <f>VLOOKUP(E631,'Dataset-3'!E22:W411,2,)</f>
        <v>12</v>
      </c>
      <c r="G631" s="41" t="str">
        <f>VLOOKUP(F631,'Dataset-3'!F22:X411,2,)</f>
        <v>AfterNoon</v>
      </c>
      <c r="H631" s="38" t="b">
        <f>VLOOKUP(G631,'Dataset-3'!G22:Y411,2,)</f>
        <v>0</v>
      </c>
      <c r="I631" s="38">
        <f>VLOOKUP(H631,'Dataset-3'!H22:Z411,2,)</f>
        <v>6</v>
      </c>
      <c r="J631" s="41" t="str">
        <f>VLOOKUP(I631,'Dataset-3'!I22:AA411,2,)</f>
        <v>Friday</v>
      </c>
      <c r="K631" s="38">
        <f>VLOOKUP(J631,'Dataset-3'!J22:AB411,2,)</f>
        <v>2</v>
      </c>
      <c r="L631" s="38">
        <f>VLOOKUP(K631,'Dataset-3'!K22:AC411,2,)</f>
        <v>0.2</v>
      </c>
      <c r="M631" s="70" t="str">
        <f>VLOOKUP(L631,'Dataset-3'!L22:AD411,2,)</f>
        <v>Rainy</v>
      </c>
      <c r="N631" s="38">
        <f>VLOOKUP(M631,'Dataset-3'!M22:AE411,2,)</f>
        <v>0.19700000000000001</v>
      </c>
      <c r="O631" s="38">
        <f>VLOOKUP(N631,'Dataset-3'!N22:AF411,2,)</f>
        <v>0.59</v>
      </c>
      <c r="P631" s="38">
        <f>VLOOKUP(O631,'Dataset-3'!O22:AG411,2,)</f>
        <v>0.19400000000000001</v>
      </c>
      <c r="Q631" s="38">
        <f>VLOOKUP(P631,'Dataset-3'!P22:AH411,2,)</f>
        <v>12</v>
      </c>
      <c r="R631" s="38">
        <f>VLOOKUP(Q631,'Dataset-3'!Q22:AI411,2,)</f>
        <v>66</v>
      </c>
      <c r="S631" s="38">
        <f>VLOOKUP(R631,'Dataset-3'!R22:AJ411,2,)</f>
        <v>78</v>
      </c>
    </row>
    <row r="632" spans="1:19" x14ac:dyDescent="0.35">
      <c r="A632" s="37">
        <v>631</v>
      </c>
      <c r="B632" s="60">
        <f>VLOOKUP(A632,'Dataset-3'!A23:S412,2,)</f>
        <v>40572</v>
      </c>
      <c r="C632" s="38">
        <f>VLOOKUP(B632,'Dataset-3'!B23:T412,2,)</f>
        <v>1</v>
      </c>
      <c r="D632" s="38">
        <f>VLOOKUP(C632,'Dataset-3'!C23:U412,2,)</f>
        <v>0</v>
      </c>
      <c r="E632" s="38">
        <f>VLOOKUP(D632,'Dataset-3'!D23:V412,2,)</f>
        <v>1</v>
      </c>
      <c r="F632" s="38">
        <f>VLOOKUP(E632,'Dataset-3'!E23:W412,2,)</f>
        <v>13</v>
      </c>
      <c r="G632" s="41" t="str">
        <f>VLOOKUP(F632,'Dataset-3'!F23:X412,2,)</f>
        <v>AfterNoon</v>
      </c>
      <c r="H632" s="38" t="b">
        <f>VLOOKUP(G632,'Dataset-3'!G23:Y412,2,)</f>
        <v>0</v>
      </c>
      <c r="I632" s="38">
        <f>VLOOKUP(H632,'Dataset-3'!H23:Z412,2,)</f>
        <v>6</v>
      </c>
      <c r="J632" s="41" t="str">
        <f>VLOOKUP(I632,'Dataset-3'!I23:AA412,2,)</f>
        <v>Friday</v>
      </c>
      <c r="K632" s="38">
        <f>VLOOKUP(J632,'Dataset-3'!J23:AB412,2,)</f>
        <v>2</v>
      </c>
      <c r="L632" s="38">
        <f>VLOOKUP(K632,'Dataset-3'!K23:AC412,2,)</f>
        <v>0.22</v>
      </c>
      <c r="M632" s="70" t="str">
        <f>VLOOKUP(L632,'Dataset-3'!L23:AD412,2,)</f>
        <v>Cloudy</v>
      </c>
      <c r="N632" s="38">
        <f>VLOOKUP(M632,'Dataset-3'!M23:AE412,2,)</f>
        <v>0.2273</v>
      </c>
      <c r="O632" s="38">
        <f>VLOOKUP(N632,'Dataset-3'!N23:AF412,2,)</f>
        <v>0.55000000000000004</v>
      </c>
      <c r="P632" s="38">
        <f>VLOOKUP(O632,'Dataset-3'!O23:AG412,2,)</f>
        <v>0.16420000000000001</v>
      </c>
      <c r="Q632" s="38">
        <f>VLOOKUP(P632,'Dataset-3'!P23:AH412,2,)</f>
        <v>9</v>
      </c>
      <c r="R632" s="38">
        <f>VLOOKUP(Q632,'Dataset-3'!Q23:AI412,2,)</f>
        <v>56</v>
      </c>
      <c r="S632" s="38">
        <f>VLOOKUP(R632,'Dataset-3'!R23:AJ412,2,)</f>
        <v>65</v>
      </c>
    </row>
    <row r="633" spans="1:19" x14ac:dyDescent="0.35">
      <c r="A633" s="37">
        <v>632</v>
      </c>
      <c r="B633" s="60">
        <f>VLOOKUP(A633,'Dataset-3'!A24:S413,2,)</f>
        <v>40572</v>
      </c>
      <c r="C633" s="38">
        <f>VLOOKUP(B633,'Dataset-3'!B24:T413,2,)</f>
        <v>1</v>
      </c>
      <c r="D633" s="38">
        <f>VLOOKUP(C633,'Dataset-3'!C24:U413,2,)</f>
        <v>0</v>
      </c>
      <c r="E633" s="38">
        <f>VLOOKUP(D633,'Dataset-3'!D24:V413,2,)</f>
        <v>1</v>
      </c>
      <c r="F633" s="38">
        <f>VLOOKUP(E633,'Dataset-3'!E24:W413,2,)</f>
        <v>14</v>
      </c>
      <c r="G633" s="41" t="str">
        <f>VLOOKUP(F633,'Dataset-3'!F24:X413,2,)</f>
        <v>AfterNoon</v>
      </c>
      <c r="H633" s="38" t="b">
        <f>VLOOKUP(G633,'Dataset-3'!G24:Y413,2,)</f>
        <v>0</v>
      </c>
      <c r="I633" s="38">
        <f>VLOOKUP(H633,'Dataset-3'!H24:Z413,2,)</f>
        <v>6</v>
      </c>
      <c r="J633" s="41" t="str">
        <f>VLOOKUP(I633,'Dataset-3'!I24:AA413,2,)</f>
        <v>Friday</v>
      </c>
      <c r="K633" s="38">
        <f>VLOOKUP(J633,'Dataset-3'!J24:AB413,2,)</f>
        <v>2</v>
      </c>
      <c r="L633" s="38">
        <f>VLOOKUP(K633,'Dataset-3'!K24:AC413,2,)</f>
        <v>0.22</v>
      </c>
      <c r="M633" s="70" t="str">
        <f>VLOOKUP(L633,'Dataset-3'!L24:AD413,2,)</f>
        <v>Cloudy</v>
      </c>
      <c r="N633" s="38">
        <f>VLOOKUP(M633,'Dataset-3'!M24:AE413,2,)</f>
        <v>0.2273</v>
      </c>
      <c r="O633" s="38">
        <f>VLOOKUP(N633,'Dataset-3'!N24:AF413,2,)</f>
        <v>0.6</v>
      </c>
      <c r="P633" s="38">
        <f>VLOOKUP(O633,'Dataset-3'!O24:AG413,2,)</f>
        <v>0.1343</v>
      </c>
      <c r="Q633" s="38">
        <f>VLOOKUP(P633,'Dataset-3'!P24:AH413,2,)</f>
        <v>10</v>
      </c>
      <c r="R633" s="38">
        <f>VLOOKUP(Q633,'Dataset-3'!Q24:AI413,2,)</f>
        <v>89</v>
      </c>
      <c r="S633" s="38">
        <f>VLOOKUP(R633,'Dataset-3'!R24:AJ413,2,)</f>
        <v>99</v>
      </c>
    </row>
    <row r="634" spans="1:19" x14ac:dyDescent="0.35">
      <c r="A634" s="37">
        <v>633</v>
      </c>
      <c r="B634" s="60">
        <f>VLOOKUP(A634,'Dataset-3'!A25:S414,2,)</f>
        <v>40572</v>
      </c>
      <c r="C634" s="38">
        <f>VLOOKUP(B634,'Dataset-3'!B25:T414,2,)</f>
        <v>1</v>
      </c>
      <c r="D634" s="38">
        <f>VLOOKUP(C634,'Dataset-3'!C25:U414,2,)</f>
        <v>0</v>
      </c>
      <c r="E634" s="38">
        <f>VLOOKUP(D634,'Dataset-3'!D25:V414,2,)</f>
        <v>1</v>
      </c>
      <c r="F634" s="38">
        <f>VLOOKUP(E634,'Dataset-3'!E25:W414,2,)</f>
        <v>15</v>
      </c>
      <c r="G634" s="41" t="str">
        <f>VLOOKUP(F634,'Dataset-3'!F25:X414,2,)</f>
        <v>AfterNoon</v>
      </c>
      <c r="H634" s="38" t="b">
        <f>VLOOKUP(G634,'Dataset-3'!G25:Y414,2,)</f>
        <v>0</v>
      </c>
      <c r="I634" s="38">
        <f>VLOOKUP(H634,'Dataset-3'!H25:Z414,2,)</f>
        <v>6</v>
      </c>
      <c r="J634" s="41" t="str">
        <f>VLOOKUP(I634,'Dataset-3'!I25:AA414,2,)</f>
        <v>Friday</v>
      </c>
      <c r="K634" s="38">
        <f>VLOOKUP(J634,'Dataset-3'!J25:AB414,2,)</f>
        <v>1</v>
      </c>
      <c r="L634" s="38">
        <f>VLOOKUP(K634,'Dataset-3'!K25:AC414,2,)</f>
        <v>0.22</v>
      </c>
      <c r="M634" s="70" t="str">
        <f>VLOOKUP(L634,'Dataset-3'!L25:AD414,2,)</f>
        <v>Cloudy</v>
      </c>
      <c r="N634" s="38">
        <f>VLOOKUP(M634,'Dataset-3'!M25:AE414,2,)</f>
        <v>0.21210000000000001</v>
      </c>
      <c r="O634" s="38">
        <f>VLOOKUP(N634,'Dataset-3'!N25:AF414,2,)</f>
        <v>0.69</v>
      </c>
      <c r="P634" s="38">
        <f>VLOOKUP(O634,'Dataset-3'!O25:AG414,2,)</f>
        <v>0.25369999999999998</v>
      </c>
      <c r="Q634" s="38">
        <f>VLOOKUP(P634,'Dataset-3'!P25:AH414,2,)</f>
        <v>22</v>
      </c>
      <c r="R634" s="38">
        <f>VLOOKUP(Q634,'Dataset-3'!Q25:AI414,2,)</f>
        <v>98</v>
      </c>
      <c r="S634" s="38">
        <f>VLOOKUP(R634,'Dataset-3'!R25:AJ414,2,)</f>
        <v>120</v>
      </c>
    </row>
    <row r="635" spans="1:19" x14ac:dyDescent="0.35">
      <c r="A635" s="37">
        <v>634</v>
      </c>
      <c r="B635" s="60">
        <f>VLOOKUP(A635,'Dataset-3'!A26:S415,2,)</f>
        <v>40572</v>
      </c>
      <c r="C635" s="38">
        <f>VLOOKUP(B635,'Dataset-3'!B26:T415,2,)</f>
        <v>1</v>
      </c>
      <c r="D635" s="38">
        <f>VLOOKUP(C635,'Dataset-3'!C26:U415,2,)</f>
        <v>0</v>
      </c>
      <c r="E635" s="38">
        <f>VLOOKUP(D635,'Dataset-3'!D26:V415,2,)</f>
        <v>1</v>
      </c>
      <c r="F635" s="38">
        <f>VLOOKUP(E635,'Dataset-3'!E26:W415,2,)</f>
        <v>16</v>
      </c>
      <c r="G635" s="41" t="str">
        <f>VLOOKUP(F635,'Dataset-3'!F26:X415,2,)</f>
        <v>AfterNoon</v>
      </c>
      <c r="H635" s="38" t="b">
        <f>VLOOKUP(G635,'Dataset-3'!G26:Y415,2,)</f>
        <v>0</v>
      </c>
      <c r="I635" s="38">
        <f>VLOOKUP(H635,'Dataset-3'!H26:Z415,2,)</f>
        <v>6</v>
      </c>
      <c r="J635" s="41" t="str">
        <f>VLOOKUP(I635,'Dataset-3'!I26:AA415,2,)</f>
        <v>Friday</v>
      </c>
      <c r="K635" s="38">
        <f>VLOOKUP(J635,'Dataset-3'!J26:AB415,2,)</f>
        <v>1</v>
      </c>
      <c r="L635" s="38">
        <f>VLOOKUP(K635,'Dataset-3'!K26:AC415,2,)</f>
        <v>0.24</v>
      </c>
      <c r="M635" s="70" t="str">
        <f>VLOOKUP(L635,'Dataset-3'!L26:AD415,2,)</f>
        <v>Cloudy</v>
      </c>
      <c r="N635" s="38">
        <f>VLOOKUP(M635,'Dataset-3'!M26:AE415,2,)</f>
        <v>0.2424</v>
      </c>
      <c r="O635" s="38">
        <f>VLOOKUP(N635,'Dataset-3'!N26:AF415,2,)</f>
        <v>0.6</v>
      </c>
      <c r="P635" s="38">
        <f>VLOOKUP(O635,'Dataset-3'!O26:AG415,2,)</f>
        <v>0.16420000000000001</v>
      </c>
      <c r="Q635" s="38">
        <f>VLOOKUP(P635,'Dataset-3'!P26:AH415,2,)</f>
        <v>19</v>
      </c>
      <c r="R635" s="38">
        <f>VLOOKUP(Q635,'Dataset-3'!Q26:AI415,2,)</f>
        <v>88</v>
      </c>
      <c r="S635" s="38">
        <f>VLOOKUP(R635,'Dataset-3'!R26:AJ415,2,)</f>
        <v>107</v>
      </c>
    </row>
    <row r="636" spans="1:19" x14ac:dyDescent="0.35">
      <c r="A636" s="37">
        <v>635</v>
      </c>
      <c r="B636" s="60">
        <f>VLOOKUP(A636,'Dataset-3'!A27:S416,2,)</f>
        <v>40572</v>
      </c>
      <c r="C636" s="38">
        <f>VLOOKUP(B636,'Dataset-3'!B27:T416,2,)</f>
        <v>1</v>
      </c>
      <c r="D636" s="38">
        <f>VLOOKUP(C636,'Dataset-3'!C27:U416,2,)</f>
        <v>0</v>
      </c>
      <c r="E636" s="38">
        <f>VLOOKUP(D636,'Dataset-3'!D27:V416,2,)</f>
        <v>1</v>
      </c>
      <c r="F636" s="38">
        <f>VLOOKUP(E636,'Dataset-3'!E27:W416,2,)</f>
        <v>17</v>
      </c>
      <c r="G636" s="41" t="str">
        <f>VLOOKUP(F636,'Dataset-3'!F27:X416,2,)</f>
        <v>Evening</v>
      </c>
      <c r="H636" s="38" t="b">
        <f>VLOOKUP(G636,'Dataset-3'!G27:Y416,2,)</f>
        <v>0</v>
      </c>
      <c r="I636" s="38">
        <f>VLOOKUP(H636,'Dataset-3'!H27:Z416,2,)</f>
        <v>6</v>
      </c>
      <c r="J636" s="41" t="str">
        <f>VLOOKUP(I636,'Dataset-3'!I27:AA416,2,)</f>
        <v>Friday</v>
      </c>
      <c r="K636" s="38">
        <f>VLOOKUP(J636,'Dataset-3'!J27:AB416,2,)</f>
        <v>1</v>
      </c>
      <c r="L636" s="38">
        <f>VLOOKUP(K636,'Dataset-3'!K27:AC416,2,)</f>
        <v>0.24</v>
      </c>
      <c r="M636" s="70" t="str">
        <f>VLOOKUP(L636,'Dataset-3'!L27:AD416,2,)</f>
        <v>Cloudy</v>
      </c>
      <c r="N636" s="38">
        <f>VLOOKUP(M636,'Dataset-3'!M27:AE416,2,)</f>
        <v>0.28789999999999999</v>
      </c>
      <c r="O636" s="38">
        <f>VLOOKUP(N636,'Dataset-3'!N27:AF416,2,)</f>
        <v>0.6</v>
      </c>
      <c r="P636" s="38">
        <f>VLOOKUP(O636,'Dataset-3'!O27:AG416,2,)</f>
        <v>0</v>
      </c>
      <c r="Q636" s="38">
        <f>VLOOKUP(P636,'Dataset-3'!P27:AH416,2,)</f>
        <v>9</v>
      </c>
      <c r="R636" s="38">
        <f>VLOOKUP(Q636,'Dataset-3'!Q27:AI416,2,)</f>
        <v>82</v>
      </c>
      <c r="S636" s="38">
        <f>VLOOKUP(R636,'Dataset-3'!R27:AJ416,2,)</f>
        <v>91</v>
      </c>
    </row>
    <row r="637" spans="1:19" x14ac:dyDescent="0.35">
      <c r="A637" s="37">
        <v>636</v>
      </c>
      <c r="B637" s="60">
        <f>VLOOKUP(A637,'Dataset-3'!A28:S417,2,)</f>
        <v>40572</v>
      </c>
      <c r="C637" s="38">
        <f>VLOOKUP(B637,'Dataset-3'!B28:T417,2,)</f>
        <v>1</v>
      </c>
      <c r="D637" s="38">
        <f>VLOOKUP(C637,'Dataset-3'!C28:U417,2,)</f>
        <v>0</v>
      </c>
      <c r="E637" s="38">
        <f>VLOOKUP(D637,'Dataset-3'!D28:V417,2,)</f>
        <v>1</v>
      </c>
      <c r="F637" s="38">
        <f>VLOOKUP(E637,'Dataset-3'!E28:W417,2,)</f>
        <v>18</v>
      </c>
      <c r="G637" s="41" t="str">
        <f>VLOOKUP(F637,'Dataset-3'!F28:X417,2,)</f>
        <v>Evening</v>
      </c>
      <c r="H637" s="38" t="b">
        <f>VLOOKUP(G637,'Dataset-3'!G28:Y417,2,)</f>
        <v>0</v>
      </c>
      <c r="I637" s="38">
        <f>VLOOKUP(H637,'Dataset-3'!H28:Z417,2,)</f>
        <v>6</v>
      </c>
      <c r="J637" s="41" t="str">
        <f>VLOOKUP(I637,'Dataset-3'!I28:AA417,2,)</f>
        <v>Friday</v>
      </c>
      <c r="K637" s="38">
        <f>VLOOKUP(J637,'Dataset-3'!J28:AB417,2,)</f>
        <v>1</v>
      </c>
      <c r="L637" s="38">
        <f>VLOOKUP(K637,'Dataset-3'!K28:AC417,2,)</f>
        <v>0.22</v>
      </c>
      <c r="M637" s="70" t="str">
        <f>VLOOKUP(L637,'Dataset-3'!L28:AD417,2,)</f>
        <v>Cloudy</v>
      </c>
      <c r="N637" s="38">
        <f>VLOOKUP(M637,'Dataset-3'!M28:AE417,2,)</f>
        <v>0.2273</v>
      </c>
      <c r="O637" s="38">
        <f>VLOOKUP(N637,'Dataset-3'!N28:AF417,2,)</f>
        <v>0.69</v>
      </c>
      <c r="P637" s="38">
        <f>VLOOKUP(O637,'Dataset-3'!O28:AG417,2,)</f>
        <v>0.1343</v>
      </c>
      <c r="Q637" s="38">
        <f>VLOOKUP(P637,'Dataset-3'!P28:AH417,2,)</f>
        <v>9</v>
      </c>
      <c r="R637" s="38">
        <f>VLOOKUP(Q637,'Dataset-3'!Q28:AI417,2,)</f>
        <v>59</v>
      </c>
      <c r="S637" s="38">
        <f>VLOOKUP(R637,'Dataset-3'!R28:AJ417,2,)</f>
        <v>68</v>
      </c>
    </row>
    <row r="638" spans="1:19" x14ac:dyDescent="0.35">
      <c r="A638" s="37">
        <v>637</v>
      </c>
      <c r="B638" s="60">
        <f>VLOOKUP(A638,'Dataset-3'!A29:S418,2,)</f>
        <v>40572</v>
      </c>
      <c r="C638" s="38">
        <f>VLOOKUP(B638,'Dataset-3'!B29:T418,2,)</f>
        <v>1</v>
      </c>
      <c r="D638" s="38">
        <f>VLOOKUP(C638,'Dataset-3'!C29:U418,2,)</f>
        <v>0</v>
      </c>
      <c r="E638" s="38">
        <f>VLOOKUP(D638,'Dataset-3'!D29:V418,2,)</f>
        <v>1</v>
      </c>
      <c r="F638" s="38">
        <f>VLOOKUP(E638,'Dataset-3'!E29:W418,2,)</f>
        <v>19</v>
      </c>
      <c r="G638" s="41" t="str">
        <f>VLOOKUP(F638,'Dataset-3'!F29:X418,2,)</f>
        <v>Evening</v>
      </c>
      <c r="H638" s="38" t="b">
        <f>VLOOKUP(G638,'Dataset-3'!G29:Y418,2,)</f>
        <v>0</v>
      </c>
      <c r="I638" s="38">
        <f>VLOOKUP(H638,'Dataset-3'!H29:Z418,2,)</f>
        <v>6</v>
      </c>
      <c r="J638" s="41" t="str">
        <f>VLOOKUP(I638,'Dataset-3'!I29:AA418,2,)</f>
        <v>Friday</v>
      </c>
      <c r="K638" s="38">
        <f>VLOOKUP(J638,'Dataset-3'!J29:AB418,2,)</f>
        <v>2</v>
      </c>
      <c r="L638" s="38">
        <f>VLOOKUP(K638,'Dataset-3'!K29:AC418,2,)</f>
        <v>0.22</v>
      </c>
      <c r="M638" s="70" t="str">
        <f>VLOOKUP(L638,'Dataset-3'!L29:AD418,2,)</f>
        <v>Cloudy</v>
      </c>
      <c r="N638" s="38">
        <f>VLOOKUP(M638,'Dataset-3'!M29:AE418,2,)</f>
        <v>0.21210000000000001</v>
      </c>
      <c r="O638" s="38">
        <f>VLOOKUP(N638,'Dataset-3'!N29:AF418,2,)</f>
        <v>0.69</v>
      </c>
      <c r="P638" s="38">
        <f>VLOOKUP(O638,'Dataset-3'!O29:AG418,2,)</f>
        <v>0.25369999999999998</v>
      </c>
      <c r="Q638" s="38">
        <f>VLOOKUP(P638,'Dataset-3'!P29:AH418,2,)</f>
        <v>6</v>
      </c>
      <c r="R638" s="38">
        <f>VLOOKUP(Q638,'Dataset-3'!Q29:AI418,2,)</f>
        <v>52</v>
      </c>
      <c r="S638" s="38">
        <f>VLOOKUP(R638,'Dataset-3'!R29:AJ418,2,)</f>
        <v>58</v>
      </c>
    </row>
    <row r="639" spans="1:19" x14ac:dyDescent="0.35">
      <c r="A639" s="37">
        <v>638</v>
      </c>
      <c r="B639" s="60">
        <f>VLOOKUP(A639,'Dataset-3'!A30:S419,2,)</f>
        <v>40572</v>
      </c>
      <c r="C639" s="38">
        <f>VLOOKUP(B639,'Dataset-3'!B30:T419,2,)</f>
        <v>1</v>
      </c>
      <c r="D639" s="38">
        <f>VLOOKUP(C639,'Dataset-3'!C30:U419,2,)</f>
        <v>0</v>
      </c>
      <c r="E639" s="38">
        <f>VLOOKUP(D639,'Dataset-3'!D30:V419,2,)</f>
        <v>1</v>
      </c>
      <c r="F639" s="38">
        <f>VLOOKUP(E639,'Dataset-3'!E30:W419,2,)</f>
        <v>20</v>
      </c>
      <c r="G639" s="41" t="str">
        <f>VLOOKUP(F639,'Dataset-3'!F30:X419,2,)</f>
        <v>Night</v>
      </c>
      <c r="H639" s="38" t="b">
        <f>VLOOKUP(G639,'Dataset-3'!G30:Y419,2,)</f>
        <v>0</v>
      </c>
      <c r="I639" s="38">
        <f>VLOOKUP(H639,'Dataset-3'!H30:Z419,2,)</f>
        <v>6</v>
      </c>
      <c r="J639" s="41" t="str">
        <f>VLOOKUP(I639,'Dataset-3'!I30:AA419,2,)</f>
        <v>Friday</v>
      </c>
      <c r="K639" s="38">
        <f>VLOOKUP(J639,'Dataset-3'!J30:AB419,2,)</f>
        <v>1</v>
      </c>
      <c r="L639" s="38">
        <f>VLOOKUP(K639,'Dataset-3'!K30:AC419,2,)</f>
        <v>0.18</v>
      </c>
      <c r="M639" s="70" t="str">
        <f>VLOOKUP(L639,'Dataset-3'!L30:AD419,2,)</f>
        <v>Rainy</v>
      </c>
      <c r="N639" s="38">
        <f>VLOOKUP(M639,'Dataset-3'!M30:AE419,2,)</f>
        <v>0.21210000000000001</v>
      </c>
      <c r="O639" s="38">
        <f>VLOOKUP(N639,'Dataset-3'!N30:AF419,2,)</f>
        <v>0.74</v>
      </c>
      <c r="P639" s="38">
        <f>VLOOKUP(O639,'Dataset-3'!O30:AG419,2,)</f>
        <v>8.9599999999999999E-2</v>
      </c>
      <c r="Q639" s="38">
        <f>VLOOKUP(P639,'Dataset-3'!P30:AH419,2,)</f>
        <v>1</v>
      </c>
      <c r="R639" s="38">
        <f>VLOOKUP(Q639,'Dataset-3'!Q30:AI419,2,)</f>
        <v>42</v>
      </c>
      <c r="S639" s="38">
        <f>VLOOKUP(R639,'Dataset-3'!R30:AJ419,2,)</f>
        <v>43</v>
      </c>
    </row>
    <row r="640" spans="1:19" x14ac:dyDescent="0.35">
      <c r="A640" s="37">
        <v>639</v>
      </c>
      <c r="B640" s="60">
        <f>VLOOKUP(A640,'Dataset-3'!A31:S420,2,)</f>
        <v>40572</v>
      </c>
      <c r="C640" s="38">
        <f>VLOOKUP(B640,'Dataset-3'!B31:T420,2,)</f>
        <v>1</v>
      </c>
      <c r="D640" s="38">
        <f>VLOOKUP(C640,'Dataset-3'!C31:U420,2,)</f>
        <v>0</v>
      </c>
      <c r="E640" s="38">
        <f>VLOOKUP(D640,'Dataset-3'!D31:V420,2,)</f>
        <v>1</v>
      </c>
      <c r="F640" s="38">
        <f>VLOOKUP(E640,'Dataset-3'!E31:W420,2,)</f>
        <v>21</v>
      </c>
      <c r="G640" s="41" t="str">
        <f>VLOOKUP(F640,'Dataset-3'!F31:X420,2,)</f>
        <v>Night</v>
      </c>
      <c r="H640" s="38" t="b">
        <f>VLOOKUP(G640,'Dataset-3'!G31:Y420,2,)</f>
        <v>0</v>
      </c>
      <c r="I640" s="38">
        <f>VLOOKUP(H640,'Dataset-3'!H31:Z420,2,)</f>
        <v>6</v>
      </c>
      <c r="J640" s="41" t="str">
        <f>VLOOKUP(I640,'Dataset-3'!I31:AA420,2,)</f>
        <v>Friday</v>
      </c>
      <c r="K640" s="38">
        <f>VLOOKUP(J640,'Dataset-3'!J31:AB420,2,)</f>
        <v>1</v>
      </c>
      <c r="L640" s="38">
        <f>VLOOKUP(K640,'Dataset-3'!K31:AC420,2,)</f>
        <v>0.18</v>
      </c>
      <c r="M640" s="70" t="str">
        <f>VLOOKUP(L640,'Dataset-3'!L31:AD420,2,)</f>
        <v>Rainy</v>
      </c>
      <c r="N640" s="38">
        <f>VLOOKUP(M640,'Dataset-3'!M31:AE420,2,)</f>
        <v>0.21210000000000001</v>
      </c>
      <c r="O640" s="38">
        <f>VLOOKUP(N640,'Dataset-3'!N31:AF420,2,)</f>
        <v>0.74</v>
      </c>
      <c r="P640" s="38">
        <f>VLOOKUP(O640,'Dataset-3'!O31:AG420,2,)</f>
        <v>8.9599999999999999E-2</v>
      </c>
      <c r="Q640" s="38">
        <f>VLOOKUP(P640,'Dataset-3'!P31:AH420,2,)</f>
        <v>1</v>
      </c>
      <c r="R640" s="38">
        <f>VLOOKUP(Q640,'Dataset-3'!Q31:AI420,2,)</f>
        <v>35</v>
      </c>
      <c r="S640" s="38">
        <f>VLOOKUP(R640,'Dataset-3'!R31:AJ420,2,)</f>
        <v>36</v>
      </c>
    </row>
    <row r="641" spans="1:19" x14ac:dyDescent="0.35">
      <c r="A641" s="37">
        <v>640</v>
      </c>
      <c r="B641" s="60">
        <f>VLOOKUP(A641,'Dataset-3'!A32:S421,2,)</f>
        <v>40572</v>
      </c>
      <c r="C641" s="38">
        <f>VLOOKUP(B641,'Dataset-3'!B32:T421,2,)</f>
        <v>1</v>
      </c>
      <c r="D641" s="38">
        <f>VLOOKUP(C641,'Dataset-3'!C32:U421,2,)</f>
        <v>0</v>
      </c>
      <c r="E641" s="38">
        <f>VLOOKUP(D641,'Dataset-3'!D32:V421,2,)</f>
        <v>1</v>
      </c>
      <c r="F641" s="38">
        <f>VLOOKUP(E641,'Dataset-3'!E32:W421,2,)</f>
        <v>22</v>
      </c>
      <c r="G641" s="41" t="str">
        <f>VLOOKUP(F641,'Dataset-3'!F32:X421,2,)</f>
        <v>Night</v>
      </c>
      <c r="H641" s="38" t="b">
        <f>VLOOKUP(G641,'Dataset-3'!G32:Y421,2,)</f>
        <v>0</v>
      </c>
      <c r="I641" s="38">
        <f>VLOOKUP(H641,'Dataset-3'!H32:Z421,2,)</f>
        <v>6</v>
      </c>
      <c r="J641" s="41" t="str">
        <f>VLOOKUP(I641,'Dataset-3'!I32:AA421,2,)</f>
        <v>Friday</v>
      </c>
      <c r="K641" s="38">
        <f>VLOOKUP(J641,'Dataset-3'!J32:AB421,2,)</f>
        <v>1</v>
      </c>
      <c r="L641" s="38">
        <f>VLOOKUP(K641,'Dataset-3'!K32:AC421,2,)</f>
        <v>0.16</v>
      </c>
      <c r="M641" s="70" t="str">
        <f>VLOOKUP(L641,'Dataset-3'!L32:AD421,2,)</f>
        <v>Rainy</v>
      </c>
      <c r="N641" s="38">
        <f>VLOOKUP(M641,'Dataset-3'!M32:AE421,2,)</f>
        <v>0.19700000000000001</v>
      </c>
      <c r="O641" s="38">
        <f>VLOOKUP(N641,'Dataset-3'!N32:AF421,2,)</f>
        <v>0.8</v>
      </c>
      <c r="P641" s="38">
        <f>VLOOKUP(O641,'Dataset-3'!O32:AG421,2,)</f>
        <v>8.9599999999999999E-2</v>
      </c>
      <c r="Q641" s="38">
        <f>VLOOKUP(P641,'Dataset-3'!P32:AH421,2,)</f>
        <v>4</v>
      </c>
      <c r="R641" s="38">
        <f>VLOOKUP(Q641,'Dataset-3'!Q32:AI421,2,)</f>
        <v>28</v>
      </c>
      <c r="S641" s="38">
        <f>VLOOKUP(R641,'Dataset-3'!R32:AJ421,2,)</f>
        <v>32</v>
      </c>
    </row>
    <row r="642" spans="1:19" x14ac:dyDescent="0.35">
      <c r="A642" s="37">
        <v>641</v>
      </c>
      <c r="B642" s="60">
        <f>VLOOKUP(A642,'Dataset-3'!A33:S422,2,)</f>
        <v>40572</v>
      </c>
      <c r="C642" s="38">
        <f>VLOOKUP(B642,'Dataset-3'!B33:T422,2,)</f>
        <v>1</v>
      </c>
      <c r="D642" s="38">
        <f>VLOOKUP(C642,'Dataset-3'!C33:U422,2,)</f>
        <v>0</v>
      </c>
      <c r="E642" s="38">
        <f>VLOOKUP(D642,'Dataset-3'!D33:V422,2,)</f>
        <v>1</v>
      </c>
      <c r="F642" s="38">
        <f>VLOOKUP(E642,'Dataset-3'!E33:W422,2,)</f>
        <v>23</v>
      </c>
      <c r="G642" s="41" t="str">
        <f>VLOOKUP(F642,'Dataset-3'!F33:X422,2,)</f>
        <v>Night</v>
      </c>
      <c r="H642" s="38" t="b">
        <f>VLOOKUP(G642,'Dataset-3'!G33:Y422,2,)</f>
        <v>0</v>
      </c>
      <c r="I642" s="38">
        <f>VLOOKUP(H642,'Dataset-3'!H33:Z422,2,)</f>
        <v>6</v>
      </c>
      <c r="J642" s="41" t="str">
        <f>VLOOKUP(I642,'Dataset-3'!I33:AA422,2,)</f>
        <v>Friday</v>
      </c>
      <c r="K642" s="38">
        <f>VLOOKUP(J642,'Dataset-3'!J33:AB422,2,)</f>
        <v>1</v>
      </c>
      <c r="L642" s="38">
        <f>VLOOKUP(K642,'Dataset-3'!K33:AC422,2,)</f>
        <v>0.16</v>
      </c>
      <c r="M642" s="70" t="str">
        <f>VLOOKUP(L642,'Dataset-3'!L33:AD422,2,)</f>
        <v>Rainy</v>
      </c>
      <c r="N642" s="38">
        <f>VLOOKUP(M642,'Dataset-3'!M33:AE422,2,)</f>
        <v>0.19700000000000001</v>
      </c>
      <c r="O642" s="38">
        <f>VLOOKUP(N642,'Dataset-3'!N33:AF422,2,)</f>
        <v>0.8</v>
      </c>
      <c r="P642" s="38">
        <f>VLOOKUP(O642,'Dataset-3'!O33:AG422,2,)</f>
        <v>8.9599999999999999E-2</v>
      </c>
      <c r="Q642" s="38">
        <f>VLOOKUP(P642,'Dataset-3'!P33:AH422,2,)</f>
        <v>3</v>
      </c>
      <c r="R642" s="38">
        <f>VLOOKUP(Q642,'Dataset-3'!Q33:AI422,2,)</f>
        <v>30</v>
      </c>
      <c r="S642" s="38">
        <f>VLOOKUP(R642,'Dataset-3'!R33:AJ422,2,)</f>
        <v>33</v>
      </c>
    </row>
    <row r="643" spans="1:19" x14ac:dyDescent="0.35">
      <c r="A643" s="37">
        <v>642</v>
      </c>
      <c r="B643" s="60">
        <f>VLOOKUP(A643,'Dataset-3'!A34:S423,2,)</f>
        <v>40573</v>
      </c>
      <c r="C643" s="38">
        <f>VLOOKUP(B643,'Dataset-3'!B34:T423,2,)</f>
        <v>1</v>
      </c>
      <c r="D643" s="38">
        <f>VLOOKUP(C643,'Dataset-3'!C34:U423,2,)</f>
        <v>0</v>
      </c>
      <c r="E643" s="38">
        <f>VLOOKUP(D643,'Dataset-3'!D34:V423,2,)</f>
        <v>1</v>
      </c>
      <c r="F643" s="38">
        <f>VLOOKUP(E643,'Dataset-3'!E34:W423,2,)</f>
        <v>0</v>
      </c>
      <c r="G643" s="41" t="str">
        <f>VLOOKUP(F643,'Dataset-3'!F34:X423,2,)</f>
        <v>Night</v>
      </c>
      <c r="H643" s="38" t="b">
        <f>VLOOKUP(G643,'Dataset-3'!G34:Y423,2,)</f>
        <v>0</v>
      </c>
      <c r="I643" s="38">
        <f>VLOOKUP(H643,'Dataset-3'!H34:Z423,2,)</f>
        <v>0</v>
      </c>
      <c r="J643" s="41" t="str">
        <f>VLOOKUP(I643,'Dataset-3'!I34:AA423,2,)</f>
        <v>Saturday</v>
      </c>
      <c r="K643" s="38">
        <f>VLOOKUP(J643,'Dataset-3'!J34:AB423,2,)</f>
        <v>1</v>
      </c>
      <c r="L643" s="38">
        <f>VLOOKUP(K643,'Dataset-3'!K34:AC423,2,)</f>
        <v>0.16</v>
      </c>
      <c r="M643" s="70" t="str">
        <f>VLOOKUP(L643,'Dataset-3'!L34:AD423,2,)</f>
        <v>Rainy</v>
      </c>
      <c r="N643" s="38">
        <f>VLOOKUP(M643,'Dataset-3'!M34:AE423,2,)</f>
        <v>0.18179999999999999</v>
      </c>
      <c r="O643" s="38">
        <f>VLOOKUP(N643,'Dataset-3'!N34:AF423,2,)</f>
        <v>0.8</v>
      </c>
      <c r="P643" s="38">
        <f>VLOOKUP(O643,'Dataset-3'!O34:AG423,2,)</f>
        <v>0.1045</v>
      </c>
      <c r="Q643" s="38">
        <f>VLOOKUP(P643,'Dataset-3'!P34:AH423,2,)</f>
        <v>0</v>
      </c>
      <c r="R643" s="38">
        <f>VLOOKUP(Q643,'Dataset-3'!Q34:AI423,2,)</f>
        <v>33</v>
      </c>
      <c r="S643" s="38">
        <f>VLOOKUP(R643,'Dataset-3'!R34:AJ423,2,)</f>
        <v>33</v>
      </c>
    </row>
    <row r="644" spans="1:19" x14ac:dyDescent="0.35">
      <c r="A644" s="37">
        <v>643</v>
      </c>
      <c r="B644" s="60">
        <f>VLOOKUP(A644,'Dataset-3'!A35:S424,2,)</f>
        <v>40573</v>
      </c>
      <c r="C644" s="38">
        <f>VLOOKUP(B644,'Dataset-3'!B35:T424,2,)</f>
        <v>1</v>
      </c>
      <c r="D644" s="38">
        <f>VLOOKUP(C644,'Dataset-3'!C35:U424,2,)</f>
        <v>0</v>
      </c>
      <c r="E644" s="38">
        <f>VLOOKUP(D644,'Dataset-3'!D35:V424,2,)</f>
        <v>1</v>
      </c>
      <c r="F644" s="38">
        <f>VLOOKUP(E644,'Dataset-3'!E35:W424,2,)</f>
        <v>1</v>
      </c>
      <c r="G644" s="41" t="str">
        <f>VLOOKUP(F644,'Dataset-3'!F35:X424,2,)</f>
        <v>Night</v>
      </c>
      <c r="H644" s="38" t="b">
        <f>VLOOKUP(G644,'Dataset-3'!G35:Y424,2,)</f>
        <v>0</v>
      </c>
      <c r="I644" s="38">
        <f>VLOOKUP(H644,'Dataset-3'!H35:Z424,2,)</f>
        <v>0</v>
      </c>
      <c r="J644" s="41" t="str">
        <f>VLOOKUP(I644,'Dataset-3'!I35:AA424,2,)</f>
        <v>Saturday</v>
      </c>
      <c r="K644" s="38">
        <f>VLOOKUP(J644,'Dataset-3'!J35:AB424,2,)</f>
        <v>1</v>
      </c>
      <c r="L644" s="38">
        <f>VLOOKUP(K644,'Dataset-3'!K35:AC424,2,)</f>
        <v>0.14000000000000001</v>
      </c>
      <c r="M644" s="70" t="str">
        <f>VLOOKUP(L644,'Dataset-3'!L35:AD424,2,)</f>
        <v>Rainy</v>
      </c>
      <c r="N644" s="38">
        <f>VLOOKUP(M644,'Dataset-3'!M35:AE424,2,)</f>
        <v>0.21210000000000001</v>
      </c>
      <c r="O644" s="38">
        <f>VLOOKUP(N644,'Dataset-3'!N35:AF424,2,)</f>
        <v>0.8</v>
      </c>
      <c r="P644" s="38">
        <f>VLOOKUP(O644,'Dataset-3'!O35:AG424,2,)</f>
        <v>0</v>
      </c>
      <c r="Q644" s="38">
        <f>VLOOKUP(P644,'Dataset-3'!P35:AH424,2,)</f>
        <v>7</v>
      </c>
      <c r="R644" s="38">
        <f>VLOOKUP(Q644,'Dataset-3'!Q35:AI424,2,)</f>
        <v>22</v>
      </c>
      <c r="S644" s="38">
        <f>VLOOKUP(R644,'Dataset-3'!R35:AJ424,2,)</f>
        <v>29</v>
      </c>
    </row>
    <row r="645" spans="1:19" x14ac:dyDescent="0.35">
      <c r="A645" s="37">
        <v>644</v>
      </c>
      <c r="B645" s="60">
        <f>VLOOKUP(A645,'Dataset-3'!A36:S425,2,)</f>
        <v>40573</v>
      </c>
      <c r="C645" s="38">
        <f>VLOOKUP(B645,'Dataset-3'!B36:T425,2,)</f>
        <v>1</v>
      </c>
      <c r="D645" s="38">
        <f>VLOOKUP(C645,'Dataset-3'!C36:U425,2,)</f>
        <v>0</v>
      </c>
      <c r="E645" s="38">
        <f>VLOOKUP(D645,'Dataset-3'!D36:V425,2,)</f>
        <v>1</v>
      </c>
      <c r="F645" s="38">
        <f>VLOOKUP(E645,'Dataset-3'!E36:W425,2,)</f>
        <v>2</v>
      </c>
      <c r="G645" s="41" t="str">
        <f>VLOOKUP(F645,'Dataset-3'!F36:X425,2,)</f>
        <v>Night</v>
      </c>
      <c r="H645" s="38" t="b">
        <f>VLOOKUP(G645,'Dataset-3'!G36:Y425,2,)</f>
        <v>0</v>
      </c>
      <c r="I645" s="38">
        <f>VLOOKUP(H645,'Dataset-3'!H36:Z425,2,)</f>
        <v>0</v>
      </c>
      <c r="J645" s="41" t="str">
        <f>VLOOKUP(I645,'Dataset-3'!I36:AA425,2,)</f>
        <v>Saturday</v>
      </c>
      <c r="K645" s="38">
        <f>VLOOKUP(J645,'Dataset-3'!J36:AB425,2,)</f>
        <v>1</v>
      </c>
      <c r="L645" s="38">
        <f>VLOOKUP(K645,'Dataset-3'!K36:AC425,2,)</f>
        <v>0.16</v>
      </c>
      <c r="M645" s="70" t="str">
        <f>VLOOKUP(L645,'Dataset-3'!L36:AD425,2,)</f>
        <v>Rainy</v>
      </c>
      <c r="N645" s="38">
        <f>VLOOKUP(M645,'Dataset-3'!M36:AE425,2,)</f>
        <v>0.2273</v>
      </c>
      <c r="O645" s="38">
        <f>VLOOKUP(N645,'Dataset-3'!N36:AF425,2,)</f>
        <v>0.8</v>
      </c>
      <c r="P645" s="38">
        <f>VLOOKUP(O645,'Dataset-3'!O36:AG425,2,)</f>
        <v>0</v>
      </c>
      <c r="Q645" s="38">
        <f>VLOOKUP(P645,'Dataset-3'!P36:AH425,2,)</f>
        <v>1</v>
      </c>
      <c r="R645" s="38">
        <f>VLOOKUP(Q645,'Dataset-3'!Q36:AI425,2,)</f>
        <v>10</v>
      </c>
      <c r="S645" s="38">
        <f>VLOOKUP(R645,'Dataset-3'!R36:AJ425,2,)</f>
        <v>11</v>
      </c>
    </row>
    <row r="646" spans="1:19" x14ac:dyDescent="0.35">
      <c r="A646" s="37">
        <v>645</v>
      </c>
      <c r="B646" s="60">
        <f>VLOOKUP(A646,'Dataset-3'!A37:S426,2,)</f>
        <v>40573</v>
      </c>
      <c r="C646" s="38">
        <f>VLOOKUP(B646,'Dataset-3'!B37:T426,2,)</f>
        <v>1</v>
      </c>
      <c r="D646" s="38">
        <f>VLOOKUP(C646,'Dataset-3'!C37:U426,2,)</f>
        <v>0</v>
      </c>
      <c r="E646" s="38">
        <f>VLOOKUP(D646,'Dataset-3'!D37:V426,2,)</f>
        <v>1</v>
      </c>
      <c r="F646" s="38">
        <f>VLOOKUP(E646,'Dataset-3'!E37:W426,2,)</f>
        <v>3</v>
      </c>
      <c r="G646" s="41" t="str">
        <f>VLOOKUP(F646,'Dataset-3'!F37:X426,2,)</f>
        <v>Night</v>
      </c>
      <c r="H646" s="38" t="b">
        <f>VLOOKUP(G646,'Dataset-3'!G37:Y426,2,)</f>
        <v>0</v>
      </c>
      <c r="I646" s="38">
        <f>VLOOKUP(H646,'Dataset-3'!H37:Z426,2,)</f>
        <v>0</v>
      </c>
      <c r="J646" s="41" t="str">
        <f>VLOOKUP(I646,'Dataset-3'!I37:AA426,2,)</f>
        <v>Saturday</v>
      </c>
      <c r="K646" s="38">
        <f>VLOOKUP(J646,'Dataset-3'!J37:AB426,2,)</f>
        <v>1</v>
      </c>
      <c r="L646" s="38">
        <f>VLOOKUP(K646,'Dataset-3'!K37:AC426,2,)</f>
        <v>0.14000000000000001</v>
      </c>
      <c r="M646" s="70" t="str">
        <f>VLOOKUP(L646,'Dataset-3'!L37:AD426,2,)</f>
        <v>Rainy</v>
      </c>
      <c r="N646" s="38">
        <f>VLOOKUP(M646,'Dataset-3'!M37:AE426,2,)</f>
        <v>0.21210000000000001</v>
      </c>
      <c r="O646" s="38">
        <f>VLOOKUP(N646,'Dataset-3'!N37:AF426,2,)</f>
        <v>0.93</v>
      </c>
      <c r="P646" s="38">
        <f>VLOOKUP(O646,'Dataset-3'!O37:AG426,2,)</f>
        <v>0</v>
      </c>
      <c r="Q646" s="38">
        <f>VLOOKUP(P646,'Dataset-3'!P37:AH426,2,)</f>
        <v>1</v>
      </c>
      <c r="R646" s="38">
        <f>VLOOKUP(Q646,'Dataset-3'!Q37:AI426,2,)</f>
        <v>7</v>
      </c>
      <c r="S646" s="38">
        <f>VLOOKUP(R646,'Dataset-3'!R37:AJ426,2,)</f>
        <v>8</v>
      </c>
    </row>
    <row r="647" spans="1:19" x14ac:dyDescent="0.35">
      <c r="A647" s="37">
        <v>646</v>
      </c>
      <c r="B647" s="60">
        <f>VLOOKUP(A647,'Dataset-3'!A38:S427,2,)</f>
        <v>40573</v>
      </c>
      <c r="C647" s="38">
        <f>VLOOKUP(B647,'Dataset-3'!B38:T427,2,)</f>
        <v>1</v>
      </c>
      <c r="D647" s="38">
        <f>VLOOKUP(C647,'Dataset-3'!C38:U427,2,)</f>
        <v>0</v>
      </c>
      <c r="E647" s="38">
        <f>VLOOKUP(D647,'Dataset-3'!D38:V427,2,)</f>
        <v>1</v>
      </c>
      <c r="F647" s="38">
        <f>VLOOKUP(E647,'Dataset-3'!E38:W427,2,)</f>
        <v>4</v>
      </c>
      <c r="G647" s="41" t="str">
        <f>VLOOKUP(F647,'Dataset-3'!F38:X427,2,)</f>
        <v>Night</v>
      </c>
      <c r="H647" s="38" t="b">
        <f>VLOOKUP(G647,'Dataset-3'!G38:Y427,2,)</f>
        <v>0</v>
      </c>
      <c r="I647" s="38">
        <f>VLOOKUP(H647,'Dataset-3'!H38:Z427,2,)</f>
        <v>0</v>
      </c>
      <c r="J647" s="41" t="str">
        <f>VLOOKUP(I647,'Dataset-3'!I38:AA427,2,)</f>
        <v>Saturday</v>
      </c>
      <c r="K647" s="38">
        <f>VLOOKUP(J647,'Dataset-3'!J38:AB427,2,)</f>
        <v>1</v>
      </c>
      <c r="L647" s="38">
        <f>VLOOKUP(K647,'Dataset-3'!K38:AC427,2,)</f>
        <v>0.14000000000000001</v>
      </c>
      <c r="M647" s="70" t="str">
        <f>VLOOKUP(L647,'Dataset-3'!L38:AD427,2,)</f>
        <v>Rainy</v>
      </c>
      <c r="N647" s="38">
        <f>VLOOKUP(M647,'Dataset-3'!M38:AE427,2,)</f>
        <v>0.21210000000000001</v>
      </c>
      <c r="O647" s="38">
        <f>VLOOKUP(N647,'Dataset-3'!N38:AF427,2,)</f>
        <v>0.93</v>
      </c>
      <c r="P647" s="38">
        <f>VLOOKUP(O647,'Dataset-3'!O38:AG427,2,)</f>
        <v>0</v>
      </c>
      <c r="Q647" s="38">
        <f>VLOOKUP(P647,'Dataset-3'!P38:AH427,2,)</f>
        <v>0</v>
      </c>
      <c r="R647" s="38">
        <f>VLOOKUP(Q647,'Dataset-3'!Q38:AI427,2,)</f>
        <v>1</v>
      </c>
      <c r="S647" s="38">
        <f>VLOOKUP(R647,'Dataset-3'!R38:AJ427,2,)</f>
        <v>1</v>
      </c>
    </row>
    <row r="648" spans="1:19" x14ac:dyDescent="0.35">
      <c r="A648" s="37">
        <v>647</v>
      </c>
      <c r="B648" s="60">
        <f>VLOOKUP(A648,'Dataset-3'!A39:S428,2,)</f>
        <v>40573</v>
      </c>
      <c r="C648" s="38">
        <f>VLOOKUP(B648,'Dataset-3'!B39:T428,2,)</f>
        <v>1</v>
      </c>
      <c r="D648" s="38">
        <f>VLOOKUP(C648,'Dataset-3'!C39:U428,2,)</f>
        <v>0</v>
      </c>
      <c r="E648" s="38">
        <f>VLOOKUP(D648,'Dataset-3'!D39:V428,2,)</f>
        <v>1</v>
      </c>
      <c r="F648" s="38">
        <f>VLOOKUP(E648,'Dataset-3'!E39:W428,2,)</f>
        <v>5</v>
      </c>
      <c r="G648" s="41" t="str">
        <f>VLOOKUP(F648,'Dataset-3'!F39:X428,2,)</f>
        <v>Morning</v>
      </c>
      <c r="H648" s="38" t="b">
        <f>VLOOKUP(G648,'Dataset-3'!G39:Y428,2,)</f>
        <v>0</v>
      </c>
      <c r="I648" s="38">
        <f>VLOOKUP(H648,'Dataset-3'!H39:Z428,2,)</f>
        <v>0</v>
      </c>
      <c r="J648" s="41" t="str">
        <f>VLOOKUP(I648,'Dataset-3'!I39:AA428,2,)</f>
        <v>Saturday</v>
      </c>
      <c r="K648" s="38">
        <f>VLOOKUP(J648,'Dataset-3'!J39:AB428,2,)</f>
        <v>1</v>
      </c>
      <c r="L648" s="38">
        <f>VLOOKUP(K648,'Dataset-3'!K39:AC428,2,)</f>
        <v>0.14000000000000001</v>
      </c>
      <c r="M648" s="70" t="str">
        <f>VLOOKUP(L648,'Dataset-3'!L39:AD428,2,)</f>
        <v>Rainy</v>
      </c>
      <c r="N648" s="38">
        <f>VLOOKUP(M648,'Dataset-3'!M39:AE428,2,)</f>
        <v>0.21210000000000001</v>
      </c>
      <c r="O648" s="38">
        <f>VLOOKUP(N648,'Dataset-3'!N39:AF428,2,)</f>
        <v>0.86</v>
      </c>
      <c r="P648" s="38">
        <f>VLOOKUP(O648,'Dataset-3'!O39:AG428,2,)</f>
        <v>0</v>
      </c>
      <c r="Q648" s="38">
        <f>VLOOKUP(P648,'Dataset-3'!P39:AH428,2,)</f>
        <v>0</v>
      </c>
      <c r="R648" s="38">
        <f>VLOOKUP(Q648,'Dataset-3'!Q39:AI428,2,)</f>
        <v>3</v>
      </c>
      <c r="S648" s="38">
        <f>VLOOKUP(R648,'Dataset-3'!R39:AJ428,2,)</f>
        <v>3</v>
      </c>
    </row>
    <row r="649" spans="1:19" x14ac:dyDescent="0.35">
      <c r="A649" s="37">
        <v>648</v>
      </c>
      <c r="B649" s="60">
        <f>VLOOKUP(A649,'Dataset-3'!A40:S429,2,)</f>
        <v>40573</v>
      </c>
      <c r="C649" s="38">
        <f>VLOOKUP(B649,'Dataset-3'!B40:T429,2,)</f>
        <v>1</v>
      </c>
      <c r="D649" s="38">
        <f>VLOOKUP(C649,'Dataset-3'!C40:U429,2,)</f>
        <v>0</v>
      </c>
      <c r="E649" s="38">
        <f>VLOOKUP(D649,'Dataset-3'!D40:V429,2,)</f>
        <v>1</v>
      </c>
      <c r="F649" s="38">
        <f>VLOOKUP(E649,'Dataset-3'!E40:W429,2,)</f>
        <v>7</v>
      </c>
      <c r="G649" s="41" t="str">
        <f>VLOOKUP(F649,'Dataset-3'!F40:X429,2,)</f>
        <v>Morning</v>
      </c>
      <c r="H649" s="38" t="b">
        <f>VLOOKUP(G649,'Dataset-3'!G40:Y429,2,)</f>
        <v>0</v>
      </c>
      <c r="I649" s="38">
        <f>VLOOKUP(H649,'Dataset-3'!H40:Z429,2,)</f>
        <v>0</v>
      </c>
      <c r="J649" s="41" t="str">
        <f>VLOOKUP(I649,'Dataset-3'!I40:AA429,2,)</f>
        <v>Saturday</v>
      </c>
      <c r="K649" s="38">
        <f>VLOOKUP(J649,'Dataset-3'!J40:AB429,2,)</f>
        <v>1</v>
      </c>
      <c r="L649" s="38">
        <f>VLOOKUP(K649,'Dataset-3'!K40:AC429,2,)</f>
        <v>0.14000000000000001</v>
      </c>
      <c r="M649" s="70" t="str">
        <f>VLOOKUP(L649,'Dataset-3'!L40:AD429,2,)</f>
        <v>Rainy</v>
      </c>
      <c r="N649" s="38">
        <f>VLOOKUP(M649,'Dataset-3'!M40:AE429,2,)</f>
        <v>0.21210000000000001</v>
      </c>
      <c r="O649" s="38">
        <f>VLOOKUP(N649,'Dataset-3'!N40:AF429,2,)</f>
        <v>0.86</v>
      </c>
      <c r="P649" s="38">
        <f>VLOOKUP(O649,'Dataset-3'!O40:AG429,2,)</f>
        <v>0</v>
      </c>
      <c r="Q649" s="38">
        <f>VLOOKUP(P649,'Dataset-3'!P40:AH429,2,)</f>
        <v>0</v>
      </c>
      <c r="R649" s="38">
        <f>VLOOKUP(Q649,'Dataset-3'!Q40:AI429,2,)</f>
        <v>3</v>
      </c>
      <c r="S649" s="38">
        <f>VLOOKUP(R649,'Dataset-3'!R40:AJ429,2,)</f>
        <v>3</v>
      </c>
    </row>
    <row r="650" spans="1:19" x14ac:dyDescent="0.35">
      <c r="A650" s="37">
        <v>649</v>
      </c>
      <c r="B650" s="60">
        <f>VLOOKUP(A650,'Dataset-3'!A41:S430,2,)</f>
        <v>40573</v>
      </c>
      <c r="C650" s="38">
        <f>VLOOKUP(B650,'Dataset-3'!B41:T430,2,)</f>
        <v>1</v>
      </c>
      <c r="D650" s="38">
        <f>VLOOKUP(C650,'Dataset-3'!C41:U430,2,)</f>
        <v>0</v>
      </c>
      <c r="E650" s="38">
        <f>VLOOKUP(D650,'Dataset-3'!D41:V430,2,)</f>
        <v>1</v>
      </c>
      <c r="F650" s="38">
        <f>VLOOKUP(E650,'Dataset-3'!E41:W430,2,)</f>
        <v>8</v>
      </c>
      <c r="G650" s="41" t="str">
        <f>VLOOKUP(F650,'Dataset-3'!F41:X430,2,)</f>
        <v>Morning</v>
      </c>
      <c r="H650" s="38" t="b">
        <f>VLOOKUP(G650,'Dataset-3'!G41:Y430,2,)</f>
        <v>0</v>
      </c>
      <c r="I650" s="38">
        <f>VLOOKUP(H650,'Dataset-3'!H41:Z430,2,)</f>
        <v>0</v>
      </c>
      <c r="J650" s="41" t="str">
        <f>VLOOKUP(I650,'Dataset-3'!I41:AA430,2,)</f>
        <v>Saturday</v>
      </c>
      <c r="K650" s="38">
        <f>VLOOKUP(J650,'Dataset-3'!J41:AB430,2,)</f>
        <v>2</v>
      </c>
      <c r="L650" s="38">
        <f>VLOOKUP(K650,'Dataset-3'!K41:AC430,2,)</f>
        <v>0.14000000000000001</v>
      </c>
      <c r="M650" s="70" t="str">
        <f>VLOOKUP(L650,'Dataset-3'!L41:AD430,2,)</f>
        <v>Rainy</v>
      </c>
      <c r="N650" s="38">
        <f>VLOOKUP(M650,'Dataset-3'!M41:AE430,2,)</f>
        <v>0.21210000000000001</v>
      </c>
      <c r="O650" s="38">
        <f>VLOOKUP(N650,'Dataset-3'!N41:AF430,2,)</f>
        <v>0.86</v>
      </c>
      <c r="P650" s="38">
        <f>VLOOKUP(O650,'Dataset-3'!O41:AG430,2,)</f>
        <v>0</v>
      </c>
      <c r="Q650" s="38">
        <f>VLOOKUP(P650,'Dataset-3'!P41:AH430,2,)</f>
        <v>1</v>
      </c>
      <c r="R650" s="38">
        <f>VLOOKUP(Q650,'Dataset-3'!Q41:AI430,2,)</f>
        <v>11</v>
      </c>
      <c r="S650" s="38">
        <f>VLOOKUP(R650,'Dataset-3'!R41:AJ430,2,)</f>
        <v>12</v>
      </c>
    </row>
    <row r="651" spans="1:19" x14ac:dyDescent="0.35">
      <c r="A651" s="37">
        <v>650</v>
      </c>
      <c r="B651" s="60">
        <f>VLOOKUP(A651,'Dataset-3'!A42:S431,2,)</f>
        <v>40573</v>
      </c>
      <c r="C651" s="38">
        <f>VLOOKUP(B651,'Dataset-3'!B42:T431,2,)</f>
        <v>1</v>
      </c>
      <c r="D651" s="38">
        <f>VLOOKUP(C651,'Dataset-3'!C42:U431,2,)</f>
        <v>0</v>
      </c>
      <c r="E651" s="38">
        <f>VLOOKUP(D651,'Dataset-3'!D42:V431,2,)</f>
        <v>1</v>
      </c>
      <c r="F651" s="38">
        <f>VLOOKUP(E651,'Dataset-3'!E42:W431,2,)</f>
        <v>9</v>
      </c>
      <c r="G651" s="41" t="str">
        <f>VLOOKUP(F651,'Dataset-3'!F42:X431,2,)</f>
        <v>Morning</v>
      </c>
      <c r="H651" s="38" t="b">
        <f>VLOOKUP(G651,'Dataset-3'!G42:Y431,2,)</f>
        <v>0</v>
      </c>
      <c r="I651" s="38">
        <f>VLOOKUP(H651,'Dataset-3'!H42:Z431,2,)</f>
        <v>0</v>
      </c>
      <c r="J651" s="41" t="str">
        <f>VLOOKUP(I651,'Dataset-3'!I42:AA431,2,)</f>
        <v>Saturday</v>
      </c>
      <c r="K651" s="38">
        <f>VLOOKUP(J651,'Dataset-3'!J42:AB431,2,)</f>
        <v>2</v>
      </c>
      <c r="L651" s="38">
        <f>VLOOKUP(K651,'Dataset-3'!K42:AC431,2,)</f>
        <v>0.16</v>
      </c>
      <c r="M651" s="70" t="str">
        <f>VLOOKUP(L651,'Dataset-3'!L42:AD431,2,)</f>
        <v>Rainy</v>
      </c>
      <c r="N651" s="38">
        <f>VLOOKUP(M651,'Dataset-3'!M42:AE431,2,)</f>
        <v>0.2273</v>
      </c>
      <c r="O651" s="38">
        <f>VLOOKUP(N651,'Dataset-3'!N42:AF431,2,)</f>
        <v>0.8</v>
      </c>
      <c r="P651" s="38">
        <f>VLOOKUP(O651,'Dataset-3'!O42:AG431,2,)</f>
        <v>0</v>
      </c>
      <c r="Q651" s="38">
        <f>VLOOKUP(P651,'Dataset-3'!P42:AH431,2,)</f>
        <v>4</v>
      </c>
      <c r="R651" s="38">
        <f>VLOOKUP(Q651,'Dataset-3'!Q42:AI431,2,)</f>
        <v>34</v>
      </c>
      <c r="S651" s="38">
        <f>VLOOKUP(R651,'Dataset-3'!R42:AJ431,2,)</f>
        <v>38</v>
      </c>
    </row>
    <row r="652" spans="1:19" x14ac:dyDescent="0.35">
      <c r="A652" s="37">
        <v>651</v>
      </c>
      <c r="B652" s="60">
        <f>VLOOKUP(A652,'Dataset-3'!A43:S432,2,)</f>
        <v>40573</v>
      </c>
      <c r="C652" s="38">
        <f>VLOOKUP(B652,'Dataset-3'!B43:T432,2,)</f>
        <v>1</v>
      </c>
      <c r="D652" s="38">
        <f>VLOOKUP(C652,'Dataset-3'!C43:U432,2,)</f>
        <v>0</v>
      </c>
      <c r="E652" s="38">
        <f>VLOOKUP(D652,'Dataset-3'!D43:V432,2,)</f>
        <v>1</v>
      </c>
      <c r="F652" s="38">
        <f>VLOOKUP(E652,'Dataset-3'!E43:W432,2,)</f>
        <v>10</v>
      </c>
      <c r="G652" s="41" t="str">
        <f>VLOOKUP(F652,'Dataset-3'!F43:X432,2,)</f>
        <v>Morning</v>
      </c>
      <c r="H652" s="38" t="b">
        <f>VLOOKUP(G652,'Dataset-3'!G43:Y432,2,)</f>
        <v>0</v>
      </c>
      <c r="I652" s="38">
        <f>VLOOKUP(H652,'Dataset-3'!H43:Z432,2,)</f>
        <v>0</v>
      </c>
      <c r="J652" s="41" t="str">
        <f>VLOOKUP(I652,'Dataset-3'!I43:AA432,2,)</f>
        <v>Saturday</v>
      </c>
      <c r="K652" s="38">
        <f>VLOOKUP(J652,'Dataset-3'!J43:AB432,2,)</f>
        <v>2</v>
      </c>
      <c r="L652" s="38">
        <f>VLOOKUP(K652,'Dataset-3'!K43:AC432,2,)</f>
        <v>0.18</v>
      </c>
      <c r="M652" s="70" t="str">
        <f>VLOOKUP(L652,'Dataset-3'!L43:AD432,2,)</f>
        <v>Rainy</v>
      </c>
      <c r="N652" s="38">
        <f>VLOOKUP(M652,'Dataset-3'!M43:AE432,2,)</f>
        <v>0.2424</v>
      </c>
      <c r="O652" s="38">
        <f>VLOOKUP(N652,'Dataset-3'!N43:AF432,2,)</f>
        <v>0.8</v>
      </c>
      <c r="P652" s="38">
        <f>VLOOKUP(O652,'Dataset-3'!O43:AG432,2,)</f>
        <v>0</v>
      </c>
      <c r="Q652" s="38">
        <f>VLOOKUP(P652,'Dataset-3'!P43:AH432,2,)</f>
        <v>7</v>
      </c>
      <c r="R652" s="38">
        <f>VLOOKUP(Q652,'Dataset-3'!Q43:AI432,2,)</f>
        <v>57</v>
      </c>
      <c r="S652" s="38">
        <f>VLOOKUP(R652,'Dataset-3'!R43:AJ432,2,)</f>
        <v>64</v>
      </c>
    </row>
    <row r="653" spans="1:19" x14ac:dyDescent="0.35">
      <c r="A653" s="37">
        <v>652</v>
      </c>
      <c r="B653" s="60">
        <f>VLOOKUP(A653,'Dataset-3'!A44:S433,2,)</f>
        <v>40573</v>
      </c>
      <c r="C653" s="38">
        <f>VLOOKUP(B653,'Dataset-3'!B44:T433,2,)</f>
        <v>1</v>
      </c>
      <c r="D653" s="38">
        <f>VLOOKUP(C653,'Dataset-3'!C44:U433,2,)</f>
        <v>0</v>
      </c>
      <c r="E653" s="38">
        <f>VLOOKUP(D653,'Dataset-3'!D44:V433,2,)</f>
        <v>1</v>
      </c>
      <c r="F653" s="38">
        <f>VLOOKUP(E653,'Dataset-3'!E44:W433,2,)</f>
        <v>11</v>
      </c>
      <c r="G653" s="41" t="str">
        <f>VLOOKUP(F653,'Dataset-3'!F44:X433,2,)</f>
        <v>Morning</v>
      </c>
      <c r="H653" s="38" t="b">
        <f>VLOOKUP(G653,'Dataset-3'!G44:Y433,2,)</f>
        <v>0</v>
      </c>
      <c r="I653" s="38">
        <f>VLOOKUP(H653,'Dataset-3'!H44:Z433,2,)</f>
        <v>0</v>
      </c>
      <c r="J653" s="41" t="str">
        <f>VLOOKUP(I653,'Dataset-3'!I44:AA433,2,)</f>
        <v>Saturday</v>
      </c>
      <c r="K653" s="38">
        <f>VLOOKUP(J653,'Dataset-3'!J44:AB433,2,)</f>
        <v>1</v>
      </c>
      <c r="L653" s="38">
        <f>VLOOKUP(K653,'Dataset-3'!K44:AC433,2,)</f>
        <v>0.22</v>
      </c>
      <c r="M653" s="70" t="str">
        <f>VLOOKUP(L653,'Dataset-3'!L44:AD433,2,)</f>
        <v>Cloudy</v>
      </c>
      <c r="N653" s="38">
        <f>VLOOKUP(M653,'Dataset-3'!M44:AE433,2,)</f>
        <v>0.2727</v>
      </c>
      <c r="O653" s="38">
        <f>VLOOKUP(N653,'Dataset-3'!N44:AF433,2,)</f>
        <v>0.75</v>
      </c>
      <c r="P653" s="38">
        <f>VLOOKUP(O653,'Dataset-3'!O44:AG433,2,)</f>
        <v>0</v>
      </c>
      <c r="Q653" s="38">
        <f>VLOOKUP(P653,'Dataset-3'!P44:AH433,2,)</f>
        <v>9</v>
      </c>
      <c r="R653" s="38">
        <f>VLOOKUP(Q653,'Dataset-3'!Q44:AI433,2,)</f>
        <v>50</v>
      </c>
      <c r="S653" s="38">
        <f>VLOOKUP(R653,'Dataset-3'!R44:AJ433,2,)</f>
        <v>59</v>
      </c>
    </row>
    <row r="654" spans="1:19" x14ac:dyDescent="0.35">
      <c r="A654" s="37">
        <v>653</v>
      </c>
      <c r="B654" s="60">
        <f>VLOOKUP(A654,'Dataset-3'!A45:S434,2,)</f>
        <v>40573</v>
      </c>
      <c r="C654" s="38">
        <f>VLOOKUP(B654,'Dataset-3'!B45:T434,2,)</f>
        <v>1</v>
      </c>
      <c r="D654" s="38">
        <f>VLOOKUP(C654,'Dataset-3'!C45:U434,2,)</f>
        <v>0</v>
      </c>
      <c r="E654" s="38">
        <f>VLOOKUP(D654,'Dataset-3'!D45:V434,2,)</f>
        <v>1</v>
      </c>
      <c r="F654" s="38">
        <f>VLOOKUP(E654,'Dataset-3'!E45:W434,2,)</f>
        <v>12</v>
      </c>
      <c r="G654" s="41" t="str">
        <f>VLOOKUP(F654,'Dataset-3'!F45:X434,2,)</f>
        <v>AfterNoon</v>
      </c>
      <c r="H654" s="38" t="b">
        <f>VLOOKUP(G654,'Dataset-3'!G45:Y434,2,)</f>
        <v>0</v>
      </c>
      <c r="I654" s="38">
        <f>VLOOKUP(H654,'Dataset-3'!H45:Z434,2,)</f>
        <v>0</v>
      </c>
      <c r="J654" s="41" t="str">
        <f>VLOOKUP(I654,'Dataset-3'!I45:AA434,2,)</f>
        <v>Saturday</v>
      </c>
      <c r="K654" s="38">
        <f>VLOOKUP(J654,'Dataset-3'!J45:AB434,2,)</f>
        <v>1</v>
      </c>
      <c r="L654" s="38">
        <f>VLOOKUP(K654,'Dataset-3'!K45:AC434,2,)</f>
        <v>0.3</v>
      </c>
      <c r="M654" s="70" t="str">
        <f>VLOOKUP(L654,'Dataset-3'!L45:AD434,2,)</f>
        <v>Cloudy</v>
      </c>
      <c r="N654" s="38">
        <f>VLOOKUP(M654,'Dataset-3'!M45:AE434,2,)</f>
        <v>0.31819999999999998</v>
      </c>
      <c r="O654" s="38">
        <f>VLOOKUP(N654,'Dataset-3'!N45:AF434,2,)</f>
        <v>0.52</v>
      </c>
      <c r="P654" s="38">
        <f>VLOOKUP(O654,'Dataset-3'!O45:AG434,2,)</f>
        <v>0.1045</v>
      </c>
      <c r="Q654" s="38">
        <f>VLOOKUP(P654,'Dataset-3'!P45:AH434,2,)</f>
        <v>10</v>
      </c>
      <c r="R654" s="38">
        <f>VLOOKUP(Q654,'Dataset-3'!Q45:AI434,2,)</f>
        <v>87</v>
      </c>
      <c r="S654" s="38">
        <f>VLOOKUP(R654,'Dataset-3'!R45:AJ434,2,)</f>
        <v>97</v>
      </c>
    </row>
    <row r="655" spans="1:19" x14ac:dyDescent="0.35">
      <c r="A655" s="37">
        <v>654</v>
      </c>
      <c r="B655" s="60">
        <f>VLOOKUP(A655,'Dataset-3'!A46:S435,2,)</f>
        <v>40573</v>
      </c>
      <c r="C655" s="38">
        <f>VLOOKUP(B655,'Dataset-3'!B46:T435,2,)</f>
        <v>1</v>
      </c>
      <c r="D655" s="38">
        <f>VLOOKUP(C655,'Dataset-3'!C46:U435,2,)</f>
        <v>0</v>
      </c>
      <c r="E655" s="38">
        <f>VLOOKUP(D655,'Dataset-3'!D46:V435,2,)</f>
        <v>1</v>
      </c>
      <c r="F655" s="38">
        <f>VLOOKUP(E655,'Dataset-3'!E46:W435,2,)</f>
        <v>13</v>
      </c>
      <c r="G655" s="41" t="str">
        <f>VLOOKUP(F655,'Dataset-3'!F46:X435,2,)</f>
        <v>AfterNoon</v>
      </c>
      <c r="H655" s="38" t="b">
        <f>VLOOKUP(G655,'Dataset-3'!G46:Y435,2,)</f>
        <v>0</v>
      </c>
      <c r="I655" s="38">
        <f>VLOOKUP(H655,'Dataset-3'!H46:Z435,2,)</f>
        <v>0</v>
      </c>
      <c r="J655" s="41" t="str">
        <f>VLOOKUP(I655,'Dataset-3'!I46:AA435,2,)</f>
        <v>Saturday</v>
      </c>
      <c r="K655" s="38">
        <f>VLOOKUP(J655,'Dataset-3'!J46:AB435,2,)</f>
        <v>1</v>
      </c>
      <c r="L655" s="38">
        <f>VLOOKUP(K655,'Dataset-3'!K46:AC435,2,)</f>
        <v>0.28000000000000003</v>
      </c>
      <c r="M655" s="70" t="str">
        <f>VLOOKUP(L655,'Dataset-3'!L46:AD435,2,)</f>
        <v>Cloudy</v>
      </c>
      <c r="N655" s="38">
        <f>VLOOKUP(M655,'Dataset-3'!M46:AE435,2,)</f>
        <v>0.28789999999999999</v>
      </c>
      <c r="O655" s="38">
        <f>VLOOKUP(N655,'Dataset-3'!N46:AF435,2,)</f>
        <v>0.61</v>
      </c>
      <c r="P655" s="38">
        <f>VLOOKUP(O655,'Dataset-3'!O46:AG435,2,)</f>
        <v>0.1045</v>
      </c>
      <c r="Q655" s="38">
        <f>VLOOKUP(P655,'Dataset-3'!P46:AH435,2,)</f>
        <v>13</v>
      </c>
      <c r="R655" s="38">
        <f>VLOOKUP(Q655,'Dataset-3'!Q46:AI435,2,)</f>
        <v>71</v>
      </c>
      <c r="S655" s="38">
        <f>VLOOKUP(R655,'Dataset-3'!R46:AJ435,2,)</f>
        <v>84</v>
      </c>
    </row>
    <row r="656" spans="1:19" x14ac:dyDescent="0.35">
      <c r="A656" s="37">
        <v>655</v>
      </c>
      <c r="B656" s="60">
        <f>VLOOKUP(A656,'Dataset-3'!A47:S436,2,)</f>
        <v>40573</v>
      </c>
      <c r="C656" s="38">
        <f>VLOOKUP(B656,'Dataset-3'!B47:T436,2,)</f>
        <v>1</v>
      </c>
      <c r="D656" s="38">
        <f>VLOOKUP(C656,'Dataset-3'!C47:U436,2,)</f>
        <v>0</v>
      </c>
      <c r="E656" s="38">
        <f>VLOOKUP(D656,'Dataset-3'!D47:V436,2,)</f>
        <v>1</v>
      </c>
      <c r="F656" s="38">
        <f>VLOOKUP(E656,'Dataset-3'!E47:W436,2,)</f>
        <v>14</v>
      </c>
      <c r="G656" s="41" t="str">
        <f>VLOOKUP(F656,'Dataset-3'!F47:X436,2,)</f>
        <v>AfterNoon</v>
      </c>
      <c r="H656" s="38" t="b">
        <f>VLOOKUP(G656,'Dataset-3'!G47:Y436,2,)</f>
        <v>0</v>
      </c>
      <c r="I656" s="38">
        <f>VLOOKUP(H656,'Dataset-3'!H47:Z436,2,)</f>
        <v>0</v>
      </c>
      <c r="J656" s="41" t="str">
        <f>VLOOKUP(I656,'Dataset-3'!I47:AA436,2,)</f>
        <v>Saturday</v>
      </c>
      <c r="K656" s="38">
        <f>VLOOKUP(J656,'Dataset-3'!J47:AB436,2,)</f>
        <v>1</v>
      </c>
      <c r="L656" s="38">
        <f>VLOOKUP(K656,'Dataset-3'!K47:AC436,2,)</f>
        <v>0.28000000000000003</v>
      </c>
      <c r="M656" s="70" t="str">
        <f>VLOOKUP(L656,'Dataset-3'!L47:AD436,2,)</f>
        <v>Cloudy</v>
      </c>
      <c r="N656" s="38">
        <f>VLOOKUP(M656,'Dataset-3'!M47:AE436,2,)</f>
        <v>0.30299999999999999</v>
      </c>
      <c r="O656" s="38">
        <f>VLOOKUP(N656,'Dataset-3'!N47:AF436,2,)</f>
        <v>0.61</v>
      </c>
      <c r="P656" s="38">
        <f>VLOOKUP(O656,'Dataset-3'!O47:AG436,2,)</f>
        <v>8.9599999999999999E-2</v>
      </c>
      <c r="Q656" s="38">
        <f>VLOOKUP(P656,'Dataset-3'!P47:AH436,2,)</f>
        <v>18</v>
      </c>
      <c r="R656" s="38">
        <f>VLOOKUP(Q656,'Dataset-3'!Q47:AI436,2,)</f>
        <v>104</v>
      </c>
      <c r="S656" s="38">
        <f>VLOOKUP(R656,'Dataset-3'!R47:AJ436,2,)</f>
        <v>122</v>
      </c>
    </row>
    <row r="657" spans="1:19" x14ac:dyDescent="0.35">
      <c r="A657" s="37">
        <v>656</v>
      </c>
      <c r="B657" s="60">
        <f>VLOOKUP(A657,'Dataset-3'!A48:S437,2,)</f>
        <v>40573</v>
      </c>
      <c r="C657" s="38">
        <f>VLOOKUP(B657,'Dataset-3'!B48:T437,2,)</f>
        <v>1</v>
      </c>
      <c r="D657" s="38">
        <f>VLOOKUP(C657,'Dataset-3'!C48:U437,2,)</f>
        <v>0</v>
      </c>
      <c r="E657" s="38">
        <f>VLOOKUP(D657,'Dataset-3'!D48:V437,2,)</f>
        <v>1</v>
      </c>
      <c r="F657" s="38">
        <f>VLOOKUP(E657,'Dataset-3'!E48:W437,2,)</f>
        <v>15</v>
      </c>
      <c r="G657" s="41" t="str">
        <f>VLOOKUP(F657,'Dataset-3'!F48:X437,2,)</f>
        <v>AfterNoon</v>
      </c>
      <c r="H657" s="38" t="b">
        <f>VLOOKUP(G657,'Dataset-3'!G48:Y437,2,)</f>
        <v>0</v>
      </c>
      <c r="I657" s="38">
        <f>VLOOKUP(H657,'Dataset-3'!H48:Z437,2,)</f>
        <v>0</v>
      </c>
      <c r="J657" s="41" t="str">
        <f>VLOOKUP(I657,'Dataset-3'!I48:AA437,2,)</f>
        <v>Saturday</v>
      </c>
      <c r="K657" s="38">
        <f>VLOOKUP(J657,'Dataset-3'!J48:AB437,2,)</f>
        <v>1</v>
      </c>
      <c r="L657" s="38">
        <f>VLOOKUP(K657,'Dataset-3'!K48:AC437,2,)</f>
        <v>0.3</v>
      </c>
      <c r="M657" s="70" t="str">
        <f>VLOOKUP(L657,'Dataset-3'!L48:AD437,2,)</f>
        <v>Cloudy</v>
      </c>
      <c r="N657" s="38">
        <f>VLOOKUP(M657,'Dataset-3'!M48:AE437,2,)</f>
        <v>0.33329999999999999</v>
      </c>
      <c r="O657" s="38">
        <f>VLOOKUP(N657,'Dataset-3'!N48:AF437,2,)</f>
        <v>0.56000000000000005</v>
      </c>
      <c r="P657" s="38">
        <f>VLOOKUP(O657,'Dataset-3'!O48:AG437,2,)</f>
        <v>0</v>
      </c>
      <c r="Q657" s="38">
        <f>VLOOKUP(P657,'Dataset-3'!P48:AH437,2,)</f>
        <v>14</v>
      </c>
      <c r="R657" s="38">
        <f>VLOOKUP(Q657,'Dataset-3'!Q48:AI437,2,)</f>
        <v>95</v>
      </c>
      <c r="S657" s="38">
        <f>VLOOKUP(R657,'Dataset-3'!R48:AJ437,2,)</f>
        <v>109</v>
      </c>
    </row>
    <row r="658" spans="1:19" x14ac:dyDescent="0.35">
      <c r="A658" s="37">
        <v>657</v>
      </c>
      <c r="B658" s="60">
        <f>VLOOKUP(A658,'Dataset-3'!A49:S438,2,)</f>
        <v>40573</v>
      </c>
      <c r="C658" s="38">
        <f>VLOOKUP(B658,'Dataset-3'!B49:T438,2,)</f>
        <v>1</v>
      </c>
      <c r="D658" s="38">
        <f>VLOOKUP(C658,'Dataset-3'!C49:U438,2,)</f>
        <v>0</v>
      </c>
      <c r="E658" s="38">
        <f>VLOOKUP(D658,'Dataset-3'!D49:V438,2,)</f>
        <v>1</v>
      </c>
      <c r="F658" s="38">
        <f>VLOOKUP(E658,'Dataset-3'!E49:W438,2,)</f>
        <v>16</v>
      </c>
      <c r="G658" s="41" t="str">
        <f>VLOOKUP(F658,'Dataset-3'!F49:X438,2,)</f>
        <v>AfterNoon</v>
      </c>
      <c r="H658" s="38" t="b">
        <f>VLOOKUP(G658,'Dataset-3'!G49:Y438,2,)</f>
        <v>0</v>
      </c>
      <c r="I658" s="38">
        <f>VLOOKUP(H658,'Dataset-3'!H49:Z438,2,)</f>
        <v>0</v>
      </c>
      <c r="J658" s="41" t="str">
        <f>VLOOKUP(I658,'Dataset-3'!I49:AA438,2,)</f>
        <v>Saturday</v>
      </c>
      <c r="K658" s="38">
        <f>VLOOKUP(J658,'Dataset-3'!J49:AB438,2,)</f>
        <v>1</v>
      </c>
      <c r="L658" s="38">
        <f>VLOOKUP(K658,'Dataset-3'!K49:AC438,2,)</f>
        <v>0.3</v>
      </c>
      <c r="M658" s="70" t="str">
        <f>VLOOKUP(L658,'Dataset-3'!L49:AD438,2,)</f>
        <v>Cloudy</v>
      </c>
      <c r="N658" s="38">
        <f>VLOOKUP(M658,'Dataset-3'!M49:AE438,2,)</f>
        <v>0.33329999999999999</v>
      </c>
      <c r="O658" s="38">
        <f>VLOOKUP(N658,'Dataset-3'!N49:AF438,2,)</f>
        <v>0.56000000000000005</v>
      </c>
      <c r="P658" s="38">
        <f>VLOOKUP(O658,'Dataset-3'!O49:AG438,2,)</f>
        <v>0</v>
      </c>
      <c r="Q658" s="38">
        <f>VLOOKUP(P658,'Dataset-3'!P49:AH438,2,)</f>
        <v>19</v>
      </c>
      <c r="R658" s="38">
        <f>VLOOKUP(Q658,'Dataset-3'!Q49:AI438,2,)</f>
        <v>104</v>
      </c>
      <c r="S658" s="38">
        <f>VLOOKUP(R658,'Dataset-3'!R49:AJ438,2,)</f>
        <v>123</v>
      </c>
    </row>
    <row r="659" spans="1:19" x14ac:dyDescent="0.35">
      <c r="A659" s="37">
        <v>658</v>
      </c>
      <c r="B659" s="60">
        <f>VLOOKUP(A659,'Dataset-3'!A50:S439,2,)</f>
        <v>40573</v>
      </c>
      <c r="C659" s="38">
        <f>VLOOKUP(B659,'Dataset-3'!B50:T439,2,)</f>
        <v>1</v>
      </c>
      <c r="D659" s="38">
        <f>VLOOKUP(C659,'Dataset-3'!C50:U439,2,)</f>
        <v>0</v>
      </c>
      <c r="E659" s="38">
        <f>VLOOKUP(D659,'Dataset-3'!D50:V439,2,)</f>
        <v>1</v>
      </c>
      <c r="F659" s="38">
        <f>VLOOKUP(E659,'Dataset-3'!E50:W439,2,)</f>
        <v>17</v>
      </c>
      <c r="G659" s="41" t="str">
        <f>VLOOKUP(F659,'Dataset-3'!F50:X439,2,)</f>
        <v>Evening</v>
      </c>
      <c r="H659" s="38" t="b">
        <f>VLOOKUP(G659,'Dataset-3'!G50:Y439,2,)</f>
        <v>0</v>
      </c>
      <c r="I659" s="38">
        <f>VLOOKUP(H659,'Dataset-3'!H50:Z439,2,)</f>
        <v>0</v>
      </c>
      <c r="J659" s="41" t="str">
        <f>VLOOKUP(I659,'Dataset-3'!I50:AA439,2,)</f>
        <v>Saturday</v>
      </c>
      <c r="K659" s="38">
        <f>VLOOKUP(J659,'Dataset-3'!J50:AB439,2,)</f>
        <v>1</v>
      </c>
      <c r="L659" s="38">
        <f>VLOOKUP(K659,'Dataset-3'!K50:AC439,2,)</f>
        <v>0.3</v>
      </c>
      <c r="M659" s="70" t="str">
        <f>VLOOKUP(L659,'Dataset-3'!L50:AD439,2,)</f>
        <v>Cloudy</v>
      </c>
      <c r="N659" s="38">
        <f>VLOOKUP(M659,'Dataset-3'!M50:AE439,2,)</f>
        <v>0.28789999999999999</v>
      </c>
      <c r="O659" s="38">
        <f>VLOOKUP(N659,'Dataset-3'!N50:AF439,2,)</f>
        <v>0.56000000000000005</v>
      </c>
      <c r="P659" s="38">
        <f>VLOOKUP(O659,'Dataset-3'!O50:AG439,2,)</f>
        <v>0.19400000000000001</v>
      </c>
      <c r="Q659" s="38">
        <f>VLOOKUP(P659,'Dataset-3'!P50:AH439,2,)</f>
        <v>6</v>
      </c>
      <c r="R659" s="38">
        <f>VLOOKUP(Q659,'Dataset-3'!Q50:AI439,2,)</f>
        <v>71</v>
      </c>
      <c r="S659" s="38">
        <f>VLOOKUP(R659,'Dataset-3'!R50:AJ439,2,)</f>
        <v>77</v>
      </c>
    </row>
    <row r="660" spans="1:19" x14ac:dyDescent="0.35">
      <c r="A660" s="37">
        <v>659</v>
      </c>
      <c r="B660" s="60">
        <f>VLOOKUP(A660,'Dataset-3'!A51:S440,2,)</f>
        <v>40573</v>
      </c>
      <c r="C660" s="38">
        <f>VLOOKUP(B660,'Dataset-3'!B51:T440,2,)</f>
        <v>1</v>
      </c>
      <c r="D660" s="38">
        <f>VLOOKUP(C660,'Dataset-3'!C51:U440,2,)</f>
        <v>0</v>
      </c>
      <c r="E660" s="38">
        <f>VLOOKUP(D660,'Dataset-3'!D51:V440,2,)</f>
        <v>1</v>
      </c>
      <c r="F660" s="38">
        <f>VLOOKUP(E660,'Dataset-3'!E51:W440,2,)</f>
        <v>18</v>
      </c>
      <c r="G660" s="41" t="str">
        <f>VLOOKUP(F660,'Dataset-3'!F51:X440,2,)</f>
        <v>Evening</v>
      </c>
      <c r="H660" s="38" t="b">
        <f>VLOOKUP(G660,'Dataset-3'!G51:Y440,2,)</f>
        <v>0</v>
      </c>
      <c r="I660" s="38">
        <f>VLOOKUP(H660,'Dataset-3'!H51:Z440,2,)</f>
        <v>0</v>
      </c>
      <c r="J660" s="41" t="str">
        <f>VLOOKUP(I660,'Dataset-3'!I51:AA440,2,)</f>
        <v>Saturday</v>
      </c>
      <c r="K660" s="38">
        <f>VLOOKUP(J660,'Dataset-3'!J51:AB440,2,)</f>
        <v>1</v>
      </c>
      <c r="L660" s="38">
        <f>VLOOKUP(K660,'Dataset-3'!K51:AC440,2,)</f>
        <v>0.26</v>
      </c>
      <c r="M660" s="70" t="str">
        <f>VLOOKUP(L660,'Dataset-3'!L51:AD440,2,)</f>
        <v>Cloudy</v>
      </c>
      <c r="N660" s="38">
        <f>VLOOKUP(M660,'Dataset-3'!M51:AE440,2,)</f>
        <v>0.2576</v>
      </c>
      <c r="O660" s="38">
        <f>VLOOKUP(N660,'Dataset-3'!N51:AF440,2,)</f>
        <v>0.65</v>
      </c>
      <c r="P660" s="38">
        <f>VLOOKUP(O660,'Dataset-3'!O51:AG440,2,)</f>
        <v>0.16420000000000001</v>
      </c>
      <c r="Q660" s="38">
        <f>VLOOKUP(P660,'Dataset-3'!P51:AH440,2,)</f>
        <v>8</v>
      </c>
      <c r="R660" s="38">
        <f>VLOOKUP(Q660,'Dataset-3'!Q51:AI440,2,)</f>
        <v>57</v>
      </c>
      <c r="S660" s="38">
        <f>VLOOKUP(R660,'Dataset-3'!R51:AJ440,2,)</f>
        <v>65</v>
      </c>
    </row>
    <row r="661" spans="1:19" x14ac:dyDescent="0.35">
      <c r="A661" s="37">
        <v>660</v>
      </c>
      <c r="B661" s="60">
        <f>VLOOKUP(A661,'Dataset-3'!A52:S441,2,)</f>
        <v>40573</v>
      </c>
      <c r="C661" s="38">
        <f>VLOOKUP(B661,'Dataset-3'!B52:T441,2,)</f>
        <v>1</v>
      </c>
      <c r="D661" s="38">
        <f>VLOOKUP(C661,'Dataset-3'!C52:U441,2,)</f>
        <v>0</v>
      </c>
      <c r="E661" s="38">
        <f>VLOOKUP(D661,'Dataset-3'!D52:V441,2,)</f>
        <v>1</v>
      </c>
      <c r="F661" s="38">
        <f>VLOOKUP(E661,'Dataset-3'!E52:W441,2,)</f>
        <v>19</v>
      </c>
      <c r="G661" s="41" t="str">
        <f>VLOOKUP(F661,'Dataset-3'!F52:X441,2,)</f>
        <v>Evening</v>
      </c>
      <c r="H661" s="38" t="b">
        <f>VLOOKUP(G661,'Dataset-3'!G52:Y441,2,)</f>
        <v>0</v>
      </c>
      <c r="I661" s="38">
        <f>VLOOKUP(H661,'Dataset-3'!H52:Z441,2,)</f>
        <v>0</v>
      </c>
      <c r="J661" s="41" t="str">
        <f>VLOOKUP(I661,'Dataset-3'!I52:AA441,2,)</f>
        <v>Saturday</v>
      </c>
      <c r="K661" s="38">
        <f>VLOOKUP(J661,'Dataset-3'!J52:AB441,2,)</f>
        <v>1</v>
      </c>
      <c r="L661" s="38">
        <f>VLOOKUP(K661,'Dataset-3'!K52:AC441,2,)</f>
        <v>0.26</v>
      </c>
      <c r="M661" s="70" t="str">
        <f>VLOOKUP(L661,'Dataset-3'!L52:AD441,2,)</f>
        <v>Cloudy</v>
      </c>
      <c r="N661" s="38">
        <f>VLOOKUP(M661,'Dataset-3'!M52:AE441,2,)</f>
        <v>0.2576</v>
      </c>
      <c r="O661" s="38">
        <f>VLOOKUP(N661,'Dataset-3'!N52:AF441,2,)</f>
        <v>0.65</v>
      </c>
      <c r="P661" s="38">
        <f>VLOOKUP(O661,'Dataset-3'!O52:AG441,2,)</f>
        <v>0.19400000000000001</v>
      </c>
      <c r="Q661" s="38">
        <f>VLOOKUP(P661,'Dataset-3'!P52:AH441,2,)</f>
        <v>9</v>
      </c>
      <c r="R661" s="38">
        <f>VLOOKUP(Q661,'Dataset-3'!Q52:AI441,2,)</f>
        <v>46</v>
      </c>
      <c r="S661" s="38">
        <f>VLOOKUP(R661,'Dataset-3'!R52:AJ441,2,)</f>
        <v>55</v>
      </c>
    </row>
    <row r="662" spans="1:19" x14ac:dyDescent="0.35">
      <c r="A662" s="37">
        <v>661</v>
      </c>
      <c r="B662" s="60">
        <f>VLOOKUP(A662,'Dataset-3'!A53:S442,2,)</f>
        <v>40573</v>
      </c>
      <c r="C662" s="38">
        <f>VLOOKUP(B662,'Dataset-3'!B53:T442,2,)</f>
        <v>1</v>
      </c>
      <c r="D662" s="38">
        <f>VLOOKUP(C662,'Dataset-3'!C53:U442,2,)</f>
        <v>0</v>
      </c>
      <c r="E662" s="38">
        <f>VLOOKUP(D662,'Dataset-3'!D53:V442,2,)</f>
        <v>1</v>
      </c>
      <c r="F662" s="38">
        <f>VLOOKUP(E662,'Dataset-3'!E53:W442,2,)</f>
        <v>20</v>
      </c>
      <c r="G662" s="41" t="str">
        <f>VLOOKUP(F662,'Dataset-3'!F53:X442,2,)</f>
        <v>Night</v>
      </c>
      <c r="H662" s="38" t="b">
        <f>VLOOKUP(G662,'Dataset-3'!G53:Y442,2,)</f>
        <v>0</v>
      </c>
      <c r="I662" s="38">
        <f>VLOOKUP(H662,'Dataset-3'!H53:Z442,2,)</f>
        <v>0</v>
      </c>
      <c r="J662" s="41" t="str">
        <f>VLOOKUP(I662,'Dataset-3'!I53:AA442,2,)</f>
        <v>Saturday</v>
      </c>
      <c r="K662" s="38">
        <f>VLOOKUP(J662,'Dataset-3'!J53:AB442,2,)</f>
        <v>2</v>
      </c>
      <c r="L662" s="38">
        <f>VLOOKUP(K662,'Dataset-3'!K53:AC442,2,)</f>
        <v>0.26</v>
      </c>
      <c r="M662" s="70" t="str">
        <f>VLOOKUP(L662,'Dataset-3'!L53:AD442,2,)</f>
        <v>Cloudy</v>
      </c>
      <c r="N662" s="38">
        <f>VLOOKUP(M662,'Dataset-3'!M53:AE442,2,)</f>
        <v>0.2727</v>
      </c>
      <c r="O662" s="38">
        <f>VLOOKUP(N662,'Dataset-3'!N53:AF442,2,)</f>
        <v>0.65</v>
      </c>
      <c r="P662" s="38">
        <f>VLOOKUP(O662,'Dataset-3'!O53:AG442,2,)</f>
        <v>0.1045</v>
      </c>
      <c r="Q662" s="38">
        <f>VLOOKUP(P662,'Dataset-3'!P53:AH442,2,)</f>
        <v>3</v>
      </c>
      <c r="R662" s="38">
        <f>VLOOKUP(Q662,'Dataset-3'!Q53:AI442,2,)</f>
        <v>30</v>
      </c>
      <c r="S662" s="38">
        <f>VLOOKUP(R662,'Dataset-3'!R53:AJ442,2,)</f>
        <v>33</v>
      </c>
    </row>
    <row r="663" spans="1:19" x14ac:dyDescent="0.35">
      <c r="A663" s="37">
        <v>662</v>
      </c>
      <c r="B663" s="60">
        <f>VLOOKUP(A663,'Dataset-3'!A54:S443,2,)</f>
        <v>40573</v>
      </c>
      <c r="C663" s="38">
        <f>VLOOKUP(B663,'Dataset-3'!B54:T443,2,)</f>
        <v>1</v>
      </c>
      <c r="D663" s="38">
        <f>VLOOKUP(C663,'Dataset-3'!C54:U443,2,)</f>
        <v>0</v>
      </c>
      <c r="E663" s="38">
        <f>VLOOKUP(D663,'Dataset-3'!D54:V443,2,)</f>
        <v>1</v>
      </c>
      <c r="F663" s="38">
        <f>VLOOKUP(E663,'Dataset-3'!E54:W443,2,)</f>
        <v>21</v>
      </c>
      <c r="G663" s="41" t="str">
        <f>VLOOKUP(F663,'Dataset-3'!F54:X443,2,)</f>
        <v>Night</v>
      </c>
      <c r="H663" s="38" t="b">
        <f>VLOOKUP(G663,'Dataset-3'!G54:Y443,2,)</f>
        <v>0</v>
      </c>
      <c r="I663" s="38">
        <f>VLOOKUP(H663,'Dataset-3'!H54:Z443,2,)</f>
        <v>0</v>
      </c>
      <c r="J663" s="41" t="str">
        <f>VLOOKUP(I663,'Dataset-3'!I54:AA443,2,)</f>
        <v>Saturday</v>
      </c>
      <c r="K663" s="38">
        <f>VLOOKUP(J663,'Dataset-3'!J54:AB443,2,)</f>
        <v>2</v>
      </c>
      <c r="L663" s="38">
        <f>VLOOKUP(K663,'Dataset-3'!K54:AC443,2,)</f>
        <v>0.24</v>
      </c>
      <c r="M663" s="70" t="str">
        <f>VLOOKUP(L663,'Dataset-3'!L54:AD443,2,)</f>
        <v>Cloudy</v>
      </c>
      <c r="N663" s="38">
        <f>VLOOKUP(M663,'Dataset-3'!M54:AE443,2,)</f>
        <v>0.2424</v>
      </c>
      <c r="O663" s="38">
        <f>VLOOKUP(N663,'Dataset-3'!N54:AF443,2,)</f>
        <v>0.7</v>
      </c>
      <c r="P663" s="38">
        <f>VLOOKUP(O663,'Dataset-3'!O54:AG443,2,)</f>
        <v>0.16420000000000001</v>
      </c>
      <c r="Q663" s="38">
        <f>VLOOKUP(P663,'Dataset-3'!P54:AH443,2,)</f>
        <v>3</v>
      </c>
      <c r="R663" s="38">
        <f>VLOOKUP(Q663,'Dataset-3'!Q54:AI443,2,)</f>
        <v>25</v>
      </c>
      <c r="S663" s="38">
        <f>VLOOKUP(R663,'Dataset-3'!R54:AJ443,2,)</f>
        <v>28</v>
      </c>
    </row>
    <row r="664" spans="1:19" x14ac:dyDescent="0.35">
      <c r="A664" s="37">
        <v>663</v>
      </c>
      <c r="B664" s="60">
        <f>VLOOKUP(A664,'Dataset-3'!A55:S444,2,)</f>
        <v>40573</v>
      </c>
      <c r="C664" s="38">
        <f>VLOOKUP(B664,'Dataset-3'!B55:T444,2,)</f>
        <v>1</v>
      </c>
      <c r="D664" s="38">
        <f>VLOOKUP(C664,'Dataset-3'!C55:U444,2,)</f>
        <v>0</v>
      </c>
      <c r="E664" s="38">
        <f>VLOOKUP(D664,'Dataset-3'!D55:V444,2,)</f>
        <v>1</v>
      </c>
      <c r="F664" s="38">
        <f>VLOOKUP(E664,'Dataset-3'!E55:W444,2,)</f>
        <v>22</v>
      </c>
      <c r="G664" s="41" t="str">
        <f>VLOOKUP(F664,'Dataset-3'!F55:X444,2,)</f>
        <v>Night</v>
      </c>
      <c r="H664" s="38" t="b">
        <f>VLOOKUP(G664,'Dataset-3'!G55:Y444,2,)</f>
        <v>0</v>
      </c>
      <c r="I664" s="38">
        <f>VLOOKUP(H664,'Dataset-3'!H55:Z444,2,)</f>
        <v>0</v>
      </c>
      <c r="J664" s="41" t="str">
        <f>VLOOKUP(I664,'Dataset-3'!I55:AA444,2,)</f>
        <v>Saturday</v>
      </c>
      <c r="K664" s="38">
        <f>VLOOKUP(J664,'Dataset-3'!J55:AB444,2,)</f>
        <v>2</v>
      </c>
      <c r="L664" s="38">
        <f>VLOOKUP(K664,'Dataset-3'!K55:AC444,2,)</f>
        <v>0.24</v>
      </c>
      <c r="M664" s="70" t="str">
        <f>VLOOKUP(L664,'Dataset-3'!L55:AD444,2,)</f>
        <v>Cloudy</v>
      </c>
      <c r="N664" s="38">
        <f>VLOOKUP(M664,'Dataset-3'!M55:AE444,2,)</f>
        <v>0.2273</v>
      </c>
      <c r="O664" s="38">
        <f>VLOOKUP(N664,'Dataset-3'!N55:AF444,2,)</f>
        <v>0.7</v>
      </c>
      <c r="P664" s="38">
        <f>VLOOKUP(O664,'Dataset-3'!O55:AG444,2,)</f>
        <v>0.19400000000000001</v>
      </c>
      <c r="Q664" s="38">
        <f>VLOOKUP(P664,'Dataset-3'!P55:AH444,2,)</f>
        <v>2</v>
      </c>
      <c r="R664" s="38">
        <f>VLOOKUP(Q664,'Dataset-3'!Q55:AI444,2,)</f>
        <v>19</v>
      </c>
      <c r="S664" s="38">
        <f>VLOOKUP(R664,'Dataset-3'!R55:AJ444,2,)</f>
        <v>21</v>
      </c>
    </row>
    <row r="665" spans="1:19" x14ac:dyDescent="0.35">
      <c r="A665" s="37">
        <v>664</v>
      </c>
      <c r="B665" s="60">
        <f>VLOOKUP(A665,'Dataset-3'!A56:S445,2,)</f>
        <v>40573</v>
      </c>
      <c r="C665" s="38">
        <f>VLOOKUP(B665,'Dataset-3'!B56:T445,2,)</f>
        <v>1</v>
      </c>
      <c r="D665" s="38">
        <f>VLOOKUP(C665,'Dataset-3'!C56:U445,2,)</f>
        <v>0</v>
      </c>
      <c r="E665" s="38">
        <f>VLOOKUP(D665,'Dataset-3'!D56:V445,2,)</f>
        <v>1</v>
      </c>
      <c r="F665" s="38">
        <f>VLOOKUP(E665,'Dataset-3'!E56:W445,2,)</f>
        <v>23</v>
      </c>
      <c r="G665" s="41" t="str">
        <f>VLOOKUP(F665,'Dataset-3'!F56:X445,2,)</f>
        <v>Night</v>
      </c>
      <c r="H665" s="38" t="b">
        <f>VLOOKUP(G665,'Dataset-3'!G56:Y445,2,)</f>
        <v>0</v>
      </c>
      <c r="I665" s="38">
        <f>VLOOKUP(H665,'Dataset-3'!H56:Z445,2,)</f>
        <v>0</v>
      </c>
      <c r="J665" s="41" t="str">
        <f>VLOOKUP(I665,'Dataset-3'!I56:AA445,2,)</f>
        <v>Saturday</v>
      </c>
      <c r="K665" s="38">
        <f>VLOOKUP(J665,'Dataset-3'!J56:AB445,2,)</f>
        <v>2</v>
      </c>
      <c r="L665" s="38">
        <f>VLOOKUP(K665,'Dataset-3'!K56:AC445,2,)</f>
        <v>0.24</v>
      </c>
      <c r="M665" s="70" t="str">
        <f>VLOOKUP(L665,'Dataset-3'!L56:AD445,2,)</f>
        <v>Cloudy</v>
      </c>
      <c r="N665" s="38">
        <f>VLOOKUP(M665,'Dataset-3'!M56:AE445,2,)</f>
        <v>0.21210000000000001</v>
      </c>
      <c r="O665" s="38">
        <f>VLOOKUP(N665,'Dataset-3'!N56:AF445,2,)</f>
        <v>0.65</v>
      </c>
      <c r="P665" s="38">
        <f>VLOOKUP(O665,'Dataset-3'!O56:AG445,2,)</f>
        <v>0.28360000000000002</v>
      </c>
      <c r="Q665" s="38">
        <f>VLOOKUP(P665,'Dataset-3'!P56:AH445,2,)</f>
        <v>5</v>
      </c>
      <c r="R665" s="38">
        <f>VLOOKUP(Q665,'Dataset-3'!Q56:AI445,2,)</f>
        <v>16</v>
      </c>
      <c r="S665" s="38">
        <f>VLOOKUP(R665,'Dataset-3'!R56:AJ445,2,)</f>
        <v>21</v>
      </c>
    </row>
    <row r="666" spans="1:19" x14ac:dyDescent="0.35">
      <c r="A666" s="37">
        <v>665</v>
      </c>
      <c r="B666" s="60">
        <f>VLOOKUP(A666,'Dataset-3'!A57:S446,2,)</f>
        <v>40574</v>
      </c>
      <c r="C666" s="38">
        <f>VLOOKUP(B666,'Dataset-3'!B57:T446,2,)</f>
        <v>1</v>
      </c>
      <c r="D666" s="38">
        <f>VLOOKUP(C666,'Dataset-3'!C57:U446,2,)</f>
        <v>0</v>
      </c>
      <c r="E666" s="38">
        <f>VLOOKUP(D666,'Dataset-3'!D57:V446,2,)</f>
        <v>1</v>
      </c>
      <c r="F666" s="38">
        <f>VLOOKUP(E666,'Dataset-3'!E57:W446,2,)</f>
        <v>0</v>
      </c>
      <c r="G666" s="41" t="str">
        <f>VLOOKUP(F666,'Dataset-3'!F57:X446,2,)</f>
        <v>Night</v>
      </c>
      <c r="H666" s="38" t="b">
        <f>VLOOKUP(G666,'Dataset-3'!G57:Y446,2,)</f>
        <v>0</v>
      </c>
      <c r="I666" s="38">
        <f>VLOOKUP(H666,'Dataset-3'!H57:Z446,2,)</f>
        <v>1</v>
      </c>
      <c r="J666" s="41" t="str">
        <f>VLOOKUP(I666,'Dataset-3'!I57:AA446,2,)</f>
        <v>Sunday</v>
      </c>
      <c r="K666" s="38">
        <f>VLOOKUP(J666,'Dataset-3'!J57:AB446,2,)</f>
        <v>2</v>
      </c>
      <c r="L666" s="38">
        <f>VLOOKUP(K666,'Dataset-3'!K57:AC446,2,)</f>
        <v>0.24</v>
      </c>
      <c r="M666" s="70" t="str">
        <f>VLOOKUP(L666,'Dataset-3'!L57:AD446,2,)</f>
        <v>Cloudy</v>
      </c>
      <c r="N666" s="38">
        <f>VLOOKUP(M666,'Dataset-3'!M57:AE446,2,)</f>
        <v>0.2273</v>
      </c>
      <c r="O666" s="38">
        <f>VLOOKUP(N666,'Dataset-3'!N57:AF446,2,)</f>
        <v>0.65</v>
      </c>
      <c r="P666" s="38">
        <f>VLOOKUP(O666,'Dataset-3'!O57:AG446,2,)</f>
        <v>0.22389999999999999</v>
      </c>
      <c r="Q666" s="38">
        <f>VLOOKUP(P666,'Dataset-3'!P57:AH446,2,)</f>
        <v>1</v>
      </c>
      <c r="R666" s="38">
        <f>VLOOKUP(Q666,'Dataset-3'!Q57:AI446,2,)</f>
        <v>6</v>
      </c>
      <c r="S666" s="38">
        <f>VLOOKUP(R666,'Dataset-3'!R57:AJ446,2,)</f>
        <v>7</v>
      </c>
    </row>
    <row r="667" spans="1:19" x14ac:dyDescent="0.35">
      <c r="A667" s="37">
        <v>666</v>
      </c>
      <c r="B667" s="60">
        <f>VLOOKUP(A667,'Dataset-3'!A58:S447,2,)</f>
        <v>40574</v>
      </c>
      <c r="C667" s="38">
        <f>VLOOKUP(B667,'Dataset-3'!B58:T447,2,)</f>
        <v>1</v>
      </c>
      <c r="D667" s="38">
        <f>VLOOKUP(C667,'Dataset-3'!C58:U447,2,)</f>
        <v>0</v>
      </c>
      <c r="E667" s="38">
        <f>VLOOKUP(D667,'Dataset-3'!D58:V447,2,)</f>
        <v>1</v>
      </c>
      <c r="F667" s="38">
        <f>VLOOKUP(E667,'Dataset-3'!E58:W447,2,)</f>
        <v>1</v>
      </c>
      <c r="G667" s="41" t="str">
        <f>VLOOKUP(F667,'Dataset-3'!F58:X447,2,)</f>
        <v>Night</v>
      </c>
      <c r="H667" s="38" t="b">
        <f>VLOOKUP(G667,'Dataset-3'!G58:Y447,2,)</f>
        <v>0</v>
      </c>
      <c r="I667" s="38">
        <f>VLOOKUP(H667,'Dataset-3'!H58:Z447,2,)</f>
        <v>1</v>
      </c>
      <c r="J667" s="41" t="str">
        <f>VLOOKUP(I667,'Dataset-3'!I58:AA447,2,)</f>
        <v>Sunday</v>
      </c>
      <c r="K667" s="38">
        <f>VLOOKUP(J667,'Dataset-3'!J58:AB447,2,)</f>
        <v>1</v>
      </c>
      <c r="L667" s="38">
        <f>VLOOKUP(K667,'Dataset-3'!K58:AC447,2,)</f>
        <v>0.22</v>
      </c>
      <c r="M667" s="70" t="str">
        <f>VLOOKUP(L667,'Dataset-3'!L58:AD447,2,)</f>
        <v>Cloudy</v>
      </c>
      <c r="N667" s="38">
        <f>VLOOKUP(M667,'Dataset-3'!M58:AE447,2,)</f>
        <v>0.21210000000000001</v>
      </c>
      <c r="O667" s="38">
        <f>VLOOKUP(N667,'Dataset-3'!N58:AF447,2,)</f>
        <v>0.64</v>
      </c>
      <c r="P667" s="38">
        <f>VLOOKUP(O667,'Dataset-3'!O58:AG447,2,)</f>
        <v>0.25369999999999998</v>
      </c>
      <c r="Q667" s="38">
        <f>VLOOKUP(P667,'Dataset-3'!P58:AH447,2,)</f>
        <v>2</v>
      </c>
      <c r="R667" s="38">
        <f>VLOOKUP(Q667,'Dataset-3'!Q58:AI447,2,)</f>
        <v>5</v>
      </c>
      <c r="S667" s="38">
        <f>VLOOKUP(R667,'Dataset-3'!R58:AJ447,2,)</f>
        <v>7</v>
      </c>
    </row>
    <row r="668" spans="1:19" x14ac:dyDescent="0.35">
      <c r="A668" s="37">
        <v>667</v>
      </c>
      <c r="B668" s="60">
        <f>VLOOKUP(A668,'Dataset-3'!A59:S448,2,)</f>
        <v>40574</v>
      </c>
      <c r="C668" s="38">
        <f>VLOOKUP(B668,'Dataset-3'!B59:T448,2,)</f>
        <v>1</v>
      </c>
      <c r="D668" s="38">
        <f>VLOOKUP(C668,'Dataset-3'!C59:U448,2,)</f>
        <v>0</v>
      </c>
      <c r="E668" s="38">
        <f>VLOOKUP(D668,'Dataset-3'!D59:V448,2,)</f>
        <v>1</v>
      </c>
      <c r="F668" s="38">
        <f>VLOOKUP(E668,'Dataset-3'!E59:W448,2,)</f>
        <v>2</v>
      </c>
      <c r="G668" s="41" t="str">
        <f>VLOOKUP(F668,'Dataset-3'!F59:X448,2,)</f>
        <v>Night</v>
      </c>
      <c r="H668" s="38" t="b">
        <f>VLOOKUP(G668,'Dataset-3'!G59:Y448,2,)</f>
        <v>0</v>
      </c>
      <c r="I668" s="38">
        <f>VLOOKUP(H668,'Dataset-3'!H59:Z448,2,)</f>
        <v>1</v>
      </c>
      <c r="J668" s="41" t="str">
        <f>VLOOKUP(I668,'Dataset-3'!I59:AA448,2,)</f>
        <v>Sunday</v>
      </c>
      <c r="K668" s="38">
        <f>VLOOKUP(J668,'Dataset-3'!J59:AB448,2,)</f>
        <v>1</v>
      </c>
      <c r="L668" s="38">
        <f>VLOOKUP(K668,'Dataset-3'!K59:AC448,2,)</f>
        <v>0.22</v>
      </c>
      <c r="M668" s="70" t="str">
        <f>VLOOKUP(L668,'Dataset-3'!L59:AD448,2,)</f>
        <v>Cloudy</v>
      </c>
      <c r="N668" s="38">
        <f>VLOOKUP(M668,'Dataset-3'!M59:AE448,2,)</f>
        <v>0.2273</v>
      </c>
      <c r="O668" s="38">
        <f>VLOOKUP(N668,'Dataset-3'!N59:AF448,2,)</f>
        <v>0.64</v>
      </c>
      <c r="P668" s="38">
        <f>VLOOKUP(O668,'Dataset-3'!O59:AG448,2,)</f>
        <v>0.19400000000000001</v>
      </c>
      <c r="Q668" s="38">
        <f>VLOOKUP(P668,'Dataset-3'!P59:AH448,2,)</f>
        <v>0</v>
      </c>
      <c r="R668" s="38">
        <f>VLOOKUP(Q668,'Dataset-3'!Q59:AI448,2,)</f>
        <v>1</v>
      </c>
      <c r="S668" s="38">
        <f>VLOOKUP(R668,'Dataset-3'!R59:AJ448,2,)</f>
        <v>1</v>
      </c>
    </row>
    <row r="669" spans="1:19" x14ac:dyDescent="0.35">
      <c r="A669" s="37">
        <v>668</v>
      </c>
      <c r="B669" s="60">
        <f>VLOOKUP(A669,'Dataset-3'!A60:S449,2,)</f>
        <v>40574</v>
      </c>
      <c r="C669" s="38">
        <f>VLOOKUP(B669,'Dataset-3'!B60:T449,2,)</f>
        <v>1</v>
      </c>
      <c r="D669" s="38">
        <f>VLOOKUP(C669,'Dataset-3'!C60:U449,2,)</f>
        <v>0</v>
      </c>
      <c r="E669" s="38">
        <f>VLOOKUP(D669,'Dataset-3'!D60:V449,2,)</f>
        <v>1</v>
      </c>
      <c r="F669" s="38">
        <f>VLOOKUP(E669,'Dataset-3'!E60:W449,2,)</f>
        <v>3</v>
      </c>
      <c r="G669" s="41" t="str">
        <f>VLOOKUP(F669,'Dataset-3'!F60:X449,2,)</f>
        <v>Night</v>
      </c>
      <c r="H669" s="38" t="b">
        <f>VLOOKUP(G669,'Dataset-3'!G60:Y449,2,)</f>
        <v>0</v>
      </c>
      <c r="I669" s="38">
        <f>VLOOKUP(H669,'Dataset-3'!H60:Z449,2,)</f>
        <v>1</v>
      </c>
      <c r="J669" s="41" t="str">
        <f>VLOOKUP(I669,'Dataset-3'!I60:AA449,2,)</f>
        <v>Sunday</v>
      </c>
      <c r="K669" s="38">
        <f>VLOOKUP(J669,'Dataset-3'!J60:AB449,2,)</f>
        <v>1</v>
      </c>
      <c r="L669" s="38">
        <f>VLOOKUP(K669,'Dataset-3'!K60:AC449,2,)</f>
        <v>0.22</v>
      </c>
      <c r="M669" s="70" t="str">
        <f>VLOOKUP(L669,'Dataset-3'!L60:AD449,2,)</f>
        <v>Cloudy</v>
      </c>
      <c r="N669" s="38">
        <f>VLOOKUP(M669,'Dataset-3'!M60:AE449,2,)</f>
        <v>0.2273</v>
      </c>
      <c r="O669" s="38">
        <f>VLOOKUP(N669,'Dataset-3'!N60:AF449,2,)</f>
        <v>0.64</v>
      </c>
      <c r="P669" s="38">
        <f>VLOOKUP(O669,'Dataset-3'!O60:AG449,2,)</f>
        <v>0.19400000000000001</v>
      </c>
      <c r="Q669" s="38">
        <f>VLOOKUP(P669,'Dataset-3'!P60:AH449,2,)</f>
        <v>0</v>
      </c>
      <c r="R669" s="38">
        <f>VLOOKUP(Q669,'Dataset-3'!Q60:AI449,2,)</f>
        <v>2</v>
      </c>
      <c r="S669" s="38">
        <f>VLOOKUP(R669,'Dataset-3'!R60:AJ449,2,)</f>
        <v>2</v>
      </c>
    </row>
    <row r="670" spans="1:19" x14ac:dyDescent="0.35">
      <c r="A670" s="37">
        <v>669</v>
      </c>
      <c r="B670" s="60">
        <f>VLOOKUP(A670,'Dataset-3'!A61:S450,2,)</f>
        <v>40574</v>
      </c>
      <c r="C670" s="38">
        <f>VLOOKUP(B670,'Dataset-3'!B61:T450,2,)</f>
        <v>1</v>
      </c>
      <c r="D670" s="38">
        <f>VLOOKUP(C670,'Dataset-3'!C61:U450,2,)</f>
        <v>0</v>
      </c>
      <c r="E670" s="38">
        <f>VLOOKUP(D670,'Dataset-3'!D61:V450,2,)</f>
        <v>1</v>
      </c>
      <c r="F670" s="38">
        <f>VLOOKUP(E670,'Dataset-3'!E61:W450,2,)</f>
        <v>4</v>
      </c>
      <c r="G670" s="41" t="str">
        <f>VLOOKUP(F670,'Dataset-3'!F61:X450,2,)</f>
        <v>Night</v>
      </c>
      <c r="H670" s="38" t="b">
        <f>VLOOKUP(G670,'Dataset-3'!G61:Y450,2,)</f>
        <v>0</v>
      </c>
      <c r="I670" s="38">
        <f>VLOOKUP(H670,'Dataset-3'!H61:Z450,2,)</f>
        <v>1</v>
      </c>
      <c r="J670" s="41" t="str">
        <f>VLOOKUP(I670,'Dataset-3'!I61:AA450,2,)</f>
        <v>Sunday</v>
      </c>
      <c r="K670" s="38">
        <f>VLOOKUP(J670,'Dataset-3'!J61:AB450,2,)</f>
        <v>1</v>
      </c>
      <c r="L670" s="38">
        <f>VLOOKUP(K670,'Dataset-3'!K61:AC450,2,)</f>
        <v>0.2</v>
      </c>
      <c r="M670" s="70" t="str">
        <f>VLOOKUP(L670,'Dataset-3'!L61:AD450,2,)</f>
        <v>Rainy</v>
      </c>
      <c r="N670" s="38">
        <f>VLOOKUP(M670,'Dataset-3'!M61:AE450,2,)</f>
        <v>0.19700000000000001</v>
      </c>
      <c r="O670" s="38">
        <f>VLOOKUP(N670,'Dataset-3'!N61:AF450,2,)</f>
        <v>0.59</v>
      </c>
      <c r="P670" s="38">
        <f>VLOOKUP(O670,'Dataset-3'!O61:AG450,2,)</f>
        <v>0.22389999999999999</v>
      </c>
      <c r="Q670" s="38">
        <f>VLOOKUP(P670,'Dataset-3'!P61:AH450,2,)</f>
        <v>0</v>
      </c>
      <c r="R670" s="38">
        <f>VLOOKUP(Q670,'Dataset-3'!Q61:AI450,2,)</f>
        <v>2</v>
      </c>
      <c r="S670" s="38">
        <f>VLOOKUP(R670,'Dataset-3'!R61:AJ450,2,)</f>
        <v>2</v>
      </c>
    </row>
    <row r="671" spans="1:19" x14ac:dyDescent="0.35">
      <c r="A671" s="37">
        <v>670</v>
      </c>
      <c r="B671" s="60">
        <f>VLOOKUP(A671,'Dataset-3'!A62:S451,2,)</f>
        <v>40574</v>
      </c>
      <c r="C671" s="38">
        <f>VLOOKUP(B671,'Dataset-3'!B62:T451,2,)</f>
        <v>1</v>
      </c>
      <c r="D671" s="38">
        <f>VLOOKUP(C671,'Dataset-3'!C62:U451,2,)</f>
        <v>0</v>
      </c>
      <c r="E671" s="38">
        <f>VLOOKUP(D671,'Dataset-3'!D62:V451,2,)</f>
        <v>1</v>
      </c>
      <c r="F671" s="38">
        <f>VLOOKUP(E671,'Dataset-3'!E62:W451,2,)</f>
        <v>5</v>
      </c>
      <c r="G671" s="41" t="str">
        <f>VLOOKUP(F671,'Dataset-3'!F62:X451,2,)</f>
        <v>Morning</v>
      </c>
      <c r="H671" s="38" t="b">
        <f>VLOOKUP(G671,'Dataset-3'!G62:Y451,2,)</f>
        <v>0</v>
      </c>
      <c r="I671" s="38">
        <f>VLOOKUP(H671,'Dataset-3'!H62:Z451,2,)</f>
        <v>1</v>
      </c>
      <c r="J671" s="41" t="str">
        <f>VLOOKUP(I671,'Dataset-3'!I62:AA451,2,)</f>
        <v>Sunday</v>
      </c>
      <c r="K671" s="38">
        <f>VLOOKUP(J671,'Dataset-3'!J62:AB451,2,)</f>
        <v>1</v>
      </c>
      <c r="L671" s="38">
        <f>VLOOKUP(K671,'Dataset-3'!K62:AC451,2,)</f>
        <v>0.18</v>
      </c>
      <c r="M671" s="70" t="str">
        <f>VLOOKUP(L671,'Dataset-3'!L62:AD451,2,)</f>
        <v>Rainy</v>
      </c>
      <c r="N671" s="38">
        <f>VLOOKUP(M671,'Dataset-3'!M62:AE451,2,)</f>
        <v>0.16669999999999999</v>
      </c>
      <c r="O671" s="38">
        <f>VLOOKUP(N671,'Dataset-3'!N62:AF451,2,)</f>
        <v>0.64</v>
      </c>
      <c r="P671" s="38">
        <f>VLOOKUP(O671,'Dataset-3'!O62:AG451,2,)</f>
        <v>0.28360000000000002</v>
      </c>
      <c r="Q671" s="38">
        <f>VLOOKUP(P671,'Dataset-3'!P62:AH451,2,)</f>
        <v>0</v>
      </c>
      <c r="R671" s="38">
        <f>VLOOKUP(Q671,'Dataset-3'!Q62:AI451,2,)</f>
        <v>8</v>
      </c>
      <c r="S671" s="38">
        <f>VLOOKUP(R671,'Dataset-3'!R62:AJ451,2,)</f>
        <v>8</v>
      </c>
    </row>
    <row r="672" spans="1:19" x14ac:dyDescent="0.35">
      <c r="A672" s="37">
        <v>671</v>
      </c>
      <c r="B672" s="60">
        <f>VLOOKUP(A672,'Dataset-3'!A63:S452,2,)</f>
        <v>40574</v>
      </c>
      <c r="C672" s="38">
        <f>VLOOKUP(B672,'Dataset-3'!B63:T452,2,)</f>
        <v>1</v>
      </c>
      <c r="D672" s="38">
        <f>VLOOKUP(C672,'Dataset-3'!C63:U452,2,)</f>
        <v>0</v>
      </c>
      <c r="E672" s="38">
        <f>VLOOKUP(D672,'Dataset-3'!D63:V452,2,)</f>
        <v>1</v>
      </c>
      <c r="F672" s="38">
        <f>VLOOKUP(E672,'Dataset-3'!E63:W452,2,)</f>
        <v>6</v>
      </c>
      <c r="G672" s="41" t="str">
        <f>VLOOKUP(F672,'Dataset-3'!F63:X452,2,)</f>
        <v>Morning</v>
      </c>
      <c r="H672" s="38" t="b">
        <f>VLOOKUP(G672,'Dataset-3'!G63:Y452,2,)</f>
        <v>0</v>
      </c>
      <c r="I672" s="38">
        <f>VLOOKUP(H672,'Dataset-3'!H63:Z452,2,)</f>
        <v>1</v>
      </c>
      <c r="J672" s="41" t="str">
        <f>VLOOKUP(I672,'Dataset-3'!I63:AA452,2,)</f>
        <v>Sunday</v>
      </c>
      <c r="K672" s="38">
        <f>VLOOKUP(J672,'Dataset-3'!J63:AB452,2,)</f>
        <v>1</v>
      </c>
      <c r="L672" s="38">
        <f>VLOOKUP(K672,'Dataset-3'!K63:AC452,2,)</f>
        <v>0.16</v>
      </c>
      <c r="M672" s="70" t="str">
        <f>VLOOKUP(L672,'Dataset-3'!L63:AD452,2,)</f>
        <v>Rainy</v>
      </c>
      <c r="N672" s="38">
        <f>VLOOKUP(M672,'Dataset-3'!M63:AE452,2,)</f>
        <v>0.13639999999999999</v>
      </c>
      <c r="O672" s="38">
        <f>VLOOKUP(N672,'Dataset-3'!N63:AF452,2,)</f>
        <v>0.69</v>
      </c>
      <c r="P672" s="38">
        <f>VLOOKUP(O672,'Dataset-3'!O63:AG452,2,)</f>
        <v>0.32840000000000003</v>
      </c>
      <c r="Q672" s="38">
        <f>VLOOKUP(P672,'Dataset-3'!P63:AH452,2,)</f>
        <v>0</v>
      </c>
      <c r="R672" s="38">
        <f>VLOOKUP(Q672,'Dataset-3'!Q63:AI452,2,)</f>
        <v>37</v>
      </c>
      <c r="S672" s="38">
        <f>VLOOKUP(R672,'Dataset-3'!R63:AJ452,2,)</f>
        <v>37</v>
      </c>
    </row>
    <row r="673" spans="1:19" x14ac:dyDescent="0.35">
      <c r="A673" s="37">
        <v>672</v>
      </c>
      <c r="B673" s="60">
        <f>VLOOKUP(A673,'Dataset-3'!A64:S453,2,)</f>
        <v>40574</v>
      </c>
      <c r="C673" s="38">
        <f>VLOOKUP(B673,'Dataset-3'!B64:T453,2,)</f>
        <v>1</v>
      </c>
      <c r="D673" s="38">
        <f>VLOOKUP(C673,'Dataset-3'!C64:U453,2,)</f>
        <v>0</v>
      </c>
      <c r="E673" s="38">
        <f>VLOOKUP(D673,'Dataset-3'!D64:V453,2,)</f>
        <v>1</v>
      </c>
      <c r="F673" s="38">
        <f>VLOOKUP(E673,'Dataset-3'!E64:W453,2,)</f>
        <v>7</v>
      </c>
      <c r="G673" s="41" t="str">
        <f>VLOOKUP(F673,'Dataset-3'!F64:X453,2,)</f>
        <v>Morning</v>
      </c>
      <c r="H673" s="38" t="b">
        <f>VLOOKUP(G673,'Dataset-3'!G64:Y453,2,)</f>
        <v>0</v>
      </c>
      <c r="I673" s="38">
        <f>VLOOKUP(H673,'Dataset-3'!H64:Z453,2,)</f>
        <v>1</v>
      </c>
      <c r="J673" s="41" t="str">
        <f>VLOOKUP(I673,'Dataset-3'!I64:AA453,2,)</f>
        <v>Sunday</v>
      </c>
      <c r="K673" s="38">
        <f>VLOOKUP(J673,'Dataset-3'!J64:AB453,2,)</f>
        <v>2</v>
      </c>
      <c r="L673" s="38">
        <f>VLOOKUP(K673,'Dataset-3'!K64:AC453,2,)</f>
        <v>0.16</v>
      </c>
      <c r="M673" s="70" t="str">
        <f>VLOOKUP(L673,'Dataset-3'!L64:AD453,2,)</f>
        <v>Rainy</v>
      </c>
      <c r="N673" s="38">
        <f>VLOOKUP(M673,'Dataset-3'!M64:AE453,2,)</f>
        <v>0.13639999999999999</v>
      </c>
      <c r="O673" s="38">
        <f>VLOOKUP(N673,'Dataset-3'!N64:AF453,2,)</f>
        <v>0.64</v>
      </c>
      <c r="P673" s="38">
        <f>VLOOKUP(O673,'Dataset-3'!O64:AG453,2,)</f>
        <v>0.28360000000000002</v>
      </c>
      <c r="Q673" s="38">
        <f>VLOOKUP(P673,'Dataset-3'!P64:AH453,2,)</f>
        <v>1</v>
      </c>
      <c r="R673" s="38">
        <f>VLOOKUP(Q673,'Dataset-3'!Q64:AI453,2,)</f>
        <v>71</v>
      </c>
      <c r="S673" s="38">
        <f>VLOOKUP(R673,'Dataset-3'!R64:AJ453,2,)</f>
        <v>72</v>
      </c>
    </row>
    <row r="674" spans="1:19" x14ac:dyDescent="0.35">
      <c r="A674" s="37">
        <v>673</v>
      </c>
      <c r="B674" s="60">
        <f>VLOOKUP(A674,'Dataset-3'!A65:S454,2,)</f>
        <v>40574</v>
      </c>
      <c r="C674" s="38">
        <f>VLOOKUP(B674,'Dataset-3'!B65:T454,2,)</f>
        <v>1</v>
      </c>
      <c r="D674" s="38">
        <f>VLOOKUP(C674,'Dataset-3'!C65:U454,2,)</f>
        <v>0</v>
      </c>
      <c r="E674" s="38">
        <f>VLOOKUP(D674,'Dataset-3'!D65:V454,2,)</f>
        <v>1</v>
      </c>
      <c r="F674" s="38">
        <f>VLOOKUP(E674,'Dataset-3'!E65:W454,2,)</f>
        <v>8</v>
      </c>
      <c r="G674" s="41" t="str">
        <f>VLOOKUP(F674,'Dataset-3'!F65:X454,2,)</f>
        <v>Morning</v>
      </c>
      <c r="H674" s="38" t="b">
        <f>VLOOKUP(G674,'Dataset-3'!G65:Y454,2,)</f>
        <v>0</v>
      </c>
      <c r="I674" s="38">
        <f>VLOOKUP(H674,'Dataset-3'!H65:Z454,2,)</f>
        <v>1</v>
      </c>
      <c r="J674" s="41" t="str">
        <f>VLOOKUP(I674,'Dataset-3'!I65:AA454,2,)</f>
        <v>Sunday</v>
      </c>
      <c r="K674" s="38">
        <f>VLOOKUP(J674,'Dataset-3'!J65:AB454,2,)</f>
        <v>2</v>
      </c>
      <c r="L674" s="38">
        <f>VLOOKUP(K674,'Dataset-3'!K65:AC454,2,)</f>
        <v>0.16</v>
      </c>
      <c r="M674" s="70" t="str">
        <f>VLOOKUP(L674,'Dataset-3'!L65:AD454,2,)</f>
        <v>Rainy</v>
      </c>
      <c r="N674" s="38">
        <f>VLOOKUP(M674,'Dataset-3'!M65:AE454,2,)</f>
        <v>0.13639999999999999</v>
      </c>
      <c r="O674" s="38">
        <f>VLOOKUP(N674,'Dataset-3'!N65:AF454,2,)</f>
        <v>0.59</v>
      </c>
      <c r="P674" s="38">
        <f>VLOOKUP(O674,'Dataset-3'!O65:AG454,2,)</f>
        <v>0.28360000000000002</v>
      </c>
      <c r="Q674" s="38">
        <f>VLOOKUP(P674,'Dataset-3'!P65:AH454,2,)</f>
        <v>3</v>
      </c>
      <c r="R674" s="38">
        <f>VLOOKUP(Q674,'Dataset-3'!Q65:AI454,2,)</f>
        <v>182</v>
      </c>
      <c r="S674" s="38">
        <f>VLOOKUP(R674,'Dataset-3'!R65:AJ454,2,)</f>
        <v>185</v>
      </c>
    </row>
    <row r="675" spans="1:19" x14ac:dyDescent="0.35">
      <c r="A675" s="37">
        <v>674</v>
      </c>
      <c r="B675" s="60">
        <f>VLOOKUP(A675,'Dataset-3'!A66:S455,2,)</f>
        <v>40574</v>
      </c>
      <c r="C675" s="38">
        <f>VLOOKUP(B675,'Dataset-3'!B66:T455,2,)</f>
        <v>1</v>
      </c>
      <c r="D675" s="38">
        <f>VLOOKUP(C675,'Dataset-3'!C66:U455,2,)</f>
        <v>0</v>
      </c>
      <c r="E675" s="38">
        <f>VLOOKUP(D675,'Dataset-3'!D66:V455,2,)</f>
        <v>1</v>
      </c>
      <c r="F675" s="38">
        <f>VLOOKUP(E675,'Dataset-3'!E66:W455,2,)</f>
        <v>9</v>
      </c>
      <c r="G675" s="41" t="str">
        <f>VLOOKUP(F675,'Dataset-3'!F66:X455,2,)</f>
        <v>Morning</v>
      </c>
      <c r="H675" s="38" t="b">
        <f>VLOOKUP(G675,'Dataset-3'!G66:Y455,2,)</f>
        <v>0</v>
      </c>
      <c r="I675" s="38">
        <f>VLOOKUP(H675,'Dataset-3'!H66:Z455,2,)</f>
        <v>1</v>
      </c>
      <c r="J675" s="41" t="str">
        <f>VLOOKUP(I675,'Dataset-3'!I66:AA455,2,)</f>
        <v>Sunday</v>
      </c>
      <c r="K675" s="38">
        <f>VLOOKUP(J675,'Dataset-3'!J66:AB455,2,)</f>
        <v>2</v>
      </c>
      <c r="L675" s="38">
        <f>VLOOKUP(K675,'Dataset-3'!K66:AC455,2,)</f>
        <v>0.16</v>
      </c>
      <c r="M675" s="70" t="str">
        <f>VLOOKUP(L675,'Dataset-3'!L66:AD455,2,)</f>
        <v>Rainy</v>
      </c>
      <c r="N675" s="38">
        <f>VLOOKUP(M675,'Dataset-3'!M66:AE455,2,)</f>
        <v>0.13639999999999999</v>
      </c>
      <c r="O675" s="38">
        <f>VLOOKUP(N675,'Dataset-3'!N66:AF455,2,)</f>
        <v>0.59</v>
      </c>
      <c r="P675" s="38">
        <f>VLOOKUP(O675,'Dataset-3'!O66:AG455,2,)</f>
        <v>0.29849999999999999</v>
      </c>
      <c r="Q675" s="38">
        <f>VLOOKUP(P675,'Dataset-3'!P66:AH455,2,)</f>
        <v>0</v>
      </c>
      <c r="R675" s="38">
        <f>VLOOKUP(Q675,'Dataset-3'!Q66:AI455,2,)</f>
        <v>112</v>
      </c>
      <c r="S675" s="38">
        <f>VLOOKUP(R675,'Dataset-3'!R66:AJ455,2,)</f>
        <v>112</v>
      </c>
    </row>
    <row r="676" spans="1:19" x14ac:dyDescent="0.35">
      <c r="A676" s="37">
        <v>675</v>
      </c>
      <c r="B676" s="60">
        <f>VLOOKUP(A676,'Dataset-3'!A67:S456,2,)</f>
        <v>40574</v>
      </c>
      <c r="C676" s="38">
        <f>VLOOKUP(B676,'Dataset-3'!B67:T456,2,)</f>
        <v>1</v>
      </c>
      <c r="D676" s="38">
        <f>VLOOKUP(C676,'Dataset-3'!C67:U456,2,)</f>
        <v>0</v>
      </c>
      <c r="E676" s="38">
        <f>VLOOKUP(D676,'Dataset-3'!D67:V456,2,)</f>
        <v>1</v>
      </c>
      <c r="F676" s="38">
        <f>VLOOKUP(E676,'Dataset-3'!E67:W456,2,)</f>
        <v>10</v>
      </c>
      <c r="G676" s="41" t="str">
        <f>VLOOKUP(F676,'Dataset-3'!F67:X456,2,)</f>
        <v>Morning</v>
      </c>
      <c r="H676" s="38" t="b">
        <f>VLOOKUP(G676,'Dataset-3'!G67:Y456,2,)</f>
        <v>0</v>
      </c>
      <c r="I676" s="38">
        <f>VLOOKUP(H676,'Dataset-3'!H67:Z456,2,)</f>
        <v>1</v>
      </c>
      <c r="J676" s="41" t="str">
        <f>VLOOKUP(I676,'Dataset-3'!I67:AA456,2,)</f>
        <v>Sunday</v>
      </c>
      <c r="K676" s="38">
        <f>VLOOKUP(J676,'Dataset-3'!J67:AB456,2,)</f>
        <v>2</v>
      </c>
      <c r="L676" s="38">
        <f>VLOOKUP(K676,'Dataset-3'!K67:AC456,2,)</f>
        <v>0.16</v>
      </c>
      <c r="M676" s="70" t="str">
        <f>VLOOKUP(L676,'Dataset-3'!L67:AD456,2,)</f>
        <v>Rainy</v>
      </c>
      <c r="N676" s="38">
        <f>VLOOKUP(M676,'Dataset-3'!M67:AE456,2,)</f>
        <v>0.1515</v>
      </c>
      <c r="O676" s="38">
        <f>VLOOKUP(N676,'Dataset-3'!N67:AF456,2,)</f>
        <v>0.59</v>
      </c>
      <c r="P676" s="38">
        <f>VLOOKUP(O676,'Dataset-3'!O67:AG456,2,)</f>
        <v>0.19400000000000001</v>
      </c>
      <c r="Q676" s="38">
        <f>VLOOKUP(P676,'Dataset-3'!P67:AH456,2,)</f>
        <v>1</v>
      </c>
      <c r="R676" s="38">
        <f>VLOOKUP(Q676,'Dataset-3'!Q67:AI456,2,)</f>
        <v>68</v>
      </c>
      <c r="S676" s="38">
        <f>VLOOKUP(R676,'Dataset-3'!R67:AJ456,2,)</f>
        <v>69</v>
      </c>
    </row>
    <row r="677" spans="1:19" x14ac:dyDescent="0.35">
      <c r="A677" s="37">
        <v>676</v>
      </c>
      <c r="B677" s="60">
        <f>VLOOKUP(A677,'Dataset-3'!A68:S457,2,)</f>
        <v>40574</v>
      </c>
      <c r="C677" s="38">
        <f>VLOOKUP(B677,'Dataset-3'!B68:T457,2,)</f>
        <v>1</v>
      </c>
      <c r="D677" s="38">
        <f>VLOOKUP(C677,'Dataset-3'!C68:U457,2,)</f>
        <v>0</v>
      </c>
      <c r="E677" s="38">
        <f>VLOOKUP(D677,'Dataset-3'!D68:V457,2,)</f>
        <v>1</v>
      </c>
      <c r="F677" s="38">
        <f>VLOOKUP(E677,'Dataset-3'!E68:W457,2,)</f>
        <v>11</v>
      </c>
      <c r="G677" s="41" t="str">
        <f>VLOOKUP(F677,'Dataset-3'!F68:X457,2,)</f>
        <v>Morning</v>
      </c>
      <c r="H677" s="38" t="b">
        <f>VLOOKUP(G677,'Dataset-3'!G68:Y457,2,)</f>
        <v>0</v>
      </c>
      <c r="I677" s="38">
        <f>VLOOKUP(H677,'Dataset-3'!H68:Z457,2,)</f>
        <v>1</v>
      </c>
      <c r="J677" s="41" t="str">
        <f>VLOOKUP(I677,'Dataset-3'!I68:AA457,2,)</f>
        <v>Sunday</v>
      </c>
      <c r="K677" s="38">
        <f>VLOOKUP(J677,'Dataset-3'!J68:AB457,2,)</f>
        <v>2</v>
      </c>
      <c r="L677" s="38">
        <f>VLOOKUP(K677,'Dataset-3'!K68:AC457,2,)</f>
        <v>0.16</v>
      </c>
      <c r="M677" s="70" t="str">
        <f>VLOOKUP(L677,'Dataset-3'!L68:AD457,2,)</f>
        <v>Rainy</v>
      </c>
      <c r="N677" s="38">
        <f>VLOOKUP(M677,'Dataset-3'!M68:AE457,2,)</f>
        <v>0.1515</v>
      </c>
      <c r="O677" s="38">
        <f>VLOOKUP(N677,'Dataset-3'!N68:AF457,2,)</f>
        <v>0.59</v>
      </c>
      <c r="P677" s="38">
        <f>VLOOKUP(O677,'Dataset-3'!O68:AG457,2,)</f>
        <v>0.19400000000000001</v>
      </c>
      <c r="Q677" s="38">
        <f>VLOOKUP(P677,'Dataset-3'!P68:AH457,2,)</f>
        <v>2</v>
      </c>
      <c r="R677" s="38">
        <f>VLOOKUP(Q677,'Dataset-3'!Q68:AI457,2,)</f>
        <v>46</v>
      </c>
      <c r="S677" s="38">
        <f>VLOOKUP(R677,'Dataset-3'!R68:AJ457,2,)</f>
        <v>48</v>
      </c>
    </row>
    <row r="678" spans="1:19" x14ac:dyDescent="0.35">
      <c r="A678" s="37">
        <v>677</v>
      </c>
      <c r="B678" s="60">
        <f>VLOOKUP(A678,'Dataset-3'!A69:S458,2,)</f>
        <v>40574</v>
      </c>
      <c r="C678" s="38">
        <f>VLOOKUP(B678,'Dataset-3'!B69:T458,2,)</f>
        <v>1</v>
      </c>
      <c r="D678" s="38">
        <f>VLOOKUP(C678,'Dataset-3'!C69:U458,2,)</f>
        <v>0</v>
      </c>
      <c r="E678" s="38">
        <f>VLOOKUP(D678,'Dataset-3'!D69:V458,2,)</f>
        <v>1</v>
      </c>
      <c r="F678" s="38">
        <f>VLOOKUP(E678,'Dataset-3'!E69:W458,2,)</f>
        <v>12</v>
      </c>
      <c r="G678" s="41" t="str">
        <f>VLOOKUP(F678,'Dataset-3'!F69:X458,2,)</f>
        <v>AfterNoon</v>
      </c>
      <c r="H678" s="38" t="b">
        <f>VLOOKUP(G678,'Dataset-3'!G69:Y458,2,)</f>
        <v>0</v>
      </c>
      <c r="I678" s="38">
        <f>VLOOKUP(H678,'Dataset-3'!H69:Z458,2,)</f>
        <v>1</v>
      </c>
      <c r="J678" s="41" t="str">
        <f>VLOOKUP(I678,'Dataset-3'!I69:AA458,2,)</f>
        <v>Sunday</v>
      </c>
      <c r="K678" s="38">
        <f>VLOOKUP(J678,'Dataset-3'!J69:AB458,2,)</f>
        <v>2</v>
      </c>
      <c r="L678" s="38">
        <f>VLOOKUP(K678,'Dataset-3'!K69:AC458,2,)</f>
        <v>0.18</v>
      </c>
      <c r="M678" s="70" t="str">
        <f>VLOOKUP(L678,'Dataset-3'!L69:AD458,2,)</f>
        <v>Rainy</v>
      </c>
      <c r="N678" s="38">
        <f>VLOOKUP(M678,'Dataset-3'!M69:AE458,2,)</f>
        <v>0.21210000000000001</v>
      </c>
      <c r="O678" s="38">
        <f>VLOOKUP(N678,'Dataset-3'!N69:AF458,2,)</f>
        <v>0.55000000000000004</v>
      </c>
      <c r="P678" s="38">
        <f>VLOOKUP(O678,'Dataset-3'!O69:AG458,2,)</f>
        <v>0.1045</v>
      </c>
      <c r="Q678" s="38">
        <f>VLOOKUP(P678,'Dataset-3'!P69:AH458,2,)</f>
        <v>6</v>
      </c>
      <c r="R678" s="38">
        <f>VLOOKUP(Q678,'Dataset-3'!Q69:AI458,2,)</f>
        <v>62</v>
      </c>
      <c r="S678" s="38">
        <f>VLOOKUP(R678,'Dataset-3'!R69:AJ458,2,)</f>
        <v>68</v>
      </c>
    </row>
    <row r="679" spans="1:19" x14ac:dyDescent="0.35">
      <c r="A679" s="37">
        <v>678</v>
      </c>
      <c r="B679" s="60">
        <f>VLOOKUP(A679,'Dataset-3'!A70:S459,2,)</f>
        <v>40574</v>
      </c>
      <c r="C679" s="38">
        <f>VLOOKUP(B679,'Dataset-3'!B70:T459,2,)</f>
        <v>1</v>
      </c>
      <c r="D679" s="38">
        <f>VLOOKUP(C679,'Dataset-3'!C70:U459,2,)</f>
        <v>0</v>
      </c>
      <c r="E679" s="38">
        <f>VLOOKUP(D679,'Dataset-3'!D70:V459,2,)</f>
        <v>1</v>
      </c>
      <c r="F679" s="38">
        <f>VLOOKUP(E679,'Dataset-3'!E70:W459,2,)</f>
        <v>13</v>
      </c>
      <c r="G679" s="41" t="str">
        <f>VLOOKUP(F679,'Dataset-3'!F70:X459,2,)</f>
        <v>AfterNoon</v>
      </c>
      <c r="H679" s="38" t="b">
        <f>VLOOKUP(G679,'Dataset-3'!G70:Y459,2,)</f>
        <v>0</v>
      </c>
      <c r="I679" s="38">
        <f>VLOOKUP(H679,'Dataset-3'!H70:Z459,2,)</f>
        <v>1</v>
      </c>
      <c r="J679" s="41" t="str">
        <f>VLOOKUP(I679,'Dataset-3'!I70:AA459,2,)</f>
        <v>Sunday</v>
      </c>
      <c r="K679" s="38">
        <f>VLOOKUP(J679,'Dataset-3'!J70:AB459,2,)</f>
        <v>2</v>
      </c>
      <c r="L679" s="38">
        <f>VLOOKUP(K679,'Dataset-3'!K70:AC459,2,)</f>
        <v>0.16</v>
      </c>
      <c r="M679" s="70" t="str">
        <f>VLOOKUP(L679,'Dataset-3'!L70:AD459,2,)</f>
        <v>Rainy</v>
      </c>
      <c r="N679" s="38">
        <f>VLOOKUP(M679,'Dataset-3'!M70:AE459,2,)</f>
        <v>0.2273</v>
      </c>
      <c r="O679" s="38">
        <f>VLOOKUP(N679,'Dataset-3'!N70:AF459,2,)</f>
        <v>0.59</v>
      </c>
      <c r="P679" s="38">
        <f>VLOOKUP(O679,'Dataset-3'!O70:AG459,2,)</f>
        <v>0</v>
      </c>
      <c r="Q679" s="38">
        <f>VLOOKUP(P679,'Dataset-3'!P70:AH459,2,)</f>
        <v>2</v>
      </c>
      <c r="R679" s="38">
        <f>VLOOKUP(Q679,'Dataset-3'!Q70:AI459,2,)</f>
        <v>52</v>
      </c>
      <c r="S679" s="38">
        <f>VLOOKUP(R679,'Dataset-3'!R70:AJ459,2,)</f>
        <v>54</v>
      </c>
    </row>
    <row r="680" spans="1:19" x14ac:dyDescent="0.35">
      <c r="A680" s="37">
        <v>679</v>
      </c>
      <c r="B680" s="60">
        <f>VLOOKUP(A680,'Dataset-3'!A71:S460,2,)</f>
        <v>40574</v>
      </c>
      <c r="C680" s="38">
        <f>VLOOKUP(B680,'Dataset-3'!B71:T460,2,)</f>
        <v>1</v>
      </c>
      <c r="D680" s="38">
        <f>VLOOKUP(C680,'Dataset-3'!C71:U460,2,)</f>
        <v>0</v>
      </c>
      <c r="E680" s="38">
        <f>VLOOKUP(D680,'Dataset-3'!D71:V460,2,)</f>
        <v>1</v>
      </c>
      <c r="F680" s="38">
        <f>VLOOKUP(E680,'Dataset-3'!E71:W460,2,)</f>
        <v>14</v>
      </c>
      <c r="G680" s="41" t="str">
        <f>VLOOKUP(F680,'Dataset-3'!F71:X460,2,)</f>
        <v>AfterNoon</v>
      </c>
      <c r="H680" s="38" t="b">
        <f>VLOOKUP(G680,'Dataset-3'!G71:Y460,2,)</f>
        <v>0</v>
      </c>
      <c r="I680" s="38">
        <f>VLOOKUP(H680,'Dataset-3'!H71:Z460,2,)</f>
        <v>1</v>
      </c>
      <c r="J680" s="41" t="str">
        <f>VLOOKUP(I680,'Dataset-3'!I71:AA460,2,)</f>
        <v>Sunday</v>
      </c>
      <c r="K680" s="38">
        <f>VLOOKUP(J680,'Dataset-3'!J71:AB460,2,)</f>
        <v>2</v>
      </c>
      <c r="L680" s="38">
        <f>VLOOKUP(K680,'Dataset-3'!K71:AC460,2,)</f>
        <v>0.18</v>
      </c>
      <c r="M680" s="70" t="str">
        <f>VLOOKUP(L680,'Dataset-3'!L71:AD460,2,)</f>
        <v>Rainy</v>
      </c>
      <c r="N680" s="38">
        <f>VLOOKUP(M680,'Dataset-3'!M71:AE460,2,)</f>
        <v>0.19700000000000001</v>
      </c>
      <c r="O680" s="38">
        <f>VLOOKUP(N680,'Dataset-3'!N71:AF460,2,)</f>
        <v>0.55000000000000004</v>
      </c>
      <c r="P680" s="38">
        <f>VLOOKUP(O680,'Dataset-3'!O71:AG460,2,)</f>
        <v>0.1343</v>
      </c>
      <c r="Q680" s="38">
        <f>VLOOKUP(P680,'Dataset-3'!P71:AH460,2,)</f>
        <v>1</v>
      </c>
      <c r="R680" s="38">
        <f>VLOOKUP(Q680,'Dataset-3'!Q71:AI460,2,)</f>
        <v>85</v>
      </c>
      <c r="S680" s="38">
        <f>VLOOKUP(R680,'Dataset-3'!R71:AJ460,2,)</f>
        <v>86</v>
      </c>
    </row>
    <row r="681" spans="1:19" x14ac:dyDescent="0.35">
      <c r="A681" s="37">
        <v>680</v>
      </c>
      <c r="B681" s="60">
        <f>VLOOKUP(A681,'Dataset-3'!A72:S461,2,)</f>
        <v>40574</v>
      </c>
      <c r="C681" s="38">
        <f>VLOOKUP(B681,'Dataset-3'!B72:T461,2,)</f>
        <v>1</v>
      </c>
      <c r="D681" s="38">
        <f>VLOOKUP(C681,'Dataset-3'!C72:U461,2,)</f>
        <v>0</v>
      </c>
      <c r="E681" s="38">
        <f>VLOOKUP(D681,'Dataset-3'!D72:V461,2,)</f>
        <v>1</v>
      </c>
      <c r="F681" s="38">
        <f>VLOOKUP(E681,'Dataset-3'!E72:W461,2,)</f>
        <v>15</v>
      </c>
      <c r="G681" s="41" t="str">
        <f>VLOOKUP(F681,'Dataset-3'!F72:X461,2,)</f>
        <v>AfterNoon</v>
      </c>
      <c r="H681" s="38" t="b">
        <f>VLOOKUP(G681,'Dataset-3'!G72:Y461,2,)</f>
        <v>0</v>
      </c>
      <c r="I681" s="38">
        <f>VLOOKUP(H681,'Dataset-3'!H72:Z461,2,)</f>
        <v>1</v>
      </c>
      <c r="J681" s="41" t="str">
        <f>VLOOKUP(I681,'Dataset-3'!I72:AA461,2,)</f>
        <v>Sunday</v>
      </c>
      <c r="K681" s="38">
        <f>VLOOKUP(J681,'Dataset-3'!J72:AB461,2,)</f>
        <v>2</v>
      </c>
      <c r="L681" s="38">
        <f>VLOOKUP(K681,'Dataset-3'!K72:AC461,2,)</f>
        <v>0.16</v>
      </c>
      <c r="M681" s="70" t="str">
        <f>VLOOKUP(L681,'Dataset-3'!L72:AD461,2,)</f>
        <v>Rainy</v>
      </c>
      <c r="N681" s="38">
        <f>VLOOKUP(M681,'Dataset-3'!M72:AE461,2,)</f>
        <v>0.18179999999999999</v>
      </c>
      <c r="O681" s="38">
        <f>VLOOKUP(N681,'Dataset-3'!N72:AF461,2,)</f>
        <v>0.59</v>
      </c>
      <c r="P681" s="38">
        <f>VLOOKUP(O681,'Dataset-3'!O72:AG461,2,)</f>
        <v>0.1343</v>
      </c>
      <c r="Q681" s="38">
        <f>VLOOKUP(P681,'Dataset-3'!P72:AH461,2,)</f>
        <v>3</v>
      </c>
      <c r="R681" s="38">
        <f>VLOOKUP(Q681,'Dataset-3'!Q72:AI461,2,)</f>
        <v>41</v>
      </c>
      <c r="S681" s="38">
        <f>VLOOKUP(R681,'Dataset-3'!R72:AJ461,2,)</f>
        <v>44</v>
      </c>
    </row>
    <row r="682" spans="1:19" x14ac:dyDescent="0.35">
      <c r="A682" s="37">
        <v>681</v>
      </c>
      <c r="B682" s="60">
        <f>VLOOKUP(A682,'Dataset-3'!A73:S462,2,)</f>
        <v>40574</v>
      </c>
      <c r="C682" s="38">
        <f>VLOOKUP(B682,'Dataset-3'!B73:T462,2,)</f>
        <v>1</v>
      </c>
      <c r="D682" s="38">
        <f>VLOOKUP(C682,'Dataset-3'!C73:U462,2,)</f>
        <v>0</v>
      </c>
      <c r="E682" s="38">
        <f>VLOOKUP(D682,'Dataset-3'!D73:V462,2,)</f>
        <v>1</v>
      </c>
      <c r="F682" s="38">
        <f>VLOOKUP(E682,'Dataset-3'!E73:W462,2,)</f>
        <v>16</v>
      </c>
      <c r="G682" s="41" t="str">
        <f>VLOOKUP(F682,'Dataset-3'!F73:X462,2,)</f>
        <v>AfterNoon</v>
      </c>
      <c r="H682" s="38" t="b">
        <f>VLOOKUP(G682,'Dataset-3'!G73:Y462,2,)</f>
        <v>0</v>
      </c>
      <c r="I682" s="38">
        <f>VLOOKUP(H682,'Dataset-3'!H73:Z462,2,)</f>
        <v>1</v>
      </c>
      <c r="J682" s="41" t="str">
        <f>VLOOKUP(I682,'Dataset-3'!I73:AA462,2,)</f>
        <v>Sunday</v>
      </c>
      <c r="K682" s="38">
        <f>VLOOKUP(J682,'Dataset-3'!J73:AB462,2,)</f>
        <v>2</v>
      </c>
      <c r="L682" s="38">
        <f>VLOOKUP(K682,'Dataset-3'!K73:AC462,2,)</f>
        <v>0.16</v>
      </c>
      <c r="M682" s="70" t="str">
        <f>VLOOKUP(L682,'Dataset-3'!L73:AD462,2,)</f>
        <v>Rainy</v>
      </c>
      <c r="N682" s="38">
        <f>VLOOKUP(M682,'Dataset-3'!M73:AE462,2,)</f>
        <v>0.18179999999999999</v>
      </c>
      <c r="O682" s="38">
        <f>VLOOKUP(N682,'Dataset-3'!N73:AF462,2,)</f>
        <v>0.56000000000000005</v>
      </c>
      <c r="P682" s="38">
        <f>VLOOKUP(O682,'Dataset-3'!O73:AG462,2,)</f>
        <v>0.19400000000000001</v>
      </c>
      <c r="Q682" s="38">
        <f>VLOOKUP(P682,'Dataset-3'!P73:AH462,2,)</f>
        <v>3</v>
      </c>
      <c r="R682" s="38">
        <f>VLOOKUP(Q682,'Dataset-3'!Q73:AI462,2,)</f>
        <v>83</v>
      </c>
      <c r="S682" s="38">
        <f>VLOOKUP(R682,'Dataset-3'!R73:AJ462,2,)</f>
        <v>86</v>
      </c>
    </row>
    <row r="683" spans="1:19" x14ac:dyDescent="0.35">
      <c r="A683" s="37">
        <v>682</v>
      </c>
      <c r="B683" s="60">
        <f>VLOOKUP(A683,'Dataset-3'!A74:S463,2,)</f>
        <v>40574</v>
      </c>
      <c r="C683" s="38">
        <f>VLOOKUP(B683,'Dataset-3'!B74:T463,2,)</f>
        <v>1</v>
      </c>
      <c r="D683" s="38">
        <f>VLOOKUP(C683,'Dataset-3'!C74:U463,2,)</f>
        <v>0</v>
      </c>
      <c r="E683" s="38">
        <f>VLOOKUP(D683,'Dataset-3'!D74:V463,2,)</f>
        <v>1</v>
      </c>
      <c r="F683" s="38">
        <f>VLOOKUP(E683,'Dataset-3'!E74:W463,2,)</f>
        <v>17</v>
      </c>
      <c r="G683" s="41" t="str">
        <f>VLOOKUP(F683,'Dataset-3'!F74:X463,2,)</f>
        <v>Evening</v>
      </c>
      <c r="H683" s="38" t="b">
        <f>VLOOKUP(G683,'Dataset-3'!G74:Y463,2,)</f>
        <v>0</v>
      </c>
      <c r="I683" s="38">
        <f>VLOOKUP(H683,'Dataset-3'!H74:Z463,2,)</f>
        <v>1</v>
      </c>
      <c r="J683" s="41" t="str">
        <f>VLOOKUP(I683,'Dataset-3'!I74:AA463,2,)</f>
        <v>Sunday</v>
      </c>
      <c r="K683" s="38">
        <f>VLOOKUP(J683,'Dataset-3'!J74:AB463,2,)</f>
        <v>2</v>
      </c>
      <c r="L683" s="38">
        <f>VLOOKUP(K683,'Dataset-3'!K74:AC463,2,)</f>
        <v>0.16</v>
      </c>
      <c r="M683" s="70" t="str">
        <f>VLOOKUP(L683,'Dataset-3'!L74:AD463,2,)</f>
        <v>Rainy</v>
      </c>
      <c r="N683" s="38">
        <f>VLOOKUP(M683,'Dataset-3'!M74:AE463,2,)</f>
        <v>0.1515</v>
      </c>
      <c r="O683" s="38">
        <f>VLOOKUP(N683,'Dataset-3'!N74:AF463,2,)</f>
        <v>0.59</v>
      </c>
      <c r="P683" s="38">
        <f>VLOOKUP(O683,'Dataset-3'!O74:AG463,2,)</f>
        <v>0.19400000000000001</v>
      </c>
      <c r="Q683" s="38">
        <f>VLOOKUP(P683,'Dataset-3'!P74:AH463,2,)</f>
        <v>6</v>
      </c>
      <c r="R683" s="38">
        <f>VLOOKUP(Q683,'Dataset-3'!Q74:AI463,2,)</f>
        <v>155</v>
      </c>
      <c r="S683" s="38">
        <f>VLOOKUP(R683,'Dataset-3'!R74:AJ463,2,)</f>
        <v>161</v>
      </c>
    </row>
    <row r="684" spans="1:19" x14ac:dyDescent="0.35">
      <c r="A684" s="37">
        <v>683</v>
      </c>
      <c r="B684" s="60">
        <f>VLOOKUP(A684,'Dataset-3'!A75:S464,2,)</f>
        <v>40574</v>
      </c>
      <c r="C684" s="38">
        <f>VLOOKUP(B684,'Dataset-3'!B75:T464,2,)</f>
        <v>1</v>
      </c>
      <c r="D684" s="38">
        <f>VLOOKUP(C684,'Dataset-3'!C75:U464,2,)</f>
        <v>0</v>
      </c>
      <c r="E684" s="38">
        <f>VLOOKUP(D684,'Dataset-3'!D75:V464,2,)</f>
        <v>1</v>
      </c>
      <c r="F684" s="38">
        <f>VLOOKUP(E684,'Dataset-3'!E75:W464,2,)</f>
        <v>18</v>
      </c>
      <c r="G684" s="41" t="str">
        <f>VLOOKUP(F684,'Dataset-3'!F75:X464,2,)</f>
        <v>Evening</v>
      </c>
      <c r="H684" s="38" t="b">
        <f>VLOOKUP(G684,'Dataset-3'!G75:Y464,2,)</f>
        <v>0</v>
      </c>
      <c r="I684" s="38">
        <f>VLOOKUP(H684,'Dataset-3'!H75:Z464,2,)</f>
        <v>1</v>
      </c>
      <c r="J684" s="41" t="str">
        <f>VLOOKUP(I684,'Dataset-3'!I75:AA464,2,)</f>
        <v>Sunday</v>
      </c>
      <c r="K684" s="38">
        <f>VLOOKUP(J684,'Dataset-3'!J75:AB464,2,)</f>
        <v>2</v>
      </c>
      <c r="L684" s="38">
        <f>VLOOKUP(K684,'Dataset-3'!K75:AC464,2,)</f>
        <v>0.16</v>
      </c>
      <c r="M684" s="70" t="str">
        <f>VLOOKUP(L684,'Dataset-3'!L75:AD464,2,)</f>
        <v>Rainy</v>
      </c>
      <c r="N684" s="38">
        <f>VLOOKUP(M684,'Dataset-3'!M75:AE464,2,)</f>
        <v>0.1515</v>
      </c>
      <c r="O684" s="38">
        <f>VLOOKUP(N684,'Dataset-3'!N75:AF464,2,)</f>
        <v>0.55000000000000004</v>
      </c>
      <c r="P684" s="38">
        <f>VLOOKUP(O684,'Dataset-3'!O75:AG464,2,)</f>
        <v>0.22389999999999999</v>
      </c>
      <c r="Q684" s="38">
        <f>VLOOKUP(P684,'Dataset-3'!P75:AH464,2,)</f>
        <v>3</v>
      </c>
      <c r="R684" s="38">
        <f>VLOOKUP(Q684,'Dataset-3'!Q75:AI464,2,)</f>
        <v>153</v>
      </c>
      <c r="S684" s="38">
        <f>VLOOKUP(R684,'Dataset-3'!R75:AJ464,2,)</f>
        <v>156</v>
      </c>
    </row>
    <row r="685" spans="1:19" x14ac:dyDescent="0.35">
      <c r="A685" s="37">
        <v>684</v>
      </c>
      <c r="B685" s="60">
        <f>VLOOKUP(A685,'Dataset-3'!A76:S465,2,)</f>
        <v>40574</v>
      </c>
      <c r="C685" s="38">
        <f>VLOOKUP(B685,'Dataset-3'!B76:T465,2,)</f>
        <v>1</v>
      </c>
      <c r="D685" s="38">
        <f>VLOOKUP(C685,'Dataset-3'!C76:U465,2,)</f>
        <v>0</v>
      </c>
      <c r="E685" s="38">
        <f>VLOOKUP(D685,'Dataset-3'!D76:V465,2,)</f>
        <v>1</v>
      </c>
      <c r="F685" s="38">
        <f>VLOOKUP(E685,'Dataset-3'!E76:W465,2,)</f>
        <v>19</v>
      </c>
      <c r="G685" s="41" t="str">
        <f>VLOOKUP(F685,'Dataset-3'!F76:X465,2,)</f>
        <v>Evening</v>
      </c>
      <c r="H685" s="38" t="b">
        <f>VLOOKUP(G685,'Dataset-3'!G76:Y465,2,)</f>
        <v>0</v>
      </c>
      <c r="I685" s="38">
        <f>VLOOKUP(H685,'Dataset-3'!H76:Z465,2,)</f>
        <v>1</v>
      </c>
      <c r="J685" s="41" t="str">
        <f>VLOOKUP(I685,'Dataset-3'!I76:AA465,2,)</f>
        <v>Sunday</v>
      </c>
      <c r="K685" s="38">
        <f>VLOOKUP(J685,'Dataset-3'!J76:AB465,2,)</f>
        <v>1</v>
      </c>
      <c r="L685" s="38">
        <f>VLOOKUP(K685,'Dataset-3'!K76:AC465,2,)</f>
        <v>0.3</v>
      </c>
      <c r="M685" s="70" t="str">
        <f>VLOOKUP(L685,'Dataset-3'!L76:AD465,2,)</f>
        <v>Cloudy</v>
      </c>
      <c r="N685" s="38">
        <f>VLOOKUP(M685,'Dataset-3'!M76:AE465,2,)</f>
        <v>0.31819999999999998</v>
      </c>
      <c r="O685" s="38">
        <f>VLOOKUP(N685,'Dataset-3'!N76:AF465,2,)</f>
        <v>0.61</v>
      </c>
      <c r="P685" s="38">
        <f>VLOOKUP(O685,'Dataset-3'!O76:AG465,2,)</f>
        <v>0.1045</v>
      </c>
      <c r="Q685" s="38">
        <f>VLOOKUP(P685,'Dataset-3'!P76:AH465,2,)</f>
        <v>3</v>
      </c>
      <c r="R685" s="38">
        <f>VLOOKUP(Q685,'Dataset-3'!Q76:AI465,2,)</f>
        <v>108</v>
      </c>
      <c r="S685" s="38">
        <f>VLOOKUP(R685,'Dataset-3'!R76:AJ465,2,)</f>
        <v>111</v>
      </c>
    </row>
    <row r="686" spans="1:19" x14ac:dyDescent="0.35">
      <c r="A686" s="37">
        <v>685</v>
      </c>
      <c r="B686" s="60">
        <f>VLOOKUP(A686,'Dataset-3'!A77:S466,2,)</f>
        <v>40574</v>
      </c>
      <c r="C686" s="38">
        <f>VLOOKUP(B686,'Dataset-3'!B77:T466,2,)</f>
        <v>1</v>
      </c>
      <c r="D686" s="38">
        <f>VLOOKUP(C686,'Dataset-3'!C77:U466,2,)</f>
        <v>0</v>
      </c>
      <c r="E686" s="38">
        <f>VLOOKUP(D686,'Dataset-3'!D77:V466,2,)</f>
        <v>1</v>
      </c>
      <c r="F686" s="38">
        <f>VLOOKUP(E686,'Dataset-3'!E77:W466,2,)</f>
        <v>20</v>
      </c>
      <c r="G686" s="41" t="str">
        <f>VLOOKUP(F686,'Dataset-3'!F77:X466,2,)</f>
        <v>Night</v>
      </c>
      <c r="H686" s="38" t="b">
        <f>VLOOKUP(G686,'Dataset-3'!G77:Y466,2,)</f>
        <v>0</v>
      </c>
      <c r="I686" s="38">
        <f>VLOOKUP(H686,'Dataset-3'!H77:Z466,2,)</f>
        <v>1</v>
      </c>
      <c r="J686" s="41" t="str">
        <f>VLOOKUP(I686,'Dataset-3'!I77:AA466,2,)</f>
        <v>Sunday</v>
      </c>
      <c r="K686" s="38">
        <f>VLOOKUP(J686,'Dataset-3'!J77:AB466,2,)</f>
        <v>3</v>
      </c>
      <c r="L686" s="38">
        <f>VLOOKUP(K686,'Dataset-3'!K77:AC466,2,)</f>
        <v>0.16</v>
      </c>
      <c r="M686" s="70" t="str">
        <f>VLOOKUP(L686,'Dataset-3'!L77:AD466,2,)</f>
        <v>Rainy</v>
      </c>
      <c r="N686" s="38">
        <f>VLOOKUP(M686,'Dataset-3'!M77:AE466,2,)</f>
        <v>0.16669999999999999</v>
      </c>
      <c r="O686" s="38">
        <f>VLOOKUP(N686,'Dataset-3'!N77:AF466,2,)</f>
        <v>0.59</v>
      </c>
      <c r="P686" s="38">
        <f>VLOOKUP(O686,'Dataset-3'!O77:AG466,2,)</f>
        <v>0.16420000000000001</v>
      </c>
      <c r="Q686" s="38">
        <f>VLOOKUP(P686,'Dataset-3'!P77:AH466,2,)</f>
        <v>0</v>
      </c>
      <c r="R686" s="38">
        <f>VLOOKUP(Q686,'Dataset-3'!Q77:AI466,2,)</f>
        <v>78</v>
      </c>
      <c r="S686" s="38">
        <f>VLOOKUP(R686,'Dataset-3'!R77:AJ466,2,)</f>
        <v>78</v>
      </c>
    </row>
    <row r="687" spans="1:19" x14ac:dyDescent="0.35">
      <c r="A687" s="37">
        <v>686</v>
      </c>
      <c r="B687" s="60">
        <f>VLOOKUP(A687,'Dataset-3'!A78:S467,2,)</f>
        <v>40574</v>
      </c>
      <c r="C687" s="38">
        <f>VLOOKUP(B687,'Dataset-3'!B78:T467,2,)</f>
        <v>1</v>
      </c>
      <c r="D687" s="38">
        <f>VLOOKUP(C687,'Dataset-3'!C78:U467,2,)</f>
        <v>0</v>
      </c>
      <c r="E687" s="38">
        <f>VLOOKUP(D687,'Dataset-3'!D78:V467,2,)</f>
        <v>1</v>
      </c>
      <c r="F687" s="38">
        <f>VLOOKUP(E687,'Dataset-3'!E78:W467,2,)</f>
        <v>21</v>
      </c>
      <c r="G687" s="41" t="str">
        <f>VLOOKUP(F687,'Dataset-3'!F78:X467,2,)</f>
        <v>Night</v>
      </c>
      <c r="H687" s="38" t="b">
        <f>VLOOKUP(G687,'Dataset-3'!G78:Y467,2,)</f>
        <v>0</v>
      </c>
      <c r="I687" s="38">
        <f>VLOOKUP(H687,'Dataset-3'!H78:Z467,2,)</f>
        <v>1</v>
      </c>
      <c r="J687" s="41" t="str">
        <f>VLOOKUP(I687,'Dataset-3'!I78:AA467,2,)</f>
        <v>Sunday</v>
      </c>
      <c r="K687" s="38">
        <f>VLOOKUP(J687,'Dataset-3'!J78:AB467,2,)</f>
        <v>3</v>
      </c>
      <c r="L687" s="38">
        <f>VLOOKUP(K687,'Dataset-3'!K78:AC467,2,)</f>
        <v>0.16</v>
      </c>
      <c r="M687" s="70" t="str">
        <f>VLOOKUP(L687,'Dataset-3'!L78:AD467,2,)</f>
        <v>Rainy</v>
      </c>
      <c r="N687" s="38">
        <f>VLOOKUP(M687,'Dataset-3'!M78:AE467,2,)</f>
        <v>0.19700000000000001</v>
      </c>
      <c r="O687" s="38">
        <f>VLOOKUP(N687,'Dataset-3'!N78:AF467,2,)</f>
        <v>0.59</v>
      </c>
      <c r="P687" s="38">
        <f>VLOOKUP(O687,'Dataset-3'!O78:AG467,2,)</f>
        <v>8.9599999999999999E-2</v>
      </c>
      <c r="Q687" s="38">
        <f>VLOOKUP(P687,'Dataset-3'!P78:AH467,2,)</f>
        <v>3</v>
      </c>
      <c r="R687" s="38">
        <f>VLOOKUP(Q687,'Dataset-3'!Q78:AI467,2,)</f>
        <v>53</v>
      </c>
      <c r="S687" s="38">
        <f>VLOOKUP(R687,'Dataset-3'!R78:AJ467,2,)</f>
        <v>56</v>
      </c>
    </row>
    <row r="688" spans="1:19" x14ac:dyDescent="0.35">
      <c r="A688" s="37">
        <v>687</v>
      </c>
      <c r="B688" s="60">
        <f>VLOOKUP(A688,'Dataset-3'!A79:S468,2,)</f>
        <v>40574</v>
      </c>
      <c r="C688" s="38">
        <f>VLOOKUP(B688,'Dataset-3'!B79:T468,2,)</f>
        <v>1</v>
      </c>
      <c r="D688" s="38">
        <f>VLOOKUP(C688,'Dataset-3'!C79:U468,2,)</f>
        <v>0</v>
      </c>
      <c r="E688" s="38">
        <f>VLOOKUP(D688,'Dataset-3'!D79:V468,2,)</f>
        <v>1</v>
      </c>
      <c r="F688" s="38">
        <f>VLOOKUP(E688,'Dataset-3'!E79:W468,2,)</f>
        <v>22</v>
      </c>
      <c r="G688" s="41" t="str">
        <f>VLOOKUP(F688,'Dataset-3'!F79:X468,2,)</f>
        <v>Night</v>
      </c>
      <c r="H688" s="38" t="b">
        <f>VLOOKUP(G688,'Dataset-3'!G79:Y468,2,)</f>
        <v>0</v>
      </c>
      <c r="I688" s="38">
        <f>VLOOKUP(H688,'Dataset-3'!H79:Z468,2,)</f>
        <v>1</v>
      </c>
      <c r="J688" s="41" t="str">
        <f>VLOOKUP(I688,'Dataset-3'!I79:AA468,2,)</f>
        <v>Sunday</v>
      </c>
      <c r="K688" s="38">
        <f>VLOOKUP(J688,'Dataset-3'!J79:AB468,2,)</f>
        <v>2</v>
      </c>
      <c r="L688" s="38">
        <f>VLOOKUP(K688,'Dataset-3'!K79:AC468,2,)</f>
        <v>0.16</v>
      </c>
      <c r="M688" s="70" t="str">
        <f>VLOOKUP(L688,'Dataset-3'!L79:AD468,2,)</f>
        <v>Rainy</v>
      </c>
      <c r="N688" s="38">
        <f>VLOOKUP(M688,'Dataset-3'!M79:AE468,2,)</f>
        <v>0.18179999999999999</v>
      </c>
      <c r="O688" s="38">
        <f>VLOOKUP(N688,'Dataset-3'!N79:AF468,2,)</f>
        <v>0.59</v>
      </c>
      <c r="P688" s="38">
        <f>VLOOKUP(O688,'Dataset-3'!O79:AG468,2,)</f>
        <v>0.1045</v>
      </c>
      <c r="Q688" s="38">
        <f>VLOOKUP(P688,'Dataset-3'!P79:AH468,2,)</f>
        <v>0</v>
      </c>
      <c r="R688" s="38">
        <f>VLOOKUP(Q688,'Dataset-3'!Q79:AI468,2,)</f>
        <v>34</v>
      </c>
      <c r="S688" s="38">
        <f>VLOOKUP(R688,'Dataset-3'!R79:AJ468,2,)</f>
        <v>34</v>
      </c>
    </row>
    <row r="689" spans="1:19" x14ac:dyDescent="0.35">
      <c r="A689" s="37">
        <v>688</v>
      </c>
      <c r="B689" s="60">
        <f>VLOOKUP(A689,'Dataset-3'!A80:S469,2,)</f>
        <v>40574</v>
      </c>
      <c r="C689" s="38">
        <f>VLOOKUP(B689,'Dataset-3'!B80:T469,2,)</f>
        <v>1</v>
      </c>
      <c r="D689" s="38">
        <f>VLOOKUP(C689,'Dataset-3'!C80:U469,2,)</f>
        <v>0</v>
      </c>
      <c r="E689" s="38">
        <f>VLOOKUP(D689,'Dataset-3'!D80:V469,2,)</f>
        <v>1</v>
      </c>
      <c r="F689" s="38">
        <f>VLOOKUP(E689,'Dataset-3'!E80:W469,2,)</f>
        <v>23</v>
      </c>
      <c r="G689" s="41" t="str">
        <f>VLOOKUP(F689,'Dataset-3'!F80:X469,2,)</f>
        <v>Night</v>
      </c>
      <c r="H689" s="38" t="b">
        <f>VLOOKUP(G689,'Dataset-3'!G80:Y469,2,)</f>
        <v>0</v>
      </c>
      <c r="I689" s="38">
        <f>VLOOKUP(H689,'Dataset-3'!H80:Z469,2,)</f>
        <v>1</v>
      </c>
      <c r="J689" s="41" t="str">
        <f>VLOOKUP(I689,'Dataset-3'!I80:AA469,2,)</f>
        <v>Sunday</v>
      </c>
      <c r="K689" s="38">
        <f>VLOOKUP(J689,'Dataset-3'!J80:AB469,2,)</f>
        <v>2</v>
      </c>
      <c r="L689" s="38">
        <f>VLOOKUP(K689,'Dataset-3'!K80:AC469,2,)</f>
        <v>0.16</v>
      </c>
      <c r="M689" s="70" t="str">
        <f>VLOOKUP(L689,'Dataset-3'!L80:AD469,2,)</f>
        <v>Rainy</v>
      </c>
      <c r="N689" s="38">
        <f>VLOOKUP(M689,'Dataset-3'!M80:AE469,2,)</f>
        <v>0.19700000000000001</v>
      </c>
      <c r="O689" s="38">
        <f>VLOOKUP(N689,'Dataset-3'!N80:AF469,2,)</f>
        <v>0.64</v>
      </c>
      <c r="P689" s="38">
        <f>VLOOKUP(O689,'Dataset-3'!O80:AG469,2,)</f>
        <v>8.9599999999999999E-2</v>
      </c>
      <c r="Q689" s="38">
        <f>VLOOKUP(P689,'Dataset-3'!P80:AH469,2,)</f>
        <v>2</v>
      </c>
      <c r="R689" s="38">
        <f>VLOOKUP(Q689,'Dataset-3'!Q80:AI469,2,)</f>
        <v>15</v>
      </c>
      <c r="S689" s="38">
        <f>VLOOKUP(R689,'Dataset-3'!R80:AJ469,2,)</f>
        <v>17</v>
      </c>
    </row>
    <row r="690" spans="1:19" x14ac:dyDescent="0.35">
      <c r="A690" s="37">
        <v>689</v>
      </c>
      <c r="B690" s="60">
        <f>VLOOKUP(A690,'Dataset-3'!A81:S470,2,)</f>
        <v>40575</v>
      </c>
      <c r="C690" s="38">
        <f>VLOOKUP(B690,'Dataset-3'!B81:T470,2,)</f>
        <v>1</v>
      </c>
      <c r="D690" s="38">
        <f>VLOOKUP(C690,'Dataset-3'!C81:U470,2,)</f>
        <v>0</v>
      </c>
      <c r="E690" s="38">
        <f>VLOOKUP(D690,'Dataset-3'!D81:V470,2,)</f>
        <v>2</v>
      </c>
      <c r="F690" s="38">
        <f>VLOOKUP(E690,'Dataset-3'!E81:W470,2,)</f>
        <v>0</v>
      </c>
      <c r="G690" s="41" t="str">
        <f>VLOOKUP(F690,'Dataset-3'!F81:X470,2,)</f>
        <v>Night</v>
      </c>
      <c r="H690" s="38" t="b">
        <f>VLOOKUP(G690,'Dataset-3'!G81:Y470,2,)</f>
        <v>0</v>
      </c>
      <c r="I690" s="38">
        <f>VLOOKUP(H690,'Dataset-3'!H81:Z470,2,)</f>
        <v>2</v>
      </c>
      <c r="J690" s="41" t="str">
        <f>VLOOKUP(I690,'Dataset-3'!I81:AA470,2,)</f>
        <v>Monday</v>
      </c>
      <c r="K690" s="38">
        <f>VLOOKUP(J690,'Dataset-3'!J81:AB470,2,)</f>
        <v>2</v>
      </c>
      <c r="L690" s="38">
        <f>VLOOKUP(K690,'Dataset-3'!K81:AC470,2,)</f>
        <v>0.16</v>
      </c>
      <c r="M690" s="70" t="str">
        <f>VLOOKUP(L690,'Dataset-3'!L81:AD470,2,)</f>
        <v>Rainy</v>
      </c>
      <c r="N690" s="38">
        <f>VLOOKUP(M690,'Dataset-3'!M81:AE470,2,)</f>
        <v>0.18179999999999999</v>
      </c>
      <c r="O690" s="38">
        <f>VLOOKUP(N690,'Dataset-3'!N81:AF470,2,)</f>
        <v>0.64</v>
      </c>
      <c r="P690" s="38">
        <f>VLOOKUP(O690,'Dataset-3'!O81:AG470,2,)</f>
        <v>0.1045</v>
      </c>
      <c r="Q690" s="38">
        <f>VLOOKUP(P690,'Dataset-3'!P81:AH470,2,)</f>
        <v>2</v>
      </c>
      <c r="R690" s="38">
        <f>VLOOKUP(Q690,'Dataset-3'!Q81:AI470,2,)</f>
        <v>6</v>
      </c>
      <c r="S690" s="38">
        <f>VLOOKUP(R690,'Dataset-3'!R81:AJ470,2,)</f>
        <v>8</v>
      </c>
    </row>
    <row r="691" spans="1:19" x14ac:dyDescent="0.35">
      <c r="A691" s="37">
        <v>690</v>
      </c>
      <c r="B691" s="60">
        <f>VLOOKUP(A691,'Dataset-3'!A82:S471,2,)</f>
        <v>40575</v>
      </c>
      <c r="C691" s="38">
        <f>VLOOKUP(B691,'Dataset-3'!B82:T471,2,)</f>
        <v>1</v>
      </c>
      <c r="D691" s="38">
        <f>VLOOKUP(C691,'Dataset-3'!C82:U471,2,)</f>
        <v>0</v>
      </c>
      <c r="E691" s="38">
        <f>VLOOKUP(D691,'Dataset-3'!D82:V471,2,)</f>
        <v>2</v>
      </c>
      <c r="F691" s="38">
        <f>VLOOKUP(E691,'Dataset-3'!E82:W471,2,)</f>
        <v>1</v>
      </c>
      <c r="G691" s="41" t="str">
        <f>VLOOKUP(F691,'Dataset-3'!F82:X471,2,)</f>
        <v>Night</v>
      </c>
      <c r="H691" s="38" t="b">
        <f>VLOOKUP(G691,'Dataset-3'!G82:Y471,2,)</f>
        <v>0</v>
      </c>
      <c r="I691" s="38">
        <f>VLOOKUP(H691,'Dataset-3'!H82:Z471,2,)</f>
        <v>2</v>
      </c>
      <c r="J691" s="41" t="str">
        <f>VLOOKUP(I691,'Dataset-3'!I82:AA471,2,)</f>
        <v>Monday</v>
      </c>
      <c r="K691" s="38">
        <f>VLOOKUP(J691,'Dataset-3'!J82:AB471,2,)</f>
        <v>2</v>
      </c>
      <c r="L691" s="38">
        <f>VLOOKUP(K691,'Dataset-3'!K82:AC471,2,)</f>
        <v>0.16</v>
      </c>
      <c r="M691" s="70" t="str">
        <f>VLOOKUP(L691,'Dataset-3'!L82:AD471,2,)</f>
        <v>Rainy</v>
      </c>
      <c r="N691" s="38">
        <f>VLOOKUP(M691,'Dataset-3'!M82:AE471,2,)</f>
        <v>0.18179999999999999</v>
      </c>
      <c r="O691" s="38">
        <f>VLOOKUP(N691,'Dataset-3'!N82:AF471,2,)</f>
        <v>0.69</v>
      </c>
      <c r="P691" s="38">
        <f>VLOOKUP(O691,'Dataset-3'!O82:AG471,2,)</f>
        <v>0.1045</v>
      </c>
      <c r="Q691" s="38">
        <f>VLOOKUP(P691,'Dataset-3'!P82:AH471,2,)</f>
        <v>0</v>
      </c>
      <c r="R691" s="38">
        <f>VLOOKUP(Q691,'Dataset-3'!Q82:AI471,2,)</f>
        <v>3</v>
      </c>
      <c r="S691" s="38">
        <f>VLOOKUP(R691,'Dataset-3'!R82:AJ471,2,)</f>
        <v>3</v>
      </c>
    </row>
    <row r="692" spans="1:19" x14ac:dyDescent="0.35">
      <c r="A692" s="37">
        <v>691</v>
      </c>
      <c r="B692" s="60">
        <f>VLOOKUP(A692,'Dataset-3'!A83:S472,2,)</f>
        <v>40575</v>
      </c>
      <c r="C692" s="38">
        <f>VLOOKUP(B692,'Dataset-3'!B83:T472,2,)</f>
        <v>1</v>
      </c>
      <c r="D692" s="38">
        <f>VLOOKUP(C692,'Dataset-3'!C83:U472,2,)</f>
        <v>0</v>
      </c>
      <c r="E692" s="38">
        <f>VLOOKUP(D692,'Dataset-3'!D83:V472,2,)</f>
        <v>2</v>
      </c>
      <c r="F692" s="38">
        <f>VLOOKUP(E692,'Dataset-3'!E83:W472,2,)</f>
        <v>2</v>
      </c>
      <c r="G692" s="41" t="str">
        <f>VLOOKUP(F692,'Dataset-3'!F83:X472,2,)</f>
        <v>Night</v>
      </c>
      <c r="H692" s="38" t="b">
        <f>VLOOKUP(G692,'Dataset-3'!G83:Y472,2,)</f>
        <v>0</v>
      </c>
      <c r="I692" s="38">
        <f>VLOOKUP(H692,'Dataset-3'!H83:Z472,2,)</f>
        <v>2</v>
      </c>
      <c r="J692" s="41" t="str">
        <f>VLOOKUP(I692,'Dataset-3'!I83:AA472,2,)</f>
        <v>Monday</v>
      </c>
      <c r="K692" s="38">
        <f>VLOOKUP(J692,'Dataset-3'!J83:AB472,2,)</f>
        <v>2</v>
      </c>
      <c r="L692" s="38">
        <f>VLOOKUP(K692,'Dataset-3'!K83:AC472,2,)</f>
        <v>0.16</v>
      </c>
      <c r="M692" s="70" t="str">
        <f>VLOOKUP(L692,'Dataset-3'!L83:AD472,2,)</f>
        <v>Rainy</v>
      </c>
      <c r="N692" s="38">
        <f>VLOOKUP(M692,'Dataset-3'!M83:AE472,2,)</f>
        <v>0.2273</v>
      </c>
      <c r="O692" s="38">
        <f>VLOOKUP(N692,'Dataset-3'!N83:AF472,2,)</f>
        <v>0.69</v>
      </c>
      <c r="P692" s="38">
        <f>VLOOKUP(O692,'Dataset-3'!O83:AG472,2,)</f>
        <v>0</v>
      </c>
      <c r="Q692" s="38">
        <f>VLOOKUP(P692,'Dataset-3'!P83:AH472,2,)</f>
        <v>0</v>
      </c>
      <c r="R692" s="38">
        <f>VLOOKUP(Q692,'Dataset-3'!Q83:AI472,2,)</f>
        <v>2</v>
      </c>
      <c r="S692" s="38">
        <f>VLOOKUP(R692,'Dataset-3'!R83:AJ472,2,)</f>
        <v>2</v>
      </c>
    </row>
    <row r="693" spans="1:19" x14ac:dyDescent="0.35">
      <c r="A693" s="37">
        <v>692</v>
      </c>
      <c r="B693" s="60">
        <f>VLOOKUP(A693,'Dataset-3'!A84:S473,2,)</f>
        <v>40575</v>
      </c>
      <c r="C693" s="38">
        <f>VLOOKUP(B693,'Dataset-3'!B84:T473,2,)</f>
        <v>1</v>
      </c>
      <c r="D693" s="38">
        <f>VLOOKUP(C693,'Dataset-3'!C84:U473,2,)</f>
        <v>0</v>
      </c>
      <c r="E693" s="38">
        <f>VLOOKUP(D693,'Dataset-3'!D84:V473,2,)</f>
        <v>2</v>
      </c>
      <c r="F693" s="38">
        <f>VLOOKUP(E693,'Dataset-3'!E84:W473,2,)</f>
        <v>3</v>
      </c>
      <c r="G693" s="41" t="str">
        <f>VLOOKUP(F693,'Dataset-3'!F84:X473,2,)</f>
        <v>Night</v>
      </c>
      <c r="H693" s="38" t="b">
        <f>VLOOKUP(G693,'Dataset-3'!G84:Y473,2,)</f>
        <v>0</v>
      </c>
      <c r="I693" s="38">
        <f>VLOOKUP(H693,'Dataset-3'!H84:Z473,2,)</f>
        <v>2</v>
      </c>
      <c r="J693" s="41" t="str">
        <f>VLOOKUP(I693,'Dataset-3'!I84:AA473,2,)</f>
        <v>Monday</v>
      </c>
      <c r="K693" s="38">
        <f>VLOOKUP(J693,'Dataset-3'!J84:AB473,2,)</f>
        <v>2</v>
      </c>
      <c r="L693" s="38">
        <f>VLOOKUP(K693,'Dataset-3'!K84:AC473,2,)</f>
        <v>0.16</v>
      </c>
      <c r="M693" s="70" t="str">
        <f>VLOOKUP(L693,'Dataset-3'!L84:AD473,2,)</f>
        <v>Rainy</v>
      </c>
      <c r="N693" s="38">
        <f>VLOOKUP(M693,'Dataset-3'!M84:AE473,2,)</f>
        <v>0.2273</v>
      </c>
      <c r="O693" s="38">
        <f>VLOOKUP(N693,'Dataset-3'!N84:AF473,2,)</f>
        <v>0.69</v>
      </c>
      <c r="P693" s="38">
        <f>VLOOKUP(O693,'Dataset-3'!O84:AG473,2,)</f>
        <v>0</v>
      </c>
      <c r="Q693" s="38">
        <f>VLOOKUP(P693,'Dataset-3'!P84:AH473,2,)</f>
        <v>0</v>
      </c>
      <c r="R693" s="38">
        <f>VLOOKUP(Q693,'Dataset-3'!Q84:AI473,2,)</f>
        <v>2</v>
      </c>
      <c r="S693" s="38">
        <f>VLOOKUP(R693,'Dataset-3'!R84:AJ473,2,)</f>
        <v>2</v>
      </c>
    </row>
    <row r="694" spans="1:19" x14ac:dyDescent="0.35">
      <c r="A694" s="37">
        <v>693</v>
      </c>
      <c r="B694" s="60">
        <f>VLOOKUP(A694,'Dataset-3'!A85:S474,2,)</f>
        <v>40575</v>
      </c>
      <c r="C694" s="38">
        <f>VLOOKUP(B694,'Dataset-3'!B85:T474,2,)</f>
        <v>1</v>
      </c>
      <c r="D694" s="38">
        <f>VLOOKUP(C694,'Dataset-3'!C85:U474,2,)</f>
        <v>0</v>
      </c>
      <c r="E694" s="38">
        <f>VLOOKUP(D694,'Dataset-3'!D85:V474,2,)</f>
        <v>2</v>
      </c>
      <c r="F694" s="38">
        <f>VLOOKUP(E694,'Dataset-3'!E85:W474,2,)</f>
        <v>5</v>
      </c>
      <c r="G694" s="41" t="str">
        <f>VLOOKUP(F694,'Dataset-3'!F85:X474,2,)</f>
        <v>Morning</v>
      </c>
      <c r="H694" s="38" t="b">
        <f>VLOOKUP(G694,'Dataset-3'!G85:Y474,2,)</f>
        <v>0</v>
      </c>
      <c r="I694" s="38">
        <f>VLOOKUP(H694,'Dataset-3'!H85:Z474,2,)</f>
        <v>2</v>
      </c>
      <c r="J694" s="41" t="str">
        <f>VLOOKUP(I694,'Dataset-3'!I85:AA474,2,)</f>
        <v>Monday</v>
      </c>
      <c r="K694" s="38">
        <f>VLOOKUP(J694,'Dataset-3'!J85:AB474,2,)</f>
        <v>3</v>
      </c>
      <c r="L694" s="38">
        <f>VLOOKUP(K694,'Dataset-3'!K85:AC474,2,)</f>
        <v>0.14000000000000001</v>
      </c>
      <c r="M694" s="70" t="str">
        <f>VLOOKUP(L694,'Dataset-3'!L85:AD474,2,)</f>
        <v>Rainy</v>
      </c>
      <c r="N694" s="38">
        <f>VLOOKUP(M694,'Dataset-3'!M85:AE474,2,)</f>
        <v>0.21210000000000001</v>
      </c>
      <c r="O694" s="38">
        <f>VLOOKUP(N694,'Dataset-3'!N85:AF474,2,)</f>
        <v>0.93</v>
      </c>
      <c r="P694" s="38">
        <f>VLOOKUP(O694,'Dataset-3'!O85:AG474,2,)</f>
        <v>0</v>
      </c>
      <c r="Q694" s="38">
        <f>VLOOKUP(P694,'Dataset-3'!P85:AH474,2,)</f>
        <v>0</v>
      </c>
      <c r="R694" s="38">
        <f>VLOOKUP(Q694,'Dataset-3'!Q85:AI474,2,)</f>
        <v>3</v>
      </c>
      <c r="S694" s="38">
        <f>VLOOKUP(R694,'Dataset-3'!R85:AJ474,2,)</f>
        <v>3</v>
      </c>
    </row>
    <row r="695" spans="1:19" x14ac:dyDescent="0.35">
      <c r="A695" s="37">
        <v>694</v>
      </c>
      <c r="B695" s="60">
        <f>VLOOKUP(A695,'Dataset-3'!A86:S475,2,)</f>
        <v>40575</v>
      </c>
      <c r="C695" s="38">
        <f>VLOOKUP(B695,'Dataset-3'!B86:T475,2,)</f>
        <v>1</v>
      </c>
      <c r="D695" s="38">
        <f>VLOOKUP(C695,'Dataset-3'!C86:U475,2,)</f>
        <v>0</v>
      </c>
      <c r="E695" s="38">
        <f>VLOOKUP(D695,'Dataset-3'!D86:V475,2,)</f>
        <v>2</v>
      </c>
      <c r="F695" s="38">
        <f>VLOOKUP(E695,'Dataset-3'!E86:W475,2,)</f>
        <v>6</v>
      </c>
      <c r="G695" s="41" t="str">
        <f>VLOOKUP(F695,'Dataset-3'!F86:X475,2,)</f>
        <v>Morning</v>
      </c>
      <c r="H695" s="38" t="b">
        <f>VLOOKUP(G695,'Dataset-3'!G86:Y475,2,)</f>
        <v>0</v>
      </c>
      <c r="I695" s="38">
        <f>VLOOKUP(H695,'Dataset-3'!H86:Z475,2,)</f>
        <v>2</v>
      </c>
      <c r="J695" s="41" t="str">
        <f>VLOOKUP(I695,'Dataset-3'!I86:AA475,2,)</f>
        <v>Monday</v>
      </c>
      <c r="K695" s="38">
        <f>VLOOKUP(J695,'Dataset-3'!J86:AB475,2,)</f>
        <v>3</v>
      </c>
      <c r="L695" s="38">
        <f>VLOOKUP(K695,'Dataset-3'!K86:AC475,2,)</f>
        <v>0.14000000000000001</v>
      </c>
      <c r="M695" s="70" t="str">
        <f>VLOOKUP(L695,'Dataset-3'!L86:AD475,2,)</f>
        <v>Rainy</v>
      </c>
      <c r="N695" s="38">
        <f>VLOOKUP(M695,'Dataset-3'!M86:AE475,2,)</f>
        <v>0.21210000000000001</v>
      </c>
      <c r="O695" s="38">
        <f>VLOOKUP(N695,'Dataset-3'!N86:AF475,2,)</f>
        <v>0.93</v>
      </c>
      <c r="P695" s="38">
        <f>VLOOKUP(O695,'Dataset-3'!O86:AG475,2,)</f>
        <v>0</v>
      </c>
      <c r="Q695" s="38">
        <f>VLOOKUP(P695,'Dataset-3'!P86:AH475,2,)</f>
        <v>0</v>
      </c>
      <c r="R695" s="38">
        <f>VLOOKUP(Q695,'Dataset-3'!Q86:AI475,2,)</f>
        <v>22</v>
      </c>
      <c r="S695" s="38">
        <f>VLOOKUP(R695,'Dataset-3'!R86:AJ475,2,)</f>
        <v>22</v>
      </c>
    </row>
    <row r="696" spans="1:19" x14ac:dyDescent="0.35">
      <c r="A696" s="37">
        <v>695</v>
      </c>
      <c r="B696" s="60">
        <f>VLOOKUP(A696,'Dataset-3'!A87:S476,2,)</f>
        <v>40575</v>
      </c>
      <c r="C696" s="38">
        <f>VLOOKUP(B696,'Dataset-3'!B87:T476,2,)</f>
        <v>1</v>
      </c>
      <c r="D696" s="38">
        <f>VLOOKUP(C696,'Dataset-3'!C87:U476,2,)</f>
        <v>0</v>
      </c>
      <c r="E696" s="38">
        <f>VLOOKUP(D696,'Dataset-3'!D87:V476,2,)</f>
        <v>2</v>
      </c>
      <c r="F696" s="38">
        <f>VLOOKUP(E696,'Dataset-3'!E87:W476,2,)</f>
        <v>7</v>
      </c>
      <c r="G696" s="41" t="str">
        <f>VLOOKUP(F696,'Dataset-3'!F87:X476,2,)</f>
        <v>Morning</v>
      </c>
      <c r="H696" s="38" t="b">
        <f>VLOOKUP(G696,'Dataset-3'!G87:Y476,2,)</f>
        <v>0</v>
      </c>
      <c r="I696" s="38">
        <f>VLOOKUP(H696,'Dataset-3'!H87:Z476,2,)</f>
        <v>2</v>
      </c>
      <c r="J696" s="41" t="str">
        <f>VLOOKUP(I696,'Dataset-3'!I87:AA476,2,)</f>
        <v>Monday</v>
      </c>
      <c r="K696" s="38">
        <f>VLOOKUP(J696,'Dataset-3'!J87:AB476,2,)</f>
        <v>3</v>
      </c>
      <c r="L696" s="38">
        <f>VLOOKUP(K696,'Dataset-3'!K87:AC476,2,)</f>
        <v>0.16</v>
      </c>
      <c r="M696" s="70" t="str">
        <f>VLOOKUP(L696,'Dataset-3'!L87:AD476,2,)</f>
        <v>Rainy</v>
      </c>
      <c r="N696" s="38">
        <f>VLOOKUP(M696,'Dataset-3'!M87:AE476,2,)</f>
        <v>0.2273</v>
      </c>
      <c r="O696" s="38">
        <f>VLOOKUP(N696,'Dataset-3'!N87:AF476,2,)</f>
        <v>0.93</v>
      </c>
      <c r="P696" s="38">
        <f>VLOOKUP(O696,'Dataset-3'!O87:AG476,2,)</f>
        <v>0</v>
      </c>
      <c r="Q696" s="38">
        <f>VLOOKUP(P696,'Dataset-3'!P87:AH476,2,)</f>
        <v>0</v>
      </c>
      <c r="R696" s="38">
        <f>VLOOKUP(Q696,'Dataset-3'!Q87:AI476,2,)</f>
        <v>52</v>
      </c>
      <c r="S696" s="38">
        <f>VLOOKUP(R696,'Dataset-3'!R87:AJ476,2,)</f>
        <v>52</v>
      </c>
    </row>
    <row r="697" spans="1:19" x14ac:dyDescent="0.35">
      <c r="A697" s="37">
        <v>696</v>
      </c>
      <c r="B697" s="60">
        <f>VLOOKUP(A697,'Dataset-3'!A88:S477,2,)</f>
        <v>40575</v>
      </c>
      <c r="C697" s="38">
        <f>VLOOKUP(B697,'Dataset-3'!B88:T477,2,)</f>
        <v>1</v>
      </c>
      <c r="D697" s="38">
        <f>VLOOKUP(C697,'Dataset-3'!C88:U477,2,)</f>
        <v>0</v>
      </c>
      <c r="E697" s="38">
        <f>VLOOKUP(D697,'Dataset-3'!D88:V477,2,)</f>
        <v>2</v>
      </c>
      <c r="F697" s="38">
        <f>VLOOKUP(E697,'Dataset-3'!E88:W477,2,)</f>
        <v>8</v>
      </c>
      <c r="G697" s="41" t="str">
        <f>VLOOKUP(F697,'Dataset-3'!F88:X477,2,)</f>
        <v>Morning</v>
      </c>
      <c r="H697" s="38" t="b">
        <f>VLOOKUP(G697,'Dataset-3'!G88:Y477,2,)</f>
        <v>0</v>
      </c>
      <c r="I697" s="38">
        <f>VLOOKUP(H697,'Dataset-3'!H88:Z477,2,)</f>
        <v>2</v>
      </c>
      <c r="J697" s="41" t="str">
        <f>VLOOKUP(I697,'Dataset-3'!I88:AA477,2,)</f>
        <v>Monday</v>
      </c>
      <c r="K697" s="38">
        <f>VLOOKUP(J697,'Dataset-3'!J88:AB477,2,)</f>
        <v>3</v>
      </c>
      <c r="L697" s="38">
        <f>VLOOKUP(K697,'Dataset-3'!K88:AC477,2,)</f>
        <v>0.16</v>
      </c>
      <c r="M697" s="70" t="str">
        <f>VLOOKUP(L697,'Dataset-3'!L88:AD477,2,)</f>
        <v>Rainy</v>
      </c>
      <c r="N697" s="38">
        <f>VLOOKUP(M697,'Dataset-3'!M88:AE477,2,)</f>
        <v>0.2273</v>
      </c>
      <c r="O697" s="38">
        <f>VLOOKUP(N697,'Dataset-3'!N88:AF477,2,)</f>
        <v>0.93</v>
      </c>
      <c r="P697" s="38">
        <f>VLOOKUP(O697,'Dataset-3'!O88:AG477,2,)</f>
        <v>0</v>
      </c>
      <c r="Q697" s="38">
        <f>VLOOKUP(P697,'Dataset-3'!P88:AH477,2,)</f>
        <v>3</v>
      </c>
      <c r="R697" s="38">
        <f>VLOOKUP(Q697,'Dataset-3'!Q88:AI477,2,)</f>
        <v>132</v>
      </c>
      <c r="S697" s="38">
        <f>VLOOKUP(R697,'Dataset-3'!R88:AJ477,2,)</f>
        <v>135</v>
      </c>
    </row>
    <row r="698" spans="1:19" x14ac:dyDescent="0.35">
      <c r="A698" s="37">
        <v>697</v>
      </c>
      <c r="B698" s="60">
        <f>VLOOKUP(A698,'Dataset-3'!A89:S478,2,)</f>
        <v>40575</v>
      </c>
      <c r="C698" s="38">
        <f>VLOOKUP(B698,'Dataset-3'!B89:T478,2,)</f>
        <v>1</v>
      </c>
      <c r="D698" s="38">
        <f>VLOOKUP(C698,'Dataset-3'!C89:U478,2,)</f>
        <v>0</v>
      </c>
      <c r="E698" s="38">
        <f>VLOOKUP(D698,'Dataset-3'!D89:V478,2,)</f>
        <v>2</v>
      </c>
      <c r="F698" s="38">
        <f>VLOOKUP(E698,'Dataset-3'!E89:W478,2,)</f>
        <v>9</v>
      </c>
      <c r="G698" s="41" t="str">
        <f>VLOOKUP(F698,'Dataset-3'!F89:X478,2,)</f>
        <v>Morning</v>
      </c>
      <c r="H698" s="38" t="b">
        <f>VLOOKUP(G698,'Dataset-3'!G89:Y478,2,)</f>
        <v>0</v>
      </c>
      <c r="I698" s="38">
        <f>VLOOKUP(H698,'Dataset-3'!H89:Z478,2,)</f>
        <v>2</v>
      </c>
      <c r="J698" s="41" t="str">
        <f>VLOOKUP(I698,'Dataset-3'!I89:AA478,2,)</f>
        <v>Monday</v>
      </c>
      <c r="K698" s="38">
        <f>VLOOKUP(J698,'Dataset-3'!J89:AB478,2,)</f>
        <v>2</v>
      </c>
      <c r="L698" s="38">
        <f>VLOOKUP(K698,'Dataset-3'!K89:AC478,2,)</f>
        <v>0.16</v>
      </c>
      <c r="M698" s="70" t="str">
        <f>VLOOKUP(L698,'Dataset-3'!L89:AD478,2,)</f>
        <v>Rainy</v>
      </c>
      <c r="N698" s="38">
        <f>VLOOKUP(M698,'Dataset-3'!M89:AE478,2,)</f>
        <v>0.2273</v>
      </c>
      <c r="O698" s="38">
        <f>VLOOKUP(N698,'Dataset-3'!N89:AF478,2,)</f>
        <v>0.93</v>
      </c>
      <c r="P698" s="38">
        <f>VLOOKUP(O698,'Dataset-3'!O89:AG478,2,)</f>
        <v>0</v>
      </c>
      <c r="Q698" s="38">
        <f>VLOOKUP(P698,'Dataset-3'!P89:AH478,2,)</f>
        <v>2</v>
      </c>
      <c r="R698" s="38">
        <f>VLOOKUP(Q698,'Dataset-3'!Q89:AI478,2,)</f>
        <v>114</v>
      </c>
      <c r="S698" s="38">
        <f>VLOOKUP(R698,'Dataset-3'!R89:AJ478,2,)</f>
        <v>116</v>
      </c>
    </row>
    <row r="699" spans="1:19" x14ac:dyDescent="0.35">
      <c r="A699" s="37">
        <v>698</v>
      </c>
      <c r="B699" s="60">
        <f>VLOOKUP(A699,'Dataset-3'!A90:S479,2,)</f>
        <v>40575</v>
      </c>
      <c r="C699" s="38">
        <f>VLOOKUP(B699,'Dataset-3'!B90:T479,2,)</f>
        <v>1</v>
      </c>
      <c r="D699" s="38">
        <f>VLOOKUP(C699,'Dataset-3'!C90:U479,2,)</f>
        <v>0</v>
      </c>
      <c r="E699" s="38">
        <f>VLOOKUP(D699,'Dataset-3'!D90:V479,2,)</f>
        <v>2</v>
      </c>
      <c r="F699" s="38">
        <f>VLOOKUP(E699,'Dataset-3'!E90:W479,2,)</f>
        <v>10</v>
      </c>
      <c r="G699" s="41" t="str">
        <f>VLOOKUP(F699,'Dataset-3'!F90:X479,2,)</f>
        <v>Morning</v>
      </c>
      <c r="H699" s="38" t="b">
        <f>VLOOKUP(G699,'Dataset-3'!G90:Y479,2,)</f>
        <v>0</v>
      </c>
      <c r="I699" s="38">
        <f>VLOOKUP(H699,'Dataset-3'!H90:Z479,2,)</f>
        <v>2</v>
      </c>
      <c r="J699" s="41" t="str">
        <f>VLOOKUP(I699,'Dataset-3'!I90:AA479,2,)</f>
        <v>Monday</v>
      </c>
      <c r="K699" s="38">
        <f>VLOOKUP(J699,'Dataset-3'!J90:AB479,2,)</f>
        <v>2</v>
      </c>
      <c r="L699" s="38">
        <f>VLOOKUP(K699,'Dataset-3'!K90:AC479,2,)</f>
        <v>0.16</v>
      </c>
      <c r="M699" s="70" t="str">
        <f>VLOOKUP(L699,'Dataset-3'!L90:AD479,2,)</f>
        <v>Rainy</v>
      </c>
      <c r="N699" s="38">
        <f>VLOOKUP(M699,'Dataset-3'!M90:AE479,2,)</f>
        <v>0.2273</v>
      </c>
      <c r="O699" s="38">
        <f>VLOOKUP(N699,'Dataset-3'!N90:AF479,2,)</f>
        <v>0.93</v>
      </c>
      <c r="P699" s="38">
        <f>VLOOKUP(O699,'Dataset-3'!O90:AG479,2,)</f>
        <v>0</v>
      </c>
      <c r="Q699" s="38">
        <f>VLOOKUP(P699,'Dataset-3'!P90:AH479,2,)</f>
        <v>0</v>
      </c>
      <c r="R699" s="38">
        <f>VLOOKUP(Q699,'Dataset-3'!Q90:AI479,2,)</f>
        <v>47</v>
      </c>
      <c r="S699" s="38">
        <f>VLOOKUP(R699,'Dataset-3'!R90:AJ479,2,)</f>
        <v>47</v>
      </c>
    </row>
    <row r="700" spans="1:19" x14ac:dyDescent="0.35">
      <c r="A700" s="37">
        <v>699</v>
      </c>
      <c r="B700" s="60">
        <f>VLOOKUP(A700,'Dataset-3'!A91:S480,2,)</f>
        <v>40575</v>
      </c>
      <c r="C700" s="38">
        <f>VLOOKUP(B700,'Dataset-3'!B91:T480,2,)</f>
        <v>1</v>
      </c>
      <c r="D700" s="38">
        <f>VLOOKUP(C700,'Dataset-3'!C91:U480,2,)</f>
        <v>0</v>
      </c>
      <c r="E700" s="38">
        <f>VLOOKUP(D700,'Dataset-3'!D91:V480,2,)</f>
        <v>2</v>
      </c>
      <c r="F700" s="38">
        <f>VLOOKUP(E700,'Dataset-3'!E91:W480,2,)</f>
        <v>11</v>
      </c>
      <c r="G700" s="41" t="str">
        <f>VLOOKUP(F700,'Dataset-3'!F91:X480,2,)</f>
        <v>Morning</v>
      </c>
      <c r="H700" s="38" t="b">
        <f>VLOOKUP(G700,'Dataset-3'!G91:Y480,2,)</f>
        <v>0</v>
      </c>
      <c r="I700" s="38">
        <f>VLOOKUP(H700,'Dataset-3'!H91:Z480,2,)</f>
        <v>2</v>
      </c>
      <c r="J700" s="41" t="str">
        <f>VLOOKUP(I700,'Dataset-3'!I91:AA480,2,)</f>
        <v>Monday</v>
      </c>
      <c r="K700" s="38">
        <f>VLOOKUP(J700,'Dataset-3'!J91:AB480,2,)</f>
        <v>2</v>
      </c>
      <c r="L700" s="38">
        <f>VLOOKUP(K700,'Dataset-3'!K91:AC480,2,)</f>
        <v>0.18</v>
      </c>
      <c r="M700" s="70" t="str">
        <f>VLOOKUP(L700,'Dataset-3'!L91:AD480,2,)</f>
        <v>Rainy</v>
      </c>
      <c r="N700" s="38">
        <f>VLOOKUP(M700,'Dataset-3'!M91:AE480,2,)</f>
        <v>0.2424</v>
      </c>
      <c r="O700" s="38">
        <f>VLOOKUP(N700,'Dataset-3'!N91:AF480,2,)</f>
        <v>0.86</v>
      </c>
      <c r="P700" s="38">
        <f>VLOOKUP(O700,'Dataset-3'!O91:AG480,2,)</f>
        <v>0</v>
      </c>
      <c r="Q700" s="38">
        <f>VLOOKUP(P700,'Dataset-3'!P91:AH480,2,)</f>
        <v>2</v>
      </c>
      <c r="R700" s="38">
        <f>VLOOKUP(Q700,'Dataset-3'!Q91:AI480,2,)</f>
        <v>49</v>
      </c>
      <c r="S700" s="38">
        <f>VLOOKUP(R700,'Dataset-3'!R91:AJ480,2,)</f>
        <v>51</v>
      </c>
    </row>
    <row r="701" spans="1:19" x14ac:dyDescent="0.35">
      <c r="A701" s="37">
        <v>700</v>
      </c>
      <c r="B701" s="60">
        <f>VLOOKUP(A701,'Dataset-3'!A92:S481,2,)</f>
        <v>40575</v>
      </c>
      <c r="C701" s="38">
        <f>VLOOKUP(B701,'Dataset-3'!B92:T481,2,)</f>
        <v>1</v>
      </c>
      <c r="D701" s="38">
        <f>VLOOKUP(C701,'Dataset-3'!C92:U481,2,)</f>
        <v>0</v>
      </c>
      <c r="E701" s="38">
        <f>VLOOKUP(D701,'Dataset-3'!D92:V481,2,)</f>
        <v>2</v>
      </c>
      <c r="F701" s="38">
        <f>VLOOKUP(E701,'Dataset-3'!E92:W481,2,)</f>
        <v>12</v>
      </c>
      <c r="G701" s="41" t="str">
        <f>VLOOKUP(F701,'Dataset-3'!F92:X481,2,)</f>
        <v>AfterNoon</v>
      </c>
      <c r="H701" s="38" t="b">
        <f>VLOOKUP(G701,'Dataset-3'!G92:Y481,2,)</f>
        <v>0</v>
      </c>
      <c r="I701" s="38">
        <f>VLOOKUP(H701,'Dataset-3'!H92:Z481,2,)</f>
        <v>2</v>
      </c>
      <c r="J701" s="41" t="str">
        <f>VLOOKUP(I701,'Dataset-3'!I92:AA481,2,)</f>
        <v>Monday</v>
      </c>
      <c r="K701" s="38">
        <f>VLOOKUP(J701,'Dataset-3'!J92:AB481,2,)</f>
        <v>2</v>
      </c>
      <c r="L701" s="38">
        <f>VLOOKUP(K701,'Dataset-3'!K92:AC481,2,)</f>
        <v>0.2</v>
      </c>
      <c r="M701" s="70" t="str">
        <f>VLOOKUP(L701,'Dataset-3'!L92:AD481,2,)</f>
        <v>Rainy</v>
      </c>
      <c r="N701" s="38">
        <f>VLOOKUP(M701,'Dataset-3'!M92:AE481,2,)</f>
        <v>0.2576</v>
      </c>
      <c r="O701" s="38">
        <f>VLOOKUP(N701,'Dataset-3'!N92:AF481,2,)</f>
        <v>0.86</v>
      </c>
      <c r="P701" s="38">
        <f>VLOOKUP(O701,'Dataset-3'!O92:AG481,2,)</f>
        <v>0</v>
      </c>
      <c r="Q701" s="38">
        <f>VLOOKUP(P701,'Dataset-3'!P92:AH481,2,)</f>
        <v>2</v>
      </c>
      <c r="R701" s="38">
        <f>VLOOKUP(Q701,'Dataset-3'!Q92:AI481,2,)</f>
        <v>53</v>
      </c>
      <c r="S701" s="38">
        <f>VLOOKUP(R701,'Dataset-3'!R92:AJ481,2,)</f>
        <v>55</v>
      </c>
    </row>
    <row r="702" spans="1:19" x14ac:dyDescent="0.35">
      <c r="A702" s="37">
        <v>701</v>
      </c>
      <c r="B702" s="60">
        <f>VLOOKUP(A702,'Dataset-3'!A93:S482,2,)</f>
        <v>40575</v>
      </c>
      <c r="C702" s="38">
        <f>VLOOKUP(B702,'Dataset-3'!B93:T482,2,)</f>
        <v>1</v>
      </c>
      <c r="D702" s="38">
        <f>VLOOKUP(C702,'Dataset-3'!C93:U482,2,)</f>
        <v>0</v>
      </c>
      <c r="E702" s="38">
        <f>VLOOKUP(D702,'Dataset-3'!D93:V482,2,)</f>
        <v>2</v>
      </c>
      <c r="F702" s="38">
        <f>VLOOKUP(E702,'Dataset-3'!E93:W482,2,)</f>
        <v>13</v>
      </c>
      <c r="G702" s="41" t="str">
        <f>VLOOKUP(F702,'Dataset-3'!F93:X482,2,)</f>
        <v>AfterNoon</v>
      </c>
      <c r="H702" s="38" t="b">
        <f>VLOOKUP(G702,'Dataset-3'!G93:Y482,2,)</f>
        <v>0</v>
      </c>
      <c r="I702" s="38">
        <f>VLOOKUP(H702,'Dataset-3'!H93:Z482,2,)</f>
        <v>2</v>
      </c>
      <c r="J702" s="41" t="str">
        <f>VLOOKUP(I702,'Dataset-3'!I93:AA482,2,)</f>
        <v>Monday</v>
      </c>
      <c r="K702" s="38">
        <f>VLOOKUP(J702,'Dataset-3'!J93:AB482,2,)</f>
        <v>2</v>
      </c>
      <c r="L702" s="38">
        <f>VLOOKUP(K702,'Dataset-3'!K93:AC482,2,)</f>
        <v>0.2</v>
      </c>
      <c r="M702" s="70" t="str">
        <f>VLOOKUP(L702,'Dataset-3'!L93:AD482,2,)</f>
        <v>Rainy</v>
      </c>
      <c r="N702" s="38">
        <f>VLOOKUP(M702,'Dataset-3'!M93:AE482,2,)</f>
        <v>0.2576</v>
      </c>
      <c r="O702" s="38">
        <f>VLOOKUP(N702,'Dataset-3'!N93:AF482,2,)</f>
        <v>0.86</v>
      </c>
      <c r="P702" s="38">
        <f>VLOOKUP(O702,'Dataset-3'!O93:AG482,2,)</f>
        <v>0</v>
      </c>
      <c r="Q702" s="38">
        <f>VLOOKUP(P702,'Dataset-3'!P93:AH482,2,)</f>
        <v>3</v>
      </c>
      <c r="R702" s="38">
        <f>VLOOKUP(Q702,'Dataset-3'!Q93:AI482,2,)</f>
        <v>49</v>
      </c>
      <c r="S702" s="38">
        <f>VLOOKUP(R702,'Dataset-3'!R93:AJ482,2,)</f>
        <v>52</v>
      </c>
    </row>
    <row r="703" spans="1:19" x14ac:dyDescent="0.35">
      <c r="A703" s="37">
        <v>702</v>
      </c>
      <c r="B703" s="60">
        <f>VLOOKUP(A703,'Dataset-3'!A94:S483,2,)</f>
        <v>40575</v>
      </c>
      <c r="C703" s="38">
        <f>VLOOKUP(B703,'Dataset-3'!B94:T483,2,)</f>
        <v>1</v>
      </c>
      <c r="D703" s="38">
        <f>VLOOKUP(C703,'Dataset-3'!C94:U483,2,)</f>
        <v>0</v>
      </c>
      <c r="E703" s="38">
        <f>VLOOKUP(D703,'Dataset-3'!D94:V483,2,)</f>
        <v>2</v>
      </c>
      <c r="F703" s="38">
        <f>VLOOKUP(E703,'Dataset-3'!E94:W483,2,)</f>
        <v>14</v>
      </c>
      <c r="G703" s="41" t="str">
        <f>VLOOKUP(F703,'Dataset-3'!F94:X483,2,)</f>
        <v>AfterNoon</v>
      </c>
      <c r="H703" s="38" t="b">
        <f>VLOOKUP(G703,'Dataset-3'!G94:Y483,2,)</f>
        <v>0</v>
      </c>
      <c r="I703" s="38">
        <f>VLOOKUP(H703,'Dataset-3'!H94:Z483,2,)</f>
        <v>2</v>
      </c>
      <c r="J703" s="41" t="str">
        <f>VLOOKUP(I703,'Dataset-3'!I94:AA483,2,)</f>
        <v>Monday</v>
      </c>
      <c r="K703" s="38">
        <f>VLOOKUP(J703,'Dataset-3'!J94:AB483,2,)</f>
        <v>2</v>
      </c>
      <c r="L703" s="38">
        <f>VLOOKUP(K703,'Dataset-3'!K94:AC483,2,)</f>
        <v>0.22</v>
      </c>
      <c r="M703" s="70" t="str">
        <f>VLOOKUP(L703,'Dataset-3'!L94:AD483,2,)</f>
        <v>Cloudy</v>
      </c>
      <c r="N703" s="38">
        <f>VLOOKUP(M703,'Dataset-3'!M94:AE483,2,)</f>
        <v>0.2576</v>
      </c>
      <c r="O703" s="38">
        <f>VLOOKUP(N703,'Dataset-3'!N94:AF483,2,)</f>
        <v>0.8</v>
      </c>
      <c r="P703" s="38">
        <f>VLOOKUP(O703,'Dataset-3'!O94:AG483,2,)</f>
        <v>8.9599999999999999E-2</v>
      </c>
      <c r="Q703" s="38">
        <f>VLOOKUP(P703,'Dataset-3'!P94:AH483,2,)</f>
        <v>5</v>
      </c>
      <c r="R703" s="38">
        <f>VLOOKUP(Q703,'Dataset-3'!Q94:AI483,2,)</f>
        <v>49</v>
      </c>
      <c r="S703" s="38">
        <f>VLOOKUP(R703,'Dataset-3'!R94:AJ483,2,)</f>
        <v>54</v>
      </c>
    </row>
    <row r="704" spans="1:19" x14ac:dyDescent="0.35">
      <c r="A704" s="37">
        <v>703</v>
      </c>
      <c r="B704" s="60">
        <f>VLOOKUP(A704,'Dataset-3'!A95:S484,2,)</f>
        <v>40575</v>
      </c>
      <c r="C704" s="38">
        <f>VLOOKUP(B704,'Dataset-3'!B95:T484,2,)</f>
        <v>1</v>
      </c>
      <c r="D704" s="38">
        <f>VLOOKUP(C704,'Dataset-3'!C95:U484,2,)</f>
        <v>0</v>
      </c>
      <c r="E704" s="38">
        <f>VLOOKUP(D704,'Dataset-3'!D95:V484,2,)</f>
        <v>2</v>
      </c>
      <c r="F704" s="38">
        <f>VLOOKUP(E704,'Dataset-3'!E95:W484,2,)</f>
        <v>15</v>
      </c>
      <c r="G704" s="41" t="str">
        <f>VLOOKUP(F704,'Dataset-3'!F95:X484,2,)</f>
        <v>AfterNoon</v>
      </c>
      <c r="H704" s="38" t="b">
        <f>VLOOKUP(G704,'Dataset-3'!G95:Y484,2,)</f>
        <v>0</v>
      </c>
      <c r="I704" s="38">
        <f>VLOOKUP(H704,'Dataset-3'!H95:Z484,2,)</f>
        <v>2</v>
      </c>
      <c r="J704" s="41" t="str">
        <f>VLOOKUP(I704,'Dataset-3'!I95:AA484,2,)</f>
        <v>Monday</v>
      </c>
      <c r="K704" s="38">
        <f>VLOOKUP(J704,'Dataset-3'!J95:AB484,2,)</f>
        <v>2</v>
      </c>
      <c r="L704" s="38">
        <f>VLOOKUP(K704,'Dataset-3'!K95:AC484,2,)</f>
        <v>0.24</v>
      </c>
      <c r="M704" s="70" t="str">
        <f>VLOOKUP(L704,'Dataset-3'!L95:AD484,2,)</f>
        <v>Cloudy</v>
      </c>
      <c r="N704" s="38">
        <f>VLOOKUP(M704,'Dataset-3'!M95:AE484,2,)</f>
        <v>0.28789999999999999</v>
      </c>
      <c r="O704" s="38">
        <f>VLOOKUP(N704,'Dataset-3'!N95:AF484,2,)</f>
        <v>0.75</v>
      </c>
      <c r="P704" s="38">
        <f>VLOOKUP(O704,'Dataset-3'!O95:AG484,2,)</f>
        <v>0</v>
      </c>
      <c r="Q704" s="38">
        <f>VLOOKUP(P704,'Dataset-3'!P95:AH484,2,)</f>
        <v>7</v>
      </c>
      <c r="R704" s="38">
        <f>VLOOKUP(Q704,'Dataset-3'!Q95:AI484,2,)</f>
        <v>45</v>
      </c>
      <c r="S704" s="38">
        <f>VLOOKUP(R704,'Dataset-3'!R95:AJ484,2,)</f>
        <v>52</v>
      </c>
    </row>
    <row r="705" spans="1:19" x14ac:dyDescent="0.35">
      <c r="A705" s="37">
        <v>704</v>
      </c>
      <c r="B705" s="60">
        <f>VLOOKUP(A705,'Dataset-3'!A96:S485,2,)</f>
        <v>40575</v>
      </c>
      <c r="C705" s="38">
        <f>VLOOKUP(B705,'Dataset-3'!B96:T485,2,)</f>
        <v>1</v>
      </c>
      <c r="D705" s="38">
        <f>VLOOKUP(C705,'Dataset-3'!C96:U485,2,)</f>
        <v>0</v>
      </c>
      <c r="E705" s="38">
        <f>VLOOKUP(D705,'Dataset-3'!D96:V485,2,)</f>
        <v>2</v>
      </c>
      <c r="F705" s="38">
        <f>VLOOKUP(E705,'Dataset-3'!E96:W485,2,)</f>
        <v>16</v>
      </c>
      <c r="G705" s="41" t="str">
        <f>VLOOKUP(F705,'Dataset-3'!F96:X485,2,)</f>
        <v>AfterNoon</v>
      </c>
      <c r="H705" s="38" t="b">
        <f>VLOOKUP(G705,'Dataset-3'!G96:Y485,2,)</f>
        <v>0</v>
      </c>
      <c r="I705" s="38">
        <f>VLOOKUP(H705,'Dataset-3'!H96:Z485,2,)</f>
        <v>2</v>
      </c>
      <c r="J705" s="41" t="str">
        <f>VLOOKUP(I705,'Dataset-3'!I96:AA485,2,)</f>
        <v>Monday</v>
      </c>
      <c r="K705" s="38">
        <f>VLOOKUP(J705,'Dataset-3'!J96:AB485,2,)</f>
        <v>2</v>
      </c>
      <c r="L705" s="38">
        <f>VLOOKUP(K705,'Dataset-3'!K96:AC485,2,)</f>
        <v>0.24</v>
      </c>
      <c r="M705" s="70" t="str">
        <f>VLOOKUP(L705,'Dataset-3'!L96:AD485,2,)</f>
        <v>Cloudy</v>
      </c>
      <c r="N705" s="38">
        <f>VLOOKUP(M705,'Dataset-3'!M96:AE485,2,)</f>
        <v>0.2424</v>
      </c>
      <c r="O705" s="38">
        <f>VLOOKUP(N705,'Dataset-3'!N96:AF485,2,)</f>
        <v>0.75</v>
      </c>
      <c r="P705" s="38">
        <f>VLOOKUP(O705,'Dataset-3'!O96:AG485,2,)</f>
        <v>0.1343</v>
      </c>
      <c r="Q705" s="38">
        <f>VLOOKUP(P705,'Dataset-3'!P96:AH485,2,)</f>
        <v>3</v>
      </c>
      <c r="R705" s="38">
        <f>VLOOKUP(Q705,'Dataset-3'!Q96:AI485,2,)</f>
        <v>61</v>
      </c>
      <c r="S705" s="38">
        <f>VLOOKUP(R705,'Dataset-3'!R96:AJ485,2,)</f>
        <v>64</v>
      </c>
    </row>
    <row r="706" spans="1:19" x14ac:dyDescent="0.35">
      <c r="A706" s="37">
        <v>705</v>
      </c>
      <c r="B706" s="60">
        <f>VLOOKUP(A706,'Dataset-3'!A97:S486,2,)</f>
        <v>40575</v>
      </c>
      <c r="C706" s="38">
        <f>VLOOKUP(B706,'Dataset-3'!B97:T486,2,)</f>
        <v>1</v>
      </c>
      <c r="D706" s="38">
        <f>VLOOKUP(C706,'Dataset-3'!C97:U486,2,)</f>
        <v>0</v>
      </c>
      <c r="E706" s="38">
        <f>VLOOKUP(D706,'Dataset-3'!D97:V486,2,)</f>
        <v>2</v>
      </c>
      <c r="F706" s="38">
        <f>VLOOKUP(E706,'Dataset-3'!E97:W486,2,)</f>
        <v>17</v>
      </c>
      <c r="G706" s="41" t="str">
        <f>VLOOKUP(F706,'Dataset-3'!F97:X486,2,)</f>
        <v>Evening</v>
      </c>
      <c r="H706" s="38" t="b">
        <f>VLOOKUP(G706,'Dataset-3'!G97:Y486,2,)</f>
        <v>0</v>
      </c>
      <c r="I706" s="38">
        <f>VLOOKUP(H706,'Dataset-3'!H97:Z486,2,)</f>
        <v>2</v>
      </c>
      <c r="J706" s="41" t="str">
        <f>VLOOKUP(I706,'Dataset-3'!I97:AA486,2,)</f>
        <v>Monday</v>
      </c>
      <c r="K706" s="38">
        <f>VLOOKUP(J706,'Dataset-3'!J97:AB486,2,)</f>
        <v>2</v>
      </c>
      <c r="L706" s="38">
        <f>VLOOKUP(K706,'Dataset-3'!K97:AC486,2,)</f>
        <v>0.24</v>
      </c>
      <c r="M706" s="70" t="str">
        <f>VLOOKUP(L706,'Dataset-3'!L97:AD486,2,)</f>
        <v>Cloudy</v>
      </c>
      <c r="N706" s="38">
        <f>VLOOKUP(M706,'Dataset-3'!M97:AE486,2,)</f>
        <v>0.28789999999999999</v>
      </c>
      <c r="O706" s="38">
        <f>VLOOKUP(N706,'Dataset-3'!N97:AF486,2,)</f>
        <v>0.75</v>
      </c>
      <c r="P706" s="38">
        <f>VLOOKUP(O706,'Dataset-3'!O97:AG486,2,)</f>
        <v>0</v>
      </c>
      <c r="Q706" s="38">
        <f>VLOOKUP(P706,'Dataset-3'!P97:AH486,2,)</f>
        <v>4</v>
      </c>
      <c r="R706" s="38">
        <f>VLOOKUP(Q706,'Dataset-3'!Q97:AI486,2,)</f>
        <v>172</v>
      </c>
      <c r="S706" s="38">
        <f>VLOOKUP(R706,'Dataset-3'!R97:AJ486,2,)</f>
        <v>176</v>
      </c>
    </row>
    <row r="707" spans="1:19" x14ac:dyDescent="0.35">
      <c r="A707" s="37">
        <v>706</v>
      </c>
      <c r="B707" s="60">
        <f>VLOOKUP(A707,'Dataset-3'!A98:S487,2,)</f>
        <v>40575</v>
      </c>
      <c r="C707" s="38">
        <f>VLOOKUP(B707,'Dataset-3'!B98:T487,2,)</f>
        <v>1</v>
      </c>
      <c r="D707" s="38">
        <f>VLOOKUP(C707,'Dataset-3'!C98:U487,2,)</f>
        <v>0</v>
      </c>
      <c r="E707" s="38">
        <f>VLOOKUP(D707,'Dataset-3'!D98:V487,2,)</f>
        <v>2</v>
      </c>
      <c r="F707" s="38">
        <f>VLOOKUP(E707,'Dataset-3'!E98:W487,2,)</f>
        <v>18</v>
      </c>
      <c r="G707" s="41" t="str">
        <f>VLOOKUP(F707,'Dataset-3'!F98:X487,2,)</f>
        <v>Evening</v>
      </c>
      <c r="H707" s="38" t="b">
        <f>VLOOKUP(G707,'Dataset-3'!G98:Y487,2,)</f>
        <v>0</v>
      </c>
      <c r="I707" s="38">
        <f>VLOOKUP(H707,'Dataset-3'!H98:Z487,2,)</f>
        <v>2</v>
      </c>
      <c r="J707" s="41" t="str">
        <f>VLOOKUP(I707,'Dataset-3'!I98:AA487,2,)</f>
        <v>Monday</v>
      </c>
      <c r="K707" s="38">
        <f>VLOOKUP(J707,'Dataset-3'!J98:AB487,2,)</f>
        <v>2</v>
      </c>
      <c r="L707" s="38">
        <f>VLOOKUP(K707,'Dataset-3'!K98:AC487,2,)</f>
        <v>0.24</v>
      </c>
      <c r="M707" s="70" t="str">
        <f>VLOOKUP(L707,'Dataset-3'!L98:AD487,2,)</f>
        <v>Cloudy</v>
      </c>
      <c r="N707" s="38">
        <f>VLOOKUP(M707,'Dataset-3'!M98:AE487,2,)</f>
        <v>0.2576</v>
      </c>
      <c r="O707" s="38">
        <f>VLOOKUP(N707,'Dataset-3'!N98:AF487,2,)</f>
        <v>0.81</v>
      </c>
      <c r="P707" s="38">
        <f>VLOOKUP(O707,'Dataset-3'!O98:AG487,2,)</f>
        <v>0.1045</v>
      </c>
      <c r="Q707" s="38">
        <f>VLOOKUP(P707,'Dataset-3'!P98:AH487,2,)</f>
        <v>3</v>
      </c>
      <c r="R707" s="38">
        <f>VLOOKUP(Q707,'Dataset-3'!Q98:AI487,2,)</f>
        <v>165</v>
      </c>
      <c r="S707" s="38">
        <f>VLOOKUP(R707,'Dataset-3'!R98:AJ487,2,)</f>
        <v>168</v>
      </c>
    </row>
    <row r="708" spans="1:19" x14ac:dyDescent="0.35">
      <c r="A708" s="37">
        <v>707</v>
      </c>
      <c r="B708" s="60">
        <f>VLOOKUP(A708,'Dataset-3'!A99:S488,2,)</f>
        <v>40575</v>
      </c>
      <c r="C708" s="38">
        <f>VLOOKUP(B708,'Dataset-3'!B99:T488,2,)</f>
        <v>1</v>
      </c>
      <c r="D708" s="38">
        <f>VLOOKUP(C708,'Dataset-3'!C99:U488,2,)</f>
        <v>0</v>
      </c>
      <c r="E708" s="38">
        <f>VLOOKUP(D708,'Dataset-3'!D99:V488,2,)</f>
        <v>2</v>
      </c>
      <c r="F708" s="38">
        <f>VLOOKUP(E708,'Dataset-3'!E99:W488,2,)</f>
        <v>19</v>
      </c>
      <c r="G708" s="41" t="str">
        <f>VLOOKUP(F708,'Dataset-3'!F99:X488,2,)</f>
        <v>Evening</v>
      </c>
      <c r="H708" s="38" t="b">
        <f>VLOOKUP(G708,'Dataset-3'!G99:Y488,2,)</f>
        <v>0</v>
      </c>
      <c r="I708" s="38">
        <f>VLOOKUP(H708,'Dataset-3'!H99:Z488,2,)</f>
        <v>2</v>
      </c>
      <c r="J708" s="41" t="str">
        <f>VLOOKUP(I708,'Dataset-3'!I99:AA488,2,)</f>
        <v>Monday</v>
      </c>
      <c r="K708" s="38">
        <f>VLOOKUP(J708,'Dataset-3'!J99:AB488,2,)</f>
        <v>2</v>
      </c>
      <c r="L708" s="38">
        <f>VLOOKUP(K708,'Dataset-3'!K99:AC488,2,)</f>
        <v>0.24</v>
      </c>
      <c r="M708" s="70" t="str">
        <f>VLOOKUP(L708,'Dataset-3'!L99:AD488,2,)</f>
        <v>Cloudy</v>
      </c>
      <c r="N708" s="38">
        <f>VLOOKUP(M708,'Dataset-3'!M99:AE488,2,)</f>
        <v>0.2424</v>
      </c>
      <c r="O708" s="38">
        <f>VLOOKUP(N708,'Dataset-3'!N99:AF488,2,)</f>
        <v>0.81</v>
      </c>
      <c r="P708" s="38">
        <f>VLOOKUP(O708,'Dataset-3'!O99:AG488,2,)</f>
        <v>0.1343</v>
      </c>
      <c r="Q708" s="38">
        <f>VLOOKUP(P708,'Dataset-3'!P99:AH488,2,)</f>
        <v>3</v>
      </c>
      <c r="R708" s="38">
        <f>VLOOKUP(Q708,'Dataset-3'!Q99:AI488,2,)</f>
        <v>105</v>
      </c>
      <c r="S708" s="38">
        <f>VLOOKUP(R708,'Dataset-3'!R99:AJ488,2,)</f>
        <v>108</v>
      </c>
    </row>
    <row r="709" spans="1:19" x14ac:dyDescent="0.35">
      <c r="A709" s="37">
        <v>708</v>
      </c>
      <c r="B709" s="60">
        <f>VLOOKUP(A709,'Dataset-3'!A100:S489,2,)</f>
        <v>40575</v>
      </c>
      <c r="C709" s="38">
        <f>VLOOKUP(B709,'Dataset-3'!B100:T489,2,)</f>
        <v>1</v>
      </c>
      <c r="D709" s="38">
        <f>VLOOKUP(C709,'Dataset-3'!C100:U489,2,)</f>
        <v>0</v>
      </c>
      <c r="E709" s="38">
        <f>VLOOKUP(D709,'Dataset-3'!D100:V489,2,)</f>
        <v>2</v>
      </c>
      <c r="F709" s="38">
        <f>VLOOKUP(E709,'Dataset-3'!E100:W489,2,)</f>
        <v>20</v>
      </c>
      <c r="G709" s="41" t="str">
        <f>VLOOKUP(F709,'Dataset-3'!F100:X489,2,)</f>
        <v>Night</v>
      </c>
      <c r="H709" s="38" t="b">
        <f>VLOOKUP(G709,'Dataset-3'!G100:Y489,2,)</f>
        <v>0</v>
      </c>
      <c r="I709" s="38">
        <f>VLOOKUP(H709,'Dataset-3'!H100:Z489,2,)</f>
        <v>2</v>
      </c>
      <c r="J709" s="41" t="str">
        <f>VLOOKUP(I709,'Dataset-3'!I100:AA489,2,)</f>
        <v>Monday</v>
      </c>
      <c r="K709" s="38">
        <f>VLOOKUP(J709,'Dataset-3'!J100:AB489,2,)</f>
        <v>2</v>
      </c>
      <c r="L709" s="38">
        <f>VLOOKUP(K709,'Dataset-3'!K100:AC489,2,)</f>
        <v>0.22</v>
      </c>
      <c r="M709" s="70" t="str">
        <f>VLOOKUP(L709,'Dataset-3'!L100:AD489,2,)</f>
        <v>Cloudy</v>
      </c>
      <c r="N709" s="38">
        <f>VLOOKUP(M709,'Dataset-3'!M100:AE489,2,)</f>
        <v>0.2273</v>
      </c>
      <c r="O709" s="38">
        <f>VLOOKUP(N709,'Dataset-3'!N100:AF489,2,)</f>
        <v>0.87</v>
      </c>
      <c r="P709" s="38">
        <f>VLOOKUP(O709,'Dataset-3'!O100:AG489,2,)</f>
        <v>0.1343</v>
      </c>
      <c r="Q709" s="38">
        <f>VLOOKUP(P709,'Dataset-3'!P100:AH489,2,)</f>
        <v>5</v>
      </c>
      <c r="R709" s="38">
        <f>VLOOKUP(Q709,'Dataset-3'!Q100:AI489,2,)</f>
        <v>69</v>
      </c>
      <c r="S709" s="38">
        <f>VLOOKUP(R709,'Dataset-3'!R100:AJ489,2,)</f>
        <v>74</v>
      </c>
    </row>
    <row r="710" spans="1:19" x14ac:dyDescent="0.35">
      <c r="A710" s="37">
        <v>709</v>
      </c>
      <c r="B710" s="60">
        <f>VLOOKUP(A710,'Dataset-3'!A101:S490,2,)</f>
        <v>40575</v>
      </c>
      <c r="C710" s="38">
        <f>VLOOKUP(B710,'Dataset-3'!B101:T490,2,)</f>
        <v>1</v>
      </c>
      <c r="D710" s="38">
        <f>VLOOKUP(C710,'Dataset-3'!C101:U490,2,)</f>
        <v>0</v>
      </c>
      <c r="E710" s="38">
        <f>VLOOKUP(D710,'Dataset-3'!D101:V490,2,)</f>
        <v>2</v>
      </c>
      <c r="F710" s="38">
        <f>VLOOKUP(E710,'Dataset-3'!E101:W490,2,)</f>
        <v>21</v>
      </c>
      <c r="G710" s="41" t="str">
        <f>VLOOKUP(F710,'Dataset-3'!F101:X490,2,)</f>
        <v>Night</v>
      </c>
      <c r="H710" s="38" t="b">
        <f>VLOOKUP(G710,'Dataset-3'!G101:Y490,2,)</f>
        <v>0</v>
      </c>
      <c r="I710" s="38">
        <f>VLOOKUP(H710,'Dataset-3'!H101:Z490,2,)</f>
        <v>2</v>
      </c>
      <c r="J710" s="41" t="str">
        <f>VLOOKUP(I710,'Dataset-3'!I101:AA490,2,)</f>
        <v>Monday</v>
      </c>
      <c r="K710" s="38">
        <f>VLOOKUP(J710,'Dataset-3'!J101:AB490,2,)</f>
        <v>2</v>
      </c>
      <c r="L710" s="38">
        <f>VLOOKUP(K710,'Dataset-3'!K101:AC490,2,)</f>
        <v>0.22</v>
      </c>
      <c r="M710" s="70" t="str">
        <f>VLOOKUP(L710,'Dataset-3'!L101:AD490,2,)</f>
        <v>Cloudy</v>
      </c>
      <c r="N710" s="38">
        <f>VLOOKUP(M710,'Dataset-3'!M101:AE490,2,)</f>
        <v>0.2273</v>
      </c>
      <c r="O710" s="38">
        <f>VLOOKUP(N710,'Dataset-3'!N101:AF490,2,)</f>
        <v>0.87</v>
      </c>
      <c r="P710" s="38">
        <f>VLOOKUP(O710,'Dataset-3'!O101:AG490,2,)</f>
        <v>0.1343</v>
      </c>
      <c r="Q710" s="38">
        <f>VLOOKUP(P710,'Dataset-3'!P101:AH490,2,)</f>
        <v>0</v>
      </c>
      <c r="R710" s="38">
        <f>VLOOKUP(Q710,'Dataset-3'!Q101:AI490,2,)</f>
        <v>64</v>
      </c>
      <c r="S710" s="38">
        <f>VLOOKUP(R710,'Dataset-3'!R101:AJ490,2,)</f>
        <v>64</v>
      </c>
    </row>
    <row r="711" spans="1:19" x14ac:dyDescent="0.35">
      <c r="A711" s="37">
        <v>710</v>
      </c>
      <c r="B711" s="60">
        <f>VLOOKUP(A711,'Dataset-3'!A102:S491,2,)</f>
        <v>40575</v>
      </c>
      <c r="C711" s="38">
        <f>VLOOKUP(B711,'Dataset-3'!B102:T491,2,)</f>
        <v>1</v>
      </c>
      <c r="D711" s="38">
        <f>VLOOKUP(C711,'Dataset-3'!C102:U491,2,)</f>
        <v>0</v>
      </c>
      <c r="E711" s="38">
        <f>VLOOKUP(D711,'Dataset-3'!D102:V491,2,)</f>
        <v>2</v>
      </c>
      <c r="F711" s="38">
        <f>VLOOKUP(E711,'Dataset-3'!E102:W491,2,)</f>
        <v>22</v>
      </c>
      <c r="G711" s="41" t="str">
        <f>VLOOKUP(F711,'Dataset-3'!F102:X491,2,)</f>
        <v>Night</v>
      </c>
      <c r="H711" s="38" t="b">
        <f>VLOOKUP(G711,'Dataset-3'!G102:Y491,2,)</f>
        <v>0</v>
      </c>
      <c r="I711" s="38">
        <f>VLOOKUP(H711,'Dataset-3'!H102:Z491,2,)</f>
        <v>2</v>
      </c>
      <c r="J711" s="41" t="str">
        <f>VLOOKUP(I711,'Dataset-3'!I102:AA491,2,)</f>
        <v>Monday</v>
      </c>
      <c r="K711" s="38">
        <f>VLOOKUP(J711,'Dataset-3'!J102:AB491,2,)</f>
        <v>2</v>
      </c>
      <c r="L711" s="38">
        <f>VLOOKUP(K711,'Dataset-3'!K102:AC491,2,)</f>
        <v>0.22</v>
      </c>
      <c r="M711" s="70" t="str">
        <f>VLOOKUP(L711,'Dataset-3'!L102:AD491,2,)</f>
        <v>Cloudy</v>
      </c>
      <c r="N711" s="38">
        <f>VLOOKUP(M711,'Dataset-3'!M102:AE491,2,)</f>
        <v>0.2576</v>
      </c>
      <c r="O711" s="38">
        <f>VLOOKUP(N711,'Dataset-3'!N102:AF491,2,)</f>
        <v>0.87</v>
      </c>
      <c r="P711" s="38">
        <f>VLOOKUP(O711,'Dataset-3'!O102:AG491,2,)</f>
        <v>8.9599999999999999E-2</v>
      </c>
      <c r="Q711" s="38">
        <f>VLOOKUP(P711,'Dataset-3'!P102:AH491,2,)</f>
        <v>2</v>
      </c>
      <c r="R711" s="38">
        <f>VLOOKUP(Q711,'Dataset-3'!Q102:AI491,2,)</f>
        <v>34</v>
      </c>
      <c r="S711" s="38">
        <f>VLOOKUP(R711,'Dataset-3'!R102:AJ491,2,)</f>
        <v>36</v>
      </c>
    </row>
    <row r="712" spans="1:19" x14ac:dyDescent="0.35">
      <c r="A712" s="37">
        <v>711</v>
      </c>
      <c r="B712" s="60">
        <f>VLOOKUP(A712,'Dataset-3'!A103:S492,2,)</f>
        <v>40575</v>
      </c>
      <c r="C712" s="38">
        <f>VLOOKUP(B712,'Dataset-3'!B103:T492,2,)</f>
        <v>1</v>
      </c>
      <c r="D712" s="38">
        <f>VLOOKUP(C712,'Dataset-3'!C103:U492,2,)</f>
        <v>0</v>
      </c>
      <c r="E712" s="38">
        <f>VLOOKUP(D712,'Dataset-3'!D103:V492,2,)</f>
        <v>2</v>
      </c>
      <c r="F712" s="38">
        <f>VLOOKUP(E712,'Dataset-3'!E103:W492,2,)</f>
        <v>23</v>
      </c>
      <c r="G712" s="41" t="str">
        <f>VLOOKUP(F712,'Dataset-3'!F103:X492,2,)</f>
        <v>Night</v>
      </c>
      <c r="H712" s="38" t="b">
        <f>VLOOKUP(G712,'Dataset-3'!G103:Y492,2,)</f>
        <v>0</v>
      </c>
      <c r="I712" s="38">
        <f>VLOOKUP(H712,'Dataset-3'!H103:Z492,2,)</f>
        <v>2</v>
      </c>
      <c r="J712" s="41" t="str">
        <f>VLOOKUP(I712,'Dataset-3'!I103:AA492,2,)</f>
        <v>Monday</v>
      </c>
      <c r="K712" s="38">
        <f>VLOOKUP(J712,'Dataset-3'!J103:AB492,2,)</f>
        <v>3</v>
      </c>
      <c r="L712" s="38">
        <f>VLOOKUP(K712,'Dataset-3'!K103:AC492,2,)</f>
        <v>0.2</v>
      </c>
      <c r="M712" s="70" t="str">
        <f>VLOOKUP(L712,'Dataset-3'!L103:AD492,2,)</f>
        <v>Rainy</v>
      </c>
      <c r="N712" s="38">
        <f>VLOOKUP(M712,'Dataset-3'!M103:AE492,2,)</f>
        <v>0.19700000000000001</v>
      </c>
      <c r="O712" s="38">
        <f>VLOOKUP(N712,'Dataset-3'!N103:AF492,2,)</f>
        <v>0.93</v>
      </c>
      <c r="P712" s="38">
        <f>VLOOKUP(O712,'Dataset-3'!O103:AG492,2,)</f>
        <v>0.19400000000000001</v>
      </c>
      <c r="Q712" s="38">
        <f>VLOOKUP(P712,'Dataset-3'!P103:AH492,2,)</f>
        <v>1</v>
      </c>
      <c r="R712" s="38">
        <f>VLOOKUP(Q712,'Dataset-3'!Q103:AI492,2,)</f>
        <v>15</v>
      </c>
      <c r="S712" s="38">
        <f>VLOOKUP(R712,'Dataset-3'!R103:AJ492,2,)</f>
        <v>16</v>
      </c>
    </row>
    <row r="713" spans="1:19" x14ac:dyDescent="0.35">
      <c r="A713" s="37">
        <v>712</v>
      </c>
      <c r="B713" s="60">
        <f>VLOOKUP(A713,'Dataset-3'!A104:S493,2,)</f>
        <v>40576</v>
      </c>
      <c r="C713" s="38">
        <f>VLOOKUP(B713,'Dataset-3'!B104:T493,2,)</f>
        <v>1</v>
      </c>
      <c r="D713" s="38">
        <f>VLOOKUP(C713,'Dataset-3'!C104:U493,2,)</f>
        <v>0</v>
      </c>
      <c r="E713" s="38">
        <f>VLOOKUP(D713,'Dataset-3'!D104:V493,2,)</f>
        <v>2</v>
      </c>
      <c r="F713" s="38">
        <f>VLOOKUP(E713,'Dataset-3'!E104:W493,2,)</f>
        <v>0</v>
      </c>
      <c r="G713" s="41" t="str">
        <f>VLOOKUP(F713,'Dataset-3'!F104:X493,2,)</f>
        <v>Night</v>
      </c>
      <c r="H713" s="38" t="b">
        <f>VLOOKUP(G713,'Dataset-3'!G104:Y493,2,)</f>
        <v>0</v>
      </c>
      <c r="I713" s="38">
        <f>VLOOKUP(H713,'Dataset-3'!H104:Z493,2,)</f>
        <v>3</v>
      </c>
      <c r="J713" s="41" t="str">
        <f>VLOOKUP(I713,'Dataset-3'!I104:AA493,2,)</f>
        <v>Tuesday</v>
      </c>
      <c r="K713" s="38">
        <f>VLOOKUP(J713,'Dataset-3'!J104:AB493,2,)</f>
        <v>3</v>
      </c>
      <c r="L713" s="38">
        <f>VLOOKUP(K713,'Dataset-3'!K104:AC493,2,)</f>
        <v>0.22</v>
      </c>
      <c r="M713" s="70" t="str">
        <f>VLOOKUP(L713,'Dataset-3'!L104:AD493,2,)</f>
        <v>Cloudy</v>
      </c>
      <c r="N713" s="38">
        <f>VLOOKUP(M713,'Dataset-3'!M104:AE493,2,)</f>
        <v>0.2424</v>
      </c>
      <c r="O713" s="38">
        <f>VLOOKUP(N713,'Dataset-3'!N104:AF493,2,)</f>
        <v>0.93</v>
      </c>
      <c r="P713" s="38">
        <f>VLOOKUP(O713,'Dataset-3'!O104:AG493,2,)</f>
        <v>0.1045</v>
      </c>
      <c r="Q713" s="38">
        <f>VLOOKUP(P713,'Dataset-3'!P104:AH493,2,)</f>
        <v>0</v>
      </c>
      <c r="R713" s="38">
        <f>VLOOKUP(Q713,'Dataset-3'!Q104:AI493,2,)</f>
        <v>2</v>
      </c>
      <c r="S713" s="38">
        <f>VLOOKUP(R713,'Dataset-3'!R104:AJ493,2,)</f>
        <v>2</v>
      </c>
    </row>
    <row r="714" spans="1:19" x14ac:dyDescent="0.35">
      <c r="A714" s="37">
        <v>713</v>
      </c>
      <c r="B714" s="60">
        <f>VLOOKUP(A714,'Dataset-3'!A105:S494,2,)</f>
        <v>40576</v>
      </c>
      <c r="C714" s="38">
        <f>VLOOKUP(B714,'Dataset-3'!B105:T494,2,)</f>
        <v>1</v>
      </c>
      <c r="D714" s="38">
        <f>VLOOKUP(C714,'Dataset-3'!C105:U494,2,)</f>
        <v>0</v>
      </c>
      <c r="E714" s="38">
        <f>VLOOKUP(D714,'Dataset-3'!D105:V494,2,)</f>
        <v>2</v>
      </c>
      <c r="F714" s="38">
        <f>VLOOKUP(E714,'Dataset-3'!E105:W494,2,)</f>
        <v>1</v>
      </c>
      <c r="G714" s="41" t="str">
        <f>VLOOKUP(F714,'Dataset-3'!F105:X494,2,)</f>
        <v>Night</v>
      </c>
      <c r="H714" s="38" t="b">
        <f>VLOOKUP(G714,'Dataset-3'!G105:Y494,2,)</f>
        <v>0</v>
      </c>
      <c r="I714" s="38">
        <f>VLOOKUP(H714,'Dataset-3'!H105:Z494,2,)</f>
        <v>3</v>
      </c>
      <c r="J714" s="41" t="str">
        <f>VLOOKUP(I714,'Dataset-3'!I105:AA494,2,)</f>
        <v>Tuesday</v>
      </c>
      <c r="K714" s="38">
        <f>VLOOKUP(J714,'Dataset-3'!J105:AB494,2,)</f>
        <v>3</v>
      </c>
      <c r="L714" s="38">
        <f>VLOOKUP(K714,'Dataset-3'!K105:AC494,2,)</f>
        <v>0.22</v>
      </c>
      <c r="M714" s="70" t="str">
        <f>VLOOKUP(L714,'Dataset-3'!L105:AD494,2,)</f>
        <v>Cloudy</v>
      </c>
      <c r="N714" s="38">
        <f>VLOOKUP(M714,'Dataset-3'!M105:AE494,2,)</f>
        <v>0.2273</v>
      </c>
      <c r="O714" s="38">
        <f>VLOOKUP(N714,'Dataset-3'!N105:AF494,2,)</f>
        <v>0.93</v>
      </c>
      <c r="P714" s="38">
        <f>VLOOKUP(O714,'Dataset-3'!O105:AG494,2,)</f>
        <v>0.19400000000000001</v>
      </c>
      <c r="Q714" s="38">
        <f>VLOOKUP(P714,'Dataset-3'!P105:AH494,2,)</f>
        <v>0</v>
      </c>
      <c r="R714" s="38">
        <f>VLOOKUP(Q714,'Dataset-3'!Q105:AI494,2,)</f>
        <v>3</v>
      </c>
      <c r="S714" s="38">
        <f>VLOOKUP(R714,'Dataset-3'!R105:AJ494,2,)</f>
        <v>3</v>
      </c>
    </row>
    <row r="715" spans="1:19" x14ac:dyDescent="0.35">
      <c r="A715" s="37">
        <v>714</v>
      </c>
      <c r="B715" s="60">
        <f>VLOOKUP(A715,'Dataset-3'!A106:S495,2,)</f>
        <v>40576</v>
      </c>
      <c r="C715" s="38">
        <f>VLOOKUP(B715,'Dataset-3'!B106:T495,2,)</f>
        <v>1</v>
      </c>
      <c r="D715" s="38">
        <f>VLOOKUP(C715,'Dataset-3'!C106:U495,2,)</f>
        <v>0</v>
      </c>
      <c r="E715" s="38">
        <f>VLOOKUP(D715,'Dataset-3'!D106:V495,2,)</f>
        <v>2</v>
      </c>
      <c r="F715" s="38">
        <f>VLOOKUP(E715,'Dataset-3'!E106:W495,2,)</f>
        <v>2</v>
      </c>
      <c r="G715" s="41" t="str">
        <f>VLOOKUP(F715,'Dataset-3'!F106:X495,2,)</f>
        <v>Night</v>
      </c>
      <c r="H715" s="38" t="b">
        <f>VLOOKUP(G715,'Dataset-3'!G106:Y495,2,)</f>
        <v>0</v>
      </c>
      <c r="I715" s="38">
        <f>VLOOKUP(H715,'Dataset-3'!H106:Z495,2,)</f>
        <v>3</v>
      </c>
      <c r="J715" s="41" t="str">
        <f>VLOOKUP(I715,'Dataset-3'!I106:AA495,2,)</f>
        <v>Tuesday</v>
      </c>
      <c r="K715" s="38">
        <f>VLOOKUP(J715,'Dataset-3'!J106:AB495,2,)</f>
        <v>3</v>
      </c>
      <c r="L715" s="38">
        <f>VLOOKUP(K715,'Dataset-3'!K106:AC495,2,)</f>
        <v>0.22</v>
      </c>
      <c r="M715" s="70" t="str">
        <f>VLOOKUP(L715,'Dataset-3'!L106:AD495,2,)</f>
        <v>Cloudy</v>
      </c>
      <c r="N715" s="38">
        <f>VLOOKUP(M715,'Dataset-3'!M106:AE495,2,)</f>
        <v>0.2273</v>
      </c>
      <c r="O715" s="38">
        <f>VLOOKUP(N715,'Dataset-3'!N106:AF495,2,)</f>
        <v>0.93</v>
      </c>
      <c r="P715" s="38">
        <f>VLOOKUP(O715,'Dataset-3'!O106:AG495,2,)</f>
        <v>0.1343</v>
      </c>
      <c r="Q715" s="38">
        <f>VLOOKUP(P715,'Dataset-3'!P106:AH495,2,)</f>
        <v>4</v>
      </c>
      <c r="R715" s="38">
        <f>VLOOKUP(Q715,'Dataset-3'!Q106:AI495,2,)</f>
        <v>0</v>
      </c>
      <c r="S715" s="38">
        <f>VLOOKUP(R715,'Dataset-3'!R106:AJ495,2,)</f>
        <v>4</v>
      </c>
    </row>
    <row r="716" spans="1:19" x14ac:dyDescent="0.35">
      <c r="A716" s="37">
        <v>715</v>
      </c>
      <c r="B716" s="60">
        <f>VLOOKUP(A716,'Dataset-3'!A107:S496,2,)</f>
        <v>40576</v>
      </c>
      <c r="C716" s="38">
        <f>VLOOKUP(B716,'Dataset-3'!B107:T496,2,)</f>
        <v>1</v>
      </c>
      <c r="D716" s="38">
        <f>VLOOKUP(C716,'Dataset-3'!C107:U496,2,)</f>
        <v>0</v>
      </c>
      <c r="E716" s="38">
        <f>VLOOKUP(D716,'Dataset-3'!D107:V496,2,)</f>
        <v>2</v>
      </c>
      <c r="F716" s="38">
        <f>VLOOKUP(E716,'Dataset-3'!E107:W496,2,)</f>
        <v>3</v>
      </c>
      <c r="G716" s="41" t="str">
        <f>VLOOKUP(F716,'Dataset-3'!F107:X496,2,)</f>
        <v>Night</v>
      </c>
      <c r="H716" s="38" t="b">
        <f>VLOOKUP(G716,'Dataset-3'!G107:Y496,2,)</f>
        <v>0</v>
      </c>
      <c r="I716" s="38">
        <f>VLOOKUP(H716,'Dataset-3'!H107:Z496,2,)</f>
        <v>3</v>
      </c>
      <c r="J716" s="41" t="str">
        <f>VLOOKUP(I716,'Dataset-3'!I107:AA496,2,)</f>
        <v>Tuesday</v>
      </c>
      <c r="K716" s="38">
        <f>VLOOKUP(J716,'Dataset-3'!J107:AB496,2,)</f>
        <v>3</v>
      </c>
      <c r="L716" s="38">
        <f>VLOOKUP(K716,'Dataset-3'!K107:AC496,2,)</f>
        <v>0.22</v>
      </c>
      <c r="M716" s="70" t="str">
        <f>VLOOKUP(L716,'Dataset-3'!L107:AD496,2,)</f>
        <v>Cloudy</v>
      </c>
      <c r="N716" s="38">
        <f>VLOOKUP(M716,'Dataset-3'!M107:AE496,2,)</f>
        <v>0.2273</v>
      </c>
      <c r="O716" s="38">
        <f>VLOOKUP(N716,'Dataset-3'!N107:AF496,2,)</f>
        <v>0.93</v>
      </c>
      <c r="P716" s="38">
        <f>VLOOKUP(O716,'Dataset-3'!O107:AG496,2,)</f>
        <v>0.1343</v>
      </c>
      <c r="Q716" s="38">
        <f>VLOOKUP(P716,'Dataset-3'!P107:AH496,2,)</f>
        <v>0</v>
      </c>
      <c r="R716" s="38">
        <f>VLOOKUP(Q716,'Dataset-3'!Q107:AI496,2,)</f>
        <v>1</v>
      </c>
      <c r="S716" s="38">
        <f>VLOOKUP(R716,'Dataset-3'!R107:AJ496,2,)</f>
        <v>1</v>
      </c>
    </row>
    <row r="717" spans="1:19" x14ac:dyDescent="0.35">
      <c r="A717" s="37">
        <v>716</v>
      </c>
      <c r="B717" s="60">
        <f>VLOOKUP(A717,'Dataset-3'!A108:S497,2,)</f>
        <v>40576</v>
      </c>
      <c r="C717" s="38">
        <f>VLOOKUP(B717,'Dataset-3'!B108:T497,2,)</f>
        <v>1</v>
      </c>
      <c r="D717" s="38">
        <f>VLOOKUP(C717,'Dataset-3'!C108:U497,2,)</f>
        <v>0</v>
      </c>
      <c r="E717" s="38">
        <f>VLOOKUP(D717,'Dataset-3'!D108:V497,2,)</f>
        <v>2</v>
      </c>
      <c r="F717" s="38">
        <f>VLOOKUP(E717,'Dataset-3'!E108:W497,2,)</f>
        <v>4</v>
      </c>
      <c r="G717" s="41" t="str">
        <f>VLOOKUP(F717,'Dataset-3'!F108:X497,2,)</f>
        <v>Night</v>
      </c>
      <c r="H717" s="38" t="b">
        <f>VLOOKUP(G717,'Dataset-3'!G108:Y497,2,)</f>
        <v>0</v>
      </c>
      <c r="I717" s="38">
        <f>VLOOKUP(H717,'Dataset-3'!H108:Z497,2,)</f>
        <v>3</v>
      </c>
      <c r="J717" s="41" t="str">
        <f>VLOOKUP(I717,'Dataset-3'!I108:AA497,2,)</f>
        <v>Tuesday</v>
      </c>
      <c r="K717" s="38">
        <f>VLOOKUP(J717,'Dataset-3'!J108:AB497,2,)</f>
        <v>3</v>
      </c>
      <c r="L717" s="38">
        <f>VLOOKUP(K717,'Dataset-3'!K108:AC497,2,)</f>
        <v>0.22</v>
      </c>
      <c r="M717" s="70" t="str">
        <f>VLOOKUP(L717,'Dataset-3'!L108:AD497,2,)</f>
        <v>Cloudy</v>
      </c>
      <c r="N717" s="38">
        <f>VLOOKUP(M717,'Dataset-3'!M108:AE497,2,)</f>
        <v>0.21210000000000001</v>
      </c>
      <c r="O717" s="38">
        <f>VLOOKUP(N717,'Dataset-3'!N108:AF497,2,)</f>
        <v>0.93</v>
      </c>
      <c r="P717" s="38">
        <f>VLOOKUP(O717,'Dataset-3'!O108:AG497,2,)</f>
        <v>0.28360000000000002</v>
      </c>
      <c r="Q717" s="38">
        <f>VLOOKUP(P717,'Dataset-3'!P108:AH497,2,)</f>
        <v>0</v>
      </c>
      <c r="R717" s="38">
        <f>VLOOKUP(Q717,'Dataset-3'!Q108:AI497,2,)</f>
        <v>1</v>
      </c>
      <c r="S717" s="38">
        <f>VLOOKUP(R717,'Dataset-3'!R108:AJ497,2,)</f>
        <v>1</v>
      </c>
    </row>
    <row r="718" spans="1:19" x14ac:dyDescent="0.35">
      <c r="A718" s="37">
        <v>717</v>
      </c>
      <c r="B718" s="60">
        <f>VLOOKUP(A718,'Dataset-3'!A109:S498,2,)</f>
        <v>40576</v>
      </c>
      <c r="C718" s="38">
        <f>VLOOKUP(B718,'Dataset-3'!B109:T498,2,)</f>
        <v>1</v>
      </c>
      <c r="D718" s="38">
        <f>VLOOKUP(C718,'Dataset-3'!C109:U498,2,)</f>
        <v>0</v>
      </c>
      <c r="E718" s="38">
        <f>VLOOKUP(D718,'Dataset-3'!D109:V498,2,)</f>
        <v>2</v>
      </c>
      <c r="F718" s="38">
        <f>VLOOKUP(E718,'Dataset-3'!E109:W498,2,)</f>
        <v>5</v>
      </c>
      <c r="G718" s="41" t="str">
        <f>VLOOKUP(F718,'Dataset-3'!F109:X498,2,)</f>
        <v>Morning</v>
      </c>
      <c r="H718" s="38" t="b">
        <f>VLOOKUP(G718,'Dataset-3'!G109:Y498,2,)</f>
        <v>0</v>
      </c>
      <c r="I718" s="38">
        <f>VLOOKUP(H718,'Dataset-3'!H109:Z498,2,)</f>
        <v>3</v>
      </c>
      <c r="J718" s="41" t="str">
        <f>VLOOKUP(I718,'Dataset-3'!I109:AA498,2,)</f>
        <v>Tuesday</v>
      </c>
      <c r="K718" s="38">
        <f>VLOOKUP(J718,'Dataset-3'!J109:AB498,2,)</f>
        <v>3</v>
      </c>
      <c r="L718" s="38">
        <f>VLOOKUP(K718,'Dataset-3'!K109:AC498,2,)</f>
        <v>0.22</v>
      </c>
      <c r="M718" s="70" t="str">
        <f>VLOOKUP(L718,'Dataset-3'!L109:AD498,2,)</f>
        <v>Cloudy</v>
      </c>
      <c r="N718" s="38">
        <f>VLOOKUP(M718,'Dataset-3'!M109:AE498,2,)</f>
        <v>0.2424</v>
      </c>
      <c r="O718" s="38">
        <f>VLOOKUP(N718,'Dataset-3'!N109:AF498,2,)</f>
        <v>0.93</v>
      </c>
      <c r="P718" s="38">
        <f>VLOOKUP(O718,'Dataset-3'!O109:AG498,2,)</f>
        <v>0.1045</v>
      </c>
      <c r="Q718" s="38">
        <f>VLOOKUP(P718,'Dataset-3'!P109:AH498,2,)</f>
        <v>0</v>
      </c>
      <c r="R718" s="38">
        <f>VLOOKUP(Q718,'Dataset-3'!Q109:AI498,2,)</f>
        <v>3</v>
      </c>
      <c r="S718" s="38">
        <f>VLOOKUP(R718,'Dataset-3'!R109:AJ498,2,)</f>
        <v>3</v>
      </c>
    </row>
    <row r="719" spans="1:19" x14ac:dyDescent="0.35">
      <c r="A719" s="37">
        <v>718</v>
      </c>
      <c r="B719" s="60">
        <f>VLOOKUP(A719,'Dataset-3'!A110:S499,2,)</f>
        <v>40576</v>
      </c>
      <c r="C719" s="38">
        <f>VLOOKUP(B719,'Dataset-3'!B110:T499,2,)</f>
        <v>1</v>
      </c>
      <c r="D719" s="38">
        <f>VLOOKUP(C719,'Dataset-3'!C110:U499,2,)</f>
        <v>0</v>
      </c>
      <c r="E719" s="38">
        <f>VLOOKUP(D719,'Dataset-3'!D110:V499,2,)</f>
        <v>2</v>
      </c>
      <c r="F719" s="38">
        <f>VLOOKUP(E719,'Dataset-3'!E110:W499,2,)</f>
        <v>6</v>
      </c>
      <c r="G719" s="41" t="str">
        <f>VLOOKUP(F719,'Dataset-3'!F110:X499,2,)</f>
        <v>Morning</v>
      </c>
      <c r="H719" s="38" t="b">
        <f>VLOOKUP(G719,'Dataset-3'!G110:Y499,2,)</f>
        <v>0</v>
      </c>
      <c r="I719" s="38">
        <f>VLOOKUP(H719,'Dataset-3'!H110:Z499,2,)</f>
        <v>3</v>
      </c>
      <c r="J719" s="41" t="str">
        <f>VLOOKUP(I719,'Dataset-3'!I110:AA499,2,)</f>
        <v>Tuesday</v>
      </c>
      <c r="K719" s="38">
        <f>VLOOKUP(J719,'Dataset-3'!J110:AB499,2,)</f>
        <v>3</v>
      </c>
      <c r="L719" s="38">
        <f>VLOOKUP(K719,'Dataset-3'!K110:AC499,2,)</f>
        <v>0.22</v>
      </c>
      <c r="M719" s="70" t="str">
        <f>VLOOKUP(L719,'Dataset-3'!L110:AD499,2,)</f>
        <v>Cloudy</v>
      </c>
      <c r="N719" s="38">
        <f>VLOOKUP(M719,'Dataset-3'!M110:AE499,2,)</f>
        <v>0.2424</v>
      </c>
      <c r="O719" s="38">
        <f>VLOOKUP(N719,'Dataset-3'!N110:AF499,2,)</f>
        <v>0.93</v>
      </c>
      <c r="P719" s="38">
        <f>VLOOKUP(O719,'Dataset-3'!O110:AG499,2,)</f>
        <v>0.1045</v>
      </c>
      <c r="Q719" s="38">
        <f>VLOOKUP(P719,'Dataset-3'!P110:AH499,2,)</f>
        <v>1</v>
      </c>
      <c r="R719" s="38">
        <f>VLOOKUP(Q719,'Dataset-3'!Q110:AI499,2,)</f>
        <v>17</v>
      </c>
      <c r="S719" s="38">
        <f>VLOOKUP(R719,'Dataset-3'!R110:AJ499,2,)</f>
        <v>18</v>
      </c>
    </row>
    <row r="720" spans="1:19" x14ac:dyDescent="0.35">
      <c r="A720" s="37">
        <v>719</v>
      </c>
      <c r="B720" s="60">
        <f>VLOOKUP(A720,'Dataset-3'!A111:S500,2,)</f>
        <v>40576</v>
      </c>
      <c r="C720" s="38">
        <f>VLOOKUP(B720,'Dataset-3'!B111:T500,2,)</f>
        <v>1</v>
      </c>
      <c r="D720" s="38">
        <f>VLOOKUP(C720,'Dataset-3'!C111:U500,2,)</f>
        <v>0</v>
      </c>
      <c r="E720" s="38">
        <f>VLOOKUP(D720,'Dataset-3'!D111:V500,2,)</f>
        <v>2</v>
      </c>
      <c r="F720" s="38">
        <f>VLOOKUP(E720,'Dataset-3'!E111:W500,2,)</f>
        <v>7</v>
      </c>
      <c r="G720" s="41" t="str">
        <f>VLOOKUP(F720,'Dataset-3'!F111:X500,2,)</f>
        <v>Morning</v>
      </c>
      <c r="H720" s="38" t="b">
        <f>VLOOKUP(G720,'Dataset-3'!G111:Y500,2,)</f>
        <v>0</v>
      </c>
      <c r="I720" s="38">
        <f>VLOOKUP(H720,'Dataset-3'!H111:Z500,2,)</f>
        <v>3</v>
      </c>
      <c r="J720" s="41" t="str">
        <f>VLOOKUP(I720,'Dataset-3'!I111:AA500,2,)</f>
        <v>Tuesday</v>
      </c>
      <c r="K720" s="38">
        <f>VLOOKUP(J720,'Dataset-3'!J111:AB500,2,)</f>
        <v>3</v>
      </c>
      <c r="L720" s="38">
        <f>VLOOKUP(K720,'Dataset-3'!K111:AC500,2,)</f>
        <v>0.22</v>
      </c>
      <c r="M720" s="70" t="str">
        <f>VLOOKUP(L720,'Dataset-3'!L111:AD500,2,)</f>
        <v>Cloudy</v>
      </c>
      <c r="N720" s="38">
        <f>VLOOKUP(M720,'Dataset-3'!M111:AE500,2,)</f>
        <v>0.21210000000000001</v>
      </c>
      <c r="O720" s="38">
        <f>VLOOKUP(N720,'Dataset-3'!N111:AF500,2,)</f>
        <v>0.93</v>
      </c>
      <c r="P720" s="38">
        <f>VLOOKUP(O720,'Dataset-3'!O111:AG500,2,)</f>
        <v>0.22389999999999999</v>
      </c>
      <c r="Q720" s="38">
        <f>VLOOKUP(P720,'Dataset-3'!P111:AH500,2,)</f>
        <v>1</v>
      </c>
      <c r="R720" s="38">
        <f>VLOOKUP(Q720,'Dataset-3'!Q111:AI500,2,)</f>
        <v>48</v>
      </c>
      <c r="S720" s="38">
        <f>VLOOKUP(R720,'Dataset-3'!R111:AJ500,2,)</f>
        <v>49</v>
      </c>
    </row>
    <row r="721" spans="1:19" x14ac:dyDescent="0.35">
      <c r="A721" s="37">
        <v>720</v>
      </c>
      <c r="B721" s="60">
        <f>VLOOKUP(A721,'Dataset-3'!A112:S501,2,)</f>
        <v>40576</v>
      </c>
      <c r="C721" s="38">
        <f>VLOOKUP(B721,'Dataset-3'!B112:T501,2,)</f>
        <v>1</v>
      </c>
      <c r="D721" s="38">
        <f>VLOOKUP(C721,'Dataset-3'!C112:U501,2,)</f>
        <v>0</v>
      </c>
      <c r="E721" s="38">
        <f>VLOOKUP(D721,'Dataset-3'!D112:V501,2,)</f>
        <v>2</v>
      </c>
      <c r="F721" s="38">
        <f>VLOOKUP(E721,'Dataset-3'!E112:W501,2,)</f>
        <v>8</v>
      </c>
      <c r="G721" s="41" t="str">
        <f>VLOOKUP(F721,'Dataset-3'!F112:X501,2,)</f>
        <v>Morning</v>
      </c>
      <c r="H721" s="38" t="b">
        <f>VLOOKUP(G721,'Dataset-3'!G112:Y501,2,)</f>
        <v>0</v>
      </c>
      <c r="I721" s="38">
        <f>VLOOKUP(H721,'Dataset-3'!H112:Z501,2,)</f>
        <v>3</v>
      </c>
      <c r="J721" s="41" t="str">
        <f>VLOOKUP(I721,'Dataset-3'!I112:AA501,2,)</f>
        <v>Tuesday</v>
      </c>
      <c r="K721" s="38">
        <f>VLOOKUP(J721,'Dataset-3'!J112:AB501,2,)</f>
        <v>3</v>
      </c>
      <c r="L721" s="38">
        <f>VLOOKUP(K721,'Dataset-3'!K112:AC501,2,)</f>
        <v>0.22</v>
      </c>
      <c r="M721" s="70" t="str">
        <f>VLOOKUP(L721,'Dataset-3'!L112:AD501,2,)</f>
        <v>Cloudy</v>
      </c>
      <c r="N721" s="38">
        <f>VLOOKUP(M721,'Dataset-3'!M112:AE501,2,)</f>
        <v>0.21210000000000001</v>
      </c>
      <c r="O721" s="38">
        <f>VLOOKUP(N721,'Dataset-3'!N112:AF501,2,)</f>
        <v>0.93</v>
      </c>
      <c r="P721" s="38">
        <f>VLOOKUP(O721,'Dataset-3'!O112:AG501,2,)</f>
        <v>0.22389999999999999</v>
      </c>
      <c r="Q721" s="38">
        <f>VLOOKUP(P721,'Dataset-3'!P112:AH501,2,)</f>
        <v>1</v>
      </c>
      <c r="R721" s="38">
        <f>VLOOKUP(Q721,'Dataset-3'!Q112:AI501,2,)</f>
        <v>154</v>
      </c>
      <c r="S721" s="38">
        <f>VLOOKUP(R721,'Dataset-3'!R112:AJ501,2,)</f>
        <v>155</v>
      </c>
    </row>
    <row r="722" spans="1:19" x14ac:dyDescent="0.35">
      <c r="A722" s="37">
        <v>721</v>
      </c>
      <c r="B722" s="60">
        <f>VLOOKUP(A722,'Dataset-3'!A113:S502,2,)</f>
        <v>40576</v>
      </c>
      <c r="C722" s="38">
        <f>VLOOKUP(B722,'Dataset-3'!B113:T502,2,)</f>
        <v>1</v>
      </c>
      <c r="D722" s="38">
        <f>VLOOKUP(C722,'Dataset-3'!C113:U502,2,)</f>
        <v>0</v>
      </c>
      <c r="E722" s="38">
        <f>VLOOKUP(D722,'Dataset-3'!D113:V502,2,)</f>
        <v>2</v>
      </c>
      <c r="F722" s="38">
        <f>VLOOKUP(E722,'Dataset-3'!E113:W502,2,)</f>
        <v>9</v>
      </c>
      <c r="G722" s="41" t="str">
        <f>VLOOKUP(F722,'Dataset-3'!F113:X502,2,)</f>
        <v>Morning</v>
      </c>
      <c r="H722" s="38" t="b">
        <f>VLOOKUP(G722,'Dataset-3'!G113:Y502,2,)</f>
        <v>0</v>
      </c>
      <c r="I722" s="38">
        <f>VLOOKUP(H722,'Dataset-3'!H113:Z502,2,)</f>
        <v>3</v>
      </c>
      <c r="J722" s="41" t="str">
        <f>VLOOKUP(I722,'Dataset-3'!I113:AA502,2,)</f>
        <v>Tuesday</v>
      </c>
      <c r="K722" s="38">
        <f>VLOOKUP(J722,'Dataset-3'!J113:AB502,2,)</f>
        <v>2</v>
      </c>
      <c r="L722" s="38">
        <f>VLOOKUP(K722,'Dataset-3'!K113:AC502,2,)</f>
        <v>0.24</v>
      </c>
      <c r="M722" s="70" t="str">
        <f>VLOOKUP(L722,'Dataset-3'!L113:AD502,2,)</f>
        <v>Cloudy</v>
      </c>
      <c r="N722" s="38">
        <f>VLOOKUP(M722,'Dataset-3'!M113:AE502,2,)</f>
        <v>0.2576</v>
      </c>
      <c r="O722" s="38">
        <f>VLOOKUP(N722,'Dataset-3'!N113:AF502,2,)</f>
        <v>0.93</v>
      </c>
      <c r="P722" s="38">
        <f>VLOOKUP(O722,'Dataset-3'!O113:AG502,2,)</f>
        <v>8.9599999999999999E-2</v>
      </c>
      <c r="Q722" s="38">
        <f>VLOOKUP(P722,'Dataset-3'!P113:AH502,2,)</f>
        <v>4</v>
      </c>
      <c r="R722" s="38">
        <f>VLOOKUP(Q722,'Dataset-3'!Q113:AI502,2,)</f>
        <v>119</v>
      </c>
      <c r="S722" s="38">
        <f>VLOOKUP(R722,'Dataset-3'!R113:AJ502,2,)</f>
        <v>123</v>
      </c>
    </row>
    <row r="723" spans="1:19" x14ac:dyDescent="0.35">
      <c r="A723" s="37">
        <v>722</v>
      </c>
      <c r="B723" s="60">
        <f>VLOOKUP(A723,'Dataset-3'!A114:S503,2,)</f>
        <v>40576</v>
      </c>
      <c r="C723" s="38">
        <f>VLOOKUP(B723,'Dataset-3'!B114:T503,2,)</f>
        <v>1</v>
      </c>
      <c r="D723" s="38">
        <f>VLOOKUP(C723,'Dataset-3'!C114:U503,2,)</f>
        <v>0</v>
      </c>
      <c r="E723" s="38">
        <f>VLOOKUP(D723,'Dataset-3'!D114:V503,2,)</f>
        <v>2</v>
      </c>
      <c r="F723" s="38">
        <f>VLOOKUP(E723,'Dataset-3'!E114:W503,2,)</f>
        <v>10</v>
      </c>
      <c r="G723" s="41" t="str">
        <f>VLOOKUP(F723,'Dataset-3'!F114:X503,2,)</f>
        <v>Morning</v>
      </c>
      <c r="H723" s="38" t="b">
        <f>VLOOKUP(G723,'Dataset-3'!G114:Y503,2,)</f>
        <v>0</v>
      </c>
      <c r="I723" s="38">
        <f>VLOOKUP(H723,'Dataset-3'!H114:Z503,2,)</f>
        <v>3</v>
      </c>
      <c r="J723" s="41" t="str">
        <f>VLOOKUP(I723,'Dataset-3'!I114:AA503,2,)</f>
        <v>Tuesday</v>
      </c>
      <c r="K723" s="38">
        <f>VLOOKUP(J723,'Dataset-3'!J114:AB503,2,)</f>
        <v>2</v>
      </c>
      <c r="L723" s="38">
        <f>VLOOKUP(K723,'Dataset-3'!K114:AC503,2,)</f>
        <v>0.22</v>
      </c>
      <c r="M723" s="70" t="str">
        <f>VLOOKUP(L723,'Dataset-3'!L114:AD503,2,)</f>
        <v>Cloudy</v>
      </c>
      <c r="N723" s="38">
        <f>VLOOKUP(M723,'Dataset-3'!M114:AE503,2,)</f>
        <v>0.2727</v>
      </c>
      <c r="O723" s="38">
        <f>VLOOKUP(N723,'Dataset-3'!N114:AF503,2,)</f>
        <v>1</v>
      </c>
      <c r="P723" s="38">
        <f>VLOOKUP(O723,'Dataset-3'!O114:AG503,2,)</f>
        <v>0</v>
      </c>
      <c r="Q723" s="38">
        <f>VLOOKUP(P723,'Dataset-3'!P114:AH503,2,)</f>
        <v>2</v>
      </c>
      <c r="R723" s="38">
        <f>VLOOKUP(Q723,'Dataset-3'!Q114:AI503,2,)</f>
        <v>59</v>
      </c>
      <c r="S723" s="38">
        <f>VLOOKUP(R723,'Dataset-3'!R114:AJ503,2,)</f>
        <v>61</v>
      </c>
    </row>
    <row r="724" spans="1:19" x14ac:dyDescent="0.35">
      <c r="A724" s="37">
        <v>723</v>
      </c>
      <c r="B724" s="60">
        <f>VLOOKUP(A724,'Dataset-3'!A115:S504,2,)</f>
        <v>40576</v>
      </c>
      <c r="C724" s="38">
        <f>VLOOKUP(B724,'Dataset-3'!B115:T504,2,)</f>
        <v>1</v>
      </c>
      <c r="D724" s="38">
        <f>VLOOKUP(C724,'Dataset-3'!C115:U504,2,)</f>
        <v>0</v>
      </c>
      <c r="E724" s="38">
        <f>VLOOKUP(D724,'Dataset-3'!D115:V504,2,)</f>
        <v>2</v>
      </c>
      <c r="F724" s="38">
        <f>VLOOKUP(E724,'Dataset-3'!E115:W504,2,)</f>
        <v>11</v>
      </c>
      <c r="G724" s="41" t="str">
        <f>VLOOKUP(F724,'Dataset-3'!F115:X504,2,)</f>
        <v>Morning</v>
      </c>
      <c r="H724" s="38" t="b">
        <f>VLOOKUP(G724,'Dataset-3'!G115:Y504,2,)</f>
        <v>0</v>
      </c>
      <c r="I724" s="38">
        <f>VLOOKUP(H724,'Dataset-3'!H115:Z504,2,)</f>
        <v>3</v>
      </c>
      <c r="J724" s="41" t="str">
        <f>VLOOKUP(I724,'Dataset-3'!I115:AA504,2,)</f>
        <v>Tuesday</v>
      </c>
      <c r="K724" s="38">
        <f>VLOOKUP(J724,'Dataset-3'!J115:AB504,2,)</f>
        <v>2</v>
      </c>
      <c r="L724" s="38">
        <f>VLOOKUP(K724,'Dataset-3'!K115:AC504,2,)</f>
        <v>0.24</v>
      </c>
      <c r="M724" s="70" t="str">
        <f>VLOOKUP(L724,'Dataset-3'!L115:AD504,2,)</f>
        <v>Cloudy</v>
      </c>
      <c r="N724" s="38">
        <f>VLOOKUP(M724,'Dataset-3'!M115:AE504,2,)</f>
        <v>0.2273</v>
      </c>
      <c r="O724" s="38">
        <f>VLOOKUP(N724,'Dataset-3'!N115:AF504,2,)</f>
        <v>0.93</v>
      </c>
      <c r="P724" s="38">
        <f>VLOOKUP(O724,'Dataset-3'!O115:AG504,2,)</f>
        <v>0.19400000000000001</v>
      </c>
      <c r="Q724" s="38">
        <f>VLOOKUP(P724,'Dataset-3'!P115:AH504,2,)</f>
        <v>5</v>
      </c>
      <c r="R724" s="38">
        <f>VLOOKUP(Q724,'Dataset-3'!Q115:AI504,2,)</f>
        <v>47</v>
      </c>
      <c r="S724" s="38">
        <f>VLOOKUP(R724,'Dataset-3'!R115:AJ504,2,)</f>
        <v>52</v>
      </c>
    </row>
    <row r="725" spans="1:19" x14ac:dyDescent="0.35">
      <c r="A725" s="37">
        <v>724</v>
      </c>
      <c r="B725" s="60">
        <f>VLOOKUP(A725,'Dataset-3'!A116:S505,2,)</f>
        <v>40576</v>
      </c>
      <c r="C725" s="38">
        <f>VLOOKUP(B725,'Dataset-3'!B116:T505,2,)</f>
        <v>1</v>
      </c>
      <c r="D725" s="38">
        <f>VLOOKUP(C725,'Dataset-3'!C116:U505,2,)</f>
        <v>0</v>
      </c>
      <c r="E725" s="38">
        <f>VLOOKUP(D725,'Dataset-3'!D116:V505,2,)</f>
        <v>2</v>
      </c>
      <c r="F725" s="38">
        <f>VLOOKUP(E725,'Dataset-3'!E116:W505,2,)</f>
        <v>12</v>
      </c>
      <c r="G725" s="41" t="str">
        <f>VLOOKUP(F725,'Dataset-3'!F116:X505,2,)</f>
        <v>AfterNoon</v>
      </c>
      <c r="H725" s="38" t="b">
        <f>VLOOKUP(G725,'Dataset-3'!G116:Y505,2,)</f>
        <v>0</v>
      </c>
      <c r="I725" s="38">
        <f>VLOOKUP(H725,'Dataset-3'!H116:Z505,2,)</f>
        <v>3</v>
      </c>
      <c r="J725" s="41" t="str">
        <f>VLOOKUP(I725,'Dataset-3'!I116:AA505,2,)</f>
        <v>Tuesday</v>
      </c>
      <c r="K725" s="38">
        <f>VLOOKUP(J725,'Dataset-3'!J116:AB505,2,)</f>
        <v>2</v>
      </c>
      <c r="L725" s="38">
        <f>VLOOKUP(K725,'Dataset-3'!K116:AC505,2,)</f>
        <v>0.24</v>
      </c>
      <c r="M725" s="70" t="str">
        <f>VLOOKUP(L725,'Dataset-3'!L116:AD505,2,)</f>
        <v>Cloudy</v>
      </c>
      <c r="N725" s="38">
        <f>VLOOKUP(M725,'Dataset-3'!M116:AE505,2,)</f>
        <v>0.2273</v>
      </c>
      <c r="O725" s="38">
        <f>VLOOKUP(N725,'Dataset-3'!N116:AF505,2,)</f>
        <v>0.93</v>
      </c>
      <c r="P725" s="38">
        <f>VLOOKUP(O725,'Dataset-3'!O116:AG505,2,)</f>
        <v>0.22389999999999999</v>
      </c>
      <c r="Q725" s="38">
        <f>VLOOKUP(P725,'Dataset-3'!P116:AH505,2,)</f>
        <v>3</v>
      </c>
      <c r="R725" s="38">
        <f>VLOOKUP(Q725,'Dataset-3'!Q116:AI505,2,)</f>
        <v>61</v>
      </c>
      <c r="S725" s="38">
        <f>VLOOKUP(R725,'Dataset-3'!R116:AJ505,2,)</f>
        <v>64</v>
      </c>
    </row>
    <row r="726" spans="1:19" x14ac:dyDescent="0.35">
      <c r="A726" s="37">
        <v>725</v>
      </c>
      <c r="B726" s="60">
        <f>VLOOKUP(A726,'Dataset-3'!A117:S506,2,)</f>
        <v>40576</v>
      </c>
      <c r="C726" s="38">
        <f>VLOOKUP(B726,'Dataset-3'!B117:T506,2,)</f>
        <v>1</v>
      </c>
      <c r="D726" s="38">
        <f>VLOOKUP(C726,'Dataset-3'!C117:U506,2,)</f>
        <v>0</v>
      </c>
      <c r="E726" s="38">
        <f>VLOOKUP(D726,'Dataset-3'!D117:V506,2,)</f>
        <v>2</v>
      </c>
      <c r="F726" s="38">
        <f>VLOOKUP(E726,'Dataset-3'!E117:W506,2,)</f>
        <v>13</v>
      </c>
      <c r="G726" s="41" t="str">
        <f>VLOOKUP(F726,'Dataset-3'!F117:X506,2,)</f>
        <v>AfterNoon</v>
      </c>
      <c r="H726" s="38" t="b">
        <f>VLOOKUP(G726,'Dataset-3'!G117:Y506,2,)</f>
        <v>0</v>
      </c>
      <c r="I726" s="38">
        <f>VLOOKUP(H726,'Dataset-3'!H117:Z506,2,)</f>
        <v>3</v>
      </c>
      <c r="J726" s="41" t="str">
        <f>VLOOKUP(I726,'Dataset-3'!I117:AA506,2,)</f>
        <v>Tuesday</v>
      </c>
      <c r="K726" s="38">
        <f>VLOOKUP(J726,'Dataset-3'!J117:AB506,2,)</f>
        <v>1</v>
      </c>
      <c r="L726" s="38">
        <f>VLOOKUP(K726,'Dataset-3'!K117:AC506,2,)</f>
        <v>0.34</v>
      </c>
      <c r="M726" s="70" t="str">
        <f>VLOOKUP(L726,'Dataset-3'!L117:AD506,2,)</f>
        <v>Sunny</v>
      </c>
      <c r="N726" s="38">
        <f>VLOOKUP(M726,'Dataset-3'!M117:AE506,2,)</f>
        <v>0.33329999999999999</v>
      </c>
      <c r="O726" s="38">
        <f>VLOOKUP(N726,'Dataset-3'!N117:AF506,2,)</f>
        <v>0.93</v>
      </c>
      <c r="P726" s="38">
        <f>VLOOKUP(O726,'Dataset-3'!O117:AG506,2,)</f>
        <v>0.16420000000000001</v>
      </c>
      <c r="Q726" s="38">
        <f>VLOOKUP(P726,'Dataset-3'!P117:AH506,2,)</f>
        <v>1</v>
      </c>
      <c r="R726" s="38">
        <f>VLOOKUP(Q726,'Dataset-3'!Q117:AI506,2,)</f>
        <v>74</v>
      </c>
      <c r="S726" s="38">
        <f>VLOOKUP(R726,'Dataset-3'!R117:AJ506,2,)</f>
        <v>75</v>
      </c>
    </row>
    <row r="727" spans="1:19" x14ac:dyDescent="0.35">
      <c r="A727" s="37">
        <v>726</v>
      </c>
      <c r="B727" s="60">
        <f>VLOOKUP(A727,'Dataset-3'!A118:S507,2,)</f>
        <v>40576</v>
      </c>
      <c r="C727" s="38">
        <f>VLOOKUP(B727,'Dataset-3'!B118:T507,2,)</f>
        <v>1</v>
      </c>
      <c r="D727" s="38">
        <f>VLOOKUP(C727,'Dataset-3'!C118:U507,2,)</f>
        <v>0</v>
      </c>
      <c r="E727" s="38">
        <f>VLOOKUP(D727,'Dataset-3'!D118:V507,2,)</f>
        <v>2</v>
      </c>
      <c r="F727" s="38">
        <f>VLOOKUP(E727,'Dataset-3'!E118:W507,2,)</f>
        <v>14</v>
      </c>
      <c r="G727" s="41" t="str">
        <f>VLOOKUP(F727,'Dataset-3'!F118:X507,2,)</f>
        <v>AfterNoon</v>
      </c>
      <c r="H727" s="38" t="b">
        <f>VLOOKUP(G727,'Dataset-3'!G118:Y507,2,)</f>
        <v>0</v>
      </c>
      <c r="I727" s="38">
        <f>VLOOKUP(H727,'Dataset-3'!H118:Z507,2,)</f>
        <v>3</v>
      </c>
      <c r="J727" s="41" t="str">
        <f>VLOOKUP(I727,'Dataset-3'!I118:AA507,2,)</f>
        <v>Tuesday</v>
      </c>
      <c r="K727" s="38">
        <f>VLOOKUP(J727,'Dataset-3'!J118:AB507,2,)</f>
        <v>1</v>
      </c>
      <c r="L727" s="38">
        <f>VLOOKUP(K727,'Dataset-3'!K118:AC507,2,)</f>
        <v>0.38</v>
      </c>
      <c r="M727" s="70" t="str">
        <f>VLOOKUP(L727,'Dataset-3'!L118:AD507,2,)</f>
        <v>Sunny</v>
      </c>
      <c r="N727" s="38">
        <f>VLOOKUP(M727,'Dataset-3'!M118:AE507,2,)</f>
        <v>0.39389999999999997</v>
      </c>
      <c r="O727" s="38">
        <f>VLOOKUP(N727,'Dataset-3'!N118:AF507,2,)</f>
        <v>0.82</v>
      </c>
      <c r="P727" s="38">
        <f>VLOOKUP(O727,'Dataset-3'!O118:AG507,2,)</f>
        <v>0.3881</v>
      </c>
      <c r="Q727" s="38">
        <f>VLOOKUP(P727,'Dataset-3'!P118:AH507,2,)</f>
        <v>2</v>
      </c>
      <c r="R727" s="38">
        <f>VLOOKUP(Q727,'Dataset-3'!Q118:AI507,2,)</f>
        <v>61</v>
      </c>
      <c r="S727" s="38">
        <f>VLOOKUP(R727,'Dataset-3'!R118:AJ507,2,)</f>
        <v>63</v>
      </c>
    </row>
    <row r="728" spans="1:19" x14ac:dyDescent="0.35">
      <c r="A728" s="37">
        <v>727</v>
      </c>
      <c r="B728" s="60">
        <f>VLOOKUP(A728,'Dataset-3'!A119:S508,2,)</f>
        <v>40576</v>
      </c>
      <c r="C728" s="38">
        <f>VLOOKUP(B728,'Dataset-3'!B119:T508,2,)</f>
        <v>1</v>
      </c>
      <c r="D728" s="38">
        <f>VLOOKUP(C728,'Dataset-3'!C119:U508,2,)</f>
        <v>0</v>
      </c>
      <c r="E728" s="38">
        <f>VLOOKUP(D728,'Dataset-3'!D119:V508,2,)</f>
        <v>2</v>
      </c>
      <c r="F728" s="38">
        <f>VLOOKUP(E728,'Dataset-3'!E119:W508,2,)</f>
        <v>15</v>
      </c>
      <c r="G728" s="41" t="str">
        <f>VLOOKUP(F728,'Dataset-3'!F119:X508,2,)</f>
        <v>AfterNoon</v>
      </c>
      <c r="H728" s="38" t="b">
        <f>VLOOKUP(G728,'Dataset-3'!G119:Y508,2,)</f>
        <v>0</v>
      </c>
      <c r="I728" s="38">
        <f>VLOOKUP(H728,'Dataset-3'!H119:Z508,2,)</f>
        <v>3</v>
      </c>
      <c r="J728" s="41" t="str">
        <f>VLOOKUP(I728,'Dataset-3'!I119:AA508,2,)</f>
        <v>Tuesday</v>
      </c>
      <c r="K728" s="38">
        <f>VLOOKUP(J728,'Dataset-3'!J119:AB508,2,)</f>
        <v>1</v>
      </c>
      <c r="L728" s="38">
        <f>VLOOKUP(K728,'Dataset-3'!K119:AC508,2,)</f>
        <v>0.38</v>
      </c>
      <c r="M728" s="70" t="str">
        <f>VLOOKUP(L728,'Dataset-3'!L119:AD508,2,)</f>
        <v>Sunny</v>
      </c>
      <c r="N728" s="38">
        <f>VLOOKUP(M728,'Dataset-3'!M119:AE508,2,)</f>
        <v>0.39389999999999997</v>
      </c>
      <c r="O728" s="38">
        <f>VLOOKUP(N728,'Dataset-3'!N119:AF508,2,)</f>
        <v>0.76</v>
      </c>
      <c r="P728" s="38">
        <f>VLOOKUP(O728,'Dataset-3'!O119:AG508,2,)</f>
        <v>0.32840000000000003</v>
      </c>
      <c r="Q728" s="38">
        <f>VLOOKUP(P728,'Dataset-3'!P119:AH508,2,)</f>
        <v>10</v>
      </c>
      <c r="R728" s="38">
        <f>VLOOKUP(Q728,'Dataset-3'!Q119:AI508,2,)</f>
        <v>66</v>
      </c>
      <c r="S728" s="38">
        <f>VLOOKUP(R728,'Dataset-3'!R119:AJ508,2,)</f>
        <v>76</v>
      </c>
    </row>
    <row r="729" spans="1:19" x14ac:dyDescent="0.35">
      <c r="A729" s="37">
        <v>728</v>
      </c>
      <c r="B729" s="60">
        <f>VLOOKUP(A729,'Dataset-3'!A120:S509,2,)</f>
        <v>40576</v>
      </c>
      <c r="C729" s="38">
        <f>VLOOKUP(B729,'Dataset-3'!B120:T509,2,)</f>
        <v>1</v>
      </c>
      <c r="D729" s="38">
        <f>VLOOKUP(C729,'Dataset-3'!C120:U509,2,)</f>
        <v>0</v>
      </c>
      <c r="E729" s="38">
        <f>VLOOKUP(D729,'Dataset-3'!D120:V509,2,)</f>
        <v>2</v>
      </c>
      <c r="F729" s="38">
        <f>VLOOKUP(E729,'Dataset-3'!E120:W509,2,)</f>
        <v>16</v>
      </c>
      <c r="G729" s="41" t="str">
        <f>VLOOKUP(F729,'Dataset-3'!F120:X509,2,)</f>
        <v>AfterNoon</v>
      </c>
      <c r="H729" s="38" t="b">
        <f>VLOOKUP(G729,'Dataset-3'!G120:Y509,2,)</f>
        <v>0</v>
      </c>
      <c r="I729" s="38">
        <f>VLOOKUP(H729,'Dataset-3'!H120:Z509,2,)</f>
        <v>3</v>
      </c>
      <c r="J729" s="41" t="str">
        <f>VLOOKUP(I729,'Dataset-3'!I120:AA509,2,)</f>
        <v>Tuesday</v>
      </c>
      <c r="K729" s="38">
        <f>VLOOKUP(J729,'Dataset-3'!J120:AB509,2,)</f>
        <v>1</v>
      </c>
      <c r="L729" s="38">
        <f>VLOOKUP(K729,'Dataset-3'!K120:AC509,2,)</f>
        <v>0.36</v>
      </c>
      <c r="M729" s="70" t="str">
        <f>VLOOKUP(L729,'Dataset-3'!L120:AD509,2,)</f>
        <v>Sunny</v>
      </c>
      <c r="N729" s="38">
        <f>VLOOKUP(M729,'Dataset-3'!M120:AE509,2,)</f>
        <v>0.33329999999999999</v>
      </c>
      <c r="O729" s="38">
        <f>VLOOKUP(N729,'Dataset-3'!N120:AF509,2,)</f>
        <v>0.71</v>
      </c>
      <c r="P729" s="38">
        <f>VLOOKUP(O729,'Dataset-3'!O120:AG509,2,)</f>
        <v>0.29849999999999999</v>
      </c>
      <c r="Q729" s="38">
        <f>VLOOKUP(P729,'Dataset-3'!P120:AH509,2,)</f>
        <v>8</v>
      </c>
      <c r="R729" s="38">
        <f>VLOOKUP(Q729,'Dataset-3'!Q120:AI509,2,)</f>
        <v>95</v>
      </c>
      <c r="S729" s="38">
        <f>VLOOKUP(R729,'Dataset-3'!R120:AJ509,2,)</f>
        <v>103</v>
      </c>
    </row>
    <row r="730" spans="1:19" x14ac:dyDescent="0.35">
      <c r="A730" s="37">
        <v>729</v>
      </c>
      <c r="B730" s="60">
        <f>VLOOKUP(A730,'Dataset-3'!A121:S510,2,)</f>
        <v>40576</v>
      </c>
      <c r="C730" s="38">
        <f>VLOOKUP(B730,'Dataset-3'!B121:T510,2,)</f>
        <v>1</v>
      </c>
      <c r="D730" s="38">
        <f>VLOOKUP(C730,'Dataset-3'!C121:U510,2,)</f>
        <v>0</v>
      </c>
      <c r="E730" s="38">
        <f>VLOOKUP(D730,'Dataset-3'!D121:V510,2,)</f>
        <v>2</v>
      </c>
      <c r="F730" s="38">
        <f>VLOOKUP(E730,'Dataset-3'!E121:W510,2,)</f>
        <v>17</v>
      </c>
      <c r="G730" s="41" t="str">
        <f>VLOOKUP(F730,'Dataset-3'!F121:X510,2,)</f>
        <v>Evening</v>
      </c>
      <c r="H730" s="38" t="b">
        <f>VLOOKUP(G730,'Dataset-3'!G121:Y510,2,)</f>
        <v>0</v>
      </c>
      <c r="I730" s="38">
        <f>VLOOKUP(H730,'Dataset-3'!H121:Z510,2,)</f>
        <v>3</v>
      </c>
      <c r="J730" s="41" t="str">
        <f>VLOOKUP(I730,'Dataset-3'!I121:AA510,2,)</f>
        <v>Tuesday</v>
      </c>
      <c r="K730" s="38">
        <f>VLOOKUP(J730,'Dataset-3'!J121:AB510,2,)</f>
        <v>1</v>
      </c>
      <c r="L730" s="38">
        <f>VLOOKUP(K730,'Dataset-3'!K121:AC510,2,)</f>
        <v>0.36</v>
      </c>
      <c r="M730" s="70" t="str">
        <f>VLOOKUP(L730,'Dataset-3'!L121:AD510,2,)</f>
        <v>Sunny</v>
      </c>
      <c r="N730" s="38">
        <f>VLOOKUP(M730,'Dataset-3'!M121:AE510,2,)</f>
        <v>0.31819999999999998</v>
      </c>
      <c r="O730" s="38">
        <f>VLOOKUP(N730,'Dataset-3'!N121:AF510,2,)</f>
        <v>0.53</v>
      </c>
      <c r="P730" s="38">
        <f>VLOOKUP(O730,'Dataset-3'!O121:AG510,2,)</f>
        <v>0.52239999999999998</v>
      </c>
      <c r="Q730" s="38">
        <f>VLOOKUP(P730,'Dataset-3'!P121:AH510,2,)</f>
        <v>7</v>
      </c>
      <c r="R730" s="38">
        <f>VLOOKUP(Q730,'Dataset-3'!Q121:AI510,2,)</f>
        <v>183</v>
      </c>
      <c r="S730" s="38">
        <f>VLOOKUP(R730,'Dataset-3'!R121:AJ510,2,)</f>
        <v>190</v>
      </c>
    </row>
    <row r="731" spans="1:19" x14ac:dyDescent="0.35">
      <c r="A731" s="37">
        <v>730</v>
      </c>
      <c r="B731" s="60">
        <f>VLOOKUP(A731,'Dataset-3'!A122:S511,2,)</f>
        <v>40576</v>
      </c>
      <c r="C731" s="38">
        <f>VLOOKUP(B731,'Dataset-3'!B122:T511,2,)</f>
        <v>1</v>
      </c>
      <c r="D731" s="38">
        <f>VLOOKUP(C731,'Dataset-3'!C122:U511,2,)</f>
        <v>0</v>
      </c>
      <c r="E731" s="38">
        <f>VLOOKUP(D731,'Dataset-3'!D122:V511,2,)</f>
        <v>2</v>
      </c>
      <c r="F731" s="38">
        <f>VLOOKUP(E731,'Dataset-3'!E122:W511,2,)</f>
        <v>18</v>
      </c>
      <c r="G731" s="41" t="str">
        <f>VLOOKUP(F731,'Dataset-3'!F122:X511,2,)</f>
        <v>Evening</v>
      </c>
      <c r="H731" s="38" t="b">
        <f>VLOOKUP(G731,'Dataset-3'!G122:Y511,2,)</f>
        <v>0</v>
      </c>
      <c r="I731" s="38">
        <f>VLOOKUP(H731,'Dataset-3'!H122:Z511,2,)</f>
        <v>3</v>
      </c>
      <c r="J731" s="41" t="str">
        <f>VLOOKUP(I731,'Dataset-3'!I122:AA511,2,)</f>
        <v>Tuesday</v>
      </c>
      <c r="K731" s="38">
        <f>VLOOKUP(J731,'Dataset-3'!J122:AB511,2,)</f>
        <v>1</v>
      </c>
      <c r="L731" s="38">
        <f>VLOOKUP(K731,'Dataset-3'!K122:AC511,2,)</f>
        <v>0.34</v>
      </c>
      <c r="M731" s="70" t="str">
        <f>VLOOKUP(L731,'Dataset-3'!L122:AD511,2,)</f>
        <v>Sunny</v>
      </c>
      <c r="N731" s="38">
        <f>VLOOKUP(M731,'Dataset-3'!M122:AE511,2,)</f>
        <v>0.28789999999999999</v>
      </c>
      <c r="O731" s="38">
        <f>VLOOKUP(N731,'Dataset-3'!N122:AF511,2,)</f>
        <v>0.42</v>
      </c>
      <c r="P731" s="38">
        <f>VLOOKUP(O731,'Dataset-3'!O122:AG511,2,)</f>
        <v>0.55220000000000002</v>
      </c>
      <c r="Q731" s="38">
        <f>VLOOKUP(P731,'Dataset-3'!P122:AH511,2,)</f>
        <v>7</v>
      </c>
      <c r="R731" s="38">
        <f>VLOOKUP(Q731,'Dataset-3'!Q122:AI511,2,)</f>
        <v>175</v>
      </c>
      <c r="S731" s="38">
        <f>VLOOKUP(R731,'Dataset-3'!R122:AJ511,2,)</f>
        <v>182</v>
      </c>
    </row>
    <row r="732" spans="1:19" x14ac:dyDescent="0.35">
      <c r="A732" s="37">
        <v>731</v>
      </c>
      <c r="B732" s="60">
        <f>VLOOKUP(A732,'Dataset-3'!A123:S512,2,)</f>
        <v>40576</v>
      </c>
      <c r="C732" s="38">
        <f>VLOOKUP(B732,'Dataset-3'!B123:T512,2,)</f>
        <v>1</v>
      </c>
      <c r="D732" s="38">
        <f>VLOOKUP(C732,'Dataset-3'!C123:U512,2,)</f>
        <v>0</v>
      </c>
      <c r="E732" s="38">
        <f>VLOOKUP(D732,'Dataset-3'!D123:V512,2,)</f>
        <v>2</v>
      </c>
      <c r="F732" s="38">
        <f>VLOOKUP(E732,'Dataset-3'!E123:W512,2,)</f>
        <v>19</v>
      </c>
      <c r="G732" s="41" t="str">
        <f>VLOOKUP(F732,'Dataset-3'!F123:X512,2,)</f>
        <v>Evening</v>
      </c>
      <c r="H732" s="38" t="b">
        <f>VLOOKUP(G732,'Dataset-3'!G123:Y512,2,)</f>
        <v>0</v>
      </c>
      <c r="I732" s="38">
        <f>VLOOKUP(H732,'Dataset-3'!H123:Z512,2,)</f>
        <v>3</v>
      </c>
      <c r="J732" s="41" t="str">
        <f>VLOOKUP(I732,'Dataset-3'!I123:AA512,2,)</f>
        <v>Tuesday</v>
      </c>
      <c r="K732" s="38">
        <f>VLOOKUP(J732,'Dataset-3'!J123:AB512,2,)</f>
        <v>1</v>
      </c>
      <c r="L732" s="38">
        <f>VLOOKUP(K732,'Dataset-3'!K123:AC512,2,)</f>
        <v>0.28000000000000003</v>
      </c>
      <c r="M732" s="70" t="str">
        <f>VLOOKUP(L732,'Dataset-3'!L123:AD512,2,)</f>
        <v>Cloudy</v>
      </c>
      <c r="N732" s="38">
        <f>VLOOKUP(M732,'Dataset-3'!M123:AE512,2,)</f>
        <v>0.2424</v>
      </c>
      <c r="O732" s="38">
        <f>VLOOKUP(N732,'Dataset-3'!N123:AF512,2,)</f>
        <v>0.45</v>
      </c>
      <c r="P732" s="38">
        <f>VLOOKUP(O732,'Dataset-3'!O123:AG512,2,)</f>
        <v>0.49249999999999999</v>
      </c>
      <c r="Q732" s="38">
        <f>VLOOKUP(P732,'Dataset-3'!P123:AH512,2,)</f>
        <v>3</v>
      </c>
      <c r="R732" s="38">
        <f>VLOOKUP(Q732,'Dataset-3'!Q123:AI512,2,)</f>
        <v>88</v>
      </c>
      <c r="S732" s="38">
        <f>VLOOKUP(R732,'Dataset-3'!R123:AJ512,2,)</f>
        <v>91</v>
      </c>
    </row>
    <row r="733" spans="1:19" x14ac:dyDescent="0.35">
      <c r="A733" s="37">
        <v>732</v>
      </c>
      <c r="B733" s="60">
        <f>VLOOKUP(A733,'Dataset-3'!A124:S513,2,)</f>
        <v>40576</v>
      </c>
      <c r="C733" s="38">
        <f>VLOOKUP(B733,'Dataset-3'!B124:T513,2,)</f>
        <v>1</v>
      </c>
      <c r="D733" s="38">
        <f>VLOOKUP(C733,'Dataset-3'!C124:U513,2,)</f>
        <v>0</v>
      </c>
      <c r="E733" s="38">
        <f>VLOOKUP(D733,'Dataset-3'!D124:V513,2,)</f>
        <v>2</v>
      </c>
      <c r="F733" s="38">
        <f>VLOOKUP(E733,'Dataset-3'!E124:W513,2,)</f>
        <v>20</v>
      </c>
      <c r="G733" s="41" t="str">
        <f>VLOOKUP(F733,'Dataset-3'!F124:X513,2,)</f>
        <v>Night</v>
      </c>
      <c r="H733" s="38" t="b">
        <f>VLOOKUP(G733,'Dataset-3'!G124:Y513,2,)</f>
        <v>0</v>
      </c>
      <c r="I733" s="38">
        <f>VLOOKUP(H733,'Dataset-3'!H124:Z513,2,)</f>
        <v>3</v>
      </c>
      <c r="J733" s="41" t="str">
        <f>VLOOKUP(I733,'Dataset-3'!I124:AA513,2,)</f>
        <v>Tuesday</v>
      </c>
      <c r="K733" s="38">
        <f>VLOOKUP(J733,'Dataset-3'!J124:AB513,2,)</f>
        <v>1</v>
      </c>
      <c r="L733" s="38">
        <f>VLOOKUP(K733,'Dataset-3'!K124:AC513,2,)</f>
        <v>0.24</v>
      </c>
      <c r="M733" s="70" t="str">
        <f>VLOOKUP(L733,'Dataset-3'!L124:AD513,2,)</f>
        <v>Cloudy</v>
      </c>
      <c r="N733" s="38">
        <f>VLOOKUP(M733,'Dataset-3'!M124:AE513,2,)</f>
        <v>0.19700000000000001</v>
      </c>
      <c r="O733" s="38">
        <f>VLOOKUP(N733,'Dataset-3'!N124:AF513,2,)</f>
        <v>0.48</v>
      </c>
      <c r="P733" s="38">
        <f>VLOOKUP(O733,'Dataset-3'!O124:AG513,2,)</f>
        <v>0.55220000000000002</v>
      </c>
      <c r="Q733" s="38">
        <f>VLOOKUP(P733,'Dataset-3'!P124:AH513,2,)</f>
        <v>4</v>
      </c>
      <c r="R733" s="38">
        <f>VLOOKUP(Q733,'Dataset-3'!Q124:AI513,2,)</f>
        <v>71</v>
      </c>
      <c r="S733" s="38">
        <f>VLOOKUP(R733,'Dataset-3'!R124:AJ513,2,)</f>
        <v>75</v>
      </c>
    </row>
    <row r="734" spans="1:19" x14ac:dyDescent="0.35">
      <c r="A734" s="37">
        <v>733</v>
      </c>
      <c r="B734" s="60">
        <f>VLOOKUP(A734,'Dataset-3'!A125:S514,2,)</f>
        <v>40576</v>
      </c>
      <c r="C734" s="38">
        <f>VLOOKUP(B734,'Dataset-3'!B125:T514,2,)</f>
        <v>1</v>
      </c>
      <c r="D734" s="38">
        <f>VLOOKUP(C734,'Dataset-3'!C125:U514,2,)</f>
        <v>0</v>
      </c>
      <c r="E734" s="38">
        <f>VLOOKUP(D734,'Dataset-3'!D125:V514,2,)</f>
        <v>2</v>
      </c>
      <c r="F734" s="38">
        <f>VLOOKUP(E734,'Dataset-3'!E125:W514,2,)</f>
        <v>21</v>
      </c>
      <c r="G734" s="41" t="str">
        <f>VLOOKUP(F734,'Dataset-3'!F125:X514,2,)</f>
        <v>Night</v>
      </c>
      <c r="H734" s="38" t="b">
        <f>VLOOKUP(G734,'Dataset-3'!G125:Y514,2,)</f>
        <v>0</v>
      </c>
      <c r="I734" s="38">
        <f>VLOOKUP(H734,'Dataset-3'!H125:Z514,2,)</f>
        <v>3</v>
      </c>
      <c r="J734" s="41" t="str">
        <f>VLOOKUP(I734,'Dataset-3'!I125:AA514,2,)</f>
        <v>Tuesday</v>
      </c>
      <c r="K734" s="38">
        <f>VLOOKUP(J734,'Dataset-3'!J125:AB514,2,)</f>
        <v>1</v>
      </c>
      <c r="L734" s="38">
        <f>VLOOKUP(K734,'Dataset-3'!K125:AC514,2,)</f>
        <v>0.22</v>
      </c>
      <c r="M734" s="70" t="str">
        <f>VLOOKUP(L734,'Dataset-3'!L125:AD514,2,)</f>
        <v>Cloudy</v>
      </c>
      <c r="N734" s="38">
        <f>VLOOKUP(M734,'Dataset-3'!M125:AE514,2,)</f>
        <v>0.19700000000000001</v>
      </c>
      <c r="O734" s="38">
        <f>VLOOKUP(N734,'Dataset-3'!N125:AF514,2,)</f>
        <v>0.47</v>
      </c>
      <c r="P734" s="38">
        <f>VLOOKUP(O734,'Dataset-3'!O125:AG514,2,)</f>
        <v>0.32840000000000003</v>
      </c>
      <c r="Q734" s="38">
        <f>VLOOKUP(P734,'Dataset-3'!P125:AH514,2,)</f>
        <v>1</v>
      </c>
      <c r="R734" s="38">
        <f>VLOOKUP(Q734,'Dataset-3'!Q125:AI514,2,)</f>
        <v>62</v>
      </c>
      <c r="S734" s="38">
        <f>VLOOKUP(R734,'Dataset-3'!R125:AJ514,2,)</f>
        <v>63</v>
      </c>
    </row>
    <row r="735" spans="1:19" x14ac:dyDescent="0.35">
      <c r="A735" s="37">
        <v>734</v>
      </c>
      <c r="B735" s="60">
        <f>VLOOKUP(A735,'Dataset-3'!A126:S515,2,)</f>
        <v>40576</v>
      </c>
      <c r="C735" s="38">
        <f>VLOOKUP(B735,'Dataset-3'!B126:T515,2,)</f>
        <v>1</v>
      </c>
      <c r="D735" s="38">
        <f>VLOOKUP(C735,'Dataset-3'!C126:U515,2,)</f>
        <v>0</v>
      </c>
      <c r="E735" s="38">
        <f>VLOOKUP(D735,'Dataset-3'!D126:V515,2,)</f>
        <v>2</v>
      </c>
      <c r="F735" s="38">
        <f>VLOOKUP(E735,'Dataset-3'!E126:W515,2,)</f>
        <v>22</v>
      </c>
      <c r="G735" s="41" t="str">
        <f>VLOOKUP(F735,'Dataset-3'!F126:X515,2,)</f>
        <v>Night</v>
      </c>
      <c r="H735" s="38" t="b">
        <f>VLOOKUP(G735,'Dataset-3'!G126:Y515,2,)</f>
        <v>0</v>
      </c>
      <c r="I735" s="38">
        <f>VLOOKUP(H735,'Dataset-3'!H126:Z515,2,)</f>
        <v>3</v>
      </c>
      <c r="J735" s="41" t="str">
        <f>VLOOKUP(I735,'Dataset-3'!I126:AA515,2,)</f>
        <v>Tuesday</v>
      </c>
      <c r="K735" s="38">
        <f>VLOOKUP(J735,'Dataset-3'!J126:AB515,2,)</f>
        <v>1</v>
      </c>
      <c r="L735" s="38">
        <f>VLOOKUP(K735,'Dataset-3'!K126:AC515,2,)</f>
        <v>0.22</v>
      </c>
      <c r="M735" s="70" t="str">
        <f>VLOOKUP(L735,'Dataset-3'!L126:AD515,2,)</f>
        <v>Cloudy</v>
      </c>
      <c r="N735" s="38">
        <f>VLOOKUP(M735,'Dataset-3'!M126:AE515,2,)</f>
        <v>0.21210000000000001</v>
      </c>
      <c r="O735" s="38">
        <f>VLOOKUP(N735,'Dataset-3'!N126:AF515,2,)</f>
        <v>0.44</v>
      </c>
      <c r="P735" s="38">
        <f>VLOOKUP(O735,'Dataset-3'!O126:AG515,2,)</f>
        <v>0.25369999999999998</v>
      </c>
      <c r="Q735" s="38">
        <f>VLOOKUP(P735,'Dataset-3'!P126:AH515,2,)</f>
        <v>5</v>
      </c>
      <c r="R735" s="38">
        <f>VLOOKUP(Q735,'Dataset-3'!Q126:AI515,2,)</f>
        <v>35</v>
      </c>
      <c r="S735" s="38">
        <f>VLOOKUP(R735,'Dataset-3'!R126:AJ515,2,)</f>
        <v>40</v>
      </c>
    </row>
    <row r="736" spans="1:19" x14ac:dyDescent="0.35">
      <c r="A736" s="37">
        <v>735</v>
      </c>
      <c r="B736" s="60">
        <f>VLOOKUP(A736,'Dataset-3'!A127:S516,2,)</f>
        <v>40576</v>
      </c>
      <c r="C736" s="38">
        <f>VLOOKUP(B736,'Dataset-3'!B127:T516,2,)</f>
        <v>1</v>
      </c>
      <c r="D736" s="38">
        <f>VLOOKUP(C736,'Dataset-3'!C127:U516,2,)</f>
        <v>0</v>
      </c>
      <c r="E736" s="38">
        <f>VLOOKUP(D736,'Dataset-3'!D127:V516,2,)</f>
        <v>2</v>
      </c>
      <c r="F736" s="38">
        <f>VLOOKUP(E736,'Dataset-3'!E127:W516,2,)</f>
        <v>23</v>
      </c>
      <c r="G736" s="41" t="str">
        <f>VLOOKUP(F736,'Dataset-3'!F127:X516,2,)</f>
        <v>Night</v>
      </c>
      <c r="H736" s="38" t="b">
        <f>VLOOKUP(G736,'Dataset-3'!G127:Y516,2,)</f>
        <v>0</v>
      </c>
      <c r="I736" s="38">
        <f>VLOOKUP(H736,'Dataset-3'!H127:Z516,2,)</f>
        <v>3</v>
      </c>
      <c r="J736" s="41" t="str">
        <f>VLOOKUP(I736,'Dataset-3'!I127:AA516,2,)</f>
        <v>Tuesday</v>
      </c>
      <c r="K736" s="38">
        <f>VLOOKUP(J736,'Dataset-3'!J127:AB516,2,)</f>
        <v>1</v>
      </c>
      <c r="L736" s="38">
        <f>VLOOKUP(K736,'Dataset-3'!K127:AC516,2,)</f>
        <v>0.2</v>
      </c>
      <c r="M736" s="70" t="str">
        <f>VLOOKUP(L736,'Dataset-3'!L127:AD516,2,)</f>
        <v>Rainy</v>
      </c>
      <c r="N736" s="38">
        <f>VLOOKUP(M736,'Dataset-3'!M127:AE516,2,)</f>
        <v>0.16669999999999999</v>
      </c>
      <c r="O736" s="38">
        <f>VLOOKUP(N736,'Dataset-3'!N127:AF516,2,)</f>
        <v>0.44</v>
      </c>
      <c r="P736" s="38">
        <f>VLOOKUP(O736,'Dataset-3'!O127:AG516,2,)</f>
        <v>0.44779999999999998</v>
      </c>
      <c r="Q736" s="38">
        <f>VLOOKUP(P736,'Dataset-3'!P127:AH516,2,)</f>
        <v>3</v>
      </c>
      <c r="R736" s="38">
        <f>VLOOKUP(Q736,'Dataset-3'!Q127:AI516,2,)</f>
        <v>29</v>
      </c>
      <c r="S736" s="38">
        <f>VLOOKUP(R736,'Dataset-3'!R127:AJ516,2,)</f>
        <v>32</v>
      </c>
    </row>
    <row r="737" spans="1:19" x14ac:dyDescent="0.35">
      <c r="A737" s="37">
        <v>736</v>
      </c>
      <c r="B737" s="60">
        <f>VLOOKUP(A737,'Dataset-3'!A128:S517,2,)</f>
        <v>40577</v>
      </c>
      <c r="C737" s="38">
        <f>VLOOKUP(B737,'Dataset-3'!B128:T517,2,)</f>
        <v>1</v>
      </c>
      <c r="D737" s="38">
        <f>VLOOKUP(C737,'Dataset-3'!C128:U517,2,)</f>
        <v>0</v>
      </c>
      <c r="E737" s="38">
        <f>VLOOKUP(D737,'Dataset-3'!D128:V517,2,)</f>
        <v>2</v>
      </c>
      <c r="F737" s="38">
        <f>VLOOKUP(E737,'Dataset-3'!E128:W517,2,)</f>
        <v>0</v>
      </c>
      <c r="G737" s="41" t="str">
        <f>VLOOKUP(F737,'Dataset-3'!F128:X517,2,)</f>
        <v>Night</v>
      </c>
      <c r="H737" s="38" t="b">
        <f>VLOOKUP(G737,'Dataset-3'!G128:Y517,2,)</f>
        <v>0</v>
      </c>
      <c r="I737" s="38">
        <f>VLOOKUP(H737,'Dataset-3'!H128:Z517,2,)</f>
        <v>4</v>
      </c>
      <c r="J737" s="41" t="str">
        <f>VLOOKUP(I737,'Dataset-3'!I128:AA517,2,)</f>
        <v>Wednesday</v>
      </c>
      <c r="K737" s="38">
        <f>VLOOKUP(J737,'Dataset-3'!J128:AB517,2,)</f>
        <v>1</v>
      </c>
      <c r="L737" s="38">
        <f>VLOOKUP(K737,'Dataset-3'!K128:AC517,2,)</f>
        <v>0.2</v>
      </c>
      <c r="M737" s="70" t="str">
        <f>VLOOKUP(L737,'Dataset-3'!L128:AD517,2,)</f>
        <v>Rainy</v>
      </c>
      <c r="N737" s="38">
        <f>VLOOKUP(M737,'Dataset-3'!M128:AE517,2,)</f>
        <v>0.16669999999999999</v>
      </c>
      <c r="O737" s="38">
        <f>VLOOKUP(N737,'Dataset-3'!N128:AF517,2,)</f>
        <v>0.4</v>
      </c>
      <c r="P737" s="38">
        <f>VLOOKUP(O737,'Dataset-3'!O128:AG517,2,)</f>
        <v>0.44779999999999998</v>
      </c>
      <c r="Q737" s="38">
        <f>VLOOKUP(P737,'Dataset-3'!P128:AH517,2,)</f>
        <v>1</v>
      </c>
      <c r="R737" s="38">
        <f>VLOOKUP(Q737,'Dataset-3'!Q128:AI517,2,)</f>
        <v>11</v>
      </c>
      <c r="S737" s="38">
        <f>VLOOKUP(R737,'Dataset-3'!R128:AJ517,2,)</f>
        <v>12</v>
      </c>
    </row>
    <row r="738" spans="1:19" x14ac:dyDescent="0.35">
      <c r="A738" s="37">
        <v>737</v>
      </c>
      <c r="B738" s="60">
        <f>VLOOKUP(A738,'Dataset-3'!A129:S518,2,)</f>
        <v>40577</v>
      </c>
      <c r="C738" s="38">
        <f>VLOOKUP(B738,'Dataset-3'!B129:T518,2,)</f>
        <v>1</v>
      </c>
      <c r="D738" s="38">
        <f>VLOOKUP(C738,'Dataset-3'!C129:U518,2,)</f>
        <v>0</v>
      </c>
      <c r="E738" s="38">
        <f>VLOOKUP(D738,'Dataset-3'!D129:V518,2,)</f>
        <v>2</v>
      </c>
      <c r="F738" s="38">
        <f>VLOOKUP(E738,'Dataset-3'!E129:W518,2,)</f>
        <v>1</v>
      </c>
      <c r="G738" s="41" t="str">
        <f>VLOOKUP(F738,'Dataset-3'!F129:X518,2,)</f>
        <v>Night</v>
      </c>
      <c r="H738" s="38" t="b">
        <f>VLOOKUP(G738,'Dataset-3'!G129:Y518,2,)</f>
        <v>0</v>
      </c>
      <c r="I738" s="38">
        <f>VLOOKUP(H738,'Dataset-3'!H129:Z518,2,)</f>
        <v>4</v>
      </c>
      <c r="J738" s="41" t="str">
        <f>VLOOKUP(I738,'Dataset-3'!I129:AA518,2,)</f>
        <v>Wednesday</v>
      </c>
      <c r="K738" s="38">
        <f>VLOOKUP(J738,'Dataset-3'!J129:AB518,2,)</f>
        <v>1</v>
      </c>
      <c r="L738" s="38">
        <f>VLOOKUP(K738,'Dataset-3'!K129:AC518,2,)</f>
        <v>0.2</v>
      </c>
      <c r="M738" s="70" t="str">
        <f>VLOOKUP(L738,'Dataset-3'!L129:AD518,2,)</f>
        <v>Rainy</v>
      </c>
      <c r="N738" s="38">
        <f>VLOOKUP(M738,'Dataset-3'!M129:AE518,2,)</f>
        <v>0.1515</v>
      </c>
      <c r="O738" s="38">
        <f>VLOOKUP(N738,'Dataset-3'!N129:AF518,2,)</f>
        <v>0.44</v>
      </c>
      <c r="P738" s="38">
        <f>VLOOKUP(O738,'Dataset-3'!O129:AG518,2,)</f>
        <v>0.52239999999999998</v>
      </c>
      <c r="Q738" s="38">
        <f>VLOOKUP(P738,'Dataset-3'!P129:AH518,2,)</f>
        <v>0</v>
      </c>
      <c r="R738" s="38">
        <f>VLOOKUP(Q738,'Dataset-3'!Q129:AI518,2,)</f>
        <v>5</v>
      </c>
      <c r="S738" s="38">
        <f>VLOOKUP(R738,'Dataset-3'!R129:AJ518,2,)</f>
        <v>5</v>
      </c>
    </row>
    <row r="739" spans="1:19" x14ac:dyDescent="0.35">
      <c r="A739" s="37">
        <v>738</v>
      </c>
      <c r="B739" s="60">
        <f>VLOOKUP(A739,'Dataset-3'!A130:S519,2,)</f>
        <v>40577</v>
      </c>
      <c r="C739" s="38">
        <f>VLOOKUP(B739,'Dataset-3'!B130:T519,2,)</f>
        <v>1</v>
      </c>
      <c r="D739" s="38">
        <f>VLOOKUP(C739,'Dataset-3'!C130:U519,2,)</f>
        <v>0</v>
      </c>
      <c r="E739" s="38">
        <f>VLOOKUP(D739,'Dataset-3'!D130:V519,2,)</f>
        <v>2</v>
      </c>
      <c r="F739" s="38">
        <f>VLOOKUP(E739,'Dataset-3'!E130:W519,2,)</f>
        <v>2</v>
      </c>
      <c r="G739" s="41" t="str">
        <f>VLOOKUP(F739,'Dataset-3'!F130:X519,2,)</f>
        <v>Night</v>
      </c>
      <c r="H739" s="38" t="b">
        <f>VLOOKUP(G739,'Dataset-3'!G130:Y519,2,)</f>
        <v>0</v>
      </c>
      <c r="I739" s="38">
        <f>VLOOKUP(H739,'Dataset-3'!H130:Z519,2,)</f>
        <v>4</v>
      </c>
      <c r="J739" s="41" t="str">
        <f>VLOOKUP(I739,'Dataset-3'!I130:AA519,2,)</f>
        <v>Wednesday</v>
      </c>
      <c r="K739" s="38">
        <f>VLOOKUP(J739,'Dataset-3'!J130:AB519,2,)</f>
        <v>1</v>
      </c>
      <c r="L739" s="38">
        <f>VLOOKUP(K739,'Dataset-3'!K130:AC519,2,)</f>
        <v>0.18</v>
      </c>
      <c r="M739" s="70" t="str">
        <f>VLOOKUP(L739,'Dataset-3'!L130:AD519,2,)</f>
        <v>Rainy</v>
      </c>
      <c r="N739" s="38">
        <f>VLOOKUP(M739,'Dataset-3'!M130:AE519,2,)</f>
        <v>0.16669999999999999</v>
      </c>
      <c r="O739" s="38">
        <f>VLOOKUP(N739,'Dataset-3'!N130:AF519,2,)</f>
        <v>0.43</v>
      </c>
      <c r="P739" s="38">
        <f>VLOOKUP(O739,'Dataset-3'!O130:AG519,2,)</f>
        <v>0.25369999999999998</v>
      </c>
      <c r="Q739" s="38">
        <f>VLOOKUP(P739,'Dataset-3'!P130:AH519,2,)</f>
        <v>0</v>
      </c>
      <c r="R739" s="38">
        <f>VLOOKUP(Q739,'Dataset-3'!Q130:AI519,2,)</f>
        <v>2</v>
      </c>
      <c r="S739" s="38">
        <f>VLOOKUP(R739,'Dataset-3'!R130:AJ519,2,)</f>
        <v>2</v>
      </c>
    </row>
    <row r="740" spans="1:19" x14ac:dyDescent="0.35">
      <c r="A740" s="37">
        <v>739</v>
      </c>
      <c r="B740" s="60">
        <f>VLOOKUP(A740,'Dataset-3'!A131:S520,2,)</f>
        <v>40577</v>
      </c>
      <c r="C740" s="38">
        <f>VLOOKUP(B740,'Dataset-3'!B131:T520,2,)</f>
        <v>1</v>
      </c>
      <c r="D740" s="38">
        <f>VLOOKUP(C740,'Dataset-3'!C131:U520,2,)</f>
        <v>0</v>
      </c>
      <c r="E740" s="38">
        <f>VLOOKUP(D740,'Dataset-3'!D131:V520,2,)</f>
        <v>2</v>
      </c>
      <c r="F740" s="38">
        <f>VLOOKUP(E740,'Dataset-3'!E131:W520,2,)</f>
        <v>3</v>
      </c>
      <c r="G740" s="41" t="str">
        <f>VLOOKUP(F740,'Dataset-3'!F131:X520,2,)</f>
        <v>Night</v>
      </c>
      <c r="H740" s="38" t="b">
        <f>VLOOKUP(G740,'Dataset-3'!G131:Y520,2,)</f>
        <v>0</v>
      </c>
      <c r="I740" s="38">
        <f>VLOOKUP(H740,'Dataset-3'!H131:Z520,2,)</f>
        <v>4</v>
      </c>
      <c r="J740" s="41" t="str">
        <f>VLOOKUP(I740,'Dataset-3'!I131:AA520,2,)</f>
        <v>Wednesday</v>
      </c>
      <c r="K740" s="38">
        <f>VLOOKUP(J740,'Dataset-3'!J131:AB520,2,)</f>
        <v>1</v>
      </c>
      <c r="L740" s="38">
        <f>VLOOKUP(K740,'Dataset-3'!K131:AC520,2,)</f>
        <v>0.18</v>
      </c>
      <c r="M740" s="70" t="str">
        <f>VLOOKUP(L740,'Dataset-3'!L131:AD520,2,)</f>
        <v>Rainy</v>
      </c>
      <c r="N740" s="38">
        <f>VLOOKUP(M740,'Dataset-3'!M131:AE520,2,)</f>
        <v>0.16669999999999999</v>
      </c>
      <c r="O740" s="38">
        <f>VLOOKUP(N740,'Dataset-3'!N131:AF520,2,)</f>
        <v>0.43</v>
      </c>
      <c r="P740" s="38">
        <f>VLOOKUP(O740,'Dataset-3'!O131:AG520,2,)</f>
        <v>0.25369999999999998</v>
      </c>
      <c r="Q740" s="38">
        <f>VLOOKUP(P740,'Dataset-3'!P131:AH520,2,)</f>
        <v>0</v>
      </c>
      <c r="R740" s="38">
        <f>VLOOKUP(Q740,'Dataset-3'!Q131:AI520,2,)</f>
        <v>1</v>
      </c>
      <c r="S740" s="38">
        <f>VLOOKUP(R740,'Dataset-3'!R131:AJ520,2,)</f>
        <v>1</v>
      </c>
    </row>
    <row r="741" spans="1:19" x14ac:dyDescent="0.35">
      <c r="A741" s="37">
        <v>740</v>
      </c>
      <c r="B741" s="60">
        <f>VLOOKUP(A741,'Dataset-3'!A132:S521,2,)</f>
        <v>40577</v>
      </c>
      <c r="C741" s="38">
        <f>VLOOKUP(B741,'Dataset-3'!B132:T521,2,)</f>
        <v>1</v>
      </c>
      <c r="D741" s="38">
        <f>VLOOKUP(C741,'Dataset-3'!C132:U521,2,)</f>
        <v>0</v>
      </c>
      <c r="E741" s="38">
        <f>VLOOKUP(D741,'Dataset-3'!D132:V521,2,)</f>
        <v>2</v>
      </c>
      <c r="F741" s="38">
        <f>VLOOKUP(E741,'Dataset-3'!E132:W521,2,)</f>
        <v>5</v>
      </c>
      <c r="G741" s="41" t="str">
        <f>VLOOKUP(F741,'Dataset-3'!F132:X521,2,)</f>
        <v>Morning</v>
      </c>
      <c r="H741" s="38" t="b">
        <f>VLOOKUP(G741,'Dataset-3'!G132:Y521,2,)</f>
        <v>0</v>
      </c>
      <c r="I741" s="38">
        <f>VLOOKUP(H741,'Dataset-3'!H132:Z521,2,)</f>
        <v>4</v>
      </c>
      <c r="J741" s="41" t="str">
        <f>VLOOKUP(I741,'Dataset-3'!I132:AA521,2,)</f>
        <v>Wednesday</v>
      </c>
      <c r="K741" s="38">
        <f>VLOOKUP(J741,'Dataset-3'!J132:AB521,2,)</f>
        <v>1</v>
      </c>
      <c r="L741" s="38">
        <f>VLOOKUP(K741,'Dataset-3'!K132:AC521,2,)</f>
        <v>0.16</v>
      </c>
      <c r="M741" s="70" t="str">
        <f>VLOOKUP(L741,'Dataset-3'!L132:AD521,2,)</f>
        <v>Rainy</v>
      </c>
      <c r="N741" s="38">
        <f>VLOOKUP(M741,'Dataset-3'!M132:AE521,2,)</f>
        <v>0.13639999999999999</v>
      </c>
      <c r="O741" s="38">
        <f>VLOOKUP(N741,'Dataset-3'!N132:AF521,2,)</f>
        <v>0.5</v>
      </c>
      <c r="P741" s="38">
        <f>VLOOKUP(O741,'Dataset-3'!O132:AG521,2,)</f>
        <v>0.29849999999999999</v>
      </c>
      <c r="Q741" s="38">
        <f>VLOOKUP(P741,'Dataset-3'!P132:AH521,2,)</f>
        <v>0</v>
      </c>
      <c r="R741" s="38">
        <f>VLOOKUP(Q741,'Dataset-3'!Q132:AI521,2,)</f>
        <v>2</v>
      </c>
      <c r="S741" s="38">
        <f>VLOOKUP(R741,'Dataset-3'!R132:AJ521,2,)</f>
        <v>2</v>
      </c>
    </row>
    <row r="742" spans="1:19" x14ac:dyDescent="0.35">
      <c r="A742" s="37">
        <v>741</v>
      </c>
      <c r="B742" s="60">
        <f>VLOOKUP(A742,'Dataset-3'!A133:S522,2,)</f>
        <v>40577</v>
      </c>
      <c r="C742" s="38">
        <f>VLOOKUP(B742,'Dataset-3'!B133:T522,2,)</f>
        <v>1</v>
      </c>
      <c r="D742" s="38">
        <f>VLOOKUP(C742,'Dataset-3'!C133:U522,2,)</f>
        <v>0</v>
      </c>
      <c r="E742" s="38">
        <f>VLOOKUP(D742,'Dataset-3'!D133:V522,2,)</f>
        <v>2</v>
      </c>
      <c r="F742" s="38">
        <f>VLOOKUP(E742,'Dataset-3'!E133:W522,2,)</f>
        <v>6</v>
      </c>
      <c r="G742" s="41" t="str">
        <f>VLOOKUP(F742,'Dataset-3'!F133:X522,2,)</f>
        <v>Morning</v>
      </c>
      <c r="H742" s="38" t="b">
        <f>VLOOKUP(G742,'Dataset-3'!G133:Y522,2,)</f>
        <v>0</v>
      </c>
      <c r="I742" s="38">
        <f>VLOOKUP(H742,'Dataset-3'!H133:Z522,2,)</f>
        <v>4</v>
      </c>
      <c r="J742" s="41" t="str">
        <f>VLOOKUP(I742,'Dataset-3'!I133:AA522,2,)</f>
        <v>Wednesday</v>
      </c>
      <c r="K742" s="38">
        <f>VLOOKUP(J742,'Dataset-3'!J133:AB522,2,)</f>
        <v>1</v>
      </c>
      <c r="L742" s="38">
        <f>VLOOKUP(K742,'Dataset-3'!K133:AC522,2,)</f>
        <v>0.16</v>
      </c>
      <c r="M742" s="70" t="str">
        <f>VLOOKUP(L742,'Dataset-3'!L133:AD522,2,)</f>
        <v>Rainy</v>
      </c>
      <c r="N742" s="38">
        <f>VLOOKUP(M742,'Dataset-3'!M133:AE522,2,)</f>
        <v>0.13639999999999999</v>
      </c>
      <c r="O742" s="38">
        <f>VLOOKUP(N742,'Dataset-3'!N133:AF522,2,)</f>
        <v>0.43</v>
      </c>
      <c r="P742" s="38">
        <f>VLOOKUP(O742,'Dataset-3'!O133:AG522,2,)</f>
        <v>0.35820000000000002</v>
      </c>
      <c r="Q742" s="38">
        <f>VLOOKUP(P742,'Dataset-3'!P133:AH522,2,)</f>
        <v>0</v>
      </c>
      <c r="R742" s="38">
        <f>VLOOKUP(Q742,'Dataset-3'!Q133:AI522,2,)</f>
        <v>39</v>
      </c>
      <c r="S742" s="38">
        <f>VLOOKUP(R742,'Dataset-3'!R133:AJ522,2,)</f>
        <v>39</v>
      </c>
    </row>
    <row r="743" spans="1:19" x14ac:dyDescent="0.35">
      <c r="A743" s="37">
        <v>742</v>
      </c>
      <c r="B743" s="60">
        <f>VLOOKUP(A743,'Dataset-3'!A134:S523,2,)</f>
        <v>40577</v>
      </c>
      <c r="C743" s="38">
        <f>VLOOKUP(B743,'Dataset-3'!B134:T523,2,)</f>
        <v>1</v>
      </c>
      <c r="D743" s="38">
        <f>VLOOKUP(C743,'Dataset-3'!C134:U523,2,)</f>
        <v>0</v>
      </c>
      <c r="E743" s="38">
        <f>VLOOKUP(D743,'Dataset-3'!D134:V523,2,)</f>
        <v>2</v>
      </c>
      <c r="F743" s="38">
        <f>VLOOKUP(E743,'Dataset-3'!E134:W523,2,)</f>
        <v>7</v>
      </c>
      <c r="G743" s="41" t="str">
        <f>VLOOKUP(F743,'Dataset-3'!F134:X523,2,)</f>
        <v>Morning</v>
      </c>
      <c r="H743" s="38" t="b">
        <f>VLOOKUP(G743,'Dataset-3'!G134:Y523,2,)</f>
        <v>0</v>
      </c>
      <c r="I743" s="38">
        <f>VLOOKUP(H743,'Dataset-3'!H134:Z523,2,)</f>
        <v>4</v>
      </c>
      <c r="J743" s="41" t="str">
        <f>VLOOKUP(I743,'Dataset-3'!I134:AA523,2,)</f>
        <v>Wednesday</v>
      </c>
      <c r="K743" s="38">
        <f>VLOOKUP(J743,'Dataset-3'!J134:AB523,2,)</f>
        <v>1</v>
      </c>
      <c r="L743" s="38">
        <f>VLOOKUP(K743,'Dataset-3'!K134:AC523,2,)</f>
        <v>0.14000000000000001</v>
      </c>
      <c r="M743" s="70" t="str">
        <f>VLOOKUP(L743,'Dataset-3'!L134:AD523,2,)</f>
        <v>Rainy</v>
      </c>
      <c r="N743" s="38">
        <f>VLOOKUP(M743,'Dataset-3'!M134:AE523,2,)</f>
        <v>0.1212</v>
      </c>
      <c r="O743" s="38">
        <f>VLOOKUP(N743,'Dataset-3'!N134:AF523,2,)</f>
        <v>0.5</v>
      </c>
      <c r="P743" s="38">
        <f>VLOOKUP(O743,'Dataset-3'!O134:AG523,2,)</f>
        <v>0.32840000000000003</v>
      </c>
      <c r="Q743" s="38">
        <f>VLOOKUP(P743,'Dataset-3'!P134:AH523,2,)</f>
        <v>1</v>
      </c>
      <c r="R743" s="38">
        <f>VLOOKUP(Q743,'Dataset-3'!Q134:AI523,2,)</f>
        <v>86</v>
      </c>
      <c r="S743" s="38">
        <f>VLOOKUP(R743,'Dataset-3'!R134:AJ523,2,)</f>
        <v>87</v>
      </c>
    </row>
    <row r="744" spans="1:19" x14ac:dyDescent="0.35">
      <c r="A744" s="37">
        <v>743</v>
      </c>
      <c r="B744" s="60">
        <f>VLOOKUP(A744,'Dataset-3'!A135:S524,2,)</f>
        <v>40577</v>
      </c>
      <c r="C744" s="38">
        <f>VLOOKUP(B744,'Dataset-3'!B135:T524,2,)</f>
        <v>1</v>
      </c>
      <c r="D744" s="38">
        <f>VLOOKUP(C744,'Dataset-3'!C135:U524,2,)</f>
        <v>0</v>
      </c>
      <c r="E744" s="38">
        <f>VLOOKUP(D744,'Dataset-3'!D135:V524,2,)</f>
        <v>2</v>
      </c>
      <c r="F744" s="38">
        <f>VLOOKUP(E744,'Dataset-3'!E135:W524,2,)</f>
        <v>8</v>
      </c>
      <c r="G744" s="41" t="str">
        <f>VLOOKUP(F744,'Dataset-3'!F135:X524,2,)</f>
        <v>Morning</v>
      </c>
      <c r="H744" s="38" t="b">
        <f>VLOOKUP(G744,'Dataset-3'!G135:Y524,2,)</f>
        <v>0</v>
      </c>
      <c r="I744" s="38">
        <f>VLOOKUP(H744,'Dataset-3'!H135:Z524,2,)</f>
        <v>4</v>
      </c>
      <c r="J744" s="41" t="str">
        <f>VLOOKUP(I744,'Dataset-3'!I135:AA524,2,)</f>
        <v>Wednesday</v>
      </c>
      <c r="K744" s="38">
        <f>VLOOKUP(J744,'Dataset-3'!J135:AB524,2,)</f>
        <v>1</v>
      </c>
      <c r="L744" s="38">
        <f>VLOOKUP(K744,'Dataset-3'!K135:AC524,2,)</f>
        <v>0.14000000000000001</v>
      </c>
      <c r="M744" s="70" t="str">
        <f>VLOOKUP(L744,'Dataset-3'!L135:AD524,2,)</f>
        <v>Rainy</v>
      </c>
      <c r="N744" s="38">
        <f>VLOOKUP(M744,'Dataset-3'!M135:AE524,2,)</f>
        <v>0.1212</v>
      </c>
      <c r="O744" s="38">
        <f>VLOOKUP(N744,'Dataset-3'!N135:AF524,2,)</f>
        <v>0.5</v>
      </c>
      <c r="P744" s="38">
        <f>VLOOKUP(O744,'Dataset-3'!O135:AG524,2,)</f>
        <v>0.35820000000000002</v>
      </c>
      <c r="Q744" s="38">
        <f>VLOOKUP(P744,'Dataset-3'!P135:AH524,2,)</f>
        <v>4</v>
      </c>
      <c r="R744" s="38">
        <f>VLOOKUP(Q744,'Dataset-3'!Q135:AI524,2,)</f>
        <v>184</v>
      </c>
      <c r="S744" s="38">
        <f>VLOOKUP(R744,'Dataset-3'!R135:AJ524,2,)</f>
        <v>188</v>
      </c>
    </row>
    <row r="745" spans="1:19" x14ac:dyDescent="0.35">
      <c r="A745" s="37">
        <v>744</v>
      </c>
      <c r="B745" s="60">
        <f>VLOOKUP(A745,'Dataset-3'!A136:S525,2,)</f>
        <v>40577</v>
      </c>
      <c r="C745" s="38">
        <f>VLOOKUP(B745,'Dataset-3'!B136:T525,2,)</f>
        <v>1</v>
      </c>
      <c r="D745" s="38">
        <f>VLOOKUP(C745,'Dataset-3'!C136:U525,2,)</f>
        <v>0</v>
      </c>
      <c r="E745" s="38">
        <f>VLOOKUP(D745,'Dataset-3'!D136:V525,2,)</f>
        <v>2</v>
      </c>
      <c r="F745" s="38">
        <f>VLOOKUP(E745,'Dataset-3'!E136:W525,2,)</f>
        <v>9</v>
      </c>
      <c r="G745" s="41" t="str">
        <f>VLOOKUP(F745,'Dataset-3'!F136:X525,2,)</f>
        <v>Morning</v>
      </c>
      <c r="H745" s="38" t="b">
        <f>VLOOKUP(G745,'Dataset-3'!G136:Y525,2,)</f>
        <v>0</v>
      </c>
      <c r="I745" s="38">
        <f>VLOOKUP(H745,'Dataset-3'!H136:Z525,2,)</f>
        <v>4</v>
      </c>
      <c r="J745" s="41" t="str">
        <f>VLOOKUP(I745,'Dataset-3'!I136:AA525,2,)</f>
        <v>Wednesday</v>
      </c>
      <c r="K745" s="38">
        <f>VLOOKUP(J745,'Dataset-3'!J136:AB525,2,)</f>
        <v>1</v>
      </c>
      <c r="L745" s="38">
        <f>VLOOKUP(K745,'Dataset-3'!K136:AC525,2,)</f>
        <v>0.16</v>
      </c>
      <c r="M745" s="70" t="str">
        <f>VLOOKUP(L745,'Dataset-3'!L136:AD525,2,)</f>
        <v>Rainy</v>
      </c>
      <c r="N745" s="38">
        <f>VLOOKUP(M745,'Dataset-3'!M136:AE525,2,)</f>
        <v>0.13639999999999999</v>
      </c>
      <c r="O745" s="38">
        <f>VLOOKUP(N745,'Dataset-3'!N136:AF525,2,)</f>
        <v>0.47</v>
      </c>
      <c r="P745" s="38">
        <f>VLOOKUP(O745,'Dataset-3'!O136:AG525,2,)</f>
        <v>0.29849999999999999</v>
      </c>
      <c r="Q745" s="38">
        <f>VLOOKUP(P745,'Dataset-3'!P136:AH525,2,)</f>
        <v>6</v>
      </c>
      <c r="R745" s="38">
        <f>VLOOKUP(Q745,'Dataset-3'!Q136:AI525,2,)</f>
        <v>127</v>
      </c>
      <c r="S745" s="38">
        <f>VLOOKUP(R745,'Dataset-3'!R136:AJ525,2,)</f>
        <v>133</v>
      </c>
    </row>
    <row r="746" spans="1:19" x14ac:dyDescent="0.35">
      <c r="A746" s="37">
        <v>745</v>
      </c>
      <c r="B746" s="60">
        <f>VLOOKUP(A746,'Dataset-3'!A137:S526,2,)</f>
        <v>40577</v>
      </c>
      <c r="C746" s="38">
        <f>VLOOKUP(B746,'Dataset-3'!B137:T526,2,)</f>
        <v>1</v>
      </c>
      <c r="D746" s="38">
        <f>VLOOKUP(C746,'Dataset-3'!C137:U526,2,)</f>
        <v>0</v>
      </c>
      <c r="E746" s="38">
        <f>VLOOKUP(D746,'Dataset-3'!D137:V526,2,)</f>
        <v>2</v>
      </c>
      <c r="F746" s="38">
        <f>VLOOKUP(E746,'Dataset-3'!E137:W526,2,)</f>
        <v>10</v>
      </c>
      <c r="G746" s="41" t="str">
        <f>VLOOKUP(F746,'Dataset-3'!F137:X526,2,)</f>
        <v>Morning</v>
      </c>
      <c r="H746" s="38" t="b">
        <f>VLOOKUP(G746,'Dataset-3'!G137:Y526,2,)</f>
        <v>0</v>
      </c>
      <c r="I746" s="38">
        <f>VLOOKUP(H746,'Dataset-3'!H137:Z526,2,)</f>
        <v>4</v>
      </c>
      <c r="J746" s="41" t="str">
        <f>VLOOKUP(I746,'Dataset-3'!I137:AA526,2,)</f>
        <v>Wednesday</v>
      </c>
      <c r="K746" s="38">
        <f>VLOOKUP(J746,'Dataset-3'!J137:AB526,2,)</f>
        <v>1</v>
      </c>
      <c r="L746" s="38">
        <f>VLOOKUP(K746,'Dataset-3'!K137:AC526,2,)</f>
        <v>0.18</v>
      </c>
      <c r="M746" s="70" t="str">
        <f>VLOOKUP(L746,'Dataset-3'!L137:AD526,2,)</f>
        <v>Rainy</v>
      </c>
      <c r="N746" s="38">
        <f>VLOOKUP(M746,'Dataset-3'!M137:AE526,2,)</f>
        <v>0.1515</v>
      </c>
      <c r="O746" s="38">
        <f>VLOOKUP(N746,'Dataset-3'!N137:AF526,2,)</f>
        <v>0.43</v>
      </c>
      <c r="P746" s="38">
        <f>VLOOKUP(O746,'Dataset-3'!O137:AG526,2,)</f>
        <v>0.32840000000000003</v>
      </c>
      <c r="Q746" s="38">
        <f>VLOOKUP(P746,'Dataset-3'!P137:AH526,2,)</f>
        <v>2</v>
      </c>
      <c r="R746" s="38">
        <f>VLOOKUP(Q746,'Dataset-3'!Q137:AI526,2,)</f>
        <v>50</v>
      </c>
      <c r="S746" s="38">
        <f>VLOOKUP(R746,'Dataset-3'!R137:AJ526,2,)</f>
        <v>52</v>
      </c>
    </row>
    <row r="747" spans="1:19" x14ac:dyDescent="0.35">
      <c r="A747" s="37">
        <v>746</v>
      </c>
      <c r="B747" s="60">
        <f>VLOOKUP(A747,'Dataset-3'!A138:S527,2,)</f>
        <v>40577</v>
      </c>
      <c r="C747" s="38">
        <f>VLOOKUP(B747,'Dataset-3'!B138:T527,2,)</f>
        <v>1</v>
      </c>
      <c r="D747" s="38">
        <f>VLOOKUP(C747,'Dataset-3'!C138:U527,2,)</f>
        <v>0</v>
      </c>
      <c r="E747" s="38">
        <f>VLOOKUP(D747,'Dataset-3'!D138:V527,2,)</f>
        <v>2</v>
      </c>
      <c r="F747" s="38">
        <f>VLOOKUP(E747,'Dataset-3'!E138:W527,2,)</f>
        <v>11</v>
      </c>
      <c r="G747" s="41" t="str">
        <f>VLOOKUP(F747,'Dataset-3'!F138:X527,2,)</f>
        <v>Morning</v>
      </c>
      <c r="H747" s="38" t="b">
        <f>VLOOKUP(G747,'Dataset-3'!G138:Y527,2,)</f>
        <v>0</v>
      </c>
      <c r="I747" s="38">
        <f>VLOOKUP(H747,'Dataset-3'!H138:Z527,2,)</f>
        <v>4</v>
      </c>
      <c r="J747" s="41" t="str">
        <f>VLOOKUP(I747,'Dataset-3'!I138:AA527,2,)</f>
        <v>Wednesday</v>
      </c>
      <c r="K747" s="38">
        <f>VLOOKUP(J747,'Dataset-3'!J138:AB527,2,)</f>
        <v>1</v>
      </c>
      <c r="L747" s="38">
        <f>VLOOKUP(K747,'Dataset-3'!K138:AC527,2,)</f>
        <v>0.18</v>
      </c>
      <c r="M747" s="70" t="str">
        <f>VLOOKUP(L747,'Dataset-3'!L138:AD527,2,)</f>
        <v>Rainy</v>
      </c>
      <c r="N747" s="38">
        <f>VLOOKUP(M747,'Dataset-3'!M138:AE527,2,)</f>
        <v>0.13639999999999999</v>
      </c>
      <c r="O747" s="38">
        <f>VLOOKUP(N747,'Dataset-3'!N138:AF527,2,)</f>
        <v>0.43</v>
      </c>
      <c r="P747" s="38">
        <f>VLOOKUP(O747,'Dataset-3'!O138:AG527,2,)</f>
        <v>0.44779999999999998</v>
      </c>
      <c r="Q747" s="38">
        <f>VLOOKUP(P747,'Dataset-3'!P138:AH527,2,)</f>
        <v>9</v>
      </c>
      <c r="R747" s="38">
        <f>VLOOKUP(Q747,'Dataset-3'!Q138:AI527,2,)</f>
        <v>55</v>
      </c>
      <c r="S747" s="38">
        <f>VLOOKUP(R747,'Dataset-3'!R138:AJ527,2,)</f>
        <v>64</v>
      </c>
    </row>
    <row r="748" spans="1:19" x14ac:dyDescent="0.35">
      <c r="A748" s="37">
        <v>747</v>
      </c>
      <c r="B748" s="60">
        <f>VLOOKUP(A748,'Dataset-3'!A139:S528,2,)</f>
        <v>40577</v>
      </c>
      <c r="C748" s="38">
        <f>VLOOKUP(B748,'Dataset-3'!B139:T528,2,)</f>
        <v>1</v>
      </c>
      <c r="D748" s="38">
        <f>VLOOKUP(C748,'Dataset-3'!C139:U528,2,)</f>
        <v>0</v>
      </c>
      <c r="E748" s="38">
        <f>VLOOKUP(D748,'Dataset-3'!D139:V528,2,)</f>
        <v>2</v>
      </c>
      <c r="F748" s="38">
        <f>VLOOKUP(E748,'Dataset-3'!E139:W528,2,)</f>
        <v>12</v>
      </c>
      <c r="G748" s="41" t="str">
        <f>VLOOKUP(F748,'Dataset-3'!F139:X528,2,)</f>
        <v>AfterNoon</v>
      </c>
      <c r="H748" s="38" t="b">
        <f>VLOOKUP(G748,'Dataset-3'!G139:Y528,2,)</f>
        <v>0</v>
      </c>
      <c r="I748" s="38">
        <f>VLOOKUP(H748,'Dataset-3'!H139:Z528,2,)</f>
        <v>4</v>
      </c>
      <c r="J748" s="41" t="str">
        <f>VLOOKUP(I748,'Dataset-3'!I139:AA528,2,)</f>
        <v>Wednesday</v>
      </c>
      <c r="K748" s="38">
        <f>VLOOKUP(J748,'Dataset-3'!J139:AB528,2,)</f>
        <v>1</v>
      </c>
      <c r="L748" s="38">
        <f>VLOOKUP(K748,'Dataset-3'!K139:AC528,2,)</f>
        <v>0.2</v>
      </c>
      <c r="M748" s="70" t="str">
        <f>VLOOKUP(L748,'Dataset-3'!L139:AD528,2,)</f>
        <v>Rainy</v>
      </c>
      <c r="N748" s="38">
        <f>VLOOKUP(M748,'Dataset-3'!M139:AE528,2,)</f>
        <v>0.18179999999999999</v>
      </c>
      <c r="O748" s="38">
        <f>VLOOKUP(N748,'Dataset-3'!N139:AF528,2,)</f>
        <v>0.4</v>
      </c>
      <c r="P748" s="38">
        <f>VLOOKUP(O748,'Dataset-3'!O139:AG528,2,)</f>
        <v>0.35820000000000002</v>
      </c>
      <c r="Q748" s="38">
        <f>VLOOKUP(P748,'Dataset-3'!P139:AH528,2,)</f>
        <v>2</v>
      </c>
      <c r="R748" s="38">
        <f>VLOOKUP(Q748,'Dataset-3'!Q139:AI528,2,)</f>
        <v>67</v>
      </c>
      <c r="S748" s="38">
        <f>VLOOKUP(R748,'Dataset-3'!R139:AJ528,2,)</f>
        <v>69</v>
      </c>
    </row>
    <row r="749" spans="1:19" x14ac:dyDescent="0.35">
      <c r="A749" s="37">
        <v>748</v>
      </c>
      <c r="B749" s="60">
        <f>VLOOKUP(A749,'Dataset-3'!A140:S529,2,)</f>
        <v>40577</v>
      </c>
      <c r="C749" s="38">
        <f>VLOOKUP(B749,'Dataset-3'!B140:T529,2,)</f>
        <v>1</v>
      </c>
      <c r="D749" s="38">
        <f>VLOOKUP(C749,'Dataset-3'!C140:U529,2,)</f>
        <v>0</v>
      </c>
      <c r="E749" s="38">
        <f>VLOOKUP(D749,'Dataset-3'!D140:V529,2,)</f>
        <v>2</v>
      </c>
      <c r="F749" s="38">
        <f>VLOOKUP(E749,'Dataset-3'!E140:W529,2,)</f>
        <v>13</v>
      </c>
      <c r="G749" s="41" t="str">
        <f>VLOOKUP(F749,'Dataset-3'!F140:X529,2,)</f>
        <v>AfterNoon</v>
      </c>
      <c r="H749" s="38" t="b">
        <f>VLOOKUP(G749,'Dataset-3'!G140:Y529,2,)</f>
        <v>0</v>
      </c>
      <c r="I749" s="38">
        <f>VLOOKUP(H749,'Dataset-3'!H140:Z529,2,)</f>
        <v>4</v>
      </c>
      <c r="J749" s="41" t="str">
        <f>VLOOKUP(I749,'Dataset-3'!I140:AA529,2,)</f>
        <v>Wednesday</v>
      </c>
      <c r="K749" s="38">
        <f>VLOOKUP(J749,'Dataset-3'!J140:AB529,2,)</f>
        <v>1</v>
      </c>
      <c r="L749" s="38">
        <f>VLOOKUP(K749,'Dataset-3'!K140:AC529,2,)</f>
        <v>0.2</v>
      </c>
      <c r="M749" s="70" t="str">
        <f>VLOOKUP(L749,'Dataset-3'!L140:AD529,2,)</f>
        <v>Rainy</v>
      </c>
      <c r="N749" s="38">
        <f>VLOOKUP(M749,'Dataset-3'!M140:AE529,2,)</f>
        <v>0.16669999999999999</v>
      </c>
      <c r="O749" s="38">
        <f>VLOOKUP(N749,'Dataset-3'!N140:AF529,2,)</f>
        <v>0.4</v>
      </c>
      <c r="P749" s="38">
        <f>VLOOKUP(O749,'Dataset-3'!O140:AG529,2,)</f>
        <v>0.41789999999999999</v>
      </c>
      <c r="Q749" s="38">
        <f>VLOOKUP(P749,'Dataset-3'!P140:AH529,2,)</f>
        <v>4</v>
      </c>
      <c r="R749" s="38">
        <f>VLOOKUP(Q749,'Dataset-3'!Q140:AI529,2,)</f>
        <v>47</v>
      </c>
      <c r="S749" s="38">
        <f>VLOOKUP(R749,'Dataset-3'!R140:AJ529,2,)</f>
        <v>51</v>
      </c>
    </row>
    <row r="750" spans="1:19" x14ac:dyDescent="0.35">
      <c r="A750" s="37">
        <v>749</v>
      </c>
      <c r="B750" s="60">
        <f>VLOOKUP(A750,'Dataset-3'!A141:S530,2,)</f>
        <v>40577</v>
      </c>
      <c r="C750" s="38">
        <f>VLOOKUP(B750,'Dataset-3'!B141:T530,2,)</f>
        <v>1</v>
      </c>
      <c r="D750" s="38">
        <f>VLOOKUP(C750,'Dataset-3'!C141:U530,2,)</f>
        <v>0</v>
      </c>
      <c r="E750" s="38">
        <f>VLOOKUP(D750,'Dataset-3'!D141:V530,2,)</f>
        <v>2</v>
      </c>
      <c r="F750" s="38">
        <f>VLOOKUP(E750,'Dataset-3'!E141:W530,2,)</f>
        <v>14</v>
      </c>
      <c r="G750" s="41" t="str">
        <f>VLOOKUP(F750,'Dataset-3'!F141:X530,2,)</f>
        <v>AfterNoon</v>
      </c>
      <c r="H750" s="38" t="b">
        <f>VLOOKUP(G750,'Dataset-3'!G141:Y530,2,)</f>
        <v>0</v>
      </c>
      <c r="I750" s="38">
        <f>VLOOKUP(H750,'Dataset-3'!H141:Z530,2,)</f>
        <v>4</v>
      </c>
      <c r="J750" s="41" t="str">
        <f>VLOOKUP(I750,'Dataset-3'!I141:AA530,2,)</f>
        <v>Wednesday</v>
      </c>
      <c r="K750" s="38">
        <f>VLOOKUP(J750,'Dataset-3'!J141:AB530,2,)</f>
        <v>1</v>
      </c>
      <c r="L750" s="38">
        <f>VLOOKUP(K750,'Dataset-3'!K141:AC530,2,)</f>
        <v>0.22</v>
      </c>
      <c r="M750" s="70" t="str">
        <f>VLOOKUP(L750,'Dataset-3'!L141:AD530,2,)</f>
        <v>Cloudy</v>
      </c>
      <c r="N750" s="38">
        <f>VLOOKUP(M750,'Dataset-3'!M141:AE530,2,)</f>
        <v>0.19700000000000001</v>
      </c>
      <c r="O750" s="38">
        <f>VLOOKUP(N750,'Dataset-3'!N141:AF530,2,)</f>
        <v>0.37</v>
      </c>
      <c r="P750" s="38">
        <f>VLOOKUP(O750,'Dataset-3'!O141:AG530,2,)</f>
        <v>0.3881</v>
      </c>
      <c r="Q750" s="38">
        <f>VLOOKUP(P750,'Dataset-3'!P141:AH530,2,)</f>
        <v>4</v>
      </c>
      <c r="R750" s="38">
        <f>VLOOKUP(Q750,'Dataset-3'!Q141:AI530,2,)</f>
        <v>43</v>
      </c>
      <c r="S750" s="38">
        <f>VLOOKUP(R750,'Dataset-3'!R141:AJ530,2,)</f>
        <v>47</v>
      </c>
    </row>
    <row r="751" spans="1:19" x14ac:dyDescent="0.35">
      <c r="A751" s="37">
        <v>750</v>
      </c>
      <c r="B751" s="60">
        <f>VLOOKUP(A751,'Dataset-3'!A142:S531,2,)</f>
        <v>40577</v>
      </c>
      <c r="C751" s="38">
        <f>VLOOKUP(B751,'Dataset-3'!B142:T531,2,)</f>
        <v>1</v>
      </c>
      <c r="D751" s="38">
        <f>VLOOKUP(C751,'Dataset-3'!C142:U531,2,)</f>
        <v>0</v>
      </c>
      <c r="E751" s="38">
        <f>VLOOKUP(D751,'Dataset-3'!D142:V531,2,)</f>
        <v>2</v>
      </c>
      <c r="F751" s="38">
        <f>VLOOKUP(E751,'Dataset-3'!E142:W531,2,)</f>
        <v>15</v>
      </c>
      <c r="G751" s="41" t="str">
        <f>VLOOKUP(F751,'Dataset-3'!F142:X531,2,)</f>
        <v>AfterNoon</v>
      </c>
      <c r="H751" s="38" t="b">
        <f>VLOOKUP(G751,'Dataset-3'!G142:Y531,2,)</f>
        <v>0</v>
      </c>
      <c r="I751" s="38">
        <f>VLOOKUP(H751,'Dataset-3'!H142:Z531,2,)</f>
        <v>4</v>
      </c>
      <c r="J751" s="41" t="str">
        <f>VLOOKUP(I751,'Dataset-3'!I142:AA531,2,)</f>
        <v>Wednesday</v>
      </c>
      <c r="K751" s="38">
        <f>VLOOKUP(J751,'Dataset-3'!J142:AB531,2,)</f>
        <v>1</v>
      </c>
      <c r="L751" s="38">
        <f>VLOOKUP(K751,'Dataset-3'!K142:AC531,2,)</f>
        <v>0.22</v>
      </c>
      <c r="M751" s="70" t="str">
        <f>VLOOKUP(L751,'Dataset-3'!L142:AD531,2,)</f>
        <v>Cloudy</v>
      </c>
      <c r="N751" s="38">
        <f>VLOOKUP(M751,'Dataset-3'!M142:AE531,2,)</f>
        <v>0.19700000000000001</v>
      </c>
      <c r="O751" s="38">
        <f>VLOOKUP(N751,'Dataset-3'!N142:AF531,2,)</f>
        <v>0.37</v>
      </c>
      <c r="P751" s="38">
        <f>VLOOKUP(O751,'Dataset-3'!O142:AG531,2,)</f>
        <v>0.32840000000000003</v>
      </c>
      <c r="Q751" s="38">
        <f>VLOOKUP(P751,'Dataset-3'!P142:AH531,2,)</f>
        <v>4</v>
      </c>
      <c r="R751" s="38">
        <f>VLOOKUP(Q751,'Dataset-3'!Q142:AI531,2,)</f>
        <v>56</v>
      </c>
      <c r="S751" s="38">
        <f>VLOOKUP(R751,'Dataset-3'!R142:AJ531,2,)</f>
        <v>60</v>
      </c>
    </row>
    <row r="752" spans="1:19" x14ac:dyDescent="0.35">
      <c r="A752" s="37">
        <v>751</v>
      </c>
      <c r="B752" s="60">
        <f>VLOOKUP(A752,'Dataset-3'!A143:S532,2,)</f>
        <v>40577</v>
      </c>
      <c r="C752" s="38">
        <f>VLOOKUP(B752,'Dataset-3'!B143:T532,2,)</f>
        <v>1</v>
      </c>
      <c r="D752" s="38">
        <f>VLOOKUP(C752,'Dataset-3'!C143:U532,2,)</f>
        <v>0</v>
      </c>
      <c r="E752" s="38">
        <f>VLOOKUP(D752,'Dataset-3'!D143:V532,2,)</f>
        <v>2</v>
      </c>
      <c r="F752" s="38">
        <f>VLOOKUP(E752,'Dataset-3'!E143:W532,2,)</f>
        <v>16</v>
      </c>
      <c r="G752" s="41" t="str">
        <f>VLOOKUP(F752,'Dataset-3'!F143:X532,2,)</f>
        <v>AfterNoon</v>
      </c>
      <c r="H752" s="38" t="b">
        <f>VLOOKUP(G752,'Dataset-3'!G143:Y532,2,)</f>
        <v>0</v>
      </c>
      <c r="I752" s="38">
        <f>VLOOKUP(H752,'Dataset-3'!H143:Z532,2,)</f>
        <v>4</v>
      </c>
      <c r="J752" s="41" t="str">
        <f>VLOOKUP(I752,'Dataset-3'!I143:AA532,2,)</f>
        <v>Wednesday</v>
      </c>
      <c r="K752" s="38">
        <f>VLOOKUP(J752,'Dataset-3'!J143:AB532,2,)</f>
        <v>1</v>
      </c>
      <c r="L752" s="38">
        <f>VLOOKUP(K752,'Dataset-3'!K143:AC532,2,)</f>
        <v>0.22</v>
      </c>
      <c r="M752" s="70" t="str">
        <f>VLOOKUP(L752,'Dataset-3'!L143:AD532,2,)</f>
        <v>Cloudy</v>
      </c>
      <c r="N752" s="38">
        <f>VLOOKUP(M752,'Dataset-3'!M143:AE532,2,)</f>
        <v>0.21210000000000001</v>
      </c>
      <c r="O752" s="38">
        <f>VLOOKUP(N752,'Dataset-3'!N143:AF532,2,)</f>
        <v>0.37</v>
      </c>
      <c r="P752" s="38">
        <f>VLOOKUP(O752,'Dataset-3'!O143:AG532,2,)</f>
        <v>0.25369999999999998</v>
      </c>
      <c r="Q752" s="38">
        <f>VLOOKUP(P752,'Dataset-3'!P143:AH532,2,)</f>
        <v>5</v>
      </c>
      <c r="R752" s="38">
        <f>VLOOKUP(Q752,'Dataset-3'!Q143:AI532,2,)</f>
        <v>73</v>
      </c>
      <c r="S752" s="38">
        <f>VLOOKUP(R752,'Dataset-3'!R143:AJ532,2,)</f>
        <v>78</v>
      </c>
    </row>
    <row r="753" spans="1:19" x14ac:dyDescent="0.35">
      <c r="A753" s="37">
        <v>752</v>
      </c>
      <c r="B753" s="60">
        <f>VLOOKUP(A753,'Dataset-3'!A144:S533,2,)</f>
        <v>40577</v>
      </c>
      <c r="C753" s="38">
        <f>VLOOKUP(B753,'Dataset-3'!B144:T533,2,)</f>
        <v>1</v>
      </c>
      <c r="D753" s="38">
        <f>VLOOKUP(C753,'Dataset-3'!C144:U533,2,)</f>
        <v>0</v>
      </c>
      <c r="E753" s="38">
        <f>VLOOKUP(D753,'Dataset-3'!D144:V533,2,)</f>
        <v>2</v>
      </c>
      <c r="F753" s="38">
        <f>VLOOKUP(E753,'Dataset-3'!E144:W533,2,)</f>
        <v>17</v>
      </c>
      <c r="G753" s="41" t="str">
        <f>VLOOKUP(F753,'Dataset-3'!F144:X533,2,)</f>
        <v>Evening</v>
      </c>
      <c r="H753" s="38" t="b">
        <f>VLOOKUP(G753,'Dataset-3'!G144:Y533,2,)</f>
        <v>0</v>
      </c>
      <c r="I753" s="38">
        <f>VLOOKUP(H753,'Dataset-3'!H144:Z533,2,)</f>
        <v>4</v>
      </c>
      <c r="J753" s="41" t="str">
        <f>VLOOKUP(I753,'Dataset-3'!I144:AA533,2,)</f>
        <v>Wednesday</v>
      </c>
      <c r="K753" s="38">
        <f>VLOOKUP(J753,'Dataset-3'!J144:AB533,2,)</f>
        <v>1</v>
      </c>
      <c r="L753" s="38">
        <f>VLOOKUP(K753,'Dataset-3'!K144:AC533,2,)</f>
        <v>0.2</v>
      </c>
      <c r="M753" s="70" t="str">
        <f>VLOOKUP(L753,'Dataset-3'!L144:AD533,2,)</f>
        <v>Rainy</v>
      </c>
      <c r="N753" s="38">
        <f>VLOOKUP(M753,'Dataset-3'!M144:AE533,2,)</f>
        <v>0.19700000000000001</v>
      </c>
      <c r="O753" s="38">
        <f>VLOOKUP(N753,'Dataset-3'!N144:AF533,2,)</f>
        <v>0.4</v>
      </c>
      <c r="P753" s="38">
        <f>VLOOKUP(O753,'Dataset-3'!O144:AG533,2,)</f>
        <v>0.19400000000000001</v>
      </c>
      <c r="Q753" s="38">
        <f>VLOOKUP(P753,'Dataset-3'!P144:AH533,2,)</f>
        <v>5</v>
      </c>
      <c r="R753" s="38">
        <f>VLOOKUP(Q753,'Dataset-3'!Q144:AI533,2,)</f>
        <v>170</v>
      </c>
      <c r="S753" s="38">
        <f>VLOOKUP(R753,'Dataset-3'!R144:AJ533,2,)</f>
        <v>175</v>
      </c>
    </row>
    <row r="754" spans="1:19" x14ac:dyDescent="0.35">
      <c r="A754" s="37">
        <v>753</v>
      </c>
      <c r="B754" s="60">
        <f>VLOOKUP(A754,'Dataset-3'!A145:S534,2,)</f>
        <v>40577</v>
      </c>
      <c r="C754" s="38">
        <f>VLOOKUP(B754,'Dataset-3'!B145:T534,2,)</f>
        <v>1</v>
      </c>
      <c r="D754" s="38">
        <f>VLOOKUP(C754,'Dataset-3'!C145:U534,2,)</f>
        <v>0</v>
      </c>
      <c r="E754" s="38">
        <f>VLOOKUP(D754,'Dataset-3'!D145:V534,2,)</f>
        <v>2</v>
      </c>
      <c r="F754" s="38">
        <f>VLOOKUP(E754,'Dataset-3'!E145:W534,2,)</f>
        <v>18</v>
      </c>
      <c r="G754" s="41" t="str">
        <f>VLOOKUP(F754,'Dataset-3'!F145:X534,2,)</f>
        <v>Evening</v>
      </c>
      <c r="H754" s="38" t="b">
        <f>VLOOKUP(G754,'Dataset-3'!G145:Y534,2,)</f>
        <v>0</v>
      </c>
      <c r="I754" s="38">
        <f>VLOOKUP(H754,'Dataset-3'!H145:Z534,2,)</f>
        <v>4</v>
      </c>
      <c r="J754" s="41" t="str">
        <f>VLOOKUP(I754,'Dataset-3'!I145:AA534,2,)</f>
        <v>Wednesday</v>
      </c>
      <c r="K754" s="38">
        <f>VLOOKUP(J754,'Dataset-3'!J145:AB534,2,)</f>
        <v>1</v>
      </c>
      <c r="L754" s="38">
        <f>VLOOKUP(K754,'Dataset-3'!K145:AC534,2,)</f>
        <v>0.2</v>
      </c>
      <c r="M754" s="70" t="str">
        <f>VLOOKUP(L754,'Dataset-3'!L145:AD534,2,)</f>
        <v>Rainy</v>
      </c>
      <c r="N754" s="38">
        <f>VLOOKUP(M754,'Dataset-3'!M145:AE534,2,)</f>
        <v>0.21210000000000001</v>
      </c>
      <c r="O754" s="38">
        <f>VLOOKUP(N754,'Dataset-3'!N145:AF534,2,)</f>
        <v>0.4</v>
      </c>
      <c r="P754" s="38">
        <f>VLOOKUP(O754,'Dataset-3'!O145:AG534,2,)</f>
        <v>0.16420000000000001</v>
      </c>
      <c r="Q754" s="38">
        <f>VLOOKUP(P754,'Dataset-3'!P145:AH534,2,)</f>
        <v>2</v>
      </c>
      <c r="R754" s="38">
        <f>VLOOKUP(Q754,'Dataset-3'!Q145:AI534,2,)</f>
        <v>145</v>
      </c>
      <c r="S754" s="38">
        <f>VLOOKUP(R754,'Dataset-3'!R145:AJ534,2,)</f>
        <v>147</v>
      </c>
    </row>
    <row r="755" spans="1:19" x14ac:dyDescent="0.35">
      <c r="A755" s="37">
        <v>754</v>
      </c>
      <c r="B755" s="60">
        <f>VLOOKUP(A755,'Dataset-3'!A146:S535,2,)</f>
        <v>40577</v>
      </c>
      <c r="C755" s="38">
        <f>VLOOKUP(B755,'Dataset-3'!B146:T535,2,)</f>
        <v>1</v>
      </c>
      <c r="D755" s="38">
        <f>VLOOKUP(C755,'Dataset-3'!C146:U535,2,)</f>
        <v>0</v>
      </c>
      <c r="E755" s="38">
        <f>VLOOKUP(D755,'Dataset-3'!D146:V535,2,)</f>
        <v>2</v>
      </c>
      <c r="F755" s="38">
        <f>VLOOKUP(E755,'Dataset-3'!E146:W535,2,)</f>
        <v>19</v>
      </c>
      <c r="G755" s="41" t="str">
        <f>VLOOKUP(F755,'Dataset-3'!F146:X535,2,)</f>
        <v>Evening</v>
      </c>
      <c r="H755" s="38" t="b">
        <f>VLOOKUP(G755,'Dataset-3'!G146:Y535,2,)</f>
        <v>0</v>
      </c>
      <c r="I755" s="38">
        <f>VLOOKUP(H755,'Dataset-3'!H146:Z535,2,)</f>
        <v>4</v>
      </c>
      <c r="J755" s="41" t="str">
        <f>VLOOKUP(I755,'Dataset-3'!I146:AA535,2,)</f>
        <v>Wednesday</v>
      </c>
      <c r="K755" s="38">
        <f>VLOOKUP(J755,'Dataset-3'!J146:AB535,2,)</f>
        <v>1</v>
      </c>
      <c r="L755" s="38">
        <f>VLOOKUP(K755,'Dataset-3'!K146:AC535,2,)</f>
        <v>0.2</v>
      </c>
      <c r="M755" s="70" t="str">
        <f>VLOOKUP(L755,'Dataset-3'!L146:AD535,2,)</f>
        <v>Rainy</v>
      </c>
      <c r="N755" s="38">
        <f>VLOOKUP(M755,'Dataset-3'!M146:AE535,2,)</f>
        <v>0.2576</v>
      </c>
      <c r="O755" s="38">
        <f>VLOOKUP(N755,'Dataset-3'!N146:AF535,2,)</f>
        <v>0.4</v>
      </c>
      <c r="P755" s="38">
        <f>VLOOKUP(O755,'Dataset-3'!O146:AG535,2,)</f>
        <v>0</v>
      </c>
      <c r="Q755" s="38">
        <f>VLOOKUP(P755,'Dataset-3'!P146:AH535,2,)</f>
        <v>4</v>
      </c>
      <c r="R755" s="38">
        <f>VLOOKUP(Q755,'Dataset-3'!Q146:AI535,2,)</f>
        <v>92</v>
      </c>
      <c r="S755" s="38">
        <f>VLOOKUP(R755,'Dataset-3'!R146:AJ535,2,)</f>
        <v>96</v>
      </c>
    </row>
    <row r="756" spans="1:19" x14ac:dyDescent="0.35">
      <c r="A756" s="37">
        <v>755</v>
      </c>
      <c r="B756" s="60">
        <f>VLOOKUP(A756,'Dataset-3'!A147:S536,2,)</f>
        <v>40577</v>
      </c>
      <c r="C756" s="38">
        <f>VLOOKUP(B756,'Dataset-3'!B147:T536,2,)</f>
        <v>1</v>
      </c>
      <c r="D756" s="38">
        <f>VLOOKUP(C756,'Dataset-3'!C147:U536,2,)</f>
        <v>0</v>
      </c>
      <c r="E756" s="38">
        <f>VLOOKUP(D756,'Dataset-3'!D147:V536,2,)</f>
        <v>2</v>
      </c>
      <c r="F756" s="38">
        <f>VLOOKUP(E756,'Dataset-3'!E147:W536,2,)</f>
        <v>20</v>
      </c>
      <c r="G756" s="41" t="str">
        <f>VLOOKUP(F756,'Dataset-3'!F147:X536,2,)</f>
        <v>Night</v>
      </c>
      <c r="H756" s="38" t="b">
        <f>VLOOKUP(G756,'Dataset-3'!G147:Y536,2,)</f>
        <v>0</v>
      </c>
      <c r="I756" s="38">
        <f>VLOOKUP(H756,'Dataset-3'!H147:Z536,2,)</f>
        <v>4</v>
      </c>
      <c r="J756" s="41" t="str">
        <f>VLOOKUP(I756,'Dataset-3'!I147:AA536,2,)</f>
        <v>Wednesday</v>
      </c>
      <c r="K756" s="38">
        <f>VLOOKUP(J756,'Dataset-3'!J147:AB536,2,)</f>
        <v>1</v>
      </c>
      <c r="L756" s="38">
        <f>VLOOKUP(K756,'Dataset-3'!K147:AC536,2,)</f>
        <v>0.2</v>
      </c>
      <c r="M756" s="70" t="str">
        <f>VLOOKUP(L756,'Dataset-3'!L147:AD536,2,)</f>
        <v>Rainy</v>
      </c>
      <c r="N756" s="38">
        <f>VLOOKUP(M756,'Dataset-3'!M147:AE536,2,)</f>
        <v>0.2273</v>
      </c>
      <c r="O756" s="38">
        <f>VLOOKUP(N756,'Dataset-3'!N147:AF536,2,)</f>
        <v>0.47</v>
      </c>
      <c r="P756" s="38">
        <f>VLOOKUP(O756,'Dataset-3'!O147:AG536,2,)</f>
        <v>8.9599999999999999E-2</v>
      </c>
      <c r="Q756" s="38">
        <f>VLOOKUP(P756,'Dataset-3'!P147:AH536,2,)</f>
        <v>1</v>
      </c>
      <c r="R756" s="38">
        <f>VLOOKUP(Q756,'Dataset-3'!Q147:AI536,2,)</f>
        <v>108</v>
      </c>
      <c r="S756" s="38">
        <f>VLOOKUP(R756,'Dataset-3'!R147:AJ536,2,)</f>
        <v>109</v>
      </c>
    </row>
    <row r="757" spans="1:19" x14ac:dyDescent="0.35">
      <c r="A757" s="37">
        <v>756</v>
      </c>
      <c r="B757" s="60">
        <f>VLOOKUP(A757,'Dataset-3'!A148:S537,2,)</f>
        <v>40577</v>
      </c>
      <c r="C757" s="38">
        <f>VLOOKUP(B757,'Dataset-3'!B148:T537,2,)</f>
        <v>1</v>
      </c>
      <c r="D757" s="38">
        <f>VLOOKUP(C757,'Dataset-3'!C148:U537,2,)</f>
        <v>0</v>
      </c>
      <c r="E757" s="38">
        <f>VLOOKUP(D757,'Dataset-3'!D148:V537,2,)</f>
        <v>2</v>
      </c>
      <c r="F757" s="38">
        <f>VLOOKUP(E757,'Dataset-3'!E148:W537,2,)</f>
        <v>21</v>
      </c>
      <c r="G757" s="41" t="str">
        <f>VLOOKUP(F757,'Dataset-3'!F148:X537,2,)</f>
        <v>Night</v>
      </c>
      <c r="H757" s="38" t="b">
        <f>VLOOKUP(G757,'Dataset-3'!G148:Y537,2,)</f>
        <v>0</v>
      </c>
      <c r="I757" s="38">
        <f>VLOOKUP(H757,'Dataset-3'!H148:Z537,2,)</f>
        <v>4</v>
      </c>
      <c r="J757" s="41" t="str">
        <f>VLOOKUP(I757,'Dataset-3'!I148:AA537,2,)</f>
        <v>Wednesday</v>
      </c>
      <c r="K757" s="38">
        <f>VLOOKUP(J757,'Dataset-3'!J148:AB537,2,)</f>
        <v>1</v>
      </c>
      <c r="L757" s="38">
        <f>VLOOKUP(K757,'Dataset-3'!K148:AC537,2,)</f>
        <v>0.18</v>
      </c>
      <c r="M757" s="70" t="str">
        <f>VLOOKUP(L757,'Dataset-3'!L148:AD537,2,)</f>
        <v>Rainy</v>
      </c>
      <c r="N757" s="38">
        <f>VLOOKUP(M757,'Dataset-3'!M148:AE537,2,)</f>
        <v>0.21210000000000001</v>
      </c>
      <c r="O757" s="38">
        <f>VLOOKUP(N757,'Dataset-3'!N148:AF537,2,)</f>
        <v>0.55000000000000004</v>
      </c>
      <c r="P757" s="38">
        <f>VLOOKUP(O757,'Dataset-3'!O148:AG537,2,)</f>
        <v>0.1045</v>
      </c>
      <c r="Q757" s="38">
        <f>VLOOKUP(P757,'Dataset-3'!P148:AH537,2,)</f>
        <v>1</v>
      </c>
      <c r="R757" s="38">
        <f>VLOOKUP(Q757,'Dataset-3'!Q148:AI537,2,)</f>
        <v>53</v>
      </c>
      <c r="S757" s="38">
        <f>VLOOKUP(R757,'Dataset-3'!R148:AJ537,2,)</f>
        <v>54</v>
      </c>
    </row>
    <row r="758" spans="1:19" x14ac:dyDescent="0.35">
      <c r="A758" s="37">
        <v>757</v>
      </c>
      <c r="B758" s="60">
        <f>VLOOKUP(A758,'Dataset-3'!A149:S538,2,)</f>
        <v>40577</v>
      </c>
      <c r="C758" s="38">
        <f>VLOOKUP(B758,'Dataset-3'!B149:T538,2,)</f>
        <v>1</v>
      </c>
      <c r="D758" s="38">
        <f>VLOOKUP(C758,'Dataset-3'!C149:U538,2,)</f>
        <v>0</v>
      </c>
      <c r="E758" s="38">
        <f>VLOOKUP(D758,'Dataset-3'!D149:V538,2,)</f>
        <v>2</v>
      </c>
      <c r="F758" s="38">
        <f>VLOOKUP(E758,'Dataset-3'!E149:W538,2,)</f>
        <v>22</v>
      </c>
      <c r="G758" s="41" t="str">
        <f>VLOOKUP(F758,'Dataset-3'!F149:X538,2,)</f>
        <v>Night</v>
      </c>
      <c r="H758" s="38" t="b">
        <f>VLOOKUP(G758,'Dataset-3'!G149:Y538,2,)</f>
        <v>0</v>
      </c>
      <c r="I758" s="38">
        <f>VLOOKUP(H758,'Dataset-3'!H149:Z538,2,)</f>
        <v>4</v>
      </c>
      <c r="J758" s="41" t="str">
        <f>VLOOKUP(I758,'Dataset-3'!I149:AA538,2,)</f>
        <v>Wednesday</v>
      </c>
      <c r="K758" s="38">
        <f>VLOOKUP(J758,'Dataset-3'!J149:AB538,2,)</f>
        <v>1</v>
      </c>
      <c r="L758" s="38">
        <f>VLOOKUP(K758,'Dataset-3'!K149:AC538,2,)</f>
        <v>0.18</v>
      </c>
      <c r="M758" s="70" t="str">
        <f>VLOOKUP(L758,'Dataset-3'!L149:AD538,2,)</f>
        <v>Rainy</v>
      </c>
      <c r="N758" s="38">
        <f>VLOOKUP(M758,'Dataset-3'!M149:AE538,2,)</f>
        <v>0.21210000000000001</v>
      </c>
      <c r="O758" s="38">
        <f>VLOOKUP(N758,'Dataset-3'!N149:AF538,2,)</f>
        <v>0.51</v>
      </c>
      <c r="P758" s="38">
        <f>VLOOKUP(O758,'Dataset-3'!O149:AG538,2,)</f>
        <v>8.9599999999999999E-2</v>
      </c>
      <c r="Q758" s="38">
        <f>VLOOKUP(P758,'Dataset-3'!P149:AH538,2,)</f>
        <v>2</v>
      </c>
      <c r="R758" s="38">
        <f>VLOOKUP(Q758,'Dataset-3'!Q149:AI538,2,)</f>
        <v>39</v>
      </c>
      <c r="S758" s="38">
        <f>VLOOKUP(R758,'Dataset-3'!R149:AJ538,2,)</f>
        <v>41</v>
      </c>
    </row>
    <row r="759" spans="1:19" x14ac:dyDescent="0.35">
      <c r="A759" s="37">
        <v>758</v>
      </c>
      <c r="B759" s="60">
        <f>VLOOKUP(A759,'Dataset-3'!A150:S539,2,)</f>
        <v>40577</v>
      </c>
      <c r="C759" s="38">
        <f>VLOOKUP(B759,'Dataset-3'!B150:T539,2,)</f>
        <v>1</v>
      </c>
      <c r="D759" s="38">
        <f>VLOOKUP(C759,'Dataset-3'!C150:U539,2,)</f>
        <v>0</v>
      </c>
      <c r="E759" s="38">
        <f>VLOOKUP(D759,'Dataset-3'!D150:V539,2,)</f>
        <v>2</v>
      </c>
      <c r="F759" s="38">
        <f>VLOOKUP(E759,'Dataset-3'!E150:W539,2,)</f>
        <v>23</v>
      </c>
      <c r="G759" s="41" t="str">
        <f>VLOOKUP(F759,'Dataset-3'!F150:X539,2,)</f>
        <v>Night</v>
      </c>
      <c r="H759" s="38" t="b">
        <f>VLOOKUP(G759,'Dataset-3'!G150:Y539,2,)</f>
        <v>0</v>
      </c>
      <c r="I759" s="38">
        <f>VLOOKUP(H759,'Dataset-3'!H150:Z539,2,)</f>
        <v>4</v>
      </c>
      <c r="J759" s="41" t="str">
        <f>VLOOKUP(I759,'Dataset-3'!I150:AA539,2,)</f>
        <v>Wednesday</v>
      </c>
      <c r="K759" s="38">
        <f>VLOOKUP(J759,'Dataset-3'!J150:AB539,2,)</f>
        <v>1</v>
      </c>
      <c r="L759" s="38">
        <f>VLOOKUP(K759,'Dataset-3'!K150:AC539,2,)</f>
        <v>0.2</v>
      </c>
      <c r="M759" s="70" t="str">
        <f>VLOOKUP(L759,'Dataset-3'!L150:AD539,2,)</f>
        <v>Rainy</v>
      </c>
      <c r="N759" s="38">
        <f>VLOOKUP(M759,'Dataset-3'!M150:AE539,2,)</f>
        <v>0.2273</v>
      </c>
      <c r="O759" s="38">
        <f>VLOOKUP(N759,'Dataset-3'!N150:AF539,2,)</f>
        <v>0.47</v>
      </c>
      <c r="P759" s="38">
        <f>VLOOKUP(O759,'Dataset-3'!O150:AG539,2,)</f>
        <v>0.1045</v>
      </c>
      <c r="Q759" s="38">
        <f>VLOOKUP(P759,'Dataset-3'!P150:AH539,2,)</f>
        <v>4</v>
      </c>
      <c r="R759" s="38">
        <f>VLOOKUP(Q759,'Dataset-3'!Q150:AI539,2,)</f>
        <v>34</v>
      </c>
      <c r="S759" s="38">
        <f>VLOOKUP(R759,'Dataset-3'!R150:AJ539,2,)</f>
        <v>38</v>
      </c>
    </row>
    <row r="760" spans="1:19" x14ac:dyDescent="0.35">
      <c r="A760" s="37">
        <v>759</v>
      </c>
      <c r="B760" s="60">
        <f>VLOOKUP(A760,'Dataset-3'!A151:S540,2,)</f>
        <v>40578</v>
      </c>
      <c r="C760" s="38">
        <f>VLOOKUP(B760,'Dataset-3'!B151:T540,2,)</f>
        <v>1</v>
      </c>
      <c r="D760" s="38">
        <f>VLOOKUP(C760,'Dataset-3'!C151:U540,2,)</f>
        <v>0</v>
      </c>
      <c r="E760" s="38">
        <f>VLOOKUP(D760,'Dataset-3'!D151:V540,2,)</f>
        <v>2</v>
      </c>
      <c r="F760" s="38">
        <f>VLOOKUP(E760,'Dataset-3'!E151:W540,2,)</f>
        <v>0</v>
      </c>
      <c r="G760" s="41" t="str">
        <f>VLOOKUP(F760,'Dataset-3'!F151:X540,2,)</f>
        <v>Night</v>
      </c>
      <c r="H760" s="38" t="b">
        <f>VLOOKUP(G760,'Dataset-3'!G151:Y540,2,)</f>
        <v>0</v>
      </c>
      <c r="I760" s="38">
        <f>VLOOKUP(H760,'Dataset-3'!H151:Z540,2,)</f>
        <v>5</v>
      </c>
      <c r="J760" s="41" t="str">
        <f>VLOOKUP(I760,'Dataset-3'!I151:AA540,2,)</f>
        <v>Thusday</v>
      </c>
      <c r="K760" s="38">
        <f>VLOOKUP(J760,'Dataset-3'!J151:AB540,2,)</f>
        <v>2</v>
      </c>
      <c r="L760" s="38">
        <f>VLOOKUP(K760,'Dataset-3'!K151:AC540,2,)</f>
        <v>0.2</v>
      </c>
      <c r="M760" s="70" t="str">
        <f>VLOOKUP(L760,'Dataset-3'!L151:AD540,2,)</f>
        <v>Rainy</v>
      </c>
      <c r="N760" s="38">
        <f>VLOOKUP(M760,'Dataset-3'!M151:AE540,2,)</f>
        <v>0.2576</v>
      </c>
      <c r="O760" s="38">
        <f>VLOOKUP(N760,'Dataset-3'!N151:AF540,2,)</f>
        <v>0.44</v>
      </c>
      <c r="P760" s="38">
        <f>VLOOKUP(O760,'Dataset-3'!O151:AG540,2,)</f>
        <v>0</v>
      </c>
      <c r="Q760" s="38">
        <f>VLOOKUP(P760,'Dataset-3'!P151:AH540,2,)</f>
        <v>3</v>
      </c>
      <c r="R760" s="38">
        <f>VLOOKUP(Q760,'Dataset-3'!Q151:AI540,2,)</f>
        <v>10</v>
      </c>
      <c r="S760" s="38">
        <f>VLOOKUP(R760,'Dataset-3'!R151:AJ540,2,)</f>
        <v>13</v>
      </c>
    </row>
    <row r="761" spans="1:19" x14ac:dyDescent="0.35">
      <c r="A761" s="37">
        <v>760</v>
      </c>
      <c r="B761" s="60">
        <f>VLOOKUP(A761,'Dataset-3'!A152:S541,2,)</f>
        <v>40578</v>
      </c>
      <c r="C761" s="38">
        <f>VLOOKUP(B761,'Dataset-3'!B152:T541,2,)</f>
        <v>1</v>
      </c>
      <c r="D761" s="38">
        <f>VLOOKUP(C761,'Dataset-3'!C152:U541,2,)</f>
        <v>0</v>
      </c>
      <c r="E761" s="38">
        <f>VLOOKUP(D761,'Dataset-3'!D152:V541,2,)</f>
        <v>2</v>
      </c>
      <c r="F761" s="38">
        <f>VLOOKUP(E761,'Dataset-3'!E152:W541,2,)</f>
        <v>1</v>
      </c>
      <c r="G761" s="41" t="str">
        <f>VLOOKUP(F761,'Dataset-3'!F152:X541,2,)</f>
        <v>Night</v>
      </c>
      <c r="H761" s="38" t="b">
        <f>VLOOKUP(G761,'Dataset-3'!G152:Y541,2,)</f>
        <v>0</v>
      </c>
      <c r="I761" s="38">
        <f>VLOOKUP(H761,'Dataset-3'!H152:Z541,2,)</f>
        <v>5</v>
      </c>
      <c r="J761" s="41" t="str">
        <f>VLOOKUP(I761,'Dataset-3'!I152:AA541,2,)</f>
        <v>Thusday</v>
      </c>
      <c r="K761" s="38">
        <f>VLOOKUP(J761,'Dataset-3'!J152:AB541,2,)</f>
        <v>2</v>
      </c>
      <c r="L761" s="38">
        <f>VLOOKUP(K761,'Dataset-3'!K152:AC541,2,)</f>
        <v>0.16</v>
      </c>
      <c r="M761" s="70" t="str">
        <f>VLOOKUP(L761,'Dataset-3'!L152:AD541,2,)</f>
        <v>Rainy</v>
      </c>
      <c r="N761" s="38">
        <f>VLOOKUP(M761,'Dataset-3'!M152:AE541,2,)</f>
        <v>0.2273</v>
      </c>
      <c r="O761" s="38">
        <f>VLOOKUP(N761,'Dataset-3'!N152:AF541,2,)</f>
        <v>0.59</v>
      </c>
      <c r="P761" s="38">
        <f>VLOOKUP(O761,'Dataset-3'!O152:AG541,2,)</f>
        <v>0</v>
      </c>
      <c r="Q761" s="38">
        <f>VLOOKUP(P761,'Dataset-3'!P152:AH541,2,)</f>
        <v>0</v>
      </c>
      <c r="R761" s="38">
        <f>VLOOKUP(Q761,'Dataset-3'!Q152:AI541,2,)</f>
        <v>7</v>
      </c>
      <c r="S761" s="38">
        <f>VLOOKUP(R761,'Dataset-3'!R152:AJ541,2,)</f>
        <v>7</v>
      </c>
    </row>
    <row r="762" spans="1:19" x14ac:dyDescent="0.35">
      <c r="A762" s="37">
        <v>761</v>
      </c>
      <c r="B762" s="60">
        <f>VLOOKUP(A762,'Dataset-3'!A153:S542,2,)</f>
        <v>40578</v>
      </c>
      <c r="C762" s="38">
        <f>VLOOKUP(B762,'Dataset-3'!B153:T542,2,)</f>
        <v>1</v>
      </c>
      <c r="D762" s="38">
        <f>VLOOKUP(C762,'Dataset-3'!C153:U542,2,)</f>
        <v>0</v>
      </c>
      <c r="E762" s="38">
        <f>VLOOKUP(D762,'Dataset-3'!D153:V542,2,)</f>
        <v>2</v>
      </c>
      <c r="F762" s="38">
        <f>VLOOKUP(E762,'Dataset-3'!E153:W542,2,)</f>
        <v>2</v>
      </c>
      <c r="G762" s="41" t="str">
        <f>VLOOKUP(F762,'Dataset-3'!F153:X542,2,)</f>
        <v>Night</v>
      </c>
      <c r="H762" s="38" t="b">
        <f>VLOOKUP(G762,'Dataset-3'!G153:Y542,2,)</f>
        <v>0</v>
      </c>
      <c r="I762" s="38">
        <f>VLOOKUP(H762,'Dataset-3'!H153:Z542,2,)</f>
        <v>5</v>
      </c>
      <c r="J762" s="41" t="str">
        <f>VLOOKUP(I762,'Dataset-3'!I153:AA542,2,)</f>
        <v>Thusday</v>
      </c>
      <c r="K762" s="38">
        <f>VLOOKUP(J762,'Dataset-3'!J153:AB542,2,)</f>
        <v>2</v>
      </c>
      <c r="L762" s="38">
        <f>VLOOKUP(K762,'Dataset-3'!K153:AC542,2,)</f>
        <v>0.14000000000000001</v>
      </c>
      <c r="M762" s="70" t="str">
        <f>VLOOKUP(L762,'Dataset-3'!L153:AD542,2,)</f>
        <v>Rainy</v>
      </c>
      <c r="N762" s="38">
        <f>VLOOKUP(M762,'Dataset-3'!M153:AE542,2,)</f>
        <v>0.16669999999999999</v>
      </c>
      <c r="O762" s="38">
        <f>VLOOKUP(N762,'Dataset-3'!N153:AF542,2,)</f>
        <v>0.63</v>
      </c>
      <c r="P762" s="38">
        <f>VLOOKUP(O762,'Dataset-3'!O153:AG542,2,)</f>
        <v>0.1045</v>
      </c>
      <c r="Q762" s="38">
        <f>VLOOKUP(P762,'Dataset-3'!P153:AH542,2,)</f>
        <v>0</v>
      </c>
      <c r="R762" s="38">
        <f>VLOOKUP(Q762,'Dataset-3'!Q153:AI542,2,)</f>
        <v>1</v>
      </c>
      <c r="S762" s="38">
        <f>VLOOKUP(R762,'Dataset-3'!R153:AJ542,2,)</f>
        <v>1</v>
      </c>
    </row>
    <row r="763" spans="1:19" x14ac:dyDescent="0.35">
      <c r="A763" s="37">
        <v>762</v>
      </c>
      <c r="B763" s="60">
        <f>VLOOKUP(A763,'Dataset-3'!A154:S543,2,)</f>
        <v>40578</v>
      </c>
      <c r="C763" s="38">
        <f>VLOOKUP(B763,'Dataset-3'!B154:T543,2,)</f>
        <v>1</v>
      </c>
      <c r="D763" s="38">
        <f>VLOOKUP(C763,'Dataset-3'!C154:U543,2,)</f>
        <v>0</v>
      </c>
      <c r="E763" s="38">
        <f>VLOOKUP(D763,'Dataset-3'!D154:V543,2,)</f>
        <v>2</v>
      </c>
      <c r="F763" s="38">
        <f>VLOOKUP(E763,'Dataset-3'!E154:W543,2,)</f>
        <v>3</v>
      </c>
      <c r="G763" s="41" t="str">
        <f>VLOOKUP(F763,'Dataset-3'!F154:X543,2,)</f>
        <v>Night</v>
      </c>
      <c r="H763" s="38" t="b">
        <f>VLOOKUP(G763,'Dataset-3'!G154:Y543,2,)</f>
        <v>0</v>
      </c>
      <c r="I763" s="38">
        <f>VLOOKUP(H763,'Dataset-3'!H154:Z543,2,)</f>
        <v>5</v>
      </c>
      <c r="J763" s="41" t="str">
        <f>VLOOKUP(I763,'Dataset-3'!I154:AA543,2,)</f>
        <v>Thusday</v>
      </c>
      <c r="K763" s="38">
        <f>VLOOKUP(J763,'Dataset-3'!J154:AB543,2,)</f>
        <v>2</v>
      </c>
      <c r="L763" s="38">
        <f>VLOOKUP(K763,'Dataset-3'!K154:AC543,2,)</f>
        <v>0.14000000000000001</v>
      </c>
      <c r="M763" s="70" t="str">
        <f>VLOOKUP(L763,'Dataset-3'!L154:AD543,2,)</f>
        <v>Rainy</v>
      </c>
      <c r="N763" s="38">
        <f>VLOOKUP(M763,'Dataset-3'!M154:AE543,2,)</f>
        <v>0.16669999999999999</v>
      </c>
      <c r="O763" s="38">
        <f>VLOOKUP(N763,'Dataset-3'!N154:AF543,2,)</f>
        <v>0.63</v>
      </c>
      <c r="P763" s="38">
        <f>VLOOKUP(O763,'Dataset-3'!O154:AG543,2,)</f>
        <v>0.1045</v>
      </c>
      <c r="Q763" s="38">
        <f>VLOOKUP(P763,'Dataset-3'!P154:AH543,2,)</f>
        <v>0</v>
      </c>
      <c r="R763" s="38">
        <f>VLOOKUP(Q763,'Dataset-3'!Q154:AI543,2,)</f>
        <v>1</v>
      </c>
      <c r="S763" s="38">
        <f>VLOOKUP(R763,'Dataset-3'!R154:AJ543,2,)</f>
        <v>1</v>
      </c>
    </row>
    <row r="764" spans="1:19" x14ac:dyDescent="0.35">
      <c r="A764" s="37">
        <v>763</v>
      </c>
      <c r="B764" s="60">
        <f>VLOOKUP(A764,'Dataset-3'!A155:S544,2,)</f>
        <v>40578</v>
      </c>
      <c r="C764" s="38">
        <f>VLOOKUP(B764,'Dataset-3'!B155:T544,2,)</f>
        <v>1</v>
      </c>
      <c r="D764" s="38">
        <f>VLOOKUP(C764,'Dataset-3'!C155:U544,2,)</f>
        <v>0</v>
      </c>
      <c r="E764" s="38">
        <f>VLOOKUP(D764,'Dataset-3'!D155:V544,2,)</f>
        <v>2</v>
      </c>
      <c r="F764" s="38">
        <f>VLOOKUP(E764,'Dataset-3'!E155:W544,2,)</f>
        <v>5</v>
      </c>
      <c r="G764" s="41" t="str">
        <f>VLOOKUP(F764,'Dataset-3'!F155:X544,2,)</f>
        <v>Morning</v>
      </c>
      <c r="H764" s="38" t="b">
        <f>VLOOKUP(G764,'Dataset-3'!G155:Y544,2,)</f>
        <v>0</v>
      </c>
      <c r="I764" s="38">
        <f>VLOOKUP(H764,'Dataset-3'!H155:Z544,2,)</f>
        <v>5</v>
      </c>
      <c r="J764" s="41" t="str">
        <f>VLOOKUP(I764,'Dataset-3'!I155:AA544,2,)</f>
        <v>Thusday</v>
      </c>
      <c r="K764" s="38">
        <f>VLOOKUP(J764,'Dataset-3'!J155:AB544,2,)</f>
        <v>2</v>
      </c>
      <c r="L764" s="38">
        <f>VLOOKUP(K764,'Dataset-3'!K155:AC544,2,)</f>
        <v>0.14000000000000001</v>
      </c>
      <c r="M764" s="70" t="str">
        <f>VLOOKUP(L764,'Dataset-3'!L155:AD544,2,)</f>
        <v>Rainy</v>
      </c>
      <c r="N764" s="38">
        <f>VLOOKUP(M764,'Dataset-3'!M155:AE544,2,)</f>
        <v>0.1515</v>
      </c>
      <c r="O764" s="38">
        <f>VLOOKUP(N764,'Dataset-3'!N155:AF544,2,)</f>
        <v>0.63</v>
      </c>
      <c r="P764" s="38">
        <f>VLOOKUP(O764,'Dataset-3'!O155:AG544,2,)</f>
        <v>0.1343</v>
      </c>
      <c r="Q764" s="38">
        <f>VLOOKUP(P764,'Dataset-3'!P155:AH544,2,)</f>
        <v>0</v>
      </c>
      <c r="R764" s="38">
        <f>VLOOKUP(Q764,'Dataset-3'!Q155:AI544,2,)</f>
        <v>7</v>
      </c>
      <c r="S764" s="38">
        <f>VLOOKUP(R764,'Dataset-3'!R155:AJ544,2,)</f>
        <v>7</v>
      </c>
    </row>
    <row r="765" spans="1:19" x14ac:dyDescent="0.35">
      <c r="A765" s="37">
        <v>764</v>
      </c>
      <c r="B765" s="60">
        <f>VLOOKUP(A765,'Dataset-3'!A156:S545,2,)</f>
        <v>40578</v>
      </c>
      <c r="C765" s="38">
        <f>VLOOKUP(B765,'Dataset-3'!B156:T545,2,)</f>
        <v>1</v>
      </c>
      <c r="D765" s="38">
        <f>VLOOKUP(C765,'Dataset-3'!C156:U545,2,)</f>
        <v>0</v>
      </c>
      <c r="E765" s="38">
        <f>VLOOKUP(D765,'Dataset-3'!D156:V545,2,)</f>
        <v>2</v>
      </c>
      <c r="F765" s="38">
        <f>VLOOKUP(E765,'Dataset-3'!E156:W545,2,)</f>
        <v>6</v>
      </c>
      <c r="G765" s="41" t="str">
        <f>VLOOKUP(F765,'Dataset-3'!F156:X545,2,)</f>
        <v>Morning</v>
      </c>
      <c r="H765" s="38" t="b">
        <f>VLOOKUP(G765,'Dataset-3'!G156:Y545,2,)</f>
        <v>0</v>
      </c>
      <c r="I765" s="38">
        <f>VLOOKUP(H765,'Dataset-3'!H156:Z545,2,)</f>
        <v>5</v>
      </c>
      <c r="J765" s="41" t="str">
        <f>VLOOKUP(I765,'Dataset-3'!I156:AA545,2,)</f>
        <v>Thusday</v>
      </c>
      <c r="K765" s="38">
        <f>VLOOKUP(J765,'Dataset-3'!J156:AB545,2,)</f>
        <v>2</v>
      </c>
      <c r="L765" s="38">
        <f>VLOOKUP(K765,'Dataset-3'!K156:AC545,2,)</f>
        <v>0.16</v>
      </c>
      <c r="M765" s="70" t="str">
        <f>VLOOKUP(L765,'Dataset-3'!L156:AD545,2,)</f>
        <v>Rainy</v>
      </c>
      <c r="N765" s="38">
        <f>VLOOKUP(M765,'Dataset-3'!M156:AE545,2,)</f>
        <v>0.2273</v>
      </c>
      <c r="O765" s="38">
        <f>VLOOKUP(N765,'Dataset-3'!N156:AF545,2,)</f>
        <v>0.55000000000000004</v>
      </c>
      <c r="P765" s="38">
        <f>VLOOKUP(O765,'Dataset-3'!O156:AG545,2,)</f>
        <v>0</v>
      </c>
      <c r="Q765" s="38">
        <f>VLOOKUP(P765,'Dataset-3'!P156:AH545,2,)</f>
        <v>2</v>
      </c>
      <c r="R765" s="38">
        <f>VLOOKUP(Q765,'Dataset-3'!Q156:AI545,2,)</f>
        <v>26</v>
      </c>
      <c r="S765" s="38">
        <f>VLOOKUP(R765,'Dataset-3'!R156:AJ545,2,)</f>
        <v>28</v>
      </c>
    </row>
    <row r="766" spans="1:19" x14ac:dyDescent="0.35">
      <c r="A766" s="37">
        <v>765</v>
      </c>
      <c r="B766" s="60">
        <f>VLOOKUP(A766,'Dataset-3'!A157:S546,2,)</f>
        <v>40578</v>
      </c>
      <c r="C766" s="38">
        <f>VLOOKUP(B766,'Dataset-3'!B157:T546,2,)</f>
        <v>1</v>
      </c>
      <c r="D766" s="38">
        <f>VLOOKUP(C766,'Dataset-3'!C157:U546,2,)</f>
        <v>0</v>
      </c>
      <c r="E766" s="38">
        <f>VLOOKUP(D766,'Dataset-3'!D157:V546,2,)</f>
        <v>2</v>
      </c>
      <c r="F766" s="38">
        <f>VLOOKUP(E766,'Dataset-3'!E157:W546,2,)</f>
        <v>7</v>
      </c>
      <c r="G766" s="41" t="str">
        <f>VLOOKUP(F766,'Dataset-3'!F157:X546,2,)</f>
        <v>Morning</v>
      </c>
      <c r="H766" s="38" t="b">
        <f>VLOOKUP(G766,'Dataset-3'!G157:Y546,2,)</f>
        <v>0</v>
      </c>
      <c r="I766" s="38">
        <f>VLOOKUP(H766,'Dataset-3'!H157:Z546,2,)</f>
        <v>5</v>
      </c>
      <c r="J766" s="41" t="str">
        <f>VLOOKUP(I766,'Dataset-3'!I157:AA546,2,)</f>
        <v>Thusday</v>
      </c>
      <c r="K766" s="38">
        <f>VLOOKUP(J766,'Dataset-3'!J157:AB546,2,)</f>
        <v>1</v>
      </c>
      <c r="L766" s="38">
        <f>VLOOKUP(K766,'Dataset-3'!K157:AC546,2,)</f>
        <v>0.14000000000000001</v>
      </c>
      <c r="M766" s="70" t="str">
        <f>VLOOKUP(L766,'Dataset-3'!L157:AD546,2,)</f>
        <v>Rainy</v>
      </c>
      <c r="N766" s="38">
        <f>VLOOKUP(M766,'Dataset-3'!M157:AE546,2,)</f>
        <v>0.21210000000000001</v>
      </c>
      <c r="O766" s="38">
        <f>VLOOKUP(N766,'Dataset-3'!N157:AF546,2,)</f>
        <v>0.59</v>
      </c>
      <c r="P766" s="38">
        <f>VLOOKUP(O766,'Dataset-3'!O157:AG546,2,)</f>
        <v>0</v>
      </c>
      <c r="Q766" s="38">
        <f>VLOOKUP(P766,'Dataset-3'!P157:AH546,2,)</f>
        <v>0</v>
      </c>
      <c r="R766" s="38">
        <f>VLOOKUP(Q766,'Dataset-3'!Q157:AI546,2,)</f>
        <v>87</v>
      </c>
      <c r="S766" s="38">
        <f>VLOOKUP(R766,'Dataset-3'!R157:AJ546,2,)</f>
        <v>87</v>
      </c>
    </row>
    <row r="767" spans="1:19" x14ac:dyDescent="0.35">
      <c r="A767" s="37">
        <v>766</v>
      </c>
      <c r="B767" s="60">
        <f>VLOOKUP(A767,'Dataset-3'!A158:S547,2,)</f>
        <v>40578</v>
      </c>
      <c r="C767" s="38">
        <f>VLOOKUP(B767,'Dataset-3'!B158:T547,2,)</f>
        <v>1</v>
      </c>
      <c r="D767" s="38">
        <f>VLOOKUP(C767,'Dataset-3'!C158:U547,2,)</f>
        <v>0</v>
      </c>
      <c r="E767" s="38">
        <f>VLOOKUP(D767,'Dataset-3'!D158:V547,2,)</f>
        <v>2</v>
      </c>
      <c r="F767" s="38">
        <f>VLOOKUP(E767,'Dataset-3'!E158:W547,2,)</f>
        <v>8</v>
      </c>
      <c r="G767" s="41" t="str">
        <f>VLOOKUP(F767,'Dataset-3'!F158:X547,2,)</f>
        <v>Morning</v>
      </c>
      <c r="H767" s="38" t="b">
        <f>VLOOKUP(G767,'Dataset-3'!G158:Y547,2,)</f>
        <v>0</v>
      </c>
      <c r="I767" s="38">
        <f>VLOOKUP(H767,'Dataset-3'!H158:Z547,2,)</f>
        <v>5</v>
      </c>
      <c r="J767" s="41" t="str">
        <f>VLOOKUP(I767,'Dataset-3'!I158:AA547,2,)</f>
        <v>Thusday</v>
      </c>
      <c r="K767" s="38">
        <f>VLOOKUP(J767,'Dataset-3'!J158:AB547,2,)</f>
        <v>1</v>
      </c>
      <c r="L767" s="38">
        <f>VLOOKUP(K767,'Dataset-3'!K158:AC547,2,)</f>
        <v>0.14000000000000001</v>
      </c>
      <c r="M767" s="70" t="str">
        <f>VLOOKUP(L767,'Dataset-3'!L158:AD547,2,)</f>
        <v>Rainy</v>
      </c>
      <c r="N767" s="38">
        <f>VLOOKUP(M767,'Dataset-3'!M158:AE547,2,)</f>
        <v>0.1515</v>
      </c>
      <c r="O767" s="38">
        <f>VLOOKUP(N767,'Dataset-3'!N158:AF547,2,)</f>
        <v>0.74</v>
      </c>
      <c r="P767" s="38">
        <f>VLOOKUP(O767,'Dataset-3'!O158:AG547,2,)</f>
        <v>0.1343</v>
      </c>
      <c r="Q767" s="38">
        <f>VLOOKUP(P767,'Dataset-3'!P158:AH547,2,)</f>
        <v>3</v>
      </c>
      <c r="R767" s="38">
        <f>VLOOKUP(Q767,'Dataset-3'!Q158:AI547,2,)</f>
        <v>217</v>
      </c>
      <c r="S767" s="38">
        <f>VLOOKUP(R767,'Dataset-3'!R158:AJ547,2,)</f>
        <v>220</v>
      </c>
    </row>
    <row r="768" spans="1:19" x14ac:dyDescent="0.35">
      <c r="A768" s="37">
        <v>767</v>
      </c>
      <c r="B768" s="60">
        <f>VLOOKUP(A768,'Dataset-3'!A159:S548,2,)</f>
        <v>40578</v>
      </c>
      <c r="C768" s="38">
        <f>VLOOKUP(B768,'Dataset-3'!B159:T548,2,)</f>
        <v>1</v>
      </c>
      <c r="D768" s="38">
        <f>VLOOKUP(C768,'Dataset-3'!C159:U548,2,)</f>
        <v>0</v>
      </c>
      <c r="E768" s="38">
        <f>VLOOKUP(D768,'Dataset-3'!D159:V548,2,)</f>
        <v>2</v>
      </c>
      <c r="F768" s="38">
        <f>VLOOKUP(E768,'Dataset-3'!E159:W548,2,)</f>
        <v>9</v>
      </c>
      <c r="G768" s="41" t="str">
        <f>VLOOKUP(F768,'Dataset-3'!F159:X548,2,)</f>
        <v>Morning</v>
      </c>
      <c r="H768" s="38" t="b">
        <f>VLOOKUP(G768,'Dataset-3'!G159:Y548,2,)</f>
        <v>0</v>
      </c>
      <c r="I768" s="38">
        <f>VLOOKUP(H768,'Dataset-3'!H159:Z548,2,)</f>
        <v>5</v>
      </c>
      <c r="J768" s="41" t="str">
        <f>VLOOKUP(I768,'Dataset-3'!I159:AA548,2,)</f>
        <v>Thusday</v>
      </c>
      <c r="K768" s="38">
        <f>VLOOKUP(J768,'Dataset-3'!J159:AB548,2,)</f>
        <v>2</v>
      </c>
      <c r="L768" s="38">
        <f>VLOOKUP(K768,'Dataset-3'!K159:AC548,2,)</f>
        <v>0.16</v>
      </c>
      <c r="M768" s="70" t="str">
        <f>VLOOKUP(L768,'Dataset-3'!L159:AD548,2,)</f>
        <v>Rainy</v>
      </c>
      <c r="N768" s="38">
        <f>VLOOKUP(M768,'Dataset-3'!M159:AE548,2,)</f>
        <v>0.18179999999999999</v>
      </c>
      <c r="O768" s="38">
        <f>VLOOKUP(N768,'Dataset-3'!N159:AF548,2,)</f>
        <v>0.8</v>
      </c>
      <c r="P768" s="38">
        <f>VLOOKUP(O768,'Dataset-3'!O159:AG548,2,)</f>
        <v>0.1343</v>
      </c>
      <c r="Q768" s="38">
        <f>VLOOKUP(P768,'Dataset-3'!P159:AH548,2,)</f>
        <v>3</v>
      </c>
      <c r="R768" s="38">
        <f>VLOOKUP(Q768,'Dataset-3'!Q159:AI548,2,)</f>
        <v>124</v>
      </c>
      <c r="S768" s="38">
        <f>VLOOKUP(R768,'Dataset-3'!R159:AJ548,2,)</f>
        <v>127</v>
      </c>
    </row>
    <row r="769" spans="1:19" x14ac:dyDescent="0.35">
      <c r="A769" s="37">
        <v>768</v>
      </c>
      <c r="B769" s="60">
        <f>VLOOKUP(A769,'Dataset-3'!A160:S549,2,)</f>
        <v>40578</v>
      </c>
      <c r="C769" s="38">
        <f>VLOOKUP(B769,'Dataset-3'!B160:T549,2,)</f>
        <v>1</v>
      </c>
      <c r="D769" s="38">
        <f>VLOOKUP(C769,'Dataset-3'!C160:U549,2,)</f>
        <v>0</v>
      </c>
      <c r="E769" s="38">
        <f>VLOOKUP(D769,'Dataset-3'!D160:V549,2,)</f>
        <v>2</v>
      </c>
      <c r="F769" s="38">
        <f>VLOOKUP(E769,'Dataset-3'!E160:W549,2,)</f>
        <v>10</v>
      </c>
      <c r="G769" s="41" t="str">
        <f>VLOOKUP(F769,'Dataset-3'!F160:X549,2,)</f>
        <v>Morning</v>
      </c>
      <c r="H769" s="38" t="b">
        <f>VLOOKUP(G769,'Dataset-3'!G160:Y549,2,)</f>
        <v>0</v>
      </c>
      <c r="I769" s="38">
        <f>VLOOKUP(H769,'Dataset-3'!H160:Z549,2,)</f>
        <v>5</v>
      </c>
      <c r="J769" s="41" t="str">
        <f>VLOOKUP(I769,'Dataset-3'!I160:AA549,2,)</f>
        <v>Thusday</v>
      </c>
      <c r="K769" s="38">
        <f>VLOOKUP(J769,'Dataset-3'!J160:AB549,2,)</f>
        <v>2</v>
      </c>
      <c r="L769" s="38">
        <f>VLOOKUP(K769,'Dataset-3'!K160:AC549,2,)</f>
        <v>0.2</v>
      </c>
      <c r="M769" s="70" t="str">
        <f>VLOOKUP(L769,'Dataset-3'!L160:AD549,2,)</f>
        <v>Rainy</v>
      </c>
      <c r="N769" s="38">
        <f>VLOOKUP(M769,'Dataset-3'!M160:AE549,2,)</f>
        <v>0.21210000000000001</v>
      </c>
      <c r="O769" s="38">
        <f>VLOOKUP(N769,'Dataset-3'!N160:AF549,2,)</f>
        <v>0.51</v>
      </c>
      <c r="P769" s="38">
        <f>VLOOKUP(O769,'Dataset-3'!O160:AG549,2,)</f>
        <v>0.1343</v>
      </c>
      <c r="Q769" s="38">
        <f>VLOOKUP(P769,'Dataset-3'!P160:AH549,2,)</f>
        <v>5</v>
      </c>
      <c r="R769" s="38">
        <f>VLOOKUP(Q769,'Dataset-3'!Q160:AI549,2,)</f>
        <v>46</v>
      </c>
      <c r="S769" s="38">
        <f>VLOOKUP(R769,'Dataset-3'!R160:AJ549,2,)</f>
        <v>51</v>
      </c>
    </row>
    <row r="770" spans="1:19" x14ac:dyDescent="0.35">
      <c r="A770" s="37">
        <v>769</v>
      </c>
      <c r="B770" s="60">
        <f>VLOOKUP(A770,'Dataset-3'!A161:S550,2,)</f>
        <v>40578</v>
      </c>
      <c r="C770" s="38">
        <f>VLOOKUP(B770,'Dataset-3'!B161:T550,2,)</f>
        <v>1</v>
      </c>
      <c r="D770" s="38">
        <f>VLOOKUP(C770,'Dataset-3'!C161:U550,2,)</f>
        <v>0</v>
      </c>
      <c r="E770" s="38">
        <f>VLOOKUP(D770,'Dataset-3'!D161:V550,2,)</f>
        <v>2</v>
      </c>
      <c r="F770" s="38">
        <f>VLOOKUP(E770,'Dataset-3'!E161:W550,2,)</f>
        <v>11</v>
      </c>
      <c r="G770" s="41" t="str">
        <f>VLOOKUP(F770,'Dataset-3'!F161:X550,2,)</f>
        <v>Morning</v>
      </c>
      <c r="H770" s="38" t="b">
        <f>VLOOKUP(G770,'Dataset-3'!G161:Y550,2,)</f>
        <v>0</v>
      </c>
      <c r="I770" s="38">
        <f>VLOOKUP(H770,'Dataset-3'!H161:Z550,2,)</f>
        <v>5</v>
      </c>
      <c r="J770" s="41" t="str">
        <f>VLOOKUP(I770,'Dataset-3'!I161:AA550,2,)</f>
        <v>Thusday</v>
      </c>
      <c r="K770" s="38">
        <f>VLOOKUP(J770,'Dataset-3'!J161:AB550,2,)</f>
        <v>1</v>
      </c>
      <c r="L770" s="38">
        <f>VLOOKUP(K770,'Dataset-3'!K161:AC550,2,)</f>
        <v>0.22</v>
      </c>
      <c r="M770" s="70" t="str">
        <f>VLOOKUP(L770,'Dataset-3'!L161:AD550,2,)</f>
        <v>Cloudy</v>
      </c>
      <c r="N770" s="38">
        <f>VLOOKUP(M770,'Dataset-3'!M161:AE550,2,)</f>
        <v>0.2273</v>
      </c>
      <c r="O770" s="38">
        <f>VLOOKUP(N770,'Dataset-3'!N161:AF550,2,)</f>
        <v>0.51</v>
      </c>
      <c r="P770" s="38">
        <f>VLOOKUP(O770,'Dataset-3'!O161:AG550,2,)</f>
        <v>0.16420000000000001</v>
      </c>
      <c r="Q770" s="38">
        <f>VLOOKUP(P770,'Dataset-3'!P161:AH550,2,)</f>
        <v>3</v>
      </c>
      <c r="R770" s="38">
        <f>VLOOKUP(Q770,'Dataset-3'!Q161:AI550,2,)</f>
        <v>61</v>
      </c>
      <c r="S770" s="38">
        <f>VLOOKUP(R770,'Dataset-3'!R161:AJ550,2,)</f>
        <v>64</v>
      </c>
    </row>
    <row r="771" spans="1:19" x14ac:dyDescent="0.35">
      <c r="A771" s="37">
        <v>770</v>
      </c>
      <c r="B771" s="60">
        <f>VLOOKUP(A771,'Dataset-3'!A162:S551,2,)</f>
        <v>40578</v>
      </c>
      <c r="C771" s="38">
        <f>VLOOKUP(B771,'Dataset-3'!B162:T551,2,)</f>
        <v>1</v>
      </c>
      <c r="D771" s="38">
        <f>VLOOKUP(C771,'Dataset-3'!C162:U551,2,)</f>
        <v>0</v>
      </c>
      <c r="E771" s="38">
        <f>VLOOKUP(D771,'Dataset-3'!D162:V551,2,)</f>
        <v>2</v>
      </c>
      <c r="F771" s="38">
        <f>VLOOKUP(E771,'Dataset-3'!E162:W551,2,)</f>
        <v>12</v>
      </c>
      <c r="G771" s="41" t="str">
        <f>VLOOKUP(F771,'Dataset-3'!F162:X551,2,)</f>
        <v>AfterNoon</v>
      </c>
      <c r="H771" s="38" t="b">
        <f>VLOOKUP(G771,'Dataset-3'!G162:Y551,2,)</f>
        <v>0</v>
      </c>
      <c r="I771" s="38">
        <f>VLOOKUP(H771,'Dataset-3'!H162:Z551,2,)</f>
        <v>5</v>
      </c>
      <c r="J771" s="41" t="str">
        <f>VLOOKUP(I771,'Dataset-3'!I162:AA551,2,)</f>
        <v>Thusday</v>
      </c>
      <c r="K771" s="38">
        <f>VLOOKUP(J771,'Dataset-3'!J162:AB551,2,)</f>
        <v>2</v>
      </c>
      <c r="L771" s="38">
        <f>VLOOKUP(K771,'Dataset-3'!K162:AC551,2,)</f>
        <v>0.24</v>
      </c>
      <c r="M771" s="70" t="str">
        <f>VLOOKUP(L771,'Dataset-3'!L162:AD551,2,)</f>
        <v>Cloudy</v>
      </c>
      <c r="N771" s="38">
        <f>VLOOKUP(M771,'Dataset-3'!M162:AE551,2,)</f>
        <v>0.2424</v>
      </c>
      <c r="O771" s="38">
        <f>VLOOKUP(N771,'Dataset-3'!N162:AF551,2,)</f>
        <v>0.48</v>
      </c>
      <c r="P771" s="38">
        <f>VLOOKUP(O771,'Dataset-3'!O162:AG551,2,)</f>
        <v>0.16420000000000001</v>
      </c>
      <c r="Q771" s="38">
        <f>VLOOKUP(P771,'Dataset-3'!P162:AH551,2,)</f>
        <v>8</v>
      </c>
      <c r="R771" s="38">
        <f>VLOOKUP(Q771,'Dataset-3'!Q162:AI551,2,)</f>
        <v>78</v>
      </c>
      <c r="S771" s="38">
        <f>VLOOKUP(R771,'Dataset-3'!R162:AJ551,2,)</f>
        <v>86</v>
      </c>
    </row>
    <row r="772" spans="1:19" x14ac:dyDescent="0.35">
      <c r="A772" s="37">
        <v>771</v>
      </c>
      <c r="B772" s="60">
        <f>VLOOKUP(A772,'Dataset-3'!A163:S552,2,)</f>
        <v>40578</v>
      </c>
      <c r="C772" s="38">
        <f>VLOOKUP(B772,'Dataset-3'!B163:T552,2,)</f>
        <v>1</v>
      </c>
      <c r="D772" s="38">
        <f>VLOOKUP(C772,'Dataset-3'!C163:U552,2,)</f>
        <v>0</v>
      </c>
      <c r="E772" s="38">
        <f>VLOOKUP(D772,'Dataset-3'!D163:V552,2,)</f>
        <v>2</v>
      </c>
      <c r="F772" s="38">
        <f>VLOOKUP(E772,'Dataset-3'!E163:W552,2,)</f>
        <v>13</v>
      </c>
      <c r="G772" s="41" t="str">
        <f>VLOOKUP(F772,'Dataset-3'!F163:X552,2,)</f>
        <v>AfterNoon</v>
      </c>
      <c r="H772" s="38" t="b">
        <f>VLOOKUP(G772,'Dataset-3'!G163:Y552,2,)</f>
        <v>0</v>
      </c>
      <c r="I772" s="38">
        <f>VLOOKUP(H772,'Dataset-3'!H163:Z552,2,)</f>
        <v>5</v>
      </c>
      <c r="J772" s="41" t="str">
        <f>VLOOKUP(I772,'Dataset-3'!I163:AA552,2,)</f>
        <v>Thusday</v>
      </c>
      <c r="K772" s="38">
        <f>VLOOKUP(J772,'Dataset-3'!J163:AB552,2,)</f>
        <v>2</v>
      </c>
      <c r="L772" s="38">
        <f>VLOOKUP(K772,'Dataset-3'!K163:AC552,2,)</f>
        <v>0.26</v>
      </c>
      <c r="M772" s="70" t="str">
        <f>VLOOKUP(L772,'Dataset-3'!L163:AD552,2,)</f>
        <v>Cloudy</v>
      </c>
      <c r="N772" s="38">
        <f>VLOOKUP(M772,'Dataset-3'!M163:AE552,2,)</f>
        <v>0.2576</v>
      </c>
      <c r="O772" s="38">
        <f>VLOOKUP(N772,'Dataset-3'!N163:AF552,2,)</f>
        <v>0.5</v>
      </c>
      <c r="P772" s="38">
        <f>VLOOKUP(O772,'Dataset-3'!O163:AG552,2,)</f>
        <v>0.22389999999999999</v>
      </c>
      <c r="Q772" s="38">
        <f>VLOOKUP(P772,'Dataset-3'!P163:AH552,2,)</f>
        <v>9</v>
      </c>
      <c r="R772" s="38">
        <f>VLOOKUP(Q772,'Dataset-3'!Q163:AI552,2,)</f>
        <v>73</v>
      </c>
      <c r="S772" s="38">
        <f>VLOOKUP(R772,'Dataset-3'!R163:AJ552,2,)</f>
        <v>82</v>
      </c>
    </row>
    <row r="773" spans="1:19" x14ac:dyDescent="0.35">
      <c r="A773" s="37">
        <v>772</v>
      </c>
      <c r="B773" s="60">
        <f>VLOOKUP(A773,'Dataset-3'!A164:S553,2,)</f>
        <v>40578</v>
      </c>
      <c r="C773" s="38">
        <f>VLOOKUP(B773,'Dataset-3'!B164:T553,2,)</f>
        <v>1</v>
      </c>
      <c r="D773" s="38">
        <f>VLOOKUP(C773,'Dataset-3'!C164:U553,2,)</f>
        <v>0</v>
      </c>
      <c r="E773" s="38">
        <f>VLOOKUP(D773,'Dataset-3'!D164:V553,2,)</f>
        <v>2</v>
      </c>
      <c r="F773" s="38">
        <f>VLOOKUP(E773,'Dataset-3'!E164:W553,2,)</f>
        <v>14</v>
      </c>
      <c r="G773" s="41" t="str">
        <f>VLOOKUP(F773,'Dataset-3'!F164:X553,2,)</f>
        <v>AfterNoon</v>
      </c>
      <c r="H773" s="38" t="b">
        <f>VLOOKUP(G773,'Dataset-3'!G164:Y553,2,)</f>
        <v>0</v>
      </c>
      <c r="I773" s="38">
        <f>VLOOKUP(H773,'Dataset-3'!H164:Z553,2,)</f>
        <v>5</v>
      </c>
      <c r="J773" s="41" t="str">
        <f>VLOOKUP(I773,'Dataset-3'!I164:AA553,2,)</f>
        <v>Thusday</v>
      </c>
      <c r="K773" s="38">
        <f>VLOOKUP(J773,'Dataset-3'!J164:AB553,2,)</f>
        <v>2</v>
      </c>
      <c r="L773" s="38">
        <f>VLOOKUP(K773,'Dataset-3'!K164:AC553,2,)</f>
        <v>0.28000000000000003</v>
      </c>
      <c r="M773" s="70" t="str">
        <f>VLOOKUP(L773,'Dataset-3'!L164:AD553,2,)</f>
        <v>Cloudy</v>
      </c>
      <c r="N773" s="38">
        <f>VLOOKUP(M773,'Dataset-3'!M164:AE553,2,)</f>
        <v>0.2727</v>
      </c>
      <c r="O773" s="38">
        <f>VLOOKUP(N773,'Dataset-3'!N164:AF553,2,)</f>
        <v>0.45</v>
      </c>
      <c r="P773" s="38">
        <f>VLOOKUP(O773,'Dataset-3'!O164:AG553,2,)</f>
        <v>0.16420000000000001</v>
      </c>
      <c r="Q773" s="38">
        <f>VLOOKUP(P773,'Dataset-3'!P164:AH553,2,)</f>
        <v>15</v>
      </c>
      <c r="R773" s="38">
        <f>VLOOKUP(Q773,'Dataset-3'!Q164:AI553,2,)</f>
        <v>76</v>
      </c>
      <c r="S773" s="38">
        <f>VLOOKUP(R773,'Dataset-3'!R164:AJ553,2,)</f>
        <v>91</v>
      </c>
    </row>
    <row r="774" spans="1:19" x14ac:dyDescent="0.35">
      <c r="A774" s="37">
        <v>773</v>
      </c>
      <c r="B774" s="60">
        <f>VLOOKUP(A774,'Dataset-3'!A165:S554,2,)</f>
        <v>40578</v>
      </c>
      <c r="C774" s="38">
        <f>VLOOKUP(B774,'Dataset-3'!B165:T554,2,)</f>
        <v>1</v>
      </c>
      <c r="D774" s="38">
        <f>VLOOKUP(C774,'Dataset-3'!C165:U554,2,)</f>
        <v>0</v>
      </c>
      <c r="E774" s="38">
        <f>VLOOKUP(D774,'Dataset-3'!D165:V554,2,)</f>
        <v>2</v>
      </c>
      <c r="F774" s="38">
        <f>VLOOKUP(E774,'Dataset-3'!E165:W554,2,)</f>
        <v>15</v>
      </c>
      <c r="G774" s="41" t="str">
        <f>VLOOKUP(F774,'Dataset-3'!F165:X554,2,)</f>
        <v>AfterNoon</v>
      </c>
      <c r="H774" s="38" t="b">
        <f>VLOOKUP(G774,'Dataset-3'!G165:Y554,2,)</f>
        <v>0</v>
      </c>
      <c r="I774" s="38">
        <f>VLOOKUP(H774,'Dataset-3'!H165:Z554,2,)</f>
        <v>5</v>
      </c>
      <c r="J774" s="41" t="str">
        <f>VLOOKUP(I774,'Dataset-3'!I165:AA554,2,)</f>
        <v>Thusday</v>
      </c>
      <c r="K774" s="38">
        <f>VLOOKUP(J774,'Dataset-3'!J165:AB554,2,)</f>
        <v>2</v>
      </c>
      <c r="L774" s="38">
        <f>VLOOKUP(K774,'Dataset-3'!K165:AC554,2,)</f>
        <v>0.28000000000000003</v>
      </c>
      <c r="M774" s="70" t="str">
        <f>VLOOKUP(L774,'Dataset-3'!L165:AD554,2,)</f>
        <v>Cloudy</v>
      </c>
      <c r="N774" s="38">
        <f>VLOOKUP(M774,'Dataset-3'!M165:AE554,2,)</f>
        <v>0.2727</v>
      </c>
      <c r="O774" s="38">
        <f>VLOOKUP(N774,'Dataset-3'!N165:AF554,2,)</f>
        <v>0.48</v>
      </c>
      <c r="P774" s="38">
        <f>VLOOKUP(O774,'Dataset-3'!O165:AG554,2,)</f>
        <v>0.25369999999999998</v>
      </c>
      <c r="Q774" s="38">
        <f>VLOOKUP(P774,'Dataset-3'!P165:AH554,2,)</f>
        <v>9</v>
      </c>
      <c r="R774" s="38">
        <f>VLOOKUP(Q774,'Dataset-3'!Q165:AI554,2,)</f>
        <v>81</v>
      </c>
      <c r="S774" s="38">
        <f>VLOOKUP(R774,'Dataset-3'!R165:AJ554,2,)</f>
        <v>90</v>
      </c>
    </row>
    <row r="775" spans="1:19" x14ac:dyDescent="0.35">
      <c r="A775" s="37">
        <v>774</v>
      </c>
      <c r="B775" s="60">
        <f>VLOOKUP(A775,'Dataset-3'!A166:S555,2,)</f>
        <v>40578</v>
      </c>
      <c r="C775" s="38">
        <f>VLOOKUP(B775,'Dataset-3'!B166:T555,2,)</f>
        <v>1</v>
      </c>
      <c r="D775" s="38">
        <f>VLOOKUP(C775,'Dataset-3'!C166:U555,2,)</f>
        <v>0</v>
      </c>
      <c r="E775" s="38">
        <f>VLOOKUP(D775,'Dataset-3'!D166:V555,2,)</f>
        <v>2</v>
      </c>
      <c r="F775" s="38">
        <f>VLOOKUP(E775,'Dataset-3'!E166:W555,2,)</f>
        <v>16</v>
      </c>
      <c r="G775" s="41" t="str">
        <f>VLOOKUP(F775,'Dataset-3'!F166:X555,2,)</f>
        <v>AfterNoon</v>
      </c>
      <c r="H775" s="38" t="b">
        <f>VLOOKUP(G775,'Dataset-3'!G166:Y555,2,)</f>
        <v>0</v>
      </c>
      <c r="I775" s="38">
        <f>VLOOKUP(H775,'Dataset-3'!H166:Z555,2,)</f>
        <v>5</v>
      </c>
      <c r="J775" s="41" t="str">
        <f>VLOOKUP(I775,'Dataset-3'!I166:AA555,2,)</f>
        <v>Thusday</v>
      </c>
      <c r="K775" s="38">
        <f>VLOOKUP(J775,'Dataset-3'!J166:AB555,2,)</f>
        <v>2</v>
      </c>
      <c r="L775" s="38">
        <f>VLOOKUP(K775,'Dataset-3'!K166:AC555,2,)</f>
        <v>0.3</v>
      </c>
      <c r="M775" s="70" t="str">
        <f>VLOOKUP(L775,'Dataset-3'!L166:AD555,2,)</f>
        <v>Cloudy</v>
      </c>
      <c r="N775" s="38">
        <f>VLOOKUP(M775,'Dataset-3'!M166:AE555,2,)</f>
        <v>0.28789999999999999</v>
      </c>
      <c r="O775" s="38">
        <f>VLOOKUP(N775,'Dataset-3'!N166:AF555,2,)</f>
        <v>0.42</v>
      </c>
      <c r="P775" s="38">
        <f>VLOOKUP(O775,'Dataset-3'!O166:AG555,2,)</f>
        <v>0.22389999999999999</v>
      </c>
      <c r="Q775" s="38">
        <f>VLOOKUP(P775,'Dataset-3'!P166:AH555,2,)</f>
        <v>8</v>
      </c>
      <c r="R775" s="38">
        <f>VLOOKUP(Q775,'Dataset-3'!Q166:AI555,2,)</f>
        <v>91</v>
      </c>
      <c r="S775" s="38">
        <f>VLOOKUP(R775,'Dataset-3'!R166:AJ555,2,)</f>
        <v>99</v>
      </c>
    </row>
    <row r="776" spans="1:19" x14ac:dyDescent="0.35">
      <c r="A776" s="37">
        <v>775</v>
      </c>
      <c r="B776" s="60">
        <f>VLOOKUP(A776,'Dataset-3'!A167:S556,2,)</f>
        <v>40578</v>
      </c>
      <c r="C776" s="38">
        <f>VLOOKUP(B776,'Dataset-3'!B167:T556,2,)</f>
        <v>1</v>
      </c>
      <c r="D776" s="38">
        <f>VLOOKUP(C776,'Dataset-3'!C167:U556,2,)</f>
        <v>0</v>
      </c>
      <c r="E776" s="38">
        <f>VLOOKUP(D776,'Dataset-3'!D167:V556,2,)</f>
        <v>2</v>
      </c>
      <c r="F776" s="38">
        <f>VLOOKUP(E776,'Dataset-3'!E167:W556,2,)</f>
        <v>17</v>
      </c>
      <c r="G776" s="41" t="str">
        <f>VLOOKUP(F776,'Dataset-3'!F167:X556,2,)</f>
        <v>Evening</v>
      </c>
      <c r="H776" s="38" t="b">
        <f>VLOOKUP(G776,'Dataset-3'!G167:Y556,2,)</f>
        <v>0</v>
      </c>
      <c r="I776" s="38">
        <f>VLOOKUP(H776,'Dataset-3'!H167:Z556,2,)</f>
        <v>5</v>
      </c>
      <c r="J776" s="41" t="str">
        <f>VLOOKUP(I776,'Dataset-3'!I167:AA556,2,)</f>
        <v>Thusday</v>
      </c>
      <c r="K776" s="38">
        <f>VLOOKUP(J776,'Dataset-3'!J167:AB556,2,)</f>
        <v>2</v>
      </c>
      <c r="L776" s="38">
        <f>VLOOKUP(K776,'Dataset-3'!K167:AC556,2,)</f>
        <v>0.26</v>
      </c>
      <c r="M776" s="70" t="str">
        <f>VLOOKUP(L776,'Dataset-3'!L167:AD556,2,)</f>
        <v>Cloudy</v>
      </c>
      <c r="N776" s="38">
        <f>VLOOKUP(M776,'Dataset-3'!M167:AE556,2,)</f>
        <v>0.2727</v>
      </c>
      <c r="O776" s="38">
        <f>VLOOKUP(N776,'Dataset-3'!N167:AF556,2,)</f>
        <v>0.56000000000000005</v>
      </c>
      <c r="P776" s="38">
        <f>VLOOKUP(O776,'Dataset-3'!O167:AG556,2,)</f>
        <v>0.1343</v>
      </c>
      <c r="Q776" s="38">
        <f>VLOOKUP(P776,'Dataset-3'!P167:AH556,2,)</f>
        <v>10</v>
      </c>
      <c r="R776" s="38">
        <f>VLOOKUP(Q776,'Dataset-3'!Q167:AI556,2,)</f>
        <v>195</v>
      </c>
      <c r="S776" s="38">
        <f>VLOOKUP(R776,'Dataset-3'!R167:AJ556,2,)</f>
        <v>205</v>
      </c>
    </row>
    <row r="777" spans="1:19" x14ac:dyDescent="0.35">
      <c r="A777" s="37">
        <v>776</v>
      </c>
      <c r="B777" s="60">
        <f>VLOOKUP(A777,'Dataset-3'!A168:S557,2,)</f>
        <v>40578</v>
      </c>
      <c r="C777" s="38">
        <f>VLOOKUP(B777,'Dataset-3'!B168:T557,2,)</f>
        <v>1</v>
      </c>
      <c r="D777" s="38">
        <f>VLOOKUP(C777,'Dataset-3'!C168:U557,2,)</f>
        <v>0</v>
      </c>
      <c r="E777" s="38">
        <f>VLOOKUP(D777,'Dataset-3'!D168:V557,2,)</f>
        <v>2</v>
      </c>
      <c r="F777" s="38">
        <f>VLOOKUP(E777,'Dataset-3'!E168:W557,2,)</f>
        <v>18</v>
      </c>
      <c r="G777" s="41" t="str">
        <f>VLOOKUP(F777,'Dataset-3'!F168:X557,2,)</f>
        <v>Evening</v>
      </c>
      <c r="H777" s="38" t="b">
        <f>VLOOKUP(G777,'Dataset-3'!G168:Y557,2,)</f>
        <v>0</v>
      </c>
      <c r="I777" s="38">
        <f>VLOOKUP(H777,'Dataset-3'!H168:Z557,2,)</f>
        <v>5</v>
      </c>
      <c r="J777" s="41" t="str">
        <f>VLOOKUP(I777,'Dataset-3'!I168:AA557,2,)</f>
        <v>Thusday</v>
      </c>
      <c r="K777" s="38">
        <f>VLOOKUP(J777,'Dataset-3'!J168:AB557,2,)</f>
        <v>2</v>
      </c>
      <c r="L777" s="38">
        <f>VLOOKUP(K777,'Dataset-3'!K168:AC557,2,)</f>
        <v>0.24</v>
      </c>
      <c r="M777" s="70" t="str">
        <f>VLOOKUP(L777,'Dataset-3'!L168:AD557,2,)</f>
        <v>Cloudy</v>
      </c>
      <c r="N777" s="38">
        <f>VLOOKUP(M777,'Dataset-3'!M168:AE557,2,)</f>
        <v>0.2576</v>
      </c>
      <c r="O777" s="38">
        <f>VLOOKUP(N777,'Dataset-3'!N168:AF557,2,)</f>
        <v>0.6</v>
      </c>
      <c r="P777" s="38">
        <f>VLOOKUP(O777,'Dataset-3'!O168:AG557,2,)</f>
        <v>0.1045</v>
      </c>
      <c r="Q777" s="38">
        <f>VLOOKUP(P777,'Dataset-3'!P168:AH557,2,)</f>
        <v>3</v>
      </c>
      <c r="R777" s="38">
        <f>VLOOKUP(Q777,'Dataset-3'!Q168:AI557,2,)</f>
        <v>152</v>
      </c>
      <c r="S777" s="38">
        <f>VLOOKUP(R777,'Dataset-3'!R168:AJ557,2,)</f>
        <v>155</v>
      </c>
    </row>
    <row r="778" spans="1:19" x14ac:dyDescent="0.35">
      <c r="A778" s="37">
        <v>777</v>
      </c>
      <c r="B778" s="60">
        <f>VLOOKUP(A778,'Dataset-3'!A169:S558,2,)</f>
        <v>40578</v>
      </c>
      <c r="C778" s="38">
        <f>VLOOKUP(B778,'Dataset-3'!B169:T558,2,)</f>
        <v>1</v>
      </c>
      <c r="D778" s="38">
        <f>VLOOKUP(C778,'Dataset-3'!C169:U558,2,)</f>
        <v>0</v>
      </c>
      <c r="E778" s="38">
        <f>VLOOKUP(D778,'Dataset-3'!D169:V558,2,)</f>
        <v>2</v>
      </c>
      <c r="F778" s="38">
        <f>VLOOKUP(E778,'Dataset-3'!E169:W558,2,)</f>
        <v>19</v>
      </c>
      <c r="G778" s="41" t="str">
        <f>VLOOKUP(F778,'Dataset-3'!F169:X558,2,)</f>
        <v>Evening</v>
      </c>
      <c r="H778" s="38" t="b">
        <f>VLOOKUP(G778,'Dataset-3'!G169:Y558,2,)</f>
        <v>0</v>
      </c>
      <c r="I778" s="38">
        <f>VLOOKUP(H778,'Dataset-3'!H169:Z558,2,)</f>
        <v>5</v>
      </c>
      <c r="J778" s="41" t="str">
        <f>VLOOKUP(I778,'Dataset-3'!I169:AA558,2,)</f>
        <v>Thusday</v>
      </c>
      <c r="K778" s="38">
        <f>VLOOKUP(J778,'Dataset-3'!J169:AB558,2,)</f>
        <v>2</v>
      </c>
      <c r="L778" s="38">
        <f>VLOOKUP(K778,'Dataset-3'!K169:AC558,2,)</f>
        <v>0.24</v>
      </c>
      <c r="M778" s="70" t="str">
        <f>VLOOKUP(L778,'Dataset-3'!L169:AD558,2,)</f>
        <v>Cloudy</v>
      </c>
      <c r="N778" s="38">
        <f>VLOOKUP(M778,'Dataset-3'!M169:AE558,2,)</f>
        <v>0.2424</v>
      </c>
      <c r="O778" s="38">
        <f>VLOOKUP(N778,'Dataset-3'!N169:AF558,2,)</f>
        <v>0.65</v>
      </c>
      <c r="P778" s="38">
        <f>VLOOKUP(O778,'Dataset-3'!O169:AG558,2,)</f>
        <v>0.1343</v>
      </c>
      <c r="Q778" s="38">
        <f>VLOOKUP(P778,'Dataset-3'!P169:AH558,2,)</f>
        <v>1</v>
      </c>
      <c r="R778" s="38">
        <f>VLOOKUP(Q778,'Dataset-3'!Q169:AI558,2,)</f>
        <v>102</v>
      </c>
      <c r="S778" s="38">
        <f>VLOOKUP(R778,'Dataset-3'!R169:AJ558,2,)</f>
        <v>103</v>
      </c>
    </row>
    <row r="779" spans="1:19" x14ac:dyDescent="0.35">
      <c r="A779" s="37">
        <v>778</v>
      </c>
      <c r="B779" s="60">
        <f>VLOOKUP(A779,'Dataset-3'!A170:S559,2,)</f>
        <v>40578</v>
      </c>
      <c r="C779" s="38">
        <f>VLOOKUP(B779,'Dataset-3'!B170:T559,2,)</f>
        <v>1</v>
      </c>
      <c r="D779" s="38">
        <f>VLOOKUP(C779,'Dataset-3'!C170:U559,2,)</f>
        <v>0</v>
      </c>
      <c r="E779" s="38">
        <f>VLOOKUP(D779,'Dataset-3'!D170:V559,2,)</f>
        <v>2</v>
      </c>
      <c r="F779" s="38">
        <f>VLOOKUP(E779,'Dataset-3'!E170:W559,2,)</f>
        <v>20</v>
      </c>
      <c r="G779" s="41" t="str">
        <f>VLOOKUP(F779,'Dataset-3'!F170:X559,2,)</f>
        <v>Night</v>
      </c>
      <c r="H779" s="38" t="b">
        <f>VLOOKUP(G779,'Dataset-3'!G170:Y559,2,)</f>
        <v>0</v>
      </c>
      <c r="I779" s="38">
        <f>VLOOKUP(H779,'Dataset-3'!H170:Z559,2,)</f>
        <v>5</v>
      </c>
      <c r="J779" s="41" t="str">
        <f>VLOOKUP(I779,'Dataset-3'!I170:AA559,2,)</f>
        <v>Thusday</v>
      </c>
      <c r="K779" s="38">
        <f>VLOOKUP(J779,'Dataset-3'!J170:AB559,2,)</f>
        <v>2</v>
      </c>
      <c r="L779" s="38">
        <f>VLOOKUP(K779,'Dataset-3'!K170:AC559,2,)</f>
        <v>0.24</v>
      </c>
      <c r="M779" s="70" t="str">
        <f>VLOOKUP(L779,'Dataset-3'!L170:AD559,2,)</f>
        <v>Cloudy</v>
      </c>
      <c r="N779" s="38">
        <f>VLOOKUP(M779,'Dataset-3'!M170:AE559,2,)</f>
        <v>0.2424</v>
      </c>
      <c r="O779" s="38">
        <f>VLOOKUP(N779,'Dataset-3'!N170:AF559,2,)</f>
        <v>0.65</v>
      </c>
      <c r="P779" s="38">
        <f>VLOOKUP(O779,'Dataset-3'!O170:AG559,2,)</f>
        <v>0.16420000000000001</v>
      </c>
      <c r="Q779" s="38">
        <f>VLOOKUP(P779,'Dataset-3'!P170:AH559,2,)</f>
        <v>2</v>
      </c>
      <c r="R779" s="38">
        <f>VLOOKUP(Q779,'Dataset-3'!Q170:AI559,2,)</f>
        <v>69</v>
      </c>
      <c r="S779" s="38">
        <f>VLOOKUP(R779,'Dataset-3'!R170:AJ559,2,)</f>
        <v>71</v>
      </c>
    </row>
    <row r="780" spans="1:19" x14ac:dyDescent="0.35">
      <c r="A780" s="37">
        <v>779</v>
      </c>
      <c r="B780" s="60">
        <f>VLOOKUP(A780,'Dataset-3'!A171:S560,2,)</f>
        <v>40578</v>
      </c>
      <c r="C780" s="38">
        <f>VLOOKUP(B780,'Dataset-3'!B171:T560,2,)</f>
        <v>1</v>
      </c>
      <c r="D780" s="38">
        <f>VLOOKUP(C780,'Dataset-3'!C171:U560,2,)</f>
        <v>0</v>
      </c>
      <c r="E780" s="38">
        <f>VLOOKUP(D780,'Dataset-3'!D171:V560,2,)</f>
        <v>2</v>
      </c>
      <c r="F780" s="38">
        <f>VLOOKUP(E780,'Dataset-3'!E171:W560,2,)</f>
        <v>21</v>
      </c>
      <c r="G780" s="41" t="str">
        <f>VLOOKUP(F780,'Dataset-3'!F171:X560,2,)</f>
        <v>Night</v>
      </c>
      <c r="H780" s="38" t="b">
        <f>VLOOKUP(G780,'Dataset-3'!G171:Y560,2,)</f>
        <v>0</v>
      </c>
      <c r="I780" s="38">
        <f>VLOOKUP(H780,'Dataset-3'!H171:Z560,2,)</f>
        <v>5</v>
      </c>
      <c r="J780" s="41" t="str">
        <f>VLOOKUP(I780,'Dataset-3'!I171:AA560,2,)</f>
        <v>Thusday</v>
      </c>
      <c r="K780" s="38">
        <f>VLOOKUP(J780,'Dataset-3'!J171:AB560,2,)</f>
        <v>2</v>
      </c>
      <c r="L780" s="38">
        <f>VLOOKUP(K780,'Dataset-3'!K171:AC560,2,)</f>
        <v>0.24</v>
      </c>
      <c r="M780" s="70" t="str">
        <f>VLOOKUP(L780,'Dataset-3'!L171:AD560,2,)</f>
        <v>Cloudy</v>
      </c>
      <c r="N780" s="38">
        <f>VLOOKUP(M780,'Dataset-3'!M171:AE560,2,)</f>
        <v>0.2424</v>
      </c>
      <c r="O780" s="38">
        <f>VLOOKUP(N780,'Dataset-3'!N171:AF560,2,)</f>
        <v>0.7</v>
      </c>
      <c r="P780" s="38">
        <f>VLOOKUP(O780,'Dataset-3'!O171:AG560,2,)</f>
        <v>0.16420000000000001</v>
      </c>
      <c r="Q780" s="38">
        <f>VLOOKUP(P780,'Dataset-3'!P171:AH560,2,)</f>
        <v>2</v>
      </c>
      <c r="R780" s="38">
        <f>VLOOKUP(Q780,'Dataset-3'!Q171:AI560,2,)</f>
        <v>41</v>
      </c>
      <c r="S780" s="38">
        <f>VLOOKUP(R780,'Dataset-3'!R171:AJ560,2,)</f>
        <v>43</v>
      </c>
    </row>
    <row r="781" spans="1:19" x14ac:dyDescent="0.35">
      <c r="A781" s="37">
        <v>780</v>
      </c>
      <c r="B781" s="60">
        <f>VLOOKUP(A781,'Dataset-3'!A172:S561,2,)</f>
        <v>40578</v>
      </c>
      <c r="C781" s="38">
        <f>VLOOKUP(B781,'Dataset-3'!B172:T561,2,)</f>
        <v>1</v>
      </c>
      <c r="D781" s="38">
        <f>VLOOKUP(C781,'Dataset-3'!C172:U561,2,)</f>
        <v>0</v>
      </c>
      <c r="E781" s="38">
        <f>VLOOKUP(D781,'Dataset-3'!D172:V561,2,)</f>
        <v>2</v>
      </c>
      <c r="F781" s="38">
        <f>VLOOKUP(E781,'Dataset-3'!E172:W561,2,)</f>
        <v>22</v>
      </c>
      <c r="G781" s="41" t="str">
        <f>VLOOKUP(F781,'Dataset-3'!F172:X561,2,)</f>
        <v>Night</v>
      </c>
      <c r="H781" s="38" t="b">
        <f>VLOOKUP(G781,'Dataset-3'!G172:Y561,2,)</f>
        <v>0</v>
      </c>
      <c r="I781" s="38">
        <f>VLOOKUP(H781,'Dataset-3'!H172:Z561,2,)</f>
        <v>5</v>
      </c>
      <c r="J781" s="41" t="str">
        <f>VLOOKUP(I781,'Dataset-3'!I172:AA561,2,)</f>
        <v>Thusday</v>
      </c>
      <c r="K781" s="38">
        <f>VLOOKUP(J781,'Dataset-3'!J172:AB561,2,)</f>
        <v>2</v>
      </c>
      <c r="L781" s="38">
        <f>VLOOKUP(K781,'Dataset-3'!K172:AC561,2,)</f>
        <v>0.24</v>
      </c>
      <c r="M781" s="70" t="str">
        <f>VLOOKUP(L781,'Dataset-3'!L172:AD561,2,)</f>
        <v>Cloudy</v>
      </c>
      <c r="N781" s="38">
        <f>VLOOKUP(M781,'Dataset-3'!M172:AE561,2,)</f>
        <v>0.2424</v>
      </c>
      <c r="O781" s="38">
        <f>VLOOKUP(N781,'Dataset-3'!N172:AF561,2,)</f>
        <v>0.65</v>
      </c>
      <c r="P781" s="38">
        <f>VLOOKUP(O781,'Dataset-3'!O172:AG561,2,)</f>
        <v>0.16420000000000001</v>
      </c>
      <c r="Q781" s="38">
        <f>VLOOKUP(P781,'Dataset-3'!P172:AH561,2,)</f>
        <v>1</v>
      </c>
      <c r="R781" s="38">
        <f>VLOOKUP(Q781,'Dataset-3'!Q172:AI561,2,)</f>
        <v>45</v>
      </c>
      <c r="S781" s="38">
        <f>VLOOKUP(R781,'Dataset-3'!R172:AJ561,2,)</f>
        <v>46</v>
      </c>
    </row>
    <row r="782" spans="1:19" x14ac:dyDescent="0.35">
      <c r="A782" s="37">
        <v>781</v>
      </c>
      <c r="B782" s="60">
        <f>VLOOKUP(A782,'Dataset-3'!A173:S562,2,)</f>
        <v>40578</v>
      </c>
      <c r="C782" s="38">
        <f>VLOOKUP(B782,'Dataset-3'!B173:T562,2,)</f>
        <v>1</v>
      </c>
      <c r="D782" s="38">
        <f>VLOOKUP(C782,'Dataset-3'!C173:U562,2,)</f>
        <v>0</v>
      </c>
      <c r="E782" s="38">
        <f>VLOOKUP(D782,'Dataset-3'!D173:V562,2,)</f>
        <v>2</v>
      </c>
      <c r="F782" s="38">
        <f>VLOOKUP(E782,'Dataset-3'!E173:W562,2,)</f>
        <v>23</v>
      </c>
      <c r="G782" s="41" t="str">
        <f>VLOOKUP(F782,'Dataset-3'!F173:X562,2,)</f>
        <v>Night</v>
      </c>
      <c r="H782" s="38" t="b">
        <f>VLOOKUP(G782,'Dataset-3'!G173:Y562,2,)</f>
        <v>0</v>
      </c>
      <c r="I782" s="38">
        <f>VLOOKUP(H782,'Dataset-3'!H173:Z562,2,)</f>
        <v>5</v>
      </c>
      <c r="J782" s="41" t="str">
        <f>VLOOKUP(I782,'Dataset-3'!I173:AA562,2,)</f>
        <v>Thusday</v>
      </c>
      <c r="K782" s="38">
        <f>VLOOKUP(J782,'Dataset-3'!J173:AB562,2,)</f>
        <v>2</v>
      </c>
      <c r="L782" s="38">
        <f>VLOOKUP(K782,'Dataset-3'!K173:AC562,2,)</f>
        <v>0.24</v>
      </c>
      <c r="M782" s="70" t="str">
        <f>VLOOKUP(L782,'Dataset-3'!L173:AD562,2,)</f>
        <v>Cloudy</v>
      </c>
      <c r="N782" s="38">
        <f>VLOOKUP(M782,'Dataset-3'!M173:AE562,2,)</f>
        <v>0.2424</v>
      </c>
      <c r="O782" s="38">
        <f>VLOOKUP(N782,'Dataset-3'!N173:AF562,2,)</f>
        <v>0.7</v>
      </c>
      <c r="P782" s="38">
        <f>VLOOKUP(O782,'Dataset-3'!O173:AG562,2,)</f>
        <v>0.1343</v>
      </c>
      <c r="Q782" s="38">
        <f>VLOOKUP(P782,'Dataset-3'!P173:AH562,2,)</f>
        <v>1</v>
      </c>
      <c r="R782" s="38">
        <f>VLOOKUP(Q782,'Dataset-3'!Q173:AI562,2,)</f>
        <v>30</v>
      </c>
      <c r="S782" s="38">
        <f>VLOOKUP(R782,'Dataset-3'!R173:AJ562,2,)</f>
        <v>31</v>
      </c>
    </row>
    <row r="783" spans="1:19" x14ac:dyDescent="0.35">
      <c r="A783" s="37">
        <v>782</v>
      </c>
      <c r="B783" s="60">
        <f>VLOOKUP(A783,'Dataset-3'!A174:S563,2,)</f>
        <v>40579</v>
      </c>
      <c r="C783" s="38">
        <f>VLOOKUP(B783,'Dataset-3'!B174:T563,2,)</f>
        <v>1</v>
      </c>
      <c r="D783" s="38">
        <f>VLOOKUP(C783,'Dataset-3'!C174:U563,2,)</f>
        <v>0</v>
      </c>
      <c r="E783" s="38">
        <f>VLOOKUP(D783,'Dataset-3'!D174:V563,2,)</f>
        <v>2</v>
      </c>
      <c r="F783" s="38">
        <f>VLOOKUP(E783,'Dataset-3'!E174:W563,2,)</f>
        <v>0</v>
      </c>
      <c r="G783" s="41" t="str">
        <f>VLOOKUP(F783,'Dataset-3'!F174:X563,2,)</f>
        <v>Night</v>
      </c>
      <c r="H783" s="38" t="b">
        <f>VLOOKUP(G783,'Dataset-3'!G174:Y563,2,)</f>
        <v>0</v>
      </c>
      <c r="I783" s="38">
        <f>VLOOKUP(H783,'Dataset-3'!H174:Z563,2,)</f>
        <v>6</v>
      </c>
      <c r="J783" s="41" t="str">
        <f>VLOOKUP(I783,'Dataset-3'!I174:AA563,2,)</f>
        <v>Friday</v>
      </c>
      <c r="K783" s="38">
        <f>VLOOKUP(J783,'Dataset-3'!J174:AB563,2,)</f>
        <v>2</v>
      </c>
      <c r="L783" s="38">
        <f>VLOOKUP(K783,'Dataset-3'!K174:AC563,2,)</f>
        <v>0.24</v>
      </c>
      <c r="M783" s="70" t="str">
        <f>VLOOKUP(L783,'Dataset-3'!L174:AD563,2,)</f>
        <v>Cloudy</v>
      </c>
      <c r="N783" s="38">
        <f>VLOOKUP(M783,'Dataset-3'!M174:AE563,2,)</f>
        <v>0.2424</v>
      </c>
      <c r="O783" s="38">
        <f>VLOOKUP(N783,'Dataset-3'!N174:AF563,2,)</f>
        <v>0.7</v>
      </c>
      <c r="P783" s="38">
        <f>VLOOKUP(O783,'Dataset-3'!O174:AG563,2,)</f>
        <v>0.16420000000000001</v>
      </c>
      <c r="Q783" s="38">
        <f>VLOOKUP(P783,'Dataset-3'!P174:AH563,2,)</f>
        <v>3</v>
      </c>
      <c r="R783" s="38">
        <f>VLOOKUP(Q783,'Dataset-3'!Q174:AI563,2,)</f>
        <v>36</v>
      </c>
      <c r="S783" s="38">
        <f>VLOOKUP(R783,'Dataset-3'!R174:AJ563,2,)</f>
        <v>39</v>
      </c>
    </row>
    <row r="784" spans="1:19" x14ac:dyDescent="0.35">
      <c r="A784" s="37">
        <v>783</v>
      </c>
      <c r="B784" s="60">
        <f>VLOOKUP(A784,'Dataset-3'!A175:S564,2,)</f>
        <v>40579</v>
      </c>
      <c r="C784" s="38">
        <f>VLOOKUP(B784,'Dataset-3'!B175:T564,2,)</f>
        <v>1</v>
      </c>
      <c r="D784" s="38">
        <f>VLOOKUP(C784,'Dataset-3'!C175:U564,2,)</f>
        <v>0</v>
      </c>
      <c r="E784" s="38">
        <f>VLOOKUP(D784,'Dataset-3'!D175:V564,2,)</f>
        <v>2</v>
      </c>
      <c r="F784" s="38">
        <f>VLOOKUP(E784,'Dataset-3'!E175:W564,2,)</f>
        <v>1</v>
      </c>
      <c r="G784" s="41" t="str">
        <f>VLOOKUP(F784,'Dataset-3'!F175:X564,2,)</f>
        <v>Night</v>
      </c>
      <c r="H784" s="38" t="b">
        <f>VLOOKUP(G784,'Dataset-3'!G175:Y564,2,)</f>
        <v>0</v>
      </c>
      <c r="I784" s="38">
        <f>VLOOKUP(H784,'Dataset-3'!H175:Z564,2,)</f>
        <v>6</v>
      </c>
      <c r="J784" s="41" t="str">
        <f>VLOOKUP(I784,'Dataset-3'!I175:AA564,2,)</f>
        <v>Friday</v>
      </c>
      <c r="K784" s="38">
        <f>VLOOKUP(J784,'Dataset-3'!J175:AB564,2,)</f>
        <v>2</v>
      </c>
      <c r="L784" s="38">
        <f>VLOOKUP(K784,'Dataset-3'!K175:AC564,2,)</f>
        <v>0.24</v>
      </c>
      <c r="M784" s="70" t="str">
        <f>VLOOKUP(L784,'Dataset-3'!L175:AD564,2,)</f>
        <v>Cloudy</v>
      </c>
      <c r="N784" s="38">
        <f>VLOOKUP(M784,'Dataset-3'!M175:AE564,2,)</f>
        <v>0.2424</v>
      </c>
      <c r="O784" s="38">
        <f>VLOOKUP(N784,'Dataset-3'!N175:AF564,2,)</f>
        <v>0.65</v>
      </c>
      <c r="P784" s="38">
        <f>VLOOKUP(O784,'Dataset-3'!O175:AG564,2,)</f>
        <v>0.16420000000000001</v>
      </c>
      <c r="Q784" s="38">
        <f>VLOOKUP(P784,'Dataset-3'!P175:AH564,2,)</f>
        <v>1</v>
      </c>
      <c r="R784" s="38">
        <f>VLOOKUP(Q784,'Dataset-3'!Q175:AI564,2,)</f>
        <v>17</v>
      </c>
      <c r="S784" s="38">
        <f>VLOOKUP(R784,'Dataset-3'!R175:AJ564,2,)</f>
        <v>18</v>
      </c>
    </row>
    <row r="785" spans="1:19" x14ac:dyDescent="0.35">
      <c r="A785" s="37">
        <v>784</v>
      </c>
      <c r="B785" s="60">
        <f>VLOOKUP(A785,'Dataset-3'!A176:S565,2,)</f>
        <v>40579</v>
      </c>
      <c r="C785" s="38">
        <f>VLOOKUP(B785,'Dataset-3'!B176:T565,2,)</f>
        <v>1</v>
      </c>
      <c r="D785" s="38">
        <f>VLOOKUP(C785,'Dataset-3'!C176:U565,2,)</f>
        <v>0</v>
      </c>
      <c r="E785" s="38">
        <f>VLOOKUP(D785,'Dataset-3'!D176:V565,2,)</f>
        <v>2</v>
      </c>
      <c r="F785" s="38">
        <f>VLOOKUP(E785,'Dataset-3'!E176:W565,2,)</f>
        <v>2</v>
      </c>
      <c r="G785" s="41" t="str">
        <f>VLOOKUP(F785,'Dataset-3'!F176:X565,2,)</f>
        <v>Night</v>
      </c>
      <c r="H785" s="38" t="b">
        <f>VLOOKUP(G785,'Dataset-3'!G176:Y565,2,)</f>
        <v>0</v>
      </c>
      <c r="I785" s="38">
        <f>VLOOKUP(H785,'Dataset-3'!H176:Z565,2,)</f>
        <v>6</v>
      </c>
      <c r="J785" s="41" t="str">
        <f>VLOOKUP(I785,'Dataset-3'!I176:AA565,2,)</f>
        <v>Friday</v>
      </c>
      <c r="K785" s="38">
        <f>VLOOKUP(J785,'Dataset-3'!J176:AB565,2,)</f>
        <v>2</v>
      </c>
      <c r="L785" s="38">
        <f>VLOOKUP(K785,'Dataset-3'!K176:AC565,2,)</f>
        <v>0.24</v>
      </c>
      <c r="M785" s="70" t="str">
        <f>VLOOKUP(L785,'Dataset-3'!L176:AD565,2,)</f>
        <v>Cloudy</v>
      </c>
      <c r="N785" s="38">
        <f>VLOOKUP(M785,'Dataset-3'!M176:AE565,2,)</f>
        <v>0.2424</v>
      </c>
      <c r="O785" s="38">
        <f>VLOOKUP(N785,'Dataset-3'!N176:AF565,2,)</f>
        <v>0.75</v>
      </c>
      <c r="P785" s="38">
        <f>VLOOKUP(O785,'Dataset-3'!O176:AG565,2,)</f>
        <v>0.16420000000000001</v>
      </c>
      <c r="Q785" s="38">
        <f>VLOOKUP(P785,'Dataset-3'!P176:AH565,2,)</f>
        <v>5</v>
      </c>
      <c r="R785" s="38">
        <f>VLOOKUP(Q785,'Dataset-3'!Q176:AI565,2,)</f>
        <v>12</v>
      </c>
      <c r="S785" s="38">
        <f>VLOOKUP(R785,'Dataset-3'!R176:AJ565,2,)</f>
        <v>17</v>
      </c>
    </row>
    <row r="786" spans="1:19" x14ac:dyDescent="0.35">
      <c r="A786" s="37">
        <v>785</v>
      </c>
      <c r="B786" s="60">
        <f>VLOOKUP(A786,'Dataset-3'!A177:S566,2,)</f>
        <v>40579</v>
      </c>
      <c r="C786" s="38">
        <f>VLOOKUP(B786,'Dataset-3'!B177:T566,2,)</f>
        <v>1</v>
      </c>
      <c r="D786" s="38">
        <f>VLOOKUP(C786,'Dataset-3'!C177:U566,2,)</f>
        <v>0</v>
      </c>
      <c r="E786" s="38">
        <f>VLOOKUP(D786,'Dataset-3'!D177:V566,2,)</f>
        <v>2</v>
      </c>
      <c r="F786" s="38">
        <f>VLOOKUP(E786,'Dataset-3'!E177:W566,2,)</f>
        <v>3</v>
      </c>
      <c r="G786" s="41" t="str">
        <f>VLOOKUP(F786,'Dataset-3'!F177:X566,2,)</f>
        <v>Night</v>
      </c>
      <c r="H786" s="38" t="b">
        <f>VLOOKUP(G786,'Dataset-3'!G177:Y566,2,)</f>
        <v>0</v>
      </c>
      <c r="I786" s="38">
        <f>VLOOKUP(H786,'Dataset-3'!H177:Z566,2,)</f>
        <v>6</v>
      </c>
      <c r="J786" s="41" t="str">
        <f>VLOOKUP(I786,'Dataset-3'!I177:AA566,2,)</f>
        <v>Friday</v>
      </c>
      <c r="K786" s="38">
        <f>VLOOKUP(J786,'Dataset-3'!J177:AB566,2,)</f>
        <v>2</v>
      </c>
      <c r="L786" s="38">
        <f>VLOOKUP(K786,'Dataset-3'!K177:AC566,2,)</f>
        <v>0.24</v>
      </c>
      <c r="M786" s="70" t="str">
        <f>VLOOKUP(L786,'Dataset-3'!L177:AD566,2,)</f>
        <v>Cloudy</v>
      </c>
      <c r="N786" s="38">
        <f>VLOOKUP(M786,'Dataset-3'!M177:AE566,2,)</f>
        <v>0.2424</v>
      </c>
      <c r="O786" s="38">
        <f>VLOOKUP(N786,'Dataset-3'!N177:AF566,2,)</f>
        <v>0.75</v>
      </c>
      <c r="P786" s="38">
        <f>VLOOKUP(O786,'Dataset-3'!O177:AG566,2,)</f>
        <v>0.16420000000000001</v>
      </c>
      <c r="Q786" s="38">
        <f>VLOOKUP(P786,'Dataset-3'!P177:AH566,2,)</f>
        <v>1</v>
      </c>
      <c r="R786" s="38">
        <f>VLOOKUP(Q786,'Dataset-3'!Q177:AI566,2,)</f>
        <v>10</v>
      </c>
      <c r="S786" s="38">
        <f>VLOOKUP(R786,'Dataset-3'!R177:AJ566,2,)</f>
        <v>11</v>
      </c>
    </row>
    <row r="787" spans="1:19" x14ac:dyDescent="0.35">
      <c r="A787" s="37">
        <v>786</v>
      </c>
      <c r="B787" s="60">
        <f>VLOOKUP(A787,'Dataset-3'!A178:S567,2,)</f>
        <v>40579</v>
      </c>
      <c r="C787" s="38">
        <f>VLOOKUP(B787,'Dataset-3'!B178:T567,2,)</f>
        <v>1</v>
      </c>
      <c r="D787" s="38">
        <f>VLOOKUP(C787,'Dataset-3'!C178:U567,2,)</f>
        <v>0</v>
      </c>
      <c r="E787" s="38">
        <f>VLOOKUP(D787,'Dataset-3'!D178:V567,2,)</f>
        <v>2</v>
      </c>
      <c r="F787" s="38">
        <f>VLOOKUP(E787,'Dataset-3'!E178:W567,2,)</f>
        <v>4</v>
      </c>
      <c r="G787" s="41" t="str">
        <f>VLOOKUP(F787,'Dataset-3'!F178:X567,2,)</f>
        <v>Night</v>
      </c>
      <c r="H787" s="38" t="b">
        <f>VLOOKUP(G787,'Dataset-3'!G178:Y567,2,)</f>
        <v>0</v>
      </c>
      <c r="I787" s="38">
        <f>VLOOKUP(H787,'Dataset-3'!H178:Z567,2,)</f>
        <v>6</v>
      </c>
      <c r="J787" s="41" t="str">
        <f>VLOOKUP(I787,'Dataset-3'!I178:AA567,2,)</f>
        <v>Friday</v>
      </c>
      <c r="K787" s="38">
        <f>VLOOKUP(J787,'Dataset-3'!J178:AB567,2,)</f>
        <v>3</v>
      </c>
      <c r="L787" s="38">
        <f>VLOOKUP(K787,'Dataset-3'!K178:AC567,2,)</f>
        <v>0.22</v>
      </c>
      <c r="M787" s="70" t="str">
        <f>VLOOKUP(L787,'Dataset-3'!L178:AD567,2,)</f>
        <v>Cloudy</v>
      </c>
      <c r="N787" s="38">
        <f>VLOOKUP(M787,'Dataset-3'!M178:AE567,2,)</f>
        <v>0.2273</v>
      </c>
      <c r="O787" s="38">
        <f>VLOOKUP(N787,'Dataset-3'!N178:AF567,2,)</f>
        <v>0.93</v>
      </c>
      <c r="P787" s="38">
        <f>VLOOKUP(O787,'Dataset-3'!O178:AG567,2,)</f>
        <v>0.1343</v>
      </c>
      <c r="Q787" s="38">
        <f>VLOOKUP(P787,'Dataset-3'!P178:AH567,2,)</f>
        <v>0</v>
      </c>
      <c r="R787" s="38">
        <f>VLOOKUP(Q787,'Dataset-3'!Q178:AI567,2,)</f>
        <v>8</v>
      </c>
      <c r="S787" s="38">
        <f>VLOOKUP(R787,'Dataset-3'!R178:AJ567,2,)</f>
        <v>8</v>
      </c>
    </row>
    <row r="788" spans="1:19" x14ac:dyDescent="0.35">
      <c r="A788" s="37">
        <v>787</v>
      </c>
      <c r="B788" s="60">
        <f>VLOOKUP(A788,'Dataset-3'!A179:S568,2,)</f>
        <v>40579</v>
      </c>
      <c r="C788" s="38">
        <f>VLOOKUP(B788,'Dataset-3'!B179:T568,2,)</f>
        <v>1</v>
      </c>
      <c r="D788" s="38">
        <f>VLOOKUP(C788,'Dataset-3'!C179:U568,2,)</f>
        <v>0</v>
      </c>
      <c r="E788" s="38">
        <f>VLOOKUP(D788,'Dataset-3'!D179:V568,2,)</f>
        <v>2</v>
      </c>
      <c r="F788" s="38">
        <f>VLOOKUP(E788,'Dataset-3'!E179:W568,2,)</f>
        <v>5</v>
      </c>
      <c r="G788" s="41" t="str">
        <f>VLOOKUP(F788,'Dataset-3'!F179:X568,2,)</f>
        <v>Morning</v>
      </c>
      <c r="H788" s="38" t="b">
        <f>VLOOKUP(G788,'Dataset-3'!G179:Y568,2,)</f>
        <v>0</v>
      </c>
      <c r="I788" s="38">
        <f>VLOOKUP(H788,'Dataset-3'!H179:Z568,2,)</f>
        <v>6</v>
      </c>
      <c r="J788" s="41" t="str">
        <f>VLOOKUP(I788,'Dataset-3'!I179:AA568,2,)</f>
        <v>Friday</v>
      </c>
      <c r="K788" s="38">
        <f>VLOOKUP(J788,'Dataset-3'!J179:AB568,2,)</f>
        <v>3</v>
      </c>
      <c r="L788" s="38">
        <f>VLOOKUP(K788,'Dataset-3'!K179:AC568,2,)</f>
        <v>0.2</v>
      </c>
      <c r="M788" s="70" t="str">
        <f>VLOOKUP(L788,'Dataset-3'!L179:AD568,2,)</f>
        <v>Rainy</v>
      </c>
      <c r="N788" s="38">
        <f>VLOOKUP(M788,'Dataset-3'!M179:AE568,2,)</f>
        <v>0.2273</v>
      </c>
      <c r="O788" s="38">
        <f>VLOOKUP(N788,'Dataset-3'!N179:AF568,2,)</f>
        <v>1</v>
      </c>
      <c r="P788" s="38">
        <f>VLOOKUP(O788,'Dataset-3'!O179:AG568,2,)</f>
        <v>8.9599999999999999E-2</v>
      </c>
      <c r="Q788" s="38">
        <f>VLOOKUP(P788,'Dataset-3'!P179:AH568,2,)</f>
        <v>0</v>
      </c>
      <c r="R788" s="38">
        <f>VLOOKUP(Q788,'Dataset-3'!Q179:AI568,2,)</f>
        <v>9</v>
      </c>
      <c r="S788" s="38">
        <f>VLOOKUP(R788,'Dataset-3'!R179:AJ568,2,)</f>
        <v>9</v>
      </c>
    </row>
    <row r="789" spans="1:19" x14ac:dyDescent="0.35">
      <c r="A789" s="37">
        <v>788</v>
      </c>
      <c r="B789" s="60">
        <f>VLOOKUP(A789,'Dataset-3'!A180:S569,2,)</f>
        <v>40579</v>
      </c>
      <c r="C789" s="38">
        <f>VLOOKUP(B789,'Dataset-3'!B180:T569,2,)</f>
        <v>1</v>
      </c>
      <c r="D789" s="38">
        <f>VLOOKUP(C789,'Dataset-3'!C180:U569,2,)</f>
        <v>0</v>
      </c>
      <c r="E789" s="38">
        <f>VLOOKUP(D789,'Dataset-3'!D180:V569,2,)</f>
        <v>2</v>
      </c>
      <c r="F789" s="38">
        <f>VLOOKUP(E789,'Dataset-3'!E180:W569,2,)</f>
        <v>6</v>
      </c>
      <c r="G789" s="41" t="str">
        <f>VLOOKUP(F789,'Dataset-3'!F180:X569,2,)</f>
        <v>Morning</v>
      </c>
      <c r="H789" s="38" t="b">
        <f>VLOOKUP(G789,'Dataset-3'!G180:Y569,2,)</f>
        <v>0</v>
      </c>
      <c r="I789" s="38">
        <f>VLOOKUP(H789,'Dataset-3'!H180:Z569,2,)</f>
        <v>6</v>
      </c>
      <c r="J789" s="41" t="str">
        <f>VLOOKUP(I789,'Dataset-3'!I180:AA569,2,)</f>
        <v>Friday</v>
      </c>
      <c r="K789" s="38">
        <f>VLOOKUP(J789,'Dataset-3'!J180:AB569,2,)</f>
        <v>3</v>
      </c>
      <c r="L789" s="38">
        <f>VLOOKUP(K789,'Dataset-3'!K180:AC569,2,)</f>
        <v>0.2</v>
      </c>
      <c r="M789" s="70" t="str">
        <f>VLOOKUP(L789,'Dataset-3'!L180:AD569,2,)</f>
        <v>Rainy</v>
      </c>
      <c r="N789" s="38">
        <f>VLOOKUP(M789,'Dataset-3'!M180:AE569,2,)</f>
        <v>0.2576</v>
      </c>
      <c r="O789" s="38">
        <f>VLOOKUP(N789,'Dataset-3'!N180:AF569,2,)</f>
        <v>1</v>
      </c>
      <c r="P789" s="38">
        <f>VLOOKUP(O789,'Dataset-3'!O180:AG569,2,)</f>
        <v>0</v>
      </c>
      <c r="Q789" s="38">
        <f>VLOOKUP(P789,'Dataset-3'!P180:AH569,2,)</f>
        <v>0</v>
      </c>
      <c r="R789" s="38">
        <f>VLOOKUP(Q789,'Dataset-3'!Q180:AI569,2,)</f>
        <v>4</v>
      </c>
      <c r="S789" s="38">
        <f>VLOOKUP(R789,'Dataset-3'!R180:AJ569,2,)</f>
        <v>4</v>
      </c>
    </row>
    <row r="790" spans="1:19" x14ac:dyDescent="0.35">
      <c r="A790" s="37">
        <v>789</v>
      </c>
      <c r="B790" s="60">
        <f>VLOOKUP(A790,'Dataset-3'!A181:S570,2,)</f>
        <v>40579</v>
      </c>
      <c r="C790" s="38">
        <f>VLOOKUP(B790,'Dataset-3'!B181:T570,2,)</f>
        <v>1</v>
      </c>
      <c r="D790" s="38">
        <f>VLOOKUP(C790,'Dataset-3'!C181:U570,2,)</f>
        <v>0</v>
      </c>
      <c r="E790" s="38">
        <f>VLOOKUP(D790,'Dataset-3'!D181:V570,2,)</f>
        <v>2</v>
      </c>
      <c r="F790" s="38">
        <f>VLOOKUP(E790,'Dataset-3'!E181:W570,2,)</f>
        <v>7</v>
      </c>
      <c r="G790" s="41" t="str">
        <f>VLOOKUP(F790,'Dataset-3'!F181:X570,2,)</f>
        <v>Morning</v>
      </c>
      <c r="H790" s="38" t="b">
        <f>VLOOKUP(G790,'Dataset-3'!G181:Y570,2,)</f>
        <v>0</v>
      </c>
      <c r="I790" s="38">
        <f>VLOOKUP(H790,'Dataset-3'!H181:Z570,2,)</f>
        <v>6</v>
      </c>
      <c r="J790" s="41" t="str">
        <f>VLOOKUP(I790,'Dataset-3'!I181:AA570,2,)</f>
        <v>Friday</v>
      </c>
      <c r="K790" s="38">
        <f>VLOOKUP(J790,'Dataset-3'!J181:AB570,2,)</f>
        <v>3</v>
      </c>
      <c r="L790" s="38">
        <f>VLOOKUP(K790,'Dataset-3'!K181:AC570,2,)</f>
        <v>0.22</v>
      </c>
      <c r="M790" s="70" t="str">
        <f>VLOOKUP(L790,'Dataset-3'!L181:AD570,2,)</f>
        <v>Cloudy</v>
      </c>
      <c r="N790" s="38">
        <f>VLOOKUP(M790,'Dataset-3'!M181:AE570,2,)</f>
        <v>0.2576</v>
      </c>
      <c r="O790" s="38">
        <f>VLOOKUP(N790,'Dataset-3'!N181:AF570,2,)</f>
        <v>0.93</v>
      </c>
      <c r="P790" s="38">
        <f>VLOOKUP(O790,'Dataset-3'!O181:AG570,2,)</f>
        <v>8.9599999999999999E-2</v>
      </c>
      <c r="Q790" s="38">
        <f>VLOOKUP(P790,'Dataset-3'!P181:AH570,2,)</f>
        <v>0</v>
      </c>
      <c r="R790" s="38">
        <f>VLOOKUP(Q790,'Dataset-3'!Q181:AI570,2,)</f>
        <v>4</v>
      </c>
      <c r="S790" s="38">
        <f>VLOOKUP(R790,'Dataset-3'!R181:AJ570,2,)</f>
        <v>4</v>
      </c>
    </row>
    <row r="791" spans="1:19" x14ac:dyDescent="0.35">
      <c r="A791" s="37">
        <v>790</v>
      </c>
      <c r="B791" s="60">
        <f>VLOOKUP(A791,'Dataset-3'!A182:S571,2,)</f>
        <v>40579</v>
      </c>
      <c r="C791" s="38">
        <f>VLOOKUP(B791,'Dataset-3'!B182:T571,2,)</f>
        <v>1</v>
      </c>
      <c r="D791" s="38">
        <f>VLOOKUP(C791,'Dataset-3'!C182:U571,2,)</f>
        <v>0</v>
      </c>
      <c r="E791" s="38">
        <f>VLOOKUP(D791,'Dataset-3'!D182:V571,2,)</f>
        <v>2</v>
      </c>
      <c r="F791" s="38">
        <f>VLOOKUP(E791,'Dataset-3'!E182:W571,2,)</f>
        <v>8</v>
      </c>
      <c r="G791" s="41" t="str">
        <f>VLOOKUP(F791,'Dataset-3'!F182:X571,2,)</f>
        <v>Morning</v>
      </c>
      <c r="H791" s="38" t="b">
        <f>VLOOKUP(G791,'Dataset-3'!G182:Y571,2,)</f>
        <v>0</v>
      </c>
      <c r="I791" s="38">
        <f>VLOOKUP(H791,'Dataset-3'!H182:Z571,2,)</f>
        <v>6</v>
      </c>
      <c r="J791" s="41" t="str">
        <f>VLOOKUP(I791,'Dataset-3'!I182:AA571,2,)</f>
        <v>Friday</v>
      </c>
      <c r="K791" s="38">
        <f>VLOOKUP(J791,'Dataset-3'!J182:AB571,2,)</f>
        <v>3</v>
      </c>
      <c r="L791" s="38">
        <f>VLOOKUP(K791,'Dataset-3'!K182:AC571,2,)</f>
        <v>0.2</v>
      </c>
      <c r="M791" s="70" t="str">
        <f>VLOOKUP(L791,'Dataset-3'!L182:AD571,2,)</f>
        <v>Rainy</v>
      </c>
      <c r="N791" s="38">
        <f>VLOOKUP(M791,'Dataset-3'!M182:AE571,2,)</f>
        <v>0.2273</v>
      </c>
      <c r="O791" s="38">
        <f>VLOOKUP(N791,'Dataset-3'!N182:AF571,2,)</f>
        <v>1</v>
      </c>
      <c r="P791" s="38">
        <f>VLOOKUP(O791,'Dataset-3'!O182:AG571,2,)</f>
        <v>8.9599999999999999E-2</v>
      </c>
      <c r="Q791" s="38">
        <f>VLOOKUP(P791,'Dataset-3'!P182:AH571,2,)</f>
        <v>0</v>
      </c>
      <c r="R791" s="38">
        <f>VLOOKUP(Q791,'Dataset-3'!Q182:AI571,2,)</f>
        <v>10</v>
      </c>
      <c r="S791" s="38">
        <f>VLOOKUP(R791,'Dataset-3'!R182:AJ571,2,)</f>
        <v>10</v>
      </c>
    </row>
    <row r="792" spans="1:19" x14ac:dyDescent="0.35">
      <c r="A792" s="37">
        <v>791</v>
      </c>
      <c r="B792" s="60">
        <f>VLOOKUP(A792,'Dataset-3'!A183:S572,2,)</f>
        <v>40579</v>
      </c>
      <c r="C792" s="38">
        <f>VLOOKUP(B792,'Dataset-3'!B183:T572,2,)</f>
        <v>1</v>
      </c>
      <c r="D792" s="38">
        <f>VLOOKUP(C792,'Dataset-3'!C183:U572,2,)</f>
        <v>0</v>
      </c>
      <c r="E792" s="38">
        <f>VLOOKUP(D792,'Dataset-3'!D183:V572,2,)</f>
        <v>2</v>
      </c>
      <c r="F792" s="38">
        <f>VLOOKUP(E792,'Dataset-3'!E183:W572,2,)</f>
        <v>9</v>
      </c>
      <c r="G792" s="41" t="str">
        <f>VLOOKUP(F792,'Dataset-3'!F183:X572,2,)</f>
        <v>Morning</v>
      </c>
      <c r="H792" s="38" t="b">
        <f>VLOOKUP(G792,'Dataset-3'!G183:Y572,2,)</f>
        <v>0</v>
      </c>
      <c r="I792" s="38">
        <f>VLOOKUP(H792,'Dataset-3'!H183:Z572,2,)</f>
        <v>6</v>
      </c>
      <c r="J792" s="41" t="str">
        <f>VLOOKUP(I792,'Dataset-3'!I183:AA572,2,)</f>
        <v>Friday</v>
      </c>
      <c r="K792" s="38">
        <f>VLOOKUP(J792,'Dataset-3'!J183:AB572,2,)</f>
        <v>3</v>
      </c>
      <c r="L792" s="38">
        <f>VLOOKUP(K792,'Dataset-3'!K183:AC572,2,)</f>
        <v>0.2</v>
      </c>
      <c r="M792" s="70" t="str">
        <f>VLOOKUP(L792,'Dataset-3'!L183:AD572,2,)</f>
        <v>Rainy</v>
      </c>
      <c r="N792" s="38">
        <f>VLOOKUP(M792,'Dataset-3'!M183:AE572,2,)</f>
        <v>0.2273</v>
      </c>
      <c r="O792" s="38">
        <f>VLOOKUP(N792,'Dataset-3'!N183:AF572,2,)</f>
        <v>1</v>
      </c>
      <c r="P792" s="38">
        <f>VLOOKUP(O792,'Dataset-3'!O183:AG572,2,)</f>
        <v>8.9599999999999999E-2</v>
      </c>
      <c r="Q792" s="38">
        <f>VLOOKUP(P792,'Dataset-3'!P183:AH572,2,)</f>
        <v>3</v>
      </c>
      <c r="R792" s="38">
        <f>VLOOKUP(Q792,'Dataset-3'!Q183:AI572,2,)</f>
        <v>17</v>
      </c>
      <c r="S792" s="38">
        <f>VLOOKUP(R792,'Dataset-3'!R183:AJ572,2,)</f>
        <v>20</v>
      </c>
    </row>
    <row r="793" spans="1:19" x14ac:dyDescent="0.35">
      <c r="A793" s="37">
        <v>792</v>
      </c>
      <c r="B793" s="60">
        <f>VLOOKUP(A793,'Dataset-3'!A184:S573,2,)</f>
        <v>40579</v>
      </c>
      <c r="C793" s="38">
        <f>VLOOKUP(B793,'Dataset-3'!B184:T573,2,)</f>
        <v>1</v>
      </c>
      <c r="D793" s="38">
        <f>VLOOKUP(C793,'Dataset-3'!C184:U573,2,)</f>
        <v>0</v>
      </c>
      <c r="E793" s="38">
        <f>VLOOKUP(D793,'Dataset-3'!D184:V573,2,)</f>
        <v>2</v>
      </c>
      <c r="F793" s="38">
        <f>VLOOKUP(E793,'Dataset-3'!E184:W573,2,)</f>
        <v>10</v>
      </c>
      <c r="G793" s="41" t="str">
        <f>VLOOKUP(F793,'Dataset-3'!F184:X573,2,)</f>
        <v>Morning</v>
      </c>
      <c r="H793" s="38" t="b">
        <f>VLOOKUP(G793,'Dataset-3'!G184:Y573,2,)</f>
        <v>0</v>
      </c>
      <c r="I793" s="38">
        <f>VLOOKUP(H793,'Dataset-3'!H184:Z573,2,)</f>
        <v>6</v>
      </c>
      <c r="J793" s="41" t="str">
        <f>VLOOKUP(I793,'Dataset-3'!I184:AA573,2,)</f>
        <v>Friday</v>
      </c>
      <c r="K793" s="38">
        <f>VLOOKUP(J793,'Dataset-3'!J184:AB573,2,)</f>
        <v>3</v>
      </c>
      <c r="L793" s="38">
        <f>VLOOKUP(K793,'Dataset-3'!K184:AC573,2,)</f>
        <v>0.2</v>
      </c>
      <c r="M793" s="70" t="str">
        <f>VLOOKUP(L793,'Dataset-3'!L184:AD573,2,)</f>
        <v>Rainy</v>
      </c>
      <c r="N793" s="38">
        <f>VLOOKUP(M793,'Dataset-3'!M184:AE573,2,)</f>
        <v>0.21210000000000001</v>
      </c>
      <c r="O793" s="38">
        <f>VLOOKUP(N793,'Dataset-3'!N184:AF573,2,)</f>
        <v>1</v>
      </c>
      <c r="P793" s="38">
        <f>VLOOKUP(O793,'Dataset-3'!O184:AG573,2,)</f>
        <v>0.1343</v>
      </c>
      <c r="Q793" s="38">
        <f>VLOOKUP(P793,'Dataset-3'!P184:AH573,2,)</f>
        <v>3</v>
      </c>
      <c r="R793" s="38">
        <f>VLOOKUP(Q793,'Dataset-3'!Q184:AI573,2,)</f>
        <v>31</v>
      </c>
      <c r="S793" s="38">
        <f>VLOOKUP(R793,'Dataset-3'!R184:AJ573,2,)</f>
        <v>34</v>
      </c>
    </row>
    <row r="794" spans="1:19" x14ac:dyDescent="0.35">
      <c r="A794" s="37">
        <v>793</v>
      </c>
      <c r="B794" s="60">
        <f>VLOOKUP(A794,'Dataset-3'!A185:S574,2,)</f>
        <v>40579</v>
      </c>
      <c r="C794" s="38">
        <f>VLOOKUP(B794,'Dataset-3'!B185:T574,2,)</f>
        <v>1</v>
      </c>
      <c r="D794" s="38">
        <f>VLOOKUP(C794,'Dataset-3'!C185:U574,2,)</f>
        <v>0</v>
      </c>
      <c r="E794" s="38">
        <f>VLOOKUP(D794,'Dataset-3'!D185:V574,2,)</f>
        <v>2</v>
      </c>
      <c r="F794" s="38">
        <f>VLOOKUP(E794,'Dataset-3'!E185:W574,2,)</f>
        <v>11</v>
      </c>
      <c r="G794" s="41" t="str">
        <f>VLOOKUP(F794,'Dataset-3'!F185:X574,2,)</f>
        <v>Morning</v>
      </c>
      <c r="H794" s="38" t="b">
        <f>VLOOKUP(G794,'Dataset-3'!G185:Y574,2,)</f>
        <v>0</v>
      </c>
      <c r="I794" s="38">
        <f>VLOOKUP(H794,'Dataset-3'!H185:Z574,2,)</f>
        <v>6</v>
      </c>
      <c r="J794" s="41" t="str">
        <f>VLOOKUP(I794,'Dataset-3'!I185:AA574,2,)</f>
        <v>Friday</v>
      </c>
      <c r="K794" s="38">
        <f>VLOOKUP(J794,'Dataset-3'!J185:AB574,2,)</f>
        <v>3</v>
      </c>
      <c r="L794" s="38">
        <f>VLOOKUP(K794,'Dataset-3'!K185:AC574,2,)</f>
        <v>0.22</v>
      </c>
      <c r="M794" s="70" t="str">
        <f>VLOOKUP(L794,'Dataset-3'!L185:AD574,2,)</f>
        <v>Cloudy</v>
      </c>
      <c r="N794" s="38">
        <f>VLOOKUP(M794,'Dataset-3'!M185:AE574,2,)</f>
        <v>0.2273</v>
      </c>
      <c r="O794" s="38">
        <f>VLOOKUP(N794,'Dataset-3'!N185:AF574,2,)</f>
        <v>1</v>
      </c>
      <c r="P794" s="38">
        <f>VLOOKUP(O794,'Dataset-3'!O185:AG574,2,)</f>
        <v>0.1343</v>
      </c>
      <c r="Q794" s="38">
        <f>VLOOKUP(P794,'Dataset-3'!P185:AH574,2,)</f>
        <v>1</v>
      </c>
      <c r="R794" s="38">
        <f>VLOOKUP(Q794,'Dataset-3'!Q185:AI574,2,)</f>
        <v>46</v>
      </c>
      <c r="S794" s="38">
        <f>VLOOKUP(R794,'Dataset-3'!R185:AJ574,2,)</f>
        <v>47</v>
      </c>
    </row>
    <row r="795" spans="1:19" x14ac:dyDescent="0.35">
      <c r="A795" s="37">
        <v>794</v>
      </c>
      <c r="B795" s="60">
        <f>VLOOKUP(A795,'Dataset-3'!A186:S575,2,)</f>
        <v>40579</v>
      </c>
      <c r="C795" s="38">
        <f>VLOOKUP(B795,'Dataset-3'!B186:T575,2,)</f>
        <v>1</v>
      </c>
      <c r="D795" s="38">
        <f>VLOOKUP(C795,'Dataset-3'!C186:U575,2,)</f>
        <v>0</v>
      </c>
      <c r="E795" s="38">
        <f>VLOOKUP(D795,'Dataset-3'!D186:V575,2,)</f>
        <v>2</v>
      </c>
      <c r="F795" s="38">
        <f>VLOOKUP(E795,'Dataset-3'!E186:W575,2,)</f>
        <v>12</v>
      </c>
      <c r="G795" s="41" t="str">
        <f>VLOOKUP(F795,'Dataset-3'!F186:X575,2,)</f>
        <v>AfterNoon</v>
      </c>
      <c r="H795" s="38" t="b">
        <f>VLOOKUP(G795,'Dataset-3'!G186:Y575,2,)</f>
        <v>0</v>
      </c>
      <c r="I795" s="38">
        <f>VLOOKUP(H795,'Dataset-3'!H186:Z575,2,)</f>
        <v>6</v>
      </c>
      <c r="J795" s="41" t="str">
        <f>VLOOKUP(I795,'Dataset-3'!I186:AA575,2,)</f>
        <v>Friday</v>
      </c>
      <c r="K795" s="38">
        <f>VLOOKUP(J795,'Dataset-3'!J186:AB575,2,)</f>
        <v>3</v>
      </c>
      <c r="L795" s="38">
        <f>VLOOKUP(K795,'Dataset-3'!K186:AC575,2,)</f>
        <v>0.22</v>
      </c>
      <c r="M795" s="70" t="str">
        <f>VLOOKUP(L795,'Dataset-3'!L186:AD575,2,)</f>
        <v>Cloudy</v>
      </c>
      <c r="N795" s="38">
        <f>VLOOKUP(M795,'Dataset-3'!M186:AE575,2,)</f>
        <v>0.2273</v>
      </c>
      <c r="O795" s="38">
        <f>VLOOKUP(N795,'Dataset-3'!N186:AF575,2,)</f>
        <v>1</v>
      </c>
      <c r="P795" s="38">
        <f>VLOOKUP(O795,'Dataset-3'!O186:AG575,2,)</f>
        <v>0.16420000000000001</v>
      </c>
      <c r="Q795" s="38">
        <f>VLOOKUP(P795,'Dataset-3'!P186:AH575,2,)</f>
        <v>10</v>
      </c>
      <c r="R795" s="38">
        <f>VLOOKUP(Q795,'Dataset-3'!Q186:AI575,2,)</f>
        <v>42</v>
      </c>
      <c r="S795" s="38">
        <f>VLOOKUP(R795,'Dataset-3'!R186:AJ575,2,)</f>
        <v>52</v>
      </c>
    </row>
    <row r="796" spans="1:19" x14ac:dyDescent="0.35">
      <c r="A796" s="37">
        <v>795</v>
      </c>
      <c r="B796" s="60">
        <f>VLOOKUP(A796,'Dataset-3'!A187:S576,2,)</f>
        <v>40579</v>
      </c>
      <c r="C796" s="38">
        <f>VLOOKUP(B796,'Dataset-3'!B187:T576,2,)</f>
        <v>1</v>
      </c>
      <c r="D796" s="38">
        <f>VLOOKUP(C796,'Dataset-3'!C187:U576,2,)</f>
        <v>0</v>
      </c>
      <c r="E796" s="38">
        <f>VLOOKUP(D796,'Dataset-3'!D187:V576,2,)</f>
        <v>2</v>
      </c>
      <c r="F796" s="38">
        <f>VLOOKUP(E796,'Dataset-3'!E187:W576,2,)</f>
        <v>13</v>
      </c>
      <c r="G796" s="41" t="str">
        <f>VLOOKUP(F796,'Dataset-3'!F187:X576,2,)</f>
        <v>AfterNoon</v>
      </c>
      <c r="H796" s="38" t="b">
        <f>VLOOKUP(G796,'Dataset-3'!G187:Y576,2,)</f>
        <v>0</v>
      </c>
      <c r="I796" s="38">
        <f>VLOOKUP(H796,'Dataset-3'!H187:Z576,2,)</f>
        <v>6</v>
      </c>
      <c r="J796" s="41" t="str">
        <f>VLOOKUP(I796,'Dataset-3'!I187:AA576,2,)</f>
        <v>Friday</v>
      </c>
      <c r="K796" s="38">
        <f>VLOOKUP(J796,'Dataset-3'!J187:AB576,2,)</f>
        <v>3</v>
      </c>
      <c r="L796" s="38">
        <f>VLOOKUP(K796,'Dataset-3'!K187:AC576,2,)</f>
        <v>0.22</v>
      </c>
      <c r="M796" s="70" t="str">
        <f>VLOOKUP(L796,'Dataset-3'!L187:AD576,2,)</f>
        <v>Cloudy</v>
      </c>
      <c r="N796" s="38">
        <f>VLOOKUP(M796,'Dataset-3'!M187:AE576,2,)</f>
        <v>0.2273</v>
      </c>
      <c r="O796" s="38">
        <f>VLOOKUP(N796,'Dataset-3'!N187:AF576,2,)</f>
        <v>1</v>
      </c>
      <c r="P796" s="38">
        <f>VLOOKUP(O796,'Dataset-3'!O187:AG576,2,)</f>
        <v>0.16420000000000001</v>
      </c>
      <c r="Q796" s="38">
        <f>VLOOKUP(P796,'Dataset-3'!P187:AH576,2,)</f>
        <v>10</v>
      </c>
      <c r="R796" s="38">
        <f>VLOOKUP(Q796,'Dataset-3'!Q187:AI576,2,)</f>
        <v>62</v>
      </c>
      <c r="S796" s="38">
        <f>VLOOKUP(R796,'Dataset-3'!R187:AJ576,2,)</f>
        <v>72</v>
      </c>
    </row>
    <row r="797" spans="1:19" x14ac:dyDescent="0.35">
      <c r="A797" s="37">
        <v>796</v>
      </c>
      <c r="B797" s="60">
        <f>VLOOKUP(A797,'Dataset-3'!A188:S577,2,)</f>
        <v>40579</v>
      </c>
      <c r="C797" s="38">
        <f>VLOOKUP(B797,'Dataset-3'!B188:T577,2,)</f>
        <v>1</v>
      </c>
      <c r="D797" s="38">
        <f>VLOOKUP(C797,'Dataset-3'!C188:U577,2,)</f>
        <v>0</v>
      </c>
      <c r="E797" s="38">
        <f>VLOOKUP(D797,'Dataset-3'!D188:V577,2,)</f>
        <v>2</v>
      </c>
      <c r="F797" s="38">
        <f>VLOOKUP(E797,'Dataset-3'!E188:W577,2,)</f>
        <v>14</v>
      </c>
      <c r="G797" s="41" t="str">
        <f>VLOOKUP(F797,'Dataset-3'!F188:X577,2,)</f>
        <v>AfterNoon</v>
      </c>
      <c r="H797" s="38" t="b">
        <f>VLOOKUP(G797,'Dataset-3'!G188:Y577,2,)</f>
        <v>0</v>
      </c>
      <c r="I797" s="38">
        <f>VLOOKUP(H797,'Dataset-3'!H188:Z577,2,)</f>
        <v>6</v>
      </c>
      <c r="J797" s="41" t="str">
        <f>VLOOKUP(I797,'Dataset-3'!I188:AA577,2,)</f>
        <v>Friday</v>
      </c>
      <c r="K797" s="38">
        <f>VLOOKUP(J797,'Dataset-3'!J188:AB577,2,)</f>
        <v>3</v>
      </c>
      <c r="L797" s="38">
        <f>VLOOKUP(K797,'Dataset-3'!K188:AC577,2,)</f>
        <v>0.22</v>
      </c>
      <c r="M797" s="70" t="str">
        <f>VLOOKUP(L797,'Dataset-3'!L188:AD577,2,)</f>
        <v>Cloudy</v>
      </c>
      <c r="N797" s="38">
        <f>VLOOKUP(M797,'Dataset-3'!M188:AE577,2,)</f>
        <v>0.2727</v>
      </c>
      <c r="O797" s="38">
        <f>VLOOKUP(N797,'Dataset-3'!N188:AF577,2,)</f>
        <v>1</v>
      </c>
      <c r="P797" s="38">
        <f>VLOOKUP(O797,'Dataset-3'!O188:AG577,2,)</f>
        <v>0</v>
      </c>
      <c r="Q797" s="38">
        <f>VLOOKUP(P797,'Dataset-3'!P188:AH577,2,)</f>
        <v>5</v>
      </c>
      <c r="R797" s="38">
        <f>VLOOKUP(Q797,'Dataset-3'!Q188:AI577,2,)</f>
        <v>50</v>
      </c>
      <c r="S797" s="38">
        <f>VLOOKUP(R797,'Dataset-3'!R188:AJ577,2,)</f>
        <v>55</v>
      </c>
    </row>
    <row r="798" spans="1:19" x14ac:dyDescent="0.35">
      <c r="A798" s="37">
        <v>797</v>
      </c>
      <c r="B798" s="60">
        <f>VLOOKUP(A798,'Dataset-3'!A189:S578,2,)</f>
        <v>40579</v>
      </c>
      <c r="C798" s="38">
        <f>VLOOKUP(B798,'Dataset-3'!B189:T578,2,)</f>
        <v>1</v>
      </c>
      <c r="D798" s="38">
        <f>VLOOKUP(C798,'Dataset-3'!C189:U578,2,)</f>
        <v>0</v>
      </c>
      <c r="E798" s="38">
        <f>VLOOKUP(D798,'Dataset-3'!D189:V578,2,)</f>
        <v>2</v>
      </c>
      <c r="F798" s="38">
        <f>VLOOKUP(E798,'Dataset-3'!E189:W578,2,)</f>
        <v>15</v>
      </c>
      <c r="G798" s="41" t="str">
        <f>VLOOKUP(F798,'Dataset-3'!F189:X578,2,)</f>
        <v>AfterNoon</v>
      </c>
      <c r="H798" s="38" t="b">
        <f>VLOOKUP(G798,'Dataset-3'!G189:Y578,2,)</f>
        <v>0</v>
      </c>
      <c r="I798" s="38">
        <f>VLOOKUP(H798,'Dataset-3'!H189:Z578,2,)</f>
        <v>6</v>
      </c>
      <c r="J798" s="41" t="str">
        <f>VLOOKUP(I798,'Dataset-3'!I189:AA578,2,)</f>
        <v>Friday</v>
      </c>
      <c r="K798" s="38">
        <f>VLOOKUP(J798,'Dataset-3'!J189:AB578,2,)</f>
        <v>3</v>
      </c>
      <c r="L798" s="38">
        <f>VLOOKUP(K798,'Dataset-3'!K189:AC578,2,)</f>
        <v>0.22</v>
      </c>
      <c r="M798" s="70" t="str">
        <f>VLOOKUP(L798,'Dataset-3'!L189:AD578,2,)</f>
        <v>Cloudy</v>
      </c>
      <c r="N798" s="38">
        <f>VLOOKUP(M798,'Dataset-3'!M189:AE578,2,)</f>
        <v>0.2727</v>
      </c>
      <c r="O798" s="38">
        <f>VLOOKUP(N798,'Dataset-3'!N189:AF578,2,)</f>
        <v>1</v>
      </c>
      <c r="P798" s="38">
        <f>VLOOKUP(O798,'Dataset-3'!O189:AG578,2,)</f>
        <v>0</v>
      </c>
      <c r="Q798" s="38">
        <f>VLOOKUP(P798,'Dataset-3'!P189:AH578,2,)</f>
        <v>11</v>
      </c>
      <c r="R798" s="38">
        <f>VLOOKUP(Q798,'Dataset-3'!Q189:AI578,2,)</f>
        <v>49</v>
      </c>
      <c r="S798" s="38">
        <f>VLOOKUP(R798,'Dataset-3'!R189:AJ578,2,)</f>
        <v>60</v>
      </c>
    </row>
    <row r="799" spans="1:19" x14ac:dyDescent="0.35">
      <c r="A799" s="37">
        <v>798</v>
      </c>
      <c r="B799" s="60">
        <f>VLOOKUP(A799,'Dataset-3'!A190:S579,2,)</f>
        <v>40579</v>
      </c>
      <c r="C799" s="38">
        <f>VLOOKUP(B799,'Dataset-3'!B190:T579,2,)</f>
        <v>1</v>
      </c>
      <c r="D799" s="38">
        <f>VLOOKUP(C799,'Dataset-3'!C190:U579,2,)</f>
        <v>0</v>
      </c>
      <c r="E799" s="38">
        <f>VLOOKUP(D799,'Dataset-3'!D190:V579,2,)</f>
        <v>2</v>
      </c>
      <c r="F799" s="38">
        <f>VLOOKUP(E799,'Dataset-3'!E190:W579,2,)</f>
        <v>16</v>
      </c>
      <c r="G799" s="41" t="str">
        <f>VLOOKUP(F799,'Dataset-3'!F190:X579,2,)</f>
        <v>AfterNoon</v>
      </c>
      <c r="H799" s="38" t="b">
        <f>VLOOKUP(G799,'Dataset-3'!G190:Y579,2,)</f>
        <v>0</v>
      </c>
      <c r="I799" s="38">
        <f>VLOOKUP(H799,'Dataset-3'!H190:Z579,2,)</f>
        <v>6</v>
      </c>
      <c r="J799" s="41" t="str">
        <f>VLOOKUP(I799,'Dataset-3'!I190:AA579,2,)</f>
        <v>Friday</v>
      </c>
      <c r="K799" s="38">
        <f>VLOOKUP(J799,'Dataset-3'!J190:AB579,2,)</f>
        <v>3</v>
      </c>
      <c r="L799" s="38">
        <f>VLOOKUP(K799,'Dataset-3'!K190:AC579,2,)</f>
        <v>0.22</v>
      </c>
      <c r="M799" s="70" t="str">
        <f>VLOOKUP(L799,'Dataset-3'!L190:AD579,2,)</f>
        <v>Cloudy</v>
      </c>
      <c r="N799" s="38">
        <f>VLOOKUP(M799,'Dataset-3'!M190:AE579,2,)</f>
        <v>0.2273</v>
      </c>
      <c r="O799" s="38">
        <f>VLOOKUP(N799,'Dataset-3'!N190:AF579,2,)</f>
        <v>1</v>
      </c>
      <c r="P799" s="38">
        <f>VLOOKUP(O799,'Dataset-3'!O190:AG579,2,)</f>
        <v>0.1343</v>
      </c>
      <c r="Q799" s="38">
        <f>VLOOKUP(P799,'Dataset-3'!P190:AH579,2,)</f>
        <v>8</v>
      </c>
      <c r="R799" s="38">
        <f>VLOOKUP(Q799,'Dataset-3'!Q190:AI579,2,)</f>
        <v>63</v>
      </c>
      <c r="S799" s="38">
        <f>VLOOKUP(R799,'Dataset-3'!R190:AJ579,2,)</f>
        <v>71</v>
      </c>
    </row>
    <row r="800" spans="1:19" x14ac:dyDescent="0.35">
      <c r="A800" s="37">
        <v>799</v>
      </c>
      <c r="B800" s="60">
        <f>VLOOKUP(A800,'Dataset-3'!A191:S580,2,)</f>
        <v>40579</v>
      </c>
      <c r="C800" s="38">
        <f>VLOOKUP(B800,'Dataset-3'!B191:T580,2,)</f>
        <v>1</v>
      </c>
      <c r="D800" s="38">
        <f>VLOOKUP(C800,'Dataset-3'!C191:U580,2,)</f>
        <v>0</v>
      </c>
      <c r="E800" s="38">
        <f>VLOOKUP(D800,'Dataset-3'!D191:V580,2,)</f>
        <v>2</v>
      </c>
      <c r="F800" s="38">
        <f>VLOOKUP(E800,'Dataset-3'!E191:W580,2,)</f>
        <v>17</v>
      </c>
      <c r="G800" s="41" t="str">
        <f>VLOOKUP(F800,'Dataset-3'!F191:X580,2,)</f>
        <v>Evening</v>
      </c>
      <c r="H800" s="38" t="b">
        <f>VLOOKUP(G800,'Dataset-3'!G191:Y580,2,)</f>
        <v>0</v>
      </c>
      <c r="I800" s="38">
        <f>VLOOKUP(H800,'Dataset-3'!H191:Z580,2,)</f>
        <v>6</v>
      </c>
      <c r="J800" s="41" t="str">
        <f>VLOOKUP(I800,'Dataset-3'!I191:AA580,2,)</f>
        <v>Friday</v>
      </c>
      <c r="K800" s="38">
        <f>VLOOKUP(J800,'Dataset-3'!J191:AB580,2,)</f>
        <v>2</v>
      </c>
      <c r="L800" s="38">
        <f>VLOOKUP(K800,'Dataset-3'!K191:AC580,2,)</f>
        <v>0.24</v>
      </c>
      <c r="M800" s="70" t="str">
        <f>VLOOKUP(L800,'Dataset-3'!L191:AD580,2,)</f>
        <v>Cloudy</v>
      </c>
      <c r="N800" s="38">
        <f>VLOOKUP(M800,'Dataset-3'!M191:AE580,2,)</f>
        <v>0.21210000000000001</v>
      </c>
      <c r="O800" s="38">
        <f>VLOOKUP(N800,'Dataset-3'!N191:AF580,2,)</f>
        <v>1</v>
      </c>
      <c r="P800" s="38">
        <f>VLOOKUP(O800,'Dataset-3'!O191:AG580,2,)</f>
        <v>0.28360000000000002</v>
      </c>
      <c r="Q800" s="38">
        <f>VLOOKUP(P800,'Dataset-3'!P191:AH580,2,)</f>
        <v>14</v>
      </c>
      <c r="R800" s="38">
        <f>VLOOKUP(Q800,'Dataset-3'!Q191:AI580,2,)</f>
        <v>64</v>
      </c>
      <c r="S800" s="38">
        <f>VLOOKUP(R800,'Dataset-3'!R191:AJ580,2,)</f>
        <v>78</v>
      </c>
    </row>
    <row r="801" spans="1:19" x14ac:dyDescent="0.35">
      <c r="A801" s="37">
        <v>800</v>
      </c>
      <c r="B801" s="60">
        <f>VLOOKUP(A801,'Dataset-3'!A192:S581,2,)</f>
        <v>40579</v>
      </c>
      <c r="C801" s="38">
        <f>VLOOKUP(B801,'Dataset-3'!B192:T581,2,)</f>
        <v>1</v>
      </c>
      <c r="D801" s="38">
        <f>VLOOKUP(C801,'Dataset-3'!C192:U581,2,)</f>
        <v>0</v>
      </c>
      <c r="E801" s="38">
        <f>VLOOKUP(D801,'Dataset-3'!D192:V581,2,)</f>
        <v>2</v>
      </c>
      <c r="F801" s="38">
        <f>VLOOKUP(E801,'Dataset-3'!E192:W581,2,)</f>
        <v>18</v>
      </c>
      <c r="G801" s="41" t="str">
        <f>VLOOKUP(F801,'Dataset-3'!F192:X581,2,)</f>
        <v>Evening</v>
      </c>
      <c r="H801" s="38" t="b">
        <f>VLOOKUP(G801,'Dataset-3'!G192:Y581,2,)</f>
        <v>0</v>
      </c>
      <c r="I801" s="38">
        <f>VLOOKUP(H801,'Dataset-3'!H192:Z581,2,)</f>
        <v>6</v>
      </c>
      <c r="J801" s="41" t="str">
        <f>VLOOKUP(I801,'Dataset-3'!I192:AA581,2,)</f>
        <v>Friday</v>
      </c>
      <c r="K801" s="38">
        <f>VLOOKUP(J801,'Dataset-3'!J192:AB581,2,)</f>
        <v>2</v>
      </c>
      <c r="L801" s="38">
        <f>VLOOKUP(K801,'Dataset-3'!K192:AC581,2,)</f>
        <v>0.28000000000000003</v>
      </c>
      <c r="M801" s="70" t="str">
        <f>VLOOKUP(L801,'Dataset-3'!L192:AD581,2,)</f>
        <v>Cloudy</v>
      </c>
      <c r="N801" s="38">
        <f>VLOOKUP(M801,'Dataset-3'!M192:AE581,2,)</f>
        <v>0.2424</v>
      </c>
      <c r="O801" s="38">
        <f>VLOOKUP(N801,'Dataset-3'!N192:AF581,2,)</f>
        <v>0.93</v>
      </c>
      <c r="P801" s="38">
        <f>VLOOKUP(O801,'Dataset-3'!O192:AG581,2,)</f>
        <v>0.44779999999999998</v>
      </c>
      <c r="Q801" s="38">
        <f>VLOOKUP(P801,'Dataset-3'!P192:AH581,2,)</f>
        <v>2</v>
      </c>
      <c r="R801" s="38">
        <f>VLOOKUP(Q801,'Dataset-3'!Q192:AI581,2,)</f>
        <v>81</v>
      </c>
      <c r="S801" s="38">
        <f>VLOOKUP(R801,'Dataset-3'!R192:AJ581,2,)</f>
        <v>83</v>
      </c>
    </row>
    <row r="802" spans="1:19" x14ac:dyDescent="0.35">
      <c r="A802" s="37">
        <v>801</v>
      </c>
      <c r="B802" s="60">
        <f>VLOOKUP(A802,'Dataset-3'!A193:S582,2,)</f>
        <v>40579</v>
      </c>
      <c r="C802" s="38">
        <f>VLOOKUP(B802,'Dataset-3'!B193:T582,2,)</f>
        <v>1</v>
      </c>
      <c r="D802" s="38">
        <f>VLOOKUP(C802,'Dataset-3'!C193:U582,2,)</f>
        <v>0</v>
      </c>
      <c r="E802" s="38">
        <f>VLOOKUP(D802,'Dataset-3'!D193:V582,2,)</f>
        <v>2</v>
      </c>
      <c r="F802" s="38">
        <f>VLOOKUP(E802,'Dataset-3'!E193:W582,2,)</f>
        <v>19</v>
      </c>
      <c r="G802" s="41" t="str">
        <f>VLOOKUP(F802,'Dataset-3'!F193:X582,2,)</f>
        <v>Evening</v>
      </c>
      <c r="H802" s="38" t="b">
        <f>VLOOKUP(G802,'Dataset-3'!G193:Y582,2,)</f>
        <v>0</v>
      </c>
      <c r="I802" s="38">
        <f>VLOOKUP(H802,'Dataset-3'!H193:Z582,2,)</f>
        <v>6</v>
      </c>
      <c r="J802" s="41" t="str">
        <f>VLOOKUP(I802,'Dataset-3'!I193:AA582,2,)</f>
        <v>Friday</v>
      </c>
      <c r="K802" s="38">
        <f>VLOOKUP(J802,'Dataset-3'!J193:AB582,2,)</f>
        <v>2</v>
      </c>
      <c r="L802" s="38">
        <f>VLOOKUP(K802,'Dataset-3'!K193:AC582,2,)</f>
        <v>0.28000000000000003</v>
      </c>
      <c r="M802" s="70" t="str">
        <f>VLOOKUP(L802,'Dataset-3'!L193:AD582,2,)</f>
        <v>Cloudy</v>
      </c>
      <c r="N802" s="38">
        <f>VLOOKUP(M802,'Dataset-3'!M193:AE582,2,)</f>
        <v>0.2424</v>
      </c>
      <c r="O802" s="38">
        <f>VLOOKUP(N802,'Dataset-3'!N193:AF582,2,)</f>
        <v>0.93</v>
      </c>
      <c r="P802" s="38">
        <f>VLOOKUP(O802,'Dataset-3'!O193:AG582,2,)</f>
        <v>0.44779999999999998</v>
      </c>
      <c r="Q802" s="38">
        <f>VLOOKUP(P802,'Dataset-3'!P193:AH582,2,)</f>
        <v>6</v>
      </c>
      <c r="R802" s="38">
        <f>VLOOKUP(Q802,'Dataset-3'!Q193:AI582,2,)</f>
        <v>78</v>
      </c>
      <c r="S802" s="38">
        <f>VLOOKUP(R802,'Dataset-3'!R193:AJ582,2,)</f>
        <v>84</v>
      </c>
    </row>
    <row r="803" spans="1:19" x14ac:dyDescent="0.35">
      <c r="A803" s="37">
        <v>802</v>
      </c>
      <c r="B803" s="60">
        <f>VLOOKUP(A803,'Dataset-3'!A194:S583,2,)</f>
        <v>40579</v>
      </c>
      <c r="C803" s="38">
        <f>VLOOKUP(B803,'Dataset-3'!B194:T583,2,)</f>
        <v>1</v>
      </c>
      <c r="D803" s="38">
        <f>VLOOKUP(C803,'Dataset-3'!C194:U583,2,)</f>
        <v>0</v>
      </c>
      <c r="E803" s="38">
        <f>VLOOKUP(D803,'Dataset-3'!D194:V583,2,)</f>
        <v>2</v>
      </c>
      <c r="F803" s="38">
        <f>VLOOKUP(E803,'Dataset-3'!E194:W583,2,)</f>
        <v>20</v>
      </c>
      <c r="G803" s="41" t="str">
        <f>VLOOKUP(F803,'Dataset-3'!F194:X583,2,)</f>
        <v>Night</v>
      </c>
      <c r="H803" s="38" t="b">
        <f>VLOOKUP(G803,'Dataset-3'!G194:Y583,2,)</f>
        <v>0</v>
      </c>
      <c r="I803" s="38">
        <f>VLOOKUP(H803,'Dataset-3'!H194:Z583,2,)</f>
        <v>6</v>
      </c>
      <c r="J803" s="41" t="str">
        <f>VLOOKUP(I803,'Dataset-3'!I194:AA583,2,)</f>
        <v>Friday</v>
      </c>
      <c r="K803" s="38">
        <f>VLOOKUP(J803,'Dataset-3'!J194:AB583,2,)</f>
        <v>1</v>
      </c>
      <c r="L803" s="38">
        <f>VLOOKUP(K803,'Dataset-3'!K194:AC583,2,)</f>
        <v>0.3</v>
      </c>
      <c r="M803" s="70" t="str">
        <f>VLOOKUP(L803,'Dataset-3'!L194:AD583,2,)</f>
        <v>Cloudy</v>
      </c>
      <c r="N803" s="38">
        <f>VLOOKUP(M803,'Dataset-3'!M194:AE583,2,)</f>
        <v>0.28789999999999999</v>
      </c>
      <c r="O803" s="38">
        <f>VLOOKUP(N803,'Dataset-3'!N194:AF583,2,)</f>
        <v>0.87</v>
      </c>
      <c r="P803" s="38">
        <f>VLOOKUP(O803,'Dataset-3'!O194:AG583,2,)</f>
        <v>0.25369999999999998</v>
      </c>
      <c r="Q803" s="38">
        <f>VLOOKUP(P803,'Dataset-3'!P194:AH583,2,)</f>
        <v>5</v>
      </c>
      <c r="R803" s="38">
        <f>VLOOKUP(Q803,'Dataset-3'!Q194:AI583,2,)</f>
        <v>64</v>
      </c>
      <c r="S803" s="38">
        <f>VLOOKUP(R803,'Dataset-3'!R194:AJ583,2,)</f>
        <v>69</v>
      </c>
    </row>
    <row r="804" spans="1:19" x14ac:dyDescent="0.35">
      <c r="A804" s="37">
        <v>803</v>
      </c>
      <c r="B804" s="60">
        <f>VLOOKUP(A804,'Dataset-3'!A195:S584,2,)</f>
        <v>40579</v>
      </c>
      <c r="C804" s="38">
        <f>VLOOKUP(B804,'Dataset-3'!B195:T584,2,)</f>
        <v>1</v>
      </c>
      <c r="D804" s="38">
        <f>VLOOKUP(C804,'Dataset-3'!C195:U584,2,)</f>
        <v>0</v>
      </c>
      <c r="E804" s="38">
        <f>VLOOKUP(D804,'Dataset-3'!D195:V584,2,)</f>
        <v>2</v>
      </c>
      <c r="F804" s="38">
        <f>VLOOKUP(E804,'Dataset-3'!E195:W584,2,)</f>
        <v>21</v>
      </c>
      <c r="G804" s="41" t="str">
        <f>VLOOKUP(F804,'Dataset-3'!F195:X584,2,)</f>
        <v>Night</v>
      </c>
      <c r="H804" s="38" t="b">
        <f>VLOOKUP(G804,'Dataset-3'!G195:Y584,2,)</f>
        <v>0</v>
      </c>
      <c r="I804" s="38">
        <f>VLOOKUP(H804,'Dataset-3'!H195:Z584,2,)</f>
        <v>6</v>
      </c>
      <c r="J804" s="41" t="str">
        <f>VLOOKUP(I804,'Dataset-3'!I195:AA584,2,)</f>
        <v>Friday</v>
      </c>
      <c r="K804" s="38">
        <f>VLOOKUP(J804,'Dataset-3'!J195:AB584,2,)</f>
        <v>1</v>
      </c>
      <c r="L804" s="38">
        <f>VLOOKUP(K804,'Dataset-3'!K195:AC584,2,)</f>
        <v>0.26</v>
      </c>
      <c r="M804" s="70" t="str">
        <f>VLOOKUP(L804,'Dataset-3'!L195:AD584,2,)</f>
        <v>Cloudy</v>
      </c>
      <c r="N804" s="38">
        <f>VLOOKUP(M804,'Dataset-3'!M195:AE584,2,)</f>
        <v>0.2576</v>
      </c>
      <c r="O804" s="38">
        <f>VLOOKUP(N804,'Dataset-3'!N195:AF584,2,)</f>
        <v>1</v>
      </c>
      <c r="P804" s="38">
        <f>VLOOKUP(O804,'Dataset-3'!O195:AG584,2,)</f>
        <v>0.19400000000000001</v>
      </c>
      <c r="Q804" s="38">
        <f>VLOOKUP(P804,'Dataset-3'!P195:AH584,2,)</f>
        <v>3</v>
      </c>
      <c r="R804" s="38">
        <f>VLOOKUP(Q804,'Dataset-3'!Q195:AI584,2,)</f>
        <v>53</v>
      </c>
      <c r="S804" s="38">
        <f>VLOOKUP(R804,'Dataset-3'!R195:AJ584,2,)</f>
        <v>56</v>
      </c>
    </row>
    <row r="805" spans="1:19" x14ac:dyDescent="0.35">
      <c r="A805" s="37">
        <v>804</v>
      </c>
      <c r="B805" s="60">
        <f>VLOOKUP(A805,'Dataset-3'!A196:S585,2,)</f>
        <v>40579</v>
      </c>
      <c r="C805" s="38">
        <f>VLOOKUP(B805,'Dataset-3'!B196:T585,2,)</f>
        <v>1</v>
      </c>
      <c r="D805" s="38">
        <f>VLOOKUP(C805,'Dataset-3'!C196:U585,2,)</f>
        <v>0</v>
      </c>
      <c r="E805" s="38">
        <f>VLOOKUP(D805,'Dataset-3'!D196:V585,2,)</f>
        <v>2</v>
      </c>
      <c r="F805" s="38">
        <f>VLOOKUP(E805,'Dataset-3'!E196:W585,2,)</f>
        <v>22</v>
      </c>
      <c r="G805" s="41" t="str">
        <f>VLOOKUP(F805,'Dataset-3'!F196:X585,2,)</f>
        <v>Night</v>
      </c>
      <c r="H805" s="38" t="b">
        <f>VLOOKUP(G805,'Dataset-3'!G196:Y585,2,)</f>
        <v>0</v>
      </c>
      <c r="I805" s="38">
        <f>VLOOKUP(H805,'Dataset-3'!H196:Z585,2,)</f>
        <v>6</v>
      </c>
      <c r="J805" s="41" t="str">
        <f>VLOOKUP(I805,'Dataset-3'!I196:AA585,2,)</f>
        <v>Friday</v>
      </c>
      <c r="K805" s="38">
        <f>VLOOKUP(J805,'Dataset-3'!J196:AB585,2,)</f>
        <v>1</v>
      </c>
      <c r="L805" s="38">
        <f>VLOOKUP(K805,'Dataset-3'!K196:AC585,2,)</f>
        <v>0.26</v>
      </c>
      <c r="M805" s="70" t="str">
        <f>VLOOKUP(L805,'Dataset-3'!L196:AD585,2,)</f>
        <v>Cloudy</v>
      </c>
      <c r="N805" s="38">
        <f>VLOOKUP(M805,'Dataset-3'!M196:AE585,2,)</f>
        <v>0.2727</v>
      </c>
      <c r="O805" s="38">
        <f>VLOOKUP(N805,'Dataset-3'!N196:AF585,2,)</f>
        <v>0.93</v>
      </c>
      <c r="P805" s="38">
        <f>VLOOKUP(O805,'Dataset-3'!O196:AG585,2,)</f>
        <v>0.1343</v>
      </c>
      <c r="Q805" s="38">
        <f>VLOOKUP(P805,'Dataset-3'!P196:AH585,2,)</f>
        <v>2</v>
      </c>
      <c r="R805" s="38">
        <f>VLOOKUP(Q805,'Dataset-3'!Q196:AI585,2,)</f>
        <v>43</v>
      </c>
      <c r="S805" s="38">
        <f>VLOOKUP(R805,'Dataset-3'!R196:AJ585,2,)</f>
        <v>45</v>
      </c>
    </row>
    <row r="806" spans="1:19" x14ac:dyDescent="0.35">
      <c r="A806" s="37">
        <v>805</v>
      </c>
      <c r="B806" s="60">
        <f>VLOOKUP(A806,'Dataset-3'!A197:S586,2,)</f>
        <v>40579</v>
      </c>
      <c r="C806" s="38">
        <f>VLOOKUP(B806,'Dataset-3'!B197:T586,2,)</f>
        <v>1</v>
      </c>
      <c r="D806" s="38">
        <f>VLOOKUP(C806,'Dataset-3'!C197:U586,2,)</f>
        <v>0</v>
      </c>
      <c r="E806" s="38">
        <f>VLOOKUP(D806,'Dataset-3'!D197:V586,2,)</f>
        <v>2</v>
      </c>
      <c r="F806" s="38">
        <f>VLOOKUP(E806,'Dataset-3'!E197:W586,2,)</f>
        <v>23</v>
      </c>
      <c r="G806" s="41" t="str">
        <f>VLOOKUP(F806,'Dataset-3'!F197:X586,2,)</f>
        <v>Night</v>
      </c>
      <c r="H806" s="38" t="b">
        <f>VLOOKUP(G806,'Dataset-3'!G197:Y586,2,)</f>
        <v>0</v>
      </c>
      <c r="I806" s="38">
        <f>VLOOKUP(H806,'Dataset-3'!H197:Z586,2,)</f>
        <v>6</v>
      </c>
      <c r="J806" s="41" t="str">
        <f>VLOOKUP(I806,'Dataset-3'!I197:AA586,2,)</f>
        <v>Friday</v>
      </c>
      <c r="K806" s="38">
        <f>VLOOKUP(J806,'Dataset-3'!J197:AB586,2,)</f>
        <v>1</v>
      </c>
      <c r="L806" s="38">
        <f>VLOOKUP(K806,'Dataset-3'!K197:AC586,2,)</f>
        <v>0.26</v>
      </c>
      <c r="M806" s="70" t="str">
        <f>VLOOKUP(L806,'Dataset-3'!L197:AD586,2,)</f>
        <v>Cloudy</v>
      </c>
      <c r="N806" s="38">
        <f>VLOOKUP(M806,'Dataset-3'!M197:AE586,2,)</f>
        <v>0.2576</v>
      </c>
      <c r="O806" s="38">
        <f>VLOOKUP(N806,'Dataset-3'!N197:AF586,2,)</f>
        <v>0.93</v>
      </c>
      <c r="P806" s="38">
        <f>VLOOKUP(O806,'Dataset-3'!O197:AG586,2,)</f>
        <v>0.22389999999999999</v>
      </c>
      <c r="Q806" s="38">
        <f>VLOOKUP(P806,'Dataset-3'!P197:AH586,2,)</f>
        <v>7</v>
      </c>
      <c r="R806" s="38">
        <f>VLOOKUP(Q806,'Dataset-3'!Q197:AI586,2,)</f>
        <v>52</v>
      </c>
      <c r="S806" s="38">
        <f>VLOOKUP(R806,'Dataset-3'!R197:AJ586,2,)</f>
        <v>59</v>
      </c>
    </row>
    <row r="807" spans="1:19" x14ac:dyDescent="0.35">
      <c r="A807" s="37">
        <v>806</v>
      </c>
      <c r="B807" s="60">
        <f>VLOOKUP(A807,'Dataset-3'!A198:S587,2,)</f>
        <v>40580</v>
      </c>
      <c r="C807" s="38">
        <f>VLOOKUP(B807,'Dataset-3'!B198:T587,2,)</f>
        <v>1</v>
      </c>
      <c r="D807" s="38">
        <f>VLOOKUP(C807,'Dataset-3'!C198:U587,2,)</f>
        <v>0</v>
      </c>
      <c r="E807" s="38">
        <f>VLOOKUP(D807,'Dataset-3'!D198:V587,2,)</f>
        <v>2</v>
      </c>
      <c r="F807" s="38">
        <f>VLOOKUP(E807,'Dataset-3'!E198:W587,2,)</f>
        <v>0</v>
      </c>
      <c r="G807" s="41" t="str">
        <f>VLOOKUP(F807,'Dataset-3'!F198:X587,2,)</f>
        <v>Night</v>
      </c>
      <c r="H807" s="38" t="b">
        <f>VLOOKUP(G807,'Dataset-3'!G198:Y587,2,)</f>
        <v>0</v>
      </c>
      <c r="I807" s="38">
        <f>VLOOKUP(H807,'Dataset-3'!H198:Z587,2,)</f>
        <v>0</v>
      </c>
      <c r="J807" s="41" t="str">
        <f>VLOOKUP(I807,'Dataset-3'!I198:AA587,2,)</f>
        <v>Saturday</v>
      </c>
      <c r="K807" s="38">
        <f>VLOOKUP(J807,'Dataset-3'!J198:AB587,2,)</f>
        <v>1</v>
      </c>
      <c r="L807" s="38">
        <f>VLOOKUP(K807,'Dataset-3'!K198:AC587,2,)</f>
        <v>0.26</v>
      </c>
      <c r="M807" s="70" t="str">
        <f>VLOOKUP(L807,'Dataset-3'!L198:AD587,2,)</f>
        <v>Cloudy</v>
      </c>
      <c r="N807" s="38">
        <f>VLOOKUP(M807,'Dataset-3'!M198:AE587,2,)</f>
        <v>0.2576</v>
      </c>
      <c r="O807" s="38">
        <f>VLOOKUP(N807,'Dataset-3'!N198:AF587,2,)</f>
        <v>0.7</v>
      </c>
      <c r="P807" s="38">
        <f>VLOOKUP(O807,'Dataset-3'!O198:AG587,2,)</f>
        <v>0.19400000000000001</v>
      </c>
      <c r="Q807" s="38">
        <f>VLOOKUP(P807,'Dataset-3'!P198:AH587,2,)</f>
        <v>2</v>
      </c>
      <c r="R807" s="38">
        <f>VLOOKUP(Q807,'Dataset-3'!Q198:AI587,2,)</f>
        <v>37</v>
      </c>
      <c r="S807" s="38">
        <f>VLOOKUP(R807,'Dataset-3'!R198:AJ587,2,)</f>
        <v>39</v>
      </c>
    </row>
    <row r="808" spans="1:19" x14ac:dyDescent="0.35">
      <c r="A808" s="37">
        <v>807</v>
      </c>
      <c r="B808" s="60">
        <f>VLOOKUP(A808,'Dataset-3'!A199:S588,2,)</f>
        <v>40580</v>
      </c>
      <c r="C808" s="38">
        <f>VLOOKUP(B808,'Dataset-3'!B199:T588,2,)</f>
        <v>1</v>
      </c>
      <c r="D808" s="38">
        <f>VLOOKUP(C808,'Dataset-3'!C199:U588,2,)</f>
        <v>0</v>
      </c>
      <c r="E808" s="38">
        <f>VLOOKUP(D808,'Dataset-3'!D199:V588,2,)</f>
        <v>2</v>
      </c>
      <c r="F808" s="38">
        <f>VLOOKUP(E808,'Dataset-3'!E199:W588,2,)</f>
        <v>1</v>
      </c>
      <c r="G808" s="41" t="str">
        <f>VLOOKUP(F808,'Dataset-3'!F199:X588,2,)</f>
        <v>Night</v>
      </c>
      <c r="H808" s="38" t="b">
        <f>VLOOKUP(G808,'Dataset-3'!G199:Y588,2,)</f>
        <v>0</v>
      </c>
      <c r="I808" s="38">
        <f>VLOOKUP(H808,'Dataset-3'!H199:Z588,2,)</f>
        <v>0</v>
      </c>
      <c r="J808" s="41" t="str">
        <f>VLOOKUP(I808,'Dataset-3'!I199:AA588,2,)</f>
        <v>Saturday</v>
      </c>
      <c r="K808" s="38">
        <f>VLOOKUP(J808,'Dataset-3'!J199:AB588,2,)</f>
        <v>1</v>
      </c>
      <c r="L808" s="38">
        <f>VLOOKUP(K808,'Dataset-3'!K199:AC588,2,)</f>
        <v>0.26</v>
      </c>
      <c r="M808" s="70" t="str">
        <f>VLOOKUP(L808,'Dataset-3'!L199:AD588,2,)</f>
        <v>Cloudy</v>
      </c>
      <c r="N808" s="38">
        <f>VLOOKUP(M808,'Dataset-3'!M199:AE588,2,)</f>
        <v>0.2273</v>
      </c>
      <c r="O808" s="38">
        <f>VLOOKUP(N808,'Dataset-3'!N199:AF588,2,)</f>
        <v>0.65</v>
      </c>
      <c r="P808" s="38">
        <f>VLOOKUP(O808,'Dataset-3'!O199:AG588,2,)</f>
        <v>0.41789999999999999</v>
      </c>
      <c r="Q808" s="38">
        <f>VLOOKUP(P808,'Dataset-3'!P199:AH588,2,)</f>
        <v>4</v>
      </c>
      <c r="R808" s="38">
        <f>VLOOKUP(Q808,'Dataset-3'!Q199:AI588,2,)</f>
        <v>40</v>
      </c>
      <c r="S808" s="38">
        <f>VLOOKUP(R808,'Dataset-3'!R199:AJ588,2,)</f>
        <v>44</v>
      </c>
    </row>
    <row r="809" spans="1:19" x14ac:dyDescent="0.35">
      <c r="A809" s="37">
        <v>808</v>
      </c>
      <c r="B809" s="60">
        <f>VLOOKUP(A809,'Dataset-3'!A200:S589,2,)</f>
        <v>40580</v>
      </c>
      <c r="C809" s="38">
        <f>VLOOKUP(B809,'Dataset-3'!B200:T589,2,)</f>
        <v>1</v>
      </c>
      <c r="D809" s="38">
        <f>VLOOKUP(C809,'Dataset-3'!C200:U589,2,)</f>
        <v>0</v>
      </c>
      <c r="E809" s="38">
        <f>VLOOKUP(D809,'Dataset-3'!D200:V589,2,)</f>
        <v>2</v>
      </c>
      <c r="F809" s="38">
        <f>VLOOKUP(E809,'Dataset-3'!E200:W589,2,)</f>
        <v>2</v>
      </c>
      <c r="G809" s="41" t="str">
        <f>VLOOKUP(F809,'Dataset-3'!F200:X589,2,)</f>
        <v>Night</v>
      </c>
      <c r="H809" s="38" t="b">
        <f>VLOOKUP(G809,'Dataset-3'!G200:Y589,2,)</f>
        <v>0</v>
      </c>
      <c r="I809" s="38">
        <f>VLOOKUP(H809,'Dataset-3'!H200:Z589,2,)</f>
        <v>0</v>
      </c>
      <c r="J809" s="41" t="str">
        <f>VLOOKUP(I809,'Dataset-3'!I200:AA589,2,)</f>
        <v>Saturday</v>
      </c>
      <c r="K809" s="38">
        <f>VLOOKUP(J809,'Dataset-3'!J200:AB589,2,)</f>
        <v>1</v>
      </c>
      <c r="L809" s="38">
        <f>VLOOKUP(K809,'Dataset-3'!K200:AC589,2,)</f>
        <v>0.26</v>
      </c>
      <c r="M809" s="70" t="str">
        <f>VLOOKUP(L809,'Dataset-3'!L200:AD589,2,)</f>
        <v>Cloudy</v>
      </c>
      <c r="N809" s="38">
        <f>VLOOKUP(M809,'Dataset-3'!M200:AE589,2,)</f>
        <v>0.2273</v>
      </c>
      <c r="O809" s="38">
        <f>VLOOKUP(N809,'Dataset-3'!N200:AF589,2,)</f>
        <v>0.6</v>
      </c>
      <c r="P809" s="38">
        <f>VLOOKUP(O809,'Dataset-3'!O200:AG589,2,)</f>
        <v>0.32840000000000003</v>
      </c>
      <c r="Q809" s="38">
        <f>VLOOKUP(P809,'Dataset-3'!P200:AH589,2,)</f>
        <v>0</v>
      </c>
      <c r="R809" s="38">
        <f>VLOOKUP(Q809,'Dataset-3'!Q200:AI589,2,)</f>
        <v>20</v>
      </c>
      <c r="S809" s="38">
        <f>VLOOKUP(R809,'Dataset-3'!R200:AJ589,2,)</f>
        <v>20</v>
      </c>
    </row>
    <row r="810" spans="1:19" x14ac:dyDescent="0.35">
      <c r="A810" s="37">
        <v>809</v>
      </c>
      <c r="B810" s="60">
        <f>VLOOKUP(A810,'Dataset-3'!A201:S590,2,)</f>
        <v>40580</v>
      </c>
      <c r="C810" s="38">
        <f>VLOOKUP(B810,'Dataset-3'!B201:T590,2,)</f>
        <v>1</v>
      </c>
      <c r="D810" s="38">
        <f>VLOOKUP(C810,'Dataset-3'!C201:U590,2,)</f>
        <v>0</v>
      </c>
      <c r="E810" s="38">
        <f>VLOOKUP(D810,'Dataset-3'!D201:V590,2,)</f>
        <v>2</v>
      </c>
      <c r="F810" s="38">
        <f>VLOOKUP(E810,'Dataset-3'!E201:W590,2,)</f>
        <v>3</v>
      </c>
      <c r="G810" s="41" t="str">
        <f>VLOOKUP(F810,'Dataset-3'!F201:X590,2,)</f>
        <v>Night</v>
      </c>
      <c r="H810" s="38" t="b">
        <f>VLOOKUP(G810,'Dataset-3'!G201:Y590,2,)</f>
        <v>0</v>
      </c>
      <c r="I810" s="38">
        <f>VLOOKUP(H810,'Dataset-3'!H201:Z590,2,)</f>
        <v>0</v>
      </c>
      <c r="J810" s="41" t="str">
        <f>VLOOKUP(I810,'Dataset-3'!I201:AA590,2,)</f>
        <v>Saturday</v>
      </c>
      <c r="K810" s="38">
        <f>VLOOKUP(J810,'Dataset-3'!J201:AB590,2,)</f>
        <v>1</v>
      </c>
      <c r="L810" s="38">
        <f>VLOOKUP(K810,'Dataset-3'!K201:AC590,2,)</f>
        <v>0.26</v>
      </c>
      <c r="M810" s="70" t="str">
        <f>VLOOKUP(L810,'Dataset-3'!L201:AD590,2,)</f>
        <v>Cloudy</v>
      </c>
      <c r="N810" s="38">
        <f>VLOOKUP(M810,'Dataset-3'!M201:AE590,2,)</f>
        <v>0.28789999999999999</v>
      </c>
      <c r="O810" s="38">
        <f>VLOOKUP(N810,'Dataset-3'!N201:AF590,2,)</f>
        <v>0.6</v>
      </c>
      <c r="P810" s="38">
        <f>VLOOKUP(O810,'Dataset-3'!O201:AG590,2,)</f>
        <v>8.9599999999999999E-2</v>
      </c>
      <c r="Q810" s="38">
        <f>VLOOKUP(P810,'Dataset-3'!P201:AH590,2,)</f>
        <v>3</v>
      </c>
      <c r="R810" s="38">
        <f>VLOOKUP(Q810,'Dataset-3'!Q201:AI590,2,)</f>
        <v>10</v>
      </c>
      <c r="S810" s="38">
        <f>VLOOKUP(R810,'Dataset-3'!R201:AJ590,2,)</f>
        <v>13</v>
      </c>
    </row>
    <row r="811" spans="1:19" x14ac:dyDescent="0.35">
      <c r="A811" s="37">
        <v>810</v>
      </c>
      <c r="B811" s="60">
        <f>VLOOKUP(A811,'Dataset-3'!A202:S591,2,)</f>
        <v>40580</v>
      </c>
      <c r="C811" s="38">
        <f>VLOOKUP(B811,'Dataset-3'!B202:T591,2,)</f>
        <v>1</v>
      </c>
      <c r="D811" s="38">
        <f>VLOOKUP(C811,'Dataset-3'!C202:U591,2,)</f>
        <v>0</v>
      </c>
      <c r="E811" s="38">
        <f>VLOOKUP(D811,'Dataset-3'!D202:V591,2,)</f>
        <v>2</v>
      </c>
      <c r="F811" s="38">
        <f>VLOOKUP(E811,'Dataset-3'!E202:W591,2,)</f>
        <v>4</v>
      </c>
      <c r="G811" s="41" t="str">
        <f>VLOOKUP(F811,'Dataset-3'!F202:X591,2,)</f>
        <v>Night</v>
      </c>
      <c r="H811" s="38" t="b">
        <f>VLOOKUP(G811,'Dataset-3'!G202:Y591,2,)</f>
        <v>0</v>
      </c>
      <c r="I811" s="38">
        <f>VLOOKUP(H811,'Dataset-3'!H202:Z591,2,)</f>
        <v>0</v>
      </c>
      <c r="J811" s="41" t="str">
        <f>VLOOKUP(I811,'Dataset-3'!I202:AA591,2,)</f>
        <v>Saturday</v>
      </c>
      <c r="K811" s="38">
        <f>VLOOKUP(J811,'Dataset-3'!J202:AB591,2,)</f>
        <v>1</v>
      </c>
      <c r="L811" s="38">
        <f>VLOOKUP(K811,'Dataset-3'!K202:AC591,2,)</f>
        <v>0.26</v>
      </c>
      <c r="M811" s="70" t="str">
        <f>VLOOKUP(L811,'Dataset-3'!L202:AD591,2,)</f>
        <v>Cloudy</v>
      </c>
      <c r="N811" s="38">
        <f>VLOOKUP(M811,'Dataset-3'!M202:AE591,2,)</f>
        <v>0.2273</v>
      </c>
      <c r="O811" s="38">
        <f>VLOOKUP(N811,'Dataset-3'!N202:AF591,2,)</f>
        <v>0.6</v>
      </c>
      <c r="P811" s="38">
        <f>VLOOKUP(O811,'Dataset-3'!O202:AG591,2,)</f>
        <v>0.35820000000000002</v>
      </c>
      <c r="Q811" s="38">
        <f>VLOOKUP(P811,'Dataset-3'!P202:AH591,2,)</f>
        <v>0</v>
      </c>
      <c r="R811" s="38">
        <f>VLOOKUP(Q811,'Dataset-3'!Q202:AI591,2,)</f>
        <v>2</v>
      </c>
      <c r="S811" s="38">
        <f>VLOOKUP(R811,'Dataset-3'!R202:AJ591,2,)</f>
        <v>2</v>
      </c>
    </row>
    <row r="812" spans="1:19" x14ac:dyDescent="0.35">
      <c r="A812" s="37">
        <v>811</v>
      </c>
      <c r="B812" s="60">
        <f>VLOOKUP(A812,'Dataset-3'!A203:S592,2,)</f>
        <v>40580</v>
      </c>
      <c r="C812" s="38">
        <f>VLOOKUP(B812,'Dataset-3'!B203:T592,2,)</f>
        <v>1</v>
      </c>
      <c r="D812" s="38">
        <f>VLOOKUP(C812,'Dataset-3'!C203:U592,2,)</f>
        <v>0</v>
      </c>
      <c r="E812" s="38">
        <f>VLOOKUP(D812,'Dataset-3'!D203:V592,2,)</f>
        <v>2</v>
      </c>
      <c r="F812" s="38">
        <f>VLOOKUP(E812,'Dataset-3'!E203:W592,2,)</f>
        <v>5</v>
      </c>
      <c r="G812" s="41" t="str">
        <f>VLOOKUP(F812,'Dataset-3'!F203:X592,2,)</f>
        <v>Morning</v>
      </c>
      <c r="H812" s="38" t="b">
        <f>VLOOKUP(G812,'Dataset-3'!G203:Y592,2,)</f>
        <v>0</v>
      </c>
      <c r="I812" s="38">
        <f>VLOOKUP(H812,'Dataset-3'!H203:Z592,2,)</f>
        <v>0</v>
      </c>
      <c r="J812" s="41" t="str">
        <f>VLOOKUP(I812,'Dataset-3'!I203:AA592,2,)</f>
        <v>Saturday</v>
      </c>
      <c r="K812" s="38">
        <f>VLOOKUP(J812,'Dataset-3'!J203:AB592,2,)</f>
        <v>1</v>
      </c>
      <c r="L812" s="38">
        <f>VLOOKUP(K812,'Dataset-3'!K203:AC592,2,)</f>
        <v>0.26</v>
      </c>
      <c r="M812" s="70" t="str">
        <f>VLOOKUP(L812,'Dataset-3'!L203:AD592,2,)</f>
        <v>Cloudy</v>
      </c>
      <c r="N812" s="38">
        <f>VLOOKUP(M812,'Dataset-3'!M203:AE592,2,)</f>
        <v>0.2576</v>
      </c>
      <c r="O812" s="38">
        <f>VLOOKUP(N812,'Dataset-3'!N203:AF592,2,)</f>
        <v>0.6</v>
      </c>
      <c r="P812" s="38">
        <f>VLOOKUP(O812,'Dataset-3'!O203:AG592,2,)</f>
        <v>0.22389999999999999</v>
      </c>
      <c r="Q812" s="38">
        <f>VLOOKUP(P812,'Dataset-3'!P203:AH592,2,)</f>
        <v>0</v>
      </c>
      <c r="R812" s="38">
        <f>VLOOKUP(Q812,'Dataset-3'!Q203:AI592,2,)</f>
        <v>1</v>
      </c>
      <c r="S812" s="38">
        <f>VLOOKUP(R812,'Dataset-3'!R203:AJ592,2,)</f>
        <v>1</v>
      </c>
    </row>
    <row r="813" spans="1:19" x14ac:dyDescent="0.35">
      <c r="A813" s="37">
        <v>812</v>
      </c>
      <c r="B813" s="60">
        <f>VLOOKUP(A813,'Dataset-3'!A204:S593,2,)</f>
        <v>40580</v>
      </c>
      <c r="C813" s="38">
        <f>VLOOKUP(B813,'Dataset-3'!B204:T593,2,)</f>
        <v>1</v>
      </c>
      <c r="D813" s="38">
        <f>VLOOKUP(C813,'Dataset-3'!C204:U593,2,)</f>
        <v>0</v>
      </c>
      <c r="E813" s="38">
        <f>VLOOKUP(D813,'Dataset-3'!D204:V593,2,)</f>
        <v>2</v>
      </c>
      <c r="F813" s="38">
        <f>VLOOKUP(E813,'Dataset-3'!E204:W593,2,)</f>
        <v>6</v>
      </c>
      <c r="G813" s="41" t="str">
        <f>VLOOKUP(F813,'Dataset-3'!F204:X593,2,)</f>
        <v>Morning</v>
      </c>
      <c r="H813" s="38" t="b">
        <f>VLOOKUP(G813,'Dataset-3'!G204:Y593,2,)</f>
        <v>0</v>
      </c>
      <c r="I813" s="38">
        <f>VLOOKUP(H813,'Dataset-3'!H204:Z593,2,)</f>
        <v>0</v>
      </c>
      <c r="J813" s="41" t="str">
        <f>VLOOKUP(I813,'Dataset-3'!I204:AA593,2,)</f>
        <v>Saturday</v>
      </c>
      <c r="K813" s="38">
        <f>VLOOKUP(J813,'Dataset-3'!J204:AB593,2,)</f>
        <v>1</v>
      </c>
      <c r="L813" s="38">
        <f>VLOOKUP(K813,'Dataset-3'!K204:AC593,2,)</f>
        <v>0.26</v>
      </c>
      <c r="M813" s="70" t="str">
        <f>VLOOKUP(L813,'Dataset-3'!L204:AD593,2,)</f>
        <v>Cloudy</v>
      </c>
      <c r="N813" s="38">
        <f>VLOOKUP(M813,'Dataset-3'!M204:AE593,2,)</f>
        <v>0.2576</v>
      </c>
      <c r="O813" s="38">
        <f>VLOOKUP(N813,'Dataset-3'!N204:AF593,2,)</f>
        <v>0.6</v>
      </c>
      <c r="P813" s="38">
        <f>VLOOKUP(O813,'Dataset-3'!O204:AG593,2,)</f>
        <v>0.22389999999999999</v>
      </c>
      <c r="Q813" s="38">
        <f>VLOOKUP(P813,'Dataset-3'!P204:AH593,2,)</f>
        <v>0</v>
      </c>
      <c r="R813" s="38">
        <f>VLOOKUP(Q813,'Dataset-3'!Q204:AI593,2,)</f>
        <v>1</v>
      </c>
      <c r="S813" s="38">
        <f>VLOOKUP(R813,'Dataset-3'!R204:AJ593,2,)</f>
        <v>1</v>
      </c>
    </row>
    <row r="814" spans="1:19" x14ac:dyDescent="0.35">
      <c r="A814" s="37">
        <v>813</v>
      </c>
      <c r="B814" s="60">
        <f>VLOOKUP(A814,'Dataset-3'!A205:S594,2,)</f>
        <v>40580</v>
      </c>
      <c r="C814" s="38">
        <f>VLOOKUP(B814,'Dataset-3'!B205:T594,2,)</f>
        <v>1</v>
      </c>
      <c r="D814" s="38">
        <f>VLOOKUP(C814,'Dataset-3'!C205:U594,2,)</f>
        <v>0</v>
      </c>
      <c r="E814" s="38">
        <f>VLOOKUP(D814,'Dataset-3'!D205:V594,2,)</f>
        <v>2</v>
      </c>
      <c r="F814" s="38">
        <f>VLOOKUP(E814,'Dataset-3'!E205:W594,2,)</f>
        <v>7</v>
      </c>
      <c r="G814" s="41" t="str">
        <f>VLOOKUP(F814,'Dataset-3'!F205:X594,2,)</f>
        <v>Morning</v>
      </c>
      <c r="H814" s="38" t="b">
        <f>VLOOKUP(G814,'Dataset-3'!G205:Y594,2,)</f>
        <v>0</v>
      </c>
      <c r="I814" s="38">
        <f>VLOOKUP(H814,'Dataset-3'!H205:Z594,2,)</f>
        <v>0</v>
      </c>
      <c r="J814" s="41" t="str">
        <f>VLOOKUP(I814,'Dataset-3'!I205:AA594,2,)</f>
        <v>Saturday</v>
      </c>
      <c r="K814" s="38">
        <f>VLOOKUP(J814,'Dataset-3'!J205:AB594,2,)</f>
        <v>1</v>
      </c>
      <c r="L814" s="38">
        <f>VLOOKUP(K814,'Dataset-3'!K205:AC594,2,)</f>
        <v>0.24</v>
      </c>
      <c r="M814" s="70" t="str">
        <f>VLOOKUP(L814,'Dataset-3'!L205:AD594,2,)</f>
        <v>Cloudy</v>
      </c>
      <c r="N814" s="38">
        <f>VLOOKUP(M814,'Dataset-3'!M205:AE594,2,)</f>
        <v>0.2424</v>
      </c>
      <c r="O814" s="38">
        <f>VLOOKUP(N814,'Dataset-3'!N205:AF594,2,)</f>
        <v>0.65</v>
      </c>
      <c r="P814" s="38">
        <f>VLOOKUP(O814,'Dataset-3'!O205:AG594,2,)</f>
        <v>0.16420000000000001</v>
      </c>
      <c r="Q814" s="38">
        <f>VLOOKUP(P814,'Dataset-3'!P205:AH594,2,)</f>
        <v>0</v>
      </c>
      <c r="R814" s="38">
        <f>VLOOKUP(Q814,'Dataset-3'!Q205:AI594,2,)</f>
        <v>8</v>
      </c>
      <c r="S814" s="38">
        <f>VLOOKUP(R814,'Dataset-3'!R205:AJ594,2,)</f>
        <v>8</v>
      </c>
    </row>
    <row r="815" spans="1:19" x14ac:dyDescent="0.35">
      <c r="A815" s="37">
        <v>814</v>
      </c>
      <c r="B815" s="60">
        <f>VLOOKUP(A815,'Dataset-3'!A206:S595,2,)</f>
        <v>40580</v>
      </c>
      <c r="C815" s="38">
        <f>VLOOKUP(B815,'Dataset-3'!B206:T595,2,)</f>
        <v>1</v>
      </c>
      <c r="D815" s="38">
        <f>VLOOKUP(C815,'Dataset-3'!C206:U595,2,)</f>
        <v>0</v>
      </c>
      <c r="E815" s="38">
        <f>VLOOKUP(D815,'Dataset-3'!D206:V595,2,)</f>
        <v>2</v>
      </c>
      <c r="F815" s="38">
        <f>VLOOKUP(E815,'Dataset-3'!E206:W595,2,)</f>
        <v>8</v>
      </c>
      <c r="G815" s="41" t="str">
        <f>VLOOKUP(F815,'Dataset-3'!F206:X595,2,)</f>
        <v>Morning</v>
      </c>
      <c r="H815" s="38" t="b">
        <f>VLOOKUP(G815,'Dataset-3'!G206:Y595,2,)</f>
        <v>0</v>
      </c>
      <c r="I815" s="38">
        <f>VLOOKUP(H815,'Dataset-3'!H206:Z595,2,)</f>
        <v>0</v>
      </c>
      <c r="J815" s="41" t="str">
        <f>VLOOKUP(I815,'Dataset-3'!I206:AA595,2,)</f>
        <v>Saturday</v>
      </c>
      <c r="K815" s="38">
        <f>VLOOKUP(J815,'Dataset-3'!J206:AB595,2,)</f>
        <v>1</v>
      </c>
      <c r="L815" s="38">
        <f>VLOOKUP(K815,'Dataset-3'!K206:AC595,2,)</f>
        <v>0.24</v>
      </c>
      <c r="M815" s="70" t="str">
        <f>VLOOKUP(L815,'Dataset-3'!L206:AD595,2,)</f>
        <v>Cloudy</v>
      </c>
      <c r="N815" s="38">
        <f>VLOOKUP(M815,'Dataset-3'!M206:AE595,2,)</f>
        <v>0.2576</v>
      </c>
      <c r="O815" s="38">
        <f>VLOOKUP(N815,'Dataset-3'!N206:AF595,2,)</f>
        <v>0.65</v>
      </c>
      <c r="P815" s="38">
        <f>VLOOKUP(O815,'Dataset-3'!O206:AG595,2,)</f>
        <v>0.1045</v>
      </c>
      <c r="Q815" s="38">
        <f>VLOOKUP(P815,'Dataset-3'!P206:AH595,2,)</f>
        <v>2</v>
      </c>
      <c r="R815" s="38">
        <f>VLOOKUP(Q815,'Dataset-3'!Q206:AI595,2,)</f>
        <v>21</v>
      </c>
      <c r="S815" s="38">
        <f>VLOOKUP(R815,'Dataset-3'!R206:AJ595,2,)</f>
        <v>23</v>
      </c>
    </row>
    <row r="816" spans="1:19" x14ac:dyDescent="0.35">
      <c r="A816" s="37">
        <v>815</v>
      </c>
      <c r="B816" s="60">
        <f>VLOOKUP(A816,'Dataset-3'!A207:S596,2,)</f>
        <v>40580</v>
      </c>
      <c r="C816" s="38">
        <f>VLOOKUP(B816,'Dataset-3'!B207:T596,2,)</f>
        <v>1</v>
      </c>
      <c r="D816" s="38">
        <f>VLOOKUP(C816,'Dataset-3'!C207:U596,2,)</f>
        <v>0</v>
      </c>
      <c r="E816" s="38">
        <f>VLOOKUP(D816,'Dataset-3'!D207:V596,2,)</f>
        <v>2</v>
      </c>
      <c r="F816" s="38">
        <f>VLOOKUP(E816,'Dataset-3'!E207:W596,2,)</f>
        <v>9</v>
      </c>
      <c r="G816" s="41" t="str">
        <f>VLOOKUP(F816,'Dataset-3'!F207:X596,2,)</f>
        <v>Morning</v>
      </c>
      <c r="H816" s="38" t="b">
        <f>VLOOKUP(G816,'Dataset-3'!G207:Y596,2,)</f>
        <v>0</v>
      </c>
      <c r="I816" s="38">
        <f>VLOOKUP(H816,'Dataset-3'!H207:Z596,2,)</f>
        <v>0</v>
      </c>
      <c r="J816" s="41" t="str">
        <f>VLOOKUP(I816,'Dataset-3'!I207:AA596,2,)</f>
        <v>Saturday</v>
      </c>
      <c r="K816" s="38">
        <f>VLOOKUP(J816,'Dataset-3'!J207:AB596,2,)</f>
        <v>1</v>
      </c>
      <c r="L816" s="38">
        <f>VLOOKUP(K816,'Dataset-3'!K207:AC596,2,)</f>
        <v>0.28000000000000003</v>
      </c>
      <c r="M816" s="70" t="str">
        <f>VLOOKUP(L816,'Dataset-3'!L207:AD596,2,)</f>
        <v>Cloudy</v>
      </c>
      <c r="N816" s="38">
        <f>VLOOKUP(M816,'Dataset-3'!M207:AE596,2,)</f>
        <v>0.28789999999999999</v>
      </c>
      <c r="O816" s="38">
        <f>VLOOKUP(N816,'Dataset-3'!N207:AF596,2,)</f>
        <v>0.56000000000000005</v>
      </c>
      <c r="P816" s="38">
        <f>VLOOKUP(O816,'Dataset-3'!O207:AG596,2,)</f>
        <v>0.1045</v>
      </c>
      <c r="Q816" s="38">
        <f>VLOOKUP(P816,'Dataset-3'!P207:AH596,2,)</f>
        <v>7</v>
      </c>
      <c r="R816" s="38">
        <f>VLOOKUP(Q816,'Dataset-3'!Q207:AI596,2,)</f>
        <v>38</v>
      </c>
      <c r="S816" s="38">
        <f>VLOOKUP(R816,'Dataset-3'!R207:AJ596,2,)</f>
        <v>45</v>
      </c>
    </row>
    <row r="817" spans="1:19" x14ac:dyDescent="0.35">
      <c r="A817" s="37">
        <v>816</v>
      </c>
      <c r="B817" s="60">
        <f>VLOOKUP(A817,'Dataset-3'!A208:S597,2,)</f>
        <v>40580</v>
      </c>
      <c r="C817" s="38">
        <f>VLOOKUP(B817,'Dataset-3'!B208:T597,2,)</f>
        <v>1</v>
      </c>
      <c r="D817" s="38">
        <f>VLOOKUP(C817,'Dataset-3'!C208:U597,2,)</f>
        <v>0</v>
      </c>
      <c r="E817" s="38">
        <f>VLOOKUP(D817,'Dataset-3'!D208:V597,2,)</f>
        <v>2</v>
      </c>
      <c r="F817" s="38">
        <f>VLOOKUP(E817,'Dataset-3'!E208:W597,2,)</f>
        <v>10</v>
      </c>
      <c r="G817" s="41" t="str">
        <f>VLOOKUP(F817,'Dataset-3'!F208:X597,2,)</f>
        <v>Morning</v>
      </c>
      <c r="H817" s="38" t="b">
        <f>VLOOKUP(G817,'Dataset-3'!G208:Y597,2,)</f>
        <v>0</v>
      </c>
      <c r="I817" s="38">
        <f>VLOOKUP(H817,'Dataset-3'!H208:Z597,2,)</f>
        <v>0</v>
      </c>
      <c r="J817" s="41" t="str">
        <f>VLOOKUP(I817,'Dataset-3'!I208:AA597,2,)</f>
        <v>Saturday</v>
      </c>
      <c r="K817" s="38">
        <f>VLOOKUP(J817,'Dataset-3'!J208:AB597,2,)</f>
        <v>1</v>
      </c>
      <c r="L817" s="38">
        <f>VLOOKUP(K817,'Dataset-3'!K208:AC597,2,)</f>
        <v>0.3</v>
      </c>
      <c r="M817" s="70" t="str">
        <f>VLOOKUP(L817,'Dataset-3'!L208:AD597,2,)</f>
        <v>Cloudy</v>
      </c>
      <c r="N817" s="38">
        <f>VLOOKUP(M817,'Dataset-3'!M208:AE597,2,)</f>
        <v>0.28789999999999999</v>
      </c>
      <c r="O817" s="38">
        <f>VLOOKUP(N817,'Dataset-3'!N208:AF597,2,)</f>
        <v>0.52</v>
      </c>
      <c r="P817" s="38">
        <f>VLOOKUP(O817,'Dataset-3'!O208:AG597,2,)</f>
        <v>0.25369999999999998</v>
      </c>
      <c r="Q817" s="38">
        <f>VLOOKUP(P817,'Dataset-3'!P208:AH597,2,)</f>
        <v>15</v>
      </c>
      <c r="R817" s="38">
        <f>VLOOKUP(Q817,'Dataset-3'!Q208:AI597,2,)</f>
        <v>74</v>
      </c>
      <c r="S817" s="38">
        <f>VLOOKUP(R817,'Dataset-3'!R208:AJ597,2,)</f>
        <v>89</v>
      </c>
    </row>
    <row r="818" spans="1:19" x14ac:dyDescent="0.35">
      <c r="A818" s="37">
        <v>817</v>
      </c>
      <c r="B818" s="60">
        <f>VLOOKUP(A818,'Dataset-3'!A209:S598,2,)</f>
        <v>40580</v>
      </c>
      <c r="C818" s="38">
        <f>VLOOKUP(B818,'Dataset-3'!B209:T598,2,)</f>
        <v>1</v>
      </c>
      <c r="D818" s="38">
        <f>VLOOKUP(C818,'Dataset-3'!C209:U598,2,)</f>
        <v>0</v>
      </c>
      <c r="E818" s="38">
        <f>VLOOKUP(D818,'Dataset-3'!D209:V598,2,)</f>
        <v>2</v>
      </c>
      <c r="F818" s="38">
        <f>VLOOKUP(E818,'Dataset-3'!E209:W598,2,)</f>
        <v>11</v>
      </c>
      <c r="G818" s="41" t="str">
        <f>VLOOKUP(F818,'Dataset-3'!F209:X598,2,)</f>
        <v>Morning</v>
      </c>
      <c r="H818" s="38" t="b">
        <f>VLOOKUP(G818,'Dataset-3'!G209:Y598,2,)</f>
        <v>0</v>
      </c>
      <c r="I818" s="38">
        <f>VLOOKUP(H818,'Dataset-3'!H209:Z598,2,)</f>
        <v>0</v>
      </c>
      <c r="J818" s="41" t="str">
        <f>VLOOKUP(I818,'Dataset-3'!I209:AA598,2,)</f>
        <v>Saturday</v>
      </c>
      <c r="K818" s="38">
        <f>VLOOKUP(J818,'Dataset-3'!J209:AB598,2,)</f>
        <v>1</v>
      </c>
      <c r="L818" s="38">
        <f>VLOOKUP(K818,'Dataset-3'!K209:AC598,2,)</f>
        <v>0.32</v>
      </c>
      <c r="M818" s="70" t="str">
        <f>VLOOKUP(L818,'Dataset-3'!L209:AD598,2,)</f>
        <v>Sunny</v>
      </c>
      <c r="N818" s="38">
        <f>VLOOKUP(M818,'Dataset-3'!M209:AE598,2,)</f>
        <v>0.30299999999999999</v>
      </c>
      <c r="O818" s="38">
        <f>VLOOKUP(N818,'Dataset-3'!N209:AF598,2,)</f>
        <v>0.49</v>
      </c>
      <c r="P818" s="38">
        <f>VLOOKUP(O818,'Dataset-3'!O209:AG598,2,)</f>
        <v>0.25369999999999998</v>
      </c>
      <c r="Q818" s="38">
        <f>VLOOKUP(P818,'Dataset-3'!P209:AH598,2,)</f>
        <v>28</v>
      </c>
      <c r="R818" s="38">
        <f>VLOOKUP(Q818,'Dataset-3'!Q209:AI598,2,)</f>
        <v>89</v>
      </c>
      <c r="S818" s="38">
        <f>VLOOKUP(R818,'Dataset-3'!R209:AJ598,2,)</f>
        <v>117</v>
      </c>
    </row>
    <row r="819" spans="1:19" x14ac:dyDescent="0.35">
      <c r="A819" s="37">
        <v>818</v>
      </c>
      <c r="B819" s="60">
        <f>VLOOKUP(A819,'Dataset-3'!A210:S599,2,)</f>
        <v>40580</v>
      </c>
      <c r="C819" s="38">
        <f>VLOOKUP(B819,'Dataset-3'!B210:T599,2,)</f>
        <v>1</v>
      </c>
      <c r="D819" s="38">
        <f>VLOOKUP(C819,'Dataset-3'!C210:U599,2,)</f>
        <v>0</v>
      </c>
      <c r="E819" s="38">
        <f>VLOOKUP(D819,'Dataset-3'!D210:V599,2,)</f>
        <v>2</v>
      </c>
      <c r="F819" s="38">
        <f>VLOOKUP(E819,'Dataset-3'!E210:W599,2,)</f>
        <v>12</v>
      </c>
      <c r="G819" s="41" t="str">
        <f>VLOOKUP(F819,'Dataset-3'!F210:X599,2,)</f>
        <v>AfterNoon</v>
      </c>
      <c r="H819" s="38" t="b">
        <f>VLOOKUP(G819,'Dataset-3'!G210:Y599,2,)</f>
        <v>0</v>
      </c>
      <c r="I819" s="38">
        <f>VLOOKUP(H819,'Dataset-3'!H210:Z599,2,)</f>
        <v>0</v>
      </c>
      <c r="J819" s="41" t="str">
        <f>VLOOKUP(I819,'Dataset-3'!I210:AA599,2,)</f>
        <v>Saturday</v>
      </c>
      <c r="K819" s="38">
        <f>VLOOKUP(J819,'Dataset-3'!J210:AB599,2,)</f>
        <v>1</v>
      </c>
      <c r="L819" s="38">
        <f>VLOOKUP(K819,'Dataset-3'!K210:AC599,2,)</f>
        <v>0.34</v>
      </c>
      <c r="M819" s="70" t="str">
        <f>VLOOKUP(L819,'Dataset-3'!L210:AD599,2,)</f>
        <v>Sunny</v>
      </c>
      <c r="N819" s="38">
        <f>VLOOKUP(M819,'Dataset-3'!M210:AE599,2,)</f>
        <v>0.33329999999999999</v>
      </c>
      <c r="O819" s="38">
        <f>VLOOKUP(N819,'Dataset-3'!N210:AF599,2,)</f>
        <v>0.46</v>
      </c>
      <c r="P819" s="38">
        <f>VLOOKUP(O819,'Dataset-3'!O210:AG599,2,)</f>
        <v>0</v>
      </c>
      <c r="Q819" s="38">
        <f>VLOOKUP(P819,'Dataset-3'!P210:AH599,2,)</f>
        <v>48</v>
      </c>
      <c r="R819" s="38">
        <f>VLOOKUP(Q819,'Dataset-3'!Q210:AI599,2,)</f>
        <v>126</v>
      </c>
      <c r="S819" s="38">
        <f>VLOOKUP(R819,'Dataset-3'!R210:AJ599,2,)</f>
        <v>174</v>
      </c>
    </row>
    <row r="820" spans="1:19" x14ac:dyDescent="0.35">
      <c r="A820" s="37">
        <v>819</v>
      </c>
      <c r="B820" s="60">
        <f>VLOOKUP(A820,'Dataset-3'!A211:S600,2,)</f>
        <v>40580</v>
      </c>
      <c r="C820" s="38">
        <f>VLOOKUP(B820,'Dataset-3'!B211:T600,2,)</f>
        <v>1</v>
      </c>
      <c r="D820" s="38">
        <f>VLOOKUP(C820,'Dataset-3'!C211:U600,2,)</f>
        <v>0</v>
      </c>
      <c r="E820" s="38">
        <f>VLOOKUP(D820,'Dataset-3'!D211:V600,2,)</f>
        <v>2</v>
      </c>
      <c r="F820" s="38">
        <f>VLOOKUP(E820,'Dataset-3'!E211:W600,2,)</f>
        <v>13</v>
      </c>
      <c r="G820" s="41" t="str">
        <f>VLOOKUP(F820,'Dataset-3'!F211:X600,2,)</f>
        <v>AfterNoon</v>
      </c>
      <c r="H820" s="38" t="b">
        <f>VLOOKUP(G820,'Dataset-3'!G211:Y600,2,)</f>
        <v>0</v>
      </c>
      <c r="I820" s="38">
        <f>VLOOKUP(H820,'Dataset-3'!H211:Z600,2,)</f>
        <v>0</v>
      </c>
      <c r="J820" s="41" t="str">
        <f>VLOOKUP(I820,'Dataset-3'!I211:AA600,2,)</f>
        <v>Saturday</v>
      </c>
      <c r="K820" s="38">
        <f>VLOOKUP(J820,'Dataset-3'!J211:AB600,2,)</f>
        <v>1</v>
      </c>
      <c r="L820" s="38">
        <f>VLOOKUP(K820,'Dataset-3'!K211:AC600,2,)</f>
        <v>0.34</v>
      </c>
      <c r="M820" s="70" t="str">
        <f>VLOOKUP(L820,'Dataset-3'!L211:AD600,2,)</f>
        <v>Sunny</v>
      </c>
      <c r="N820" s="38">
        <f>VLOOKUP(M820,'Dataset-3'!M211:AE600,2,)</f>
        <v>0.36359999999999998</v>
      </c>
      <c r="O820" s="38">
        <f>VLOOKUP(N820,'Dataset-3'!N211:AF600,2,)</f>
        <v>0.46</v>
      </c>
      <c r="P820" s="38">
        <f>VLOOKUP(O820,'Dataset-3'!O211:AG600,2,)</f>
        <v>0</v>
      </c>
      <c r="Q820" s="38">
        <f>VLOOKUP(P820,'Dataset-3'!P211:AH600,2,)</f>
        <v>47</v>
      </c>
      <c r="R820" s="38">
        <f>VLOOKUP(Q820,'Dataset-3'!Q211:AI600,2,)</f>
        <v>135</v>
      </c>
      <c r="S820" s="38">
        <f>VLOOKUP(R820,'Dataset-3'!R211:AJ600,2,)</f>
        <v>182</v>
      </c>
    </row>
    <row r="821" spans="1:19" x14ac:dyDescent="0.35">
      <c r="A821" s="37">
        <v>820</v>
      </c>
      <c r="B821" s="60">
        <f>VLOOKUP(A821,'Dataset-3'!A212:S601,2,)</f>
        <v>40580</v>
      </c>
      <c r="C821" s="38">
        <f>VLOOKUP(B821,'Dataset-3'!B212:T601,2,)</f>
        <v>1</v>
      </c>
      <c r="D821" s="38">
        <f>VLOOKUP(C821,'Dataset-3'!C212:U601,2,)</f>
        <v>0</v>
      </c>
      <c r="E821" s="38">
        <f>VLOOKUP(D821,'Dataset-3'!D212:V601,2,)</f>
        <v>2</v>
      </c>
      <c r="F821" s="38">
        <f>VLOOKUP(E821,'Dataset-3'!E212:W601,2,)</f>
        <v>14</v>
      </c>
      <c r="G821" s="41" t="str">
        <f>VLOOKUP(F821,'Dataset-3'!F212:X601,2,)</f>
        <v>AfterNoon</v>
      </c>
      <c r="H821" s="38" t="b">
        <f>VLOOKUP(G821,'Dataset-3'!G212:Y601,2,)</f>
        <v>0</v>
      </c>
      <c r="I821" s="38">
        <f>VLOOKUP(H821,'Dataset-3'!H212:Z601,2,)</f>
        <v>0</v>
      </c>
      <c r="J821" s="41" t="str">
        <f>VLOOKUP(I821,'Dataset-3'!I212:AA601,2,)</f>
        <v>Saturday</v>
      </c>
      <c r="K821" s="38">
        <f>VLOOKUP(J821,'Dataset-3'!J212:AB601,2,)</f>
        <v>1</v>
      </c>
      <c r="L821" s="38">
        <f>VLOOKUP(K821,'Dataset-3'!K212:AC601,2,)</f>
        <v>0.34</v>
      </c>
      <c r="M821" s="70" t="str">
        <f>VLOOKUP(L821,'Dataset-3'!L212:AD601,2,)</f>
        <v>Sunny</v>
      </c>
      <c r="N821" s="38">
        <f>VLOOKUP(M821,'Dataset-3'!M212:AE601,2,)</f>
        <v>0.34849999999999998</v>
      </c>
      <c r="O821" s="38">
        <f>VLOOKUP(N821,'Dataset-3'!N212:AF601,2,)</f>
        <v>0.46</v>
      </c>
      <c r="P821" s="38">
        <f>VLOOKUP(O821,'Dataset-3'!O212:AG601,2,)</f>
        <v>8.9599999999999999E-2</v>
      </c>
      <c r="Q821" s="38">
        <f>VLOOKUP(P821,'Dataset-3'!P212:AH601,2,)</f>
        <v>47</v>
      </c>
      <c r="R821" s="38">
        <f>VLOOKUP(Q821,'Dataset-3'!Q212:AI601,2,)</f>
        <v>114</v>
      </c>
      <c r="S821" s="38">
        <f>VLOOKUP(R821,'Dataset-3'!R212:AJ601,2,)</f>
        <v>161</v>
      </c>
    </row>
    <row r="822" spans="1:19" x14ac:dyDescent="0.35">
      <c r="A822" s="37">
        <v>821</v>
      </c>
      <c r="B822" s="60">
        <f>VLOOKUP(A822,'Dataset-3'!A213:S602,2,)</f>
        <v>40580</v>
      </c>
      <c r="C822" s="38">
        <f>VLOOKUP(B822,'Dataset-3'!B213:T602,2,)</f>
        <v>1</v>
      </c>
      <c r="D822" s="38">
        <f>VLOOKUP(C822,'Dataset-3'!C213:U602,2,)</f>
        <v>0</v>
      </c>
      <c r="E822" s="38">
        <f>VLOOKUP(D822,'Dataset-3'!D213:V602,2,)</f>
        <v>2</v>
      </c>
      <c r="F822" s="38">
        <f>VLOOKUP(E822,'Dataset-3'!E213:W602,2,)</f>
        <v>15</v>
      </c>
      <c r="G822" s="41" t="str">
        <f>VLOOKUP(F822,'Dataset-3'!F213:X602,2,)</f>
        <v>AfterNoon</v>
      </c>
      <c r="H822" s="38" t="b">
        <f>VLOOKUP(G822,'Dataset-3'!G213:Y602,2,)</f>
        <v>0</v>
      </c>
      <c r="I822" s="38">
        <f>VLOOKUP(H822,'Dataset-3'!H213:Z602,2,)</f>
        <v>0</v>
      </c>
      <c r="J822" s="41" t="str">
        <f>VLOOKUP(I822,'Dataset-3'!I213:AA602,2,)</f>
        <v>Saturday</v>
      </c>
      <c r="K822" s="38">
        <f>VLOOKUP(J822,'Dataset-3'!J213:AB602,2,)</f>
        <v>1</v>
      </c>
      <c r="L822" s="38">
        <f>VLOOKUP(K822,'Dataset-3'!K213:AC602,2,)</f>
        <v>0.34</v>
      </c>
      <c r="M822" s="70" t="str">
        <f>VLOOKUP(L822,'Dataset-3'!L213:AD602,2,)</f>
        <v>Sunny</v>
      </c>
      <c r="N822" s="38">
        <f>VLOOKUP(M822,'Dataset-3'!M213:AE602,2,)</f>
        <v>0.34849999999999998</v>
      </c>
      <c r="O822" s="38">
        <f>VLOOKUP(N822,'Dataset-3'!N213:AF602,2,)</f>
        <v>0.46</v>
      </c>
      <c r="P822" s="38">
        <f>VLOOKUP(O822,'Dataset-3'!O213:AG602,2,)</f>
        <v>8.9599999999999999E-2</v>
      </c>
      <c r="Q822" s="38">
        <f>VLOOKUP(P822,'Dataset-3'!P213:AH602,2,)</f>
        <v>52</v>
      </c>
      <c r="R822" s="38">
        <f>VLOOKUP(Q822,'Dataset-3'!Q213:AI602,2,)</f>
        <v>130</v>
      </c>
      <c r="S822" s="38">
        <f>VLOOKUP(R822,'Dataset-3'!R213:AJ602,2,)</f>
        <v>182</v>
      </c>
    </row>
    <row r="823" spans="1:19" x14ac:dyDescent="0.35">
      <c r="A823" s="37">
        <v>822</v>
      </c>
      <c r="B823" s="60">
        <f>VLOOKUP(A823,'Dataset-3'!A214:S603,2,)</f>
        <v>40580</v>
      </c>
      <c r="C823" s="38">
        <f>VLOOKUP(B823,'Dataset-3'!B214:T603,2,)</f>
        <v>1</v>
      </c>
      <c r="D823" s="38">
        <f>VLOOKUP(C823,'Dataset-3'!C214:U603,2,)</f>
        <v>0</v>
      </c>
      <c r="E823" s="38">
        <f>VLOOKUP(D823,'Dataset-3'!D214:V603,2,)</f>
        <v>2</v>
      </c>
      <c r="F823" s="38">
        <f>VLOOKUP(E823,'Dataset-3'!E214:W603,2,)</f>
        <v>16</v>
      </c>
      <c r="G823" s="41" t="str">
        <f>VLOOKUP(F823,'Dataset-3'!F214:X603,2,)</f>
        <v>AfterNoon</v>
      </c>
      <c r="H823" s="38" t="b">
        <f>VLOOKUP(G823,'Dataset-3'!G214:Y603,2,)</f>
        <v>0</v>
      </c>
      <c r="I823" s="38">
        <f>VLOOKUP(H823,'Dataset-3'!H214:Z603,2,)</f>
        <v>0</v>
      </c>
      <c r="J823" s="41" t="str">
        <f>VLOOKUP(I823,'Dataset-3'!I214:AA603,2,)</f>
        <v>Saturday</v>
      </c>
      <c r="K823" s="38">
        <f>VLOOKUP(J823,'Dataset-3'!J214:AB603,2,)</f>
        <v>1</v>
      </c>
      <c r="L823" s="38">
        <f>VLOOKUP(K823,'Dataset-3'!K214:AC603,2,)</f>
        <v>0.34</v>
      </c>
      <c r="M823" s="70" t="str">
        <f>VLOOKUP(L823,'Dataset-3'!L214:AD603,2,)</f>
        <v>Sunny</v>
      </c>
      <c r="N823" s="38">
        <f>VLOOKUP(M823,'Dataset-3'!M214:AE603,2,)</f>
        <v>0.34849999999999998</v>
      </c>
      <c r="O823" s="38">
        <f>VLOOKUP(N823,'Dataset-3'!N214:AF603,2,)</f>
        <v>0.49</v>
      </c>
      <c r="P823" s="38">
        <f>VLOOKUP(O823,'Dataset-3'!O214:AG603,2,)</f>
        <v>0.1045</v>
      </c>
      <c r="Q823" s="38">
        <f>VLOOKUP(P823,'Dataset-3'!P214:AH603,2,)</f>
        <v>42</v>
      </c>
      <c r="R823" s="38">
        <f>VLOOKUP(Q823,'Dataset-3'!Q214:AI603,2,)</f>
        <v>115</v>
      </c>
      <c r="S823" s="38">
        <f>VLOOKUP(R823,'Dataset-3'!R214:AJ603,2,)</f>
        <v>157</v>
      </c>
    </row>
    <row r="824" spans="1:19" x14ac:dyDescent="0.35">
      <c r="A824" s="37">
        <v>823</v>
      </c>
      <c r="B824" s="60">
        <f>VLOOKUP(A824,'Dataset-3'!A215:S604,2,)</f>
        <v>40580</v>
      </c>
      <c r="C824" s="38">
        <f>VLOOKUP(B824,'Dataset-3'!B215:T604,2,)</f>
        <v>1</v>
      </c>
      <c r="D824" s="38">
        <f>VLOOKUP(C824,'Dataset-3'!C215:U604,2,)</f>
        <v>0</v>
      </c>
      <c r="E824" s="38">
        <f>VLOOKUP(D824,'Dataset-3'!D215:V604,2,)</f>
        <v>2</v>
      </c>
      <c r="F824" s="38">
        <f>VLOOKUP(E824,'Dataset-3'!E215:W604,2,)</f>
        <v>17</v>
      </c>
      <c r="G824" s="41" t="str">
        <f>VLOOKUP(F824,'Dataset-3'!F215:X604,2,)</f>
        <v>Evening</v>
      </c>
      <c r="H824" s="38" t="b">
        <f>VLOOKUP(G824,'Dataset-3'!G215:Y604,2,)</f>
        <v>0</v>
      </c>
      <c r="I824" s="38">
        <f>VLOOKUP(H824,'Dataset-3'!H215:Z604,2,)</f>
        <v>0</v>
      </c>
      <c r="J824" s="41" t="str">
        <f>VLOOKUP(I824,'Dataset-3'!I215:AA604,2,)</f>
        <v>Saturday</v>
      </c>
      <c r="K824" s="38">
        <f>VLOOKUP(J824,'Dataset-3'!J215:AB604,2,)</f>
        <v>1</v>
      </c>
      <c r="L824" s="38">
        <f>VLOOKUP(K824,'Dataset-3'!K215:AC604,2,)</f>
        <v>0.34</v>
      </c>
      <c r="M824" s="70" t="str">
        <f>VLOOKUP(L824,'Dataset-3'!L215:AD604,2,)</f>
        <v>Sunny</v>
      </c>
      <c r="N824" s="38">
        <f>VLOOKUP(M824,'Dataset-3'!M215:AE604,2,)</f>
        <v>0.36359999999999998</v>
      </c>
      <c r="O824" s="38">
        <f>VLOOKUP(N824,'Dataset-3'!N215:AF604,2,)</f>
        <v>0.46</v>
      </c>
      <c r="P824" s="38">
        <f>VLOOKUP(O824,'Dataset-3'!O215:AG604,2,)</f>
        <v>0</v>
      </c>
      <c r="Q824" s="38">
        <f>VLOOKUP(P824,'Dataset-3'!P215:AH604,2,)</f>
        <v>24</v>
      </c>
      <c r="R824" s="38">
        <f>VLOOKUP(Q824,'Dataset-3'!Q215:AI604,2,)</f>
        <v>97</v>
      </c>
      <c r="S824" s="38">
        <f>VLOOKUP(R824,'Dataset-3'!R215:AJ604,2,)</f>
        <v>121</v>
      </c>
    </row>
    <row r="825" spans="1:19" x14ac:dyDescent="0.35">
      <c r="A825" s="37">
        <v>824</v>
      </c>
      <c r="B825" s="60">
        <f>VLOOKUP(A825,'Dataset-3'!A216:S605,2,)</f>
        <v>40580</v>
      </c>
      <c r="C825" s="38">
        <f>VLOOKUP(B825,'Dataset-3'!B216:T605,2,)</f>
        <v>1</v>
      </c>
      <c r="D825" s="38">
        <f>VLOOKUP(C825,'Dataset-3'!C216:U605,2,)</f>
        <v>0</v>
      </c>
      <c r="E825" s="38">
        <f>VLOOKUP(D825,'Dataset-3'!D216:V605,2,)</f>
        <v>2</v>
      </c>
      <c r="F825" s="38">
        <f>VLOOKUP(E825,'Dataset-3'!E216:W605,2,)</f>
        <v>18</v>
      </c>
      <c r="G825" s="41" t="str">
        <f>VLOOKUP(F825,'Dataset-3'!F216:X605,2,)</f>
        <v>Evening</v>
      </c>
      <c r="H825" s="38" t="b">
        <f>VLOOKUP(G825,'Dataset-3'!G216:Y605,2,)</f>
        <v>0</v>
      </c>
      <c r="I825" s="38">
        <f>VLOOKUP(H825,'Dataset-3'!H216:Z605,2,)</f>
        <v>0</v>
      </c>
      <c r="J825" s="41" t="str">
        <f>VLOOKUP(I825,'Dataset-3'!I216:AA605,2,)</f>
        <v>Saturday</v>
      </c>
      <c r="K825" s="38">
        <f>VLOOKUP(J825,'Dataset-3'!J216:AB605,2,)</f>
        <v>1</v>
      </c>
      <c r="L825" s="38">
        <f>VLOOKUP(K825,'Dataset-3'!K216:AC605,2,)</f>
        <v>0.3</v>
      </c>
      <c r="M825" s="70" t="str">
        <f>VLOOKUP(L825,'Dataset-3'!L216:AD605,2,)</f>
        <v>Cloudy</v>
      </c>
      <c r="N825" s="38">
        <f>VLOOKUP(M825,'Dataset-3'!M216:AE605,2,)</f>
        <v>0.30299999999999999</v>
      </c>
      <c r="O825" s="38">
        <f>VLOOKUP(N825,'Dataset-3'!N216:AF605,2,)</f>
        <v>0.56000000000000005</v>
      </c>
      <c r="P825" s="38">
        <f>VLOOKUP(O825,'Dataset-3'!O216:AG605,2,)</f>
        <v>0.16420000000000001</v>
      </c>
      <c r="Q825" s="38">
        <f>VLOOKUP(P825,'Dataset-3'!P216:AH605,2,)</f>
        <v>13</v>
      </c>
      <c r="R825" s="38">
        <f>VLOOKUP(Q825,'Dataset-3'!Q216:AI605,2,)</f>
        <v>65</v>
      </c>
      <c r="S825" s="38">
        <f>VLOOKUP(R825,'Dataset-3'!R216:AJ605,2,)</f>
        <v>78</v>
      </c>
    </row>
    <row r="826" spans="1:19" x14ac:dyDescent="0.35">
      <c r="A826" s="37">
        <v>825</v>
      </c>
      <c r="B826" s="60">
        <f>VLOOKUP(A826,'Dataset-3'!A217:S606,2,)</f>
        <v>40580</v>
      </c>
      <c r="C826" s="38">
        <f>VLOOKUP(B826,'Dataset-3'!B217:T606,2,)</f>
        <v>1</v>
      </c>
      <c r="D826" s="38">
        <f>VLOOKUP(C826,'Dataset-3'!C217:U606,2,)</f>
        <v>0</v>
      </c>
      <c r="E826" s="38">
        <f>VLOOKUP(D826,'Dataset-3'!D217:V606,2,)</f>
        <v>2</v>
      </c>
      <c r="F826" s="38">
        <f>VLOOKUP(E826,'Dataset-3'!E217:W606,2,)</f>
        <v>19</v>
      </c>
      <c r="G826" s="41" t="str">
        <f>VLOOKUP(F826,'Dataset-3'!F217:X606,2,)</f>
        <v>Evening</v>
      </c>
      <c r="H826" s="38" t="b">
        <f>VLOOKUP(G826,'Dataset-3'!G217:Y606,2,)</f>
        <v>0</v>
      </c>
      <c r="I826" s="38">
        <f>VLOOKUP(H826,'Dataset-3'!H217:Z606,2,)</f>
        <v>0</v>
      </c>
      <c r="J826" s="41" t="str">
        <f>VLOOKUP(I826,'Dataset-3'!I217:AA606,2,)</f>
        <v>Saturday</v>
      </c>
      <c r="K826" s="38">
        <f>VLOOKUP(J826,'Dataset-3'!J217:AB606,2,)</f>
        <v>1</v>
      </c>
      <c r="L826" s="38">
        <f>VLOOKUP(K826,'Dataset-3'!K217:AC606,2,)</f>
        <v>0.28000000000000003</v>
      </c>
      <c r="M826" s="70" t="str">
        <f>VLOOKUP(L826,'Dataset-3'!L217:AD606,2,)</f>
        <v>Cloudy</v>
      </c>
      <c r="N826" s="38">
        <f>VLOOKUP(M826,'Dataset-3'!M217:AE606,2,)</f>
        <v>0.28789999999999999</v>
      </c>
      <c r="O826" s="38">
        <f>VLOOKUP(N826,'Dataset-3'!N217:AF606,2,)</f>
        <v>0.61</v>
      </c>
      <c r="P826" s="38">
        <f>VLOOKUP(O826,'Dataset-3'!O217:AG606,2,)</f>
        <v>0.1343</v>
      </c>
      <c r="Q826" s="38">
        <f>VLOOKUP(P826,'Dataset-3'!P217:AH606,2,)</f>
        <v>1</v>
      </c>
      <c r="R826" s="38">
        <f>VLOOKUP(Q826,'Dataset-3'!Q217:AI606,2,)</f>
        <v>20</v>
      </c>
      <c r="S826" s="38">
        <f>VLOOKUP(R826,'Dataset-3'!R217:AJ606,2,)</f>
        <v>21</v>
      </c>
    </row>
    <row r="827" spans="1:19" x14ac:dyDescent="0.35">
      <c r="A827" s="37">
        <v>826</v>
      </c>
      <c r="B827" s="60">
        <f>VLOOKUP(A827,'Dataset-3'!A218:S607,2,)</f>
        <v>40580</v>
      </c>
      <c r="C827" s="38">
        <f>VLOOKUP(B827,'Dataset-3'!B218:T607,2,)</f>
        <v>1</v>
      </c>
      <c r="D827" s="38">
        <f>VLOOKUP(C827,'Dataset-3'!C218:U607,2,)</f>
        <v>0</v>
      </c>
      <c r="E827" s="38">
        <f>VLOOKUP(D827,'Dataset-3'!D218:V607,2,)</f>
        <v>2</v>
      </c>
      <c r="F827" s="38">
        <f>VLOOKUP(E827,'Dataset-3'!E218:W607,2,)</f>
        <v>20</v>
      </c>
      <c r="G827" s="41" t="str">
        <f>VLOOKUP(F827,'Dataset-3'!F218:X607,2,)</f>
        <v>Night</v>
      </c>
      <c r="H827" s="38" t="b">
        <f>VLOOKUP(G827,'Dataset-3'!G218:Y607,2,)</f>
        <v>0</v>
      </c>
      <c r="I827" s="38">
        <f>VLOOKUP(H827,'Dataset-3'!H218:Z607,2,)</f>
        <v>0</v>
      </c>
      <c r="J827" s="41" t="str">
        <f>VLOOKUP(I827,'Dataset-3'!I218:AA607,2,)</f>
        <v>Saturday</v>
      </c>
      <c r="K827" s="38">
        <f>VLOOKUP(J827,'Dataset-3'!J218:AB607,2,)</f>
        <v>1</v>
      </c>
      <c r="L827" s="38">
        <f>VLOOKUP(K827,'Dataset-3'!K218:AC607,2,)</f>
        <v>0.28000000000000003</v>
      </c>
      <c r="M827" s="70" t="str">
        <f>VLOOKUP(L827,'Dataset-3'!L218:AD607,2,)</f>
        <v>Cloudy</v>
      </c>
      <c r="N827" s="38">
        <f>VLOOKUP(M827,'Dataset-3'!M218:AE607,2,)</f>
        <v>0.28789999999999999</v>
      </c>
      <c r="O827" s="38">
        <f>VLOOKUP(N827,'Dataset-3'!N218:AF607,2,)</f>
        <v>0.61</v>
      </c>
      <c r="P827" s="38">
        <f>VLOOKUP(O827,'Dataset-3'!O218:AG607,2,)</f>
        <v>0.1045</v>
      </c>
      <c r="Q827" s="38">
        <f>VLOOKUP(P827,'Dataset-3'!P218:AH607,2,)</f>
        <v>5</v>
      </c>
      <c r="R827" s="38">
        <f>VLOOKUP(Q827,'Dataset-3'!Q218:AI607,2,)</f>
        <v>21</v>
      </c>
      <c r="S827" s="38">
        <f>VLOOKUP(R827,'Dataset-3'!R218:AJ607,2,)</f>
        <v>26</v>
      </c>
    </row>
    <row r="828" spans="1:19" x14ac:dyDescent="0.35">
      <c r="A828" s="37">
        <v>827</v>
      </c>
      <c r="B828" s="60">
        <f>VLOOKUP(A828,'Dataset-3'!A219:S608,2,)</f>
        <v>40580</v>
      </c>
      <c r="C828" s="38">
        <f>VLOOKUP(B828,'Dataset-3'!B219:T608,2,)</f>
        <v>1</v>
      </c>
      <c r="D828" s="38">
        <f>VLOOKUP(C828,'Dataset-3'!C219:U608,2,)</f>
        <v>0</v>
      </c>
      <c r="E828" s="38">
        <f>VLOOKUP(D828,'Dataset-3'!D219:V608,2,)</f>
        <v>2</v>
      </c>
      <c r="F828" s="38">
        <f>VLOOKUP(E828,'Dataset-3'!E219:W608,2,)</f>
        <v>21</v>
      </c>
      <c r="G828" s="41" t="str">
        <f>VLOOKUP(F828,'Dataset-3'!F219:X608,2,)</f>
        <v>Night</v>
      </c>
      <c r="H828" s="38" t="b">
        <f>VLOOKUP(G828,'Dataset-3'!G219:Y608,2,)</f>
        <v>0</v>
      </c>
      <c r="I828" s="38">
        <f>VLOOKUP(H828,'Dataset-3'!H219:Z608,2,)</f>
        <v>0</v>
      </c>
      <c r="J828" s="41" t="str">
        <f>VLOOKUP(I828,'Dataset-3'!I219:AA608,2,)</f>
        <v>Saturday</v>
      </c>
      <c r="K828" s="38">
        <f>VLOOKUP(J828,'Dataset-3'!J219:AB608,2,)</f>
        <v>1</v>
      </c>
      <c r="L828" s="38">
        <f>VLOOKUP(K828,'Dataset-3'!K219:AC608,2,)</f>
        <v>0.26</v>
      </c>
      <c r="M828" s="70" t="str">
        <f>VLOOKUP(L828,'Dataset-3'!L219:AD608,2,)</f>
        <v>Cloudy</v>
      </c>
      <c r="N828" s="38">
        <f>VLOOKUP(M828,'Dataset-3'!M219:AE608,2,)</f>
        <v>0.30299999999999999</v>
      </c>
      <c r="O828" s="38">
        <f>VLOOKUP(N828,'Dataset-3'!N219:AF608,2,)</f>
        <v>0.6</v>
      </c>
      <c r="P828" s="38">
        <f>VLOOKUP(O828,'Dataset-3'!O219:AG608,2,)</f>
        <v>0</v>
      </c>
      <c r="Q828" s="38">
        <f>VLOOKUP(P828,'Dataset-3'!P219:AH608,2,)</f>
        <v>5</v>
      </c>
      <c r="R828" s="38">
        <f>VLOOKUP(Q828,'Dataset-3'!Q219:AI608,2,)</f>
        <v>22</v>
      </c>
      <c r="S828" s="38">
        <f>VLOOKUP(R828,'Dataset-3'!R219:AJ608,2,)</f>
        <v>27</v>
      </c>
    </row>
    <row r="829" spans="1:19" x14ac:dyDescent="0.35">
      <c r="A829" s="37">
        <v>828</v>
      </c>
      <c r="B829" s="60">
        <f>VLOOKUP(A829,'Dataset-3'!A220:S609,2,)</f>
        <v>40580</v>
      </c>
      <c r="C829" s="38">
        <f>VLOOKUP(B829,'Dataset-3'!B220:T609,2,)</f>
        <v>1</v>
      </c>
      <c r="D829" s="38">
        <f>VLOOKUP(C829,'Dataset-3'!C220:U609,2,)</f>
        <v>0</v>
      </c>
      <c r="E829" s="38">
        <f>VLOOKUP(D829,'Dataset-3'!D220:V609,2,)</f>
        <v>2</v>
      </c>
      <c r="F829" s="38">
        <f>VLOOKUP(E829,'Dataset-3'!E220:W609,2,)</f>
        <v>22</v>
      </c>
      <c r="G829" s="41" t="str">
        <f>VLOOKUP(F829,'Dataset-3'!F220:X609,2,)</f>
        <v>Night</v>
      </c>
      <c r="H829" s="38" t="b">
        <f>VLOOKUP(G829,'Dataset-3'!G220:Y609,2,)</f>
        <v>0</v>
      </c>
      <c r="I829" s="38">
        <f>VLOOKUP(H829,'Dataset-3'!H220:Z609,2,)</f>
        <v>0</v>
      </c>
      <c r="J829" s="41" t="str">
        <f>VLOOKUP(I829,'Dataset-3'!I220:AA609,2,)</f>
        <v>Saturday</v>
      </c>
      <c r="K829" s="38">
        <f>VLOOKUP(J829,'Dataset-3'!J220:AB609,2,)</f>
        <v>1</v>
      </c>
      <c r="L829" s="38">
        <f>VLOOKUP(K829,'Dataset-3'!K220:AC609,2,)</f>
        <v>0.26</v>
      </c>
      <c r="M829" s="70" t="str">
        <f>VLOOKUP(L829,'Dataset-3'!L220:AD609,2,)</f>
        <v>Cloudy</v>
      </c>
      <c r="N829" s="38">
        <f>VLOOKUP(M829,'Dataset-3'!M220:AE609,2,)</f>
        <v>0.30299999999999999</v>
      </c>
      <c r="O829" s="38">
        <f>VLOOKUP(N829,'Dataset-3'!N220:AF609,2,)</f>
        <v>0.6</v>
      </c>
      <c r="P829" s="38">
        <f>VLOOKUP(O829,'Dataset-3'!O220:AG609,2,)</f>
        <v>0</v>
      </c>
      <c r="Q829" s="38">
        <f>VLOOKUP(P829,'Dataset-3'!P220:AH609,2,)</f>
        <v>5</v>
      </c>
      <c r="R829" s="38">
        <f>VLOOKUP(Q829,'Dataset-3'!Q220:AI609,2,)</f>
        <v>57</v>
      </c>
      <c r="S829" s="38">
        <f>VLOOKUP(R829,'Dataset-3'!R220:AJ609,2,)</f>
        <v>62</v>
      </c>
    </row>
    <row r="830" spans="1:19" x14ac:dyDescent="0.35">
      <c r="A830" s="37">
        <v>829</v>
      </c>
      <c r="B830" s="60">
        <f>VLOOKUP(A830,'Dataset-3'!A221:S610,2,)</f>
        <v>40580</v>
      </c>
      <c r="C830" s="38">
        <f>VLOOKUP(B830,'Dataset-3'!B221:T610,2,)</f>
        <v>1</v>
      </c>
      <c r="D830" s="38">
        <f>VLOOKUP(C830,'Dataset-3'!C221:U610,2,)</f>
        <v>0</v>
      </c>
      <c r="E830" s="38">
        <f>VLOOKUP(D830,'Dataset-3'!D221:V610,2,)</f>
        <v>2</v>
      </c>
      <c r="F830" s="38">
        <f>VLOOKUP(E830,'Dataset-3'!E221:W610,2,)</f>
        <v>23</v>
      </c>
      <c r="G830" s="41" t="str">
        <f>VLOOKUP(F830,'Dataset-3'!F221:X610,2,)</f>
        <v>Night</v>
      </c>
      <c r="H830" s="38" t="b">
        <f>VLOOKUP(G830,'Dataset-3'!G221:Y610,2,)</f>
        <v>0</v>
      </c>
      <c r="I830" s="38">
        <f>VLOOKUP(H830,'Dataset-3'!H221:Z610,2,)</f>
        <v>0</v>
      </c>
      <c r="J830" s="41" t="str">
        <f>VLOOKUP(I830,'Dataset-3'!I221:AA610,2,)</f>
        <v>Saturday</v>
      </c>
      <c r="K830" s="38">
        <f>VLOOKUP(J830,'Dataset-3'!J221:AB610,2,)</f>
        <v>1</v>
      </c>
      <c r="L830" s="38">
        <f>VLOOKUP(K830,'Dataset-3'!K221:AC610,2,)</f>
        <v>0.24</v>
      </c>
      <c r="M830" s="70" t="str">
        <f>VLOOKUP(L830,'Dataset-3'!L221:AD610,2,)</f>
        <v>Cloudy</v>
      </c>
      <c r="N830" s="38">
        <f>VLOOKUP(M830,'Dataset-3'!M221:AE610,2,)</f>
        <v>0.28789999999999999</v>
      </c>
      <c r="O830" s="38">
        <f>VLOOKUP(N830,'Dataset-3'!N221:AF610,2,)</f>
        <v>0.65</v>
      </c>
      <c r="P830" s="38">
        <f>VLOOKUP(O830,'Dataset-3'!O221:AG610,2,)</f>
        <v>0</v>
      </c>
      <c r="Q830" s="38">
        <f>VLOOKUP(P830,'Dataset-3'!P221:AH610,2,)</f>
        <v>4</v>
      </c>
      <c r="R830" s="38">
        <f>VLOOKUP(Q830,'Dataset-3'!Q221:AI610,2,)</f>
        <v>26</v>
      </c>
      <c r="S830" s="38">
        <f>VLOOKUP(R830,'Dataset-3'!R221:AJ610,2,)</f>
        <v>30</v>
      </c>
    </row>
    <row r="831" spans="1:19" x14ac:dyDescent="0.35">
      <c r="A831" s="37">
        <v>830</v>
      </c>
      <c r="B831" s="60">
        <f>VLOOKUP(A831,'Dataset-3'!A222:S611,2,)</f>
        <v>40581</v>
      </c>
      <c r="C831" s="38">
        <f>VLOOKUP(B831,'Dataset-3'!B222:T611,2,)</f>
        <v>1</v>
      </c>
      <c r="D831" s="38">
        <f>VLOOKUP(C831,'Dataset-3'!C222:U611,2,)</f>
        <v>0</v>
      </c>
      <c r="E831" s="38">
        <f>VLOOKUP(D831,'Dataset-3'!D222:V611,2,)</f>
        <v>2</v>
      </c>
      <c r="F831" s="38">
        <f>VLOOKUP(E831,'Dataset-3'!E222:W611,2,)</f>
        <v>0</v>
      </c>
      <c r="G831" s="41" t="str">
        <f>VLOOKUP(F831,'Dataset-3'!F222:X611,2,)</f>
        <v>Night</v>
      </c>
      <c r="H831" s="38" t="b">
        <f>VLOOKUP(G831,'Dataset-3'!G222:Y611,2,)</f>
        <v>0</v>
      </c>
      <c r="I831" s="38">
        <f>VLOOKUP(H831,'Dataset-3'!H222:Z611,2,)</f>
        <v>1</v>
      </c>
      <c r="J831" s="41" t="str">
        <f>VLOOKUP(I831,'Dataset-3'!I222:AA611,2,)</f>
        <v>Sunday</v>
      </c>
      <c r="K831" s="38">
        <f>VLOOKUP(J831,'Dataset-3'!J222:AB611,2,)</f>
        <v>1</v>
      </c>
      <c r="L831" s="38">
        <f>VLOOKUP(K831,'Dataset-3'!K222:AC611,2,)</f>
        <v>0.24</v>
      </c>
      <c r="M831" s="70" t="str">
        <f>VLOOKUP(L831,'Dataset-3'!L222:AD611,2,)</f>
        <v>Cloudy</v>
      </c>
      <c r="N831" s="38">
        <f>VLOOKUP(M831,'Dataset-3'!M222:AE611,2,)</f>
        <v>0.28789999999999999</v>
      </c>
      <c r="O831" s="38">
        <f>VLOOKUP(N831,'Dataset-3'!N222:AF611,2,)</f>
        <v>0.65</v>
      </c>
      <c r="P831" s="38">
        <f>VLOOKUP(O831,'Dataset-3'!O222:AG611,2,)</f>
        <v>0</v>
      </c>
      <c r="Q831" s="38">
        <f>VLOOKUP(P831,'Dataset-3'!P222:AH611,2,)</f>
        <v>1</v>
      </c>
      <c r="R831" s="38">
        <f>VLOOKUP(Q831,'Dataset-3'!Q222:AI611,2,)</f>
        <v>14</v>
      </c>
      <c r="S831" s="38">
        <f>VLOOKUP(R831,'Dataset-3'!R222:AJ611,2,)</f>
        <v>15</v>
      </c>
    </row>
    <row r="832" spans="1:19" x14ac:dyDescent="0.35">
      <c r="A832" s="37">
        <v>831</v>
      </c>
      <c r="B832" s="60">
        <f>VLOOKUP(A832,'Dataset-3'!A223:S612,2,)</f>
        <v>40581</v>
      </c>
      <c r="C832" s="38">
        <f>VLOOKUP(B832,'Dataset-3'!B223:T612,2,)</f>
        <v>1</v>
      </c>
      <c r="D832" s="38">
        <f>VLOOKUP(C832,'Dataset-3'!C223:U612,2,)</f>
        <v>0</v>
      </c>
      <c r="E832" s="38">
        <f>VLOOKUP(D832,'Dataset-3'!D223:V612,2,)</f>
        <v>2</v>
      </c>
      <c r="F832" s="38">
        <f>VLOOKUP(E832,'Dataset-3'!E223:W612,2,)</f>
        <v>1</v>
      </c>
      <c r="G832" s="41" t="str">
        <f>VLOOKUP(F832,'Dataset-3'!F223:X612,2,)</f>
        <v>Night</v>
      </c>
      <c r="H832" s="38" t="b">
        <f>VLOOKUP(G832,'Dataset-3'!G223:Y612,2,)</f>
        <v>0</v>
      </c>
      <c r="I832" s="38">
        <f>VLOOKUP(H832,'Dataset-3'!H223:Z612,2,)</f>
        <v>1</v>
      </c>
      <c r="J832" s="41" t="str">
        <f>VLOOKUP(I832,'Dataset-3'!I223:AA612,2,)</f>
        <v>Sunday</v>
      </c>
      <c r="K832" s="38">
        <f>VLOOKUP(J832,'Dataset-3'!J223:AB612,2,)</f>
        <v>1</v>
      </c>
      <c r="L832" s="38">
        <f>VLOOKUP(K832,'Dataset-3'!K223:AC612,2,)</f>
        <v>0.22</v>
      </c>
      <c r="M832" s="70" t="str">
        <f>VLOOKUP(L832,'Dataset-3'!L223:AD612,2,)</f>
        <v>Cloudy</v>
      </c>
      <c r="N832" s="38">
        <f>VLOOKUP(M832,'Dataset-3'!M223:AE612,2,)</f>
        <v>0.2727</v>
      </c>
      <c r="O832" s="38">
        <f>VLOOKUP(N832,'Dataset-3'!N223:AF612,2,)</f>
        <v>0.75</v>
      </c>
      <c r="P832" s="38">
        <f>VLOOKUP(O832,'Dataset-3'!O223:AG612,2,)</f>
        <v>0</v>
      </c>
      <c r="Q832" s="38">
        <f>VLOOKUP(P832,'Dataset-3'!P223:AH612,2,)</f>
        <v>1</v>
      </c>
      <c r="R832" s="38">
        <f>VLOOKUP(Q832,'Dataset-3'!Q223:AI612,2,)</f>
        <v>4</v>
      </c>
      <c r="S832" s="38">
        <f>VLOOKUP(R832,'Dataset-3'!R223:AJ612,2,)</f>
        <v>5</v>
      </c>
    </row>
    <row r="833" spans="1:19" x14ac:dyDescent="0.35">
      <c r="A833" s="37">
        <v>832</v>
      </c>
      <c r="B833" s="60">
        <f>VLOOKUP(A833,'Dataset-3'!A224:S613,2,)</f>
        <v>40581</v>
      </c>
      <c r="C833" s="38">
        <f>VLOOKUP(B833,'Dataset-3'!B224:T613,2,)</f>
        <v>1</v>
      </c>
      <c r="D833" s="38">
        <f>VLOOKUP(C833,'Dataset-3'!C224:U613,2,)</f>
        <v>0</v>
      </c>
      <c r="E833" s="38">
        <f>VLOOKUP(D833,'Dataset-3'!D224:V613,2,)</f>
        <v>2</v>
      </c>
      <c r="F833" s="38">
        <f>VLOOKUP(E833,'Dataset-3'!E224:W613,2,)</f>
        <v>2</v>
      </c>
      <c r="G833" s="41" t="str">
        <f>VLOOKUP(F833,'Dataset-3'!F224:X613,2,)</f>
        <v>Night</v>
      </c>
      <c r="H833" s="38" t="b">
        <f>VLOOKUP(G833,'Dataset-3'!G224:Y613,2,)</f>
        <v>0</v>
      </c>
      <c r="I833" s="38">
        <f>VLOOKUP(H833,'Dataset-3'!H224:Z613,2,)</f>
        <v>1</v>
      </c>
      <c r="J833" s="41" t="str">
        <f>VLOOKUP(I833,'Dataset-3'!I224:AA613,2,)</f>
        <v>Sunday</v>
      </c>
      <c r="K833" s="38">
        <f>VLOOKUP(J833,'Dataset-3'!J224:AB613,2,)</f>
        <v>1</v>
      </c>
      <c r="L833" s="38">
        <f>VLOOKUP(K833,'Dataset-3'!K224:AC613,2,)</f>
        <v>0.2</v>
      </c>
      <c r="M833" s="70" t="str">
        <f>VLOOKUP(L833,'Dataset-3'!L224:AD613,2,)</f>
        <v>Rainy</v>
      </c>
      <c r="N833" s="38">
        <f>VLOOKUP(M833,'Dataset-3'!M224:AE613,2,)</f>
        <v>0.2576</v>
      </c>
      <c r="O833" s="38">
        <f>VLOOKUP(N833,'Dataset-3'!N224:AF613,2,)</f>
        <v>0.8</v>
      </c>
      <c r="P833" s="38">
        <f>VLOOKUP(O833,'Dataset-3'!O224:AG613,2,)</f>
        <v>0</v>
      </c>
      <c r="Q833" s="38">
        <f>VLOOKUP(P833,'Dataset-3'!P224:AH613,2,)</f>
        <v>0</v>
      </c>
      <c r="R833" s="38">
        <f>VLOOKUP(Q833,'Dataset-3'!Q224:AI613,2,)</f>
        <v>3</v>
      </c>
      <c r="S833" s="38">
        <f>VLOOKUP(R833,'Dataset-3'!R224:AJ613,2,)</f>
        <v>3</v>
      </c>
    </row>
    <row r="834" spans="1:19" x14ac:dyDescent="0.35">
      <c r="A834" s="37">
        <v>833</v>
      </c>
      <c r="B834" s="60">
        <f>VLOOKUP(A834,'Dataset-3'!A225:S614,2,)</f>
        <v>40581</v>
      </c>
      <c r="C834" s="38">
        <f>VLOOKUP(B834,'Dataset-3'!B225:T614,2,)</f>
        <v>1</v>
      </c>
      <c r="D834" s="38">
        <f>VLOOKUP(C834,'Dataset-3'!C225:U614,2,)</f>
        <v>0</v>
      </c>
      <c r="E834" s="38">
        <f>VLOOKUP(D834,'Dataset-3'!D225:V614,2,)</f>
        <v>2</v>
      </c>
      <c r="F834" s="38">
        <f>VLOOKUP(E834,'Dataset-3'!E225:W614,2,)</f>
        <v>3</v>
      </c>
      <c r="G834" s="41" t="str">
        <f>VLOOKUP(F834,'Dataset-3'!F225:X614,2,)</f>
        <v>Night</v>
      </c>
      <c r="H834" s="38" t="b">
        <f>VLOOKUP(G834,'Dataset-3'!G225:Y614,2,)</f>
        <v>0</v>
      </c>
      <c r="I834" s="38">
        <f>VLOOKUP(H834,'Dataset-3'!H225:Z614,2,)</f>
        <v>1</v>
      </c>
      <c r="J834" s="41" t="str">
        <f>VLOOKUP(I834,'Dataset-3'!I225:AA614,2,)</f>
        <v>Sunday</v>
      </c>
      <c r="K834" s="38">
        <f>VLOOKUP(J834,'Dataset-3'!J225:AB614,2,)</f>
        <v>1</v>
      </c>
      <c r="L834" s="38">
        <f>VLOOKUP(K834,'Dataset-3'!K225:AC614,2,)</f>
        <v>0.2</v>
      </c>
      <c r="M834" s="70" t="str">
        <f>VLOOKUP(L834,'Dataset-3'!L225:AD614,2,)</f>
        <v>Rainy</v>
      </c>
      <c r="N834" s="38">
        <f>VLOOKUP(M834,'Dataset-3'!M225:AE614,2,)</f>
        <v>0.2576</v>
      </c>
      <c r="O834" s="38">
        <f>VLOOKUP(N834,'Dataset-3'!N225:AF614,2,)</f>
        <v>0.86</v>
      </c>
      <c r="P834" s="38">
        <f>VLOOKUP(O834,'Dataset-3'!O225:AG614,2,)</f>
        <v>0</v>
      </c>
      <c r="Q834" s="38">
        <f>VLOOKUP(P834,'Dataset-3'!P225:AH614,2,)</f>
        <v>0</v>
      </c>
      <c r="R834" s="38">
        <f>VLOOKUP(Q834,'Dataset-3'!Q225:AI614,2,)</f>
        <v>1</v>
      </c>
      <c r="S834" s="38">
        <f>VLOOKUP(R834,'Dataset-3'!R225:AJ614,2,)</f>
        <v>1</v>
      </c>
    </row>
    <row r="835" spans="1:19" x14ac:dyDescent="0.35">
      <c r="A835" s="37">
        <v>834</v>
      </c>
      <c r="B835" s="60">
        <f>VLOOKUP(A835,'Dataset-3'!A226:S615,2,)</f>
        <v>40581</v>
      </c>
      <c r="C835" s="38">
        <f>VLOOKUP(B835,'Dataset-3'!B226:T615,2,)</f>
        <v>1</v>
      </c>
      <c r="D835" s="38">
        <f>VLOOKUP(C835,'Dataset-3'!C226:U615,2,)</f>
        <v>0</v>
      </c>
      <c r="E835" s="38">
        <f>VLOOKUP(D835,'Dataset-3'!D226:V615,2,)</f>
        <v>2</v>
      </c>
      <c r="F835" s="38">
        <f>VLOOKUP(E835,'Dataset-3'!E226:W615,2,)</f>
        <v>4</v>
      </c>
      <c r="G835" s="41" t="str">
        <f>VLOOKUP(F835,'Dataset-3'!F226:X615,2,)</f>
        <v>Night</v>
      </c>
      <c r="H835" s="38" t="b">
        <f>VLOOKUP(G835,'Dataset-3'!G226:Y615,2,)</f>
        <v>0</v>
      </c>
      <c r="I835" s="38">
        <f>VLOOKUP(H835,'Dataset-3'!H226:Z615,2,)</f>
        <v>1</v>
      </c>
      <c r="J835" s="41" t="str">
        <f>VLOOKUP(I835,'Dataset-3'!I226:AA615,2,)</f>
        <v>Sunday</v>
      </c>
      <c r="K835" s="38">
        <f>VLOOKUP(J835,'Dataset-3'!J226:AB615,2,)</f>
        <v>1</v>
      </c>
      <c r="L835" s="38">
        <f>VLOOKUP(K835,'Dataset-3'!K226:AC615,2,)</f>
        <v>0.2</v>
      </c>
      <c r="M835" s="70" t="str">
        <f>VLOOKUP(L835,'Dataset-3'!L226:AD615,2,)</f>
        <v>Rainy</v>
      </c>
      <c r="N835" s="38">
        <f>VLOOKUP(M835,'Dataset-3'!M226:AE615,2,)</f>
        <v>0.2576</v>
      </c>
      <c r="O835" s="38">
        <f>VLOOKUP(N835,'Dataset-3'!N226:AF615,2,)</f>
        <v>0.86</v>
      </c>
      <c r="P835" s="38">
        <f>VLOOKUP(O835,'Dataset-3'!O226:AG615,2,)</f>
        <v>0</v>
      </c>
      <c r="Q835" s="38">
        <f>VLOOKUP(P835,'Dataset-3'!P226:AH615,2,)</f>
        <v>1</v>
      </c>
      <c r="R835" s="38">
        <f>VLOOKUP(Q835,'Dataset-3'!Q226:AI615,2,)</f>
        <v>1</v>
      </c>
      <c r="S835" s="38">
        <f>VLOOKUP(R835,'Dataset-3'!R226:AJ615,2,)</f>
        <v>2</v>
      </c>
    </row>
    <row r="836" spans="1:19" x14ac:dyDescent="0.35">
      <c r="A836" s="37">
        <v>835</v>
      </c>
      <c r="B836" s="60">
        <f>VLOOKUP(A836,'Dataset-3'!A227:S616,2,)</f>
        <v>40581</v>
      </c>
      <c r="C836" s="38">
        <f>VLOOKUP(B836,'Dataset-3'!B227:T616,2,)</f>
        <v>1</v>
      </c>
      <c r="D836" s="38">
        <f>VLOOKUP(C836,'Dataset-3'!C227:U616,2,)</f>
        <v>0</v>
      </c>
      <c r="E836" s="38">
        <f>VLOOKUP(D836,'Dataset-3'!D227:V616,2,)</f>
        <v>2</v>
      </c>
      <c r="F836" s="38">
        <f>VLOOKUP(E836,'Dataset-3'!E227:W616,2,)</f>
        <v>5</v>
      </c>
      <c r="G836" s="41" t="str">
        <f>VLOOKUP(F836,'Dataset-3'!F227:X616,2,)</f>
        <v>Morning</v>
      </c>
      <c r="H836" s="38" t="b">
        <f>VLOOKUP(G836,'Dataset-3'!G227:Y616,2,)</f>
        <v>0</v>
      </c>
      <c r="I836" s="38">
        <f>VLOOKUP(H836,'Dataset-3'!H227:Z616,2,)</f>
        <v>1</v>
      </c>
      <c r="J836" s="41" t="str">
        <f>VLOOKUP(I836,'Dataset-3'!I227:AA616,2,)</f>
        <v>Sunday</v>
      </c>
      <c r="K836" s="38">
        <f>VLOOKUP(J836,'Dataset-3'!J227:AB616,2,)</f>
        <v>1</v>
      </c>
      <c r="L836" s="38">
        <f>VLOOKUP(K836,'Dataset-3'!K227:AC616,2,)</f>
        <v>0.2</v>
      </c>
      <c r="M836" s="70" t="str">
        <f>VLOOKUP(L836,'Dataset-3'!L227:AD616,2,)</f>
        <v>Rainy</v>
      </c>
      <c r="N836" s="38">
        <f>VLOOKUP(M836,'Dataset-3'!M227:AE616,2,)</f>
        <v>0.2576</v>
      </c>
      <c r="O836" s="38">
        <f>VLOOKUP(N836,'Dataset-3'!N227:AF616,2,)</f>
        <v>0.86</v>
      </c>
      <c r="P836" s="38">
        <f>VLOOKUP(O836,'Dataset-3'!O227:AG616,2,)</f>
        <v>0</v>
      </c>
      <c r="Q836" s="38">
        <f>VLOOKUP(P836,'Dataset-3'!P227:AH616,2,)</f>
        <v>1</v>
      </c>
      <c r="R836" s="38">
        <f>VLOOKUP(Q836,'Dataset-3'!Q227:AI616,2,)</f>
        <v>9</v>
      </c>
      <c r="S836" s="38">
        <f>VLOOKUP(R836,'Dataset-3'!R227:AJ616,2,)</f>
        <v>10</v>
      </c>
    </row>
    <row r="837" spans="1:19" x14ac:dyDescent="0.35">
      <c r="A837" s="37">
        <v>836</v>
      </c>
      <c r="B837" s="60">
        <f>VLOOKUP(A837,'Dataset-3'!A228:S617,2,)</f>
        <v>40581</v>
      </c>
      <c r="C837" s="38">
        <f>VLOOKUP(B837,'Dataset-3'!B228:T617,2,)</f>
        <v>1</v>
      </c>
      <c r="D837" s="38">
        <f>VLOOKUP(C837,'Dataset-3'!C228:U617,2,)</f>
        <v>0</v>
      </c>
      <c r="E837" s="38">
        <f>VLOOKUP(D837,'Dataset-3'!D228:V617,2,)</f>
        <v>2</v>
      </c>
      <c r="F837" s="38">
        <f>VLOOKUP(E837,'Dataset-3'!E228:W617,2,)</f>
        <v>6</v>
      </c>
      <c r="G837" s="41" t="str">
        <f>VLOOKUP(F837,'Dataset-3'!F228:X617,2,)</f>
        <v>Morning</v>
      </c>
      <c r="H837" s="38" t="b">
        <f>VLOOKUP(G837,'Dataset-3'!G228:Y617,2,)</f>
        <v>0</v>
      </c>
      <c r="I837" s="38">
        <f>VLOOKUP(H837,'Dataset-3'!H228:Z617,2,)</f>
        <v>1</v>
      </c>
      <c r="J837" s="41" t="str">
        <f>VLOOKUP(I837,'Dataset-3'!I228:AA617,2,)</f>
        <v>Sunday</v>
      </c>
      <c r="K837" s="38">
        <f>VLOOKUP(J837,'Dataset-3'!J228:AB617,2,)</f>
        <v>1</v>
      </c>
      <c r="L837" s="38">
        <f>VLOOKUP(K837,'Dataset-3'!K228:AC617,2,)</f>
        <v>0.18</v>
      </c>
      <c r="M837" s="70" t="str">
        <f>VLOOKUP(L837,'Dataset-3'!L228:AD617,2,)</f>
        <v>Rainy</v>
      </c>
      <c r="N837" s="38">
        <f>VLOOKUP(M837,'Dataset-3'!M228:AE617,2,)</f>
        <v>0.2424</v>
      </c>
      <c r="O837" s="38">
        <f>VLOOKUP(N837,'Dataset-3'!N228:AF617,2,)</f>
        <v>0.93</v>
      </c>
      <c r="P837" s="38">
        <f>VLOOKUP(O837,'Dataset-3'!O228:AG617,2,)</f>
        <v>0</v>
      </c>
      <c r="Q837" s="38">
        <f>VLOOKUP(P837,'Dataset-3'!P228:AH617,2,)</f>
        <v>1</v>
      </c>
      <c r="R837" s="38">
        <f>VLOOKUP(Q837,'Dataset-3'!Q228:AI617,2,)</f>
        <v>29</v>
      </c>
      <c r="S837" s="38">
        <f>VLOOKUP(R837,'Dataset-3'!R228:AJ617,2,)</f>
        <v>30</v>
      </c>
    </row>
    <row r="838" spans="1:19" x14ac:dyDescent="0.35">
      <c r="A838" s="37">
        <v>837</v>
      </c>
      <c r="B838" s="60">
        <f>VLOOKUP(A838,'Dataset-3'!A229:S618,2,)</f>
        <v>40581</v>
      </c>
      <c r="C838" s="38">
        <f>VLOOKUP(B838,'Dataset-3'!B229:T618,2,)</f>
        <v>1</v>
      </c>
      <c r="D838" s="38">
        <f>VLOOKUP(C838,'Dataset-3'!C229:U618,2,)</f>
        <v>0</v>
      </c>
      <c r="E838" s="38">
        <f>VLOOKUP(D838,'Dataset-3'!D229:V618,2,)</f>
        <v>2</v>
      </c>
      <c r="F838" s="38">
        <f>VLOOKUP(E838,'Dataset-3'!E229:W618,2,)</f>
        <v>7</v>
      </c>
      <c r="G838" s="41" t="str">
        <f>VLOOKUP(F838,'Dataset-3'!F229:X618,2,)</f>
        <v>Morning</v>
      </c>
      <c r="H838" s="38" t="b">
        <f>VLOOKUP(G838,'Dataset-3'!G229:Y618,2,)</f>
        <v>0</v>
      </c>
      <c r="I838" s="38">
        <f>VLOOKUP(H838,'Dataset-3'!H229:Z618,2,)</f>
        <v>1</v>
      </c>
      <c r="J838" s="41" t="str">
        <f>VLOOKUP(I838,'Dataset-3'!I229:AA618,2,)</f>
        <v>Sunday</v>
      </c>
      <c r="K838" s="38">
        <f>VLOOKUP(J838,'Dataset-3'!J229:AB618,2,)</f>
        <v>1</v>
      </c>
      <c r="L838" s="38">
        <f>VLOOKUP(K838,'Dataset-3'!K229:AC618,2,)</f>
        <v>0.18</v>
      </c>
      <c r="M838" s="70" t="str">
        <f>VLOOKUP(L838,'Dataset-3'!L229:AD618,2,)</f>
        <v>Rainy</v>
      </c>
      <c r="N838" s="38">
        <f>VLOOKUP(M838,'Dataset-3'!M229:AE618,2,)</f>
        <v>0.2424</v>
      </c>
      <c r="O838" s="38">
        <f>VLOOKUP(N838,'Dataset-3'!N229:AF618,2,)</f>
        <v>0.86</v>
      </c>
      <c r="P838" s="38">
        <f>VLOOKUP(O838,'Dataset-3'!O229:AG618,2,)</f>
        <v>0</v>
      </c>
      <c r="Q838" s="38">
        <f>VLOOKUP(P838,'Dataset-3'!P229:AH618,2,)</f>
        <v>6</v>
      </c>
      <c r="R838" s="38">
        <f>VLOOKUP(Q838,'Dataset-3'!Q229:AI618,2,)</f>
        <v>89</v>
      </c>
      <c r="S838" s="38">
        <f>VLOOKUP(R838,'Dataset-3'!R229:AJ618,2,)</f>
        <v>95</v>
      </c>
    </row>
    <row r="839" spans="1:19" x14ac:dyDescent="0.35">
      <c r="A839" s="37">
        <v>838</v>
      </c>
      <c r="B839" s="60">
        <f>VLOOKUP(A839,'Dataset-3'!A230:S619,2,)</f>
        <v>40581</v>
      </c>
      <c r="C839" s="38">
        <f>VLOOKUP(B839,'Dataset-3'!B230:T619,2,)</f>
        <v>1</v>
      </c>
      <c r="D839" s="38">
        <f>VLOOKUP(C839,'Dataset-3'!C230:U619,2,)</f>
        <v>0</v>
      </c>
      <c r="E839" s="38">
        <f>VLOOKUP(D839,'Dataset-3'!D230:V619,2,)</f>
        <v>2</v>
      </c>
      <c r="F839" s="38">
        <f>VLOOKUP(E839,'Dataset-3'!E230:W619,2,)</f>
        <v>8</v>
      </c>
      <c r="G839" s="41" t="str">
        <f>VLOOKUP(F839,'Dataset-3'!F230:X619,2,)</f>
        <v>Morning</v>
      </c>
      <c r="H839" s="38" t="b">
        <f>VLOOKUP(G839,'Dataset-3'!G230:Y619,2,)</f>
        <v>0</v>
      </c>
      <c r="I839" s="38">
        <f>VLOOKUP(H839,'Dataset-3'!H230:Z619,2,)</f>
        <v>1</v>
      </c>
      <c r="J839" s="41" t="str">
        <f>VLOOKUP(I839,'Dataset-3'!I230:AA619,2,)</f>
        <v>Sunday</v>
      </c>
      <c r="K839" s="38">
        <f>VLOOKUP(J839,'Dataset-3'!J230:AB619,2,)</f>
        <v>2</v>
      </c>
      <c r="L839" s="38">
        <f>VLOOKUP(K839,'Dataset-3'!K230:AC619,2,)</f>
        <v>0.16</v>
      </c>
      <c r="M839" s="70" t="str">
        <f>VLOOKUP(L839,'Dataset-3'!L230:AD619,2,)</f>
        <v>Rainy</v>
      </c>
      <c r="N839" s="38">
        <f>VLOOKUP(M839,'Dataset-3'!M230:AE619,2,)</f>
        <v>0.2273</v>
      </c>
      <c r="O839" s="38">
        <f>VLOOKUP(N839,'Dataset-3'!N230:AF619,2,)</f>
        <v>1</v>
      </c>
      <c r="P839" s="38">
        <f>VLOOKUP(O839,'Dataset-3'!O230:AG619,2,)</f>
        <v>0</v>
      </c>
      <c r="Q839" s="38">
        <f>VLOOKUP(P839,'Dataset-3'!P230:AH619,2,)</f>
        <v>7</v>
      </c>
      <c r="R839" s="38">
        <f>VLOOKUP(Q839,'Dataset-3'!Q230:AI619,2,)</f>
        <v>223</v>
      </c>
      <c r="S839" s="38">
        <f>VLOOKUP(R839,'Dataset-3'!R230:AJ619,2,)</f>
        <v>230</v>
      </c>
    </row>
    <row r="840" spans="1:19" x14ac:dyDescent="0.35">
      <c r="A840" s="37">
        <v>839</v>
      </c>
      <c r="B840" s="60">
        <f>VLOOKUP(A840,'Dataset-3'!A231:S620,2,)</f>
        <v>40581</v>
      </c>
      <c r="C840" s="38">
        <f>VLOOKUP(B840,'Dataset-3'!B231:T620,2,)</f>
        <v>1</v>
      </c>
      <c r="D840" s="38">
        <f>VLOOKUP(C840,'Dataset-3'!C231:U620,2,)</f>
        <v>0</v>
      </c>
      <c r="E840" s="38">
        <f>VLOOKUP(D840,'Dataset-3'!D231:V620,2,)</f>
        <v>2</v>
      </c>
      <c r="F840" s="38">
        <f>VLOOKUP(E840,'Dataset-3'!E231:W620,2,)</f>
        <v>9</v>
      </c>
      <c r="G840" s="41" t="str">
        <f>VLOOKUP(F840,'Dataset-3'!F231:X620,2,)</f>
        <v>Morning</v>
      </c>
      <c r="H840" s="38" t="b">
        <f>VLOOKUP(G840,'Dataset-3'!G231:Y620,2,)</f>
        <v>0</v>
      </c>
      <c r="I840" s="38">
        <f>VLOOKUP(H840,'Dataset-3'!H231:Z620,2,)</f>
        <v>1</v>
      </c>
      <c r="J840" s="41" t="str">
        <f>VLOOKUP(I840,'Dataset-3'!I231:AA620,2,)</f>
        <v>Sunday</v>
      </c>
      <c r="K840" s="38">
        <f>VLOOKUP(J840,'Dataset-3'!J231:AB620,2,)</f>
        <v>1</v>
      </c>
      <c r="L840" s="38">
        <f>VLOOKUP(K840,'Dataset-3'!K231:AC620,2,)</f>
        <v>0.22</v>
      </c>
      <c r="M840" s="70" t="str">
        <f>VLOOKUP(L840,'Dataset-3'!L231:AD620,2,)</f>
        <v>Cloudy</v>
      </c>
      <c r="N840" s="38">
        <f>VLOOKUP(M840,'Dataset-3'!M231:AE620,2,)</f>
        <v>0.2727</v>
      </c>
      <c r="O840" s="38">
        <f>VLOOKUP(N840,'Dataset-3'!N231:AF620,2,)</f>
        <v>0.8</v>
      </c>
      <c r="P840" s="38">
        <f>VLOOKUP(O840,'Dataset-3'!O231:AG620,2,)</f>
        <v>0</v>
      </c>
      <c r="Q840" s="38">
        <f>VLOOKUP(P840,'Dataset-3'!P231:AH620,2,)</f>
        <v>3</v>
      </c>
      <c r="R840" s="38">
        <f>VLOOKUP(Q840,'Dataset-3'!Q231:AI620,2,)</f>
        <v>115</v>
      </c>
      <c r="S840" s="38">
        <f>VLOOKUP(R840,'Dataset-3'!R231:AJ620,2,)</f>
        <v>118</v>
      </c>
    </row>
    <row r="841" spans="1:19" x14ac:dyDescent="0.35">
      <c r="A841" s="37">
        <v>840</v>
      </c>
      <c r="B841" s="60">
        <f>VLOOKUP(A841,'Dataset-3'!A232:S621,2,)</f>
        <v>40581</v>
      </c>
      <c r="C841" s="38">
        <f>VLOOKUP(B841,'Dataset-3'!B232:T621,2,)</f>
        <v>1</v>
      </c>
      <c r="D841" s="38">
        <f>VLOOKUP(C841,'Dataset-3'!C232:U621,2,)</f>
        <v>0</v>
      </c>
      <c r="E841" s="38">
        <f>VLOOKUP(D841,'Dataset-3'!D232:V621,2,)</f>
        <v>2</v>
      </c>
      <c r="F841" s="38">
        <f>VLOOKUP(E841,'Dataset-3'!E232:W621,2,)</f>
        <v>10</v>
      </c>
      <c r="G841" s="41" t="str">
        <f>VLOOKUP(F841,'Dataset-3'!F232:X621,2,)</f>
        <v>Morning</v>
      </c>
      <c r="H841" s="38" t="b">
        <f>VLOOKUP(G841,'Dataset-3'!G232:Y621,2,)</f>
        <v>0</v>
      </c>
      <c r="I841" s="38">
        <f>VLOOKUP(H841,'Dataset-3'!H232:Z621,2,)</f>
        <v>1</v>
      </c>
      <c r="J841" s="41" t="str">
        <f>VLOOKUP(I841,'Dataset-3'!I232:AA621,2,)</f>
        <v>Sunday</v>
      </c>
      <c r="K841" s="38">
        <f>VLOOKUP(J841,'Dataset-3'!J232:AB621,2,)</f>
        <v>1</v>
      </c>
      <c r="L841" s="38">
        <f>VLOOKUP(K841,'Dataset-3'!K232:AC621,2,)</f>
        <v>0.24</v>
      </c>
      <c r="M841" s="70" t="str">
        <f>VLOOKUP(L841,'Dataset-3'!L232:AD621,2,)</f>
        <v>Cloudy</v>
      </c>
      <c r="N841" s="38">
        <f>VLOOKUP(M841,'Dataset-3'!M232:AE621,2,)</f>
        <v>0.2576</v>
      </c>
      <c r="O841" s="38">
        <f>VLOOKUP(N841,'Dataset-3'!N232:AF621,2,)</f>
        <v>0.75</v>
      </c>
      <c r="P841" s="38">
        <f>VLOOKUP(O841,'Dataset-3'!O232:AG621,2,)</f>
        <v>0.1045</v>
      </c>
      <c r="Q841" s="38">
        <f>VLOOKUP(P841,'Dataset-3'!P232:AH621,2,)</f>
        <v>6</v>
      </c>
      <c r="R841" s="38">
        <f>VLOOKUP(Q841,'Dataset-3'!Q232:AI621,2,)</f>
        <v>49</v>
      </c>
      <c r="S841" s="38">
        <f>VLOOKUP(R841,'Dataset-3'!R232:AJ621,2,)</f>
        <v>55</v>
      </c>
    </row>
    <row r="842" spans="1:19" x14ac:dyDescent="0.35">
      <c r="A842" s="37">
        <v>841</v>
      </c>
      <c r="B842" s="60">
        <f>VLOOKUP(A842,'Dataset-3'!A233:S622,2,)</f>
        <v>40581</v>
      </c>
      <c r="C842" s="38">
        <f>VLOOKUP(B842,'Dataset-3'!B233:T622,2,)</f>
        <v>1</v>
      </c>
      <c r="D842" s="38">
        <f>VLOOKUP(C842,'Dataset-3'!C233:U622,2,)</f>
        <v>0</v>
      </c>
      <c r="E842" s="38">
        <f>VLOOKUP(D842,'Dataset-3'!D233:V622,2,)</f>
        <v>2</v>
      </c>
      <c r="F842" s="38">
        <f>VLOOKUP(E842,'Dataset-3'!E233:W622,2,)</f>
        <v>11</v>
      </c>
      <c r="G842" s="41" t="str">
        <f>VLOOKUP(F842,'Dataset-3'!F233:X622,2,)</f>
        <v>Morning</v>
      </c>
      <c r="H842" s="38" t="b">
        <f>VLOOKUP(G842,'Dataset-3'!G233:Y622,2,)</f>
        <v>0</v>
      </c>
      <c r="I842" s="38">
        <f>VLOOKUP(H842,'Dataset-3'!H233:Z622,2,)</f>
        <v>1</v>
      </c>
      <c r="J842" s="41" t="str">
        <f>VLOOKUP(I842,'Dataset-3'!I233:AA622,2,)</f>
        <v>Sunday</v>
      </c>
      <c r="K842" s="38">
        <f>VLOOKUP(J842,'Dataset-3'!J233:AB622,2,)</f>
        <v>1</v>
      </c>
      <c r="L842" s="38">
        <f>VLOOKUP(K842,'Dataset-3'!K233:AC622,2,)</f>
        <v>0.3</v>
      </c>
      <c r="M842" s="70" t="str">
        <f>VLOOKUP(L842,'Dataset-3'!L233:AD622,2,)</f>
        <v>Cloudy</v>
      </c>
      <c r="N842" s="38">
        <f>VLOOKUP(M842,'Dataset-3'!M233:AE622,2,)</f>
        <v>0.31819999999999998</v>
      </c>
      <c r="O842" s="38">
        <f>VLOOKUP(N842,'Dataset-3'!N233:AF622,2,)</f>
        <v>0.65</v>
      </c>
      <c r="P842" s="38">
        <f>VLOOKUP(O842,'Dataset-3'!O233:AG622,2,)</f>
        <v>8.9599999999999999E-2</v>
      </c>
      <c r="Q842" s="38">
        <f>VLOOKUP(P842,'Dataset-3'!P233:AH622,2,)</f>
        <v>11</v>
      </c>
      <c r="R842" s="38">
        <f>VLOOKUP(Q842,'Dataset-3'!Q233:AI622,2,)</f>
        <v>36</v>
      </c>
      <c r="S842" s="38">
        <f>VLOOKUP(R842,'Dataset-3'!R233:AJ622,2,)</f>
        <v>47</v>
      </c>
    </row>
    <row r="843" spans="1:19" x14ac:dyDescent="0.35">
      <c r="A843" s="37">
        <v>842</v>
      </c>
      <c r="B843" s="60">
        <f>VLOOKUP(A843,'Dataset-3'!A234:S623,2,)</f>
        <v>40581</v>
      </c>
      <c r="C843" s="38">
        <f>VLOOKUP(B843,'Dataset-3'!B234:T623,2,)</f>
        <v>1</v>
      </c>
      <c r="D843" s="38">
        <f>VLOOKUP(C843,'Dataset-3'!C234:U623,2,)</f>
        <v>0</v>
      </c>
      <c r="E843" s="38">
        <f>VLOOKUP(D843,'Dataset-3'!D234:V623,2,)</f>
        <v>2</v>
      </c>
      <c r="F843" s="38">
        <f>VLOOKUP(E843,'Dataset-3'!E234:W623,2,)</f>
        <v>12</v>
      </c>
      <c r="G843" s="41" t="str">
        <f>VLOOKUP(F843,'Dataset-3'!F234:X623,2,)</f>
        <v>AfterNoon</v>
      </c>
      <c r="H843" s="38" t="b">
        <f>VLOOKUP(G843,'Dataset-3'!G234:Y623,2,)</f>
        <v>0</v>
      </c>
      <c r="I843" s="38">
        <f>VLOOKUP(H843,'Dataset-3'!H234:Z623,2,)</f>
        <v>1</v>
      </c>
      <c r="J843" s="41" t="str">
        <f>VLOOKUP(I843,'Dataset-3'!I234:AA623,2,)</f>
        <v>Sunday</v>
      </c>
      <c r="K843" s="38">
        <f>VLOOKUP(J843,'Dataset-3'!J234:AB623,2,)</f>
        <v>2</v>
      </c>
      <c r="L843" s="38">
        <f>VLOOKUP(K843,'Dataset-3'!K234:AC623,2,)</f>
        <v>0.32</v>
      </c>
      <c r="M843" s="70" t="str">
        <f>VLOOKUP(L843,'Dataset-3'!L234:AD623,2,)</f>
        <v>Sunny</v>
      </c>
      <c r="N843" s="38">
        <f>VLOOKUP(M843,'Dataset-3'!M234:AE623,2,)</f>
        <v>0.34849999999999998</v>
      </c>
      <c r="O843" s="38">
        <f>VLOOKUP(N843,'Dataset-3'!N234:AF623,2,)</f>
        <v>0.62</v>
      </c>
      <c r="P843" s="38">
        <f>VLOOKUP(O843,'Dataset-3'!O234:AG623,2,)</f>
        <v>0</v>
      </c>
      <c r="Q843" s="38">
        <f>VLOOKUP(P843,'Dataset-3'!P234:AH623,2,)</f>
        <v>7</v>
      </c>
      <c r="R843" s="38">
        <f>VLOOKUP(Q843,'Dataset-3'!Q234:AI623,2,)</f>
        <v>59</v>
      </c>
      <c r="S843" s="38">
        <f>VLOOKUP(R843,'Dataset-3'!R234:AJ623,2,)</f>
        <v>66</v>
      </c>
    </row>
    <row r="844" spans="1:19" x14ac:dyDescent="0.35">
      <c r="A844" s="37">
        <v>843</v>
      </c>
      <c r="B844" s="60">
        <f>VLOOKUP(A844,'Dataset-3'!A235:S624,2,)</f>
        <v>40581</v>
      </c>
      <c r="C844" s="38">
        <f>VLOOKUP(B844,'Dataset-3'!B235:T624,2,)</f>
        <v>1</v>
      </c>
      <c r="D844" s="38">
        <f>VLOOKUP(C844,'Dataset-3'!C235:U624,2,)</f>
        <v>0</v>
      </c>
      <c r="E844" s="38">
        <f>VLOOKUP(D844,'Dataset-3'!D235:V624,2,)</f>
        <v>2</v>
      </c>
      <c r="F844" s="38">
        <f>VLOOKUP(E844,'Dataset-3'!E235:W624,2,)</f>
        <v>13</v>
      </c>
      <c r="G844" s="41" t="str">
        <f>VLOOKUP(F844,'Dataset-3'!F235:X624,2,)</f>
        <v>AfterNoon</v>
      </c>
      <c r="H844" s="38" t="b">
        <f>VLOOKUP(G844,'Dataset-3'!G235:Y624,2,)</f>
        <v>0</v>
      </c>
      <c r="I844" s="38">
        <f>VLOOKUP(H844,'Dataset-3'!H235:Z624,2,)</f>
        <v>1</v>
      </c>
      <c r="J844" s="41" t="str">
        <f>VLOOKUP(I844,'Dataset-3'!I235:AA624,2,)</f>
        <v>Sunday</v>
      </c>
      <c r="K844" s="38">
        <f>VLOOKUP(J844,'Dataset-3'!J235:AB624,2,)</f>
        <v>2</v>
      </c>
      <c r="L844" s="38">
        <f>VLOOKUP(K844,'Dataset-3'!K235:AC624,2,)</f>
        <v>0.36</v>
      </c>
      <c r="M844" s="70" t="str">
        <f>VLOOKUP(L844,'Dataset-3'!L235:AD624,2,)</f>
        <v>Sunny</v>
      </c>
      <c r="N844" s="38">
        <f>VLOOKUP(M844,'Dataset-3'!M235:AE624,2,)</f>
        <v>0.36359999999999998</v>
      </c>
      <c r="O844" s="38">
        <f>VLOOKUP(N844,'Dataset-3'!N235:AF624,2,)</f>
        <v>0.56999999999999995</v>
      </c>
      <c r="P844" s="38">
        <f>VLOOKUP(O844,'Dataset-3'!O235:AG624,2,)</f>
        <v>8.9599999999999999E-2</v>
      </c>
      <c r="Q844" s="38">
        <f>VLOOKUP(P844,'Dataset-3'!P235:AH624,2,)</f>
        <v>10</v>
      </c>
      <c r="R844" s="38">
        <f>VLOOKUP(Q844,'Dataset-3'!Q235:AI624,2,)</f>
        <v>54</v>
      </c>
      <c r="S844" s="38">
        <f>VLOOKUP(R844,'Dataset-3'!R235:AJ624,2,)</f>
        <v>64</v>
      </c>
    </row>
    <row r="845" spans="1:19" x14ac:dyDescent="0.35">
      <c r="A845" s="37">
        <v>844</v>
      </c>
      <c r="B845" s="60">
        <f>VLOOKUP(A845,'Dataset-3'!A236:S625,2,)</f>
        <v>40581</v>
      </c>
      <c r="C845" s="38">
        <f>VLOOKUP(B845,'Dataset-3'!B236:T625,2,)</f>
        <v>1</v>
      </c>
      <c r="D845" s="38">
        <f>VLOOKUP(C845,'Dataset-3'!C236:U625,2,)</f>
        <v>0</v>
      </c>
      <c r="E845" s="38">
        <f>VLOOKUP(D845,'Dataset-3'!D236:V625,2,)</f>
        <v>2</v>
      </c>
      <c r="F845" s="38">
        <f>VLOOKUP(E845,'Dataset-3'!E236:W625,2,)</f>
        <v>14</v>
      </c>
      <c r="G845" s="41" t="str">
        <f>VLOOKUP(F845,'Dataset-3'!F236:X625,2,)</f>
        <v>AfterNoon</v>
      </c>
      <c r="H845" s="38" t="b">
        <f>VLOOKUP(G845,'Dataset-3'!G236:Y625,2,)</f>
        <v>0</v>
      </c>
      <c r="I845" s="38">
        <f>VLOOKUP(H845,'Dataset-3'!H236:Z625,2,)</f>
        <v>1</v>
      </c>
      <c r="J845" s="41" t="str">
        <f>VLOOKUP(I845,'Dataset-3'!I236:AA625,2,)</f>
        <v>Sunday</v>
      </c>
      <c r="K845" s="38">
        <f>VLOOKUP(J845,'Dataset-3'!J236:AB625,2,)</f>
        <v>2</v>
      </c>
      <c r="L845" s="38">
        <f>VLOOKUP(K845,'Dataset-3'!K236:AC625,2,)</f>
        <v>0.36</v>
      </c>
      <c r="M845" s="70" t="str">
        <f>VLOOKUP(L845,'Dataset-3'!L236:AD625,2,)</f>
        <v>Sunny</v>
      </c>
      <c r="N845" s="38">
        <f>VLOOKUP(M845,'Dataset-3'!M236:AE625,2,)</f>
        <v>0.36359999999999998</v>
      </c>
      <c r="O845" s="38">
        <f>VLOOKUP(N845,'Dataset-3'!N236:AF625,2,)</f>
        <v>0.56999999999999995</v>
      </c>
      <c r="P845" s="38">
        <f>VLOOKUP(O845,'Dataset-3'!O236:AG625,2,)</f>
        <v>8.9599999999999999E-2</v>
      </c>
      <c r="Q845" s="38">
        <f>VLOOKUP(P845,'Dataset-3'!P236:AH625,2,)</f>
        <v>8</v>
      </c>
      <c r="R845" s="38">
        <f>VLOOKUP(Q845,'Dataset-3'!Q236:AI625,2,)</f>
        <v>52</v>
      </c>
      <c r="S845" s="38">
        <f>VLOOKUP(R845,'Dataset-3'!R236:AJ625,2,)</f>
        <v>60</v>
      </c>
    </row>
    <row r="846" spans="1:19" x14ac:dyDescent="0.35">
      <c r="A846" s="37">
        <v>845</v>
      </c>
      <c r="B846" s="60">
        <f>VLOOKUP(A846,'Dataset-3'!A237:S626,2,)</f>
        <v>40581</v>
      </c>
      <c r="C846" s="38">
        <f>VLOOKUP(B846,'Dataset-3'!B237:T626,2,)</f>
        <v>1</v>
      </c>
      <c r="D846" s="38">
        <f>VLOOKUP(C846,'Dataset-3'!C237:U626,2,)</f>
        <v>0</v>
      </c>
      <c r="E846" s="38">
        <f>VLOOKUP(D846,'Dataset-3'!D237:V626,2,)</f>
        <v>2</v>
      </c>
      <c r="F846" s="38">
        <f>VLOOKUP(E846,'Dataset-3'!E237:W626,2,)</f>
        <v>15</v>
      </c>
      <c r="G846" s="41" t="str">
        <f>VLOOKUP(F846,'Dataset-3'!F237:X626,2,)</f>
        <v>AfterNoon</v>
      </c>
      <c r="H846" s="38" t="b">
        <f>VLOOKUP(G846,'Dataset-3'!G237:Y626,2,)</f>
        <v>0</v>
      </c>
      <c r="I846" s="38">
        <f>VLOOKUP(H846,'Dataset-3'!H237:Z626,2,)</f>
        <v>1</v>
      </c>
      <c r="J846" s="41" t="str">
        <f>VLOOKUP(I846,'Dataset-3'!I237:AA626,2,)</f>
        <v>Sunday</v>
      </c>
      <c r="K846" s="38">
        <f>VLOOKUP(J846,'Dataset-3'!J237:AB626,2,)</f>
        <v>2</v>
      </c>
      <c r="L846" s="38">
        <f>VLOOKUP(K846,'Dataset-3'!K237:AC626,2,)</f>
        <v>0.38</v>
      </c>
      <c r="M846" s="70" t="str">
        <f>VLOOKUP(L846,'Dataset-3'!L237:AD626,2,)</f>
        <v>Sunny</v>
      </c>
      <c r="N846" s="38">
        <f>VLOOKUP(M846,'Dataset-3'!M237:AE626,2,)</f>
        <v>0.39389999999999997</v>
      </c>
      <c r="O846" s="38">
        <f>VLOOKUP(N846,'Dataset-3'!N237:AF626,2,)</f>
        <v>0.54</v>
      </c>
      <c r="P846" s="38">
        <f>VLOOKUP(O846,'Dataset-3'!O237:AG626,2,)</f>
        <v>8.9599999999999999E-2</v>
      </c>
      <c r="Q846" s="38">
        <f>VLOOKUP(P846,'Dataset-3'!P237:AH626,2,)</f>
        <v>4</v>
      </c>
      <c r="R846" s="38">
        <f>VLOOKUP(Q846,'Dataset-3'!Q237:AI626,2,)</f>
        <v>46</v>
      </c>
      <c r="S846" s="38">
        <f>VLOOKUP(R846,'Dataset-3'!R237:AJ626,2,)</f>
        <v>50</v>
      </c>
    </row>
    <row r="847" spans="1:19" x14ac:dyDescent="0.35">
      <c r="A847" s="37">
        <v>846</v>
      </c>
      <c r="B847" s="60">
        <f>VLOOKUP(A847,'Dataset-3'!A238:S627,2,)</f>
        <v>40581</v>
      </c>
      <c r="C847" s="38">
        <f>VLOOKUP(B847,'Dataset-3'!B238:T627,2,)</f>
        <v>1</v>
      </c>
      <c r="D847" s="38">
        <f>VLOOKUP(C847,'Dataset-3'!C238:U627,2,)</f>
        <v>0</v>
      </c>
      <c r="E847" s="38">
        <f>VLOOKUP(D847,'Dataset-3'!D238:V627,2,)</f>
        <v>2</v>
      </c>
      <c r="F847" s="38">
        <f>VLOOKUP(E847,'Dataset-3'!E238:W627,2,)</f>
        <v>16</v>
      </c>
      <c r="G847" s="41" t="str">
        <f>VLOOKUP(F847,'Dataset-3'!F238:X627,2,)</f>
        <v>AfterNoon</v>
      </c>
      <c r="H847" s="38" t="b">
        <f>VLOOKUP(G847,'Dataset-3'!G238:Y627,2,)</f>
        <v>0</v>
      </c>
      <c r="I847" s="38">
        <f>VLOOKUP(H847,'Dataset-3'!H238:Z627,2,)</f>
        <v>1</v>
      </c>
      <c r="J847" s="41" t="str">
        <f>VLOOKUP(I847,'Dataset-3'!I238:AA627,2,)</f>
        <v>Sunday</v>
      </c>
      <c r="K847" s="38">
        <f>VLOOKUP(J847,'Dataset-3'!J238:AB627,2,)</f>
        <v>2</v>
      </c>
      <c r="L847" s="38">
        <f>VLOOKUP(K847,'Dataset-3'!K238:AC627,2,)</f>
        <v>0.36</v>
      </c>
      <c r="M847" s="70" t="str">
        <f>VLOOKUP(L847,'Dataset-3'!L238:AD627,2,)</f>
        <v>Sunny</v>
      </c>
      <c r="N847" s="38">
        <f>VLOOKUP(M847,'Dataset-3'!M238:AE627,2,)</f>
        <v>0.34849999999999998</v>
      </c>
      <c r="O847" s="38">
        <f>VLOOKUP(N847,'Dataset-3'!N238:AF627,2,)</f>
        <v>0.56999999999999995</v>
      </c>
      <c r="P847" s="38">
        <f>VLOOKUP(O847,'Dataset-3'!O238:AG627,2,)</f>
        <v>0.1343</v>
      </c>
      <c r="Q847" s="38">
        <f>VLOOKUP(P847,'Dataset-3'!P238:AH627,2,)</f>
        <v>16</v>
      </c>
      <c r="R847" s="38">
        <f>VLOOKUP(Q847,'Dataset-3'!Q238:AI627,2,)</f>
        <v>98</v>
      </c>
      <c r="S847" s="38">
        <f>VLOOKUP(R847,'Dataset-3'!R238:AJ627,2,)</f>
        <v>114</v>
      </c>
    </row>
    <row r="848" spans="1:19" x14ac:dyDescent="0.35">
      <c r="A848" s="37">
        <v>847</v>
      </c>
      <c r="B848" s="60">
        <f>VLOOKUP(A848,'Dataset-3'!A239:S628,2,)</f>
        <v>40581</v>
      </c>
      <c r="C848" s="38">
        <f>VLOOKUP(B848,'Dataset-3'!B239:T628,2,)</f>
        <v>1</v>
      </c>
      <c r="D848" s="38">
        <f>VLOOKUP(C848,'Dataset-3'!C239:U628,2,)</f>
        <v>0</v>
      </c>
      <c r="E848" s="38">
        <f>VLOOKUP(D848,'Dataset-3'!D239:V628,2,)</f>
        <v>2</v>
      </c>
      <c r="F848" s="38">
        <f>VLOOKUP(E848,'Dataset-3'!E239:W628,2,)</f>
        <v>17</v>
      </c>
      <c r="G848" s="41" t="str">
        <f>VLOOKUP(F848,'Dataset-3'!F239:X628,2,)</f>
        <v>Evening</v>
      </c>
      <c r="H848" s="38" t="b">
        <f>VLOOKUP(G848,'Dataset-3'!G239:Y628,2,)</f>
        <v>0</v>
      </c>
      <c r="I848" s="38">
        <f>VLOOKUP(H848,'Dataset-3'!H239:Z628,2,)</f>
        <v>1</v>
      </c>
      <c r="J848" s="41" t="str">
        <f>VLOOKUP(I848,'Dataset-3'!I239:AA628,2,)</f>
        <v>Sunday</v>
      </c>
      <c r="K848" s="38">
        <f>VLOOKUP(J848,'Dataset-3'!J239:AB628,2,)</f>
        <v>2</v>
      </c>
      <c r="L848" s="38">
        <f>VLOOKUP(K848,'Dataset-3'!K239:AC628,2,)</f>
        <v>0.32</v>
      </c>
      <c r="M848" s="70" t="str">
        <f>VLOOKUP(L848,'Dataset-3'!L239:AD628,2,)</f>
        <v>Sunny</v>
      </c>
      <c r="N848" s="38">
        <f>VLOOKUP(M848,'Dataset-3'!M239:AE628,2,)</f>
        <v>0.31819999999999998</v>
      </c>
      <c r="O848" s="38">
        <f>VLOOKUP(N848,'Dataset-3'!N239:AF628,2,)</f>
        <v>0.7</v>
      </c>
      <c r="P848" s="38">
        <f>VLOOKUP(O848,'Dataset-3'!O239:AG628,2,)</f>
        <v>0.16420000000000001</v>
      </c>
      <c r="Q848" s="38">
        <f>VLOOKUP(P848,'Dataset-3'!P239:AH628,2,)</f>
        <v>9</v>
      </c>
      <c r="R848" s="38">
        <f>VLOOKUP(Q848,'Dataset-3'!Q239:AI628,2,)</f>
        <v>207</v>
      </c>
      <c r="S848" s="38">
        <f>VLOOKUP(R848,'Dataset-3'!R239:AJ628,2,)</f>
        <v>216</v>
      </c>
    </row>
    <row r="849" spans="1:19" x14ac:dyDescent="0.35">
      <c r="A849" s="37">
        <v>848</v>
      </c>
      <c r="B849" s="60">
        <f>VLOOKUP(A849,'Dataset-3'!A240:S629,2,)</f>
        <v>40581</v>
      </c>
      <c r="C849" s="38">
        <f>VLOOKUP(B849,'Dataset-3'!B240:T629,2,)</f>
        <v>1</v>
      </c>
      <c r="D849" s="38">
        <f>VLOOKUP(C849,'Dataset-3'!C240:U629,2,)</f>
        <v>0</v>
      </c>
      <c r="E849" s="38">
        <f>VLOOKUP(D849,'Dataset-3'!D240:V629,2,)</f>
        <v>2</v>
      </c>
      <c r="F849" s="38">
        <f>VLOOKUP(E849,'Dataset-3'!E240:W629,2,)</f>
        <v>18</v>
      </c>
      <c r="G849" s="41" t="str">
        <f>VLOOKUP(F849,'Dataset-3'!F240:X629,2,)</f>
        <v>Evening</v>
      </c>
      <c r="H849" s="38" t="b">
        <f>VLOOKUP(G849,'Dataset-3'!G240:Y629,2,)</f>
        <v>0</v>
      </c>
      <c r="I849" s="38">
        <f>VLOOKUP(H849,'Dataset-3'!H240:Z629,2,)</f>
        <v>1</v>
      </c>
      <c r="J849" s="41" t="str">
        <f>VLOOKUP(I849,'Dataset-3'!I240:AA629,2,)</f>
        <v>Sunday</v>
      </c>
      <c r="K849" s="38">
        <f>VLOOKUP(J849,'Dataset-3'!J240:AB629,2,)</f>
        <v>2</v>
      </c>
      <c r="L849" s="38">
        <f>VLOOKUP(K849,'Dataset-3'!K240:AC629,2,)</f>
        <v>0.34</v>
      </c>
      <c r="M849" s="70" t="str">
        <f>VLOOKUP(L849,'Dataset-3'!L240:AD629,2,)</f>
        <v>Sunny</v>
      </c>
      <c r="N849" s="38">
        <f>VLOOKUP(M849,'Dataset-3'!M240:AE629,2,)</f>
        <v>0.33329999999999999</v>
      </c>
      <c r="O849" s="38">
        <f>VLOOKUP(N849,'Dataset-3'!N240:AF629,2,)</f>
        <v>0.66</v>
      </c>
      <c r="P849" s="38">
        <f>VLOOKUP(O849,'Dataset-3'!O240:AG629,2,)</f>
        <v>0.1343</v>
      </c>
      <c r="Q849" s="38">
        <f>VLOOKUP(P849,'Dataset-3'!P240:AH629,2,)</f>
        <v>5</v>
      </c>
      <c r="R849" s="38">
        <f>VLOOKUP(Q849,'Dataset-3'!Q240:AI629,2,)</f>
        <v>170</v>
      </c>
      <c r="S849" s="38">
        <f>VLOOKUP(R849,'Dataset-3'!R240:AJ629,2,)</f>
        <v>175</v>
      </c>
    </row>
    <row r="850" spans="1:19" x14ac:dyDescent="0.35">
      <c r="A850" s="37">
        <v>849</v>
      </c>
      <c r="B850" s="60">
        <f>VLOOKUP(A850,'Dataset-3'!A241:S630,2,)</f>
        <v>40581</v>
      </c>
      <c r="C850" s="38">
        <f>VLOOKUP(B850,'Dataset-3'!B241:T630,2,)</f>
        <v>1</v>
      </c>
      <c r="D850" s="38">
        <f>VLOOKUP(C850,'Dataset-3'!C241:U630,2,)</f>
        <v>0</v>
      </c>
      <c r="E850" s="38">
        <f>VLOOKUP(D850,'Dataset-3'!D241:V630,2,)</f>
        <v>2</v>
      </c>
      <c r="F850" s="38">
        <f>VLOOKUP(E850,'Dataset-3'!E241:W630,2,)</f>
        <v>19</v>
      </c>
      <c r="G850" s="41" t="str">
        <f>VLOOKUP(F850,'Dataset-3'!F241:X630,2,)</f>
        <v>Evening</v>
      </c>
      <c r="H850" s="38" t="b">
        <f>VLOOKUP(G850,'Dataset-3'!G241:Y630,2,)</f>
        <v>0</v>
      </c>
      <c r="I850" s="38">
        <f>VLOOKUP(H850,'Dataset-3'!H241:Z630,2,)</f>
        <v>1</v>
      </c>
      <c r="J850" s="41" t="str">
        <f>VLOOKUP(I850,'Dataset-3'!I241:AA630,2,)</f>
        <v>Sunday</v>
      </c>
      <c r="K850" s="38">
        <f>VLOOKUP(J850,'Dataset-3'!J241:AB630,2,)</f>
        <v>2</v>
      </c>
      <c r="L850" s="38">
        <f>VLOOKUP(K850,'Dataset-3'!K241:AC630,2,)</f>
        <v>0.32</v>
      </c>
      <c r="M850" s="70" t="str">
        <f>VLOOKUP(L850,'Dataset-3'!L241:AD630,2,)</f>
        <v>Sunny</v>
      </c>
      <c r="N850" s="38">
        <f>VLOOKUP(M850,'Dataset-3'!M241:AE630,2,)</f>
        <v>0.34849999999999998</v>
      </c>
      <c r="O850" s="38">
        <f>VLOOKUP(N850,'Dataset-3'!N241:AF630,2,)</f>
        <v>0.7</v>
      </c>
      <c r="P850" s="38">
        <f>VLOOKUP(O850,'Dataset-3'!O241:AG630,2,)</f>
        <v>0</v>
      </c>
      <c r="Q850" s="38">
        <f>VLOOKUP(P850,'Dataset-3'!P241:AH630,2,)</f>
        <v>5</v>
      </c>
      <c r="R850" s="38">
        <f>VLOOKUP(Q850,'Dataset-3'!Q241:AI630,2,)</f>
        <v>123</v>
      </c>
      <c r="S850" s="38">
        <f>VLOOKUP(R850,'Dataset-3'!R241:AJ630,2,)</f>
        <v>128</v>
      </c>
    </row>
    <row r="851" spans="1:19" x14ac:dyDescent="0.35">
      <c r="A851" s="37">
        <v>850</v>
      </c>
      <c r="B851" s="60">
        <f>VLOOKUP(A851,'Dataset-3'!A242:S631,2,)</f>
        <v>40581</v>
      </c>
      <c r="C851" s="38">
        <f>VLOOKUP(B851,'Dataset-3'!B242:T631,2,)</f>
        <v>1</v>
      </c>
      <c r="D851" s="38">
        <f>VLOOKUP(C851,'Dataset-3'!C242:U631,2,)</f>
        <v>0</v>
      </c>
      <c r="E851" s="38">
        <f>VLOOKUP(D851,'Dataset-3'!D242:V631,2,)</f>
        <v>2</v>
      </c>
      <c r="F851" s="38">
        <f>VLOOKUP(E851,'Dataset-3'!E242:W631,2,)</f>
        <v>20</v>
      </c>
      <c r="G851" s="41" t="str">
        <f>VLOOKUP(F851,'Dataset-3'!F242:X631,2,)</f>
        <v>Night</v>
      </c>
      <c r="H851" s="38" t="b">
        <f>VLOOKUP(G851,'Dataset-3'!G242:Y631,2,)</f>
        <v>0</v>
      </c>
      <c r="I851" s="38">
        <f>VLOOKUP(H851,'Dataset-3'!H242:Z631,2,)</f>
        <v>1</v>
      </c>
      <c r="J851" s="41" t="str">
        <f>VLOOKUP(I851,'Dataset-3'!I242:AA631,2,)</f>
        <v>Sunday</v>
      </c>
      <c r="K851" s="38">
        <f>VLOOKUP(J851,'Dataset-3'!J242:AB631,2,)</f>
        <v>2</v>
      </c>
      <c r="L851" s="38">
        <f>VLOOKUP(K851,'Dataset-3'!K242:AC631,2,)</f>
        <v>0.32</v>
      </c>
      <c r="M851" s="70" t="str">
        <f>VLOOKUP(L851,'Dataset-3'!L242:AD631,2,)</f>
        <v>Sunny</v>
      </c>
      <c r="N851" s="38">
        <f>VLOOKUP(M851,'Dataset-3'!M242:AE631,2,)</f>
        <v>0.33329999999999999</v>
      </c>
      <c r="O851" s="38">
        <f>VLOOKUP(N851,'Dataset-3'!N242:AF631,2,)</f>
        <v>0.7</v>
      </c>
      <c r="P851" s="38">
        <f>VLOOKUP(O851,'Dataset-3'!O242:AG631,2,)</f>
        <v>0.1045</v>
      </c>
      <c r="Q851" s="38">
        <f>VLOOKUP(P851,'Dataset-3'!P242:AH631,2,)</f>
        <v>6</v>
      </c>
      <c r="R851" s="38">
        <f>VLOOKUP(Q851,'Dataset-3'!Q242:AI631,2,)</f>
        <v>82</v>
      </c>
      <c r="S851" s="38">
        <f>VLOOKUP(R851,'Dataset-3'!R242:AJ631,2,)</f>
        <v>88</v>
      </c>
    </row>
    <row r="852" spans="1:19" x14ac:dyDescent="0.35">
      <c r="A852" s="37">
        <v>851</v>
      </c>
      <c r="B852" s="60">
        <f>VLOOKUP(A852,'Dataset-3'!A243:S632,2,)</f>
        <v>40581</v>
      </c>
      <c r="C852" s="38">
        <f>VLOOKUP(B852,'Dataset-3'!B243:T632,2,)</f>
        <v>1</v>
      </c>
      <c r="D852" s="38">
        <f>VLOOKUP(C852,'Dataset-3'!C243:U632,2,)</f>
        <v>0</v>
      </c>
      <c r="E852" s="38">
        <f>VLOOKUP(D852,'Dataset-3'!D243:V632,2,)</f>
        <v>2</v>
      </c>
      <c r="F852" s="38">
        <f>VLOOKUP(E852,'Dataset-3'!E243:W632,2,)</f>
        <v>21</v>
      </c>
      <c r="G852" s="41" t="str">
        <f>VLOOKUP(F852,'Dataset-3'!F243:X632,2,)</f>
        <v>Night</v>
      </c>
      <c r="H852" s="38" t="b">
        <f>VLOOKUP(G852,'Dataset-3'!G243:Y632,2,)</f>
        <v>0</v>
      </c>
      <c r="I852" s="38">
        <f>VLOOKUP(H852,'Dataset-3'!H243:Z632,2,)</f>
        <v>1</v>
      </c>
      <c r="J852" s="41" t="str">
        <f>VLOOKUP(I852,'Dataset-3'!I243:AA632,2,)</f>
        <v>Sunday</v>
      </c>
      <c r="K852" s="38">
        <f>VLOOKUP(J852,'Dataset-3'!J243:AB632,2,)</f>
        <v>1</v>
      </c>
      <c r="L852" s="38">
        <f>VLOOKUP(K852,'Dataset-3'!K243:AC632,2,)</f>
        <v>0.32</v>
      </c>
      <c r="M852" s="70" t="str">
        <f>VLOOKUP(L852,'Dataset-3'!L243:AD632,2,)</f>
        <v>Sunny</v>
      </c>
      <c r="N852" s="38">
        <f>VLOOKUP(M852,'Dataset-3'!M243:AE632,2,)</f>
        <v>0.34849999999999998</v>
      </c>
      <c r="O852" s="38">
        <f>VLOOKUP(N852,'Dataset-3'!N243:AF632,2,)</f>
        <v>0.7</v>
      </c>
      <c r="P852" s="38">
        <f>VLOOKUP(O852,'Dataset-3'!O243:AG632,2,)</f>
        <v>0</v>
      </c>
      <c r="Q852" s="38">
        <f>VLOOKUP(P852,'Dataset-3'!P243:AH632,2,)</f>
        <v>3</v>
      </c>
      <c r="R852" s="38">
        <f>VLOOKUP(Q852,'Dataset-3'!Q243:AI632,2,)</f>
        <v>75</v>
      </c>
      <c r="S852" s="38">
        <f>VLOOKUP(R852,'Dataset-3'!R243:AJ632,2,)</f>
        <v>78</v>
      </c>
    </row>
    <row r="853" spans="1:19" x14ac:dyDescent="0.35">
      <c r="A853" s="37">
        <v>852</v>
      </c>
      <c r="B853" s="60">
        <f>VLOOKUP(A853,'Dataset-3'!A244:S633,2,)</f>
        <v>40581</v>
      </c>
      <c r="C853" s="38">
        <f>VLOOKUP(B853,'Dataset-3'!B244:T633,2,)</f>
        <v>1</v>
      </c>
      <c r="D853" s="38">
        <f>VLOOKUP(C853,'Dataset-3'!C244:U633,2,)</f>
        <v>0</v>
      </c>
      <c r="E853" s="38">
        <f>VLOOKUP(D853,'Dataset-3'!D244:V633,2,)</f>
        <v>2</v>
      </c>
      <c r="F853" s="38">
        <f>VLOOKUP(E853,'Dataset-3'!E244:W633,2,)</f>
        <v>22</v>
      </c>
      <c r="G853" s="41" t="str">
        <f>VLOOKUP(F853,'Dataset-3'!F244:X633,2,)</f>
        <v>Night</v>
      </c>
      <c r="H853" s="38" t="b">
        <f>VLOOKUP(G853,'Dataset-3'!G244:Y633,2,)</f>
        <v>0</v>
      </c>
      <c r="I853" s="38">
        <f>VLOOKUP(H853,'Dataset-3'!H244:Z633,2,)</f>
        <v>1</v>
      </c>
      <c r="J853" s="41" t="str">
        <f>VLOOKUP(I853,'Dataset-3'!I244:AA633,2,)</f>
        <v>Sunday</v>
      </c>
      <c r="K853" s="38">
        <f>VLOOKUP(J853,'Dataset-3'!J244:AB633,2,)</f>
        <v>1</v>
      </c>
      <c r="L853" s="38">
        <f>VLOOKUP(K853,'Dataset-3'!K244:AC633,2,)</f>
        <v>0.28000000000000003</v>
      </c>
      <c r="M853" s="70" t="str">
        <f>VLOOKUP(L853,'Dataset-3'!L244:AD633,2,)</f>
        <v>Cloudy</v>
      </c>
      <c r="N853" s="38">
        <f>VLOOKUP(M853,'Dataset-3'!M244:AE633,2,)</f>
        <v>0.30299999999999999</v>
      </c>
      <c r="O853" s="38">
        <f>VLOOKUP(N853,'Dataset-3'!N244:AF633,2,)</f>
        <v>0.81</v>
      </c>
      <c r="P853" s="38">
        <f>VLOOKUP(O853,'Dataset-3'!O244:AG633,2,)</f>
        <v>8.9599999999999999E-2</v>
      </c>
      <c r="Q853" s="38">
        <f>VLOOKUP(P853,'Dataset-3'!P244:AH633,2,)</f>
        <v>3</v>
      </c>
      <c r="R853" s="38">
        <f>VLOOKUP(Q853,'Dataset-3'!Q244:AI633,2,)</f>
        <v>34</v>
      </c>
      <c r="S853" s="38">
        <f>VLOOKUP(R853,'Dataset-3'!R244:AJ633,2,)</f>
        <v>37</v>
      </c>
    </row>
    <row r="854" spans="1:19" x14ac:dyDescent="0.35">
      <c r="A854" s="37">
        <v>853</v>
      </c>
      <c r="B854" s="60">
        <f>VLOOKUP(A854,'Dataset-3'!A245:S634,2,)</f>
        <v>40581</v>
      </c>
      <c r="C854" s="38">
        <f>VLOOKUP(B854,'Dataset-3'!B245:T634,2,)</f>
        <v>1</v>
      </c>
      <c r="D854" s="38">
        <f>VLOOKUP(C854,'Dataset-3'!C245:U634,2,)</f>
        <v>0</v>
      </c>
      <c r="E854" s="38">
        <f>VLOOKUP(D854,'Dataset-3'!D245:V634,2,)</f>
        <v>2</v>
      </c>
      <c r="F854" s="38">
        <f>VLOOKUP(E854,'Dataset-3'!E245:W634,2,)</f>
        <v>23</v>
      </c>
      <c r="G854" s="41" t="str">
        <f>VLOOKUP(F854,'Dataset-3'!F245:X634,2,)</f>
        <v>Night</v>
      </c>
      <c r="H854" s="38" t="b">
        <f>VLOOKUP(G854,'Dataset-3'!G245:Y634,2,)</f>
        <v>0</v>
      </c>
      <c r="I854" s="38">
        <f>VLOOKUP(H854,'Dataset-3'!H245:Z634,2,)</f>
        <v>1</v>
      </c>
      <c r="J854" s="41" t="str">
        <f>VLOOKUP(I854,'Dataset-3'!I245:AA634,2,)</f>
        <v>Sunday</v>
      </c>
      <c r="K854" s="38">
        <f>VLOOKUP(J854,'Dataset-3'!J245:AB634,2,)</f>
        <v>2</v>
      </c>
      <c r="L854" s="38">
        <f>VLOOKUP(K854,'Dataset-3'!K245:AC634,2,)</f>
        <v>0.3</v>
      </c>
      <c r="M854" s="70" t="str">
        <f>VLOOKUP(L854,'Dataset-3'!L245:AD634,2,)</f>
        <v>Cloudy</v>
      </c>
      <c r="N854" s="38">
        <f>VLOOKUP(M854,'Dataset-3'!M245:AE634,2,)</f>
        <v>0.33329999999999999</v>
      </c>
      <c r="O854" s="38">
        <f>VLOOKUP(N854,'Dataset-3'!N245:AF634,2,)</f>
        <v>0.81</v>
      </c>
      <c r="P854" s="38">
        <f>VLOOKUP(O854,'Dataset-3'!O245:AG634,2,)</f>
        <v>0</v>
      </c>
      <c r="Q854" s="38">
        <f>VLOOKUP(P854,'Dataset-3'!P245:AH634,2,)</f>
        <v>6</v>
      </c>
      <c r="R854" s="38">
        <f>VLOOKUP(Q854,'Dataset-3'!Q245:AI634,2,)</f>
        <v>19</v>
      </c>
      <c r="S854" s="38">
        <f>VLOOKUP(R854,'Dataset-3'!R245:AJ634,2,)</f>
        <v>25</v>
      </c>
    </row>
    <row r="855" spans="1:19" x14ac:dyDescent="0.35">
      <c r="A855" s="37">
        <v>854</v>
      </c>
      <c r="B855" s="60">
        <f>VLOOKUP(A855,'Dataset-3'!A246:S635,2,)</f>
        <v>40582</v>
      </c>
      <c r="C855" s="38">
        <f>VLOOKUP(B855,'Dataset-3'!B246:T635,2,)</f>
        <v>1</v>
      </c>
      <c r="D855" s="38">
        <f>VLOOKUP(C855,'Dataset-3'!C246:U635,2,)</f>
        <v>0</v>
      </c>
      <c r="E855" s="38">
        <f>VLOOKUP(D855,'Dataset-3'!D246:V635,2,)</f>
        <v>2</v>
      </c>
      <c r="F855" s="38">
        <f>VLOOKUP(E855,'Dataset-3'!E246:W635,2,)</f>
        <v>0</v>
      </c>
      <c r="G855" s="41" t="str">
        <f>VLOOKUP(F855,'Dataset-3'!F246:X635,2,)</f>
        <v>Night</v>
      </c>
      <c r="H855" s="38" t="b">
        <f>VLOOKUP(G855,'Dataset-3'!G246:Y635,2,)</f>
        <v>0</v>
      </c>
      <c r="I855" s="38">
        <f>VLOOKUP(H855,'Dataset-3'!H246:Z635,2,)</f>
        <v>2</v>
      </c>
      <c r="J855" s="41" t="str">
        <f>VLOOKUP(I855,'Dataset-3'!I246:AA635,2,)</f>
        <v>Monday</v>
      </c>
      <c r="K855" s="38">
        <f>VLOOKUP(J855,'Dataset-3'!J246:AB635,2,)</f>
        <v>2</v>
      </c>
      <c r="L855" s="38">
        <f>VLOOKUP(K855,'Dataset-3'!K246:AC635,2,)</f>
        <v>0.28000000000000003</v>
      </c>
      <c r="M855" s="70" t="str">
        <f>VLOOKUP(L855,'Dataset-3'!L246:AD635,2,)</f>
        <v>Cloudy</v>
      </c>
      <c r="N855" s="38">
        <f>VLOOKUP(M855,'Dataset-3'!M246:AE635,2,)</f>
        <v>0.31819999999999998</v>
      </c>
      <c r="O855" s="38">
        <f>VLOOKUP(N855,'Dataset-3'!N246:AF635,2,)</f>
        <v>0.87</v>
      </c>
      <c r="P855" s="38">
        <f>VLOOKUP(O855,'Dataset-3'!O246:AG635,2,)</f>
        <v>0</v>
      </c>
      <c r="Q855" s="38">
        <f>VLOOKUP(P855,'Dataset-3'!P246:AH635,2,)</f>
        <v>4</v>
      </c>
      <c r="R855" s="38">
        <f>VLOOKUP(Q855,'Dataset-3'!Q246:AI635,2,)</f>
        <v>6</v>
      </c>
      <c r="S855" s="38">
        <f>VLOOKUP(R855,'Dataset-3'!R246:AJ635,2,)</f>
        <v>10</v>
      </c>
    </row>
    <row r="856" spans="1:19" x14ac:dyDescent="0.35">
      <c r="A856" s="37">
        <v>855</v>
      </c>
      <c r="B856" s="60">
        <f>VLOOKUP(A856,'Dataset-3'!A247:S636,2,)</f>
        <v>40582</v>
      </c>
      <c r="C856" s="38">
        <f>VLOOKUP(B856,'Dataset-3'!B247:T636,2,)</f>
        <v>1</v>
      </c>
      <c r="D856" s="38">
        <f>VLOOKUP(C856,'Dataset-3'!C247:U636,2,)</f>
        <v>0</v>
      </c>
      <c r="E856" s="38">
        <f>VLOOKUP(D856,'Dataset-3'!D247:V636,2,)</f>
        <v>2</v>
      </c>
      <c r="F856" s="38">
        <f>VLOOKUP(E856,'Dataset-3'!E247:W636,2,)</f>
        <v>1</v>
      </c>
      <c r="G856" s="41" t="str">
        <f>VLOOKUP(F856,'Dataset-3'!F247:X636,2,)</f>
        <v>Night</v>
      </c>
      <c r="H856" s="38" t="b">
        <f>VLOOKUP(G856,'Dataset-3'!G247:Y636,2,)</f>
        <v>0</v>
      </c>
      <c r="I856" s="38">
        <f>VLOOKUP(H856,'Dataset-3'!H247:Z636,2,)</f>
        <v>2</v>
      </c>
      <c r="J856" s="41" t="str">
        <f>VLOOKUP(I856,'Dataset-3'!I247:AA636,2,)</f>
        <v>Monday</v>
      </c>
      <c r="K856" s="38">
        <f>VLOOKUP(J856,'Dataset-3'!J247:AB636,2,)</f>
        <v>2</v>
      </c>
      <c r="L856" s="38">
        <f>VLOOKUP(K856,'Dataset-3'!K247:AC636,2,)</f>
        <v>0.28000000000000003</v>
      </c>
      <c r="M856" s="70" t="str">
        <f>VLOOKUP(L856,'Dataset-3'!L247:AD636,2,)</f>
        <v>Cloudy</v>
      </c>
      <c r="N856" s="38">
        <f>VLOOKUP(M856,'Dataset-3'!M247:AE636,2,)</f>
        <v>0.31819999999999998</v>
      </c>
      <c r="O856" s="38">
        <f>VLOOKUP(N856,'Dataset-3'!N247:AF636,2,)</f>
        <v>0.87</v>
      </c>
      <c r="P856" s="38">
        <f>VLOOKUP(O856,'Dataset-3'!O247:AG636,2,)</f>
        <v>0</v>
      </c>
      <c r="Q856" s="38">
        <f>VLOOKUP(P856,'Dataset-3'!P247:AH636,2,)</f>
        <v>0</v>
      </c>
      <c r="R856" s="38">
        <f>VLOOKUP(Q856,'Dataset-3'!Q247:AI636,2,)</f>
        <v>4</v>
      </c>
      <c r="S856" s="38">
        <f>VLOOKUP(R856,'Dataset-3'!R247:AJ636,2,)</f>
        <v>4</v>
      </c>
    </row>
    <row r="857" spans="1:19" x14ac:dyDescent="0.35">
      <c r="A857" s="37">
        <v>856</v>
      </c>
      <c r="B857" s="60">
        <f>VLOOKUP(A857,'Dataset-3'!A248:S637,2,)</f>
        <v>40582</v>
      </c>
      <c r="C857" s="38">
        <f>VLOOKUP(B857,'Dataset-3'!B248:T637,2,)</f>
        <v>1</v>
      </c>
      <c r="D857" s="38">
        <f>VLOOKUP(C857,'Dataset-3'!C248:U637,2,)</f>
        <v>0</v>
      </c>
      <c r="E857" s="38">
        <f>VLOOKUP(D857,'Dataset-3'!D248:V637,2,)</f>
        <v>2</v>
      </c>
      <c r="F857" s="38">
        <f>VLOOKUP(E857,'Dataset-3'!E248:W637,2,)</f>
        <v>2</v>
      </c>
      <c r="G857" s="41" t="str">
        <f>VLOOKUP(F857,'Dataset-3'!F248:X637,2,)</f>
        <v>Night</v>
      </c>
      <c r="H857" s="38" t="b">
        <f>VLOOKUP(G857,'Dataset-3'!G248:Y637,2,)</f>
        <v>0</v>
      </c>
      <c r="I857" s="38">
        <f>VLOOKUP(H857,'Dataset-3'!H248:Z637,2,)</f>
        <v>2</v>
      </c>
      <c r="J857" s="41" t="str">
        <f>VLOOKUP(I857,'Dataset-3'!I248:AA637,2,)</f>
        <v>Monday</v>
      </c>
      <c r="K857" s="38">
        <f>VLOOKUP(J857,'Dataset-3'!J248:AB637,2,)</f>
        <v>2</v>
      </c>
      <c r="L857" s="38">
        <f>VLOOKUP(K857,'Dataset-3'!K248:AC637,2,)</f>
        <v>0.26</v>
      </c>
      <c r="M857" s="70" t="str">
        <f>VLOOKUP(L857,'Dataset-3'!L248:AD637,2,)</f>
        <v>Cloudy</v>
      </c>
      <c r="N857" s="38">
        <f>VLOOKUP(M857,'Dataset-3'!M248:AE637,2,)</f>
        <v>0.2727</v>
      </c>
      <c r="O857" s="38">
        <f>VLOOKUP(N857,'Dataset-3'!N248:AF637,2,)</f>
        <v>0.93</v>
      </c>
      <c r="P857" s="38">
        <f>VLOOKUP(O857,'Dataset-3'!O248:AG637,2,)</f>
        <v>0.1045</v>
      </c>
      <c r="Q857" s="38">
        <f>VLOOKUP(P857,'Dataset-3'!P248:AH637,2,)</f>
        <v>1</v>
      </c>
      <c r="R857" s="38">
        <f>VLOOKUP(Q857,'Dataset-3'!Q248:AI637,2,)</f>
        <v>1</v>
      </c>
      <c r="S857" s="38">
        <f>VLOOKUP(R857,'Dataset-3'!R248:AJ637,2,)</f>
        <v>2</v>
      </c>
    </row>
    <row r="858" spans="1:19" x14ac:dyDescent="0.35">
      <c r="A858" s="37">
        <v>857</v>
      </c>
      <c r="B858" s="60">
        <f>VLOOKUP(A858,'Dataset-3'!A249:S638,2,)</f>
        <v>40582</v>
      </c>
      <c r="C858" s="38">
        <f>VLOOKUP(B858,'Dataset-3'!B249:T638,2,)</f>
        <v>1</v>
      </c>
      <c r="D858" s="38">
        <f>VLOOKUP(C858,'Dataset-3'!C249:U638,2,)</f>
        <v>0</v>
      </c>
      <c r="E858" s="38">
        <f>VLOOKUP(D858,'Dataset-3'!D249:V638,2,)</f>
        <v>2</v>
      </c>
      <c r="F858" s="38">
        <f>VLOOKUP(E858,'Dataset-3'!E249:W638,2,)</f>
        <v>3</v>
      </c>
      <c r="G858" s="41" t="str">
        <f>VLOOKUP(F858,'Dataset-3'!F249:X638,2,)</f>
        <v>Night</v>
      </c>
      <c r="H858" s="38" t="b">
        <f>VLOOKUP(G858,'Dataset-3'!G249:Y638,2,)</f>
        <v>0</v>
      </c>
      <c r="I858" s="38">
        <f>VLOOKUP(H858,'Dataset-3'!H249:Z638,2,)</f>
        <v>2</v>
      </c>
      <c r="J858" s="41" t="str">
        <f>VLOOKUP(I858,'Dataset-3'!I249:AA638,2,)</f>
        <v>Monday</v>
      </c>
      <c r="K858" s="38">
        <f>VLOOKUP(J858,'Dataset-3'!J249:AB638,2,)</f>
        <v>3</v>
      </c>
      <c r="L858" s="38">
        <f>VLOOKUP(K858,'Dataset-3'!K249:AC638,2,)</f>
        <v>0.28000000000000003</v>
      </c>
      <c r="M858" s="70" t="str">
        <f>VLOOKUP(L858,'Dataset-3'!L249:AD638,2,)</f>
        <v>Cloudy</v>
      </c>
      <c r="N858" s="38">
        <f>VLOOKUP(M858,'Dataset-3'!M249:AE638,2,)</f>
        <v>0.2727</v>
      </c>
      <c r="O858" s="38">
        <f>VLOOKUP(N858,'Dataset-3'!N249:AF638,2,)</f>
        <v>0.93</v>
      </c>
      <c r="P858" s="38">
        <f>VLOOKUP(O858,'Dataset-3'!O249:AG638,2,)</f>
        <v>0.16420000000000001</v>
      </c>
      <c r="Q858" s="38">
        <f>VLOOKUP(P858,'Dataset-3'!P249:AH638,2,)</f>
        <v>0</v>
      </c>
      <c r="R858" s="38">
        <f>VLOOKUP(Q858,'Dataset-3'!Q249:AI638,2,)</f>
        <v>1</v>
      </c>
      <c r="S858" s="38">
        <f>VLOOKUP(R858,'Dataset-3'!R249:AJ638,2,)</f>
        <v>1</v>
      </c>
    </row>
    <row r="859" spans="1:19" x14ac:dyDescent="0.35">
      <c r="A859" s="37">
        <v>858</v>
      </c>
      <c r="B859" s="60">
        <f>VLOOKUP(A859,'Dataset-3'!A250:S639,2,)</f>
        <v>40582</v>
      </c>
      <c r="C859" s="38">
        <f>VLOOKUP(B859,'Dataset-3'!B250:T639,2,)</f>
        <v>1</v>
      </c>
      <c r="D859" s="38">
        <f>VLOOKUP(C859,'Dataset-3'!C250:U639,2,)</f>
        <v>0</v>
      </c>
      <c r="E859" s="38">
        <f>VLOOKUP(D859,'Dataset-3'!D250:V639,2,)</f>
        <v>2</v>
      </c>
      <c r="F859" s="38">
        <f>VLOOKUP(E859,'Dataset-3'!E250:W639,2,)</f>
        <v>4</v>
      </c>
      <c r="G859" s="41" t="str">
        <f>VLOOKUP(F859,'Dataset-3'!F250:X639,2,)</f>
        <v>Night</v>
      </c>
      <c r="H859" s="38" t="b">
        <f>VLOOKUP(G859,'Dataset-3'!G250:Y639,2,)</f>
        <v>0</v>
      </c>
      <c r="I859" s="38">
        <f>VLOOKUP(H859,'Dataset-3'!H250:Z639,2,)</f>
        <v>2</v>
      </c>
      <c r="J859" s="41" t="str">
        <f>VLOOKUP(I859,'Dataset-3'!I250:AA639,2,)</f>
        <v>Monday</v>
      </c>
      <c r="K859" s="38">
        <f>VLOOKUP(J859,'Dataset-3'!J250:AB639,2,)</f>
        <v>1</v>
      </c>
      <c r="L859" s="38">
        <f>VLOOKUP(K859,'Dataset-3'!K250:AC639,2,)</f>
        <v>0.26</v>
      </c>
      <c r="M859" s="70" t="str">
        <f>VLOOKUP(L859,'Dataset-3'!L250:AD639,2,)</f>
        <v>Cloudy</v>
      </c>
      <c r="N859" s="38">
        <f>VLOOKUP(M859,'Dataset-3'!M250:AE639,2,)</f>
        <v>0.2576</v>
      </c>
      <c r="O859" s="38">
        <f>VLOOKUP(N859,'Dataset-3'!N250:AF639,2,)</f>
        <v>0.93</v>
      </c>
      <c r="P859" s="38">
        <f>VLOOKUP(O859,'Dataset-3'!O250:AG639,2,)</f>
        <v>0.16420000000000001</v>
      </c>
      <c r="Q859" s="38">
        <f>VLOOKUP(P859,'Dataset-3'!P250:AH639,2,)</f>
        <v>0</v>
      </c>
      <c r="R859" s="38">
        <f>VLOOKUP(Q859,'Dataset-3'!Q250:AI639,2,)</f>
        <v>3</v>
      </c>
      <c r="S859" s="38">
        <f>VLOOKUP(R859,'Dataset-3'!R250:AJ639,2,)</f>
        <v>3</v>
      </c>
    </row>
    <row r="860" spans="1:19" x14ac:dyDescent="0.35">
      <c r="A860" s="37">
        <v>859</v>
      </c>
      <c r="B860" s="60">
        <f>VLOOKUP(A860,'Dataset-3'!A251:S640,2,)</f>
        <v>40582</v>
      </c>
      <c r="C860" s="38">
        <f>VLOOKUP(B860,'Dataset-3'!B251:T640,2,)</f>
        <v>1</v>
      </c>
      <c r="D860" s="38">
        <f>VLOOKUP(C860,'Dataset-3'!C251:U640,2,)</f>
        <v>0</v>
      </c>
      <c r="E860" s="38">
        <f>VLOOKUP(D860,'Dataset-3'!D251:V640,2,)</f>
        <v>2</v>
      </c>
      <c r="F860" s="38">
        <f>VLOOKUP(E860,'Dataset-3'!E251:W640,2,)</f>
        <v>5</v>
      </c>
      <c r="G860" s="41" t="str">
        <f>VLOOKUP(F860,'Dataset-3'!F251:X640,2,)</f>
        <v>Morning</v>
      </c>
      <c r="H860" s="38" t="b">
        <f>VLOOKUP(G860,'Dataset-3'!G251:Y640,2,)</f>
        <v>0</v>
      </c>
      <c r="I860" s="38">
        <f>VLOOKUP(H860,'Dataset-3'!H251:Z640,2,)</f>
        <v>2</v>
      </c>
      <c r="J860" s="41" t="str">
        <f>VLOOKUP(I860,'Dataset-3'!I251:AA640,2,)</f>
        <v>Monday</v>
      </c>
      <c r="K860" s="38">
        <f>VLOOKUP(J860,'Dataset-3'!J251:AB640,2,)</f>
        <v>1</v>
      </c>
      <c r="L860" s="38">
        <f>VLOOKUP(K860,'Dataset-3'!K251:AC640,2,)</f>
        <v>0.26</v>
      </c>
      <c r="M860" s="70" t="str">
        <f>VLOOKUP(L860,'Dataset-3'!L251:AD640,2,)</f>
        <v>Cloudy</v>
      </c>
      <c r="N860" s="38">
        <f>VLOOKUP(M860,'Dataset-3'!M251:AE640,2,)</f>
        <v>0.2273</v>
      </c>
      <c r="O860" s="38">
        <f>VLOOKUP(N860,'Dataset-3'!N251:AF640,2,)</f>
        <v>0.81</v>
      </c>
      <c r="P860" s="38">
        <f>VLOOKUP(O860,'Dataset-3'!O251:AG640,2,)</f>
        <v>0.32840000000000003</v>
      </c>
      <c r="Q860" s="38">
        <f>VLOOKUP(P860,'Dataset-3'!P251:AH640,2,)</f>
        <v>0</v>
      </c>
      <c r="R860" s="38">
        <f>VLOOKUP(Q860,'Dataset-3'!Q251:AI640,2,)</f>
        <v>2</v>
      </c>
      <c r="S860" s="38">
        <f>VLOOKUP(R860,'Dataset-3'!R251:AJ640,2,)</f>
        <v>2</v>
      </c>
    </row>
    <row r="861" spans="1:19" x14ac:dyDescent="0.35">
      <c r="A861" s="37">
        <v>860</v>
      </c>
      <c r="B861" s="60">
        <f>VLOOKUP(A861,'Dataset-3'!A252:S641,2,)</f>
        <v>40582</v>
      </c>
      <c r="C861" s="38">
        <f>VLOOKUP(B861,'Dataset-3'!B252:T641,2,)</f>
        <v>1</v>
      </c>
      <c r="D861" s="38">
        <f>VLOOKUP(C861,'Dataset-3'!C252:U641,2,)</f>
        <v>0</v>
      </c>
      <c r="E861" s="38">
        <f>VLOOKUP(D861,'Dataset-3'!D252:V641,2,)</f>
        <v>2</v>
      </c>
      <c r="F861" s="38">
        <f>VLOOKUP(E861,'Dataset-3'!E252:W641,2,)</f>
        <v>6</v>
      </c>
      <c r="G861" s="41" t="str">
        <f>VLOOKUP(F861,'Dataset-3'!F252:X641,2,)</f>
        <v>Morning</v>
      </c>
      <c r="H861" s="38" t="b">
        <f>VLOOKUP(G861,'Dataset-3'!G252:Y641,2,)</f>
        <v>0</v>
      </c>
      <c r="I861" s="38">
        <f>VLOOKUP(H861,'Dataset-3'!H252:Z641,2,)</f>
        <v>2</v>
      </c>
      <c r="J861" s="41" t="str">
        <f>VLOOKUP(I861,'Dataset-3'!I252:AA641,2,)</f>
        <v>Monday</v>
      </c>
      <c r="K861" s="38">
        <f>VLOOKUP(J861,'Dataset-3'!J252:AB641,2,)</f>
        <v>1</v>
      </c>
      <c r="L861" s="38">
        <f>VLOOKUP(K861,'Dataset-3'!K252:AC641,2,)</f>
        <v>0.26</v>
      </c>
      <c r="M861" s="70" t="str">
        <f>VLOOKUP(L861,'Dataset-3'!L252:AD641,2,)</f>
        <v>Cloudy</v>
      </c>
      <c r="N861" s="38">
        <f>VLOOKUP(M861,'Dataset-3'!M252:AE641,2,)</f>
        <v>0.2273</v>
      </c>
      <c r="O861" s="38">
        <f>VLOOKUP(N861,'Dataset-3'!N252:AF641,2,)</f>
        <v>0.7</v>
      </c>
      <c r="P861" s="38">
        <f>VLOOKUP(O861,'Dataset-3'!O252:AG641,2,)</f>
        <v>0.32840000000000003</v>
      </c>
      <c r="Q861" s="38">
        <f>VLOOKUP(P861,'Dataset-3'!P252:AH641,2,)</f>
        <v>0</v>
      </c>
      <c r="R861" s="38">
        <f>VLOOKUP(Q861,'Dataset-3'!Q252:AI641,2,)</f>
        <v>39</v>
      </c>
      <c r="S861" s="38">
        <f>VLOOKUP(R861,'Dataset-3'!R252:AJ641,2,)</f>
        <v>39</v>
      </c>
    </row>
    <row r="862" spans="1:19" x14ac:dyDescent="0.35">
      <c r="A862" s="37">
        <v>861</v>
      </c>
      <c r="B862" s="60">
        <f>VLOOKUP(A862,'Dataset-3'!A253:S642,2,)</f>
        <v>40582</v>
      </c>
      <c r="C862" s="38">
        <f>VLOOKUP(B862,'Dataset-3'!B253:T642,2,)</f>
        <v>1</v>
      </c>
      <c r="D862" s="38">
        <f>VLOOKUP(C862,'Dataset-3'!C253:U642,2,)</f>
        <v>0</v>
      </c>
      <c r="E862" s="38">
        <f>VLOOKUP(D862,'Dataset-3'!D253:V642,2,)</f>
        <v>2</v>
      </c>
      <c r="F862" s="38">
        <f>VLOOKUP(E862,'Dataset-3'!E253:W642,2,)</f>
        <v>7</v>
      </c>
      <c r="G862" s="41" t="str">
        <f>VLOOKUP(F862,'Dataset-3'!F253:X642,2,)</f>
        <v>Morning</v>
      </c>
      <c r="H862" s="38" t="b">
        <f>VLOOKUP(G862,'Dataset-3'!G253:Y642,2,)</f>
        <v>0</v>
      </c>
      <c r="I862" s="38">
        <f>VLOOKUP(H862,'Dataset-3'!H253:Z642,2,)</f>
        <v>2</v>
      </c>
      <c r="J862" s="41" t="str">
        <f>VLOOKUP(I862,'Dataset-3'!I253:AA642,2,)</f>
        <v>Monday</v>
      </c>
      <c r="K862" s="38">
        <f>VLOOKUP(J862,'Dataset-3'!J253:AB642,2,)</f>
        <v>1</v>
      </c>
      <c r="L862" s="38">
        <f>VLOOKUP(K862,'Dataset-3'!K253:AC642,2,)</f>
        <v>0.24</v>
      </c>
      <c r="M862" s="70" t="str">
        <f>VLOOKUP(L862,'Dataset-3'!L253:AD642,2,)</f>
        <v>Cloudy</v>
      </c>
      <c r="N862" s="38">
        <f>VLOOKUP(M862,'Dataset-3'!M253:AE642,2,)</f>
        <v>0.19700000000000001</v>
      </c>
      <c r="O862" s="38">
        <f>VLOOKUP(N862,'Dataset-3'!N253:AF642,2,)</f>
        <v>0.65</v>
      </c>
      <c r="P862" s="38">
        <f>VLOOKUP(O862,'Dataset-3'!O253:AG642,2,)</f>
        <v>0.41789999999999999</v>
      </c>
      <c r="Q862" s="38">
        <f>VLOOKUP(P862,'Dataset-3'!P253:AH642,2,)</f>
        <v>3</v>
      </c>
      <c r="R862" s="38">
        <f>VLOOKUP(Q862,'Dataset-3'!Q253:AI642,2,)</f>
        <v>97</v>
      </c>
      <c r="S862" s="38">
        <f>VLOOKUP(R862,'Dataset-3'!R253:AJ642,2,)</f>
        <v>100</v>
      </c>
    </row>
    <row r="863" spans="1:19" x14ac:dyDescent="0.35">
      <c r="A863" s="37">
        <v>862</v>
      </c>
      <c r="B863" s="60">
        <f>VLOOKUP(A863,'Dataset-3'!A254:S643,2,)</f>
        <v>40582</v>
      </c>
      <c r="C863" s="38">
        <f>VLOOKUP(B863,'Dataset-3'!B254:T643,2,)</f>
        <v>1</v>
      </c>
      <c r="D863" s="38">
        <f>VLOOKUP(C863,'Dataset-3'!C254:U643,2,)</f>
        <v>0</v>
      </c>
      <c r="E863" s="38">
        <f>VLOOKUP(D863,'Dataset-3'!D254:V643,2,)</f>
        <v>2</v>
      </c>
      <c r="F863" s="38">
        <f>VLOOKUP(E863,'Dataset-3'!E254:W643,2,)</f>
        <v>8</v>
      </c>
      <c r="G863" s="41" t="str">
        <f>VLOOKUP(F863,'Dataset-3'!F254:X643,2,)</f>
        <v>Morning</v>
      </c>
      <c r="H863" s="38" t="b">
        <f>VLOOKUP(G863,'Dataset-3'!G254:Y643,2,)</f>
        <v>0</v>
      </c>
      <c r="I863" s="38">
        <f>VLOOKUP(H863,'Dataset-3'!H254:Z643,2,)</f>
        <v>2</v>
      </c>
      <c r="J863" s="41" t="str">
        <f>VLOOKUP(I863,'Dataset-3'!I254:AA643,2,)</f>
        <v>Monday</v>
      </c>
      <c r="K863" s="38">
        <f>VLOOKUP(J863,'Dataset-3'!J254:AB643,2,)</f>
        <v>1</v>
      </c>
      <c r="L863" s="38">
        <f>VLOOKUP(K863,'Dataset-3'!K254:AC643,2,)</f>
        <v>0.24</v>
      </c>
      <c r="M863" s="70" t="str">
        <f>VLOOKUP(L863,'Dataset-3'!L254:AD643,2,)</f>
        <v>Cloudy</v>
      </c>
      <c r="N863" s="38">
        <f>VLOOKUP(M863,'Dataset-3'!M254:AE643,2,)</f>
        <v>0.19700000000000001</v>
      </c>
      <c r="O863" s="38">
        <f>VLOOKUP(N863,'Dataset-3'!N254:AF643,2,)</f>
        <v>0.56000000000000005</v>
      </c>
      <c r="P863" s="38">
        <f>VLOOKUP(O863,'Dataset-3'!O254:AG643,2,)</f>
        <v>0.49249999999999999</v>
      </c>
      <c r="Q863" s="38">
        <f>VLOOKUP(P863,'Dataset-3'!P254:AH643,2,)</f>
        <v>7</v>
      </c>
      <c r="R863" s="38">
        <f>VLOOKUP(Q863,'Dataset-3'!Q254:AI643,2,)</f>
        <v>236</v>
      </c>
      <c r="S863" s="38">
        <f>VLOOKUP(R863,'Dataset-3'!R254:AJ643,2,)</f>
        <v>243</v>
      </c>
    </row>
    <row r="864" spans="1:19" x14ac:dyDescent="0.35">
      <c r="A864" s="37">
        <v>863</v>
      </c>
      <c r="B864" s="60">
        <f>VLOOKUP(A864,'Dataset-3'!A255:S644,2,)</f>
        <v>40582</v>
      </c>
      <c r="C864" s="38">
        <f>VLOOKUP(B864,'Dataset-3'!B255:T644,2,)</f>
        <v>1</v>
      </c>
      <c r="D864" s="38">
        <f>VLOOKUP(C864,'Dataset-3'!C255:U644,2,)</f>
        <v>0</v>
      </c>
      <c r="E864" s="38">
        <f>VLOOKUP(D864,'Dataset-3'!D255:V644,2,)</f>
        <v>2</v>
      </c>
      <c r="F864" s="38">
        <f>VLOOKUP(E864,'Dataset-3'!E255:W644,2,)</f>
        <v>9</v>
      </c>
      <c r="G864" s="41" t="str">
        <f>VLOOKUP(F864,'Dataset-3'!F255:X644,2,)</f>
        <v>Morning</v>
      </c>
      <c r="H864" s="38" t="b">
        <f>VLOOKUP(G864,'Dataset-3'!G255:Y644,2,)</f>
        <v>0</v>
      </c>
      <c r="I864" s="38">
        <f>VLOOKUP(H864,'Dataset-3'!H255:Z644,2,)</f>
        <v>2</v>
      </c>
      <c r="J864" s="41" t="str">
        <f>VLOOKUP(I864,'Dataset-3'!I255:AA644,2,)</f>
        <v>Monday</v>
      </c>
      <c r="K864" s="38">
        <f>VLOOKUP(J864,'Dataset-3'!J255:AB644,2,)</f>
        <v>1</v>
      </c>
      <c r="L864" s="38">
        <f>VLOOKUP(K864,'Dataset-3'!K255:AC644,2,)</f>
        <v>0.24</v>
      </c>
      <c r="M864" s="70" t="str">
        <f>VLOOKUP(L864,'Dataset-3'!L255:AD644,2,)</f>
        <v>Cloudy</v>
      </c>
      <c r="N864" s="38">
        <f>VLOOKUP(M864,'Dataset-3'!M255:AE644,2,)</f>
        <v>0.19700000000000001</v>
      </c>
      <c r="O864" s="38">
        <f>VLOOKUP(N864,'Dataset-3'!N255:AF644,2,)</f>
        <v>0.52</v>
      </c>
      <c r="P864" s="38">
        <f>VLOOKUP(O864,'Dataset-3'!O255:AG644,2,)</f>
        <v>0.49249999999999999</v>
      </c>
      <c r="Q864" s="38">
        <f>VLOOKUP(P864,'Dataset-3'!P255:AH644,2,)</f>
        <v>7</v>
      </c>
      <c r="R864" s="38">
        <f>VLOOKUP(Q864,'Dataset-3'!Q255:AI644,2,)</f>
        <v>128</v>
      </c>
      <c r="S864" s="38">
        <f>VLOOKUP(R864,'Dataset-3'!R255:AJ644,2,)</f>
        <v>135</v>
      </c>
    </row>
    <row r="865" spans="1:19" x14ac:dyDescent="0.35">
      <c r="A865" s="37">
        <v>864</v>
      </c>
      <c r="B865" s="60">
        <f>VLOOKUP(A865,'Dataset-3'!A256:S645,2,)</f>
        <v>40582</v>
      </c>
      <c r="C865" s="38">
        <f>VLOOKUP(B865,'Dataset-3'!B256:T645,2,)</f>
        <v>1</v>
      </c>
      <c r="D865" s="38">
        <f>VLOOKUP(C865,'Dataset-3'!C256:U645,2,)</f>
        <v>0</v>
      </c>
      <c r="E865" s="38">
        <f>VLOOKUP(D865,'Dataset-3'!D256:V645,2,)</f>
        <v>2</v>
      </c>
      <c r="F865" s="38">
        <f>VLOOKUP(E865,'Dataset-3'!E256:W645,2,)</f>
        <v>10</v>
      </c>
      <c r="G865" s="41" t="str">
        <f>VLOOKUP(F865,'Dataset-3'!F256:X645,2,)</f>
        <v>Morning</v>
      </c>
      <c r="H865" s="38" t="b">
        <f>VLOOKUP(G865,'Dataset-3'!G256:Y645,2,)</f>
        <v>0</v>
      </c>
      <c r="I865" s="38">
        <f>VLOOKUP(H865,'Dataset-3'!H256:Z645,2,)</f>
        <v>2</v>
      </c>
      <c r="J865" s="41" t="str">
        <f>VLOOKUP(I865,'Dataset-3'!I256:AA645,2,)</f>
        <v>Monday</v>
      </c>
      <c r="K865" s="38">
        <f>VLOOKUP(J865,'Dataset-3'!J256:AB645,2,)</f>
        <v>1</v>
      </c>
      <c r="L865" s="38">
        <f>VLOOKUP(K865,'Dataset-3'!K256:AC645,2,)</f>
        <v>0.22</v>
      </c>
      <c r="M865" s="70" t="str">
        <f>VLOOKUP(L865,'Dataset-3'!L256:AD645,2,)</f>
        <v>Cloudy</v>
      </c>
      <c r="N865" s="38">
        <f>VLOOKUP(M865,'Dataset-3'!M256:AE645,2,)</f>
        <v>0.18179999999999999</v>
      </c>
      <c r="O865" s="38">
        <f>VLOOKUP(N865,'Dataset-3'!N256:AF645,2,)</f>
        <v>0.47</v>
      </c>
      <c r="P865" s="38">
        <f>VLOOKUP(O865,'Dataset-3'!O256:AG645,2,)</f>
        <v>0.55220000000000002</v>
      </c>
      <c r="Q865" s="38">
        <f>VLOOKUP(P865,'Dataset-3'!P256:AH645,2,)</f>
        <v>4</v>
      </c>
      <c r="R865" s="38">
        <f>VLOOKUP(Q865,'Dataset-3'!Q256:AI645,2,)</f>
        <v>44</v>
      </c>
      <c r="S865" s="38">
        <f>VLOOKUP(R865,'Dataset-3'!R256:AJ645,2,)</f>
        <v>48</v>
      </c>
    </row>
    <row r="866" spans="1:19" x14ac:dyDescent="0.35">
      <c r="A866" s="37">
        <v>865</v>
      </c>
      <c r="B866" s="60">
        <f>VLOOKUP(A866,'Dataset-3'!A257:S646,2,)</f>
        <v>40582</v>
      </c>
      <c r="C866" s="38">
        <f>VLOOKUP(B866,'Dataset-3'!B257:T646,2,)</f>
        <v>1</v>
      </c>
      <c r="D866" s="38">
        <f>VLOOKUP(C866,'Dataset-3'!C257:U646,2,)</f>
        <v>0</v>
      </c>
      <c r="E866" s="38">
        <f>VLOOKUP(D866,'Dataset-3'!D257:V646,2,)</f>
        <v>2</v>
      </c>
      <c r="F866" s="38">
        <f>VLOOKUP(E866,'Dataset-3'!E257:W646,2,)</f>
        <v>11</v>
      </c>
      <c r="G866" s="41" t="str">
        <f>VLOOKUP(F866,'Dataset-3'!F257:X646,2,)</f>
        <v>Morning</v>
      </c>
      <c r="H866" s="38" t="b">
        <f>VLOOKUP(G866,'Dataset-3'!G257:Y646,2,)</f>
        <v>0</v>
      </c>
      <c r="I866" s="38">
        <f>VLOOKUP(H866,'Dataset-3'!H257:Z646,2,)</f>
        <v>2</v>
      </c>
      <c r="J866" s="41" t="str">
        <f>VLOOKUP(I866,'Dataset-3'!I257:AA646,2,)</f>
        <v>Monday</v>
      </c>
      <c r="K866" s="38">
        <f>VLOOKUP(J866,'Dataset-3'!J257:AB646,2,)</f>
        <v>1</v>
      </c>
      <c r="L866" s="38">
        <f>VLOOKUP(K866,'Dataset-3'!K257:AC646,2,)</f>
        <v>0.22</v>
      </c>
      <c r="M866" s="70" t="str">
        <f>VLOOKUP(L866,'Dataset-3'!L257:AD646,2,)</f>
        <v>Cloudy</v>
      </c>
      <c r="N866" s="38">
        <f>VLOOKUP(M866,'Dataset-3'!M257:AE646,2,)</f>
        <v>0.18179999999999999</v>
      </c>
      <c r="O866" s="38">
        <f>VLOOKUP(N866,'Dataset-3'!N257:AF646,2,)</f>
        <v>0.47</v>
      </c>
      <c r="P866" s="38">
        <f>VLOOKUP(O866,'Dataset-3'!O257:AG646,2,)</f>
        <v>0.4627</v>
      </c>
      <c r="Q866" s="38">
        <f>VLOOKUP(P866,'Dataset-3'!P257:AH646,2,)</f>
        <v>1</v>
      </c>
      <c r="R866" s="38">
        <f>VLOOKUP(Q866,'Dataset-3'!Q257:AI646,2,)</f>
        <v>49</v>
      </c>
      <c r="S866" s="38">
        <f>VLOOKUP(R866,'Dataset-3'!R257:AJ646,2,)</f>
        <v>50</v>
      </c>
    </row>
    <row r="867" spans="1:19" x14ac:dyDescent="0.35">
      <c r="A867" s="37">
        <v>866</v>
      </c>
      <c r="B867" s="60">
        <f>VLOOKUP(A867,'Dataset-3'!A258:S647,2,)</f>
        <v>40582</v>
      </c>
      <c r="C867" s="38">
        <f>VLOOKUP(B867,'Dataset-3'!B258:T647,2,)</f>
        <v>1</v>
      </c>
      <c r="D867" s="38">
        <f>VLOOKUP(C867,'Dataset-3'!C258:U647,2,)</f>
        <v>0</v>
      </c>
      <c r="E867" s="38">
        <f>VLOOKUP(D867,'Dataset-3'!D258:V647,2,)</f>
        <v>2</v>
      </c>
      <c r="F867" s="38">
        <f>VLOOKUP(E867,'Dataset-3'!E258:W647,2,)</f>
        <v>12</v>
      </c>
      <c r="G867" s="41" t="str">
        <f>VLOOKUP(F867,'Dataset-3'!F258:X647,2,)</f>
        <v>AfterNoon</v>
      </c>
      <c r="H867" s="38" t="b">
        <f>VLOOKUP(G867,'Dataset-3'!G258:Y647,2,)</f>
        <v>0</v>
      </c>
      <c r="I867" s="38">
        <f>VLOOKUP(H867,'Dataset-3'!H258:Z647,2,)</f>
        <v>2</v>
      </c>
      <c r="J867" s="41" t="str">
        <f>VLOOKUP(I867,'Dataset-3'!I258:AA647,2,)</f>
        <v>Monday</v>
      </c>
      <c r="K867" s="38">
        <f>VLOOKUP(J867,'Dataset-3'!J258:AB647,2,)</f>
        <v>1</v>
      </c>
      <c r="L867" s="38">
        <f>VLOOKUP(K867,'Dataset-3'!K258:AC647,2,)</f>
        <v>0.24</v>
      </c>
      <c r="M867" s="70" t="str">
        <f>VLOOKUP(L867,'Dataset-3'!L258:AD647,2,)</f>
        <v>Cloudy</v>
      </c>
      <c r="N867" s="38">
        <f>VLOOKUP(M867,'Dataset-3'!M258:AE647,2,)</f>
        <v>0.19700000000000001</v>
      </c>
      <c r="O867" s="38">
        <f>VLOOKUP(N867,'Dataset-3'!N258:AF647,2,)</f>
        <v>0.38</v>
      </c>
      <c r="P867" s="38">
        <f>VLOOKUP(O867,'Dataset-3'!O258:AG647,2,)</f>
        <v>0.49249999999999999</v>
      </c>
      <c r="Q867" s="38">
        <f>VLOOKUP(P867,'Dataset-3'!P258:AH647,2,)</f>
        <v>2</v>
      </c>
      <c r="R867" s="38">
        <f>VLOOKUP(Q867,'Dataset-3'!Q258:AI647,2,)</f>
        <v>63</v>
      </c>
      <c r="S867" s="38">
        <f>VLOOKUP(R867,'Dataset-3'!R258:AJ647,2,)</f>
        <v>65</v>
      </c>
    </row>
    <row r="868" spans="1:19" x14ac:dyDescent="0.35">
      <c r="A868" s="37">
        <v>867</v>
      </c>
      <c r="B868" s="60">
        <f>VLOOKUP(A868,'Dataset-3'!A259:S648,2,)</f>
        <v>40582</v>
      </c>
      <c r="C868" s="38">
        <f>VLOOKUP(B868,'Dataset-3'!B259:T648,2,)</f>
        <v>1</v>
      </c>
      <c r="D868" s="38">
        <f>VLOOKUP(C868,'Dataset-3'!C259:U648,2,)</f>
        <v>0</v>
      </c>
      <c r="E868" s="38">
        <f>VLOOKUP(D868,'Dataset-3'!D259:V648,2,)</f>
        <v>2</v>
      </c>
      <c r="F868" s="38">
        <f>VLOOKUP(E868,'Dataset-3'!E259:W648,2,)</f>
        <v>13</v>
      </c>
      <c r="G868" s="41" t="str">
        <f>VLOOKUP(F868,'Dataset-3'!F259:X648,2,)</f>
        <v>AfterNoon</v>
      </c>
      <c r="H868" s="38" t="b">
        <f>VLOOKUP(G868,'Dataset-3'!G259:Y648,2,)</f>
        <v>0</v>
      </c>
      <c r="I868" s="38">
        <f>VLOOKUP(H868,'Dataset-3'!H259:Z648,2,)</f>
        <v>2</v>
      </c>
      <c r="J868" s="41" t="str">
        <f>VLOOKUP(I868,'Dataset-3'!I259:AA648,2,)</f>
        <v>Monday</v>
      </c>
      <c r="K868" s="38">
        <f>VLOOKUP(J868,'Dataset-3'!J259:AB648,2,)</f>
        <v>2</v>
      </c>
      <c r="L868" s="38">
        <f>VLOOKUP(K868,'Dataset-3'!K259:AC648,2,)</f>
        <v>0.24</v>
      </c>
      <c r="M868" s="70" t="str">
        <f>VLOOKUP(L868,'Dataset-3'!L259:AD648,2,)</f>
        <v>Cloudy</v>
      </c>
      <c r="N868" s="38">
        <f>VLOOKUP(M868,'Dataset-3'!M259:AE648,2,)</f>
        <v>0.19700000000000001</v>
      </c>
      <c r="O868" s="38">
        <f>VLOOKUP(N868,'Dataset-3'!N259:AF648,2,)</f>
        <v>0.32</v>
      </c>
      <c r="P868" s="38">
        <f>VLOOKUP(O868,'Dataset-3'!O259:AG648,2,)</f>
        <v>0.44779999999999998</v>
      </c>
      <c r="Q868" s="38">
        <f>VLOOKUP(P868,'Dataset-3'!P259:AH648,2,)</f>
        <v>2</v>
      </c>
      <c r="R868" s="38">
        <f>VLOOKUP(Q868,'Dataset-3'!Q259:AI648,2,)</f>
        <v>48</v>
      </c>
      <c r="S868" s="38">
        <f>VLOOKUP(R868,'Dataset-3'!R259:AJ648,2,)</f>
        <v>50</v>
      </c>
    </row>
    <row r="869" spans="1:19" x14ac:dyDescent="0.35">
      <c r="A869" s="37">
        <v>868</v>
      </c>
      <c r="B869" s="60">
        <f>VLOOKUP(A869,'Dataset-3'!A260:S649,2,)</f>
        <v>40582</v>
      </c>
      <c r="C869" s="38">
        <f>VLOOKUP(B869,'Dataset-3'!B260:T649,2,)</f>
        <v>1</v>
      </c>
      <c r="D869" s="38">
        <f>VLOOKUP(C869,'Dataset-3'!C260:U649,2,)</f>
        <v>0</v>
      </c>
      <c r="E869" s="38">
        <f>VLOOKUP(D869,'Dataset-3'!D260:V649,2,)</f>
        <v>2</v>
      </c>
      <c r="F869" s="38">
        <f>VLOOKUP(E869,'Dataset-3'!E260:W649,2,)</f>
        <v>14</v>
      </c>
      <c r="G869" s="41" t="str">
        <f>VLOOKUP(F869,'Dataset-3'!F260:X649,2,)</f>
        <v>AfterNoon</v>
      </c>
      <c r="H869" s="38" t="b">
        <f>VLOOKUP(G869,'Dataset-3'!G260:Y649,2,)</f>
        <v>0</v>
      </c>
      <c r="I869" s="38">
        <f>VLOOKUP(H869,'Dataset-3'!H260:Z649,2,)</f>
        <v>2</v>
      </c>
      <c r="J869" s="41" t="str">
        <f>VLOOKUP(I869,'Dataset-3'!I260:AA649,2,)</f>
        <v>Monday</v>
      </c>
      <c r="K869" s="38">
        <f>VLOOKUP(J869,'Dataset-3'!J260:AB649,2,)</f>
        <v>1</v>
      </c>
      <c r="L869" s="38">
        <f>VLOOKUP(K869,'Dataset-3'!K260:AC649,2,)</f>
        <v>0.22</v>
      </c>
      <c r="M869" s="70" t="str">
        <f>VLOOKUP(L869,'Dataset-3'!L260:AD649,2,)</f>
        <v>Cloudy</v>
      </c>
      <c r="N869" s="38">
        <f>VLOOKUP(M869,'Dataset-3'!M260:AE649,2,)</f>
        <v>0.19700000000000001</v>
      </c>
      <c r="O869" s="38">
        <f>VLOOKUP(N869,'Dataset-3'!N260:AF649,2,)</f>
        <v>0.37</v>
      </c>
      <c r="P869" s="38">
        <f>VLOOKUP(O869,'Dataset-3'!O260:AG649,2,)</f>
        <v>0.41789999999999999</v>
      </c>
      <c r="Q869" s="38">
        <f>VLOOKUP(P869,'Dataset-3'!P260:AH649,2,)</f>
        <v>3</v>
      </c>
      <c r="R869" s="38">
        <f>VLOOKUP(Q869,'Dataset-3'!Q260:AI649,2,)</f>
        <v>61</v>
      </c>
      <c r="S869" s="38">
        <f>VLOOKUP(R869,'Dataset-3'!R260:AJ649,2,)</f>
        <v>64</v>
      </c>
    </row>
    <row r="870" spans="1:19" x14ac:dyDescent="0.35">
      <c r="A870" s="37">
        <v>869</v>
      </c>
      <c r="B870" s="60">
        <f>VLOOKUP(A870,'Dataset-3'!A261:S650,2,)</f>
        <v>40582</v>
      </c>
      <c r="C870" s="38">
        <f>VLOOKUP(B870,'Dataset-3'!B261:T650,2,)</f>
        <v>1</v>
      </c>
      <c r="D870" s="38">
        <f>VLOOKUP(C870,'Dataset-3'!C261:U650,2,)</f>
        <v>0</v>
      </c>
      <c r="E870" s="38">
        <f>VLOOKUP(D870,'Dataset-3'!D261:V650,2,)</f>
        <v>2</v>
      </c>
      <c r="F870" s="38">
        <f>VLOOKUP(E870,'Dataset-3'!E261:W650,2,)</f>
        <v>15</v>
      </c>
      <c r="G870" s="41" t="str">
        <f>VLOOKUP(F870,'Dataset-3'!F261:X650,2,)</f>
        <v>AfterNoon</v>
      </c>
      <c r="H870" s="38" t="b">
        <f>VLOOKUP(G870,'Dataset-3'!G261:Y650,2,)</f>
        <v>0</v>
      </c>
      <c r="I870" s="38">
        <f>VLOOKUP(H870,'Dataset-3'!H261:Z650,2,)</f>
        <v>2</v>
      </c>
      <c r="J870" s="41" t="str">
        <f>VLOOKUP(I870,'Dataset-3'!I261:AA650,2,)</f>
        <v>Monday</v>
      </c>
      <c r="K870" s="38">
        <f>VLOOKUP(J870,'Dataset-3'!J261:AB650,2,)</f>
        <v>1</v>
      </c>
      <c r="L870" s="38">
        <f>VLOOKUP(K870,'Dataset-3'!K261:AC650,2,)</f>
        <v>0.22</v>
      </c>
      <c r="M870" s="70" t="str">
        <f>VLOOKUP(L870,'Dataset-3'!L261:AD650,2,)</f>
        <v>Cloudy</v>
      </c>
      <c r="N870" s="38">
        <f>VLOOKUP(M870,'Dataset-3'!M261:AE650,2,)</f>
        <v>0.19700000000000001</v>
      </c>
      <c r="O870" s="38">
        <f>VLOOKUP(N870,'Dataset-3'!N261:AF650,2,)</f>
        <v>0.35</v>
      </c>
      <c r="P870" s="38">
        <f>VLOOKUP(O870,'Dataset-3'!O261:AG650,2,)</f>
        <v>0.3881</v>
      </c>
      <c r="Q870" s="38">
        <f>VLOOKUP(P870,'Dataset-3'!P261:AH650,2,)</f>
        <v>6</v>
      </c>
      <c r="R870" s="38">
        <f>VLOOKUP(Q870,'Dataset-3'!Q261:AI650,2,)</f>
        <v>45</v>
      </c>
      <c r="S870" s="38">
        <f>VLOOKUP(R870,'Dataset-3'!R261:AJ650,2,)</f>
        <v>51</v>
      </c>
    </row>
    <row r="871" spans="1:19" x14ac:dyDescent="0.35">
      <c r="A871" s="37">
        <v>870</v>
      </c>
      <c r="B871" s="60">
        <f>VLOOKUP(A871,'Dataset-3'!A262:S651,2,)</f>
        <v>40582</v>
      </c>
      <c r="C871" s="38">
        <f>VLOOKUP(B871,'Dataset-3'!B262:T651,2,)</f>
        <v>1</v>
      </c>
      <c r="D871" s="38">
        <f>VLOOKUP(C871,'Dataset-3'!C262:U651,2,)</f>
        <v>0</v>
      </c>
      <c r="E871" s="38">
        <f>VLOOKUP(D871,'Dataset-3'!D262:V651,2,)</f>
        <v>2</v>
      </c>
      <c r="F871" s="38">
        <f>VLOOKUP(E871,'Dataset-3'!E262:W651,2,)</f>
        <v>16</v>
      </c>
      <c r="G871" s="41" t="str">
        <f>VLOOKUP(F871,'Dataset-3'!F262:X651,2,)</f>
        <v>AfterNoon</v>
      </c>
      <c r="H871" s="38" t="b">
        <f>VLOOKUP(G871,'Dataset-3'!G262:Y651,2,)</f>
        <v>0</v>
      </c>
      <c r="I871" s="38">
        <f>VLOOKUP(H871,'Dataset-3'!H262:Z651,2,)</f>
        <v>2</v>
      </c>
      <c r="J871" s="41" t="str">
        <f>VLOOKUP(I871,'Dataset-3'!I262:AA651,2,)</f>
        <v>Monday</v>
      </c>
      <c r="K871" s="38">
        <f>VLOOKUP(J871,'Dataset-3'!J262:AB651,2,)</f>
        <v>1</v>
      </c>
      <c r="L871" s="38">
        <f>VLOOKUP(K871,'Dataset-3'!K262:AC651,2,)</f>
        <v>0.22</v>
      </c>
      <c r="M871" s="70" t="str">
        <f>VLOOKUP(L871,'Dataset-3'!L262:AD651,2,)</f>
        <v>Cloudy</v>
      </c>
      <c r="N871" s="38">
        <f>VLOOKUP(M871,'Dataset-3'!M262:AE651,2,)</f>
        <v>0.18179999999999999</v>
      </c>
      <c r="O871" s="38">
        <f>VLOOKUP(N871,'Dataset-3'!N262:AF651,2,)</f>
        <v>0.35</v>
      </c>
      <c r="P871" s="38">
        <f>VLOOKUP(O871,'Dataset-3'!O262:AG651,2,)</f>
        <v>0.52239999999999998</v>
      </c>
      <c r="Q871" s="38">
        <f>VLOOKUP(P871,'Dataset-3'!P262:AH651,2,)</f>
        <v>4</v>
      </c>
      <c r="R871" s="38">
        <f>VLOOKUP(Q871,'Dataset-3'!Q262:AI651,2,)</f>
        <v>79</v>
      </c>
      <c r="S871" s="38">
        <f>VLOOKUP(R871,'Dataset-3'!R262:AJ651,2,)</f>
        <v>83</v>
      </c>
    </row>
    <row r="872" spans="1:19" x14ac:dyDescent="0.35">
      <c r="A872" s="37">
        <v>871</v>
      </c>
      <c r="B872" s="60">
        <f>VLOOKUP(A872,'Dataset-3'!A263:S652,2,)</f>
        <v>40582</v>
      </c>
      <c r="C872" s="38">
        <f>VLOOKUP(B872,'Dataset-3'!B263:T652,2,)</f>
        <v>1</v>
      </c>
      <c r="D872" s="38">
        <f>VLOOKUP(C872,'Dataset-3'!C263:U652,2,)</f>
        <v>0</v>
      </c>
      <c r="E872" s="38">
        <f>VLOOKUP(D872,'Dataset-3'!D263:V652,2,)</f>
        <v>2</v>
      </c>
      <c r="F872" s="38">
        <f>VLOOKUP(E872,'Dataset-3'!E263:W652,2,)</f>
        <v>17</v>
      </c>
      <c r="G872" s="41" t="str">
        <f>VLOOKUP(F872,'Dataset-3'!F263:X652,2,)</f>
        <v>Evening</v>
      </c>
      <c r="H872" s="38" t="b">
        <f>VLOOKUP(G872,'Dataset-3'!G263:Y652,2,)</f>
        <v>0</v>
      </c>
      <c r="I872" s="38">
        <f>VLOOKUP(H872,'Dataset-3'!H263:Z652,2,)</f>
        <v>2</v>
      </c>
      <c r="J872" s="41" t="str">
        <f>VLOOKUP(I872,'Dataset-3'!I263:AA652,2,)</f>
        <v>Monday</v>
      </c>
      <c r="K872" s="38">
        <f>VLOOKUP(J872,'Dataset-3'!J263:AB652,2,)</f>
        <v>1</v>
      </c>
      <c r="L872" s="38">
        <f>VLOOKUP(K872,'Dataset-3'!K263:AC652,2,)</f>
        <v>0.22</v>
      </c>
      <c r="M872" s="70" t="str">
        <f>VLOOKUP(L872,'Dataset-3'!L263:AD652,2,)</f>
        <v>Cloudy</v>
      </c>
      <c r="N872" s="38">
        <f>VLOOKUP(M872,'Dataset-3'!M263:AE652,2,)</f>
        <v>0.18179999999999999</v>
      </c>
      <c r="O872" s="38">
        <f>VLOOKUP(N872,'Dataset-3'!N263:AF652,2,)</f>
        <v>0.32</v>
      </c>
      <c r="P872" s="38">
        <f>VLOOKUP(O872,'Dataset-3'!O263:AG652,2,)</f>
        <v>0.58209999999999995</v>
      </c>
      <c r="Q872" s="38">
        <f>VLOOKUP(P872,'Dataset-3'!P263:AH652,2,)</f>
        <v>4</v>
      </c>
      <c r="R872" s="38">
        <f>VLOOKUP(Q872,'Dataset-3'!Q263:AI652,2,)</f>
        <v>172</v>
      </c>
      <c r="S872" s="38">
        <f>VLOOKUP(R872,'Dataset-3'!R263:AJ652,2,)</f>
        <v>176</v>
      </c>
    </row>
    <row r="873" spans="1:19" x14ac:dyDescent="0.35">
      <c r="A873" s="37">
        <v>872</v>
      </c>
      <c r="B873" s="60">
        <f>VLOOKUP(A873,'Dataset-3'!A264:S653,2,)</f>
        <v>40582</v>
      </c>
      <c r="C873" s="38">
        <f>VLOOKUP(B873,'Dataset-3'!B264:T653,2,)</f>
        <v>1</v>
      </c>
      <c r="D873" s="38">
        <f>VLOOKUP(C873,'Dataset-3'!C264:U653,2,)</f>
        <v>0</v>
      </c>
      <c r="E873" s="38">
        <f>VLOOKUP(D873,'Dataset-3'!D264:V653,2,)</f>
        <v>2</v>
      </c>
      <c r="F873" s="38">
        <f>VLOOKUP(E873,'Dataset-3'!E264:W653,2,)</f>
        <v>18</v>
      </c>
      <c r="G873" s="41" t="str">
        <f>VLOOKUP(F873,'Dataset-3'!F264:X653,2,)</f>
        <v>Evening</v>
      </c>
      <c r="H873" s="38" t="b">
        <f>VLOOKUP(G873,'Dataset-3'!G264:Y653,2,)</f>
        <v>0</v>
      </c>
      <c r="I873" s="38">
        <f>VLOOKUP(H873,'Dataset-3'!H264:Z653,2,)</f>
        <v>2</v>
      </c>
      <c r="J873" s="41" t="str">
        <f>VLOOKUP(I873,'Dataset-3'!I264:AA653,2,)</f>
        <v>Monday</v>
      </c>
      <c r="K873" s="38">
        <f>VLOOKUP(J873,'Dataset-3'!J264:AB653,2,)</f>
        <v>1</v>
      </c>
      <c r="L873" s="38">
        <f>VLOOKUP(K873,'Dataset-3'!K264:AC653,2,)</f>
        <v>0.2</v>
      </c>
      <c r="M873" s="70" t="str">
        <f>VLOOKUP(L873,'Dataset-3'!L264:AD653,2,)</f>
        <v>Rainy</v>
      </c>
      <c r="N873" s="38">
        <f>VLOOKUP(M873,'Dataset-3'!M264:AE653,2,)</f>
        <v>0.18179999999999999</v>
      </c>
      <c r="O873" s="38">
        <f>VLOOKUP(N873,'Dataset-3'!N264:AF653,2,)</f>
        <v>0.32</v>
      </c>
      <c r="P873" s="38">
        <f>VLOOKUP(O873,'Dataset-3'!O264:AG653,2,)</f>
        <v>0.3881</v>
      </c>
      <c r="Q873" s="38">
        <f>VLOOKUP(P873,'Dataset-3'!P264:AH653,2,)</f>
        <v>1</v>
      </c>
      <c r="R873" s="38">
        <f>VLOOKUP(Q873,'Dataset-3'!Q264:AI653,2,)</f>
        <v>151</v>
      </c>
      <c r="S873" s="38">
        <f>VLOOKUP(R873,'Dataset-3'!R264:AJ653,2,)</f>
        <v>152</v>
      </c>
    </row>
    <row r="874" spans="1:19" x14ac:dyDescent="0.35">
      <c r="A874" s="37">
        <v>873</v>
      </c>
      <c r="B874" s="60">
        <f>VLOOKUP(A874,'Dataset-3'!A265:S654,2,)</f>
        <v>40582</v>
      </c>
      <c r="C874" s="38">
        <f>VLOOKUP(B874,'Dataset-3'!B265:T654,2,)</f>
        <v>1</v>
      </c>
      <c r="D874" s="38">
        <f>VLOOKUP(C874,'Dataset-3'!C265:U654,2,)</f>
        <v>0</v>
      </c>
      <c r="E874" s="38">
        <f>VLOOKUP(D874,'Dataset-3'!D265:V654,2,)</f>
        <v>2</v>
      </c>
      <c r="F874" s="38">
        <f>VLOOKUP(E874,'Dataset-3'!E265:W654,2,)</f>
        <v>19</v>
      </c>
      <c r="G874" s="41" t="str">
        <f>VLOOKUP(F874,'Dataset-3'!F265:X654,2,)</f>
        <v>Evening</v>
      </c>
      <c r="H874" s="38" t="b">
        <f>VLOOKUP(G874,'Dataset-3'!G265:Y654,2,)</f>
        <v>0</v>
      </c>
      <c r="I874" s="38">
        <f>VLOOKUP(H874,'Dataset-3'!H265:Z654,2,)</f>
        <v>2</v>
      </c>
      <c r="J874" s="41" t="str">
        <f>VLOOKUP(I874,'Dataset-3'!I265:AA654,2,)</f>
        <v>Monday</v>
      </c>
      <c r="K874" s="38">
        <f>VLOOKUP(J874,'Dataset-3'!J265:AB654,2,)</f>
        <v>1</v>
      </c>
      <c r="L874" s="38">
        <f>VLOOKUP(K874,'Dataset-3'!K265:AC654,2,)</f>
        <v>0.16</v>
      </c>
      <c r="M874" s="70" t="str">
        <f>VLOOKUP(L874,'Dataset-3'!L265:AD654,2,)</f>
        <v>Rainy</v>
      </c>
      <c r="N874" s="38">
        <f>VLOOKUP(M874,'Dataset-3'!M265:AE654,2,)</f>
        <v>0.1212</v>
      </c>
      <c r="O874" s="38">
        <f>VLOOKUP(N874,'Dataset-3'!N265:AF654,2,)</f>
        <v>0.4</v>
      </c>
      <c r="P874" s="38">
        <f>VLOOKUP(O874,'Dataset-3'!O265:AG654,2,)</f>
        <v>0.4627</v>
      </c>
      <c r="Q874" s="38">
        <f>VLOOKUP(P874,'Dataset-3'!P265:AH654,2,)</f>
        <v>1</v>
      </c>
      <c r="R874" s="38">
        <f>VLOOKUP(Q874,'Dataset-3'!Q265:AI654,2,)</f>
        <v>100</v>
      </c>
      <c r="S874" s="38">
        <f>VLOOKUP(R874,'Dataset-3'!R265:AJ654,2,)</f>
        <v>101</v>
      </c>
    </row>
    <row r="875" spans="1:19" x14ac:dyDescent="0.35">
      <c r="A875" s="37">
        <v>874</v>
      </c>
      <c r="B875" s="60">
        <f>VLOOKUP(A875,'Dataset-3'!A266:S655,2,)</f>
        <v>40582</v>
      </c>
      <c r="C875" s="38">
        <f>VLOOKUP(B875,'Dataset-3'!B266:T655,2,)</f>
        <v>1</v>
      </c>
      <c r="D875" s="38">
        <f>VLOOKUP(C875,'Dataset-3'!C266:U655,2,)</f>
        <v>0</v>
      </c>
      <c r="E875" s="38">
        <f>VLOOKUP(D875,'Dataset-3'!D266:V655,2,)</f>
        <v>2</v>
      </c>
      <c r="F875" s="38">
        <f>VLOOKUP(E875,'Dataset-3'!E266:W655,2,)</f>
        <v>20</v>
      </c>
      <c r="G875" s="41" t="str">
        <f>VLOOKUP(F875,'Dataset-3'!F266:X655,2,)</f>
        <v>Night</v>
      </c>
      <c r="H875" s="38" t="b">
        <f>VLOOKUP(G875,'Dataset-3'!G266:Y655,2,)</f>
        <v>0</v>
      </c>
      <c r="I875" s="38">
        <f>VLOOKUP(H875,'Dataset-3'!H266:Z655,2,)</f>
        <v>2</v>
      </c>
      <c r="J875" s="41" t="str">
        <f>VLOOKUP(I875,'Dataset-3'!I266:AA655,2,)</f>
        <v>Monday</v>
      </c>
      <c r="K875" s="38">
        <f>VLOOKUP(J875,'Dataset-3'!J266:AB655,2,)</f>
        <v>1</v>
      </c>
      <c r="L875" s="38">
        <f>VLOOKUP(K875,'Dataset-3'!K266:AC655,2,)</f>
        <v>0.16</v>
      </c>
      <c r="M875" s="70" t="str">
        <f>VLOOKUP(L875,'Dataset-3'!L266:AD655,2,)</f>
        <v>Rainy</v>
      </c>
      <c r="N875" s="38">
        <f>VLOOKUP(M875,'Dataset-3'!M266:AE655,2,)</f>
        <v>0.13639999999999999</v>
      </c>
      <c r="O875" s="38">
        <f>VLOOKUP(N875,'Dataset-3'!N266:AF655,2,)</f>
        <v>0.4</v>
      </c>
      <c r="P875" s="38">
        <f>VLOOKUP(O875,'Dataset-3'!O266:AG655,2,)</f>
        <v>0.32840000000000003</v>
      </c>
      <c r="Q875" s="38">
        <f>VLOOKUP(P875,'Dataset-3'!P266:AH655,2,)</f>
        <v>3</v>
      </c>
      <c r="R875" s="38">
        <f>VLOOKUP(Q875,'Dataset-3'!Q266:AI655,2,)</f>
        <v>53</v>
      </c>
      <c r="S875" s="38">
        <f>VLOOKUP(R875,'Dataset-3'!R266:AJ655,2,)</f>
        <v>56</v>
      </c>
    </row>
    <row r="876" spans="1:19" x14ac:dyDescent="0.35">
      <c r="A876" s="37">
        <v>875</v>
      </c>
      <c r="B876" s="60">
        <f>VLOOKUP(A876,'Dataset-3'!A267:S656,2,)</f>
        <v>40582</v>
      </c>
      <c r="C876" s="38">
        <f>VLOOKUP(B876,'Dataset-3'!B267:T656,2,)</f>
        <v>1</v>
      </c>
      <c r="D876" s="38">
        <f>VLOOKUP(C876,'Dataset-3'!C267:U656,2,)</f>
        <v>0</v>
      </c>
      <c r="E876" s="38">
        <f>VLOOKUP(D876,'Dataset-3'!D267:V656,2,)</f>
        <v>2</v>
      </c>
      <c r="F876" s="38">
        <f>VLOOKUP(E876,'Dataset-3'!E267:W656,2,)</f>
        <v>21</v>
      </c>
      <c r="G876" s="41" t="str">
        <f>VLOOKUP(F876,'Dataset-3'!F267:X656,2,)</f>
        <v>Night</v>
      </c>
      <c r="H876" s="38" t="b">
        <f>VLOOKUP(G876,'Dataset-3'!G267:Y656,2,)</f>
        <v>0</v>
      </c>
      <c r="I876" s="38">
        <f>VLOOKUP(H876,'Dataset-3'!H267:Z656,2,)</f>
        <v>2</v>
      </c>
      <c r="J876" s="41" t="str">
        <f>VLOOKUP(I876,'Dataset-3'!I267:AA656,2,)</f>
        <v>Monday</v>
      </c>
      <c r="K876" s="38">
        <f>VLOOKUP(J876,'Dataset-3'!J267:AB656,2,)</f>
        <v>1</v>
      </c>
      <c r="L876" s="38">
        <f>VLOOKUP(K876,'Dataset-3'!K267:AC656,2,)</f>
        <v>0.14000000000000001</v>
      </c>
      <c r="M876" s="70" t="str">
        <f>VLOOKUP(L876,'Dataset-3'!L267:AD656,2,)</f>
        <v>Rainy</v>
      </c>
      <c r="N876" s="38">
        <f>VLOOKUP(M876,'Dataset-3'!M267:AE656,2,)</f>
        <v>0.1061</v>
      </c>
      <c r="O876" s="38">
        <f>VLOOKUP(N876,'Dataset-3'!N267:AF656,2,)</f>
        <v>0.33</v>
      </c>
      <c r="P876" s="38">
        <f>VLOOKUP(O876,'Dataset-3'!O267:AG656,2,)</f>
        <v>0.4627</v>
      </c>
      <c r="Q876" s="38">
        <f>VLOOKUP(P876,'Dataset-3'!P267:AH656,2,)</f>
        <v>8</v>
      </c>
      <c r="R876" s="38">
        <f>VLOOKUP(Q876,'Dataset-3'!Q267:AI656,2,)</f>
        <v>46</v>
      </c>
      <c r="S876" s="38">
        <f>VLOOKUP(R876,'Dataset-3'!R267:AJ656,2,)</f>
        <v>54</v>
      </c>
    </row>
    <row r="877" spans="1:19" x14ac:dyDescent="0.35">
      <c r="A877" s="37">
        <v>876</v>
      </c>
      <c r="B877" s="60">
        <f>VLOOKUP(A877,'Dataset-3'!A268:S657,2,)</f>
        <v>40582</v>
      </c>
      <c r="C877" s="38">
        <f>VLOOKUP(B877,'Dataset-3'!B268:T657,2,)</f>
        <v>1</v>
      </c>
      <c r="D877" s="38">
        <f>VLOOKUP(C877,'Dataset-3'!C268:U657,2,)</f>
        <v>0</v>
      </c>
      <c r="E877" s="38">
        <f>VLOOKUP(D877,'Dataset-3'!D268:V657,2,)</f>
        <v>2</v>
      </c>
      <c r="F877" s="38">
        <f>VLOOKUP(E877,'Dataset-3'!E268:W657,2,)</f>
        <v>22</v>
      </c>
      <c r="G877" s="41" t="str">
        <f>VLOOKUP(F877,'Dataset-3'!F268:X657,2,)</f>
        <v>Night</v>
      </c>
      <c r="H877" s="38" t="b">
        <f>VLOOKUP(G877,'Dataset-3'!G268:Y657,2,)</f>
        <v>0</v>
      </c>
      <c r="I877" s="38">
        <f>VLOOKUP(H877,'Dataset-3'!H268:Z657,2,)</f>
        <v>2</v>
      </c>
      <c r="J877" s="41" t="str">
        <f>VLOOKUP(I877,'Dataset-3'!I268:AA657,2,)</f>
        <v>Monday</v>
      </c>
      <c r="K877" s="38">
        <f>VLOOKUP(J877,'Dataset-3'!J268:AB657,2,)</f>
        <v>1</v>
      </c>
      <c r="L877" s="38">
        <f>VLOOKUP(K877,'Dataset-3'!K268:AC657,2,)</f>
        <v>0.12</v>
      </c>
      <c r="M877" s="70" t="str">
        <f>VLOOKUP(L877,'Dataset-3'!L268:AD657,2,)</f>
        <v>Rainy</v>
      </c>
      <c r="N877" s="38">
        <f>VLOOKUP(M877,'Dataset-3'!M268:AE657,2,)</f>
        <v>0.1061</v>
      </c>
      <c r="O877" s="38">
        <f>VLOOKUP(N877,'Dataset-3'!N268:AF657,2,)</f>
        <v>0.33</v>
      </c>
      <c r="P877" s="38">
        <f>VLOOKUP(O877,'Dataset-3'!O268:AG657,2,)</f>
        <v>0.35820000000000002</v>
      </c>
      <c r="Q877" s="38">
        <f>VLOOKUP(P877,'Dataset-3'!P268:AH657,2,)</f>
        <v>0</v>
      </c>
      <c r="R877" s="38">
        <f>VLOOKUP(Q877,'Dataset-3'!Q268:AI657,2,)</f>
        <v>29</v>
      </c>
      <c r="S877" s="38">
        <f>VLOOKUP(R877,'Dataset-3'!R268:AJ657,2,)</f>
        <v>29</v>
      </c>
    </row>
    <row r="878" spans="1:19" x14ac:dyDescent="0.35">
      <c r="A878" s="37">
        <v>877</v>
      </c>
      <c r="B878" s="60">
        <f>VLOOKUP(A878,'Dataset-3'!A269:S658,2,)</f>
        <v>40582</v>
      </c>
      <c r="C878" s="38">
        <f>VLOOKUP(B878,'Dataset-3'!B269:T658,2,)</f>
        <v>1</v>
      </c>
      <c r="D878" s="38">
        <f>VLOOKUP(C878,'Dataset-3'!C269:U658,2,)</f>
        <v>0</v>
      </c>
      <c r="E878" s="38">
        <f>VLOOKUP(D878,'Dataset-3'!D269:V658,2,)</f>
        <v>2</v>
      </c>
      <c r="F878" s="38">
        <f>VLOOKUP(E878,'Dataset-3'!E269:W658,2,)</f>
        <v>23</v>
      </c>
      <c r="G878" s="41" t="str">
        <f>VLOOKUP(F878,'Dataset-3'!F269:X658,2,)</f>
        <v>Night</v>
      </c>
      <c r="H878" s="38" t="b">
        <f>VLOOKUP(G878,'Dataset-3'!G269:Y658,2,)</f>
        <v>0</v>
      </c>
      <c r="I878" s="38">
        <f>VLOOKUP(H878,'Dataset-3'!H269:Z658,2,)</f>
        <v>2</v>
      </c>
      <c r="J878" s="41" t="str">
        <f>VLOOKUP(I878,'Dataset-3'!I269:AA658,2,)</f>
        <v>Monday</v>
      </c>
      <c r="K878" s="38">
        <f>VLOOKUP(J878,'Dataset-3'!J269:AB658,2,)</f>
        <v>1</v>
      </c>
      <c r="L878" s="38">
        <f>VLOOKUP(K878,'Dataset-3'!K269:AC658,2,)</f>
        <v>0.12</v>
      </c>
      <c r="M878" s="70" t="str">
        <f>VLOOKUP(L878,'Dataset-3'!L269:AD658,2,)</f>
        <v>Rainy</v>
      </c>
      <c r="N878" s="38">
        <f>VLOOKUP(M878,'Dataset-3'!M269:AE658,2,)</f>
        <v>0.1061</v>
      </c>
      <c r="O878" s="38">
        <f>VLOOKUP(N878,'Dataset-3'!N269:AF658,2,)</f>
        <v>0.33</v>
      </c>
      <c r="P878" s="38">
        <f>VLOOKUP(O878,'Dataset-3'!O269:AG658,2,)</f>
        <v>0.32840000000000003</v>
      </c>
      <c r="Q878" s="38">
        <f>VLOOKUP(P878,'Dataset-3'!P269:AH658,2,)</f>
        <v>3</v>
      </c>
      <c r="R878" s="38">
        <f>VLOOKUP(Q878,'Dataset-3'!Q269:AI658,2,)</f>
        <v>9</v>
      </c>
      <c r="S878" s="38">
        <f>VLOOKUP(R878,'Dataset-3'!R269:AJ658,2,)</f>
        <v>12</v>
      </c>
    </row>
    <row r="879" spans="1:19" x14ac:dyDescent="0.35">
      <c r="A879" s="37">
        <v>878</v>
      </c>
      <c r="B879" s="60">
        <f>VLOOKUP(A879,'Dataset-3'!A270:S659,2,)</f>
        <v>40583</v>
      </c>
      <c r="C879" s="38">
        <f>VLOOKUP(B879,'Dataset-3'!B270:T659,2,)</f>
        <v>1</v>
      </c>
      <c r="D879" s="38">
        <f>VLOOKUP(C879,'Dataset-3'!C270:U659,2,)</f>
        <v>0</v>
      </c>
      <c r="E879" s="38">
        <f>VLOOKUP(D879,'Dataset-3'!D270:V659,2,)</f>
        <v>2</v>
      </c>
      <c r="F879" s="38">
        <f>VLOOKUP(E879,'Dataset-3'!E270:W659,2,)</f>
        <v>0</v>
      </c>
      <c r="G879" s="41" t="str">
        <f>VLOOKUP(F879,'Dataset-3'!F270:X659,2,)</f>
        <v>Night</v>
      </c>
      <c r="H879" s="38" t="b">
        <f>VLOOKUP(G879,'Dataset-3'!G270:Y659,2,)</f>
        <v>0</v>
      </c>
      <c r="I879" s="38">
        <f>VLOOKUP(H879,'Dataset-3'!H270:Z659,2,)</f>
        <v>3</v>
      </c>
      <c r="J879" s="41" t="str">
        <f>VLOOKUP(I879,'Dataset-3'!I270:AA659,2,)</f>
        <v>Tuesday</v>
      </c>
      <c r="K879" s="38">
        <f>VLOOKUP(J879,'Dataset-3'!J270:AB659,2,)</f>
        <v>1</v>
      </c>
      <c r="L879" s="38">
        <f>VLOOKUP(K879,'Dataset-3'!K270:AC659,2,)</f>
        <v>0.1</v>
      </c>
      <c r="M879" s="70" t="str">
        <f>VLOOKUP(L879,'Dataset-3'!L270:AD659,2,)</f>
        <v>Stromy</v>
      </c>
      <c r="N879" s="38">
        <f>VLOOKUP(M879,'Dataset-3'!M270:AE659,2,)</f>
        <v>7.5800000000000006E-2</v>
      </c>
      <c r="O879" s="38">
        <f>VLOOKUP(N879,'Dataset-3'!N270:AF659,2,)</f>
        <v>0.36</v>
      </c>
      <c r="P879" s="38">
        <f>VLOOKUP(O879,'Dataset-3'!O270:AG659,2,)</f>
        <v>0.35820000000000002</v>
      </c>
      <c r="Q879" s="38">
        <f>VLOOKUP(P879,'Dataset-3'!P270:AH659,2,)</f>
        <v>0</v>
      </c>
      <c r="R879" s="38">
        <f>VLOOKUP(Q879,'Dataset-3'!Q270:AI659,2,)</f>
        <v>17</v>
      </c>
      <c r="S879" s="38">
        <f>VLOOKUP(R879,'Dataset-3'!R270:AJ659,2,)</f>
        <v>17</v>
      </c>
    </row>
    <row r="880" spans="1:19" x14ac:dyDescent="0.35">
      <c r="A880" s="37">
        <v>879</v>
      </c>
      <c r="B880" s="60">
        <f>VLOOKUP(A880,'Dataset-3'!A271:S660,2,)</f>
        <v>40583</v>
      </c>
      <c r="C880" s="38">
        <f>VLOOKUP(B880,'Dataset-3'!B271:T660,2,)</f>
        <v>1</v>
      </c>
      <c r="D880" s="38">
        <f>VLOOKUP(C880,'Dataset-3'!C271:U660,2,)</f>
        <v>0</v>
      </c>
      <c r="E880" s="38">
        <f>VLOOKUP(D880,'Dataset-3'!D271:V660,2,)</f>
        <v>2</v>
      </c>
      <c r="F880" s="38">
        <f>VLOOKUP(E880,'Dataset-3'!E271:W660,2,)</f>
        <v>1</v>
      </c>
      <c r="G880" s="41" t="str">
        <f>VLOOKUP(F880,'Dataset-3'!F271:X660,2,)</f>
        <v>Night</v>
      </c>
      <c r="H880" s="38" t="b">
        <f>VLOOKUP(G880,'Dataset-3'!G271:Y660,2,)</f>
        <v>0</v>
      </c>
      <c r="I880" s="38">
        <f>VLOOKUP(H880,'Dataset-3'!H271:Z660,2,)</f>
        <v>3</v>
      </c>
      <c r="J880" s="41" t="str">
        <f>VLOOKUP(I880,'Dataset-3'!I271:AA660,2,)</f>
        <v>Tuesday</v>
      </c>
      <c r="K880" s="38">
        <f>VLOOKUP(J880,'Dataset-3'!J271:AB660,2,)</f>
        <v>1</v>
      </c>
      <c r="L880" s="38">
        <f>VLOOKUP(K880,'Dataset-3'!K271:AC660,2,)</f>
        <v>0.1</v>
      </c>
      <c r="M880" s="70" t="str">
        <f>VLOOKUP(L880,'Dataset-3'!L271:AD660,2,)</f>
        <v>Stromy</v>
      </c>
      <c r="N880" s="38">
        <f>VLOOKUP(M880,'Dataset-3'!M271:AE660,2,)</f>
        <v>0.1061</v>
      </c>
      <c r="O880" s="38">
        <f>VLOOKUP(N880,'Dataset-3'!N271:AF660,2,)</f>
        <v>0.36</v>
      </c>
      <c r="P880" s="38">
        <f>VLOOKUP(O880,'Dataset-3'!O271:AG660,2,)</f>
        <v>0.22389999999999999</v>
      </c>
      <c r="Q880" s="38">
        <f>VLOOKUP(P880,'Dataset-3'!P271:AH660,2,)</f>
        <v>0</v>
      </c>
      <c r="R880" s="38">
        <f>VLOOKUP(Q880,'Dataset-3'!Q271:AI660,2,)</f>
        <v>7</v>
      </c>
      <c r="S880" s="38">
        <f>VLOOKUP(R880,'Dataset-3'!R271:AJ660,2,)</f>
        <v>7</v>
      </c>
    </row>
    <row r="881" spans="1:19" x14ac:dyDescent="0.35">
      <c r="A881" s="37">
        <v>880</v>
      </c>
      <c r="B881" s="60">
        <f>VLOOKUP(A881,'Dataset-3'!A272:S661,2,)</f>
        <v>40583</v>
      </c>
      <c r="C881" s="38">
        <f>VLOOKUP(B881,'Dataset-3'!B272:T661,2,)</f>
        <v>1</v>
      </c>
      <c r="D881" s="38">
        <f>VLOOKUP(C881,'Dataset-3'!C272:U661,2,)</f>
        <v>0</v>
      </c>
      <c r="E881" s="38">
        <f>VLOOKUP(D881,'Dataset-3'!D272:V661,2,)</f>
        <v>2</v>
      </c>
      <c r="F881" s="38">
        <f>VLOOKUP(E881,'Dataset-3'!E272:W661,2,)</f>
        <v>2</v>
      </c>
      <c r="G881" s="41" t="str">
        <f>VLOOKUP(F881,'Dataset-3'!F272:X661,2,)</f>
        <v>Night</v>
      </c>
      <c r="H881" s="38" t="b">
        <f>VLOOKUP(G881,'Dataset-3'!G272:Y661,2,)</f>
        <v>0</v>
      </c>
      <c r="I881" s="38">
        <f>VLOOKUP(H881,'Dataset-3'!H272:Z661,2,)</f>
        <v>3</v>
      </c>
      <c r="J881" s="41" t="str">
        <f>VLOOKUP(I881,'Dataset-3'!I272:AA661,2,)</f>
        <v>Tuesday</v>
      </c>
      <c r="K881" s="38">
        <f>VLOOKUP(J881,'Dataset-3'!J272:AB661,2,)</f>
        <v>1</v>
      </c>
      <c r="L881" s="38">
        <f>VLOOKUP(K881,'Dataset-3'!K272:AC661,2,)</f>
        <v>0.08</v>
      </c>
      <c r="M881" s="70" t="str">
        <f>VLOOKUP(L881,'Dataset-3'!L272:AD661,2,)</f>
        <v>Stromy</v>
      </c>
      <c r="N881" s="38">
        <f>VLOOKUP(M881,'Dataset-3'!M272:AE661,2,)</f>
        <v>7.5800000000000006E-2</v>
      </c>
      <c r="O881" s="38">
        <f>VLOOKUP(N881,'Dataset-3'!N272:AF661,2,)</f>
        <v>0.38</v>
      </c>
      <c r="P881" s="38">
        <f>VLOOKUP(O881,'Dataset-3'!O272:AG661,2,)</f>
        <v>0.28360000000000002</v>
      </c>
      <c r="Q881" s="38">
        <f>VLOOKUP(P881,'Dataset-3'!P272:AH661,2,)</f>
        <v>1</v>
      </c>
      <c r="R881" s="38">
        <f>VLOOKUP(Q881,'Dataset-3'!Q272:AI661,2,)</f>
        <v>2</v>
      </c>
      <c r="S881" s="38">
        <f>VLOOKUP(R881,'Dataset-3'!R272:AJ661,2,)</f>
        <v>3</v>
      </c>
    </row>
    <row r="882" spans="1:19" x14ac:dyDescent="0.35">
      <c r="A882" s="37">
        <v>881</v>
      </c>
      <c r="B882" s="60">
        <f>VLOOKUP(A882,'Dataset-3'!A273:S662,2,)</f>
        <v>40583</v>
      </c>
      <c r="C882" s="38">
        <f>VLOOKUP(B882,'Dataset-3'!B273:T662,2,)</f>
        <v>1</v>
      </c>
      <c r="D882" s="38">
        <f>VLOOKUP(C882,'Dataset-3'!C273:U662,2,)</f>
        <v>0</v>
      </c>
      <c r="E882" s="38">
        <f>VLOOKUP(D882,'Dataset-3'!D273:V662,2,)</f>
        <v>2</v>
      </c>
      <c r="F882" s="38">
        <f>VLOOKUP(E882,'Dataset-3'!E273:W662,2,)</f>
        <v>3</v>
      </c>
      <c r="G882" s="41" t="str">
        <f>VLOOKUP(F882,'Dataset-3'!F273:X662,2,)</f>
        <v>Night</v>
      </c>
      <c r="H882" s="38" t="b">
        <f>VLOOKUP(G882,'Dataset-3'!G273:Y662,2,)</f>
        <v>0</v>
      </c>
      <c r="I882" s="38">
        <f>VLOOKUP(H882,'Dataset-3'!H273:Z662,2,)</f>
        <v>3</v>
      </c>
      <c r="J882" s="41" t="str">
        <f>VLOOKUP(I882,'Dataset-3'!I273:AA662,2,)</f>
        <v>Tuesday</v>
      </c>
      <c r="K882" s="38">
        <f>VLOOKUP(J882,'Dataset-3'!J273:AB662,2,)</f>
        <v>1</v>
      </c>
      <c r="L882" s="38">
        <f>VLOOKUP(K882,'Dataset-3'!K273:AC662,2,)</f>
        <v>0.06</v>
      </c>
      <c r="M882" s="70" t="str">
        <f>VLOOKUP(L882,'Dataset-3'!L273:AD662,2,)</f>
        <v>Stromy</v>
      </c>
      <c r="N882" s="38">
        <f>VLOOKUP(M882,'Dataset-3'!M273:AE662,2,)</f>
        <v>7.5800000000000006E-2</v>
      </c>
      <c r="O882" s="38">
        <f>VLOOKUP(N882,'Dataset-3'!N273:AF662,2,)</f>
        <v>0.45</v>
      </c>
      <c r="P882" s="38">
        <f>VLOOKUP(O882,'Dataset-3'!O273:AG662,2,)</f>
        <v>0.1343</v>
      </c>
      <c r="Q882" s="38">
        <f>VLOOKUP(P882,'Dataset-3'!P273:AH662,2,)</f>
        <v>0</v>
      </c>
      <c r="R882" s="38">
        <f>VLOOKUP(Q882,'Dataset-3'!Q273:AI662,2,)</f>
        <v>2</v>
      </c>
      <c r="S882" s="38">
        <f>VLOOKUP(R882,'Dataset-3'!R273:AJ662,2,)</f>
        <v>2</v>
      </c>
    </row>
    <row r="883" spans="1:19" x14ac:dyDescent="0.35">
      <c r="A883" s="37">
        <v>882</v>
      </c>
      <c r="B883" s="60">
        <f>VLOOKUP(A883,'Dataset-3'!A274:S663,2,)</f>
        <v>40583</v>
      </c>
      <c r="C883" s="38">
        <f>VLOOKUP(B883,'Dataset-3'!B274:T663,2,)</f>
        <v>1</v>
      </c>
      <c r="D883" s="38">
        <f>VLOOKUP(C883,'Dataset-3'!C274:U663,2,)</f>
        <v>0</v>
      </c>
      <c r="E883" s="38">
        <f>VLOOKUP(D883,'Dataset-3'!D274:V663,2,)</f>
        <v>2</v>
      </c>
      <c r="F883" s="38">
        <f>VLOOKUP(E883,'Dataset-3'!E274:W663,2,)</f>
        <v>5</v>
      </c>
      <c r="G883" s="41" t="str">
        <f>VLOOKUP(F883,'Dataset-3'!F274:X663,2,)</f>
        <v>Morning</v>
      </c>
      <c r="H883" s="38" t="b">
        <f>VLOOKUP(G883,'Dataset-3'!G274:Y663,2,)</f>
        <v>0</v>
      </c>
      <c r="I883" s="38">
        <f>VLOOKUP(H883,'Dataset-3'!H274:Z663,2,)</f>
        <v>3</v>
      </c>
      <c r="J883" s="41" t="str">
        <f>VLOOKUP(I883,'Dataset-3'!I274:AA663,2,)</f>
        <v>Tuesday</v>
      </c>
      <c r="K883" s="38">
        <f>VLOOKUP(J883,'Dataset-3'!J274:AB663,2,)</f>
        <v>1</v>
      </c>
      <c r="L883" s="38">
        <f>VLOOKUP(K883,'Dataset-3'!K274:AC663,2,)</f>
        <v>0.06</v>
      </c>
      <c r="M883" s="70" t="str">
        <f>VLOOKUP(L883,'Dataset-3'!L274:AD663,2,)</f>
        <v>Stromy</v>
      </c>
      <c r="N883" s="38">
        <f>VLOOKUP(M883,'Dataset-3'!M274:AE663,2,)</f>
        <v>0.1061</v>
      </c>
      <c r="O883" s="38">
        <f>VLOOKUP(N883,'Dataset-3'!N274:AF663,2,)</f>
        <v>0.45</v>
      </c>
      <c r="P883" s="38">
        <f>VLOOKUP(O883,'Dataset-3'!O274:AG663,2,)</f>
        <v>0.1045</v>
      </c>
      <c r="Q883" s="38">
        <f>VLOOKUP(P883,'Dataset-3'!P274:AH663,2,)</f>
        <v>0</v>
      </c>
      <c r="R883" s="38">
        <f>VLOOKUP(Q883,'Dataset-3'!Q274:AI663,2,)</f>
        <v>7</v>
      </c>
      <c r="S883" s="38">
        <f>VLOOKUP(R883,'Dataset-3'!R274:AJ663,2,)</f>
        <v>7</v>
      </c>
    </row>
    <row r="884" spans="1:19" x14ac:dyDescent="0.35">
      <c r="A884" s="37">
        <v>883</v>
      </c>
      <c r="B884" s="60">
        <f>VLOOKUP(A884,'Dataset-3'!A275:S664,2,)</f>
        <v>40583</v>
      </c>
      <c r="C884" s="38">
        <f>VLOOKUP(B884,'Dataset-3'!B275:T664,2,)</f>
        <v>1</v>
      </c>
      <c r="D884" s="38">
        <f>VLOOKUP(C884,'Dataset-3'!C275:U664,2,)</f>
        <v>0</v>
      </c>
      <c r="E884" s="38">
        <f>VLOOKUP(D884,'Dataset-3'!D275:V664,2,)</f>
        <v>2</v>
      </c>
      <c r="F884" s="38">
        <f>VLOOKUP(E884,'Dataset-3'!E275:W664,2,)</f>
        <v>6</v>
      </c>
      <c r="G884" s="41" t="str">
        <f>VLOOKUP(F884,'Dataset-3'!F275:X664,2,)</f>
        <v>Morning</v>
      </c>
      <c r="H884" s="38" t="b">
        <f>VLOOKUP(G884,'Dataset-3'!G275:Y664,2,)</f>
        <v>0</v>
      </c>
      <c r="I884" s="38">
        <f>VLOOKUP(H884,'Dataset-3'!H275:Z664,2,)</f>
        <v>3</v>
      </c>
      <c r="J884" s="41" t="str">
        <f>VLOOKUP(I884,'Dataset-3'!I275:AA664,2,)</f>
        <v>Tuesday</v>
      </c>
      <c r="K884" s="38">
        <f>VLOOKUP(J884,'Dataset-3'!J275:AB664,2,)</f>
        <v>1</v>
      </c>
      <c r="L884" s="38">
        <f>VLOOKUP(K884,'Dataset-3'!K275:AC664,2,)</f>
        <v>0.06</v>
      </c>
      <c r="M884" s="70" t="str">
        <f>VLOOKUP(L884,'Dataset-3'!L275:AD664,2,)</f>
        <v>Stromy</v>
      </c>
      <c r="N884" s="38">
        <f>VLOOKUP(M884,'Dataset-3'!M275:AE664,2,)</f>
        <v>0.1515</v>
      </c>
      <c r="O884" s="38">
        <f>VLOOKUP(N884,'Dataset-3'!N275:AF664,2,)</f>
        <v>0.45</v>
      </c>
      <c r="P884" s="38">
        <f>VLOOKUP(O884,'Dataset-3'!O275:AG664,2,)</f>
        <v>0</v>
      </c>
      <c r="Q884" s="38">
        <f>VLOOKUP(P884,'Dataset-3'!P275:AH664,2,)</f>
        <v>0</v>
      </c>
      <c r="R884" s="38">
        <f>VLOOKUP(Q884,'Dataset-3'!Q275:AI664,2,)</f>
        <v>43</v>
      </c>
      <c r="S884" s="38">
        <f>VLOOKUP(R884,'Dataset-3'!R275:AJ664,2,)</f>
        <v>43</v>
      </c>
    </row>
    <row r="885" spans="1:19" x14ac:dyDescent="0.35">
      <c r="A885" s="37">
        <v>884</v>
      </c>
      <c r="B885" s="60">
        <f>VLOOKUP(A885,'Dataset-3'!A276:S665,2,)</f>
        <v>40583</v>
      </c>
      <c r="C885" s="38">
        <f>VLOOKUP(B885,'Dataset-3'!B276:T665,2,)</f>
        <v>1</v>
      </c>
      <c r="D885" s="38">
        <f>VLOOKUP(C885,'Dataset-3'!C276:U665,2,)</f>
        <v>0</v>
      </c>
      <c r="E885" s="38">
        <f>VLOOKUP(D885,'Dataset-3'!D276:V665,2,)</f>
        <v>2</v>
      </c>
      <c r="F885" s="38">
        <f>VLOOKUP(E885,'Dataset-3'!E276:W665,2,)</f>
        <v>7</v>
      </c>
      <c r="G885" s="41" t="str">
        <f>VLOOKUP(F885,'Dataset-3'!F276:X665,2,)</f>
        <v>Morning</v>
      </c>
      <c r="H885" s="38" t="b">
        <f>VLOOKUP(G885,'Dataset-3'!G276:Y665,2,)</f>
        <v>0</v>
      </c>
      <c r="I885" s="38">
        <f>VLOOKUP(H885,'Dataset-3'!H276:Z665,2,)</f>
        <v>3</v>
      </c>
      <c r="J885" s="41" t="str">
        <f>VLOOKUP(I885,'Dataset-3'!I276:AA665,2,)</f>
        <v>Tuesday</v>
      </c>
      <c r="K885" s="38">
        <f>VLOOKUP(J885,'Dataset-3'!J276:AB665,2,)</f>
        <v>1</v>
      </c>
      <c r="L885" s="38">
        <f>VLOOKUP(K885,'Dataset-3'!K276:AC665,2,)</f>
        <v>0.06</v>
      </c>
      <c r="M885" s="70" t="str">
        <f>VLOOKUP(L885,'Dataset-3'!L276:AD665,2,)</f>
        <v>Stromy</v>
      </c>
      <c r="N885" s="38">
        <f>VLOOKUP(M885,'Dataset-3'!M276:AE665,2,)</f>
        <v>0.1061</v>
      </c>
      <c r="O885" s="38">
        <f>VLOOKUP(N885,'Dataset-3'!N276:AF665,2,)</f>
        <v>0.49</v>
      </c>
      <c r="P885" s="38">
        <f>VLOOKUP(O885,'Dataset-3'!O276:AG665,2,)</f>
        <v>0.1045</v>
      </c>
      <c r="Q885" s="38">
        <f>VLOOKUP(P885,'Dataset-3'!P276:AH665,2,)</f>
        <v>4</v>
      </c>
      <c r="R885" s="38">
        <f>VLOOKUP(Q885,'Dataset-3'!Q276:AI665,2,)</f>
        <v>95</v>
      </c>
      <c r="S885" s="38">
        <f>VLOOKUP(R885,'Dataset-3'!R276:AJ665,2,)</f>
        <v>99</v>
      </c>
    </row>
    <row r="886" spans="1:19" x14ac:dyDescent="0.35">
      <c r="A886" s="37">
        <v>885</v>
      </c>
      <c r="B886" s="60">
        <f>VLOOKUP(A886,'Dataset-3'!A277:S666,2,)</f>
        <v>40583</v>
      </c>
      <c r="C886" s="38">
        <f>VLOOKUP(B886,'Dataset-3'!B277:T666,2,)</f>
        <v>1</v>
      </c>
      <c r="D886" s="38">
        <f>VLOOKUP(C886,'Dataset-3'!C277:U666,2,)</f>
        <v>0</v>
      </c>
      <c r="E886" s="38">
        <f>VLOOKUP(D886,'Dataset-3'!D277:V666,2,)</f>
        <v>2</v>
      </c>
      <c r="F886" s="38">
        <f>VLOOKUP(E886,'Dataset-3'!E277:W666,2,)</f>
        <v>8</v>
      </c>
      <c r="G886" s="41" t="str">
        <f>VLOOKUP(F886,'Dataset-3'!F277:X666,2,)</f>
        <v>Morning</v>
      </c>
      <c r="H886" s="38" t="b">
        <f>VLOOKUP(G886,'Dataset-3'!G277:Y666,2,)</f>
        <v>0</v>
      </c>
      <c r="I886" s="38">
        <f>VLOOKUP(H886,'Dataset-3'!H277:Z666,2,)</f>
        <v>3</v>
      </c>
      <c r="J886" s="41" t="str">
        <f>VLOOKUP(I886,'Dataset-3'!I277:AA666,2,)</f>
        <v>Tuesday</v>
      </c>
      <c r="K886" s="38">
        <f>VLOOKUP(J886,'Dataset-3'!J277:AB666,2,)</f>
        <v>1</v>
      </c>
      <c r="L886" s="38">
        <f>VLOOKUP(K886,'Dataset-3'!K277:AC666,2,)</f>
        <v>0.1</v>
      </c>
      <c r="M886" s="70" t="str">
        <f>VLOOKUP(L886,'Dataset-3'!L277:AD666,2,)</f>
        <v>Stromy</v>
      </c>
      <c r="N886" s="38">
        <f>VLOOKUP(M886,'Dataset-3'!M277:AE666,2,)</f>
        <v>0.13639999999999999</v>
      </c>
      <c r="O886" s="38">
        <f>VLOOKUP(N886,'Dataset-3'!N277:AF666,2,)</f>
        <v>0.42</v>
      </c>
      <c r="P886" s="38">
        <f>VLOOKUP(O886,'Dataset-3'!O277:AG666,2,)</f>
        <v>0</v>
      </c>
      <c r="Q886" s="38">
        <f>VLOOKUP(P886,'Dataset-3'!P277:AH666,2,)</f>
        <v>1</v>
      </c>
      <c r="R886" s="38">
        <f>VLOOKUP(Q886,'Dataset-3'!Q277:AI666,2,)</f>
        <v>198</v>
      </c>
      <c r="S886" s="38">
        <f>VLOOKUP(R886,'Dataset-3'!R277:AJ666,2,)</f>
        <v>199</v>
      </c>
    </row>
    <row r="887" spans="1:19" x14ac:dyDescent="0.35">
      <c r="A887" s="37">
        <v>886</v>
      </c>
      <c r="B887" s="60">
        <f>VLOOKUP(A887,'Dataset-3'!A278:S667,2,)</f>
        <v>40583</v>
      </c>
      <c r="C887" s="38">
        <f>VLOOKUP(B887,'Dataset-3'!B278:T667,2,)</f>
        <v>1</v>
      </c>
      <c r="D887" s="38">
        <f>VLOOKUP(C887,'Dataset-3'!C278:U667,2,)</f>
        <v>0</v>
      </c>
      <c r="E887" s="38">
        <f>VLOOKUP(D887,'Dataset-3'!D278:V667,2,)</f>
        <v>2</v>
      </c>
      <c r="F887" s="38">
        <f>VLOOKUP(E887,'Dataset-3'!E278:W667,2,)</f>
        <v>9</v>
      </c>
      <c r="G887" s="41" t="str">
        <f>VLOOKUP(F887,'Dataset-3'!F278:X667,2,)</f>
        <v>Morning</v>
      </c>
      <c r="H887" s="38" t="b">
        <f>VLOOKUP(G887,'Dataset-3'!G278:Y667,2,)</f>
        <v>0</v>
      </c>
      <c r="I887" s="38">
        <f>VLOOKUP(H887,'Dataset-3'!H278:Z667,2,)</f>
        <v>3</v>
      </c>
      <c r="J887" s="41" t="str">
        <f>VLOOKUP(I887,'Dataset-3'!I278:AA667,2,)</f>
        <v>Tuesday</v>
      </c>
      <c r="K887" s="38">
        <f>VLOOKUP(J887,'Dataset-3'!J278:AB667,2,)</f>
        <v>1</v>
      </c>
      <c r="L887" s="38">
        <f>VLOOKUP(K887,'Dataset-3'!K278:AC667,2,)</f>
        <v>0.12</v>
      </c>
      <c r="M887" s="70" t="str">
        <f>VLOOKUP(L887,'Dataset-3'!L278:AD667,2,)</f>
        <v>Rainy</v>
      </c>
      <c r="N887" s="38">
        <f>VLOOKUP(M887,'Dataset-3'!M278:AE667,2,)</f>
        <v>0.13639999999999999</v>
      </c>
      <c r="O887" s="38">
        <f>VLOOKUP(N887,'Dataset-3'!N278:AF667,2,)</f>
        <v>0.39</v>
      </c>
      <c r="P887" s="38">
        <f>VLOOKUP(O887,'Dataset-3'!O278:AG667,2,)</f>
        <v>0.16420000000000001</v>
      </c>
      <c r="Q887" s="38">
        <f>VLOOKUP(P887,'Dataset-3'!P278:AH667,2,)</f>
        <v>4</v>
      </c>
      <c r="R887" s="38">
        <f>VLOOKUP(Q887,'Dataset-3'!Q278:AI667,2,)</f>
        <v>119</v>
      </c>
      <c r="S887" s="38">
        <f>VLOOKUP(R887,'Dataset-3'!R278:AJ667,2,)</f>
        <v>123</v>
      </c>
    </row>
    <row r="888" spans="1:19" x14ac:dyDescent="0.35">
      <c r="A888" s="37">
        <v>887</v>
      </c>
      <c r="B888" s="60">
        <f>VLOOKUP(A888,'Dataset-3'!A279:S668,2,)</f>
        <v>40583</v>
      </c>
      <c r="C888" s="38">
        <f>VLOOKUP(B888,'Dataset-3'!B279:T668,2,)</f>
        <v>1</v>
      </c>
      <c r="D888" s="38">
        <f>VLOOKUP(C888,'Dataset-3'!C279:U668,2,)</f>
        <v>0</v>
      </c>
      <c r="E888" s="38">
        <f>VLOOKUP(D888,'Dataset-3'!D279:V668,2,)</f>
        <v>2</v>
      </c>
      <c r="F888" s="38">
        <f>VLOOKUP(E888,'Dataset-3'!E279:W668,2,)</f>
        <v>10</v>
      </c>
      <c r="G888" s="41" t="str">
        <f>VLOOKUP(F888,'Dataset-3'!F279:X668,2,)</f>
        <v>Morning</v>
      </c>
      <c r="H888" s="38" t="b">
        <f>VLOOKUP(G888,'Dataset-3'!G279:Y668,2,)</f>
        <v>0</v>
      </c>
      <c r="I888" s="38">
        <f>VLOOKUP(H888,'Dataset-3'!H279:Z668,2,)</f>
        <v>3</v>
      </c>
      <c r="J888" s="41" t="str">
        <f>VLOOKUP(I888,'Dataset-3'!I279:AA668,2,)</f>
        <v>Tuesday</v>
      </c>
      <c r="K888" s="38">
        <f>VLOOKUP(J888,'Dataset-3'!J279:AB668,2,)</f>
        <v>1</v>
      </c>
      <c r="L888" s="38">
        <f>VLOOKUP(K888,'Dataset-3'!K279:AC668,2,)</f>
        <v>0.14000000000000001</v>
      </c>
      <c r="M888" s="70" t="str">
        <f>VLOOKUP(L888,'Dataset-3'!L279:AD668,2,)</f>
        <v>Rainy</v>
      </c>
      <c r="N888" s="38">
        <f>VLOOKUP(M888,'Dataset-3'!M279:AE668,2,)</f>
        <v>0.18179999999999999</v>
      </c>
      <c r="O888" s="38">
        <f>VLOOKUP(N888,'Dataset-3'!N279:AF668,2,)</f>
        <v>0.36</v>
      </c>
      <c r="P888" s="38">
        <f>VLOOKUP(O888,'Dataset-3'!O279:AG668,2,)</f>
        <v>0</v>
      </c>
      <c r="Q888" s="38">
        <f>VLOOKUP(P888,'Dataset-3'!P279:AH668,2,)</f>
        <v>8</v>
      </c>
      <c r="R888" s="38">
        <f>VLOOKUP(Q888,'Dataset-3'!Q279:AI668,2,)</f>
        <v>51</v>
      </c>
      <c r="S888" s="38">
        <f>VLOOKUP(R888,'Dataset-3'!R279:AJ668,2,)</f>
        <v>59</v>
      </c>
    </row>
    <row r="889" spans="1:19" x14ac:dyDescent="0.35">
      <c r="A889" s="37">
        <v>888</v>
      </c>
      <c r="B889" s="60">
        <f>VLOOKUP(A889,'Dataset-3'!A280:S669,2,)</f>
        <v>40583</v>
      </c>
      <c r="C889" s="38">
        <f>VLOOKUP(B889,'Dataset-3'!B280:T669,2,)</f>
        <v>1</v>
      </c>
      <c r="D889" s="38">
        <f>VLOOKUP(C889,'Dataset-3'!C280:U669,2,)</f>
        <v>0</v>
      </c>
      <c r="E889" s="38">
        <f>VLOOKUP(D889,'Dataset-3'!D280:V669,2,)</f>
        <v>2</v>
      </c>
      <c r="F889" s="38">
        <f>VLOOKUP(E889,'Dataset-3'!E280:W669,2,)</f>
        <v>11</v>
      </c>
      <c r="G889" s="41" t="str">
        <f>VLOOKUP(F889,'Dataset-3'!F280:X669,2,)</f>
        <v>Morning</v>
      </c>
      <c r="H889" s="38" t="b">
        <f>VLOOKUP(G889,'Dataset-3'!G280:Y669,2,)</f>
        <v>0</v>
      </c>
      <c r="I889" s="38">
        <f>VLOOKUP(H889,'Dataset-3'!H280:Z669,2,)</f>
        <v>3</v>
      </c>
      <c r="J889" s="41" t="str">
        <f>VLOOKUP(I889,'Dataset-3'!I280:AA669,2,)</f>
        <v>Tuesday</v>
      </c>
      <c r="K889" s="38">
        <f>VLOOKUP(J889,'Dataset-3'!J280:AB669,2,)</f>
        <v>2</v>
      </c>
      <c r="L889" s="38">
        <f>VLOOKUP(K889,'Dataset-3'!K280:AC669,2,)</f>
        <v>0.14000000000000001</v>
      </c>
      <c r="M889" s="70" t="str">
        <f>VLOOKUP(L889,'Dataset-3'!L280:AD669,2,)</f>
        <v>Rainy</v>
      </c>
      <c r="N889" s="38">
        <f>VLOOKUP(M889,'Dataset-3'!M280:AE669,2,)</f>
        <v>0.1515</v>
      </c>
      <c r="O889" s="38">
        <f>VLOOKUP(N889,'Dataset-3'!N280:AF669,2,)</f>
        <v>0.43</v>
      </c>
      <c r="P889" s="38">
        <f>VLOOKUP(O889,'Dataset-3'!O280:AG669,2,)</f>
        <v>0.16420000000000001</v>
      </c>
      <c r="Q889" s="38">
        <f>VLOOKUP(P889,'Dataset-3'!P280:AH669,2,)</f>
        <v>1</v>
      </c>
      <c r="R889" s="38">
        <f>VLOOKUP(Q889,'Dataset-3'!Q280:AI669,2,)</f>
        <v>40</v>
      </c>
      <c r="S889" s="38">
        <f>VLOOKUP(R889,'Dataset-3'!R280:AJ669,2,)</f>
        <v>41</v>
      </c>
    </row>
    <row r="890" spans="1:19" x14ac:dyDescent="0.35">
      <c r="A890" s="37">
        <v>889</v>
      </c>
      <c r="B890" s="60">
        <f>VLOOKUP(A890,'Dataset-3'!A281:S670,2,)</f>
        <v>40583</v>
      </c>
      <c r="C890" s="38">
        <f>VLOOKUP(B890,'Dataset-3'!B281:T670,2,)</f>
        <v>1</v>
      </c>
      <c r="D890" s="38">
        <f>VLOOKUP(C890,'Dataset-3'!C281:U670,2,)</f>
        <v>0</v>
      </c>
      <c r="E890" s="38">
        <f>VLOOKUP(D890,'Dataset-3'!D281:V670,2,)</f>
        <v>2</v>
      </c>
      <c r="F890" s="38">
        <f>VLOOKUP(E890,'Dataset-3'!E281:W670,2,)</f>
        <v>12</v>
      </c>
      <c r="G890" s="41" t="str">
        <f>VLOOKUP(F890,'Dataset-3'!F281:X670,2,)</f>
        <v>AfterNoon</v>
      </c>
      <c r="H890" s="38" t="b">
        <f>VLOOKUP(G890,'Dataset-3'!G281:Y670,2,)</f>
        <v>0</v>
      </c>
      <c r="I890" s="38">
        <f>VLOOKUP(H890,'Dataset-3'!H281:Z670,2,)</f>
        <v>3</v>
      </c>
      <c r="J890" s="41" t="str">
        <f>VLOOKUP(I890,'Dataset-3'!I281:AA670,2,)</f>
        <v>Tuesday</v>
      </c>
      <c r="K890" s="38">
        <f>VLOOKUP(J890,'Dataset-3'!J281:AB670,2,)</f>
        <v>2</v>
      </c>
      <c r="L890" s="38">
        <f>VLOOKUP(K890,'Dataset-3'!K281:AC670,2,)</f>
        <v>0.18</v>
      </c>
      <c r="M890" s="70" t="str">
        <f>VLOOKUP(L890,'Dataset-3'!L281:AD670,2,)</f>
        <v>Rainy</v>
      </c>
      <c r="N890" s="38">
        <f>VLOOKUP(M890,'Dataset-3'!M281:AE670,2,)</f>
        <v>0.18179999999999999</v>
      </c>
      <c r="O890" s="38">
        <f>VLOOKUP(N890,'Dataset-3'!N281:AF670,2,)</f>
        <v>0.4</v>
      </c>
      <c r="P890" s="38">
        <f>VLOOKUP(O890,'Dataset-3'!O281:AG670,2,)</f>
        <v>0.22389999999999999</v>
      </c>
      <c r="Q890" s="38">
        <f>VLOOKUP(P890,'Dataset-3'!P281:AH670,2,)</f>
        <v>4</v>
      </c>
      <c r="R890" s="38">
        <f>VLOOKUP(Q890,'Dataset-3'!Q281:AI670,2,)</f>
        <v>57</v>
      </c>
      <c r="S890" s="38">
        <f>VLOOKUP(R890,'Dataset-3'!R281:AJ670,2,)</f>
        <v>61</v>
      </c>
    </row>
    <row r="891" spans="1:19" x14ac:dyDescent="0.35">
      <c r="A891" s="37">
        <v>890</v>
      </c>
      <c r="B891" s="60">
        <f>VLOOKUP(A891,'Dataset-3'!A282:S671,2,)</f>
        <v>40583</v>
      </c>
      <c r="C891" s="38">
        <f>VLOOKUP(B891,'Dataset-3'!B282:T671,2,)</f>
        <v>1</v>
      </c>
      <c r="D891" s="38">
        <f>VLOOKUP(C891,'Dataset-3'!C282:U671,2,)</f>
        <v>0</v>
      </c>
      <c r="E891" s="38">
        <f>VLOOKUP(D891,'Dataset-3'!D282:V671,2,)</f>
        <v>2</v>
      </c>
      <c r="F891" s="38">
        <f>VLOOKUP(E891,'Dataset-3'!E282:W671,2,)</f>
        <v>13</v>
      </c>
      <c r="G891" s="41" t="str">
        <f>VLOOKUP(F891,'Dataset-3'!F282:X671,2,)</f>
        <v>AfterNoon</v>
      </c>
      <c r="H891" s="38" t="b">
        <f>VLOOKUP(G891,'Dataset-3'!G282:Y671,2,)</f>
        <v>0</v>
      </c>
      <c r="I891" s="38">
        <f>VLOOKUP(H891,'Dataset-3'!H282:Z671,2,)</f>
        <v>3</v>
      </c>
      <c r="J891" s="41" t="str">
        <f>VLOOKUP(I891,'Dataset-3'!I282:AA671,2,)</f>
        <v>Tuesday</v>
      </c>
      <c r="K891" s="38">
        <f>VLOOKUP(J891,'Dataset-3'!J282:AB671,2,)</f>
        <v>1</v>
      </c>
      <c r="L891" s="38">
        <f>VLOOKUP(K891,'Dataset-3'!K282:AC671,2,)</f>
        <v>0.18</v>
      </c>
      <c r="M891" s="70" t="str">
        <f>VLOOKUP(L891,'Dataset-3'!L282:AD671,2,)</f>
        <v>Rainy</v>
      </c>
      <c r="N891" s="38">
        <f>VLOOKUP(M891,'Dataset-3'!M282:AE671,2,)</f>
        <v>0.16669999999999999</v>
      </c>
      <c r="O891" s="38">
        <f>VLOOKUP(N891,'Dataset-3'!N282:AF671,2,)</f>
        <v>0.4</v>
      </c>
      <c r="P891" s="38">
        <f>VLOOKUP(O891,'Dataset-3'!O282:AG671,2,)</f>
        <v>0.25369999999999998</v>
      </c>
      <c r="Q891" s="38">
        <f>VLOOKUP(P891,'Dataset-3'!P282:AH671,2,)</f>
        <v>2</v>
      </c>
      <c r="R891" s="38">
        <f>VLOOKUP(Q891,'Dataset-3'!Q282:AI671,2,)</f>
        <v>67</v>
      </c>
      <c r="S891" s="38">
        <f>VLOOKUP(R891,'Dataset-3'!R282:AJ671,2,)</f>
        <v>69</v>
      </c>
    </row>
    <row r="892" spans="1:19" x14ac:dyDescent="0.35">
      <c r="A892" s="37">
        <v>891</v>
      </c>
      <c r="B892" s="60">
        <f>VLOOKUP(A892,'Dataset-3'!A283:S672,2,)</f>
        <v>40583</v>
      </c>
      <c r="C892" s="38">
        <f>VLOOKUP(B892,'Dataset-3'!B283:T672,2,)</f>
        <v>1</v>
      </c>
      <c r="D892" s="38">
        <f>VLOOKUP(C892,'Dataset-3'!C283:U672,2,)</f>
        <v>0</v>
      </c>
      <c r="E892" s="38">
        <f>VLOOKUP(D892,'Dataset-3'!D283:V672,2,)</f>
        <v>2</v>
      </c>
      <c r="F892" s="38">
        <f>VLOOKUP(E892,'Dataset-3'!E283:W672,2,)</f>
        <v>14</v>
      </c>
      <c r="G892" s="41" t="str">
        <f>VLOOKUP(F892,'Dataset-3'!F283:X672,2,)</f>
        <v>AfterNoon</v>
      </c>
      <c r="H892" s="38" t="b">
        <f>VLOOKUP(G892,'Dataset-3'!G283:Y672,2,)</f>
        <v>0</v>
      </c>
      <c r="I892" s="38">
        <f>VLOOKUP(H892,'Dataset-3'!H283:Z672,2,)</f>
        <v>3</v>
      </c>
      <c r="J892" s="41" t="str">
        <f>VLOOKUP(I892,'Dataset-3'!I283:AA672,2,)</f>
        <v>Tuesday</v>
      </c>
      <c r="K892" s="38">
        <f>VLOOKUP(J892,'Dataset-3'!J283:AB672,2,)</f>
        <v>1</v>
      </c>
      <c r="L892" s="38">
        <f>VLOOKUP(K892,'Dataset-3'!K283:AC672,2,)</f>
        <v>0.2</v>
      </c>
      <c r="M892" s="70" t="str">
        <f>VLOOKUP(L892,'Dataset-3'!L283:AD672,2,)</f>
        <v>Rainy</v>
      </c>
      <c r="N892" s="38">
        <f>VLOOKUP(M892,'Dataset-3'!M283:AE672,2,)</f>
        <v>0.18179999999999999</v>
      </c>
      <c r="O892" s="38">
        <f>VLOOKUP(N892,'Dataset-3'!N283:AF672,2,)</f>
        <v>0.34</v>
      </c>
      <c r="P892" s="38">
        <f>VLOOKUP(O892,'Dataset-3'!O283:AG672,2,)</f>
        <v>0.29849999999999999</v>
      </c>
      <c r="Q892" s="38">
        <f>VLOOKUP(P892,'Dataset-3'!P283:AH672,2,)</f>
        <v>2</v>
      </c>
      <c r="R892" s="38">
        <f>VLOOKUP(Q892,'Dataset-3'!Q283:AI672,2,)</f>
        <v>56</v>
      </c>
      <c r="S892" s="38">
        <f>VLOOKUP(R892,'Dataset-3'!R283:AJ672,2,)</f>
        <v>58</v>
      </c>
    </row>
    <row r="893" spans="1:19" x14ac:dyDescent="0.35">
      <c r="A893" s="37">
        <v>892</v>
      </c>
      <c r="B893" s="60">
        <f>VLOOKUP(A893,'Dataset-3'!A284:S673,2,)</f>
        <v>40583</v>
      </c>
      <c r="C893" s="38">
        <f>VLOOKUP(B893,'Dataset-3'!B284:T673,2,)</f>
        <v>1</v>
      </c>
      <c r="D893" s="38">
        <f>VLOOKUP(C893,'Dataset-3'!C284:U673,2,)</f>
        <v>0</v>
      </c>
      <c r="E893" s="38">
        <f>VLOOKUP(D893,'Dataset-3'!D284:V673,2,)</f>
        <v>2</v>
      </c>
      <c r="F893" s="38">
        <f>VLOOKUP(E893,'Dataset-3'!E284:W673,2,)</f>
        <v>15</v>
      </c>
      <c r="G893" s="41" t="str">
        <f>VLOOKUP(F893,'Dataset-3'!F284:X673,2,)</f>
        <v>AfterNoon</v>
      </c>
      <c r="H893" s="38" t="b">
        <f>VLOOKUP(G893,'Dataset-3'!G284:Y673,2,)</f>
        <v>0</v>
      </c>
      <c r="I893" s="38">
        <f>VLOOKUP(H893,'Dataset-3'!H284:Z673,2,)</f>
        <v>3</v>
      </c>
      <c r="J893" s="41" t="str">
        <f>VLOOKUP(I893,'Dataset-3'!I284:AA673,2,)</f>
        <v>Tuesday</v>
      </c>
      <c r="K893" s="38">
        <f>VLOOKUP(J893,'Dataset-3'!J284:AB673,2,)</f>
        <v>2</v>
      </c>
      <c r="L893" s="38">
        <f>VLOOKUP(K893,'Dataset-3'!K284:AC673,2,)</f>
        <v>0.2</v>
      </c>
      <c r="M893" s="70" t="str">
        <f>VLOOKUP(L893,'Dataset-3'!L284:AD673,2,)</f>
        <v>Rainy</v>
      </c>
      <c r="N893" s="38">
        <f>VLOOKUP(M893,'Dataset-3'!M284:AE673,2,)</f>
        <v>0.18179999999999999</v>
      </c>
      <c r="O893" s="38">
        <f>VLOOKUP(N893,'Dataset-3'!N284:AF673,2,)</f>
        <v>0.34</v>
      </c>
      <c r="P893" s="38">
        <f>VLOOKUP(O893,'Dataset-3'!O284:AG673,2,)</f>
        <v>0.28360000000000002</v>
      </c>
      <c r="Q893" s="38">
        <f>VLOOKUP(P893,'Dataset-3'!P284:AH673,2,)</f>
        <v>3</v>
      </c>
      <c r="R893" s="38">
        <f>VLOOKUP(Q893,'Dataset-3'!Q284:AI673,2,)</f>
        <v>61</v>
      </c>
      <c r="S893" s="38">
        <f>VLOOKUP(R893,'Dataset-3'!R284:AJ673,2,)</f>
        <v>64</v>
      </c>
    </row>
    <row r="894" spans="1:19" x14ac:dyDescent="0.35">
      <c r="A894" s="37">
        <v>893</v>
      </c>
      <c r="B894" s="60">
        <f>VLOOKUP(A894,'Dataset-3'!A285:S674,2,)</f>
        <v>40583</v>
      </c>
      <c r="C894" s="38">
        <f>VLOOKUP(B894,'Dataset-3'!B285:T674,2,)</f>
        <v>1</v>
      </c>
      <c r="D894" s="38">
        <f>VLOOKUP(C894,'Dataset-3'!C285:U674,2,)</f>
        <v>0</v>
      </c>
      <c r="E894" s="38">
        <f>VLOOKUP(D894,'Dataset-3'!D285:V674,2,)</f>
        <v>2</v>
      </c>
      <c r="F894" s="38">
        <f>VLOOKUP(E894,'Dataset-3'!E285:W674,2,)</f>
        <v>16</v>
      </c>
      <c r="G894" s="41" t="str">
        <f>VLOOKUP(F894,'Dataset-3'!F285:X674,2,)</f>
        <v>AfterNoon</v>
      </c>
      <c r="H894" s="38" t="b">
        <f>VLOOKUP(G894,'Dataset-3'!G285:Y674,2,)</f>
        <v>0</v>
      </c>
      <c r="I894" s="38">
        <f>VLOOKUP(H894,'Dataset-3'!H285:Z674,2,)</f>
        <v>3</v>
      </c>
      <c r="J894" s="41" t="str">
        <f>VLOOKUP(I894,'Dataset-3'!I285:AA674,2,)</f>
        <v>Tuesday</v>
      </c>
      <c r="K894" s="38">
        <f>VLOOKUP(J894,'Dataset-3'!J285:AB674,2,)</f>
        <v>2</v>
      </c>
      <c r="L894" s="38">
        <f>VLOOKUP(K894,'Dataset-3'!K285:AC674,2,)</f>
        <v>0.2</v>
      </c>
      <c r="M894" s="70" t="str">
        <f>VLOOKUP(L894,'Dataset-3'!L285:AD674,2,)</f>
        <v>Rainy</v>
      </c>
      <c r="N894" s="38">
        <f>VLOOKUP(M894,'Dataset-3'!M285:AE674,2,)</f>
        <v>0.19700000000000001</v>
      </c>
      <c r="O894" s="38">
        <f>VLOOKUP(N894,'Dataset-3'!N285:AF674,2,)</f>
        <v>0.37</v>
      </c>
      <c r="P894" s="38">
        <f>VLOOKUP(O894,'Dataset-3'!O285:AG674,2,)</f>
        <v>0.25369999999999998</v>
      </c>
      <c r="Q894" s="38">
        <f>VLOOKUP(P894,'Dataset-3'!P285:AH674,2,)</f>
        <v>7</v>
      </c>
      <c r="R894" s="38">
        <f>VLOOKUP(Q894,'Dataset-3'!Q285:AI674,2,)</f>
        <v>72</v>
      </c>
      <c r="S894" s="38">
        <f>VLOOKUP(R894,'Dataset-3'!R285:AJ674,2,)</f>
        <v>79</v>
      </c>
    </row>
    <row r="895" spans="1:19" x14ac:dyDescent="0.35">
      <c r="A895" s="37">
        <v>894</v>
      </c>
      <c r="B895" s="60">
        <f>VLOOKUP(A895,'Dataset-3'!A286:S675,2,)</f>
        <v>40583</v>
      </c>
      <c r="C895" s="38">
        <f>VLOOKUP(B895,'Dataset-3'!B286:T675,2,)</f>
        <v>1</v>
      </c>
      <c r="D895" s="38">
        <f>VLOOKUP(C895,'Dataset-3'!C286:U675,2,)</f>
        <v>0</v>
      </c>
      <c r="E895" s="38">
        <f>VLOOKUP(D895,'Dataset-3'!D286:V675,2,)</f>
        <v>2</v>
      </c>
      <c r="F895" s="38">
        <f>VLOOKUP(E895,'Dataset-3'!E286:W675,2,)</f>
        <v>17</v>
      </c>
      <c r="G895" s="41" t="str">
        <f>VLOOKUP(F895,'Dataset-3'!F286:X675,2,)</f>
        <v>Evening</v>
      </c>
      <c r="H895" s="38" t="b">
        <f>VLOOKUP(G895,'Dataset-3'!G286:Y675,2,)</f>
        <v>0</v>
      </c>
      <c r="I895" s="38">
        <f>VLOOKUP(H895,'Dataset-3'!H286:Z675,2,)</f>
        <v>3</v>
      </c>
      <c r="J895" s="41" t="str">
        <f>VLOOKUP(I895,'Dataset-3'!I286:AA675,2,)</f>
        <v>Tuesday</v>
      </c>
      <c r="K895" s="38">
        <f>VLOOKUP(J895,'Dataset-3'!J286:AB675,2,)</f>
        <v>2</v>
      </c>
      <c r="L895" s="38">
        <f>VLOOKUP(K895,'Dataset-3'!K286:AC675,2,)</f>
        <v>0.2</v>
      </c>
      <c r="M895" s="70" t="str">
        <f>VLOOKUP(L895,'Dataset-3'!L286:AD675,2,)</f>
        <v>Rainy</v>
      </c>
      <c r="N895" s="38">
        <f>VLOOKUP(M895,'Dataset-3'!M286:AE675,2,)</f>
        <v>0.19700000000000001</v>
      </c>
      <c r="O895" s="38">
        <f>VLOOKUP(N895,'Dataset-3'!N286:AF675,2,)</f>
        <v>0.34</v>
      </c>
      <c r="P895" s="38">
        <f>VLOOKUP(O895,'Dataset-3'!O286:AG675,2,)</f>
        <v>0.25369999999999998</v>
      </c>
      <c r="Q895" s="38">
        <f>VLOOKUP(P895,'Dataset-3'!P286:AH675,2,)</f>
        <v>9</v>
      </c>
      <c r="R895" s="38">
        <f>VLOOKUP(Q895,'Dataset-3'!Q286:AI675,2,)</f>
        <v>157</v>
      </c>
      <c r="S895" s="38">
        <f>VLOOKUP(R895,'Dataset-3'!R286:AJ675,2,)</f>
        <v>166</v>
      </c>
    </row>
    <row r="896" spans="1:19" x14ac:dyDescent="0.35">
      <c r="A896" s="37">
        <v>895</v>
      </c>
      <c r="B896" s="60">
        <f>VLOOKUP(A896,'Dataset-3'!A287:S676,2,)</f>
        <v>40583</v>
      </c>
      <c r="C896" s="38">
        <f>VLOOKUP(B896,'Dataset-3'!B287:T676,2,)</f>
        <v>1</v>
      </c>
      <c r="D896" s="38">
        <f>VLOOKUP(C896,'Dataset-3'!C287:U676,2,)</f>
        <v>0</v>
      </c>
      <c r="E896" s="38">
        <f>VLOOKUP(D896,'Dataset-3'!D287:V676,2,)</f>
        <v>2</v>
      </c>
      <c r="F896" s="38">
        <f>VLOOKUP(E896,'Dataset-3'!E287:W676,2,)</f>
        <v>18</v>
      </c>
      <c r="G896" s="41" t="str">
        <f>VLOOKUP(F896,'Dataset-3'!F287:X676,2,)</f>
        <v>Evening</v>
      </c>
      <c r="H896" s="38" t="b">
        <f>VLOOKUP(G896,'Dataset-3'!G287:Y676,2,)</f>
        <v>0</v>
      </c>
      <c r="I896" s="38">
        <f>VLOOKUP(H896,'Dataset-3'!H287:Z676,2,)</f>
        <v>3</v>
      </c>
      <c r="J896" s="41" t="str">
        <f>VLOOKUP(I896,'Dataset-3'!I287:AA676,2,)</f>
        <v>Tuesday</v>
      </c>
      <c r="K896" s="38">
        <f>VLOOKUP(J896,'Dataset-3'!J287:AB676,2,)</f>
        <v>2</v>
      </c>
      <c r="L896" s="38">
        <f>VLOOKUP(K896,'Dataset-3'!K287:AC676,2,)</f>
        <v>0.18</v>
      </c>
      <c r="M896" s="70" t="str">
        <f>VLOOKUP(L896,'Dataset-3'!L287:AD676,2,)</f>
        <v>Rainy</v>
      </c>
      <c r="N896" s="38">
        <f>VLOOKUP(M896,'Dataset-3'!M287:AE676,2,)</f>
        <v>0.16669999999999999</v>
      </c>
      <c r="O896" s="38">
        <f>VLOOKUP(N896,'Dataset-3'!N287:AF676,2,)</f>
        <v>0.47</v>
      </c>
      <c r="P896" s="38">
        <f>VLOOKUP(O896,'Dataset-3'!O287:AG676,2,)</f>
        <v>0.29849999999999999</v>
      </c>
      <c r="Q896" s="38">
        <f>VLOOKUP(P896,'Dataset-3'!P287:AH676,2,)</f>
        <v>2</v>
      </c>
      <c r="R896" s="38">
        <f>VLOOKUP(Q896,'Dataset-3'!Q287:AI676,2,)</f>
        <v>168</v>
      </c>
      <c r="S896" s="38">
        <f>VLOOKUP(R896,'Dataset-3'!R287:AJ676,2,)</f>
        <v>170</v>
      </c>
    </row>
    <row r="897" spans="1:19" x14ac:dyDescent="0.35">
      <c r="A897" s="37">
        <v>896</v>
      </c>
      <c r="B897" s="60">
        <f>VLOOKUP(A897,'Dataset-3'!A288:S677,2,)</f>
        <v>40583</v>
      </c>
      <c r="C897" s="38">
        <f>VLOOKUP(B897,'Dataset-3'!B288:T677,2,)</f>
        <v>1</v>
      </c>
      <c r="D897" s="38">
        <f>VLOOKUP(C897,'Dataset-3'!C288:U677,2,)</f>
        <v>0</v>
      </c>
      <c r="E897" s="38">
        <f>VLOOKUP(D897,'Dataset-3'!D288:V677,2,)</f>
        <v>2</v>
      </c>
      <c r="F897" s="38">
        <f>VLOOKUP(E897,'Dataset-3'!E288:W677,2,)</f>
        <v>19</v>
      </c>
      <c r="G897" s="41" t="str">
        <f>VLOOKUP(F897,'Dataset-3'!F288:X677,2,)</f>
        <v>Evening</v>
      </c>
      <c r="H897" s="38" t="b">
        <f>VLOOKUP(G897,'Dataset-3'!G288:Y677,2,)</f>
        <v>0</v>
      </c>
      <c r="I897" s="38">
        <f>VLOOKUP(H897,'Dataset-3'!H288:Z677,2,)</f>
        <v>3</v>
      </c>
      <c r="J897" s="41" t="str">
        <f>VLOOKUP(I897,'Dataset-3'!I288:AA677,2,)</f>
        <v>Tuesday</v>
      </c>
      <c r="K897" s="38">
        <f>VLOOKUP(J897,'Dataset-3'!J288:AB677,2,)</f>
        <v>3</v>
      </c>
      <c r="L897" s="38">
        <f>VLOOKUP(K897,'Dataset-3'!K288:AC677,2,)</f>
        <v>0.14000000000000001</v>
      </c>
      <c r="M897" s="70" t="str">
        <f>VLOOKUP(L897,'Dataset-3'!L288:AD677,2,)</f>
        <v>Rainy</v>
      </c>
      <c r="N897" s="38">
        <f>VLOOKUP(M897,'Dataset-3'!M288:AE677,2,)</f>
        <v>0.1212</v>
      </c>
      <c r="O897" s="38">
        <f>VLOOKUP(N897,'Dataset-3'!N288:AF677,2,)</f>
        <v>0.86</v>
      </c>
      <c r="P897" s="38">
        <f>VLOOKUP(O897,'Dataset-3'!O288:AG677,2,)</f>
        <v>0.25369999999999998</v>
      </c>
      <c r="Q897" s="38">
        <f>VLOOKUP(P897,'Dataset-3'!P288:AH677,2,)</f>
        <v>1</v>
      </c>
      <c r="R897" s="38">
        <f>VLOOKUP(Q897,'Dataset-3'!Q288:AI677,2,)</f>
        <v>87</v>
      </c>
      <c r="S897" s="38">
        <f>VLOOKUP(R897,'Dataset-3'!R288:AJ677,2,)</f>
        <v>88</v>
      </c>
    </row>
    <row r="898" spans="1:19" x14ac:dyDescent="0.35">
      <c r="A898" s="37">
        <v>897</v>
      </c>
      <c r="B898" s="60">
        <f>VLOOKUP(A898,'Dataset-3'!A289:S678,2,)</f>
        <v>40583</v>
      </c>
      <c r="C898" s="38">
        <f>VLOOKUP(B898,'Dataset-3'!B289:T678,2,)</f>
        <v>1</v>
      </c>
      <c r="D898" s="38">
        <f>VLOOKUP(C898,'Dataset-3'!C289:U678,2,)</f>
        <v>0</v>
      </c>
      <c r="E898" s="38">
        <f>VLOOKUP(D898,'Dataset-3'!D289:V678,2,)</f>
        <v>2</v>
      </c>
      <c r="F898" s="38">
        <f>VLOOKUP(E898,'Dataset-3'!E289:W678,2,)</f>
        <v>20</v>
      </c>
      <c r="G898" s="41" t="str">
        <f>VLOOKUP(F898,'Dataset-3'!F289:X678,2,)</f>
        <v>Night</v>
      </c>
      <c r="H898" s="38" t="b">
        <f>VLOOKUP(G898,'Dataset-3'!G289:Y678,2,)</f>
        <v>0</v>
      </c>
      <c r="I898" s="38">
        <f>VLOOKUP(H898,'Dataset-3'!H289:Z678,2,)</f>
        <v>3</v>
      </c>
      <c r="J898" s="41" t="str">
        <f>VLOOKUP(I898,'Dataset-3'!I289:AA678,2,)</f>
        <v>Tuesday</v>
      </c>
      <c r="K898" s="38">
        <f>VLOOKUP(J898,'Dataset-3'!J289:AB678,2,)</f>
        <v>3</v>
      </c>
      <c r="L898" s="38">
        <f>VLOOKUP(K898,'Dataset-3'!K289:AC678,2,)</f>
        <v>0.14000000000000001</v>
      </c>
      <c r="M898" s="70" t="str">
        <f>VLOOKUP(L898,'Dataset-3'!L289:AD678,2,)</f>
        <v>Rainy</v>
      </c>
      <c r="N898" s="38">
        <f>VLOOKUP(M898,'Dataset-3'!M289:AE678,2,)</f>
        <v>0.1515</v>
      </c>
      <c r="O898" s="38">
        <f>VLOOKUP(N898,'Dataset-3'!N289:AF678,2,)</f>
        <v>0.86</v>
      </c>
      <c r="P898" s="38">
        <f>VLOOKUP(O898,'Dataset-3'!O289:AG678,2,)</f>
        <v>0.16420000000000001</v>
      </c>
      <c r="Q898" s="38">
        <f>VLOOKUP(P898,'Dataset-3'!P289:AH678,2,)</f>
        <v>0</v>
      </c>
      <c r="R898" s="38">
        <f>VLOOKUP(Q898,'Dataset-3'!Q289:AI678,2,)</f>
        <v>84</v>
      </c>
      <c r="S898" s="38">
        <f>VLOOKUP(R898,'Dataset-3'!R289:AJ678,2,)</f>
        <v>84</v>
      </c>
    </row>
    <row r="899" spans="1:19" x14ac:dyDescent="0.35">
      <c r="A899" s="37">
        <v>898</v>
      </c>
      <c r="B899" s="60">
        <f>VLOOKUP(A899,'Dataset-3'!A290:S679,2,)</f>
        <v>40583</v>
      </c>
      <c r="C899" s="38">
        <f>VLOOKUP(B899,'Dataset-3'!B290:T679,2,)</f>
        <v>1</v>
      </c>
      <c r="D899" s="38">
        <f>VLOOKUP(C899,'Dataset-3'!C290:U679,2,)</f>
        <v>0</v>
      </c>
      <c r="E899" s="38">
        <f>VLOOKUP(D899,'Dataset-3'!D290:V679,2,)</f>
        <v>2</v>
      </c>
      <c r="F899" s="38">
        <f>VLOOKUP(E899,'Dataset-3'!E290:W679,2,)</f>
        <v>21</v>
      </c>
      <c r="G899" s="41" t="str">
        <f>VLOOKUP(F899,'Dataset-3'!F290:X679,2,)</f>
        <v>Night</v>
      </c>
      <c r="H899" s="38" t="b">
        <f>VLOOKUP(G899,'Dataset-3'!G290:Y679,2,)</f>
        <v>0</v>
      </c>
      <c r="I899" s="38">
        <f>VLOOKUP(H899,'Dataset-3'!H290:Z679,2,)</f>
        <v>3</v>
      </c>
      <c r="J899" s="41" t="str">
        <f>VLOOKUP(I899,'Dataset-3'!I290:AA679,2,)</f>
        <v>Tuesday</v>
      </c>
      <c r="K899" s="38">
        <f>VLOOKUP(J899,'Dataset-3'!J290:AB679,2,)</f>
        <v>2</v>
      </c>
      <c r="L899" s="38">
        <f>VLOOKUP(K899,'Dataset-3'!K290:AC679,2,)</f>
        <v>0.14000000000000001</v>
      </c>
      <c r="M899" s="70" t="str">
        <f>VLOOKUP(L899,'Dataset-3'!L290:AD679,2,)</f>
        <v>Rainy</v>
      </c>
      <c r="N899" s="38">
        <f>VLOOKUP(M899,'Dataset-3'!M290:AE679,2,)</f>
        <v>0.1515</v>
      </c>
      <c r="O899" s="38">
        <f>VLOOKUP(N899,'Dataset-3'!N290:AF679,2,)</f>
        <v>0.86</v>
      </c>
      <c r="P899" s="38">
        <f>VLOOKUP(O899,'Dataset-3'!O290:AG679,2,)</f>
        <v>0.16420000000000001</v>
      </c>
      <c r="Q899" s="38">
        <f>VLOOKUP(P899,'Dataset-3'!P290:AH679,2,)</f>
        <v>0</v>
      </c>
      <c r="R899" s="38">
        <f>VLOOKUP(Q899,'Dataset-3'!Q290:AI679,2,)</f>
        <v>83</v>
      </c>
      <c r="S899" s="38">
        <f>VLOOKUP(R899,'Dataset-3'!R290:AJ679,2,)</f>
        <v>83</v>
      </c>
    </row>
    <row r="900" spans="1:19" x14ac:dyDescent="0.35">
      <c r="A900" s="37">
        <v>899</v>
      </c>
      <c r="B900" s="60">
        <f>VLOOKUP(A900,'Dataset-3'!A291:S680,2,)</f>
        <v>40583</v>
      </c>
      <c r="C900" s="38">
        <f>VLOOKUP(B900,'Dataset-3'!B291:T680,2,)</f>
        <v>1</v>
      </c>
      <c r="D900" s="38">
        <f>VLOOKUP(C900,'Dataset-3'!C291:U680,2,)</f>
        <v>0</v>
      </c>
      <c r="E900" s="38">
        <f>VLOOKUP(D900,'Dataset-3'!D291:V680,2,)</f>
        <v>2</v>
      </c>
      <c r="F900" s="38">
        <f>VLOOKUP(E900,'Dataset-3'!E291:W680,2,)</f>
        <v>22</v>
      </c>
      <c r="G900" s="41" t="str">
        <f>VLOOKUP(F900,'Dataset-3'!F291:X680,2,)</f>
        <v>Night</v>
      </c>
      <c r="H900" s="38" t="b">
        <f>VLOOKUP(G900,'Dataset-3'!G291:Y680,2,)</f>
        <v>0</v>
      </c>
      <c r="I900" s="38">
        <f>VLOOKUP(H900,'Dataset-3'!H291:Z680,2,)</f>
        <v>3</v>
      </c>
      <c r="J900" s="41" t="str">
        <f>VLOOKUP(I900,'Dataset-3'!I291:AA680,2,)</f>
        <v>Tuesday</v>
      </c>
      <c r="K900" s="38">
        <f>VLOOKUP(J900,'Dataset-3'!J291:AB680,2,)</f>
        <v>3</v>
      </c>
      <c r="L900" s="38">
        <f>VLOOKUP(K900,'Dataset-3'!K291:AC680,2,)</f>
        <v>0.16</v>
      </c>
      <c r="M900" s="70" t="str">
        <f>VLOOKUP(L900,'Dataset-3'!L291:AD680,2,)</f>
        <v>Rainy</v>
      </c>
      <c r="N900" s="38">
        <f>VLOOKUP(M900,'Dataset-3'!M291:AE680,2,)</f>
        <v>0.16669999999999999</v>
      </c>
      <c r="O900" s="38">
        <f>VLOOKUP(N900,'Dataset-3'!N291:AF680,2,)</f>
        <v>0.8</v>
      </c>
      <c r="P900" s="38">
        <f>VLOOKUP(O900,'Dataset-3'!O291:AG680,2,)</f>
        <v>0.16420000000000001</v>
      </c>
      <c r="Q900" s="38">
        <f>VLOOKUP(P900,'Dataset-3'!P291:AH680,2,)</f>
        <v>4</v>
      </c>
      <c r="R900" s="38">
        <f>VLOOKUP(Q900,'Dataset-3'!Q291:AI680,2,)</f>
        <v>42</v>
      </c>
      <c r="S900" s="38">
        <f>VLOOKUP(R900,'Dataset-3'!R291:AJ680,2,)</f>
        <v>46</v>
      </c>
    </row>
    <row r="901" spans="1:19" x14ac:dyDescent="0.35">
      <c r="A901" s="37">
        <v>900</v>
      </c>
      <c r="B901" s="60">
        <f>VLOOKUP(A901,'Dataset-3'!A292:S681,2,)</f>
        <v>40583</v>
      </c>
      <c r="C901" s="38">
        <f>VLOOKUP(B901,'Dataset-3'!B292:T681,2,)</f>
        <v>1</v>
      </c>
      <c r="D901" s="38">
        <f>VLOOKUP(C901,'Dataset-3'!C292:U681,2,)</f>
        <v>0</v>
      </c>
      <c r="E901" s="38">
        <f>VLOOKUP(D901,'Dataset-3'!D292:V681,2,)</f>
        <v>2</v>
      </c>
      <c r="F901" s="38">
        <f>VLOOKUP(E901,'Dataset-3'!E292:W681,2,)</f>
        <v>23</v>
      </c>
      <c r="G901" s="41" t="str">
        <f>VLOOKUP(F901,'Dataset-3'!F292:X681,2,)</f>
        <v>Night</v>
      </c>
      <c r="H901" s="38" t="b">
        <f>VLOOKUP(G901,'Dataset-3'!G292:Y681,2,)</f>
        <v>0</v>
      </c>
      <c r="I901" s="38">
        <f>VLOOKUP(H901,'Dataset-3'!H292:Z681,2,)</f>
        <v>3</v>
      </c>
      <c r="J901" s="41" t="str">
        <f>VLOOKUP(I901,'Dataset-3'!I292:AA681,2,)</f>
        <v>Tuesday</v>
      </c>
      <c r="K901" s="38">
        <f>VLOOKUP(J901,'Dataset-3'!J292:AB681,2,)</f>
        <v>3</v>
      </c>
      <c r="L901" s="38">
        <f>VLOOKUP(K901,'Dataset-3'!K292:AC681,2,)</f>
        <v>0.16</v>
      </c>
      <c r="M901" s="70" t="str">
        <f>VLOOKUP(L901,'Dataset-3'!L292:AD681,2,)</f>
        <v>Rainy</v>
      </c>
      <c r="N901" s="38">
        <f>VLOOKUP(M901,'Dataset-3'!M292:AE681,2,)</f>
        <v>0.1515</v>
      </c>
      <c r="O901" s="38">
        <f>VLOOKUP(N901,'Dataset-3'!N292:AF681,2,)</f>
        <v>0.8</v>
      </c>
      <c r="P901" s="38">
        <f>VLOOKUP(O901,'Dataset-3'!O292:AG681,2,)</f>
        <v>0.19400000000000001</v>
      </c>
      <c r="Q901" s="38">
        <f>VLOOKUP(P901,'Dataset-3'!P292:AH681,2,)</f>
        <v>0</v>
      </c>
      <c r="R901" s="38">
        <f>VLOOKUP(Q901,'Dataset-3'!Q292:AI681,2,)</f>
        <v>37</v>
      </c>
      <c r="S901" s="38">
        <f>VLOOKUP(R901,'Dataset-3'!R292:AJ681,2,)</f>
        <v>37</v>
      </c>
    </row>
    <row r="902" spans="1:19" x14ac:dyDescent="0.35">
      <c r="A902" s="37">
        <v>901</v>
      </c>
      <c r="B902" s="60">
        <f>VLOOKUP(A902,'Dataset-3'!A293:S682,2,)</f>
        <v>40584</v>
      </c>
      <c r="C902" s="38">
        <f>VLOOKUP(B902,'Dataset-3'!B293:T682,2,)</f>
        <v>1</v>
      </c>
      <c r="D902" s="38">
        <f>VLOOKUP(C902,'Dataset-3'!C293:U682,2,)</f>
        <v>0</v>
      </c>
      <c r="E902" s="38">
        <f>VLOOKUP(D902,'Dataset-3'!D293:V682,2,)</f>
        <v>2</v>
      </c>
      <c r="F902" s="38">
        <f>VLOOKUP(E902,'Dataset-3'!E293:W682,2,)</f>
        <v>0</v>
      </c>
      <c r="G902" s="41" t="str">
        <f>VLOOKUP(F902,'Dataset-3'!F293:X682,2,)</f>
        <v>Night</v>
      </c>
      <c r="H902" s="38" t="b">
        <f>VLOOKUP(G902,'Dataset-3'!G293:Y682,2,)</f>
        <v>0</v>
      </c>
      <c r="I902" s="38">
        <f>VLOOKUP(H902,'Dataset-3'!H293:Z682,2,)</f>
        <v>4</v>
      </c>
      <c r="J902" s="41" t="str">
        <f>VLOOKUP(I902,'Dataset-3'!I293:AA682,2,)</f>
        <v>Wednesday</v>
      </c>
      <c r="K902" s="38">
        <f>VLOOKUP(J902,'Dataset-3'!J293:AB682,2,)</f>
        <v>3</v>
      </c>
      <c r="L902" s="38">
        <f>VLOOKUP(K902,'Dataset-3'!K293:AC682,2,)</f>
        <v>0.14000000000000001</v>
      </c>
      <c r="M902" s="70" t="str">
        <f>VLOOKUP(L902,'Dataset-3'!L293:AD682,2,)</f>
        <v>Rainy</v>
      </c>
      <c r="N902" s="38">
        <f>VLOOKUP(M902,'Dataset-3'!M293:AE682,2,)</f>
        <v>0.13639999999999999</v>
      </c>
      <c r="O902" s="38">
        <f>VLOOKUP(N902,'Dataset-3'!N293:AF682,2,)</f>
        <v>0.86</v>
      </c>
      <c r="P902" s="38">
        <f>VLOOKUP(O902,'Dataset-3'!O293:AG682,2,)</f>
        <v>0.19400000000000001</v>
      </c>
      <c r="Q902" s="38">
        <f>VLOOKUP(P902,'Dataset-3'!P293:AH682,2,)</f>
        <v>0</v>
      </c>
      <c r="R902" s="38">
        <f>VLOOKUP(Q902,'Dataset-3'!Q293:AI682,2,)</f>
        <v>16</v>
      </c>
      <c r="S902" s="38">
        <f>VLOOKUP(R902,'Dataset-3'!R293:AJ682,2,)</f>
        <v>16</v>
      </c>
    </row>
    <row r="903" spans="1:19" x14ac:dyDescent="0.35">
      <c r="A903" s="37">
        <v>902</v>
      </c>
      <c r="B903" s="60">
        <f>VLOOKUP(A903,'Dataset-3'!A294:S683,2,)</f>
        <v>40584</v>
      </c>
      <c r="C903" s="38">
        <f>VLOOKUP(B903,'Dataset-3'!B294:T683,2,)</f>
        <v>1</v>
      </c>
      <c r="D903" s="38">
        <f>VLOOKUP(C903,'Dataset-3'!C294:U683,2,)</f>
        <v>0</v>
      </c>
      <c r="E903" s="38">
        <f>VLOOKUP(D903,'Dataset-3'!D294:V683,2,)</f>
        <v>2</v>
      </c>
      <c r="F903" s="38">
        <f>VLOOKUP(E903,'Dataset-3'!E294:W683,2,)</f>
        <v>1</v>
      </c>
      <c r="G903" s="41" t="str">
        <f>VLOOKUP(F903,'Dataset-3'!F294:X683,2,)</f>
        <v>Night</v>
      </c>
      <c r="H903" s="38" t="b">
        <f>VLOOKUP(G903,'Dataset-3'!G294:Y683,2,)</f>
        <v>0</v>
      </c>
      <c r="I903" s="38">
        <f>VLOOKUP(H903,'Dataset-3'!H294:Z683,2,)</f>
        <v>4</v>
      </c>
      <c r="J903" s="41" t="str">
        <f>VLOOKUP(I903,'Dataset-3'!I294:AA683,2,)</f>
        <v>Wednesday</v>
      </c>
      <c r="K903" s="38">
        <f>VLOOKUP(J903,'Dataset-3'!J294:AB683,2,)</f>
        <v>3</v>
      </c>
      <c r="L903" s="38">
        <f>VLOOKUP(K903,'Dataset-3'!K294:AC683,2,)</f>
        <v>0.14000000000000001</v>
      </c>
      <c r="M903" s="70" t="str">
        <f>VLOOKUP(L903,'Dataset-3'!L294:AD683,2,)</f>
        <v>Rainy</v>
      </c>
      <c r="N903" s="38">
        <f>VLOOKUP(M903,'Dataset-3'!M294:AE683,2,)</f>
        <v>0.1515</v>
      </c>
      <c r="O903" s="38">
        <f>VLOOKUP(N903,'Dataset-3'!N294:AF683,2,)</f>
        <v>0.8</v>
      </c>
      <c r="P903" s="38">
        <f>VLOOKUP(O903,'Dataset-3'!O294:AG683,2,)</f>
        <v>0.1343</v>
      </c>
      <c r="Q903" s="38">
        <f>VLOOKUP(P903,'Dataset-3'!P294:AH683,2,)</f>
        <v>0</v>
      </c>
      <c r="R903" s="38">
        <f>VLOOKUP(Q903,'Dataset-3'!Q294:AI683,2,)</f>
        <v>7</v>
      </c>
      <c r="S903" s="38">
        <f>VLOOKUP(R903,'Dataset-3'!R294:AJ683,2,)</f>
        <v>7</v>
      </c>
    </row>
    <row r="904" spans="1:19" x14ac:dyDescent="0.35">
      <c r="A904" s="37">
        <v>903</v>
      </c>
      <c r="B904" s="60">
        <f>VLOOKUP(A904,'Dataset-3'!A295:S684,2,)</f>
        <v>40584</v>
      </c>
      <c r="C904" s="38">
        <f>VLOOKUP(B904,'Dataset-3'!B295:T684,2,)</f>
        <v>1</v>
      </c>
      <c r="D904" s="38">
        <f>VLOOKUP(C904,'Dataset-3'!C295:U684,2,)</f>
        <v>0</v>
      </c>
      <c r="E904" s="38">
        <f>VLOOKUP(D904,'Dataset-3'!D295:V684,2,)</f>
        <v>2</v>
      </c>
      <c r="F904" s="38">
        <f>VLOOKUP(E904,'Dataset-3'!E295:W684,2,)</f>
        <v>2</v>
      </c>
      <c r="G904" s="41" t="str">
        <f>VLOOKUP(F904,'Dataset-3'!F295:X684,2,)</f>
        <v>Night</v>
      </c>
      <c r="H904" s="38" t="b">
        <f>VLOOKUP(G904,'Dataset-3'!G295:Y684,2,)</f>
        <v>0</v>
      </c>
      <c r="I904" s="38">
        <f>VLOOKUP(H904,'Dataset-3'!H295:Z684,2,)</f>
        <v>4</v>
      </c>
      <c r="J904" s="41" t="str">
        <f>VLOOKUP(I904,'Dataset-3'!I295:AA684,2,)</f>
        <v>Wednesday</v>
      </c>
      <c r="K904" s="38">
        <f>VLOOKUP(J904,'Dataset-3'!J295:AB684,2,)</f>
        <v>3</v>
      </c>
      <c r="L904" s="38">
        <f>VLOOKUP(K904,'Dataset-3'!K295:AC684,2,)</f>
        <v>0.14000000000000001</v>
      </c>
      <c r="M904" s="70" t="str">
        <f>VLOOKUP(L904,'Dataset-3'!L295:AD684,2,)</f>
        <v>Rainy</v>
      </c>
      <c r="N904" s="38">
        <f>VLOOKUP(M904,'Dataset-3'!M295:AE684,2,)</f>
        <v>0.1515</v>
      </c>
      <c r="O904" s="38">
        <f>VLOOKUP(N904,'Dataset-3'!N295:AF684,2,)</f>
        <v>0.8</v>
      </c>
      <c r="P904" s="38">
        <f>VLOOKUP(O904,'Dataset-3'!O295:AG684,2,)</f>
        <v>0.1343</v>
      </c>
      <c r="Q904" s="38">
        <f>VLOOKUP(P904,'Dataset-3'!P295:AH684,2,)</f>
        <v>0</v>
      </c>
      <c r="R904" s="38">
        <f>VLOOKUP(Q904,'Dataset-3'!Q295:AI684,2,)</f>
        <v>3</v>
      </c>
      <c r="S904" s="38">
        <f>VLOOKUP(R904,'Dataset-3'!R295:AJ684,2,)</f>
        <v>3</v>
      </c>
    </row>
    <row r="905" spans="1:19" x14ac:dyDescent="0.35">
      <c r="A905" s="37">
        <v>904</v>
      </c>
      <c r="B905" s="60">
        <f>VLOOKUP(A905,'Dataset-3'!A296:S685,2,)</f>
        <v>40584</v>
      </c>
      <c r="C905" s="38">
        <f>VLOOKUP(B905,'Dataset-3'!B296:T685,2,)</f>
        <v>1</v>
      </c>
      <c r="D905" s="38">
        <f>VLOOKUP(C905,'Dataset-3'!C296:U685,2,)</f>
        <v>0</v>
      </c>
      <c r="E905" s="38">
        <f>VLOOKUP(D905,'Dataset-3'!D296:V685,2,)</f>
        <v>2</v>
      </c>
      <c r="F905" s="38">
        <f>VLOOKUP(E905,'Dataset-3'!E296:W685,2,)</f>
        <v>4</v>
      </c>
      <c r="G905" s="41" t="str">
        <f>VLOOKUP(F905,'Dataset-3'!F296:X685,2,)</f>
        <v>Night</v>
      </c>
      <c r="H905" s="38" t="b">
        <f>VLOOKUP(G905,'Dataset-3'!G296:Y685,2,)</f>
        <v>0</v>
      </c>
      <c r="I905" s="38">
        <f>VLOOKUP(H905,'Dataset-3'!H296:Z685,2,)</f>
        <v>4</v>
      </c>
      <c r="J905" s="41" t="str">
        <f>VLOOKUP(I905,'Dataset-3'!I296:AA685,2,)</f>
        <v>Wednesday</v>
      </c>
      <c r="K905" s="38">
        <f>VLOOKUP(J905,'Dataset-3'!J296:AB685,2,)</f>
        <v>2</v>
      </c>
      <c r="L905" s="38">
        <f>VLOOKUP(K905,'Dataset-3'!K296:AC685,2,)</f>
        <v>0.14000000000000001</v>
      </c>
      <c r="M905" s="70" t="str">
        <f>VLOOKUP(L905,'Dataset-3'!L296:AD685,2,)</f>
        <v>Rainy</v>
      </c>
      <c r="N905" s="38">
        <f>VLOOKUP(M905,'Dataset-3'!M296:AE685,2,)</f>
        <v>0.13639999999999999</v>
      </c>
      <c r="O905" s="38">
        <f>VLOOKUP(N905,'Dataset-3'!N296:AF685,2,)</f>
        <v>0.59</v>
      </c>
      <c r="P905" s="38">
        <f>VLOOKUP(O905,'Dataset-3'!O296:AG685,2,)</f>
        <v>0.22389999999999999</v>
      </c>
      <c r="Q905" s="38">
        <f>VLOOKUP(P905,'Dataset-3'!P296:AH685,2,)</f>
        <v>0</v>
      </c>
      <c r="R905" s="38">
        <f>VLOOKUP(Q905,'Dataset-3'!Q296:AI685,2,)</f>
        <v>1</v>
      </c>
      <c r="S905" s="38">
        <f>VLOOKUP(R905,'Dataset-3'!R296:AJ685,2,)</f>
        <v>1</v>
      </c>
    </row>
    <row r="906" spans="1:19" x14ac:dyDescent="0.35">
      <c r="A906" s="37">
        <v>905</v>
      </c>
      <c r="B906" s="60">
        <f>VLOOKUP(A906,'Dataset-3'!A297:S686,2,)</f>
        <v>40584</v>
      </c>
      <c r="C906" s="38">
        <f>VLOOKUP(B906,'Dataset-3'!B297:T686,2,)</f>
        <v>1</v>
      </c>
      <c r="D906" s="38">
        <f>VLOOKUP(C906,'Dataset-3'!C297:U686,2,)</f>
        <v>0</v>
      </c>
      <c r="E906" s="38">
        <f>VLOOKUP(D906,'Dataset-3'!D297:V686,2,)</f>
        <v>2</v>
      </c>
      <c r="F906" s="38">
        <f>VLOOKUP(E906,'Dataset-3'!E297:W686,2,)</f>
        <v>5</v>
      </c>
      <c r="G906" s="41" t="str">
        <f>VLOOKUP(F906,'Dataset-3'!F297:X686,2,)</f>
        <v>Morning</v>
      </c>
      <c r="H906" s="38" t="b">
        <f>VLOOKUP(G906,'Dataset-3'!G297:Y686,2,)</f>
        <v>0</v>
      </c>
      <c r="I906" s="38">
        <f>VLOOKUP(H906,'Dataset-3'!H297:Z686,2,)</f>
        <v>4</v>
      </c>
      <c r="J906" s="41" t="str">
        <f>VLOOKUP(I906,'Dataset-3'!I297:AA686,2,)</f>
        <v>Wednesday</v>
      </c>
      <c r="K906" s="38">
        <f>VLOOKUP(J906,'Dataset-3'!J297:AB686,2,)</f>
        <v>2</v>
      </c>
      <c r="L906" s="38">
        <f>VLOOKUP(K906,'Dataset-3'!K297:AC686,2,)</f>
        <v>0.12</v>
      </c>
      <c r="M906" s="70" t="str">
        <f>VLOOKUP(L906,'Dataset-3'!L297:AD686,2,)</f>
        <v>Rainy</v>
      </c>
      <c r="N906" s="38">
        <f>VLOOKUP(M906,'Dataset-3'!M297:AE686,2,)</f>
        <v>0.1212</v>
      </c>
      <c r="O906" s="38">
        <f>VLOOKUP(N906,'Dataset-3'!N297:AF686,2,)</f>
        <v>0.5</v>
      </c>
      <c r="P906" s="38">
        <f>VLOOKUP(O906,'Dataset-3'!O297:AG686,2,)</f>
        <v>0.22389999999999999</v>
      </c>
      <c r="Q906" s="38">
        <f>VLOOKUP(P906,'Dataset-3'!P297:AH686,2,)</f>
        <v>0</v>
      </c>
      <c r="R906" s="38">
        <f>VLOOKUP(Q906,'Dataset-3'!Q297:AI686,2,)</f>
        <v>6</v>
      </c>
      <c r="S906" s="38">
        <f>VLOOKUP(R906,'Dataset-3'!R297:AJ686,2,)</f>
        <v>6</v>
      </c>
    </row>
    <row r="907" spans="1:19" x14ac:dyDescent="0.35">
      <c r="A907" s="37">
        <v>906</v>
      </c>
      <c r="B907" s="60">
        <f>VLOOKUP(A907,'Dataset-3'!A298:S687,2,)</f>
        <v>40584</v>
      </c>
      <c r="C907" s="38">
        <f>VLOOKUP(B907,'Dataset-3'!B298:T687,2,)</f>
        <v>1</v>
      </c>
      <c r="D907" s="38">
        <f>VLOOKUP(C907,'Dataset-3'!C298:U687,2,)</f>
        <v>0</v>
      </c>
      <c r="E907" s="38">
        <f>VLOOKUP(D907,'Dataset-3'!D298:V687,2,)</f>
        <v>2</v>
      </c>
      <c r="F907" s="38">
        <f>VLOOKUP(E907,'Dataset-3'!E298:W687,2,)</f>
        <v>6</v>
      </c>
      <c r="G907" s="41" t="str">
        <f>VLOOKUP(F907,'Dataset-3'!F298:X687,2,)</f>
        <v>Morning</v>
      </c>
      <c r="H907" s="38" t="b">
        <f>VLOOKUP(G907,'Dataset-3'!G298:Y687,2,)</f>
        <v>0</v>
      </c>
      <c r="I907" s="38">
        <f>VLOOKUP(H907,'Dataset-3'!H298:Z687,2,)</f>
        <v>4</v>
      </c>
      <c r="J907" s="41" t="str">
        <f>VLOOKUP(I907,'Dataset-3'!I298:AA687,2,)</f>
        <v>Wednesday</v>
      </c>
      <c r="K907" s="38">
        <f>VLOOKUP(J907,'Dataset-3'!J298:AB687,2,)</f>
        <v>2</v>
      </c>
      <c r="L907" s="38">
        <f>VLOOKUP(K907,'Dataset-3'!K298:AC687,2,)</f>
        <v>0.12</v>
      </c>
      <c r="M907" s="70" t="str">
        <f>VLOOKUP(L907,'Dataset-3'!L298:AD687,2,)</f>
        <v>Rainy</v>
      </c>
      <c r="N907" s="38">
        <f>VLOOKUP(M907,'Dataset-3'!M298:AE687,2,)</f>
        <v>0.1212</v>
      </c>
      <c r="O907" s="38">
        <f>VLOOKUP(N907,'Dataset-3'!N298:AF687,2,)</f>
        <v>0.54</v>
      </c>
      <c r="P907" s="38">
        <f>VLOOKUP(O907,'Dataset-3'!O298:AG687,2,)</f>
        <v>0.28360000000000002</v>
      </c>
      <c r="Q907" s="38">
        <f>VLOOKUP(P907,'Dataset-3'!P298:AH687,2,)</f>
        <v>0</v>
      </c>
      <c r="R907" s="38">
        <f>VLOOKUP(Q907,'Dataset-3'!Q298:AI687,2,)</f>
        <v>26</v>
      </c>
      <c r="S907" s="38">
        <f>VLOOKUP(R907,'Dataset-3'!R298:AJ687,2,)</f>
        <v>26</v>
      </c>
    </row>
    <row r="908" spans="1:19" x14ac:dyDescent="0.35">
      <c r="A908" s="37">
        <v>907</v>
      </c>
      <c r="B908" s="60">
        <f>VLOOKUP(A908,'Dataset-3'!A299:S688,2,)</f>
        <v>40584</v>
      </c>
      <c r="C908" s="38">
        <f>VLOOKUP(B908,'Dataset-3'!B299:T688,2,)</f>
        <v>1</v>
      </c>
      <c r="D908" s="38">
        <f>VLOOKUP(C908,'Dataset-3'!C299:U688,2,)</f>
        <v>0</v>
      </c>
      <c r="E908" s="38">
        <f>VLOOKUP(D908,'Dataset-3'!D299:V688,2,)</f>
        <v>2</v>
      </c>
      <c r="F908" s="38">
        <f>VLOOKUP(E908,'Dataset-3'!E299:W688,2,)</f>
        <v>7</v>
      </c>
      <c r="G908" s="41" t="str">
        <f>VLOOKUP(F908,'Dataset-3'!F299:X688,2,)</f>
        <v>Morning</v>
      </c>
      <c r="H908" s="38" t="b">
        <f>VLOOKUP(G908,'Dataset-3'!G299:Y688,2,)</f>
        <v>0</v>
      </c>
      <c r="I908" s="38">
        <f>VLOOKUP(H908,'Dataset-3'!H299:Z688,2,)</f>
        <v>4</v>
      </c>
      <c r="J908" s="41" t="str">
        <f>VLOOKUP(I908,'Dataset-3'!I299:AA688,2,)</f>
        <v>Wednesday</v>
      </c>
      <c r="K908" s="38">
        <f>VLOOKUP(J908,'Dataset-3'!J299:AB688,2,)</f>
        <v>1</v>
      </c>
      <c r="L908" s="38">
        <f>VLOOKUP(K908,'Dataset-3'!K299:AC688,2,)</f>
        <v>0.1</v>
      </c>
      <c r="M908" s="70" t="str">
        <f>VLOOKUP(L908,'Dataset-3'!L299:AD688,2,)</f>
        <v>Stromy</v>
      </c>
      <c r="N908" s="38">
        <f>VLOOKUP(M908,'Dataset-3'!M299:AE688,2,)</f>
        <v>7.5800000000000006E-2</v>
      </c>
      <c r="O908" s="38">
        <f>VLOOKUP(N908,'Dataset-3'!N299:AF688,2,)</f>
        <v>0.5</v>
      </c>
      <c r="P908" s="38">
        <f>VLOOKUP(O908,'Dataset-3'!O299:AG688,2,)</f>
        <v>0.41789999999999999</v>
      </c>
      <c r="Q908" s="38">
        <f>VLOOKUP(P908,'Dataset-3'!P299:AH688,2,)</f>
        <v>0</v>
      </c>
      <c r="R908" s="38">
        <f>VLOOKUP(Q908,'Dataset-3'!Q299:AI688,2,)</f>
        <v>99</v>
      </c>
      <c r="S908" s="38">
        <f>VLOOKUP(R908,'Dataset-3'!R299:AJ688,2,)</f>
        <v>99</v>
      </c>
    </row>
    <row r="909" spans="1:19" x14ac:dyDescent="0.35">
      <c r="A909" s="37">
        <v>908</v>
      </c>
      <c r="B909" s="60">
        <f>VLOOKUP(A909,'Dataset-3'!A300:S689,2,)</f>
        <v>40584</v>
      </c>
      <c r="C909" s="38">
        <f>VLOOKUP(B909,'Dataset-3'!B300:T689,2,)</f>
        <v>1</v>
      </c>
      <c r="D909" s="38">
        <f>VLOOKUP(C909,'Dataset-3'!C300:U689,2,)</f>
        <v>0</v>
      </c>
      <c r="E909" s="38">
        <f>VLOOKUP(D909,'Dataset-3'!D300:V689,2,)</f>
        <v>2</v>
      </c>
      <c r="F909" s="38">
        <f>VLOOKUP(E909,'Dataset-3'!E300:W689,2,)</f>
        <v>8</v>
      </c>
      <c r="G909" s="41" t="str">
        <f>VLOOKUP(F909,'Dataset-3'!F300:X689,2,)</f>
        <v>Morning</v>
      </c>
      <c r="H909" s="38" t="b">
        <f>VLOOKUP(G909,'Dataset-3'!G300:Y689,2,)</f>
        <v>0</v>
      </c>
      <c r="I909" s="38">
        <f>VLOOKUP(H909,'Dataset-3'!H300:Z689,2,)</f>
        <v>4</v>
      </c>
      <c r="J909" s="41" t="str">
        <f>VLOOKUP(I909,'Dataset-3'!I300:AA689,2,)</f>
        <v>Wednesday</v>
      </c>
      <c r="K909" s="38">
        <f>VLOOKUP(J909,'Dataset-3'!J300:AB689,2,)</f>
        <v>1</v>
      </c>
      <c r="L909" s="38">
        <f>VLOOKUP(K909,'Dataset-3'!K300:AC689,2,)</f>
        <v>0.1</v>
      </c>
      <c r="M909" s="70" t="str">
        <f>VLOOKUP(L909,'Dataset-3'!L300:AD689,2,)</f>
        <v>Stromy</v>
      </c>
      <c r="N909" s="38">
        <f>VLOOKUP(M909,'Dataset-3'!M300:AE689,2,)</f>
        <v>7.5800000000000006E-2</v>
      </c>
      <c r="O909" s="38">
        <f>VLOOKUP(N909,'Dataset-3'!N300:AF689,2,)</f>
        <v>0.49</v>
      </c>
      <c r="P909" s="38">
        <f>VLOOKUP(O909,'Dataset-3'!O300:AG689,2,)</f>
        <v>0.32840000000000003</v>
      </c>
      <c r="Q909" s="38">
        <f>VLOOKUP(P909,'Dataset-3'!P300:AH689,2,)</f>
        <v>5</v>
      </c>
      <c r="R909" s="38">
        <f>VLOOKUP(Q909,'Dataset-3'!Q300:AI689,2,)</f>
        <v>173</v>
      </c>
      <c r="S909" s="38">
        <f>VLOOKUP(R909,'Dataset-3'!R300:AJ689,2,)</f>
        <v>178</v>
      </c>
    </row>
    <row r="910" spans="1:19" x14ac:dyDescent="0.35">
      <c r="A910" s="37">
        <v>909</v>
      </c>
      <c r="B910" s="60">
        <f>VLOOKUP(A910,'Dataset-3'!A301:S690,2,)</f>
        <v>40584</v>
      </c>
      <c r="C910" s="38">
        <f>VLOOKUP(B910,'Dataset-3'!B301:T690,2,)</f>
        <v>1</v>
      </c>
      <c r="D910" s="38">
        <f>VLOOKUP(C910,'Dataset-3'!C301:U690,2,)</f>
        <v>0</v>
      </c>
      <c r="E910" s="38">
        <f>VLOOKUP(D910,'Dataset-3'!D301:V690,2,)</f>
        <v>2</v>
      </c>
      <c r="F910" s="38">
        <f>VLOOKUP(E910,'Dataset-3'!E301:W690,2,)</f>
        <v>9</v>
      </c>
      <c r="G910" s="41" t="str">
        <f>VLOOKUP(F910,'Dataset-3'!F301:X690,2,)</f>
        <v>Morning</v>
      </c>
      <c r="H910" s="38" t="b">
        <f>VLOOKUP(G910,'Dataset-3'!G301:Y690,2,)</f>
        <v>0</v>
      </c>
      <c r="I910" s="38">
        <f>VLOOKUP(H910,'Dataset-3'!H301:Z690,2,)</f>
        <v>4</v>
      </c>
      <c r="J910" s="41" t="str">
        <f>VLOOKUP(I910,'Dataset-3'!I301:AA690,2,)</f>
        <v>Wednesday</v>
      </c>
      <c r="K910" s="38">
        <f>VLOOKUP(J910,'Dataset-3'!J301:AB690,2,)</f>
        <v>1</v>
      </c>
      <c r="L910" s="38">
        <f>VLOOKUP(K910,'Dataset-3'!K301:AC690,2,)</f>
        <v>0.12</v>
      </c>
      <c r="M910" s="70" t="str">
        <f>VLOOKUP(L910,'Dataset-3'!L301:AD690,2,)</f>
        <v>Rainy</v>
      </c>
      <c r="N910" s="38">
        <f>VLOOKUP(M910,'Dataset-3'!M301:AE690,2,)</f>
        <v>0.1061</v>
      </c>
      <c r="O910" s="38">
        <f>VLOOKUP(N910,'Dataset-3'!N301:AF690,2,)</f>
        <v>0.42</v>
      </c>
      <c r="P910" s="38">
        <f>VLOOKUP(O910,'Dataset-3'!O301:AG690,2,)</f>
        <v>0.35820000000000002</v>
      </c>
      <c r="Q910" s="38">
        <f>VLOOKUP(P910,'Dataset-3'!P301:AH690,2,)</f>
        <v>1</v>
      </c>
      <c r="R910" s="38">
        <f>VLOOKUP(Q910,'Dataset-3'!Q301:AI690,2,)</f>
        <v>121</v>
      </c>
      <c r="S910" s="38">
        <f>VLOOKUP(R910,'Dataset-3'!R301:AJ690,2,)</f>
        <v>122</v>
      </c>
    </row>
    <row r="911" spans="1:19" x14ac:dyDescent="0.35">
      <c r="A911" s="37">
        <v>910</v>
      </c>
      <c r="B911" s="60">
        <f>VLOOKUP(A911,'Dataset-3'!A302:S691,2,)</f>
        <v>40584</v>
      </c>
      <c r="C911" s="38">
        <f>VLOOKUP(B911,'Dataset-3'!B302:T691,2,)</f>
        <v>1</v>
      </c>
      <c r="D911" s="38">
        <f>VLOOKUP(C911,'Dataset-3'!C302:U691,2,)</f>
        <v>0</v>
      </c>
      <c r="E911" s="38">
        <f>VLOOKUP(D911,'Dataset-3'!D302:V691,2,)</f>
        <v>2</v>
      </c>
      <c r="F911" s="38">
        <f>VLOOKUP(E911,'Dataset-3'!E302:W691,2,)</f>
        <v>10</v>
      </c>
      <c r="G911" s="41" t="str">
        <f>VLOOKUP(F911,'Dataset-3'!F302:X691,2,)</f>
        <v>Morning</v>
      </c>
      <c r="H911" s="38" t="b">
        <f>VLOOKUP(G911,'Dataset-3'!G302:Y691,2,)</f>
        <v>0</v>
      </c>
      <c r="I911" s="38">
        <f>VLOOKUP(H911,'Dataset-3'!H302:Z691,2,)</f>
        <v>4</v>
      </c>
      <c r="J911" s="41" t="str">
        <f>VLOOKUP(I911,'Dataset-3'!I302:AA691,2,)</f>
        <v>Wednesday</v>
      </c>
      <c r="K911" s="38">
        <f>VLOOKUP(J911,'Dataset-3'!J302:AB691,2,)</f>
        <v>1</v>
      </c>
      <c r="L911" s="38">
        <f>VLOOKUP(K911,'Dataset-3'!K302:AC691,2,)</f>
        <v>0.12</v>
      </c>
      <c r="M911" s="70" t="str">
        <f>VLOOKUP(L911,'Dataset-3'!L302:AD691,2,)</f>
        <v>Rainy</v>
      </c>
      <c r="N911" s="38">
        <f>VLOOKUP(M911,'Dataset-3'!M302:AE691,2,)</f>
        <v>0.1061</v>
      </c>
      <c r="O911" s="38">
        <f>VLOOKUP(N911,'Dataset-3'!N302:AF691,2,)</f>
        <v>0.42</v>
      </c>
      <c r="P911" s="38">
        <f>VLOOKUP(O911,'Dataset-3'!O302:AG691,2,)</f>
        <v>0.29849999999999999</v>
      </c>
      <c r="Q911" s="38">
        <f>VLOOKUP(P911,'Dataset-3'!P302:AH691,2,)</f>
        <v>1</v>
      </c>
      <c r="R911" s="38">
        <f>VLOOKUP(Q911,'Dataset-3'!Q302:AI691,2,)</f>
        <v>34</v>
      </c>
      <c r="S911" s="38">
        <f>VLOOKUP(R911,'Dataset-3'!R302:AJ691,2,)</f>
        <v>35</v>
      </c>
    </row>
    <row r="912" spans="1:19" x14ac:dyDescent="0.35">
      <c r="A912" s="37">
        <v>911</v>
      </c>
      <c r="B912" s="60">
        <f>VLOOKUP(A912,'Dataset-3'!A303:S692,2,)</f>
        <v>40584</v>
      </c>
      <c r="C912" s="38">
        <f>VLOOKUP(B912,'Dataset-3'!B303:T692,2,)</f>
        <v>1</v>
      </c>
      <c r="D912" s="38">
        <f>VLOOKUP(C912,'Dataset-3'!C303:U692,2,)</f>
        <v>0</v>
      </c>
      <c r="E912" s="38">
        <f>VLOOKUP(D912,'Dataset-3'!D303:V692,2,)</f>
        <v>2</v>
      </c>
      <c r="F912" s="38">
        <f>VLOOKUP(E912,'Dataset-3'!E303:W692,2,)</f>
        <v>11</v>
      </c>
      <c r="G912" s="41" t="str">
        <f>VLOOKUP(F912,'Dataset-3'!F303:X692,2,)</f>
        <v>Morning</v>
      </c>
      <c r="H912" s="38" t="b">
        <f>VLOOKUP(G912,'Dataset-3'!G303:Y692,2,)</f>
        <v>0</v>
      </c>
      <c r="I912" s="38">
        <f>VLOOKUP(H912,'Dataset-3'!H303:Z692,2,)</f>
        <v>4</v>
      </c>
      <c r="J912" s="41" t="str">
        <f>VLOOKUP(I912,'Dataset-3'!I303:AA692,2,)</f>
        <v>Wednesday</v>
      </c>
      <c r="K912" s="38">
        <f>VLOOKUP(J912,'Dataset-3'!J303:AB692,2,)</f>
        <v>1</v>
      </c>
      <c r="L912" s="38">
        <f>VLOOKUP(K912,'Dataset-3'!K303:AC692,2,)</f>
        <v>0.14000000000000001</v>
      </c>
      <c r="M912" s="70" t="str">
        <f>VLOOKUP(L912,'Dataset-3'!L303:AD692,2,)</f>
        <v>Rainy</v>
      </c>
      <c r="N912" s="38">
        <f>VLOOKUP(M912,'Dataset-3'!M303:AE692,2,)</f>
        <v>0.1212</v>
      </c>
      <c r="O912" s="38">
        <f>VLOOKUP(N912,'Dataset-3'!N303:AF692,2,)</f>
        <v>0.39</v>
      </c>
      <c r="P912" s="38">
        <f>VLOOKUP(O912,'Dataset-3'!O303:AG692,2,)</f>
        <v>0.35820000000000002</v>
      </c>
      <c r="Q912" s="38">
        <f>VLOOKUP(P912,'Dataset-3'!P303:AH692,2,)</f>
        <v>1</v>
      </c>
      <c r="R912" s="38">
        <f>VLOOKUP(Q912,'Dataset-3'!Q303:AI692,2,)</f>
        <v>44</v>
      </c>
      <c r="S912" s="38">
        <f>VLOOKUP(R912,'Dataset-3'!R303:AJ692,2,)</f>
        <v>45</v>
      </c>
    </row>
    <row r="913" spans="1:19" x14ac:dyDescent="0.35">
      <c r="A913" s="37">
        <v>912</v>
      </c>
      <c r="B913" s="60">
        <f>VLOOKUP(A913,'Dataset-3'!A304:S693,2,)</f>
        <v>40584</v>
      </c>
      <c r="C913" s="38">
        <f>VLOOKUP(B913,'Dataset-3'!B304:T693,2,)</f>
        <v>1</v>
      </c>
      <c r="D913" s="38">
        <f>VLOOKUP(C913,'Dataset-3'!C304:U693,2,)</f>
        <v>0</v>
      </c>
      <c r="E913" s="38">
        <f>VLOOKUP(D913,'Dataset-3'!D304:V693,2,)</f>
        <v>2</v>
      </c>
      <c r="F913" s="38">
        <f>VLOOKUP(E913,'Dataset-3'!E304:W693,2,)</f>
        <v>12</v>
      </c>
      <c r="G913" s="41" t="str">
        <f>VLOOKUP(F913,'Dataset-3'!F304:X693,2,)</f>
        <v>AfterNoon</v>
      </c>
      <c r="H913" s="38" t="b">
        <f>VLOOKUP(G913,'Dataset-3'!G304:Y693,2,)</f>
        <v>0</v>
      </c>
      <c r="I913" s="38">
        <f>VLOOKUP(H913,'Dataset-3'!H304:Z693,2,)</f>
        <v>4</v>
      </c>
      <c r="J913" s="41" t="str">
        <f>VLOOKUP(I913,'Dataset-3'!I304:AA693,2,)</f>
        <v>Wednesday</v>
      </c>
      <c r="K913" s="38">
        <f>VLOOKUP(J913,'Dataset-3'!J304:AB693,2,)</f>
        <v>1</v>
      </c>
      <c r="L913" s="38">
        <f>VLOOKUP(K913,'Dataset-3'!K304:AC693,2,)</f>
        <v>0.16</v>
      </c>
      <c r="M913" s="70" t="str">
        <f>VLOOKUP(L913,'Dataset-3'!L304:AD693,2,)</f>
        <v>Rainy</v>
      </c>
      <c r="N913" s="38">
        <f>VLOOKUP(M913,'Dataset-3'!M304:AE693,2,)</f>
        <v>0.13639999999999999</v>
      </c>
      <c r="O913" s="38">
        <f>VLOOKUP(N913,'Dataset-3'!N304:AF693,2,)</f>
        <v>0.34</v>
      </c>
      <c r="P913" s="38">
        <f>VLOOKUP(O913,'Dataset-3'!O304:AG693,2,)</f>
        <v>0.3881</v>
      </c>
      <c r="Q913" s="38">
        <f>VLOOKUP(P913,'Dataset-3'!P304:AH693,2,)</f>
        <v>4</v>
      </c>
      <c r="R913" s="38">
        <f>VLOOKUP(Q913,'Dataset-3'!Q304:AI693,2,)</f>
        <v>65</v>
      </c>
      <c r="S913" s="38">
        <f>VLOOKUP(R913,'Dataset-3'!R304:AJ693,2,)</f>
        <v>69</v>
      </c>
    </row>
    <row r="914" spans="1:19" x14ac:dyDescent="0.35">
      <c r="A914" s="37">
        <v>913</v>
      </c>
      <c r="B914" s="60">
        <f>VLOOKUP(A914,'Dataset-3'!A305:S694,2,)</f>
        <v>40584</v>
      </c>
      <c r="C914" s="38">
        <f>VLOOKUP(B914,'Dataset-3'!B305:T694,2,)</f>
        <v>1</v>
      </c>
      <c r="D914" s="38">
        <f>VLOOKUP(C914,'Dataset-3'!C305:U694,2,)</f>
        <v>0</v>
      </c>
      <c r="E914" s="38">
        <f>VLOOKUP(D914,'Dataset-3'!D305:V694,2,)</f>
        <v>2</v>
      </c>
      <c r="F914" s="38">
        <f>VLOOKUP(E914,'Dataset-3'!E305:W694,2,)</f>
        <v>13</v>
      </c>
      <c r="G914" s="41" t="str">
        <f>VLOOKUP(F914,'Dataset-3'!F305:X694,2,)</f>
        <v>AfterNoon</v>
      </c>
      <c r="H914" s="38" t="b">
        <f>VLOOKUP(G914,'Dataset-3'!G305:Y694,2,)</f>
        <v>0</v>
      </c>
      <c r="I914" s="38">
        <f>VLOOKUP(H914,'Dataset-3'!H305:Z694,2,)</f>
        <v>4</v>
      </c>
      <c r="J914" s="41" t="str">
        <f>VLOOKUP(I914,'Dataset-3'!I305:AA694,2,)</f>
        <v>Wednesday</v>
      </c>
      <c r="K914" s="38">
        <f>VLOOKUP(J914,'Dataset-3'!J305:AB694,2,)</f>
        <v>1</v>
      </c>
      <c r="L914" s="38">
        <f>VLOOKUP(K914,'Dataset-3'!K305:AC694,2,)</f>
        <v>0.18</v>
      </c>
      <c r="M914" s="70" t="str">
        <f>VLOOKUP(L914,'Dataset-3'!L305:AD694,2,)</f>
        <v>Rainy</v>
      </c>
      <c r="N914" s="38">
        <f>VLOOKUP(M914,'Dataset-3'!M305:AE694,2,)</f>
        <v>0.16669999999999999</v>
      </c>
      <c r="O914" s="38">
        <f>VLOOKUP(N914,'Dataset-3'!N305:AF694,2,)</f>
        <v>0.28999999999999998</v>
      </c>
      <c r="P914" s="38">
        <f>VLOOKUP(O914,'Dataset-3'!O305:AG694,2,)</f>
        <v>0.29849999999999999</v>
      </c>
      <c r="Q914" s="38">
        <f>VLOOKUP(P914,'Dataset-3'!P305:AH694,2,)</f>
        <v>3</v>
      </c>
      <c r="R914" s="38">
        <f>VLOOKUP(Q914,'Dataset-3'!Q305:AI694,2,)</f>
        <v>59</v>
      </c>
      <c r="S914" s="38">
        <f>VLOOKUP(R914,'Dataset-3'!R305:AJ694,2,)</f>
        <v>62</v>
      </c>
    </row>
    <row r="915" spans="1:19" x14ac:dyDescent="0.35">
      <c r="A915" s="37">
        <v>914</v>
      </c>
      <c r="B915" s="60">
        <f>VLOOKUP(A915,'Dataset-3'!A306:S695,2,)</f>
        <v>40584</v>
      </c>
      <c r="C915" s="38">
        <f>VLOOKUP(B915,'Dataset-3'!B306:T695,2,)</f>
        <v>1</v>
      </c>
      <c r="D915" s="38">
        <f>VLOOKUP(C915,'Dataset-3'!C306:U695,2,)</f>
        <v>0</v>
      </c>
      <c r="E915" s="38">
        <f>VLOOKUP(D915,'Dataset-3'!D306:V695,2,)</f>
        <v>2</v>
      </c>
      <c r="F915" s="38">
        <f>VLOOKUP(E915,'Dataset-3'!E306:W695,2,)</f>
        <v>14</v>
      </c>
      <c r="G915" s="41" t="str">
        <f>VLOOKUP(F915,'Dataset-3'!F306:X695,2,)</f>
        <v>AfterNoon</v>
      </c>
      <c r="H915" s="38" t="b">
        <f>VLOOKUP(G915,'Dataset-3'!G306:Y695,2,)</f>
        <v>0</v>
      </c>
      <c r="I915" s="38">
        <f>VLOOKUP(H915,'Dataset-3'!H306:Z695,2,)</f>
        <v>4</v>
      </c>
      <c r="J915" s="41" t="str">
        <f>VLOOKUP(I915,'Dataset-3'!I306:AA695,2,)</f>
        <v>Wednesday</v>
      </c>
      <c r="K915" s="38">
        <f>VLOOKUP(J915,'Dataset-3'!J306:AB695,2,)</f>
        <v>1</v>
      </c>
      <c r="L915" s="38">
        <f>VLOOKUP(K915,'Dataset-3'!K306:AC695,2,)</f>
        <v>0.2</v>
      </c>
      <c r="M915" s="70" t="str">
        <f>VLOOKUP(L915,'Dataset-3'!L306:AD695,2,)</f>
        <v>Rainy</v>
      </c>
      <c r="N915" s="38">
        <f>VLOOKUP(M915,'Dataset-3'!M306:AE695,2,)</f>
        <v>0.18179999999999999</v>
      </c>
      <c r="O915" s="38">
        <f>VLOOKUP(N915,'Dataset-3'!N306:AF695,2,)</f>
        <v>0.27</v>
      </c>
      <c r="P915" s="38">
        <f>VLOOKUP(O915,'Dataset-3'!O306:AG695,2,)</f>
        <v>0.28360000000000002</v>
      </c>
      <c r="Q915" s="38">
        <f>VLOOKUP(P915,'Dataset-3'!P306:AH695,2,)</f>
        <v>6</v>
      </c>
      <c r="R915" s="38">
        <f>VLOOKUP(Q915,'Dataset-3'!Q306:AI695,2,)</f>
        <v>42</v>
      </c>
      <c r="S915" s="38">
        <f>VLOOKUP(R915,'Dataset-3'!R306:AJ695,2,)</f>
        <v>48</v>
      </c>
    </row>
    <row r="916" spans="1:19" x14ac:dyDescent="0.35">
      <c r="A916" s="37">
        <v>915</v>
      </c>
      <c r="B916" s="60">
        <f>VLOOKUP(A916,'Dataset-3'!A307:S696,2,)</f>
        <v>40584</v>
      </c>
      <c r="C916" s="38">
        <f>VLOOKUP(B916,'Dataset-3'!B307:T696,2,)</f>
        <v>1</v>
      </c>
      <c r="D916" s="38">
        <f>VLOOKUP(C916,'Dataset-3'!C307:U696,2,)</f>
        <v>0</v>
      </c>
      <c r="E916" s="38">
        <f>VLOOKUP(D916,'Dataset-3'!D307:V696,2,)</f>
        <v>2</v>
      </c>
      <c r="F916" s="38">
        <f>VLOOKUP(E916,'Dataset-3'!E307:W696,2,)</f>
        <v>15</v>
      </c>
      <c r="G916" s="41" t="str">
        <f>VLOOKUP(F916,'Dataset-3'!F307:X696,2,)</f>
        <v>AfterNoon</v>
      </c>
      <c r="H916" s="38" t="b">
        <f>VLOOKUP(G916,'Dataset-3'!G307:Y696,2,)</f>
        <v>0</v>
      </c>
      <c r="I916" s="38">
        <f>VLOOKUP(H916,'Dataset-3'!H307:Z696,2,)</f>
        <v>4</v>
      </c>
      <c r="J916" s="41" t="str">
        <f>VLOOKUP(I916,'Dataset-3'!I307:AA696,2,)</f>
        <v>Wednesday</v>
      </c>
      <c r="K916" s="38">
        <f>VLOOKUP(J916,'Dataset-3'!J307:AB696,2,)</f>
        <v>1</v>
      </c>
      <c r="L916" s="38">
        <f>VLOOKUP(K916,'Dataset-3'!K307:AC696,2,)</f>
        <v>0.2</v>
      </c>
      <c r="M916" s="70" t="str">
        <f>VLOOKUP(L916,'Dataset-3'!L307:AD696,2,)</f>
        <v>Rainy</v>
      </c>
      <c r="N916" s="38">
        <f>VLOOKUP(M916,'Dataset-3'!M307:AE696,2,)</f>
        <v>0.19700000000000001</v>
      </c>
      <c r="O916" s="38">
        <f>VLOOKUP(N916,'Dataset-3'!N307:AF696,2,)</f>
        <v>0.25</v>
      </c>
      <c r="P916" s="38">
        <f>VLOOKUP(O916,'Dataset-3'!O307:AG696,2,)</f>
        <v>0.25369999999999998</v>
      </c>
      <c r="Q916" s="38">
        <f>VLOOKUP(P916,'Dataset-3'!P307:AH696,2,)</f>
        <v>0</v>
      </c>
      <c r="R916" s="38">
        <f>VLOOKUP(Q916,'Dataset-3'!Q307:AI696,2,)</f>
        <v>50</v>
      </c>
      <c r="S916" s="38">
        <f>VLOOKUP(R916,'Dataset-3'!R307:AJ696,2,)</f>
        <v>50</v>
      </c>
    </row>
    <row r="917" spans="1:19" x14ac:dyDescent="0.35">
      <c r="A917" s="37">
        <v>916</v>
      </c>
      <c r="B917" s="60">
        <f>VLOOKUP(A917,'Dataset-3'!A308:S697,2,)</f>
        <v>40584</v>
      </c>
      <c r="C917" s="38">
        <f>VLOOKUP(B917,'Dataset-3'!B308:T697,2,)</f>
        <v>1</v>
      </c>
      <c r="D917" s="38">
        <f>VLOOKUP(C917,'Dataset-3'!C308:U697,2,)</f>
        <v>0</v>
      </c>
      <c r="E917" s="38">
        <f>VLOOKUP(D917,'Dataset-3'!D308:V697,2,)</f>
        <v>2</v>
      </c>
      <c r="F917" s="38">
        <f>VLOOKUP(E917,'Dataset-3'!E308:W697,2,)</f>
        <v>16</v>
      </c>
      <c r="G917" s="41" t="str">
        <f>VLOOKUP(F917,'Dataset-3'!F308:X697,2,)</f>
        <v>AfterNoon</v>
      </c>
      <c r="H917" s="38" t="b">
        <f>VLOOKUP(G917,'Dataset-3'!G308:Y697,2,)</f>
        <v>0</v>
      </c>
      <c r="I917" s="38">
        <f>VLOOKUP(H917,'Dataset-3'!H308:Z697,2,)</f>
        <v>4</v>
      </c>
      <c r="J917" s="41" t="str">
        <f>VLOOKUP(I917,'Dataset-3'!I308:AA697,2,)</f>
        <v>Wednesday</v>
      </c>
      <c r="K917" s="38">
        <f>VLOOKUP(J917,'Dataset-3'!J308:AB697,2,)</f>
        <v>1</v>
      </c>
      <c r="L917" s="38">
        <f>VLOOKUP(K917,'Dataset-3'!K308:AC697,2,)</f>
        <v>0.2</v>
      </c>
      <c r="M917" s="70" t="str">
        <f>VLOOKUP(L917,'Dataset-3'!L308:AD697,2,)</f>
        <v>Rainy</v>
      </c>
      <c r="N917" s="38">
        <f>VLOOKUP(M917,'Dataset-3'!M308:AE697,2,)</f>
        <v>0.18179999999999999</v>
      </c>
      <c r="O917" s="38">
        <f>VLOOKUP(N917,'Dataset-3'!N308:AF697,2,)</f>
        <v>0.27</v>
      </c>
      <c r="P917" s="38">
        <f>VLOOKUP(O917,'Dataset-3'!O308:AG697,2,)</f>
        <v>0.29849999999999999</v>
      </c>
      <c r="Q917" s="38">
        <f>VLOOKUP(P917,'Dataset-3'!P308:AH697,2,)</f>
        <v>4</v>
      </c>
      <c r="R917" s="38">
        <f>VLOOKUP(Q917,'Dataset-3'!Q308:AI697,2,)</f>
        <v>76</v>
      </c>
      <c r="S917" s="38">
        <f>VLOOKUP(R917,'Dataset-3'!R308:AJ697,2,)</f>
        <v>80</v>
      </c>
    </row>
    <row r="918" spans="1:19" x14ac:dyDescent="0.35">
      <c r="A918" s="37">
        <v>917</v>
      </c>
      <c r="B918" s="60">
        <f>VLOOKUP(A918,'Dataset-3'!A309:S698,2,)</f>
        <v>40584</v>
      </c>
      <c r="C918" s="38">
        <f>VLOOKUP(B918,'Dataset-3'!B309:T698,2,)</f>
        <v>1</v>
      </c>
      <c r="D918" s="38">
        <f>VLOOKUP(C918,'Dataset-3'!C309:U698,2,)</f>
        <v>0</v>
      </c>
      <c r="E918" s="38">
        <f>VLOOKUP(D918,'Dataset-3'!D309:V698,2,)</f>
        <v>2</v>
      </c>
      <c r="F918" s="38">
        <f>VLOOKUP(E918,'Dataset-3'!E309:W698,2,)</f>
        <v>17</v>
      </c>
      <c r="G918" s="41" t="str">
        <f>VLOOKUP(F918,'Dataset-3'!F309:X698,2,)</f>
        <v>Evening</v>
      </c>
      <c r="H918" s="38" t="b">
        <f>VLOOKUP(G918,'Dataset-3'!G309:Y698,2,)</f>
        <v>0</v>
      </c>
      <c r="I918" s="38">
        <f>VLOOKUP(H918,'Dataset-3'!H309:Z698,2,)</f>
        <v>4</v>
      </c>
      <c r="J918" s="41" t="str">
        <f>VLOOKUP(I918,'Dataset-3'!I309:AA698,2,)</f>
        <v>Wednesday</v>
      </c>
      <c r="K918" s="38">
        <f>VLOOKUP(J918,'Dataset-3'!J309:AB698,2,)</f>
        <v>1</v>
      </c>
      <c r="L918" s="38">
        <f>VLOOKUP(K918,'Dataset-3'!K309:AC698,2,)</f>
        <v>0.18</v>
      </c>
      <c r="M918" s="70" t="str">
        <f>VLOOKUP(L918,'Dataset-3'!L309:AD698,2,)</f>
        <v>Rainy</v>
      </c>
      <c r="N918" s="38">
        <f>VLOOKUP(M918,'Dataset-3'!M309:AE698,2,)</f>
        <v>0.18179999999999999</v>
      </c>
      <c r="O918" s="38">
        <f>VLOOKUP(N918,'Dataset-3'!N309:AF698,2,)</f>
        <v>0.26</v>
      </c>
      <c r="P918" s="38">
        <f>VLOOKUP(O918,'Dataset-3'!O309:AG698,2,)</f>
        <v>0.19400000000000001</v>
      </c>
      <c r="Q918" s="38">
        <f>VLOOKUP(P918,'Dataset-3'!P309:AH698,2,)</f>
        <v>6</v>
      </c>
      <c r="R918" s="38">
        <f>VLOOKUP(Q918,'Dataset-3'!Q309:AI698,2,)</f>
        <v>159</v>
      </c>
      <c r="S918" s="38">
        <f>VLOOKUP(R918,'Dataset-3'!R309:AJ698,2,)</f>
        <v>165</v>
      </c>
    </row>
    <row r="919" spans="1:19" x14ac:dyDescent="0.35">
      <c r="A919" s="37">
        <v>918</v>
      </c>
      <c r="B919" s="60">
        <f>VLOOKUP(A919,'Dataset-3'!A310:S699,2,)</f>
        <v>40584</v>
      </c>
      <c r="C919" s="38">
        <f>VLOOKUP(B919,'Dataset-3'!B310:T699,2,)</f>
        <v>1</v>
      </c>
      <c r="D919" s="38">
        <f>VLOOKUP(C919,'Dataset-3'!C310:U699,2,)</f>
        <v>0</v>
      </c>
      <c r="E919" s="38">
        <f>VLOOKUP(D919,'Dataset-3'!D310:V699,2,)</f>
        <v>2</v>
      </c>
      <c r="F919" s="38">
        <f>VLOOKUP(E919,'Dataset-3'!E310:W699,2,)</f>
        <v>18</v>
      </c>
      <c r="G919" s="41" t="str">
        <f>VLOOKUP(F919,'Dataset-3'!F310:X699,2,)</f>
        <v>Evening</v>
      </c>
      <c r="H919" s="38" t="b">
        <f>VLOOKUP(G919,'Dataset-3'!G310:Y699,2,)</f>
        <v>0</v>
      </c>
      <c r="I919" s="38">
        <f>VLOOKUP(H919,'Dataset-3'!H310:Z699,2,)</f>
        <v>4</v>
      </c>
      <c r="J919" s="41" t="str">
        <f>VLOOKUP(I919,'Dataset-3'!I310:AA699,2,)</f>
        <v>Wednesday</v>
      </c>
      <c r="K919" s="38">
        <f>VLOOKUP(J919,'Dataset-3'!J310:AB699,2,)</f>
        <v>1</v>
      </c>
      <c r="L919" s="38">
        <f>VLOOKUP(K919,'Dataset-3'!K310:AC699,2,)</f>
        <v>0.16</v>
      </c>
      <c r="M919" s="70" t="str">
        <f>VLOOKUP(L919,'Dataset-3'!L310:AD699,2,)</f>
        <v>Rainy</v>
      </c>
      <c r="N919" s="38">
        <f>VLOOKUP(M919,'Dataset-3'!M310:AE699,2,)</f>
        <v>0.18179999999999999</v>
      </c>
      <c r="O919" s="38">
        <f>VLOOKUP(N919,'Dataset-3'!N310:AF699,2,)</f>
        <v>0.28000000000000003</v>
      </c>
      <c r="P919" s="38">
        <f>VLOOKUP(O919,'Dataset-3'!O310:AG699,2,)</f>
        <v>0.1343</v>
      </c>
      <c r="Q919" s="38">
        <f>VLOOKUP(P919,'Dataset-3'!P310:AH699,2,)</f>
        <v>3</v>
      </c>
      <c r="R919" s="38">
        <f>VLOOKUP(Q919,'Dataset-3'!Q310:AI699,2,)</f>
        <v>157</v>
      </c>
      <c r="S919" s="38">
        <f>VLOOKUP(R919,'Dataset-3'!R310:AJ699,2,)</f>
        <v>160</v>
      </c>
    </row>
    <row r="920" spans="1:19" x14ac:dyDescent="0.35">
      <c r="A920" s="37">
        <v>919</v>
      </c>
      <c r="B920" s="60">
        <f>VLOOKUP(A920,'Dataset-3'!A311:S700,2,)</f>
        <v>40584</v>
      </c>
      <c r="C920" s="38">
        <f>VLOOKUP(B920,'Dataset-3'!B311:T700,2,)</f>
        <v>1</v>
      </c>
      <c r="D920" s="38">
        <f>VLOOKUP(C920,'Dataset-3'!C311:U700,2,)</f>
        <v>0</v>
      </c>
      <c r="E920" s="38">
        <f>VLOOKUP(D920,'Dataset-3'!D311:V700,2,)</f>
        <v>2</v>
      </c>
      <c r="F920" s="38">
        <f>VLOOKUP(E920,'Dataset-3'!E311:W700,2,)</f>
        <v>19</v>
      </c>
      <c r="G920" s="41" t="str">
        <f>VLOOKUP(F920,'Dataset-3'!F311:X700,2,)</f>
        <v>Evening</v>
      </c>
      <c r="H920" s="38" t="b">
        <f>VLOOKUP(G920,'Dataset-3'!G311:Y700,2,)</f>
        <v>0</v>
      </c>
      <c r="I920" s="38">
        <f>VLOOKUP(H920,'Dataset-3'!H311:Z700,2,)</f>
        <v>4</v>
      </c>
      <c r="J920" s="41" t="str">
        <f>VLOOKUP(I920,'Dataset-3'!I311:AA700,2,)</f>
        <v>Wednesday</v>
      </c>
      <c r="K920" s="38">
        <f>VLOOKUP(J920,'Dataset-3'!J311:AB700,2,)</f>
        <v>1</v>
      </c>
      <c r="L920" s="38">
        <f>VLOOKUP(K920,'Dataset-3'!K311:AC700,2,)</f>
        <v>0.14000000000000001</v>
      </c>
      <c r="M920" s="70" t="str">
        <f>VLOOKUP(L920,'Dataset-3'!L311:AD700,2,)</f>
        <v>Rainy</v>
      </c>
      <c r="N920" s="38">
        <f>VLOOKUP(M920,'Dataset-3'!M311:AE700,2,)</f>
        <v>0.16669999999999999</v>
      </c>
      <c r="O920" s="38">
        <f>VLOOKUP(N920,'Dataset-3'!N311:AF700,2,)</f>
        <v>0.28000000000000003</v>
      </c>
      <c r="P920" s="38">
        <f>VLOOKUP(O920,'Dataset-3'!O311:AG700,2,)</f>
        <v>0.1045</v>
      </c>
      <c r="Q920" s="38">
        <f>VLOOKUP(P920,'Dataset-3'!P311:AH700,2,)</f>
        <v>2</v>
      </c>
      <c r="R920" s="38">
        <f>VLOOKUP(Q920,'Dataset-3'!Q311:AI700,2,)</f>
        <v>110</v>
      </c>
      <c r="S920" s="38">
        <f>VLOOKUP(R920,'Dataset-3'!R311:AJ700,2,)</f>
        <v>112</v>
      </c>
    </row>
    <row r="921" spans="1:19" x14ac:dyDescent="0.35">
      <c r="A921" s="37">
        <v>920</v>
      </c>
      <c r="B921" s="60">
        <f>VLOOKUP(A921,'Dataset-3'!A312:S701,2,)</f>
        <v>40584</v>
      </c>
      <c r="C921" s="38">
        <f>VLOOKUP(B921,'Dataset-3'!B312:T701,2,)</f>
        <v>1</v>
      </c>
      <c r="D921" s="38">
        <f>VLOOKUP(C921,'Dataset-3'!C312:U701,2,)</f>
        <v>0</v>
      </c>
      <c r="E921" s="38">
        <f>VLOOKUP(D921,'Dataset-3'!D312:V701,2,)</f>
        <v>2</v>
      </c>
      <c r="F921" s="38">
        <f>VLOOKUP(E921,'Dataset-3'!E312:W701,2,)</f>
        <v>20</v>
      </c>
      <c r="G921" s="41" t="str">
        <f>VLOOKUP(F921,'Dataset-3'!F312:X701,2,)</f>
        <v>Night</v>
      </c>
      <c r="H921" s="38" t="b">
        <f>VLOOKUP(G921,'Dataset-3'!G312:Y701,2,)</f>
        <v>0</v>
      </c>
      <c r="I921" s="38">
        <f>VLOOKUP(H921,'Dataset-3'!H312:Z701,2,)</f>
        <v>4</v>
      </c>
      <c r="J921" s="41" t="str">
        <f>VLOOKUP(I921,'Dataset-3'!I312:AA701,2,)</f>
        <v>Wednesday</v>
      </c>
      <c r="K921" s="38">
        <f>VLOOKUP(J921,'Dataset-3'!J312:AB701,2,)</f>
        <v>1</v>
      </c>
      <c r="L921" s="38">
        <f>VLOOKUP(K921,'Dataset-3'!K312:AC701,2,)</f>
        <v>0.14000000000000001</v>
      </c>
      <c r="M921" s="70" t="str">
        <f>VLOOKUP(L921,'Dataset-3'!L312:AD701,2,)</f>
        <v>Rainy</v>
      </c>
      <c r="N921" s="38">
        <f>VLOOKUP(M921,'Dataset-3'!M312:AE701,2,)</f>
        <v>0.18179999999999999</v>
      </c>
      <c r="O921" s="38">
        <f>VLOOKUP(N921,'Dataset-3'!N312:AF701,2,)</f>
        <v>0.31</v>
      </c>
      <c r="P921" s="38">
        <f>VLOOKUP(O921,'Dataset-3'!O312:AG701,2,)</f>
        <v>8.9599999999999999E-2</v>
      </c>
      <c r="Q921" s="38">
        <f>VLOOKUP(P921,'Dataset-3'!P312:AH701,2,)</f>
        <v>4</v>
      </c>
      <c r="R921" s="38">
        <f>VLOOKUP(Q921,'Dataset-3'!Q312:AI701,2,)</f>
        <v>93</v>
      </c>
      <c r="S921" s="38">
        <f>VLOOKUP(R921,'Dataset-3'!R312:AJ701,2,)</f>
        <v>97</v>
      </c>
    </row>
    <row r="922" spans="1:19" x14ac:dyDescent="0.35">
      <c r="A922" s="37">
        <v>921</v>
      </c>
      <c r="B922" s="60">
        <f>VLOOKUP(A922,'Dataset-3'!A313:S702,2,)</f>
        <v>40584</v>
      </c>
      <c r="C922" s="38">
        <f>VLOOKUP(B922,'Dataset-3'!B313:T702,2,)</f>
        <v>1</v>
      </c>
      <c r="D922" s="38">
        <f>VLOOKUP(C922,'Dataset-3'!C313:U702,2,)</f>
        <v>0</v>
      </c>
      <c r="E922" s="38">
        <f>VLOOKUP(D922,'Dataset-3'!D313:V702,2,)</f>
        <v>2</v>
      </c>
      <c r="F922" s="38">
        <f>VLOOKUP(E922,'Dataset-3'!E313:W702,2,)</f>
        <v>21</v>
      </c>
      <c r="G922" s="41" t="str">
        <f>VLOOKUP(F922,'Dataset-3'!F313:X702,2,)</f>
        <v>Night</v>
      </c>
      <c r="H922" s="38" t="b">
        <f>VLOOKUP(G922,'Dataset-3'!G313:Y702,2,)</f>
        <v>0</v>
      </c>
      <c r="I922" s="38">
        <f>VLOOKUP(H922,'Dataset-3'!H313:Z702,2,)</f>
        <v>4</v>
      </c>
      <c r="J922" s="41" t="str">
        <f>VLOOKUP(I922,'Dataset-3'!I313:AA702,2,)</f>
        <v>Wednesday</v>
      </c>
      <c r="K922" s="38">
        <f>VLOOKUP(J922,'Dataset-3'!J313:AB702,2,)</f>
        <v>1</v>
      </c>
      <c r="L922" s="38">
        <f>VLOOKUP(K922,'Dataset-3'!K313:AC702,2,)</f>
        <v>0.14000000000000001</v>
      </c>
      <c r="M922" s="70" t="str">
        <f>VLOOKUP(L922,'Dataset-3'!L313:AD702,2,)</f>
        <v>Rainy</v>
      </c>
      <c r="N922" s="38">
        <f>VLOOKUP(M922,'Dataset-3'!M313:AE702,2,)</f>
        <v>0.21210000000000001</v>
      </c>
      <c r="O922" s="38">
        <f>VLOOKUP(N922,'Dataset-3'!N313:AF702,2,)</f>
        <v>0.39</v>
      </c>
      <c r="P922" s="38">
        <f>VLOOKUP(O922,'Dataset-3'!O313:AG702,2,)</f>
        <v>0</v>
      </c>
      <c r="Q922" s="38">
        <f>VLOOKUP(P922,'Dataset-3'!P313:AH702,2,)</f>
        <v>2</v>
      </c>
      <c r="R922" s="38">
        <f>VLOOKUP(Q922,'Dataset-3'!Q313:AI702,2,)</f>
        <v>70</v>
      </c>
      <c r="S922" s="38">
        <f>VLOOKUP(R922,'Dataset-3'!R313:AJ702,2,)</f>
        <v>72</v>
      </c>
    </row>
    <row r="923" spans="1:19" x14ac:dyDescent="0.35">
      <c r="A923" s="37">
        <v>922</v>
      </c>
      <c r="B923" s="60">
        <f>VLOOKUP(A923,'Dataset-3'!A314:S703,2,)</f>
        <v>40584</v>
      </c>
      <c r="C923" s="38">
        <f>VLOOKUP(B923,'Dataset-3'!B314:T703,2,)</f>
        <v>1</v>
      </c>
      <c r="D923" s="38">
        <f>VLOOKUP(C923,'Dataset-3'!C314:U703,2,)</f>
        <v>0</v>
      </c>
      <c r="E923" s="38">
        <f>VLOOKUP(D923,'Dataset-3'!D314:V703,2,)</f>
        <v>2</v>
      </c>
      <c r="F923" s="38">
        <f>VLOOKUP(E923,'Dataset-3'!E314:W703,2,)</f>
        <v>22</v>
      </c>
      <c r="G923" s="41" t="str">
        <f>VLOOKUP(F923,'Dataset-3'!F314:X703,2,)</f>
        <v>Night</v>
      </c>
      <c r="H923" s="38" t="b">
        <f>VLOOKUP(G923,'Dataset-3'!G314:Y703,2,)</f>
        <v>0</v>
      </c>
      <c r="I923" s="38">
        <f>VLOOKUP(H923,'Dataset-3'!H314:Z703,2,)</f>
        <v>4</v>
      </c>
      <c r="J923" s="41" t="str">
        <f>VLOOKUP(I923,'Dataset-3'!I314:AA703,2,)</f>
        <v>Wednesday</v>
      </c>
      <c r="K923" s="38">
        <f>VLOOKUP(J923,'Dataset-3'!J314:AB703,2,)</f>
        <v>1</v>
      </c>
      <c r="L923" s="38">
        <f>VLOOKUP(K923,'Dataset-3'!K314:AC703,2,)</f>
        <v>0.12</v>
      </c>
      <c r="M923" s="70" t="str">
        <f>VLOOKUP(L923,'Dataset-3'!L314:AD703,2,)</f>
        <v>Rainy</v>
      </c>
      <c r="N923" s="38">
        <f>VLOOKUP(M923,'Dataset-3'!M314:AE703,2,)</f>
        <v>0.19700000000000001</v>
      </c>
      <c r="O923" s="38">
        <f>VLOOKUP(N923,'Dataset-3'!N314:AF703,2,)</f>
        <v>0.39</v>
      </c>
      <c r="P923" s="38">
        <f>VLOOKUP(O923,'Dataset-3'!O314:AG703,2,)</f>
        <v>0</v>
      </c>
      <c r="Q923" s="38">
        <f>VLOOKUP(P923,'Dataset-3'!P314:AH703,2,)</f>
        <v>4</v>
      </c>
      <c r="R923" s="38">
        <f>VLOOKUP(Q923,'Dataset-3'!Q314:AI703,2,)</f>
        <v>47</v>
      </c>
      <c r="S923" s="38">
        <f>VLOOKUP(R923,'Dataset-3'!R314:AJ703,2,)</f>
        <v>51</v>
      </c>
    </row>
    <row r="924" spans="1:19" x14ac:dyDescent="0.35">
      <c r="A924" s="37">
        <v>923</v>
      </c>
      <c r="B924" s="60">
        <f>VLOOKUP(A924,'Dataset-3'!A315:S704,2,)</f>
        <v>40584</v>
      </c>
      <c r="C924" s="38">
        <f>VLOOKUP(B924,'Dataset-3'!B315:T704,2,)</f>
        <v>1</v>
      </c>
      <c r="D924" s="38">
        <f>VLOOKUP(C924,'Dataset-3'!C315:U704,2,)</f>
        <v>0</v>
      </c>
      <c r="E924" s="38">
        <f>VLOOKUP(D924,'Dataset-3'!D315:V704,2,)</f>
        <v>2</v>
      </c>
      <c r="F924" s="38">
        <f>VLOOKUP(E924,'Dataset-3'!E315:W704,2,)</f>
        <v>23</v>
      </c>
      <c r="G924" s="41" t="str">
        <f>VLOOKUP(F924,'Dataset-3'!F315:X704,2,)</f>
        <v>Night</v>
      </c>
      <c r="H924" s="38" t="b">
        <f>VLOOKUP(G924,'Dataset-3'!G315:Y704,2,)</f>
        <v>0</v>
      </c>
      <c r="I924" s="38">
        <f>VLOOKUP(H924,'Dataset-3'!H315:Z704,2,)</f>
        <v>4</v>
      </c>
      <c r="J924" s="41" t="str">
        <f>VLOOKUP(I924,'Dataset-3'!I315:AA704,2,)</f>
        <v>Wednesday</v>
      </c>
      <c r="K924" s="38">
        <f>VLOOKUP(J924,'Dataset-3'!J315:AB704,2,)</f>
        <v>1</v>
      </c>
      <c r="L924" s="38">
        <f>VLOOKUP(K924,'Dataset-3'!K315:AC704,2,)</f>
        <v>0.12</v>
      </c>
      <c r="M924" s="70" t="str">
        <f>VLOOKUP(L924,'Dataset-3'!L315:AD704,2,)</f>
        <v>Rainy</v>
      </c>
      <c r="N924" s="38">
        <f>VLOOKUP(M924,'Dataset-3'!M315:AE704,2,)</f>
        <v>0.1515</v>
      </c>
      <c r="O924" s="38">
        <f>VLOOKUP(N924,'Dataset-3'!N315:AF704,2,)</f>
        <v>0.42</v>
      </c>
      <c r="P924" s="38">
        <f>VLOOKUP(O924,'Dataset-3'!O315:AG704,2,)</f>
        <v>0.1045</v>
      </c>
      <c r="Q924" s="38">
        <f>VLOOKUP(P924,'Dataset-3'!P315:AH704,2,)</f>
        <v>1</v>
      </c>
      <c r="R924" s="38">
        <f>VLOOKUP(Q924,'Dataset-3'!Q315:AI704,2,)</f>
        <v>33</v>
      </c>
      <c r="S924" s="38">
        <f>VLOOKUP(R924,'Dataset-3'!R315:AJ704,2,)</f>
        <v>34</v>
      </c>
    </row>
    <row r="925" spans="1:19" x14ac:dyDescent="0.35">
      <c r="A925" s="37">
        <v>924</v>
      </c>
      <c r="B925" s="60">
        <f>VLOOKUP(A925,'Dataset-3'!A316:S705,2,)</f>
        <v>40585</v>
      </c>
      <c r="C925" s="38">
        <f>VLOOKUP(B925,'Dataset-3'!B316:T705,2,)</f>
        <v>1</v>
      </c>
      <c r="D925" s="38">
        <f>VLOOKUP(C925,'Dataset-3'!C316:U705,2,)</f>
        <v>0</v>
      </c>
      <c r="E925" s="38">
        <f>VLOOKUP(D925,'Dataset-3'!D316:V705,2,)</f>
        <v>2</v>
      </c>
      <c r="F925" s="38">
        <f>VLOOKUP(E925,'Dataset-3'!E316:W705,2,)</f>
        <v>0</v>
      </c>
      <c r="G925" s="41" t="str">
        <f>VLOOKUP(F925,'Dataset-3'!F316:X705,2,)</f>
        <v>Night</v>
      </c>
      <c r="H925" s="38" t="b">
        <f>VLOOKUP(G925,'Dataset-3'!G316:Y705,2,)</f>
        <v>0</v>
      </c>
      <c r="I925" s="38">
        <f>VLOOKUP(H925,'Dataset-3'!H316:Z705,2,)</f>
        <v>5</v>
      </c>
      <c r="J925" s="41" t="str">
        <f>VLOOKUP(I925,'Dataset-3'!I316:AA705,2,)</f>
        <v>Thusday</v>
      </c>
      <c r="K925" s="38">
        <f>VLOOKUP(J925,'Dataset-3'!J316:AB705,2,)</f>
        <v>1</v>
      </c>
      <c r="L925" s="38">
        <f>VLOOKUP(K925,'Dataset-3'!K316:AC705,2,)</f>
        <v>0.1</v>
      </c>
      <c r="M925" s="70" t="str">
        <f>VLOOKUP(L925,'Dataset-3'!L316:AD705,2,)</f>
        <v>Stromy</v>
      </c>
      <c r="N925" s="38">
        <f>VLOOKUP(M925,'Dataset-3'!M316:AE705,2,)</f>
        <v>0.13639999999999999</v>
      </c>
      <c r="O925" s="38">
        <f>VLOOKUP(N925,'Dataset-3'!N316:AF705,2,)</f>
        <v>0.49</v>
      </c>
      <c r="P925" s="38">
        <f>VLOOKUP(O925,'Dataset-3'!O316:AG705,2,)</f>
        <v>0.1045</v>
      </c>
      <c r="Q925" s="38">
        <f>VLOOKUP(P925,'Dataset-3'!P316:AH705,2,)</f>
        <v>2</v>
      </c>
      <c r="R925" s="38">
        <f>VLOOKUP(Q925,'Dataset-3'!Q316:AI705,2,)</f>
        <v>12</v>
      </c>
      <c r="S925" s="38">
        <f>VLOOKUP(R925,'Dataset-3'!R316:AJ705,2,)</f>
        <v>14</v>
      </c>
    </row>
    <row r="926" spans="1:19" x14ac:dyDescent="0.35">
      <c r="A926" s="37">
        <v>925</v>
      </c>
      <c r="B926" s="60">
        <f>VLOOKUP(A926,'Dataset-3'!A317:S706,2,)</f>
        <v>40585</v>
      </c>
      <c r="C926" s="38">
        <f>VLOOKUP(B926,'Dataset-3'!B317:T706,2,)</f>
        <v>1</v>
      </c>
      <c r="D926" s="38">
        <f>VLOOKUP(C926,'Dataset-3'!C317:U706,2,)</f>
        <v>0</v>
      </c>
      <c r="E926" s="38">
        <f>VLOOKUP(D926,'Dataset-3'!D317:V706,2,)</f>
        <v>2</v>
      </c>
      <c r="F926" s="38">
        <f>VLOOKUP(E926,'Dataset-3'!E317:W706,2,)</f>
        <v>1</v>
      </c>
      <c r="G926" s="41" t="str">
        <f>VLOOKUP(F926,'Dataset-3'!F317:X706,2,)</f>
        <v>Night</v>
      </c>
      <c r="H926" s="38" t="b">
        <f>VLOOKUP(G926,'Dataset-3'!G317:Y706,2,)</f>
        <v>0</v>
      </c>
      <c r="I926" s="38">
        <f>VLOOKUP(H926,'Dataset-3'!H317:Z706,2,)</f>
        <v>5</v>
      </c>
      <c r="J926" s="41" t="str">
        <f>VLOOKUP(I926,'Dataset-3'!I317:AA706,2,)</f>
        <v>Thusday</v>
      </c>
      <c r="K926" s="38">
        <f>VLOOKUP(J926,'Dataset-3'!J317:AB706,2,)</f>
        <v>1</v>
      </c>
      <c r="L926" s="38">
        <f>VLOOKUP(K926,'Dataset-3'!K317:AC706,2,)</f>
        <v>0.1</v>
      </c>
      <c r="M926" s="70" t="str">
        <f>VLOOKUP(L926,'Dataset-3'!L317:AD706,2,)</f>
        <v>Stromy</v>
      </c>
      <c r="N926" s="38">
        <f>VLOOKUP(M926,'Dataset-3'!M317:AE706,2,)</f>
        <v>0.13639999999999999</v>
      </c>
      <c r="O926" s="38">
        <f>VLOOKUP(N926,'Dataset-3'!N317:AF706,2,)</f>
        <v>0.54</v>
      </c>
      <c r="P926" s="38">
        <f>VLOOKUP(O926,'Dataset-3'!O317:AG706,2,)</f>
        <v>8.9599999999999999E-2</v>
      </c>
      <c r="Q926" s="38">
        <f>VLOOKUP(P926,'Dataset-3'!P317:AH706,2,)</f>
        <v>1</v>
      </c>
      <c r="R926" s="38">
        <f>VLOOKUP(Q926,'Dataset-3'!Q317:AI706,2,)</f>
        <v>6</v>
      </c>
      <c r="S926" s="38">
        <f>VLOOKUP(R926,'Dataset-3'!R317:AJ706,2,)</f>
        <v>7</v>
      </c>
    </row>
    <row r="927" spans="1:19" x14ac:dyDescent="0.35">
      <c r="A927" s="37">
        <v>926</v>
      </c>
      <c r="B927" s="60">
        <f>VLOOKUP(A927,'Dataset-3'!A318:S707,2,)</f>
        <v>40585</v>
      </c>
      <c r="C927" s="38">
        <f>VLOOKUP(B927,'Dataset-3'!B318:T707,2,)</f>
        <v>1</v>
      </c>
      <c r="D927" s="38">
        <f>VLOOKUP(C927,'Dataset-3'!C318:U707,2,)</f>
        <v>0</v>
      </c>
      <c r="E927" s="38">
        <f>VLOOKUP(D927,'Dataset-3'!D318:V707,2,)</f>
        <v>2</v>
      </c>
      <c r="F927" s="38">
        <f>VLOOKUP(E927,'Dataset-3'!E318:W707,2,)</f>
        <v>2</v>
      </c>
      <c r="G927" s="41" t="str">
        <f>VLOOKUP(F927,'Dataset-3'!F318:X707,2,)</f>
        <v>Night</v>
      </c>
      <c r="H927" s="38" t="b">
        <f>VLOOKUP(G927,'Dataset-3'!G318:Y707,2,)</f>
        <v>0</v>
      </c>
      <c r="I927" s="38">
        <f>VLOOKUP(H927,'Dataset-3'!H318:Z707,2,)</f>
        <v>5</v>
      </c>
      <c r="J927" s="41" t="str">
        <f>VLOOKUP(I927,'Dataset-3'!I318:AA707,2,)</f>
        <v>Thusday</v>
      </c>
      <c r="K927" s="38">
        <f>VLOOKUP(J927,'Dataset-3'!J318:AB707,2,)</f>
        <v>1</v>
      </c>
      <c r="L927" s="38">
        <f>VLOOKUP(K927,'Dataset-3'!K318:AC707,2,)</f>
        <v>0.1</v>
      </c>
      <c r="M927" s="70" t="str">
        <f>VLOOKUP(L927,'Dataset-3'!L318:AD707,2,)</f>
        <v>Stromy</v>
      </c>
      <c r="N927" s="38">
        <f>VLOOKUP(M927,'Dataset-3'!M318:AE707,2,)</f>
        <v>0.13639999999999999</v>
      </c>
      <c r="O927" s="38">
        <f>VLOOKUP(N927,'Dataset-3'!N318:AF707,2,)</f>
        <v>0.54</v>
      </c>
      <c r="P927" s="38">
        <f>VLOOKUP(O927,'Dataset-3'!O318:AG707,2,)</f>
        <v>8.9599999999999999E-2</v>
      </c>
      <c r="Q927" s="38">
        <f>VLOOKUP(P927,'Dataset-3'!P318:AH707,2,)</f>
        <v>0</v>
      </c>
      <c r="R927" s="38">
        <f>VLOOKUP(Q927,'Dataset-3'!Q318:AI707,2,)</f>
        <v>3</v>
      </c>
      <c r="S927" s="38">
        <f>VLOOKUP(R927,'Dataset-3'!R318:AJ707,2,)</f>
        <v>3</v>
      </c>
    </row>
    <row r="928" spans="1:19" x14ac:dyDescent="0.35">
      <c r="A928" s="37">
        <v>927</v>
      </c>
      <c r="B928" s="60">
        <f>VLOOKUP(A928,'Dataset-3'!A319:S708,2,)</f>
        <v>40585</v>
      </c>
      <c r="C928" s="38">
        <f>VLOOKUP(B928,'Dataset-3'!B319:T708,2,)</f>
        <v>1</v>
      </c>
      <c r="D928" s="38">
        <f>VLOOKUP(C928,'Dataset-3'!C319:U708,2,)</f>
        <v>0</v>
      </c>
      <c r="E928" s="38">
        <f>VLOOKUP(D928,'Dataset-3'!D319:V708,2,)</f>
        <v>2</v>
      </c>
      <c r="F928" s="38">
        <f>VLOOKUP(E928,'Dataset-3'!E319:W708,2,)</f>
        <v>5</v>
      </c>
      <c r="G928" s="41" t="str">
        <f>VLOOKUP(F928,'Dataset-3'!F319:X708,2,)</f>
        <v>Morning</v>
      </c>
      <c r="H928" s="38" t="b">
        <f>VLOOKUP(G928,'Dataset-3'!G319:Y708,2,)</f>
        <v>0</v>
      </c>
      <c r="I928" s="38">
        <f>VLOOKUP(H928,'Dataset-3'!H319:Z708,2,)</f>
        <v>5</v>
      </c>
      <c r="J928" s="41" t="str">
        <f>VLOOKUP(I928,'Dataset-3'!I319:AA708,2,)</f>
        <v>Thusday</v>
      </c>
      <c r="K928" s="38">
        <f>VLOOKUP(J928,'Dataset-3'!J319:AB708,2,)</f>
        <v>1</v>
      </c>
      <c r="L928" s="38">
        <f>VLOOKUP(K928,'Dataset-3'!K319:AC708,2,)</f>
        <v>0.08</v>
      </c>
      <c r="M928" s="70" t="str">
        <f>VLOOKUP(L928,'Dataset-3'!L319:AD708,2,)</f>
        <v>Stromy</v>
      </c>
      <c r="N928" s="38">
        <f>VLOOKUP(M928,'Dataset-3'!M319:AE708,2,)</f>
        <v>0.1212</v>
      </c>
      <c r="O928" s="38">
        <f>VLOOKUP(N928,'Dataset-3'!N319:AF708,2,)</f>
        <v>0.63</v>
      </c>
      <c r="P928" s="38">
        <f>VLOOKUP(O928,'Dataset-3'!O319:AG708,2,)</f>
        <v>8.9599999999999999E-2</v>
      </c>
      <c r="Q928" s="38">
        <f>VLOOKUP(P928,'Dataset-3'!P319:AH708,2,)</f>
        <v>0</v>
      </c>
      <c r="R928" s="38">
        <f>VLOOKUP(Q928,'Dataset-3'!Q319:AI708,2,)</f>
        <v>4</v>
      </c>
      <c r="S928" s="38">
        <f>VLOOKUP(R928,'Dataset-3'!R319:AJ708,2,)</f>
        <v>4</v>
      </c>
    </row>
    <row r="929" spans="1:19" x14ac:dyDescent="0.35">
      <c r="A929" s="37">
        <v>928</v>
      </c>
      <c r="B929" s="60">
        <f>VLOOKUP(A929,'Dataset-3'!A320:S709,2,)</f>
        <v>40585</v>
      </c>
      <c r="C929" s="38">
        <f>VLOOKUP(B929,'Dataset-3'!B320:T709,2,)</f>
        <v>1</v>
      </c>
      <c r="D929" s="38">
        <f>VLOOKUP(C929,'Dataset-3'!C320:U709,2,)</f>
        <v>0</v>
      </c>
      <c r="E929" s="38">
        <f>VLOOKUP(D929,'Dataset-3'!D320:V709,2,)</f>
        <v>2</v>
      </c>
      <c r="F929" s="38">
        <f>VLOOKUP(E929,'Dataset-3'!E320:W709,2,)</f>
        <v>6</v>
      </c>
      <c r="G929" s="41" t="str">
        <f>VLOOKUP(F929,'Dataset-3'!F320:X709,2,)</f>
        <v>Morning</v>
      </c>
      <c r="H929" s="38" t="b">
        <f>VLOOKUP(G929,'Dataset-3'!G320:Y709,2,)</f>
        <v>0</v>
      </c>
      <c r="I929" s="38">
        <f>VLOOKUP(H929,'Dataset-3'!H320:Z709,2,)</f>
        <v>5</v>
      </c>
      <c r="J929" s="41" t="str">
        <f>VLOOKUP(I929,'Dataset-3'!I320:AA709,2,)</f>
        <v>Thusday</v>
      </c>
      <c r="K929" s="38">
        <f>VLOOKUP(J929,'Dataset-3'!J320:AB709,2,)</f>
        <v>1</v>
      </c>
      <c r="L929" s="38">
        <f>VLOOKUP(K929,'Dataset-3'!K320:AC709,2,)</f>
        <v>0.1</v>
      </c>
      <c r="M929" s="70" t="str">
        <f>VLOOKUP(L929,'Dataset-3'!L320:AD709,2,)</f>
        <v>Stromy</v>
      </c>
      <c r="N929" s="38">
        <f>VLOOKUP(M929,'Dataset-3'!M320:AE709,2,)</f>
        <v>0.18179999999999999</v>
      </c>
      <c r="O929" s="38">
        <f>VLOOKUP(N929,'Dataset-3'!N320:AF709,2,)</f>
        <v>0.68</v>
      </c>
      <c r="P929" s="38">
        <f>VLOOKUP(O929,'Dataset-3'!O320:AG709,2,)</f>
        <v>0</v>
      </c>
      <c r="Q929" s="38">
        <f>VLOOKUP(P929,'Dataset-3'!P320:AH709,2,)</f>
        <v>1</v>
      </c>
      <c r="R929" s="38">
        <f>VLOOKUP(Q929,'Dataset-3'!Q320:AI709,2,)</f>
        <v>23</v>
      </c>
      <c r="S929" s="38">
        <f>VLOOKUP(R929,'Dataset-3'!R320:AJ709,2,)</f>
        <v>24</v>
      </c>
    </row>
    <row r="930" spans="1:19" x14ac:dyDescent="0.35">
      <c r="A930" s="37">
        <v>929</v>
      </c>
      <c r="B930" s="60">
        <f>VLOOKUP(A930,'Dataset-3'!A321:S710,2,)</f>
        <v>40585</v>
      </c>
      <c r="C930" s="38">
        <f>VLOOKUP(B930,'Dataset-3'!B321:T710,2,)</f>
        <v>1</v>
      </c>
      <c r="D930" s="38">
        <f>VLOOKUP(C930,'Dataset-3'!C321:U710,2,)</f>
        <v>0</v>
      </c>
      <c r="E930" s="38">
        <f>VLOOKUP(D930,'Dataset-3'!D321:V710,2,)</f>
        <v>2</v>
      </c>
      <c r="F930" s="38">
        <f>VLOOKUP(E930,'Dataset-3'!E321:W710,2,)</f>
        <v>7</v>
      </c>
      <c r="G930" s="41" t="str">
        <f>VLOOKUP(F930,'Dataset-3'!F321:X710,2,)</f>
        <v>Morning</v>
      </c>
      <c r="H930" s="38" t="b">
        <f>VLOOKUP(G930,'Dataset-3'!G321:Y710,2,)</f>
        <v>0</v>
      </c>
      <c r="I930" s="38">
        <f>VLOOKUP(H930,'Dataset-3'!H321:Z710,2,)</f>
        <v>5</v>
      </c>
      <c r="J930" s="41" t="str">
        <f>VLOOKUP(I930,'Dataset-3'!I321:AA710,2,)</f>
        <v>Thusday</v>
      </c>
      <c r="K930" s="38">
        <f>VLOOKUP(J930,'Dataset-3'!J321:AB710,2,)</f>
        <v>1</v>
      </c>
      <c r="L930" s="38">
        <f>VLOOKUP(K930,'Dataset-3'!K321:AC710,2,)</f>
        <v>0.08</v>
      </c>
      <c r="M930" s="70" t="str">
        <f>VLOOKUP(L930,'Dataset-3'!L321:AD710,2,)</f>
        <v>Stromy</v>
      </c>
      <c r="N930" s="38">
        <f>VLOOKUP(M930,'Dataset-3'!M321:AE710,2,)</f>
        <v>0.16669999999999999</v>
      </c>
      <c r="O930" s="38">
        <f>VLOOKUP(N930,'Dataset-3'!N321:AF710,2,)</f>
        <v>0.73</v>
      </c>
      <c r="P930" s="38">
        <f>VLOOKUP(O930,'Dataset-3'!O321:AG710,2,)</f>
        <v>0</v>
      </c>
      <c r="Q930" s="38">
        <f>VLOOKUP(P930,'Dataset-3'!P321:AH710,2,)</f>
        <v>1</v>
      </c>
      <c r="R930" s="38">
        <f>VLOOKUP(Q930,'Dataset-3'!Q321:AI710,2,)</f>
        <v>73</v>
      </c>
      <c r="S930" s="38">
        <f>VLOOKUP(R930,'Dataset-3'!R321:AJ710,2,)</f>
        <v>74</v>
      </c>
    </row>
    <row r="931" spans="1:19" x14ac:dyDescent="0.35">
      <c r="A931" s="37">
        <v>930</v>
      </c>
      <c r="B931" s="60">
        <f>VLOOKUP(A931,'Dataset-3'!A322:S711,2,)</f>
        <v>40585</v>
      </c>
      <c r="C931" s="38">
        <f>VLOOKUP(B931,'Dataset-3'!B322:T711,2,)</f>
        <v>1</v>
      </c>
      <c r="D931" s="38">
        <f>VLOOKUP(C931,'Dataset-3'!C322:U711,2,)</f>
        <v>0</v>
      </c>
      <c r="E931" s="38">
        <f>VLOOKUP(D931,'Dataset-3'!D322:V711,2,)</f>
        <v>2</v>
      </c>
      <c r="F931" s="38">
        <f>VLOOKUP(E931,'Dataset-3'!E322:W711,2,)</f>
        <v>8</v>
      </c>
      <c r="G931" s="41" t="str">
        <f>VLOOKUP(F931,'Dataset-3'!F322:X711,2,)</f>
        <v>Morning</v>
      </c>
      <c r="H931" s="38" t="b">
        <f>VLOOKUP(G931,'Dataset-3'!G322:Y711,2,)</f>
        <v>0</v>
      </c>
      <c r="I931" s="38">
        <f>VLOOKUP(H931,'Dataset-3'!H322:Z711,2,)</f>
        <v>5</v>
      </c>
      <c r="J931" s="41" t="str">
        <f>VLOOKUP(I931,'Dataset-3'!I322:AA711,2,)</f>
        <v>Thusday</v>
      </c>
      <c r="K931" s="38">
        <f>VLOOKUP(J931,'Dataset-3'!J322:AB711,2,)</f>
        <v>1</v>
      </c>
      <c r="L931" s="38">
        <f>VLOOKUP(K931,'Dataset-3'!K322:AC711,2,)</f>
        <v>0.1</v>
      </c>
      <c r="M931" s="70" t="str">
        <f>VLOOKUP(L931,'Dataset-3'!L322:AD711,2,)</f>
        <v>Stromy</v>
      </c>
      <c r="N931" s="38">
        <f>VLOOKUP(M931,'Dataset-3'!M322:AE711,2,)</f>
        <v>0.1212</v>
      </c>
      <c r="O931" s="38">
        <f>VLOOKUP(N931,'Dataset-3'!N322:AF711,2,)</f>
        <v>0.74</v>
      </c>
      <c r="P931" s="38">
        <f>VLOOKUP(O931,'Dataset-3'!O322:AG711,2,)</f>
        <v>0.16420000000000001</v>
      </c>
      <c r="Q931" s="38">
        <f>VLOOKUP(P931,'Dataset-3'!P322:AH711,2,)</f>
        <v>4</v>
      </c>
      <c r="R931" s="38">
        <f>VLOOKUP(Q931,'Dataset-3'!Q322:AI711,2,)</f>
        <v>212</v>
      </c>
      <c r="S931" s="38">
        <f>VLOOKUP(R931,'Dataset-3'!R322:AJ711,2,)</f>
        <v>216</v>
      </c>
    </row>
    <row r="932" spans="1:19" x14ac:dyDescent="0.35">
      <c r="A932" s="37">
        <v>931</v>
      </c>
      <c r="B932" s="60">
        <f>VLOOKUP(A932,'Dataset-3'!A323:S712,2,)</f>
        <v>40585</v>
      </c>
      <c r="C932" s="38">
        <f>VLOOKUP(B932,'Dataset-3'!B323:T712,2,)</f>
        <v>1</v>
      </c>
      <c r="D932" s="38">
        <f>VLOOKUP(C932,'Dataset-3'!C323:U712,2,)</f>
        <v>0</v>
      </c>
      <c r="E932" s="38">
        <f>VLOOKUP(D932,'Dataset-3'!D323:V712,2,)</f>
        <v>2</v>
      </c>
      <c r="F932" s="38">
        <f>VLOOKUP(E932,'Dataset-3'!E323:W712,2,)</f>
        <v>9</v>
      </c>
      <c r="G932" s="41" t="str">
        <f>VLOOKUP(F932,'Dataset-3'!F323:X712,2,)</f>
        <v>Morning</v>
      </c>
      <c r="H932" s="38" t="b">
        <f>VLOOKUP(G932,'Dataset-3'!G323:Y712,2,)</f>
        <v>0</v>
      </c>
      <c r="I932" s="38">
        <f>VLOOKUP(H932,'Dataset-3'!H323:Z712,2,)</f>
        <v>5</v>
      </c>
      <c r="J932" s="41" t="str">
        <f>VLOOKUP(I932,'Dataset-3'!I323:AA712,2,)</f>
        <v>Thusday</v>
      </c>
      <c r="K932" s="38">
        <f>VLOOKUP(J932,'Dataset-3'!J323:AB712,2,)</f>
        <v>1</v>
      </c>
      <c r="L932" s="38">
        <f>VLOOKUP(K932,'Dataset-3'!K323:AC712,2,)</f>
        <v>0.12</v>
      </c>
      <c r="M932" s="70" t="str">
        <f>VLOOKUP(L932,'Dataset-3'!L323:AD712,2,)</f>
        <v>Rainy</v>
      </c>
      <c r="N932" s="38">
        <f>VLOOKUP(M932,'Dataset-3'!M323:AE712,2,)</f>
        <v>0.1212</v>
      </c>
      <c r="O932" s="38">
        <f>VLOOKUP(N932,'Dataset-3'!N323:AF712,2,)</f>
        <v>0.74</v>
      </c>
      <c r="P932" s="38">
        <f>VLOOKUP(O932,'Dataset-3'!O323:AG712,2,)</f>
        <v>0.22389999999999999</v>
      </c>
      <c r="Q932" s="38">
        <f>VLOOKUP(P932,'Dataset-3'!P323:AH712,2,)</f>
        <v>8</v>
      </c>
      <c r="R932" s="38">
        <f>VLOOKUP(Q932,'Dataset-3'!Q323:AI712,2,)</f>
        <v>132</v>
      </c>
      <c r="S932" s="38">
        <f>VLOOKUP(R932,'Dataset-3'!R323:AJ712,2,)</f>
        <v>140</v>
      </c>
    </row>
    <row r="933" spans="1:19" x14ac:dyDescent="0.35">
      <c r="A933" s="37">
        <v>932</v>
      </c>
      <c r="B933" s="60">
        <f>VLOOKUP(A933,'Dataset-3'!A324:S713,2,)</f>
        <v>40585</v>
      </c>
      <c r="C933" s="38">
        <f>VLOOKUP(B933,'Dataset-3'!B324:T713,2,)</f>
        <v>1</v>
      </c>
      <c r="D933" s="38">
        <f>VLOOKUP(C933,'Dataset-3'!C324:U713,2,)</f>
        <v>0</v>
      </c>
      <c r="E933" s="38">
        <f>VLOOKUP(D933,'Dataset-3'!D324:V713,2,)</f>
        <v>2</v>
      </c>
      <c r="F933" s="38">
        <f>VLOOKUP(E933,'Dataset-3'!E324:W713,2,)</f>
        <v>10</v>
      </c>
      <c r="G933" s="41" t="str">
        <f>VLOOKUP(F933,'Dataset-3'!F324:X713,2,)</f>
        <v>Morning</v>
      </c>
      <c r="H933" s="38" t="b">
        <f>VLOOKUP(G933,'Dataset-3'!G324:Y713,2,)</f>
        <v>0</v>
      </c>
      <c r="I933" s="38">
        <f>VLOOKUP(H933,'Dataset-3'!H324:Z713,2,)</f>
        <v>5</v>
      </c>
      <c r="J933" s="41" t="str">
        <f>VLOOKUP(I933,'Dataset-3'!I324:AA713,2,)</f>
        <v>Thusday</v>
      </c>
      <c r="K933" s="38">
        <f>VLOOKUP(J933,'Dataset-3'!J324:AB713,2,)</f>
        <v>1</v>
      </c>
      <c r="L933" s="38">
        <f>VLOOKUP(K933,'Dataset-3'!K324:AC713,2,)</f>
        <v>0.14000000000000001</v>
      </c>
      <c r="M933" s="70" t="str">
        <f>VLOOKUP(L933,'Dataset-3'!L324:AD713,2,)</f>
        <v>Rainy</v>
      </c>
      <c r="N933" s="38">
        <f>VLOOKUP(M933,'Dataset-3'!M324:AE713,2,)</f>
        <v>0.13639999999999999</v>
      </c>
      <c r="O933" s="38">
        <f>VLOOKUP(N933,'Dataset-3'!N324:AF713,2,)</f>
        <v>0.69</v>
      </c>
      <c r="P933" s="38">
        <f>VLOOKUP(O933,'Dataset-3'!O324:AG713,2,)</f>
        <v>0.19400000000000001</v>
      </c>
      <c r="Q933" s="38">
        <f>VLOOKUP(P933,'Dataset-3'!P324:AH713,2,)</f>
        <v>5</v>
      </c>
      <c r="R933" s="38">
        <f>VLOOKUP(Q933,'Dataset-3'!Q324:AI713,2,)</f>
        <v>39</v>
      </c>
      <c r="S933" s="38">
        <f>VLOOKUP(R933,'Dataset-3'!R324:AJ713,2,)</f>
        <v>44</v>
      </c>
    </row>
    <row r="934" spans="1:19" x14ac:dyDescent="0.35">
      <c r="A934" s="37">
        <v>933</v>
      </c>
      <c r="B934" s="60">
        <f>VLOOKUP(A934,'Dataset-3'!A325:S714,2,)</f>
        <v>40585</v>
      </c>
      <c r="C934" s="38">
        <f>VLOOKUP(B934,'Dataset-3'!B325:T714,2,)</f>
        <v>1</v>
      </c>
      <c r="D934" s="38">
        <f>VLOOKUP(C934,'Dataset-3'!C325:U714,2,)</f>
        <v>0</v>
      </c>
      <c r="E934" s="38">
        <f>VLOOKUP(D934,'Dataset-3'!D325:V714,2,)</f>
        <v>2</v>
      </c>
      <c r="F934" s="38">
        <f>VLOOKUP(E934,'Dataset-3'!E325:W714,2,)</f>
        <v>11</v>
      </c>
      <c r="G934" s="41" t="str">
        <f>VLOOKUP(F934,'Dataset-3'!F325:X714,2,)</f>
        <v>Morning</v>
      </c>
      <c r="H934" s="38" t="b">
        <f>VLOOKUP(G934,'Dataset-3'!G325:Y714,2,)</f>
        <v>0</v>
      </c>
      <c r="I934" s="38">
        <f>VLOOKUP(H934,'Dataset-3'!H325:Z714,2,)</f>
        <v>5</v>
      </c>
      <c r="J934" s="41" t="str">
        <f>VLOOKUP(I934,'Dataset-3'!I325:AA714,2,)</f>
        <v>Thusday</v>
      </c>
      <c r="K934" s="38">
        <f>VLOOKUP(J934,'Dataset-3'!J325:AB714,2,)</f>
        <v>1</v>
      </c>
      <c r="L934" s="38">
        <f>VLOOKUP(K934,'Dataset-3'!K325:AC714,2,)</f>
        <v>0.22</v>
      </c>
      <c r="M934" s="70" t="str">
        <f>VLOOKUP(L934,'Dataset-3'!L325:AD714,2,)</f>
        <v>Cloudy</v>
      </c>
      <c r="N934" s="38">
        <f>VLOOKUP(M934,'Dataset-3'!M325:AE714,2,)</f>
        <v>0.2273</v>
      </c>
      <c r="O934" s="38">
        <f>VLOOKUP(N934,'Dataset-3'!N325:AF714,2,)</f>
        <v>0.47</v>
      </c>
      <c r="P934" s="38">
        <f>VLOOKUP(O934,'Dataset-3'!O325:AG714,2,)</f>
        <v>0.1343</v>
      </c>
      <c r="Q934" s="38">
        <f>VLOOKUP(P934,'Dataset-3'!P325:AH714,2,)</f>
        <v>12</v>
      </c>
      <c r="R934" s="38">
        <f>VLOOKUP(Q934,'Dataset-3'!Q325:AI714,2,)</f>
        <v>52</v>
      </c>
      <c r="S934" s="38">
        <f>VLOOKUP(R934,'Dataset-3'!R325:AJ714,2,)</f>
        <v>64</v>
      </c>
    </row>
    <row r="935" spans="1:19" x14ac:dyDescent="0.35">
      <c r="A935" s="37">
        <v>934</v>
      </c>
      <c r="B935" s="60">
        <f>VLOOKUP(A935,'Dataset-3'!A326:S715,2,)</f>
        <v>40585</v>
      </c>
      <c r="C935" s="38">
        <f>VLOOKUP(B935,'Dataset-3'!B326:T715,2,)</f>
        <v>1</v>
      </c>
      <c r="D935" s="38">
        <f>VLOOKUP(C935,'Dataset-3'!C326:U715,2,)</f>
        <v>0</v>
      </c>
      <c r="E935" s="38">
        <f>VLOOKUP(D935,'Dataset-3'!D326:V715,2,)</f>
        <v>2</v>
      </c>
      <c r="F935" s="38">
        <f>VLOOKUP(E935,'Dataset-3'!E326:W715,2,)</f>
        <v>12</v>
      </c>
      <c r="G935" s="41" t="str">
        <f>VLOOKUP(F935,'Dataset-3'!F326:X715,2,)</f>
        <v>AfterNoon</v>
      </c>
      <c r="H935" s="38" t="b">
        <f>VLOOKUP(G935,'Dataset-3'!G326:Y715,2,)</f>
        <v>0</v>
      </c>
      <c r="I935" s="38">
        <f>VLOOKUP(H935,'Dataset-3'!H326:Z715,2,)</f>
        <v>5</v>
      </c>
      <c r="J935" s="41" t="str">
        <f>VLOOKUP(I935,'Dataset-3'!I326:AA715,2,)</f>
        <v>Thusday</v>
      </c>
      <c r="K935" s="38">
        <f>VLOOKUP(J935,'Dataset-3'!J326:AB715,2,)</f>
        <v>1</v>
      </c>
      <c r="L935" s="38">
        <f>VLOOKUP(K935,'Dataset-3'!K326:AC715,2,)</f>
        <v>0.22</v>
      </c>
      <c r="M935" s="70" t="str">
        <f>VLOOKUP(L935,'Dataset-3'!L326:AD715,2,)</f>
        <v>Cloudy</v>
      </c>
      <c r="N935" s="38">
        <f>VLOOKUP(M935,'Dataset-3'!M326:AE715,2,)</f>
        <v>0.2273</v>
      </c>
      <c r="O935" s="38">
        <f>VLOOKUP(N935,'Dataset-3'!N326:AF715,2,)</f>
        <v>0.47</v>
      </c>
      <c r="P935" s="38">
        <f>VLOOKUP(O935,'Dataset-3'!O326:AG715,2,)</f>
        <v>0.1343</v>
      </c>
      <c r="Q935" s="38">
        <f>VLOOKUP(P935,'Dataset-3'!P326:AH715,2,)</f>
        <v>7</v>
      </c>
      <c r="R935" s="38">
        <f>VLOOKUP(Q935,'Dataset-3'!Q326:AI715,2,)</f>
        <v>64</v>
      </c>
      <c r="S935" s="38">
        <f>VLOOKUP(R935,'Dataset-3'!R326:AJ715,2,)</f>
        <v>71</v>
      </c>
    </row>
    <row r="936" spans="1:19" x14ac:dyDescent="0.35">
      <c r="A936" s="37">
        <v>935</v>
      </c>
      <c r="B936" s="60">
        <f>VLOOKUP(A936,'Dataset-3'!A327:S716,2,)</f>
        <v>40585</v>
      </c>
      <c r="C936" s="38">
        <f>VLOOKUP(B936,'Dataset-3'!B327:T716,2,)</f>
        <v>1</v>
      </c>
      <c r="D936" s="38">
        <f>VLOOKUP(C936,'Dataset-3'!C327:U716,2,)</f>
        <v>0</v>
      </c>
      <c r="E936" s="38">
        <f>VLOOKUP(D936,'Dataset-3'!D327:V716,2,)</f>
        <v>2</v>
      </c>
      <c r="F936" s="38">
        <f>VLOOKUP(E936,'Dataset-3'!E327:W716,2,)</f>
        <v>13</v>
      </c>
      <c r="G936" s="41" t="str">
        <f>VLOOKUP(F936,'Dataset-3'!F327:X716,2,)</f>
        <v>AfterNoon</v>
      </c>
      <c r="H936" s="38" t="b">
        <f>VLOOKUP(G936,'Dataset-3'!G327:Y716,2,)</f>
        <v>0</v>
      </c>
      <c r="I936" s="38">
        <f>VLOOKUP(H936,'Dataset-3'!H327:Z716,2,)</f>
        <v>5</v>
      </c>
      <c r="J936" s="41" t="str">
        <f>VLOOKUP(I936,'Dataset-3'!I327:AA716,2,)</f>
        <v>Thusday</v>
      </c>
      <c r="K936" s="38">
        <f>VLOOKUP(J936,'Dataset-3'!J327:AB716,2,)</f>
        <v>1</v>
      </c>
      <c r="L936" s="38">
        <f>VLOOKUP(K936,'Dataset-3'!K327:AC716,2,)</f>
        <v>0.24</v>
      </c>
      <c r="M936" s="70" t="str">
        <f>VLOOKUP(L936,'Dataset-3'!L327:AD716,2,)</f>
        <v>Cloudy</v>
      </c>
      <c r="N936" s="38">
        <f>VLOOKUP(M936,'Dataset-3'!M327:AE716,2,)</f>
        <v>0.2273</v>
      </c>
      <c r="O936" s="38">
        <f>VLOOKUP(N936,'Dataset-3'!N327:AF716,2,)</f>
        <v>0.35</v>
      </c>
      <c r="P936" s="38">
        <f>VLOOKUP(O936,'Dataset-3'!O327:AG716,2,)</f>
        <v>0.19400000000000001</v>
      </c>
      <c r="Q936" s="38">
        <f>VLOOKUP(P936,'Dataset-3'!P327:AH716,2,)</f>
        <v>21</v>
      </c>
      <c r="R936" s="38">
        <f>VLOOKUP(Q936,'Dataset-3'!Q327:AI716,2,)</f>
        <v>89</v>
      </c>
      <c r="S936" s="38">
        <f>VLOOKUP(R936,'Dataset-3'!R327:AJ716,2,)</f>
        <v>110</v>
      </c>
    </row>
    <row r="937" spans="1:19" x14ac:dyDescent="0.35">
      <c r="A937" s="37">
        <v>936</v>
      </c>
      <c r="B937" s="60">
        <f>VLOOKUP(A937,'Dataset-3'!A328:S717,2,)</f>
        <v>40585</v>
      </c>
      <c r="C937" s="38">
        <f>VLOOKUP(B937,'Dataset-3'!B328:T717,2,)</f>
        <v>1</v>
      </c>
      <c r="D937" s="38">
        <f>VLOOKUP(C937,'Dataset-3'!C328:U717,2,)</f>
        <v>0</v>
      </c>
      <c r="E937" s="38">
        <f>VLOOKUP(D937,'Dataset-3'!D328:V717,2,)</f>
        <v>2</v>
      </c>
      <c r="F937" s="38">
        <f>VLOOKUP(E937,'Dataset-3'!E328:W717,2,)</f>
        <v>14</v>
      </c>
      <c r="G937" s="41" t="str">
        <f>VLOOKUP(F937,'Dataset-3'!F328:X717,2,)</f>
        <v>AfterNoon</v>
      </c>
      <c r="H937" s="38" t="b">
        <f>VLOOKUP(G937,'Dataset-3'!G328:Y717,2,)</f>
        <v>0</v>
      </c>
      <c r="I937" s="38">
        <f>VLOOKUP(H937,'Dataset-3'!H328:Z717,2,)</f>
        <v>5</v>
      </c>
      <c r="J937" s="41" t="str">
        <f>VLOOKUP(I937,'Dataset-3'!I328:AA717,2,)</f>
        <v>Thusday</v>
      </c>
      <c r="K937" s="38">
        <f>VLOOKUP(J937,'Dataset-3'!J328:AB717,2,)</f>
        <v>1</v>
      </c>
      <c r="L937" s="38">
        <f>VLOOKUP(K937,'Dataset-3'!K328:AC717,2,)</f>
        <v>0.3</v>
      </c>
      <c r="M937" s="70" t="str">
        <f>VLOOKUP(L937,'Dataset-3'!L328:AD717,2,)</f>
        <v>Cloudy</v>
      </c>
      <c r="N937" s="38">
        <f>VLOOKUP(M937,'Dataset-3'!M328:AE717,2,)</f>
        <v>0.28789999999999999</v>
      </c>
      <c r="O937" s="38">
        <f>VLOOKUP(N937,'Dataset-3'!N328:AF717,2,)</f>
        <v>0.26</v>
      </c>
      <c r="P937" s="38">
        <f>VLOOKUP(O937,'Dataset-3'!O328:AG717,2,)</f>
        <v>0.25369999999999998</v>
      </c>
      <c r="Q937" s="38">
        <f>VLOOKUP(P937,'Dataset-3'!P328:AH717,2,)</f>
        <v>17</v>
      </c>
      <c r="R937" s="38">
        <f>VLOOKUP(Q937,'Dataset-3'!Q328:AI717,2,)</f>
        <v>67</v>
      </c>
      <c r="S937" s="38">
        <f>VLOOKUP(R937,'Dataset-3'!R328:AJ717,2,)</f>
        <v>84</v>
      </c>
    </row>
    <row r="938" spans="1:19" x14ac:dyDescent="0.35">
      <c r="A938" s="37">
        <v>937</v>
      </c>
      <c r="B938" s="60">
        <f>VLOOKUP(A938,'Dataset-3'!A329:S718,2,)</f>
        <v>40585</v>
      </c>
      <c r="C938" s="38">
        <f>VLOOKUP(B938,'Dataset-3'!B329:T718,2,)</f>
        <v>1</v>
      </c>
      <c r="D938" s="38">
        <f>VLOOKUP(C938,'Dataset-3'!C329:U718,2,)</f>
        <v>0</v>
      </c>
      <c r="E938" s="38">
        <f>VLOOKUP(D938,'Dataset-3'!D329:V718,2,)</f>
        <v>2</v>
      </c>
      <c r="F938" s="38">
        <f>VLOOKUP(E938,'Dataset-3'!E329:W718,2,)</f>
        <v>15</v>
      </c>
      <c r="G938" s="41" t="str">
        <f>VLOOKUP(F938,'Dataset-3'!F329:X718,2,)</f>
        <v>AfterNoon</v>
      </c>
      <c r="H938" s="38" t="b">
        <f>VLOOKUP(G938,'Dataset-3'!G329:Y718,2,)</f>
        <v>0</v>
      </c>
      <c r="I938" s="38">
        <f>VLOOKUP(H938,'Dataset-3'!H329:Z718,2,)</f>
        <v>5</v>
      </c>
      <c r="J938" s="41" t="str">
        <f>VLOOKUP(I938,'Dataset-3'!I329:AA718,2,)</f>
        <v>Thusday</v>
      </c>
      <c r="K938" s="38">
        <f>VLOOKUP(J938,'Dataset-3'!J329:AB718,2,)</f>
        <v>1</v>
      </c>
      <c r="L938" s="38">
        <f>VLOOKUP(K938,'Dataset-3'!K329:AC718,2,)</f>
        <v>0.32</v>
      </c>
      <c r="M938" s="70" t="str">
        <f>VLOOKUP(L938,'Dataset-3'!L329:AD718,2,)</f>
        <v>Sunny</v>
      </c>
      <c r="N938" s="38">
        <f>VLOOKUP(M938,'Dataset-3'!M329:AE718,2,)</f>
        <v>0.31819999999999998</v>
      </c>
      <c r="O938" s="38">
        <f>VLOOKUP(N938,'Dataset-3'!N329:AF718,2,)</f>
        <v>0.21</v>
      </c>
      <c r="P938" s="38">
        <f>VLOOKUP(O938,'Dataset-3'!O329:AG718,2,)</f>
        <v>0.16420000000000001</v>
      </c>
      <c r="Q938" s="38">
        <f>VLOOKUP(P938,'Dataset-3'!P329:AH718,2,)</f>
        <v>12</v>
      </c>
      <c r="R938" s="38">
        <f>VLOOKUP(Q938,'Dataset-3'!Q329:AI718,2,)</f>
        <v>62</v>
      </c>
      <c r="S938" s="38">
        <f>VLOOKUP(R938,'Dataset-3'!R329:AJ718,2,)</f>
        <v>74</v>
      </c>
    </row>
    <row r="939" spans="1:19" x14ac:dyDescent="0.35">
      <c r="A939" s="37">
        <v>938</v>
      </c>
      <c r="B939" s="60">
        <f>VLOOKUP(A939,'Dataset-3'!A330:S719,2,)</f>
        <v>40585</v>
      </c>
      <c r="C939" s="38">
        <f>VLOOKUP(B939,'Dataset-3'!B330:T719,2,)</f>
        <v>1</v>
      </c>
      <c r="D939" s="38">
        <f>VLOOKUP(C939,'Dataset-3'!C330:U719,2,)</f>
        <v>0</v>
      </c>
      <c r="E939" s="38">
        <f>VLOOKUP(D939,'Dataset-3'!D330:V719,2,)</f>
        <v>2</v>
      </c>
      <c r="F939" s="38">
        <f>VLOOKUP(E939,'Dataset-3'!E330:W719,2,)</f>
        <v>16</v>
      </c>
      <c r="G939" s="41" t="str">
        <f>VLOOKUP(F939,'Dataset-3'!F330:X719,2,)</f>
        <v>AfterNoon</v>
      </c>
      <c r="H939" s="38" t="b">
        <f>VLOOKUP(G939,'Dataset-3'!G330:Y719,2,)</f>
        <v>0</v>
      </c>
      <c r="I939" s="38">
        <f>VLOOKUP(H939,'Dataset-3'!H330:Z719,2,)</f>
        <v>5</v>
      </c>
      <c r="J939" s="41" t="str">
        <f>VLOOKUP(I939,'Dataset-3'!I330:AA719,2,)</f>
        <v>Thusday</v>
      </c>
      <c r="K939" s="38">
        <f>VLOOKUP(J939,'Dataset-3'!J330:AB719,2,)</f>
        <v>1</v>
      </c>
      <c r="L939" s="38">
        <f>VLOOKUP(K939,'Dataset-3'!K330:AC719,2,)</f>
        <v>0.3</v>
      </c>
      <c r="M939" s="70" t="str">
        <f>VLOOKUP(L939,'Dataset-3'!L330:AD719,2,)</f>
        <v>Cloudy</v>
      </c>
      <c r="N939" s="38">
        <f>VLOOKUP(M939,'Dataset-3'!M330:AE719,2,)</f>
        <v>0.28789999999999999</v>
      </c>
      <c r="O939" s="38">
        <f>VLOOKUP(N939,'Dataset-3'!N330:AF719,2,)</f>
        <v>0.28000000000000003</v>
      </c>
      <c r="P939" s="38">
        <f>VLOOKUP(O939,'Dataset-3'!O330:AG719,2,)</f>
        <v>0.19400000000000001</v>
      </c>
      <c r="Q939" s="38">
        <f>VLOOKUP(P939,'Dataset-3'!P330:AH719,2,)</f>
        <v>14</v>
      </c>
      <c r="R939" s="38">
        <f>VLOOKUP(Q939,'Dataset-3'!Q330:AI719,2,)</f>
        <v>111</v>
      </c>
      <c r="S939" s="38">
        <f>VLOOKUP(R939,'Dataset-3'!R330:AJ719,2,)</f>
        <v>125</v>
      </c>
    </row>
    <row r="940" spans="1:19" x14ac:dyDescent="0.35">
      <c r="A940" s="37">
        <v>939</v>
      </c>
      <c r="B940" s="60">
        <f>VLOOKUP(A940,'Dataset-3'!A331:S720,2,)</f>
        <v>40585</v>
      </c>
      <c r="C940" s="38">
        <f>VLOOKUP(B940,'Dataset-3'!B331:T720,2,)</f>
        <v>1</v>
      </c>
      <c r="D940" s="38">
        <f>VLOOKUP(C940,'Dataset-3'!C331:U720,2,)</f>
        <v>0</v>
      </c>
      <c r="E940" s="38">
        <f>VLOOKUP(D940,'Dataset-3'!D331:V720,2,)</f>
        <v>2</v>
      </c>
      <c r="F940" s="38">
        <f>VLOOKUP(E940,'Dataset-3'!E331:W720,2,)</f>
        <v>17</v>
      </c>
      <c r="G940" s="41" t="str">
        <f>VLOOKUP(F940,'Dataset-3'!F331:X720,2,)</f>
        <v>Evening</v>
      </c>
      <c r="H940" s="38" t="b">
        <f>VLOOKUP(G940,'Dataset-3'!G331:Y720,2,)</f>
        <v>0</v>
      </c>
      <c r="I940" s="38">
        <f>VLOOKUP(H940,'Dataset-3'!H331:Z720,2,)</f>
        <v>5</v>
      </c>
      <c r="J940" s="41" t="str">
        <f>VLOOKUP(I940,'Dataset-3'!I331:AA720,2,)</f>
        <v>Thusday</v>
      </c>
      <c r="K940" s="38">
        <f>VLOOKUP(J940,'Dataset-3'!J331:AB720,2,)</f>
        <v>1</v>
      </c>
      <c r="L940" s="38">
        <f>VLOOKUP(K940,'Dataset-3'!K331:AC720,2,)</f>
        <v>0.3</v>
      </c>
      <c r="M940" s="70" t="str">
        <f>VLOOKUP(L940,'Dataset-3'!L331:AD720,2,)</f>
        <v>Cloudy</v>
      </c>
      <c r="N940" s="38">
        <f>VLOOKUP(M940,'Dataset-3'!M331:AE720,2,)</f>
        <v>0.33329999999999999</v>
      </c>
      <c r="O940" s="38">
        <f>VLOOKUP(N940,'Dataset-3'!N331:AF720,2,)</f>
        <v>0.24</v>
      </c>
      <c r="P940" s="38">
        <f>VLOOKUP(O940,'Dataset-3'!O331:AG720,2,)</f>
        <v>0</v>
      </c>
      <c r="Q940" s="38">
        <f>VLOOKUP(P940,'Dataset-3'!P331:AH720,2,)</f>
        <v>18</v>
      </c>
      <c r="R940" s="38">
        <f>VLOOKUP(Q940,'Dataset-3'!Q331:AI720,2,)</f>
        <v>193</v>
      </c>
      <c r="S940" s="38">
        <f>VLOOKUP(R940,'Dataset-3'!R331:AJ720,2,)</f>
        <v>211</v>
      </c>
    </row>
    <row r="941" spans="1:19" x14ac:dyDescent="0.35">
      <c r="A941" s="37">
        <v>940</v>
      </c>
      <c r="B941" s="60">
        <f>VLOOKUP(A941,'Dataset-3'!A332:S721,2,)</f>
        <v>40585</v>
      </c>
      <c r="C941" s="38">
        <f>VLOOKUP(B941,'Dataset-3'!B332:T721,2,)</f>
        <v>1</v>
      </c>
      <c r="D941" s="38">
        <f>VLOOKUP(C941,'Dataset-3'!C332:U721,2,)</f>
        <v>0</v>
      </c>
      <c r="E941" s="38">
        <f>VLOOKUP(D941,'Dataset-3'!D332:V721,2,)</f>
        <v>2</v>
      </c>
      <c r="F941" s="38">
        <f>VLOOKUP(E941,'Dataset-3'!E332:W721,2,)</f>
        <v>18</v>
      </c>
      <c r="G941" s="41" t="str">
        <f>VLOOKUP(F941,'Dataset-3'!F332:X721,2,)</f>
        <v>Evening</v>
      </c>
      <c r="H941" s="38" t="b">
        <f>VLOOKUP(G941,'Dataset-3'!G332:Y721,2,)</f>
        <v>0</v>
      </c>
      <c r="I941" s="38">
        <f>VLOOKUP(H941,'Dataset-3'!H332:Z721,2,)</f>
        <v>5</v>
      </c>
      <c r="J941" s="41" t="str">
        <f>VLOOKUP(I941,'Dataset-3'!I332:AA721,2,)</f>
        <v>Thusday</v>
      </c>
      <c r="K941" s="38">
        <f>VLOOKUP(J941,'Dataset-3'!J332:AB721,2,)</f>
        <v>1</v>
      </c>
      <c r="L941" s="38">
        <f>VLOOKUP(K941,'Dataset-3'!K332:AC721,2,)</f>
        <v>0.28000000000000003</v>
      </c>
      <c r="M941" s="70" t="str">
        <f>VLOOKUP(L941,'Dataset-3'!L332:AD721,2,)</f>
        <v>Cloudy</v>
      </c>
      <c r="N941" s="38">
        <f>VLOOKUP(M941,'Dataset-3'!M332:AE721,2,)</f>
        <v>0.31819999999999998</v>
      </c>
      <c r="O941" s="38">
        <f>VLOOKUP(N941,'Dataset-3'!N332:AF721,2,)</f>
        <v>0.28000000000000003</v>
      </c>
      <c r="P941" s="38">
        <f>VLOOKUP(O941,'Dataset-3'!O332:AG721,2,)</f>
        <v>0</v>
      </c>
      <c r="Q941" s="38">
        <f>VLOOKUP(P941,'Dataset-3'!P332:AH721,2,)</f>
        <v>9</v>
      </c>
      <c r="R941" s="38">
        <f>VLOOKUP(Q941,'Dataset-3'!Q332:AI721,2,)</f>
        <v>165</v>
      </c>
      <c r="S941" s="38">
        <f>VLOOKUP(R941,'Dataset-3'!R332:AJ721,2,)</f>
        <v>174</v>
      </c>
    </row>
    <row r="942" spans="1:19" x14ac:dyDescent="0.35">
      <c r="A942" s="37">
        <v>941</v>
      </c>
      <c r="B942" s="60">
        <f>VLOOKUP(A942,'Dataset-3'!A333:S722,2,)</f>
        <v>40585</v>
      </c>
      <c r="C942" s="38">
        <f>VLOOKUP(B942,'Dataset-3'!B333:T722,2,)</f>
        <v>1</v>
      </c>
      <c r="D942" s="38">
        <f>VLOOKUP(C942,'Dataset-3'!C333:U722,2,)</f>
        <v>0</v>
      </c>
      <c r="E942" s="38">
        <f>VLOOKUP(D942,'Dataset-3'!D333:V722,2,)</f>
        <v>2</v>
      </c>
      <c r="F942" s="38">
        <f>VLOOKUP(E942,'Dataset-3'!E333:W722,2,)</f>
        <v>19</v>
      </c>
      <c r="G942" s="41" t="str">
        <f>VLOOKUP(F942,'Dataset-3'!F333:X722,2,)</f>
        <v>Evening</v>
      </c>
      <c r="H942" s="38" t="b">
        <f>VLOOKUP(G942,'Dataset-3'!G333:Y722,2,)</f>
        <v>0</v>
      </c>
      <c r="I942" s="38">
        <f>VLOOKUP(H942,'Dataset-3'!H333:Z722,2,)</f>
        <v>5</v>
      </c>
      <c r="J942" s="41" t="str">
        <f>VLOOKUP(I942,'Dataset-3'!I333:AA722,2,)</f>
        <v>Thusday</v>
      </c>
      <c r="K942" s="38">
        <f>VLOOKUP(J942,'Dataset-3'!J333:AB722,2,)</f>
        <v>1</v>
      </c>
      <c r="L942" s="38">
        <f>VLOOKUP(K942,'Dataset-3'!K333:AC722,2,)</f>
        <v>0.26</v>
      </c>
      <c r="M942" s="70" t="str">
        <f>VLOOKUP(L942,'Dataset-3'!L333:AD722,2,)</f>
        <v>Cloudy</v>
      </c>
      <c r="N942" s="38">
        <f>VLOOKUP(M942,'Dataset-3'!M333:AE722,2,)</f>
        <v>0.30299999999999999</v>
      </c>
      <c r="O942" s="38">
        <f>VLOOKUP(N942,'Dataset-3'!N333:AF722,2,)</f>
        <v>0.33</v>
      </c>
      <c r="P942" s="38">
        <f>VLOOKUP(O942,'Dataset-3'!O333:AG722,2,)</f>
        <v>0</v>
      </c>
      <c r="Q942" s="38">
        <f>VLOOKUP(P942,'Dataset-3'!P333:AH722,2,)</f>
        <v>7</v>
      </c>
      <c r="R942" s="38">
        <f>VLOOKUP(Q942,'Dataset-3'!Q333:AI722,2,)</f>
        <v>94</v>
      </c>
      <c r="S942" s="38">
        <f>VLOOKUP(R942,'Dataset-3'!R333:AJ722,2,)</f>
        <v>101</v>
      </c>
    </row>
    <row r="943" spans="1:19" x14ac:dyDescent="0.35">
      <c r="A943" s="37">
        <v>942</v>
      </c>
      <c r="B943" s="60">
        <f>VLOOKUP(A943,'Dataset-3'!A334:S723,2,)</f>
        <v>40585</v>
      </c>
      <c r="C943" s="38">
        <f>VLOOKUP(B943,'Dataset-3'!B334:T723,2,)</f>
        <v>1</v>
      </c>
      <c r="D943" s="38">
        <f>VLOOKUP(C943,'Dataset-3'!C334:U723,2,)</f>
        <v>0</v>
      </c>
      <c r="E943" s="38">
        <f>VLOOKUP(D943,'Dataset-3'!D334:V723,2,)</f>
        <v>2</v>
      </c>
      <c r="F943" s="38">
        <f>VLOOKUP(E943,'Dataset-3'!E334:W723,2,)</f>
        <v>20</v>
      </c>
      <c r="G943" s="41" t="str">
        <f>VLOOKUP(F943,'Dataset-3'!F334:X723,2,)</f>
        <v>Night</v>
      </c>
      <c r="H943" s="38" t="b">
        <f>VLOOKUP(G943,'Dataset-3'!G334:Y723,2,)</f>
        <v>0</v>
      </c>
      <c r="I943" s="38">
        <f>VLOOKUP(H943,'Dataset-3'!H334:Z723,2,)</f>
        <v>5</v>
      </c>
      <c r="J943" s="41" t="str">
        <f>VLOOKUP(I943,'Dataset-3'!I334:AA723,2,)</f>
        <v>Thusday</v>
      </c>
      <c r="K943" s="38">
        <f>VLOOKUP(J943,'Dataset-3'!J334:AB723,2,)</f>
        <v>1</v>
      </c>
      <c r="L943" s="38">
        <f>VLOOKUP(K943,'Dataset-3'!K334:AC723,2,)</f>
        <v>0.22</v>
      </c>
      <c r="M943" s="70" t="str">
        <f>VLOOKUP(L943,'Dataset-3'!L334:AD723,2,)</f>
        <v>Cloudy</v>
      </c>
      <c r="N943" s="38">
        <f>VLOOKUP(M943,'Dataset-3'!M334:AE723,2,)</f>
        <v>0.2273</v>
      </c>
      <c r="O943" s="38">
        <f>VLOOKUP(N943,'Dataset-3'!N334:AF723,2,)</f>
        <v>0.55000000000000004</v>
      </c>
      <c r="P943" s="38">
        <f>VLOOKUP(O943,'Dataset-3'!O334:AG723,2,)</f>
        <v>0.1343</v>
      </c>
      <c r="Q943" s="38">
        <f>VLOOKUP(P943,'Dataset-3'!P334:AH723,2,)</f>
        <v>2</v>
      </c>
      <c r="R943" s="38">
        <f>VLOOKUP(Q943,'Dataset-3'!Q334:AI723,2,)</f>
        <v>61</v>
      </c>
      <c r="S943" s="38">
        <f>VLOOKUP(R943,'Dataset-3'!R334:AJ723,2,)</f>
        <v>63</v>
      </c>
    </row>
    <row r="944" spans="1:19" x14ac:dyDescent="0.35">
      <c r="A944" s="37">
        <v>943</v>
      </c>
      <c r="B944" s="60">
        <f>VLOOKUP(A944,'Dataset-3'!A335:S724,2,)</f>
        <v>40585</v>
      </c>
      <c r="C944" s="38">
        <f>VLOOKUP(B944,'Dataset-3'!B335:T724,2,)</f>
        <v>1</v>
      </c>
      <c r="D944" s="38">
        <f>VLOOKUP(C944,'Dataset-3'!C335:U724,2,)</f>
        <v>0</v>
      </c>
      <c r="E944" s="38">
        <f>VLOOKUP(D944,'Dataset-3'!D335:V724,2,)</f>
        <v>2</v>
      </c>
      <c r="F944" s="38">
        <f>VLOOKUP(E944,'Dataset-3'!E335:W724,2,)</f>
        <v>21</v>
      </c>
      <c r="G944" s="41" t="str">
        <f>VLOOKUP(F944,'Dataset-3'!F335:X724,2,)</f>
        <v>Night</v>
      </c>
      <c r="H944" s="38" t="b">
        <f>VLOOKUP(G944,'Dataset-3'!G335:Y724,2,)</f>
        <v>0</v>
      </c>
      <c r="I944" s="38">
        <f>VLOOKUP(H944,'Dataset-3'!H335:Z724,2,)</f>
        <v>5</v>
      </c>
      <c r="J944" s="41" t="str">
        <f>VLOOKUP(I944,'Dataset-3'!I335:AA724,2,)</f>
        <v>Thusday</v>
      </c>
      <c r="K944" s="38">
        <f>VLOOKUP(J944,'Dataset-3'!J335:AB724,2,)</f>
        <v>1</v>
      </c>
      <c r="L944" s="38">
        <f>VLOOKUP(K944,'Dataset-3'!K335:AC724,2,)</f>
        <v>0.2</v>
      </c>
      <c r="M944" s="70" t="str">
        <f>VLOOKUP(L944,'Dataset-3'!L335:AD724,2,)</f>
        <v>Rainy</v>
      </c>
      <c r="N944" s="38">
        <f>VLOOKUP(M944,'Dataset-3'!M335:AE724,2,)</f>
        <v>0.21210000000000001</v>
      </c>
      <c r="O944" s="38">
        <f>VLOOKUP(N944,'Dataset-3'!N335:AF724,2,)</f>
        <v>0.59</v>
      </c>
      <c r="P944" s="38">
        <f>VLOOKUP(O944,'Dataset-3'!O335:AG724,2,)</f>
        <v>0.1343</v>
      </c>
      <c r="Q944" s="38">
        <f>VLOOKUP(P944,'Dataset-3'!P335:AH724,2,)</f>
        <v>1</v>
      </c>
      <c r="R944" s="38">
        <f>VLOOKUP(Q944,'Dataset-3'!Q335:AI724,2,)</f>
        <v>46</v>
      </c>
      <c r="S944" s="38">
        <f>VLOOKUP(R944,'Dataset-3'!R335:AJ724,2,)</f>
        <v>47</v>
      </c>
    </row>
    <row r="945" spans="1:19" x14ac:dyDescent="0.35">
      <c r="A945" s="37">
        <v>944</v>
      </c>
      <c r="B945" s="60">
        <f>VLOOKUP(A945,'Dataset-3'!A336:S725,2,)</f>
        <v>40585</v>
      </c>
      <c r="C945" s="38">
        <f>VLOOKUP(B945,'Dataset-3'!B336:T725,2,)</f>
        <v>1</v>
      </c>
      <c r="D945" s="38">
        <f>VLOOKUP(C945,'Dataset-3'!C336:U725,2,)</f>
        <v>0</v>
      </c>
      <c r="E945" s="38">
        <f>VLOOKUP(D945,'Dataset-3'!D336:V725,2,)</f>
        <v>2</v>
      </c>
      <c r="F945" s="38">
        <f>VLOOKUP(E945,'Dataset-3'!E336:W725,2,)</f>
        <v>22</v>
      </c>
      <c r="G945" s="41" t="str">
        <f>VLOOKUP(F945,'Dataset-3'!F336:X725,2,)</f>
        <v>Night</v>
      </c>
      <c r="H945" s="38" t="b">
        <f>VLOOKUP(G945,'Dataset-3'!G336:Y725,2,)</f>
        <v>0</v>
      </c>
      <c r="I945" s="38">
        <f>VLOOKUP(H945,'Dataset-3'!H336:Z725,2,)</f>
        <v>5</v>
      </c>
      <c r="J945" s="41" t="str">
        <f>VLOOKUP(I945,'Dataset-3'!I336:AA725,2,)</f>
        <v>Thusday</v>
      </c>
      <c r="K945" s="38">
        <f>VLOOKUP(J945,'Dataset-3'!J336:AB725,2,)</f>
        <v>1</v>
      </c>
      <c r="L945" s="38">
        <f>VLOOKUP(K945,'Dataset-3'!K336:AC725,2,)</f>
        <v>0.2</v>
      </c>
      <c r="M945" s="70" t="str">
        <f>VLOOKUP(L945,'Dataset-3'!L336:AD725,2,)</f>
        <v>Rainy</v>
      </c>
      <c r="N945" s="38">
        <f>VLOOKUP(M945,'Dataset-3'!M336:AE725,2,)</f>
        <v>0.2273</v>
      </c>
      <c r="O945" s="38">
        <f>VLOOKUP(N945,'Dataset-3'!N336:AF725,2,)</f>
        <v>0.64</v>
      </c>
      <c r="P945" s="38">
        <f>VLOOKUP(O945,'Dataset-3'!O336:AG725,2,)</f>
        <v>8.9599999999999999E-2</v>
      </c>
      <c r="Q945" s="38">
        <f>VLOOKUP(P945,'Dataset-3'!P336:AH725,2,)</f>
        <v>2</v>
      </c>
      <c r="R945" s="38">
        <f>VLOOKUP(Q945,'Dataset-3'!Q336:AI725,2,)</f>
        <v>41</v>
      </c>
      <c r="S945" s="38">
        <f>VLOOKUP(R945,'Dataset-3'!R336:AJ725,2,)</f>
        <v>43</v>
      </c>
    </row>
    <row r="946" spans="1:19" x14ac:dyDescent="0.35">
      <c r="A946" s="37">
        <v>945</v>
      </c>
      <c r="B946" s="60">
        <f>VLOOKUP(A946,'Dataset-3'!A337:S726,2,)</f>
        <v>40585</v>
      </c>
      <c r="C946" s="38">
        <f>VLOOKUP(B946,'Dataset-3'!B337:T726,2,)</f>
        <v>1</v>
      </c>
      <c r="D946" s="38">
        <f>VLOOKUP(C946,'Dataset-3'!C337:U726,2,)</f>
        <v>0</v>
      </c>
      <c r="E946" s="38">
        <f>VLOOKUP(D946,'Dataset-3'!D337:V726,2,)</f>
        <v>2</v>
      </c>
      <c r="F946" s="38">
        <f>VLOOKUP(E946,'Dataset-3'!E337:W726,2,)</f>
        <v>23</v>
      </c>
      <c r="G946" s="41" t="str">
        <f>VLOOKUP(F946,'Dataset-3'!F337:X726,2,)</f>
        <v>Night</v>
      </c>
      <c r="H946" s="38" t="b">
        <f>VLOOKUP(G946,'Dataset-3'!G337:Y726,2,)</f>
        <v>0</v>
      </c>
      <c r="I946" s="38">
        <f>VLOOKUP(H946,'Dataset-3'!H337:Z726,2,)</f>
        <v>5</v>
      </c>
      <c r="J946" s="41" t="str">
        <f>VLOOKUP(I946,'Dataset-3'!I337:AA726,2,)</f>
        <v>Thusday</v>
      </c>
      <c r="K946" s="38">
        <f>VLOOKUP(J946,'Dataset-3'!J337:AB726,2,)</f>
        <v>1</v>
      </c>
      <c r="L946" s="38">
        <f>VLOOKUP(K946,'Dataset-3'!K337:AC726,2,)</f>
        <v>0.18</v>
      </c>
      <c r="M946" s="70" t="str">
        <f>VLOOKUP(L946,'Dataset-3'!L337:AD726,2,)</f>
        <v>Rainy</v>
      </c>
      <c r="N946" s="38">
        <f>VLOOKUP(M946,'Dataset-3'!M337:AE726,2,)</f>
        <v>0.2424</v>
      </c>
      <c r="O946" s="38">
        <f>VLOOKUP(N946,'Dataset-3'!N337:AF726,2,)</f>
        <v>0.69</v>
      </c>
      <c r="P946" s="38">
        <f>VLOOKUP(O946,'Dataset-3'!O337:AG726,2,)</f>
        <v>0</v>
      </c>
      <c r="Q946" s="38">
        <f>VLOOKUP(P946,'Dataset-3'!P337:AH726,2,)</f>
        <v>5</v>
      </c>
      <c r="R946" s="38">
        <f>VLOOKUP(Q946,'Dataset-3'!Q337:AI726,2,)</f>
        <v>48</v>
      </c>
      <c r="S946" s="38">
        <f>VLOOKUP(R946,'Dataset-3'!R337:AJ726,2,)</f>
        <v>53</v>
      </c>
    </row>
    <row r="947" spans="1:19" x14ac:dyDescent="0.35">
      <c r="A947" s="37">
        <v>946</v>
      </c>
      <c r="B947" s="60">
        <f>VLOOKUP(A947,'Dataset-3'!A338:S727,2,)</f>
        <v>40586</v>
      </c>
      <c r="C947" s="38">
        <f>VLOOKUP(B947,'Dataset-3'!B338:T727,2,)</f>
        <v>1</v>
      </c>
      <c r="D947" s="38">
        <f>VLOOKUP(C947,'Dataset-3'!C338:U727,2,)</f>
        <v>0</v>
      </c>
      <c r="E947" s="38">
        <f>VLOOKUP(D947,'Dataset-3'!D338:V727,2,)</f>
        <v>2</v>
      </c>
      <c r="F947" s="38">
        <f>VLOOKUP(E947,'Dataset-3'!E338:W727,2,)</f>
        <v>0</v>
      </c>
      <c r="G947" s="41" t="str">
        <f>VLOOKUP(F947,'Dataset-3'!F338:X727,2,)</f>
        <v>Night</v>
      </c>
      <c r="H947" s="38" t="b">
        <f>VLOOKUP(G947,'Dataset-3'!G338:Y727,2,)</f>
        <v>0</v>
      </c>
      <c r="I947" s="38">
        <f>VLOOKUP(H947,'Dataset-3'!H338:Z727,2,)</f>
        <v>6</v>
      </c>
      <c r="J947" s="41" t="str">
        <f>VLOOKUP(I947,'Dataset-3'!I338:AA727,2,)</f>
        <v>Friday</v>
      </c>
      <c r="K947" s="38">
        <f>VLOOKUP(J947,'Dataset-3'!J338:AB727,2,)</f>
        <v>1</v>
      </c>
      <c r="L947" s="38">
        <f>VLOOKUP(K947,'Dataset-3'!K338:AC727,2,)</f>
        <v>0.16</v>
      </c>
      <c r="M947" s="70" t="str">
        <f>VLOOKUP(L947,'Dataset-3'!L338:AD727,2,)</f>
        <v>Rainy</v>
      </c>
      <c r="N947" s="38">
        <f>VLOOKUP(M947,'Dataset-3'!M338:AE727,2,)</f>
        <v>0.19700000000000001</v>
      </c>
      <c r="O947" s="38">
        <f>VLOOKUP(N947,'Dataset-3'!N338:AF727,2,)</f>
        <v>0.69</v>
      </c>
      <c r="P947" s="38">
        <f>VLOOKUP(O947,'Dataset-3'!O338:AG727,2,)</f>
        <v>8.9599999999999999E-2</v>
      </c>
      <c r="Q947" s="38">
        <f>VLOOKUP(P947,'Dataset-3'!P338:AH727,2,)</f>
        <v>3</v>
      </c>
      <c r="R947" s="38">
        <f>VLOOKUP(Q947,'Dataset-3'!Q338:AI727,2,)</f>
        <v>27</v>
      </c>
      <c r="S947" s="38">
        <f>VLOOKUP(R947,'Dataset-3'!R338:AJ727,2,)</f>
        <v>30</v>
      </c>
    </row>
    <row r="948" spans="1:19" x14ac:dyDescent="0.35">
      <c r="A948" s="37">
        <v>947</v>
      </c>
      <c r="B948" s="60">
        <f>VLOOKUP(A948,'Dataset-3'!A339:S728,2,)</f>
        <v>40586</v>
      </c>
      <c r="C948" s="38">
        <f>VLOOKUP(B948,'Dataset-3'!B339:T728,2,)</f>
        <v>1</v>
      </c>
      <c r="D948" s="38">
        <f>VLOOKUP(C948,'Dataset-3'!C339:U728,2,)</f>
        <v>0</v>
      </c>
      <c r="E948" s="38">
        <f>VLOOKUP(D948,'Dataset-3'!D339:V728,2,)</f>
        <v>2</v>
      </c>
      <c r="F948" s="38">
        <f>VLOOKUP(E948,'Dataset-3'!E339:W728,2,)</f>
        <v>1</v>
      </c>
      <c r="G948" s="41" t="str">
        <f>VLOOKUP(F948,'Dataset-3'!F339:X728,2,)</f>
        <v>Night</v>
      </c>
      <c r="H948" s="38" t="b">
        <f>VLOOKUP(G948,'Dataset-3'!G339:Y728,2,)</f>
        <v>0</v>
      </c>
      <c r="I948" s="38">
        <f>VLOOKUP(H948,'Dataset-3'!H339:Z728,2,)</f>
        <v>6</v>
      </c>
      <c r="J948" s="41" t="str">
        <f>VLOOKUP(I948,'Dataset-3'!I339:AA728,2,)</f>
        <v>Friday</v>
      </c>
      <c r="K948" s="38">
        <f>VLOOKUP(J948,'Dataset-3'!J339:AB728,2,)</f>
        <v>1</v>
      </c>
      <c r="L948" s="38">
        <f>VLOOKUP(K948,'Dataset-3'!K339:AC728,2,)</f>
        <v>0.14000000000000001</v>
      </c>
      <c r="M948" s="70" t="str">
        <f>VLOOKUP(L948,'Dataset-3'!L339:AD728,2,)</f>
        <v>Rainy</v>
      </c>
      <c r="N948" s="38">
        <f>VLOOKUP(M948,'Dataset-3'!M339:AE728,2,)</f>
        <v>0.21210000000000001</v>
      </c>
      <c r="O948" s="38">
        <f>VLOOKUP(N948,'Dataset-3'!N339:AF728,2,)</f>
        <v>0.86</v>
      </c>
      <c r="P948" s="38">
        <f>VLOOKUP(O948,'Dataset-3'!O339:AG728,2,)</f>
        <v>0</v>
      </c>
      <c r="Q948" s="38">
        <f>VLOOKUP(P948,'Dataset-3'!P339:AH728,2,)</f>
        <v>2</v>
      </c>
      <c r="R948" s="38">
        <f>VLOOKUP(Q948,'Dataset-3'!Q339:AI728,2,)</f>
        <v>22</v>
      </c>
      <c r="S948" s="38">
        <f>VLOOKUP(R948,'Dataset-3'!R339:AJ728,2,)</f>
        <v>24</v>
      </c>
    </row>
    <row r="949" spans="1:19" x14ac:dyDescent="0.35">
      <c r="A949" s="37">
        <v>948</v>
      </c>
      <c r="B949" s="60">
        <f>VLOOKUP(A949,'Dataset-3'!A340:S729,2,)</f>
        <v>40586</v>
      </c>
      <c r="C949" s="38">
        <f>VLOOKUP(B949,'Dataset-3'!B340:T729,2,)</f>
        <v>1</v>
      </c>
      <c r="D949" s="38">
        <f>VLOOKUP(C949,'Dataset-3'!C340:U729,2,)</f>
        <v>0</v>
      </c>
      <c r="E949" s="38">
        <f>VLOOKUP(D949,'Dataset-3'!D340:V729,2,)</f>
        <v>2</v>
      </c>
      <c r="F949" s="38">
        <f>VLOOKUP(E949,'Dataset-3'!E340:W729,2,)</f>
        <v>2</v>
      </c>
      <c r="G949" s="41" t="str">
        <f>VLOOKUP(F949,'Dataset-3'!F340:X729,2,)</f>
        <v>Night</v>
      </c>
      <c r="H949" s="38" t="b">
        <f>VLOOKUP(G949,'Dataset-3'!G340:Y729,2,)</f>
        <v>0</v>
      </c>
      <c r="I949" s="38">
        <f>VLOOKUP(H949,'Dataset-3'!H340:Z729,2,)</f>
        <v>6</v>
      </c>
      <c r="J949" s="41" t="str">
        <f>VLOOKUP(I949,'Dataset-3'!I340:AA729,2,)</f>
        <v>Friday</v>
      </c>
      <c r="K949" s="38">
        <f>VLOOKUP(J949,'Dataset-3'!J340:AB729,2,)</f>
        <v>1</v>
      </c>
      <c r="L949" s="38">
        <f>VLOOKUP(K949,'Dataset-3'!K340:AC729,2,)</f>
        <v>0.14000000000000001</v>
      </c>
      <c r="M949" s="70" t="str">
        <f>VLOOKUP(L949,'Dataset-3'!L340:AD729,2,)</f>
        <v>Rainy</v>
      </c>
      <c r="N949" s="38">
        <f>VLOOKUP(M949,'Dataset-3'!M340:AE729,2,)</f>
        <v>0.21210000000000001</v>
      </c>
      <c r="O949" s="38">
        <f>VLOOKUP(N949,'Dataset-3'!N340:AF729,2,)</f>
        <v>0.8</v>
      </c>
      <c r="P949" s="38">
        <f>VLOOKUP(O949,'Dataset-3'!O340:AG729,2,)</f>
        <v>0</v>
      </c>
      <c r="Q949" s="38">
        <f>VLOOKUP(P949,'Dataset-3'!P340:AH729,2,)</f>
        <v>2</v>
      </c>
      <c r="R949" s="38">
        <f>VLOOKUP(Q949,'Dataset-3'!Q340:AI729,2,)</f>
        <v>13</v>
      </c>
      <c r="S949" s="38">
        <f>VLOOKUP(R949,'Dataset-3'!R340:AJ729,2,)</f>
        <v>15</v>
      </c>
    </row>
    <row r="950" spans="1:19" x14ac:dyDescent="0.35">
      <c r="A950" s="37">
        <v>949</v>
      </c>
      <c r="B950" s="60">
        <f>VLOOKUP(A950,'Dataset-3'!A341:S730,2,)</f>
        <v>40586</v>
      </c>
      <c r="C950" s="38">
        <f>VLOOKUP(B950,'Dataset-3'!B341:T730,2,)</f>
        <v>1</v>
      </c>
      <c r="D950" s="38">
        <f>VLOOKUP(C950,'Dataset-3'!C341:U730,2,)</f>
        <v>0</v>
      </c>
      <c r="E950" s="38">
        <f>VLOOKUP(D950,'Dataset-3'!D341:V730,2,)</f>
        <v>2</v>
      </c>
      <c r="F950" s="38">
        <f>VLOOKUP(E950,'Dataset-3'!E341:W730,2,)</f>
        <v>3</v>
      </c>
      <c r="G950" s="41" t="str">
        <f>VLOOKUP(F950,'Dataset-3'!F341:X730,2,)</f>
        <v>Night</v>
      </c>
      <c r="H950" s="38" t="b">
        <f>VLOOKUP(G950,'Dataset-3'!G341:Y730,2,)</f>
        <v>0</v>
      </c>
      <c r="I950" s="38">
        <f>VLOOKUP(H950,'Dataset-3'!H341:Z730,2,)</f>
        <v>6</v>
      </c>
      <c r="J950" s="41" t="str">
        <f>VLOOKUP(I950,'Dataset-3'!I341:AA730,2,)</f>
        <v>Friday</v>
      </c>
      <c r="K950" s="38">
        <f>VLOOKUP(J950,'Dataset-3'!J341:AB730,2,)</f>
        <v>1</v>
      </c>
      <c r="L950" s="38">
        <f>VLOOKUP(K950,'Dataset-3'!K341:AC730,2,)</f>
        <v>0.12</v>
      </c>
      <c r="M950" s="70" t="str">
        <f>VLOOKUP(L950,'Dataset-3'!L341:AD730,2,)</f>
        <v>Rainy</v>
      </c>
      <c r="N950" s="38">
        <f>VLOOKUP(M950,'Dataset-3'!M341:AE730,2,)</f>
        <v>0.19700000000000001</v>
      </c>
      <c r="O950" s="38">
        <f>VLOOKUP(N950,'Dataset-3'!N341:AF730,2,)</f>
        <v>0.8</v>
      </c>
      <c r="P950" s="38">
        <f>VLOOKUP(O950,'Dataset-3'!O341:AG730,2,)</f>
        <v>0</v>
      </c>
      <c r="Q950" s="38">
        <f>VLOOKUP(P950,'Dataset-3'!P341:AH730,2,)</f>
        <v>3</v>
      </c>
      <c r="R950" s="38">
        <f>VLOOKUP(Q950,'Dataset-3'!Q341:AI730,2,)</f>
        <v>7</v>
      </c>
      <c r="S950" s="38">
        <f>VLOOKUP(R950,'Dataset-3'!R341:AJ730,2,)</f>
        <v>10</v>
      </c>
    </row>
    <row r="951" spans="1:19" x14ac:dyDescent="0.35">
      <c r="A951" s="37">
        <v>950</v>
      </c>
      <c r="B951" s="60">
        <f>VLOOKUP(A951,'Dataset-3'!A342:S731,2,)</f>
        <v>40586</v>
      </c>
      <c r="C951" s="38">
        <f>VLOOKUP(B951,'Dataset-3'!B342:T731,2,)</f>
        <v>1</v>
      </c>
      <c r="D951" s="38">
        <f>VLOOKUP(C951,'Dataset-3'!C342:U731,2,)</f>
        <v>0</v>
      </c>
      <c r="E951" s="38">
        <f>VLOOKUP(D951,'Dataset-3'!D342:V731,2,)</f>
        <v>2</v>
      </c>
      <c r="F951" s="38">
        <f>VLOOKUP(E951,'Dataset-3'!E342:W731,2,)</f>
        <v>4</v>
      </c>
      <c r="G951" s="41" t="str">
        <f>VLOOKUP(F951,'Dataset-3'!F342:X731,2,)</f>
        <v>Night</v>
      </c>
      <c r="H951" s="38" t="b">
        <f>VLOOKUP(G951,'Dataset-3'!G342:Y731,2,)</f>
        <v>0</v>
      </c>
      <c r="I951" s="38">
        <f>VLOOKUP(H951,'Dataset-3'!H342:Z731,2,)</f>
        <v>6</v>
      </c>
      <c r="J951" s="41" t="str">
        <f>VLOOKUP(I951,'Dataset-3'!I342:AA731,2,)</f>
        <v>Friday</v>
      </c>
      <c r="K951" s="38">
        <f>VLOOKUP(J951,'Dataset-3'!J342:AB731,2,)</f>
        <v>1</v>
      </c>
      <c r="L951" s="38">
        <f>VLOOKUP(K951,'Dataset-3'!K342:AC731,2,)</f>
        <v>0.12</v>
      </c>
      <c r="M951" s="70" t="str">
        <f>VLOOKUP(L951,'Dataset-3'!L342:AD731,2,)</f>
        <v>Rainy</v>
      </c>
      <c r="N951" s="38">
        <f>VLOOKUP(M951,'Dataset-3'!M342:AE731,2,)</f>
        <v>0.16669999999999999</v>
      </c>
      <c r="O951" s="38">
        <f>VLOOKUP(N951,'Dataset-3'!N342:AF731,2,)</f>
        <v>0.74</v>
      </c>
      <c r="P951" s="38">
        <f>VLOOKUP(O951,'Dataset-3'!O342:AG731,2,)</f>
        <v>8.9599999999999999E-2</v>
      </c>
      <c r="Q951" s="38">
        <f>VLOOKUP(P951,'Dataset-3'!P342:AH731,2,)</f>
        <v>0</v>
      </c>
      <c r="R951" s="38">
        <f>VLOOKUP(Q951,'Dataset-3'!Q342:AI731,2,)</f>
        <v>4</v>
      </c>
      <c r="S951" s="38">
        <f>VLOOKUP(R951,'Dataset-3'!R342:AJ731,2,)</f>
        <v>4</v>
      </c>
    </row>
    <row r="952" spans="1:19" x14ac:dyDescent="0.35">
      <c r="A952" s="37">
        <v>951</v>
      </c>
      <c r="B952" s="60">
        <f>VLOOKUP(A952,'Dataset-3'!A343:S732,2,)</f>
        <v>40586</v>
      </c>
      <c r="C952" s="38">
        <f>VLOOKUP(B952,'Dataset-3'!B343:T732,2,)</f>
        <v>1</v>
      </c>
      <c r="D952" s="38">
        <f>VLOOKUP(C952,'Dataset-3'!C343:U732,2,)</f>
        <v>0</v>
      </c>
      <c r="E952" s="38">
        <f>VLOOKUP(D952,'Dataset-3'!D343:V732,2,)</f>
        <v>2</v>
      </c>
      <c r="F952" s="38">
        <f>VLOOKUP(E952,'Dataset-3'!E343:W732,2,)</f>
        <v>5</v>
      </c>
      <c r="G952" s="41" t="str">
        <f>VLOOKUP(F952,'Dataset-3'!F343:X732,2,)</f>
        <v>Morning</v>
      </c>
      <c r="H952" s="38" t="b">
        <f>VLOOKUP(G952,'Dataset-3'!G343:Y732,2,)</f>
        <v>0</v>
      </c>
      <c r="I952" s="38">
        <f>VLOOKUP(H952,'Dataset-3'!H343:Z732,2,)</f>
        <v>6</v>
      </c>
      <c r="J952" s="41" t="str">
        <f>VLOOKUP(I952,'Dataset-3'!I343:AA732,2,)</f>
        <v>Friday</v>
      </c>
      <c r="K952" s="38">
        <f>VLOOKUP(J952,'Dataset-3'!J343:AB732,2,)</f>
        <v>1</v>
      </c>
      <c r="L952" s="38">
        <f>VLOOKUP(K952,'Dataset-3'!K343:AC732,2,)</f>
        <v>0.12</v>
      </c>
      <c r="M952" s="70" t="str">
        <f>VLOOKUP(L952,'Dataset-3'!L343:AD732,2,)</f>
        <v>Rainy</v>
      </c>
      <c r="N952" s="38">
        <f>VLOOKUP(M952,'Dataset-3'!M343:AE732,2,)</f>
        <v>0.16669999999999999</v>
      </c>
      <c r="O952" s="38">
        <f>VLOOKUP(N952,'Dataset-3'!N343:AF732,2,)</f>
        <v>0.74</v>
      </c>
      <c r="P952" s="38">
        <f>VLOOKUP(O952,'Dataset-3'!O343:AG732,2,)</f>
        <v>8.9599999999999999E-2</v>
      </c>
      <c r="Q952" s="38">
        <f>VLOOKUP(P952,'Dataset-3'!P343:AH732,2,)</f>
        <v>0</v>
      </c>
      <c r="R952" s="38">
        <f>VLOOKUP(Q952,'Dataset-3'!Q343:AI732,2,)</f>
        <v>1</v>
      </c>
      <c r="S952" s="38">
        <f>VLOOKUP(R952,'Dataset-3'!R343:AJ732,2,)</f>
        <v>1</v>
      </c>
    </row>
    <row r="953" spans="1:19" x14ac:dyDescent="0.35">
      <c r="A953" s="37">
        <v>952</v>
      </c>
      <c r="B953" s="60">
        <f>VLOOKUP(A953,'Dataset-3'!A344:S733,2,)</f>
        <v>40586</v>
      </c>
      <c r="C953" s="38">
        <f>VLOOKUP(B953,'Dataset-3'!B344:T733,2,)</f>
        <v>1</v>
      </c>
      <c r="D953" s="38">
        <f>VLOOKUP(C953,'Dataset-3'!C344:U733,2,)</f>
        <v>0</v>
      </c>
      <c r="E953" s="38">
        <f>VLOOKUP(D953,'Dataset-3'!D344:V733,2,)</f>
        <v>2</v>
      </c>
      <c r="F953" s="38">
        <f>VLOOKUP(E953,'Dataset-3'!E344:W733,2,)</f>
        <v>6</v>
      </c>
      <c r="G953" s="41" t="str">
        <f>VLOOKUP(F953,'Dataset-3'!F344:X733,2,)</f>
        <v>Morning</v>
      </c>
      <c r="H953" s="38" t="b">
        <f>VLOOKUP(G953,'Dataset-3'!G344:Y733,2,)</f>
        <v>0</v>
      </c>
      <c r="I953" s="38">
        <f>VLOOKUP(H953,'Dataset-3'!H344:Z733,2,)</f>
        <v>6</v>
      </c>
      <c r="J953" s="41" t="str">
        <f>VLOOKUP(I953,'Dataset-3'!I344:AA733,2,)</f>
        <v>Friday</v>
      </c>
      <c r="K953" s="38">
        <f>VLOOKUP(J953,'Dataset-3'!J344:AB733,2,)</f>
        <v>1</v>
      </c>
      <c r="L953" s="38">
        <f>VLOOKUP(K953,'Dataset-3'!K344:AC733,2,)</f>
        <v>0.12</v>
      </c>
      <c r="M953" s="70" t="str">
        <f>VLOOKUP(L953,'Dataset-3'!L344:AD733,2,)</f>
        <v>Rainy</v>
      </c>
      <c r="N953" s="38">
        <f>VLOOKUP(M953,'Dataset-3'!M344:AE733,2,)</f>
        <v>0.13639999999999999</v>
      </c>
      <c r="O953" s="38">
        <f>VLOOKUP(N953,'Dataset-3'!N344:AF733,2,)</f>
        <v>0.93</v>
      </c>
      <c r="P953" s="38">
        <f>VLOOKUP(O953,'Dataset-3'!O344:AG733,2,)</f>
        <v>0.19400000000000001</v>
      </c>
      <c r="Q953" s="38">
        <f>VLOOKUP(P953,'Dataset-3'!P344:AH733,2,)</f>
        <v>1</v>
      </c>
      <c r="R953" s="38">
        <f>VLOOKUP(Q953,'Dataset-3'!Q344:AI733,2,)</f>
        <v>1</v>
      </c>
      <c r="S953" s="38">
        <f>VLOOKUP(R953,'Dataset-3'!R344:AJ733,2,)</f>
        <v>2</v>
      </c>
    </row>
    <row r="954" spans="1:19" x14ac:dyDescent="0.35">
      <c r="A954" s="37">
        <v>953</v>
      </c>
      <c r="B954" s="60">
        <f>VLOOKUP(A954,'Dataset-3'!A345:S734,2,)</f>
        <v>40586</v>
      </c>
      <c r="C954" s="38">
        <f>VLOOKUP(B954,'Dataset-3'!B345:T734,2,)</f>
        <v>1</v>
      </c>
      <c r="D954" s="38">
        <f>VLOOKUP(C954,'Dataset-3'!C345:U734,2,)</f>
        <v>0</v>
      </c>
      <c r="E954" s="38">
        <f>VLOOKUP(D954,'Dataset-3'!D345:V734,2,)</f>
        <v>2</v>
      </c>
      <c r="F954" s="38">
        <f>VLOOKUP(E954,'Dataset-3'!E345:W734,2,)</f>
        <v>7</v>
      </c>
      <c r="G954" s="41" t="str">
        <f>VLOOKUP(F954,'Dataset-3'!F345:X734,2,)</f>
        <v>Morning</v>
      </c>
      <c r="H954" s="38" t="b">
        <f>VLOOKUP(G954,'Dataset-3'!G345:Y734,2,)</f>
        <v>0</v>
      </c>
      <c r="I954" s="38">
        <f>VLOOKUP(H954,'Dataset-3'!H345:Z734,2,)</f>
        <v>6</v>
      </c>
      <c r="J954" s="41" t="str">
        <f>VLOOKUP(I954,'Dataset-3'!I345:AA734,2,)</f>
        <v>Friday</v>
      </c>
      <c r="K954" s="38">
        <f>VLOOKUP(J954,'Dataset-3'!J345:AB734,2,)</f>
        <v>1</v>
      </c>
      <c r="L954" s="38">
        <f>VLOOKUP(K954,'Dataset-3'!K345:AC734,2,)</f>
        <v>0.12</v>
      </c>
      <c r="M954" s="70" t="str">
        <f>VLOOKUP(L954,'Dataset-3'!L345:AD734,2,)</f>
        <v>Rainy</v>
      </c>
      <c r="N954" s="38">
        <f>VLOOKUP(M954,'Dataset-3'!M345:AE734,2,)</f>
        <v>0.1515</v>
      </c>
      <c r="O954" s="38">
        <f>VLOOKUP(N954,'Dataset-3'!N345:AF734,2,)</f>
        <v>0.8</v>
      </c>
      <c r="P954" s="38">
        <f>VLOOKUP(O954,'Dataset-3'!O345:AG734,2,)</f>
        <v>0.1045</v>
      </c>
      <c r="Q954" s="38">
        <f>VLOOKUP(P954,'Dataset-3'!P345:AH734,2,)</f>
        <v>2</v>
      </c>
      <c r="R954" s="38">
        <f>VLOOKUP(Q954,'Dataset-3'!Q345:AI734,2,)</f>
        <v>9</v>
      </c>
      <c r="S954" s="38">
        <f>VLOOKUP(R954,'Dataset-3'!R345:AJ734,2,)</f>
        <v>11</v>
      </c>
    </row>
    <row r="955" spans="1:19" x14ac:dyDescent="0.35">
      <c r="A955" s="37">
        <v>954</v>
      </c>
      <c r="B955" s="60">
        <f>VLOOKUP(A955,'Dataset-3'!A346:S735,2,)</f>
        <v>40586</v>
      </c>
      <c r="C955" s="38">
        <f>VLOOKUP(B955,'Dataset-3'!B346:T735,2,)</f>
        <v>1</v>
      </c>
      <c r="D955" s="38">
        <f>VLOOKUP(C955,'Dataset-3'!C346:U735,2,)</f>
        <v>0</v>
      </c>
      <c r="E955" s="38">
        <f>VLOOKUP(D955,'Dataset-3'!D346:V735,2,)</f>
        <v>2</v>
      </c>
      <c r="F955" s="38">
        <f>VLOOKUP(E955,'Dataset-3'!E346:W735,2,)</f>
        <v>8</v>
      </c>
      <c r="G955" s="41" t="str">
        <f>VLOOKUP(F955,'Dataset-3'!F346:X735,2,)</f>
        <v>Morning</v>
      </c>
      <c r="H955" s="38" t="b">
        <f>VLOOKUP(G955,'Dataset-3'!G346:Y735,2,)</f>
        <v>0</v>
      </c>
      <c r="I955" s="38">
        <f>VLOOKUP(H955,'Dataset-3'!H346:Z735,2,)</f>
        <v>6</v>
      </c>
      <c r="J955" s="41" t="str">
        <f>VLOOKUP(I955,'Dataset-3'!I346:AA735,2,)</f>
        <v>Friday</v>
      </c>
      <c r="K955" s="38">
        <f>VLOOKUP(J955,'Dataset-3'!J346:AB735,2,)</f>
        <v>1</v>
      </c>
      <c r="L955" s="38">
        <f>VLOOKUP(K955,'Dataset-3'!K346:AC735,2,)</f>
        <v>0.14000000000000001</v>
      </c>
      <c r="M955" s="70" t="str">
        <f>VLOOKUP(L955,'Dataset-3'!L346:AD735,2,)</f>
        <v>Rainy</v>
      </c>
      <c r="N955" s="38">
        <f>VLOOKUP(M955,'Dataset-3'!M346:AE735,2,)</f>
        <v>0.1515</v>
      </c>
      <c r="O955" s="38">
        <f>VLOOKUP(N955,'Dataset-3'!N346:AF735,2,)</f>
        <v>0.86</v>
      </c>
      <c r="P955" s="38">
        <f>VLOOKUP(O955,'Dataset-3'!O346:AG735,2,)</f>
        <v>0.1343</v>
      </c>
      <c r="Q955" s="38">
        <f>VLOOKUP(P955,'Dataset-3'!P346:AH735,2,)</f>
        <v>2</v>
      </c>
      <c r="R955" s="38">
        <f>VLOOKUP(Q955,'Dataset-3'!Q346:AI735,2,)</f>
        <v>28</v>
      </c>
      <c r="S955" s="38">
        <f>VLOOKUP(R955,'Dataset-3'!R346:AJ735,2,)</f>
        <v>30</v>
      </c>
    </row>
    <row r="956" spans="1:19" x14ac:dyDescent="0.35">
      <c r="A956" s="37">
        <v>955</v>
      </c>
      <c r="B956" s="60">
        <f>VLOOKUP(A956,'Dataset-3'!A347:S736,2,)</f>
        <v>40586</v>
      </c>
      <c r="C956" s="38">
        <f>VLOOKUP(B956,'Dataset-3'!B347:T736,2,)</f>
        <v>1</v>
      </c>
      <c r="D956" s="38">
        <f>VLOOKUP(C956,'Dataset-3'!C347:U736,2,)</f>
        <v>0</v>
      </c>
      <c r="E956" s="38">
        <f>VLOOKUP(D956,'Dataset-3'!D347:V736,2,)</f>
        <v>2</v>
      </c>
      <c r="F956" s="38">
        <f>VLOOKUP(E956,'Dataset-3'!E347:W736,2,)</f>
        <v>9</v>
      </c>
      <c r="G956" s="41" t="str">
        <f>VLOOKUP(F956,'Dataset-3'!F347:X736,2,)</f>
        <v>Morning</v>
      </c>
      <c r="H956" s="38" t="b">
        <f>VLOOKUP(G956,'Dataset-3'!G347:Y736,2,)</f>
        <v>0</v>
      </c>
      <c r="I956" s="38">
        <f>VLOOKUP(H956,'Dataset-3'!H347:Z736,2,)</f>
        <v>6</v>
      </c>
      <c r="J956" s="41" t="str">
        <f>VLOOKUP(I956,'Dataset-3'!I347:AA736,2,)</f>
        <v>Friday</v>
      </c>
      <c r="K956" s="38">
        <f>VLOOKUP(J956,'Dataset-3'!J347:AB736,2,)</f>
        <v>1</v>
      </c>
      <c r="L956" s="38">
        <f>VLOOKUP(K956,'Dataset-3'!K347:AC736,2,)</f>
        <v>0.16</v>
      </c>
      <c r="M956" s="70" t="str">
        <f>VLOOKUP(L956,'Dataset-3'!L347:AD736,2,)</f>
        <v>Rainy</v>
      </c>
      <c r="N956" s="38">
        <f>VLOOKUP(M956,'Dataset-3'!M347:AE736,2,)</f>
        <v>0.18179999999999999</v>
      </c>
      <c r="O956" s="38">
        <f>VLOOKUP(N956,'Dataset-3'!N347:AF736,2,)</f>
        <v>0.64</v>
      </c>
      <c r="P956" s="38">
        <f>VLOOKUP(O956,'Dataset-3'!O347:AG736,2,)</f>
        <v>0.1343</v>
      </c>
      <c r="Q956" s="38">
        <f>VLOOKUP(P956,'Dataset-3'!P347:AH736,2,)</f>
        <v>5</v>
      </c>
      <c r="R956" s="38">
        <f>VLOOKUP(Q956,'Dataset-3'!Q347:AI736,2,)</f>
        <v>38</v>
      </c>
      <c r="S956" s="38">
        <f>VLOOKUP(R956,'Dataset-3'!R347:AJ736,2,)</f>
        <v>43</v>
      </c>
    </row>
    <row r="957" spans="1:19" x14ac:dyDescent="0.35">
      <c r="A957" s="37">
        <v>956</v>
      </c>
      <c r="B957" s="60">
        <f>VLOOKUP(A957,'Dataset-3'!A348:S737,2,)</f>
        <v>40586</v>
      </c>
      <c r="C957" s="38">
        <f>VLOOKUP(B957,'Dataset-3'!B348:T737,2,)</f>
        <v>1</v>
      </c>
      <c r="D957" s="38">
        <f>VLOOKUP(C957,'Dataset-3'!C348:U737,2,)</f>
        <v>0</v>
      </c>
      <c r="E957" s="38">
        <f>VLOOKUP(D957,'Dataset-3'!D348:V737,2,)</f>
        <v>2</v>
      </c>
      <c r="F957" s="38">
        <f>VLOOKUP(E957,'Dataset-3'!E348:W737,2,)</f>
        <v>10</v>
      </c>
      <c r="G957" s="41" t="str">
        <f>VLOOKUP(F957,'Dataset-3'!F348:X737,2,)</f>
        <v>Morning</v>
      </c>
      <c r="H957" s="38" t="b">
        <f>VLOOKUP(G957,'Dataset-3'!G348:Y737,2,)</f>
        <v>0</v>
      </c>
      <c r="I957" s="38">
        <f>VLOOKUP(H957,'Dataset-3'!H348:Z737,2,)</f>
        <v>6</v>
      </c>
      <c r="J957" s="41" t="str">
        <f>VLOOKUP(I957,'Dataset-3'!I348:AA737,2,)</f>
        <v>Friday</v>
      </c>
      <c r="K957" s="38">
        <f>VLOOKUP(J957,'Dataset-3'!J348:AB737,2,)</f>
        <v>1</v>
      </c>
      <c r="L957" s="38">
        <f>VLOOKUP(K957,'Dataset-3'!K348:AC737,2,)</f>
        <v>0.22</v>
      </c>
      <c r="M957" s="70" t="str">
        <f>VLOOKUP(L957,'Dataset-3'!L348:AD737,2,)</f>
        <v>Cloudy</v>
      </c>
      <c r="N957" s="38">
        <f>VLOOKUP(M957,'Dataset-3'!M348:AE737,2,)</f>
        <v>0.21210000000000001</v>
      </c>
      <c r="O957" s="38">
        <f>VLOOKUP(N957,'Dataset-3'!N348:AF737,2,)</f>
        <v>0.41</v>
      </c>
      <c r="P957" s="38">
        <f>VLOOKUP(O957,'Dataset-3'!O348:AG737,2,)</f>
        <v>0.25369999999999998</v>
      </c>
      <c r="Q957" s="38">
        <f>VLOOKUP(P957,'Dataset-3'!P348:AH737,2,)</f>
        <v>13</v>
      </c>
      <c r="R957" s="38">
        <f>VLOOKUP(Q957,'Dataset-3'!Q348:AI737,2,)</f>
        <v>71</v>
      </c>
      <c r="S957" s="38">
        <f>VLOOKUP(R957,'Dataset-3'!R348:AJ737,2,)</f>
        <v>84</v>
      </c>
    </row>
    <row r="958" spans="1:19" x14ac:dyDescent="0.35">
      <c r="A958" s="37">
        <v>957</v>
      </c>
      <c r="B958" s="60">
        <f>VLOOKUP(A958,'Dataset-3'!A349:S738,2,)</f>
        <v>40586</v>
      </c>
      <c r="C958" s="38">
        <f>VLOOKUP(B958,'Dataset-3'!B349:T738,2,)</f>
        <v>1</v>
      </c>
      <c r="D958" s="38">
        <f>VLOOKUP(C958,'Dataset-3'!C349:U738,2,)</f>
        <v>0</v>
      </c>
      <c r="E958" s="38">
        <f>VLOOKUP(D958,'Dataset-3'!D349:V738,2,)</f>
        <v>2</v>
      </c>
      <c r="F958" s="38">
        <f>VLOOKUP(E958,'Dataset-3'!E349:W738,2,)</f>
        <v>11</v>
      </c>
      <c r="G958" s="41" t="str">
        <f>VLOOKUP(F958,'Dataset-3'!F349:X738,2,)</f>
        <v>Morning</v>
      </c>
      <c r="H958" s="38" t="b">
        <f>VLOOKUP(G958,'Dataset-3'!G349:Y738,2,)</f>
        <v>0</v>
      </c>
      <c r="I958" s="38">
        <f>VLOOKUP(H958,'Dataset-3'!H349:Z738,2,)</f>
        <v>6</v>
      </c>
      <c r="J958" s="41" t="str">
        <f>VLOOKUP(I958,'Dataset-3'!I349:AA738,2,)</f>
        <v>Friday</v>
      </c>
      <c r="K958" s="38">
        <f>VLOOKUP(J958,'Dataset-3'!J349:AB738,2,)</f>
        <v>1</v>
      </c>
      <c r="L958" s="38">
        <f>VLOOKUP(K958,'Dataset-3'!K349:AC738,2,)</f>
        <v>0.3</v>
      </c>
      <c r="M958" s="70" t="str">
        <f>VLOOKUP(L958,'Dataset-3'!L349:AD738,2,)</f>
        <v>Cloudy</v>
      </c>
      <c r="N958" s="38">
        <f>VLOOKUP(M958,'Dataset-3'!M349:AE738,2,)</f>
        <v>0.2727</v>
      </c>
      <c r="O958" s="38">
        <f>VLOOKUP(N958,'Dataset-3'!N349:AF738,2,)</f>
        <v>0.28000000000000003</v>
      </c>
      <c r="P958" s="38">
        <f>VLOOKUP(O958,'Dataset-3'!O349:AG738,2,)</f>
        <v>0.32840000000000003</v>
      </c>
      <c r="Q958" s="38">
        <f>VLOOKUP(P958,'Dataset-3'!P349:AH738,2,)</f>
        <v>30</v>
      </c>
      <c r="R958" s="38">
        <f>VLOOKUP(Q958,'Dataset-3'!Q349:AI738,2,)</f>
        <v>84</v>
      </c>
      <c r="S958" s="38">
        <f>VLOOKUP(R958,'Dataset-3'!R349:AJ738,2,)</f>
        <v>114</v>
      </c>
    </row>
    <row r="959" spans="1:19" x14ac:dyDescent="0.35">
      <c r="A959" s="37">
        <v>958</v>
      </c>
      <c r="B959" s="60">
        <f>VLOOKUP(A959,'Dataset-3'!A350:S739,2,)</f>
        <v>40586</v>
      </c>
      <c r="C959" s="38">
        <f>VLOOKUP(B959,'Dataset-3'!B350:T739,2,)</f>
        <v>1</v>
      </c>
      <c r="D959" s="38">
        <f>VLOOKUP(C959,'Dataset-3'!C350:U739,2,)</f>
        <v>0</v>
      </c>
      <c r="E959" s="38">
        <f>VLOOKUP(D959,'Dataset-3'!D350:V739,2,)</f>
        <v>2</v>
      </c>
      <c r="F959" s="38">
        <f>VLOOKUP(E959,'Dataset-3'!E350:W739,2,)</f>
        <v>12</v>
      </c>
      <c r="G959" s="41" t="str">
        <f>VLOOKUP(F959,'Dataset-3'!F350:X739,2,)</f>
        <v>AfterNoon</v>
      </c>
      <c r="H959" s="38" t="b">
        <f>VLOOKUP(G959,'Dataset-3'!G350:Y739,2,)</f>
        <v>0</v>
      </c>
      <c r="I959" s="38">
        <f>VLOOKUP(H959,'Dataset-3'!H350:Z739,2,)</f>
        <v>6</v>
      </c>
      <c r="J959" s="41" t="str">
        <f>VLOOKUP(I959,'Dataset-3'!I350:AA739,2,)</f>
        <v>Friday</v>
      </c>
      <c r="K959" s="38">
        <f>VLOOKUP(J959,'Dataset-3'!J350:AB739,2,)</f>
        <v>1</v>
      </c>
      <c r="L959" s="38">
        <f>VLOOKUP(K959,'Dataset-3'!K350:AC739,2,)</f>
        <v>0.3</v>
      </c>
      <c r="M959" s="70" t="str">
        <f>VLOOKUP(L959,'Dataset-3'!L350:AD739,2,)</f>
        <v>Cloudy</v>
      </c>
      <c r="N959" s="38">
        <f>VLOOKUP(M959,'Dataset-3'!M350:AE739,2,)</f>
        <v>0.2727</v>
      </c>
      <c r="O959" s="38">
        <f>VLOOKUP(N959,'Dataset-3'!N350:AF739,2,)</f>
        <v>0.39</v>
      </c>
      <c r="P959" s="38">
        <f>VLOOKUP(O959,'Dataset-3'!O350:AG739,2,)</f>
        <v>0.4627</v>
      </c>
      <c r="Q959" s="38">
        <f>VLOOKUP(P959,'Dataset-3'!P350:AH739,2,)</f>
        <v>27</v>
      </c>
      <c r="R959" s="38">
        <f>VLOOKUP(Q959,'Dataset-3'!Q350:AI739,2,)</f>
        <v>93</v>
      </c>
      <c r="S959" s="38">
        <f>VLOOKUP(R959,'Dataset-3'!R350:AJ739,2,)</f>
        <v>120</v>
      </c>
    </row>
    <row r="960" spans="1:19" x14ac:dyDescent="0.35">
      <c r="A960" s="37">
        <v>959</v>
      </c>
      <c r="B960" s="60">
        <f>VLOOKUP(A960,'Dataset-3'!A351:S740,2,)</f>
        <v>40586</v>
      </c>
      <c r="C960" s="38">
        <f>VLOOKUP(B960,'Dataset-3'!B351:T740,2,)</f>
        <v>1</v>
      </c>
      <c r="D960" s="38">
        <f>VLOOKUP(C960,'Dataset-3'!C351:U740,2,)</f>
        <v>0</v>
      </c>
      <c r="E960" s="38">
        <f>VLOOKUP(D960,'Dataset-3'!D351:V740,2,)</f>
        <v>2</v>
      </c>
      <c r="F960" s="38">
        <f>VLOOKUP(E960,'Dataset-3'!E351:W740,2,)</f>
        <v>13</v>
      </c>
      <c r="G960" s="41" t="str">
        <f>VLOOKUP(F960,'Dataset-3'!F351:X740,2,)</f>
        <v>AfterNoon</v>
      </c>
      <c r="H960" s="38" t="b">
        <f>VLOOKUP(G960,'Dataset-3'!G351:Y740,2,)</f>
        <v>0</v>
      </c>
      <c r="I960" s="38">
        <f>VLOOKUP(H960,'Dataset-3'!H351:Z740,2,)</f>
        <v>6</v>
      </c>
      <c r="J960" s="41" t="str">
        <f>VLOOKUP(I960,'Dataset-3'!I351:AA740,2,)</f>
        <v>Friday</v>
      </c>
      <c r="K960" s="38">
        <f>VLOOKUP(J960,'Dataset-3'!J351:AB740,2,)</f>
        <v>1</v>
      </c>
      <c r="L960" s="38">
        <f>VLOOKUP(K960,'Dataset-3'!K351:AC740,2,)</f>
        <v>0.3</v>
      </c>
      <c r="M960" s="70" t="str">
        <f>VLOOKUP(L960,'Dataset-3'!L351:AD740,2,)</f>
        <v>Cloudy</v>
      </c>
      <c r="N960" s="38">
        <f>VLOOKUP(M960,'Dataset-3'!M351:AE740,2,)</f>
        <v>0.2727</v>
      </c>
      <c r="O960" s="38">
        <f>VLOOKUP(N960,'Dataset-3'!N351:AF740,2,)</f>
        <v>0.39</v>
      </c>
      <c r="P960" s="38">
        <f>VLOOKUP(O960,'Dataset-3'!O351:AG740,2,)</f>
        <v>0.41789999999999999</v>
      </c>
      <c r="Q960" s="38">
        <f>VLOOKUP(P960,'Dataset-3'!P351:AH740,2,)</f>
        <v>32</v>
      </c>
      <c r="R960" s="38">
        <f>VLOOKUP(Q960,'Dataset-3'!Q351:AI740,2,)</f>
        <v>103</v>
      </c>
      <c r="S960" s="38">
        <f>VLOOKUP(R960,'Dataset-3'!R351:AJ740,2,)</f>
        <v>135</v>
      </c>
    </row>
    <row r="961" spans="1:19" x14ac:dyDescent="0.35">
      <c r="A961" s="37">
        <v>960</v>
      </c>
      <c r="B961" s="60">
        <f>VLOOKUP(A961,'Dataset-3'!A352:S741,2,)</f>
        <v>40586</v>
      </c>
      <c r="C961" s="38">
        <f>VLOOKUP(B961,'Dataset-3'!B352:T741,2,)</f>
        <v>1</v>
      </c>
      <c r="D961" s="38">
        <f>VLOOKUP(C961,'Dataset-3'!C352:U741,2,)</f>
        <v>0</v>
      </c>
      <c r="E961" s="38">
        <f>VLOOKUP(D961,'Dataset-3'!D352:V741,2,)</f>
        <v>2</v>
      </c>
      <c r="F961" s="38">
        <f>VLOOKUP(E961,'Dataset-3'!E352:W741,2,)</f>
        <v>14</v>
      </c>
      <c r="G961" s="41" t="str">
        <f>VLOOKUP(F961,'Dataset-3'!F352:X741,2,)</f>
        <v>AfterNoon</v>
      </c>
      <c r="H961" s="38" t="b">
        <f>VLOOKUP(G961,'Dataset-3'!G352:Y741,2,)</f>
        <v>0</v>
      </c>
      <c r="I961" s="38">
        <f>VLOOKUP(H961,'Dataset-3'!H352:Z741,2,)</f>
        <v>6</v>
      </c>
      <c r="J961" s="41" t="str">
        <f>VLOOKUP(I961,'Dataset-3'!I352:AA741,2,)</f>
        <v>Friday</v>
      </c>
      <c r="K961" s="38">
        <f>VLOOKUP(J961,'Dataset-3'!J352:AB741,2,)</f>
        <v>1</v>
      </c>
      <c r="L961" s="38">
        <f>VLOOKUP(K961,'Dataset-3'!K352:AC741,2,)</f>
        <v>0.34</v>
      </c>
      <c r="M961" s="70" t="str">
        <f>VLOOKUP(L961,'Dataset-3'!L352:AD741,2,)</f>
        <v>Sunny</v>
      </c>
      <c r="N961" s="38">
        <f>VLOOKUP(M961,'Dataset-3'!M352:AE741,2,)</f>
        <v>0.31819999999999998</v>
      </c>
      <c r="O961" s="38">
        <f>VLOOKUP(N961,'Dataset-3'!N352:AF741,2,)</f>
        <v>0.31</v>
      </c>
      <c r="P961" s="38">
        <f>VLOOKUP(O961,'Dataset-3'!O352:AG741,2,)</f>
        <v>0.28360000000000002</v>
      </c>
      <c r="Q961" s="38">
        <f>VLOOKUP(P961,'Dataset-3'!P352:AH741,2,)</f>
        <v>30</v>
      </c>
      <c r="R961" s="38">
        <f>VLOOKUP(Q961,'Dataset-3'!Q352:AI741,2,)</f>
        <v>90</v>
      </c>
      <c r="S961" s="38">
        <f>VLOOKUP(R961,'Dataset-3'!R352:AJ741,2,)</f>
        <v>120</v>
      </c>
    </row>
    <row r="962" spans="1:19" x14ac:dyDescent="0.35">
      <c r="A962" s="37">
        <v>961</v>
      </c>
      <c r="B962" s="60">
        <f>VLOOKUP(A962,'Dataset-3'!A353:S742,2,)</f>
        <v>40586</v>
      </c>
      <c r="C962" s="38">
        <f>VLOOKUP(B962,'Dataset-3'!B353:T742,2,)</f>
        <v>1</v>
      </c>
      <c r="D962" s="38">
        <f>VLOOKUP(C962,'Dataset-3'!C353:U742,2,)</f>
        <v>0</v>
      </c>
      <c r="E962" s="38">
        <f>VLOOKUP(D962,'Dataset-3'!D353:V742,2,)</f>
        <v>2</v>
      </c>
      <c r="F962" s="38">
        <f>VLOOKUP(E962,'Dataset-3'!E353:W742,2,)</f>
        <v>15</v>
      </c>
      <c r="G962" s="41" t="str">
        <f>VLOOKUP(F962,'Dataset-3'!F353:X742,2,)</f>
        <v>AfterNoon</v>
      </c>
      <c r="H962" s="38" t="b">
        <f>VLOOKUP(G962,'Dataset-3'!G353:Y742,2,)</f>
        <v>0</v>
      </c>
      <c r="I962" s="38">
        <f>VLOOKUP(H962,'Dataset-3'!H353:Z742,2,)</f>
        <v>6</v>
      </c>
      <c r="J962" s="41" t="str">
        <f>VLOOKUP(I962,'Dataset-3'!I353:AA742,2,)</f>
        <v>Friday</v>
      </c>
      <c r="K962" s="38">
        <f>VLOOKUP(J962,'Dataset-3'!J353:AB742,2,)</f>
        <v>1</v>
      </c>
      <c r="L962" s="38">
        <f>VLOOKUP(K962,'Dataset-3'!K353:AC742,2,)</f>
        <v>0.34</v>
      </c>
      <c r="M962" s="70" t="str">
        <f>VLOOKUP(L962,'Dataset-3'!L353:AD742,2,)</f>
        <v>Sunny</v>
      </c>
      <c r="N962" s="38">
        <f>VLOOKUP(M962,'Dataset-3'!M353:AE742,2,)</f>
        <v>0.30299999999999999</v>
      </c>
      <c r="O962" s="38">
        <f>VLOOKUP(N962,'Dataset-3'!N353:AF742,2,)</f>
        <v>0.28999999999999998</v>
      </c>
      <c r="P962" s="38">
        <f>VLOOKUP(O962,'Dataset-3'!O353:AG742,2,)</f>
        <v>0.41789999999999999</v>
      </c>
      <c r="Q962" s="38">
        <f>VLOOKUP(P962,'Dataset-3'!P353:AH742,2,)</f>
        <v>47</v>
      </c>
      <c r="R962" s="38">
        <f>VLOOKUP(Q962,'Dataset-3'!Q353:AI742,2,)</f>
        <v>127</v>
      </c>
      <c r="S962" s="38">
        <f>VLOOKUP(R962,'Dataset-3'!R353:AJ742,2,)</f>
        <v>174</v>
      </c>
    </row>
    <row r="963" spans="1:19" x14ac:dyDescent="0.35">
      <c r="A963" s="37">
        <v>962</v>
      </c>
      <c r="B963" s="60">
        <f>VLOOKUP(A963,'Dataset-3'!A354:S743,2,)</f>
        <v>40586</v>
      </c>
      <c r="C963" s="38">
        <f>VLOOKUP(B963,'Dataset-3'!B354:T743,2,)</f>
        <v>1</v>
      </c>
      <c r="D963" s="38">
        <f>VLOOKUP(C963,'Dataset-3'!C354:U743,2,)</f>
        <v>0</v>
      </c>
      <c r="E963" s="38">
        <f>VLOOKUP(D963,'Dataset-3'!D354:V743,2,)</f>
        <v>2</v>
      </c>
      <c r="F963" s="38">
        <f>VLOOKUP(E963,'Dataset-3'!E354:W743,2,)</f>
        <v>16</v>
      </c>
      <c r="G963" s="41" t="str">
        <f>VLOOKUP(F963,'Dataset-3'!F354:X743,2,)</f>
        <v>AfterNoon</v>
      </c>
      <c r="H963" s="38" t="b">
        <f>VLOOKUP(G963,'Dataset-3'!G354:Y743,2,)</f>
        <v>0</v>
      </c>
      <c r="I963" s="38">
        <f>VLOOKUP(H963,'Dataset-3'!H354:Z743,2,)</f>
        <v>6</v>
      </c>
      <c r="J963" s="41" t="str">
        <f>VLOOKUP(I963,'Dataset-3'!I354:AA743,2,)</f>
        <v>Friday</v>
      </c>
      <c r="K963" s="38">
        <f>VLOOKUP(J963,'Dataset-3'!J354:AB743,2,)</f>
        <v>1</v>
      </c>
      <c r="L963" s="38">
        <f>VLOOKUP(K963,'Dataset-3'!K354:AC743,2,)</f>
        <v>0.34</v>
      </c>
      <c r="M963" s="70" t="str">
        <f>VLOOKUP(L963,'Dataset-3'!L354:AD743,2,)</f>
        <v>Sunny</v>
      </c>
      <c r="N963" s="38">
        <f>VLOOKUP(M963,'Dataset-3'!M354:AE743,2,)</f>
        <v>0.30299999999999999</v>
      </c>
      <c r="O963" s="38">
        <f>VLOOKUP(N963,'Dataset-3'!N354:AF743,2,)</f>
        <v>0.28999999999999998</v>
      </c>
      <c r="P963" s="38">
        <f>VLOOKUP(O963,'Dataset-3'!O354:AG743,2,)</f>
        <v>0.41789999999999999</v>
      </c>
      <c r="Q963" s="38">
        <f>VLOOKUP(P963,'Dataset-3'!P354:AH743,2,)</f>
        <v>42</v>
      </c>
      <c r="R963" s="38">
        <f>VLOOKUP(Q963,'Dataset-3'!Q354:AI743,2,)</f>
        <v>103</v>
      </c>
      <c r="S963" s="38">
        <f>VLOOKUP(R963,'Dataset-3'!R354:AJ743,2,)</f>
        <v>145</v>
      </c>
    </row>
    <row r="964" spans="1:19" x14ac:dyDescent="0.35">
      <c r="A964" s="37">
        <v>963</v>
      </c>
      <c r="B964" s="60">
        <f>VLOOKUP(A964,'Dataset-3'!A355:S744,2,)</f>
        <v>40586</v>
      </c>
      <c r="C964" s="38">
        <f>VLOOKUP(B964,'Dataset-3'!B355:T744,2,)</f>
        <v>1</v>
      </c>
      <c r="D964" s="38">
        <f>VLOOKUP(C964,'Dataset-3'!C355:U744,2,)</f>
        <v>0</v>
      </c>
      <c r="E964" s="38">
        <f>VLOOKUP(D964,'Dataset-3'!D355:V744,2,)</f>
        <v>2</v>
      </c>
      <c r="F964" s="38">
        <f>VLOOKUP(E964,'Dataset-3'!E355:W744,2,)</f>
        <v>17</v>
      </c>
      <c r="G964" s="41" t="str">
        <f>VLOOKUP(F964,'Dataset-3'!F355:X744,2,)</f>
        <v>Evening</v>
      </c>
      <c r="H964" s="38" t="b">
        <f>VLOOKUP(G964,'Dataset-3'!G355:Y744,2,)</f>
        <v>0</v>
      </c>
      <c r="I964" s="38">
        <f>VLOOKUP(H964,'Dataset-3'!H355:Z744,2,)</f>
        <v>6</v>
      </c>
      <c r="J964" s="41" t="str">
        <f>VLOOKUP(I964,'Dataset-3'!I355:AA744,2,)</f>
        <v>Friday</v>
      </c>
      <c r="K964" s="38">
        <f>VLOOKUP(J964,'Dataset-3'!J355:AB744,2,)</f>
        <v>1</v>
      </c>
      <c r="L964" s="38">
        <f>VLOOKUP(K964,'Dataset-3'!K355:AC744,2,)</f>
        <v>0.32</v>
      </c>
      <c r="M964" s="70" t="str">
        <f>VLOOKUP(L964,'Dataset-3'!L355:AD744,2,)</f>
        <v>Sunny</v>
      </c>
      <c r="N964" s="38">
        <f>VLOOKUP(M964,'Dataset-3'!M355:AE744,2,)</f>
        <v>0.28789999999999999</v>
      </c>
      <c r="O964" s="38">
        <f>VLOOKUP(N964,'Dataset-3'!N355:AF744,2,)</f>
        <v>0.31</v>
      </c>
      <c r="P964" s="38">
        <f>VLOOKUP(O964,'Dataset-3'!O355:AG744,2,)</f>
        <v>0.52239999999999998</v>
      </c>
      <c r="Q964" s="38">
        <f>VLOOKUP(P964,'Dataset-3'!P355:AH744,2,)</f>
        <v>24</v>
      </c>
      <c r="R964" s="38">
        <f>VLOOKUP(Q964,'Dataset-3'!Q355:AI744,2,)</f>
        <v>113</v>
      </c>
      <c r="S964" s="38">
        <f>VLOOKUP(R964,'Dataset-3'!R355:AJ744,2,)</f>
        <v>137</v>
      </c>
    </row>
    <row r="965" spans="1:19" x14ac:dyDescent="0.35">
      <c r="A965" s="37">
        <v>964</v>
      </c>
      <c r="B965" s="60">
        <f>VLOOKUP(A965,'Dataset-3'!A356:S745,2,)</f>
        <v>40586</v>
      </c>
      <c r="C965" s="38">
        <f>VLOOKUP(B965,'Dataset-3'!B356:T745,2,)</f>
        <v>1</v>
      </c>
      <c r="D965" s="38">
        <f>VLOOKUP(C965,'Dataset-3'!C356:U745,2,)</f>
        <v>0</v>
      </c>
      <c r="E965" s="38">
        <f>VLOOKUP(D965,'Dataset-3'!D356:V745,2,)</f>
        <v>2</v>
      </c>
      <c r="F965" s="38">
        <f>VLOOKUP(E965,'Dataset-3'!E356:W745,2,)</f>
        <v>18</v>
      </c>
      <c r="G965" s="41" t="str">
        <f>VLOOKUP(F965,'Dataset-3'!F356:X745,2,)</f>
        <v>Evening</v>
      </c>
      <c r="H965" s="38" t="b">
        <f>VLOOKUP(G965,'Dataset-3'!G356:Y745,2,)</f>
        <v>0</v>
      </c>
      <c r="I965" s="38">
        <f>VLOOKUP(H965,'Dataset-3'!H356:Z745,2,)</f>
        <v>6</v>
      </c>
      <c r="J965" s="41" t="str">
        <f>VLOOKUP(I965,'Dataset-3'!I356:AA745,2,)</f>
        <v>Friday</v>
      </c>
      <c r="K965" s="38">
        <f>VLOOKUP(J965,'Dataset-3'!J356:AB745,2,)</f>
        <v>1</v>
      </c>
      <c r="L965" s="38">
        <f>VLOOKUP(K965,'Dataset-3'!K356:AC745,2,)</f>
        <v>0.28000000000000003</v>
      </c>
      <c r="M965" s="70" t="str">
        <f>VLOOKUP(L965,'Dataset-3'!L356:AD745,2,)</f>
        <v>Cloudy</v>
      </c>
      <c r="N965" s="38">
        <f>VLOOKUP(M965,'Dataset-3'!M356:AE745,2,)</f>
        <v>0.2576</v>
      </c>
      <c r="O965" s="38">
        <f>VLOOKUP(N965,'Dataset-3'!N356:AF745,2,)</f>
        <v>0.38</v>
      </c>
      <c r="P965" s="38">
        <f>VLOOKUP(O965,'Dataset-3'!O356:AG745,2,)</f>
        <v>0.32840000000000003</v>
      </c>
      <c r="Q965" s="38">
        <f>VLOOKUP(P965,'Dataset-3'!P356:AH745,2,)</f>
        <v>4</v>
      </c>
      <c r="R965" s="38">
        <f>VLOOKUP(Q965,'Dataset-3'!Q356:AI745,2,)</f>
        <v>60</v>
      </c>
      <c r="S965" s="38">
        <f>VLOOKUP(R965,'Dataset-3'!R356:AJ745,2,)</f>
        <v>64</v>
      </c>
    </row>
    <row r="966" spans="1:19" x14ac:dyDescent="0.35">
      <c r="A966" s="37">
        <v>965</v>
      </c>
      <c r="B966" s="60">
        <f>VLOOKUP(A966,'Dataset-3'!A357:S746,2,)</f>
        <v>40586</v>
      </c>
      <c r="C966" s="38">
        <f>VLOOKUP(B966,'Dataset-3'!B357:T746,2,)</f>
        <v>1</v>
      </c>
      <c r="D966" s="38">
        <f>VLOOKUP(C966,'Dataset-3'!C357:U746,2,)</f>
        <v>0</v>
      </c>
      <c r="E966" s="38">
        <f>VLOOKUP(D966,'Dataset-3'!D357:V746,2,)</f>
        <v>2</v>
      </c>
      <c r="F966" s="38">
        <f>VLOOKUP(E966,'Dataset-3'!E357:W746,2,)</f>
        <v>19</v>
      </c>
      <c r="G966" s="41" t="str">
        <f>VLOOKUP(F966,'Dataset-3'!F357:X746,2,)</f>
        <v>Evening</v>
      </c>
      <c r="H966" s="38" t="b">
        <f>VLOOKUP(G966,'Dataset-3'!G357:Y746,2,)</f>
        <v>0</v>
      </c>
      <c r="I966" s="38">
        <f>VLOOKUP(H966,'Dataset-3'!H357:Z746,2,)</f>
        <v>6</v>
      </c>
      <c r="J966" s="41" t="str">
        <f>VLOOKUP(I966,'Dataset-3'!I357:AA746,2,)</f>
        <v>Friday</v>
      </c>
      <c r="K966" s="38">
        <f>VLOOKUP(J966,'Dataset-3'!J357:AB746,2,)</f>
        <v>1</v>
      </c>
      <c r="L966" s="38">
        <f>VLOOKUP(K966,'Dataset-3'!K357:AC746,2,)</f>
        <v>0.28000000000000003</v>
      </c>
      <c r="M966" s="70" t="str">
        <f>VLOOKUP(L966,'Dataset-3'!L357:AD746,2,)</f>
        <v>Cloudy</v>
      </c>
      <c r="N966" s="38">
        <f>VLOOKUP(M966,'Dataset-3'!M357:AE746,2,)</f>
        <v>0.2727</v>
      </c>
      <c r="O966" s="38">
        <f>VLOOKUP(N966,'Dataset-3'!N357:AF746,2,)</f>
        <v>0.38</v>
      </c>
      <c r="P966" s="38">
        <f>VLOOKUP(O966,'Dataset-3'!O357:AG746,2,)</f>
        <v>0.16420000000000001</v>
      </c>
      <c r="Q966" s="38">
        <f>VLOOKUP(P966,'Dataset-3'!P357:AH746,2,)</f>
        <v>2</v>
      </c>
      <c r="R966" s="38">
        <f>VLOOKUP(Q966,'Dataset-3'!Q357:AI746,2,)</f>
        <v>39</v>
      </c>
      <c r="S966" s="38">
        <f>VLOOKUP(R966,'Dataset-3'!R357:AJ746,2,)</f>
        <v>41</v>
      </c>
    </row>
    <row r="967" spans="1:19" x14ac:dyDescent="0.35">
      <c r="A967" s="37">
        <v>966</v>
      </c>
      <c r="B967" s="60">
        <f>VLOOKUP(A967,'Dataset-3'!A358:S747,2,)</f>
        <v>40586</v>
      </c>
      <c r="C967" s="38">
        <f>VLOOKUP(B967,'Dataset-3'!B358:T747,2,)</f>
        <v>1</v>
      </c>
      <c r="D967" s="38">
        <f>VLOOKUP(C967,'Dataset-3'!C358:U747,2,)</f>
        <v>0</v>
      </c>
      <c r="E967" s="38">
        <f>VLOOKUP(D967,'Dataset-3'!D358:V747,2,)</f>
        <v>2</v>
      </c>
      <c r="F967" s="38">
        <f>VLOOKUP(E967,'Dataset-3'!E358:W747,2,)</f>
        <v>20</v>
      </c>
      <c r="G967" s="41" t="str">
        <f>VLOOKUP(F967,'Dataset-3'!F358:X747,2,)</f>
        <v>Night</v>
      </c>
      <c r="H967" s="38" t="b">
        <f>VLOOKUP(G967,'Dataset-3'!G358:Y747,2,)</f>
        <v>0</v>
      </c>
      <c r="I967" s="38">
        <f>VLOOKUP(H967,'Dataset-3'!H358:Z747,2,)</f>
        <v>6</v>
      </c>
      <c r="J967" s="41" t="str">
        <f>VLOOKUP(I967,'Dataset-3'!I358:AA747,2,)</f>
        <v>Friday</v>
      </c>
      <c r="K967" s="38">
        <f>VLOOKUP(J967,'Dataset-3'!J358:AB747,2,)</f>
        <v>1</v>
      </c>
      <c r="L967" s="38">
        <f>VLOOKUP(K967,'Dataset-3'!K358:AC747,2,)</f>
        <v>0.26</v>
      </c>
      <c r="M967" s="70" t="str">
        <f>VLOOKUP(L967,'Dataset-3'!L358:AD747,2,)</f>
        <v>Cloudy</v>
      </c>
      <c r="N967" s="38">
        <f>VLOOKUP(M967,'Dataset-3'!M358:AE747,2,)</f>
        <v>0.2576</v>
      </c>
      <c r="O967" s="38">
        <f>VLOOKUP(N967,'Dataset-3'!N358:AF747,2,)</f>
        <v>0.41</v>
      </c>
      <c r="P967" s="38">
        <f>VLOOKUP(O967,'Dataset-3'!O358:AG747,2,)</f>
        <v>0.22389999999999999</v>
      </c>
      <c r="Q967" s="38">
        <f>VLOOKUP(P967,'Dataset-3'!P358:AH747,2,)</f>
        <v>1</v>
      </c>
      <c r="R967" s="38">
        <f>VLOOKUP(Q967,'Dataset-3'!Q358:AI747,2,)</f>
        <v>39</v>
      </c>
      <c r="S967" s="38">
        <f>VLOOKUP(R967,'Dataset-3'!R358:AJ747,2,)</f>
        <v>40</v>
      </c>
    </row>
    <row r="968" spans="1:19" x14ac:dyDescent="0.35">
      <c r="A968" s="37">
        <v>967</v>
      </c>
      <c r="B968" s="60">
        <f>VLOOKUP(A968,'Dataset-3'!A359:S748,2,)</f>
        <v>40586</v>
      </c>
      <c r="C968" s="38">
        <f>VLOOKUP(B968,'Dataset-3'!B359:T748,2,)</f>
        <v>1</v>
      </c>
      <c r="D968" s="38">
        <f>VLOOKUP(C968,'Dataset-3'!C359:U748,2,)</f>
        <v>0</v>
      </c>
      <c r="E968" s="38">
        <f>VLOOKUP(D968,'Dataset-3'!D359:V748,2,)</f>
        <v>2</v>
      </c>
      <c r="F968" s="38">
        <f>VLOOKUP(E968,'Dataset-3'!E359:W748,2,)</f>
        <v>21</v>
      </c>
      <c r="G968" s="41" t="str">
        <f>VLOOKUP(F968,'Dataset-3'!F359:X748,2,)</f>
        <v>Night</v>
      </c>
      <c r="H968" s="38" t="b">
        <f>VLOOKUP(G968,'Dataset-3'!G359:Y748,2,)</f>
        <v>0</v>
      </c>
      <c r="I968" s="38">
        <f>VLOOKUP(H968,'Dataset-3'!H359:Z748,2,)</f>
        <v>6</v>
      </c>
      <c r="J968" s="41" t="str">
        <f>VLOOKUP(I968,'Dataset-3'!I359:AA748,2,)</f>
        <v>Friday</v>
      </c>
      <c r="K968" s="38">
        <f>VLOOKUP(J968,'Dataset-3'!J359:AB748,2,)</f>
        <v>1</v>
      </c>
      <c r="L968" s="38">
        <f>VLOOKUP(K968,'Dataset-3'!K359:AC748,2,)</f>
        <v>0.26</v>
      </c>
      <c r="M968" s="70" t="str">
        <f>VLOOKUP(L968,'Dataset-3'!L359:AD748,2,)</f>
        <v>Cloudy</v>
      </c>
      <c r="N968" s="38">
        <f>VLOOKUP(M968,'Dataset-3'!M359:AE748,2,)</f>
        <v>0.30299999999999999</v>
      </c>
      <c r="O968" s="38">
        <f>VLOOKUP(N968,'Dataset-3'!N359:AF748,2,)</f>
        <v>0.41</v>
      </c>
      <c r="P968" s="38">
        <f>VLOOKUP(O968,'Dataset-3'!O359:AG748,2,)</f>
        <v>0</v>
      </c>
      <c r="Q968" s="38">
        <f>VLOOKUP(P968,'Dataset-3'!P359:AH748,2,)</f>
        <v>9</v>
      </c>
      <c r="R968" s="38">
        <f>VLOOKUP(Q968,'Dataset-3'!Q359:AI748,2,)</f>
        <v>42</v>
      </c>
      <c r="S968" s="38">
        <f>VLOOKUP(R968,'Dataset-3'!R359:AJ748,2,)</f>
        <v>51</v>
      </c>
    </row>
    <row r="969" spans="1:19" x14ac:dyDescent="0.35">
      <c r="A969" s="37">
        <v>968</v>
      </c>
      <c r="B969" s="60">
        <f>VLOOKUP(A969,'Dataset-3'!A360:S749,2,)</f>
        <v>40586</v>
      </c>
      <c r="C969" s="38">
        <f>VLOOKUP(B969,'Dataset-3'!B360:T749,2,)</f>
        <v>1</v>
      </c>
      <c r="D969" s="38">
        <f>VLOOKUP(C969,'Dataset-3'!C360:U749,2,)</f>
        <v>0</v>
      </c>
      <c r="E969" s="38">
        <f>VLOOKUP(D969,'Dataset-3'!D360:V749,2,)</f>
        <v>2</v>
      </c>
      <c r="F969" s="38">
        <f>VLOOKUP(E969,'Dataset-3'!E360:W749,2,)</f>
        <v>22</v>
      </c>
      <c r="G969" s="41" t="str">
        <f>VLOOKUP(F969,'Dataset-3'!F360:X749,2,)</f>
        <v>Night</v>
      </c>
      <c r="H969" s="38" t="b">
        <f>VLOOKUP(G969,'Dataset-3'!G360:Y749,2,)</f>
        <v>0</v>
      </c>
      <c r="I969" s="38">
        <f>VLOOKUP(H969,'Dataset-3'!H360:Z749,2,)</f>
        <v>6</v>
      </c>
      <c r="J969" s="41" t="str">
        <f>VLOOKUP(I969,'Dataset-3'!I360:AA749,2,)</f>
        <v>Friday</v>
      </c>
      <c r="K969" s="38">
        <f>VLOOKUP(J969,'Dataset-3'!J360:AB749,2,)</f>
        <v>1</v>
      </c>
      <c r="L969" s="38">
        <f>VLOOKUP(K969,'Dataset-3'!K360:AC749,2,)</f>
        <v>0.24</v>
      </c>
      <c r="M969" s="70" t="str">
        <f>VLOOKUP(L969,'Dataset-3'!L360:AD749,2,)</f>
        <v>Cloudy</v>
      </c>
      <c r="N969" s="38">
        <f>VLOOKUP(M969,'Dataset-3'!M360:AE749,2,)</f>
        <v>0.2576</v>
      </c>
      <c r="O969" s="38">
        <f>VLOOKUP(N969,'Dataset-3'!N360:AF749,2,)</f>
        <v>0.44</v>
      </c>
      <c r="P969" s="38">
        <f>VLOOKUP(O969,'Dataset-3'!O360:AG749,2,)</f>
        <v>8.9599999999999999E-2</v>
      </c>
      <c r="Q969" s="38">
        <f>VLOOKUP(P969,'Dataset-3'!P360:AH749,2,)</f>
        <v>6</v>
      </c>
      <c r="R969" s="38">
        <f>VLOOKUP(Q969,'Dataset-3'!Q360:AI749,2,)</f>
        <v>39</v>
      </c>
      <c r="S969" s="38">
        <f>VLOOKUP(R969,'Dataset-3'!R360:AJ749,2,)</f>
        <v>45</v>
      </c>
    </row>
    <row r="970" spans="1:19" x14ac:dyDescent="0.35">
      <c r="A970" s="37">
        <v>969</v>
      </c>
      <c r="B970" s="60">
        <f>VLOOKUP(A970,'Dataset-3'!A361:S750,2,)</f>
        <v>40586</v>
      </c>
      <c r="C970" s="38">
        <f>VLOOKUP(B970,'Dataset-3'!B361:T750,2,)</f>
        <v>1</v>
      </c>
      <c r="D970" s="38">
        <f>VLOOKUP(C970,'Dataset-3'!C361:U750,2,)</f>
        <v>0</v>
      </c>
      <c r="E970" s="38">
        <f>VLOOKUP(D970,'Dataset-3'!D361:V750,2,)</f>
        <v>2</v>
      </c>
      <c r="F970" s="38">
        <f>VLOOKUP(E970,'Dataset-3'!E361:W750,2,)</f>
        <v>23</v>
      </c>
      <c r="G970" s="41" t="str">
        <f>VLOOKUP(F970,'Dataset-3'!F361:X750,2,)</f>
        <v>Night</v>
      </c>
      <c r="H970" s="38" t="b">
        <f>VLOOKUP(G970,'Dataset-3'!G361:Y750,2,)</f>
        <v>0</v>
      </c>
      <c r="I970" s="38">
        <f>VLOOKUP(H970,'Dataset-3'!H361:Z750,2,)</f>
        <v>6</v>
      </c>
      <c r="J970" s="41" t="str">
        <f>VLOOKUP(I970,'Dataset-3'!I361:AA750,2,)</f>
        <v>Friday</v>
      </c>
      <c r="K970" s="38">
        <f>VLOOKUP(J970,'Dataset-3'!J361:AB750,2,)</f>
        <v>1</v>
      </c>
      <c r="L970" s="38">
        <f>VLOOKUP(K970,'Dataset-3'!K361:AC750,2,)</f>
        <v>0.22</v>
      </c>
      <c r="M970" s="70" t="str">
        <f>VLOOKUP(L970,'Dataset-3'!L361:AD750,2,)</f>
        <v>Cloudy</v>
      </c>
      <c r="N970" s="38">
        <f>VLOOKUP(M970,'Dataset-3'!M361:AE750,2,)</f>
        <v>0.2273</v>
      </c>
      <c r="O970" s="38">
        <f>VLOOKUP(N970,'Dataset-3'!N361:AF750,2,)</f>
        <v>0.51</v>
      </c>
      <c r="P970" s="38">
        <f>VLOOKUP(O970,'Dataset-3'!O361:AG750,2,)</f>
        <v>0.1343</v>
      </c>
      <c r="Q970" s="38">
        <f>VLOOKUP(P970,'Dataset-3'!P361:AH750,2,)</f>
        <v>1</v>
      </c>
      <c r="R970" s="38">
        <f>VLOOKUP(Q970,'Dataset-3'!Q361:AI750,2,)</f>
        <v>31</v>
      </c>
      <c r="S970" s="38">
        <f>VLOOKUP(R970,'Dataset-3'!R361:AJ750,2,)</f>
        <v>32</v>
      </c>
    </row>
    <row r="971" spans="1:19" x14ac:dyDescent="0.35">
      <c r="A971" s="37">
        <v>970</v>
      </c>
      <c r="B971" s="60">
        <f>VLOOKUP(A971,'Dataset-3'!A362:S751,2,)</f>
        <v>40587</v>
      </c>
      <c r="C971" s="38">
        <f>VLOOKUP(B971,'Dataset-3'!B362:T751,2,)</f>
        <v>1</v>
      </c>
      <c r="D971" s="38">
        <f>VLOOKUP(C971,'Dataset-3'!C362:U751,2,)</f>
        <v>0</v>
      </c>
      <c r="E971" s="38">
        <f>VLOOKUP(D971,'Dataset-3'!D362:V751,2,)</f>
        <v>2</v>
      </c>
      <c r="F971" s="38">
        <f>VLOOKUP(E971,'Dataset-3'!E362:W751,2,)</f>
        <v>0</v>
      </c>
      <c r="G971" s="41" t="str">
        <f>VLOOKUP(F971,'Dataset-3'!F362:X751,2,)</f>
        <v>Night</v>
      </c>
      <c r="H971" s="38" t="b">
        <f>VLOOKUP(G971,'Dataset-3'!G362:Y751,2,)</f>
        <v>0</v>
      </c>
      <c r="I971" s="38">
        <f>VLOOKUP(H971,'Dataset-3'!H362:Z751,2,)</f>
        <v>0</v>
      </c>
      <c r="J971" s="41" t="str">
        <f>VLOOKUP(I971,'Dataset-3'!I362:AA751,2,)</f>
        <v>Saturday</v>
      </c>
      <c r="K971" s="38">
        <f>VLOOKUP(J971,'Dataset-3'!J362:AB751,2,)</f>
        <v>1</v>
      </c>
      <c r="L971" s="38">
        <f>VLOOKUP(K971,'Dataset-3'!K362:AC751,2,)</f>
        <v>0.2</v>
      </c>
      <c r="M971" s="70" t="str">
        <f>VLOOKUP(L971,'Dataset-3'!L362:AD751,2,)</f>
        <v>Rainy</v>
      </c>
      <c r="N971" s="38">
        <f>VLOOKUP(M971,'Dataset-3'!M362:AE751,2,)</f>
        <v>0.2273</v>
      </c>
      <c r="O971" s="38">
        <f>VLOOKUP(N971,'Dataset-3'!N362:AF751,2,)</f>
        <v>0.64</v>
      </c>
      <c r="P971" s="38">
        <f>VLOOKUP(O971,'Dataset-3'!O362:AG751,2,)</f>
        <v>0.1045</v>
      </c>
      <c r="Q971" s="38">
        <f>VLOOKUP(P971,'Dataset-3'!P362:AH751,2,)</f>
        <v>5</v>
      </c>
      <c r="R971" s="38">
        <f>VLOOKUP(Q971,'Dataset-3'!Q362:AI751,2,)</f>
        <v>34</v>
      </c>
      <c r="S971" s="38">
        <f>VLOOKUP(R971,'Dataset-3'!R362:AJ751,2,)</f>
        <v>39</v>
      </c>
    </row>
    <row r="972" spans="1:19" x14ac:dyDescent="0.35">
      <c r="A972" s="37">
        <v>971</v>
      </c>
      <c r="B972" s="60">
        <f>VLOOKUP(A972,'Dataset-3'!A363:S752,2,)</f>
        <v>40587</v>
      </c>
      <c r="C972" s="38">
        <f>VLOOKUP(B972,'Dataset-3'!B363:T752,2,)</f>
        <v>1</v>
      </c>
      <c r="D972" s="38">
        <f>VLOOKUP(C972,'Dataset-3'!C363:U752,2,)</f>
        <v>0</v>
      </c>
      <c r="E972" s="38">
        <f>VLOOKUP(D972,'Dataset-3'!D363:V752,2,)</f>
        <v>2</v>
      </c>
      <c r="F972" s="38">
        <f>VLOOKUP(E972,'Dataset-3'!E363:W752,2,)</f>
        <v>1</v>
      </c>
      <c r="G972" s="41" t="str">
        <f>VLOOKUP(F972,'Dataset-3'!F363:X752,2,)</f>
        <v>Night</v>
      </c>
      <c r="H972" s="38" t="b">
        <f>VLOOKUP(G972,'Dataset-3'!G363:Y752,2,)</f>
        <v>0</v>
      </c>
      <c r="I972" s="38">
        <f>VLOOKUP(H972,'Dataset-3'!H363:Z752,2,)</f>
        <v>0</v>
      </c>
      <c r="J972" s="41" t="str">
        <f>VLOOKUP(I972,'Dataset-3'!I363:AA752,2,)</f>
        <v>Saturday</v>
      </c>
      <c r="K972" s="38">
        <f>VLOOKUP(J972,'Dataset-3'!J363:AB752,2,)</f>
        <v>1</v>
      </c>
      <c r="L972" s="38">
        <f>VLOOKUP(K972,'Dataset-3'!K363:AC752,2,)</f>
        <v>0.2</v>
      </c>
      <c r="M972" s="70" t="str">
        <f>VLOOKUP(L972,'Dataset-3'!L363:AD752,2,)</f>
        <v>Rainy</v>
      </c>
      <c r="N972" s="38">
        <f>VLOOKUP(M972,'Dataset-3'!M363:AE752,2,)</f>
        <v>0.2273</v>
      </c>
      <c r="O972" s="38">
        <f>VLOOKUP(N972,'Dataset-3'!N363:AF752,2,)</f>
        <v>0.59</v>
      </c>
      <c r="P972" s="38">
        <f>VLOOKUP(O972,'Dataset-3'!O363:AG752,2,)</f>
        <v>8.9599999999999999E-2</v>
      </c>
      <c r="Q972" s="38">
        <f>VLOOKUP(P972,'Dataset-3'!P363:AH752,2,)</f>
        <v>1</v>
      </c>
      <c r="R972" s="38">
        <f>VLOOKUP(Q972,'Dataset-3'!Q363:AI752,2,)</f>
        <v>23</v>
      </c>
      <c r="S972" s="38">
        <f>VLOOKUP(R972,'Dataset-3'!R363:AJ752,2,)</f>
        <v>24</v>
      </c>
    </row>
    <row r="973" spans="1:19" x14ac:dyDescent="0.35">
      <c r="A973" s="37">
        <v>972</v>
      </c>
      <c r="B973" s="60">
        <f>VLOOKUP(A973,'Dataset-3'!A364:S753,2,)</f>
        <v>40587</v>
      </c>
      <c r="C973" s="38">
        <f>VLOOKUP(B973,'Dataset-3'!B364:T753,2,)</f>
        <v>1</v>
      </c>
      <c r="D973" s="38">
        <f>VLOOKUP(C973,'Dataset-3'!C364:U753,2,)</f>
        <v>0</v>
      </c>
      <c r="E973" s="38">
        <f>VLOOKUP(D973,'Dataset-3'!D364:V753,2,)</f>
        <v>2</v>
      </c>
      <c r="F973" s="38">
        <f>VLOOKUP(E973,'Dataset-3'!E364:W753,2,)</f>
        <v>2</v>
      </c>
      <c r="G973" s="41" t="str">
        <f>VLOOKUP(F973,'Dataset-3'!F364:X753,2,)</f>
        <v>Night</v>
      </c>
      <c r="H973" s="38" t="b">
        <f>VLOOKUP(G973,'Dataset-3'!G364:Y753,2,)</f>
        <v>0</v>
      </c>
      <c r="I973" s="38">
        <f>VLOOKUP(H973,'Dataset-3'!H364:Z753,2,)</f>
        <v>0</v>
      </c>
      <c r="J973" s="41" t="str">
        <f>VLOOKUP(I973,'Dataset-3'!I364:AA753,2,)</f>
        <v>Saturday</v>
      </c>
      <c r="K973" s="38">
        <f>VLOOKUP(J973,'Dataset-3'!J364:AB753,2,)</f>
        <v>2</v>
      </c>
      <c r="L973" s="38">
        <f>VLOOKUP(K973,'Dataset-3'!K364:AC753,2,)</f>
        <v>0.2</v>
      </c>
      <c r="M973" s="70" t="str">
        <f>VLOOKUP(L973,'Dataset-3'!L364:AD753,2,)</f>
        <v>Rainy</v>
      </c>
      <c r="N973" s="38">
        <f>VLOOKUP(M973,'Dataset-3'!M364:AE753,2,)</f>
        <v>0.2273</v>
      </c>
      <c r="O973" s="38">
        <f>VLOOKUP(N973,'Dataset-3'!N364:AF753,2,)</f>
        <v>0.75</v>
      </c>
      <c r="P973" s="38">
        <f>VLOOKUP(O973,'Dataset-3'!O364:AG753,2,)</f>
        <v>8.9599999999999999E-2</v>
      </c>
      <c r="Q973" s="38">
        <f>VLOOKUP(P973,'Dataset-3'!P364:AH753,2,)</f>
        <v>1</v>
      </c>
      <c r="R973" s="38">
        <f>VLOOKUP(Q973,'Dataset-3'!Q364:AI753,2,)</f>
        <v>19</v>
      </c>
      <c r="S973" s="38">
        <f>VLOOKUP(R973,'Dataset-3'!R364:AJ753,2,)</f>
        <v>20</v>
      </c>
    </row>
    <row r="974" spans="1:19" x14ac:dyDescent="0.35">
      <c r="A974" s="37">
        <v>973</v>
      </c>
      <c r="B974" s="60">
        <f>VLOOKUP(A974,'Dataset-3'!A365:S754,2,)</f>
        <v>40587</v>
      </c>
      <c r="C974" s="38">
        <f>VLOOKUP(B974,'Dataset-3'!B365:T754,2,)</f>
        <v>1</v>
      </c>
      <c r="D974" s="38">
        <f>VLOOKUP(C974,'Dataset-3'!C365:U754,2,)</f>
        <v>0</v>
      </c>
      <c r="E974" s="38">
        <f>VLOOKUP(D974,'Dataset-3'!D365:V754,2,)</f>
        <v>2</v>
      </c>
      <c r="F974" s="38">
        <f>VLOOKUP(E974,'Dataset-3'!E365:W754,2,)</f>
        <v>3</v>
      </c>
      <c r="G974" s="41" t="str">
        <f>VLOOKUP(F974,'Dataset-3'!F365:X754,2,)</f>
        <v>Night</v>
      </c>
      <c r="H974" s="38" t="b">
        <f>VLOOKUP(G974,'Dataset-3'!G365:Y754,2,)</f>
        <v>0</v>
      </c>
      <c r="I974" s="38">
        <f>VLOOKUP(H974,'Dataset-3'!H365:Z754,2,)</f>
        <v>0</v>
      </c>
      <c r="J974" s="41" t="str">
        <f>VLOOKUP(I974,'Dataset-3'!I365:AA754,2,)</f>
        <v>Saturday</v>
      </c>
      <c r="K974" s="38">
        <f>VLOOKUP(J974,'Dataset-3'!J365:AB754,2,)</f>
        <v>2</v>
      </c>
      <c r="L974" s="38">
        <f>VLOOKUP(K974,'Dataset-3'!K365:AC754,2,)</f>
        <v>0.2</v>
      </c>
      <c r="M974" s="70" t="str">
        <f>VLOOKUP(L974,'Dataset-3'!L365:AD754,2,)</f>
        <v>Rainy</v>
      </c>
      <c r="N974" s="38">
        <f>VLOOKUP(M974,'Dataset-3'!M365:AE754,2,)</f>
        <v>0.2273</v>
      </c>
      <c r="O974" s="38">
        <f>VLOOKUP(N974,'Dataset-3'!N365:AF754,2,)</f>
        <v>0.69</v>
      </c>
      <c r="P974" s="38">
        <f>VLOOKUP(O974,'Dataset-3'!O365:AG754,2,)</f>
        <v>0.1045</v>
      </c>
      <c r="Q974" s="38">
        <f>VLOOKUP(P974,'Dataset-3'!P365:AH754,2,)</f>
        <v>4</v>
      </c>
      <c r="R974" s="38">
        <f>VLOOKUP(Q974,'Dataset-3'!Q365:AI754,2,)</f>
        <v>8</v>
      </c>
      <c r="S974" s="38">
        <f>VLOOKUP(R974,'Dataset-3'!R365:AJ754,2,)</f>
        <v>12</v>
      </c>
    </row>
    <row r="975" spans="1:19" x14ac:dyDescent="0.35">
      <c r="A975" s="37">
        <v>974</v>
      </c>
      <c r="B975" s="60">
        <f>VLOOKUP(A975,'Dataset-3'!A366:S755,2,)</f>
        <v>40587</v>
      </c>
      <c r="C975" s="38">
        <f>VLOOKUP(B975,'Dataset-3'!B366:T755,2,)</f>
        <v>1</v>
      </c>
      <c r="D975" s="38">
        <f>VLOOKUP(C975,'Dataset-3'!C366:U755,2,)</f>
        <v>0</v>
      </c>
      <c r="E975" s="38">
        <f>VLOOKUP(D975,'Dataset-3'!D366:V755,2,)</f>
        <v>2</v>
      </c>
      <c r="F975" s="38">
        <f>VLOOKUP(E975,'Dataset-3'!E366:W755,2,)</f>
        <v>4</v>
      </c>
      <c r="G975" s="41" t="str">
        <f>VLOOKUP(F975,'Dataset-3'!F366:X755,2,)</f>
        <v>Night</v>
      </c>
      <c r="H975" s="38" t="b">
        <f>VLOOKUP(G975,'Dataset-3'!G366:Y755,2,)</f>
        <v>0</v>
      </c>
      <c r="I975" s="38">
        <f>VLOOKUP(H975,'Dataset-3'!H366:Z755,2,)</f>
        <v>0</v>
      </c>
      <c r="J975" s="41" t="str">
        <f>VLOOKUP(I975,'Dataset-3'!I366:AA755,2,)</f>
        <v>Saturday</v>
      </c>
      <c r="K975" s="38">
        <f>VLOOKUP(J975,'Dataset-3'!J366:AB755,2,)</f>
        <v>2</v>
      </c>
      <c r="L975" s="38">
        <f>VLOOKUP(K975,'Dataset-3'!K366:AC755,2,)</f>
        <v>0.2</v>
      </c>
      <c r="M975" s="70" t="str">
        <f>VLOOKUP(L975,'Dataset-3'!L366:AD755,2,)</f>
        <v>Rainy</v>
      </c>
      <c r="N975" s="38">
        <f>VLOOKUP(M975,'Dataset-3'!M366:AE755,2,)</f>
        <v>0.21210000000000001</v>
      </c>
      <c r="O975" s="38">
        <f>VLOOKUP(N975,'Dataset-3'!N366:AF755,2,)</f>
        <v>0.69</v>
      </c>
      <c r="P975" s="38">
        <f>VLOOKUP(O975,'Dataset-3'!O366:AG755,2,)</f>
        <v>0.16420000000000001</v>
      </c>
      <c r="Q975" s="38">
        <f>VLOOKUP(P975,'Dataset-3'!P366:AH755,2,)</f>
        <v>0</v>
      </c>
      <c r="R975" s="38">
        <f>VLOOKUP(Q975,'Dataset-3'!Q366:AI755,2,)</f>
        <v>2</v>
      </c>
      <c r="S975" s="38">
        <f>VLOOKUP(R975,'Dataset-3'!R366:AJ755,2,)</f>
        <v>2</v>
      </c>
    </row>
    <row r="976" spans="1:19" x14ac:dyDescent="0.35">
      <c r="A976" s="37">
        <v>975</v>
      </c>
      <c r="B976" s="60">
        <f>VLOOKUP(A976,'Dataset-3'!A367:S756,2,)</f>
        <v>40587</v>
      </c>
      <c r="C976" s="38">
        <f>VLOOKUP(B976,'Dataset-3'!B367:T756,2,)</f>
        <v>1</v>
      </c>
      <c r="D976" s="38">
        <f>VLOOKUP(C976,'Dataset-3'!C367:U756,2,)</f>
        <v>0</v>
      </c>
      <c r="E976" s="38">
        <f>VLOOKUP(D976,'Dataset-3'!D367:V756,2,)</f>
        <v>2</v>
      </c>
      <c r="F976" s="38">
        <f>VLOOKUP(E976,'Dataset-3'!E367:W756,2,)</f>
        <v>6</v>
      </c>
      <c r="G976" s="41" t="str">
        <f>VLOOKUP(F976,'Dataset-3'!F367:X756,2,)</f>
        <v>Morning</v>
      </c>
      <c r="H976" s="38" t="b">
        <f>VLOOKUP(G976,'Dataset-3'!G367:Y756,2,)</f>
        <v>0</v>
      </c>
      <c r="I976" s="38">
        <f>VLOOKUP(H976,'Dataset-3'!H367:Z756,2,)</f>
        <v>0</v>
      </c>
      <c r="J976" s="41" t="str">
        <f>VLOOKUP(I976,'Dataset-3'!I367:AA756,2,)</f>
        <v>Saturday</v>
      </c>
      <c r="K976" s="38">
        <f>VLOOKUP(J976,'Dataset-3'!J367:AB756,2,)</f>
        <v>2</v>
      </c>
      <c r="L976" s="38">
        <f>VLOOKUP(K976,'Dataset-3'!K367:AC756,2,)</f>
        <v>0.2</v>
      </c>
      <c r="M976" s="70" t="str">
        <f>VLOOKUP(L976,'Dataset-3'!L367:AD756,2,)</f>
        <v>Rainy</v>
      </c>
      <c r="N976" s="38">
        <f>VLOOKUP(M976,'Dataset-3'!M367:AE756,2,)</f>
        <v>0.21210000000000001</v>
      </c>
      <c r="O976" s="38">
        <f>VLOOKUP(N976,'Dataset-3'!N367:AF756,2,)</f>
        <v>0.69</v>
      </c>
      <c r="P976" s="38">
        <f>VLOOKUP(O976,'Dataset-3'!O367:AG756,2,)</f>
        <v>0.1343</v>
      </c>
      <c r="Q976" s="38">
        <f>VLOOKUP(P976,'Dataset-3'!P367:AH756,2,)</f>
        <v>2</v>
      </c>
      <c r="R976" s="38">
        <f>VLOOKUP(Q976,'Dataset-3'!Q367:AI756,2,)</f>
        <v>3</v>
      </c>
      <c r="S976" s="38">
        <f>VLOOKUP(R976,'Dataset-3'!R367:AJ756,2,)</f>
        <v>5</v>
      </c>
    </row>
    <row r="977" spans="1:19" x14ac:dyDescent="0.35">
      <c r="A977" s="37">
        <v>976</v>
      </c>
      <c r="B977" s="60">
        <f>VLOOKUP(A977,'Dataset-3'!A368:S757,2,)</f>
        <v>40587</v>
      </c>
      <c r="C977" s="38">
        <f>VLOOKUP(B977,'Dataset-3'!B368:T757,2,)</f>
        <v>1</v>
      </c>
      <c r="D977" s="38">
        <f>VLOOKUP(C977,'Dataset-3'!C368:U757,2,)</f>
        <v>0</v>
      </c>
      <c r="E977" s="38">
        <f>VLOOKUP(D977,'Dataset-3'!D368:V757,2,)</f>
        <v>2</v>
      </c>
      <c r="F977" s="38">
        <f>VLOOKUP(E977,'Dataset-3'!E368:W757,2,)</f>
        <v>7</v>
      </c>
      <c r="G977" s="41" t="str">
        <f>VLOOKUP(F977,'Dataset-3'!F368:X757,2,)</f>
        <v>Morning</v>
      </c>
      <c r="H977" s="38" t="b">
        <f>VLOOKUP(G977,'Dataset-3'!G368:Y757,2,)</f>
        <v>0</v>
      </c>
      <c r="I977" s="38">
        <f>VLOOKUP(H977,'Dataset-3'!H368:Z757,2,)</f>
        <v>0</v>
      </c>
      <c r="J977" s="41" t="str">
        <f>VLOOKUP(I977,'Dataset-3'!I368:AA757,2,)</f>
        <v>Saturday</v>
      </c>
      <c r="K977" s="38">
        <f>VLOOKUP(J977,'Dataset-3'!J368:AB757,2,)</f>
        <v>2</v>
      </c>
      <c r="L977" s="38">
        <f>VLOOKUP(K977,'Dataset-3'!K368:AC757,2,)</f>
        <v>0.22</v>
      </c>
      <c r="M977" s="70" t="str">
        <f>VLOOKUP(L977,'Dataset-3'!L368:AD757,2,)</f>
        <v>Cloudy</v>
      </c>
      <c r="N977" s="38">
        <f>VLOOKUP(M977,'Dataset-3'!M368:AE757,2,)</f>
        <v>0.2727</v>
      </c>
      <c r="O977" s="38">
        <f>VLOOKUP(N977,'Dataset-3'!N368:AF757,2,)</f>
        <v>0.55000000000000004</v>
      </c>
      <c r="P977" s="38">
        <f>VLOOKUP(O977,'Dataset-3'!O368:AG757,2,)</f>
        <v>0</v>
      </c>
      <c r="Q977" s="38">
        <f>VLOOKUP(P977,'Dataset-3'!P368:AH757,2,)</f>
        <v>0</v>
      </c>
      <c r="R977" s="38">
        <f>VLOOKUP(Q977,'Dataset-3'!Q368:AI757,2,)</f>
        <v>3</v>
      </c>
      <c r="S977" s="38">
        <f>VLOOKUP(R977,'Dataset-3'!R368:AJ757,2,)</f>
        <v>3</v>
      </c>
    </row>
    <row r="978" spans="1:19" x14ac:dyDescent="0.35">
      <c r="A978" s="37">
        <v>977</v>
      </c>
      <c r="B978" s="60">
        <f>VLOOKUP(A978,'Dataset-3'!A369:S758,2,)</f>
        <v>40587</v>
      </c>
      <c r="C978" s="38">
        <f>VLOOKUP(B978,'Dataset-3'!B369:T758,2,)</f>
        <v>1</v>
      </c>
      <c r="D978" s="38">
        <f>VLOOKUP(C978,'Dataset-3'!C369:U758,2,)</f>
        <v>0</v>
      </c>
      <c r="E978" s="38">
        <f>VLOOKUP(D978,'Dataset-3'!D369:V758,2,)</f>
        <v>2</v>
      </c>
      <c r="F978" s="38">
        <f>VLOOKUP(E978,'Dataset-3'!E369:W758,2,)</f>
        <v>8</v>
      </c>
      <c r="G978" s="41" t="str">
        <f>VLOOKUP(F978,'Dataset-3'!F369:X758,2,)</f>
        <v>Morning</v>
      </c>
      <c r="H978" s="38" t="b">
        <f>VLOOKUP(G978,'Dataset-3'!G369:Y758,2,)</f>
        <v>0</v>
      </c>
      <c r="I978" s="38">
        <f>VLOOKUP(H978,'Dataset-3'!H369:Z758,2,)</f>
        <v>0</v>
      </c>
      <c r="J978" s="41" t="str">
        <f>VLOOKUP(I978,'Dataset-3'!I369:AA758,2,)</f>
        <v>Saturday</v>
      </c>
      <c r="K978" s="38">
        <f>VLOOKUP(J978,'Dataset-3'!J369:AB758,2,)</f>
        <v>2</v>
      </c>
      <c r="L978" s="38">
        <f>VLOOKUP(K978,'Dataset-3'!K369:AC758,2,)</f>
        <v>0.22</v>
      </c>
      <c r="M978" s="70" t="str">
        <f>VLOOKUP(L978,'Dataset-3'!L369:AD758,2,)</f>
        <v>Cloudy</v>
      </c>
      <c r="N978" s="38">
        <f>VLOOKUP(M978,'Dataset-3'!M369:AE758,2,)</f>
        <v>0.2273</v>
      </c>
      <c r="O978" s="38">
        <f>VLOOKUP(N978,'Dataset-3'!N369:AF758,2,)</f>
        <v>0.64</v>
      </c>
      <c r="P978" s="38">
        <f>VLOOKUP(O978,'Dataset-3'!O369:AG758,2,)</f>
        <v>0.19400000000000001</v>
      </c>
      <c r="Q978" s="38">
        <f>VLOOKUP(P978,'Dataset-3'!P369:AH758,2,)</f>
        <v>1</v>
      </c>
      <c r="R978" s="38">
        <f>VLOOKUP(Q978,'Dataset-3'!Q369:AI758,2,)</f>
        <v>11</v>
      </c>
      <c r="S978" s="38">
        <f>VLOOKUP(R978,'Dataset-3'!R369:AJ758,2,)</f>
        <v>12</v>
      </c>
    </row>
    <row r="979" spans="1:19" x14ac:dyDescent="0.35">
      <c r="A979" s="37">
        <v>978</v>
      </c>
      <c r="B979" s="60">
        <f>VLOOKUP(A979,'Dataset-3'!A370:S759,2,)</f>
        <v>40587</v>
      </c>
      <c r="C979" s="38">
        <f>VLOOKUP(B979,'Dataset-3'!B370:T759,2,)</f>
        <v>1</v>
      </c>
      <c r="D979" s="38">
        <f>VLOOKUP(C979,'Dataset-3'!C370:U759,2,)</f>
        <v>0</v>
      </c>
      <c r="E979" s="38">
        <f>VLOOKUP(D979,'Dataset-3'!D370:V759,2,)</f>
        <v>2</v>
      </c>
      <c r="F979" s="38">
        <f>VLOOKUP(E979,'Dataset-3'!E370:W759,2,)</f>
        <v>9</v>
      </c>
      <c r="G979" s="41" t="str">
        <f>VLOOKUP(F979,'Dataset-3'!F370:X759,2,)</f>
        <v>Morning</v>
      </c>
      <c r="H979" s="38" t="b">
        <f>VLOOKUP(G979,'Dataset-3'!G370:Y759,2,)</f>
        <v>0</v>
      </c>
      <c r="I979" s="38">
        <f>VLOOKUP(H979,'Dataset-3'!H370:Z759,2,)</f>
        <v>0</v>
      </c>
      <c r="J979" s="41" t="str">
        <f>VLOOKUP(I979,'Dataset-3'!I370:AA759,2,)</f>
        <v>Saturday</v>
      </c>
      <c r="K979" s="38">
        <f>VLOOKUP(J979,'Dataset-3'!J370:AB759,2,)</f>
        <v>2</v>
      </c>
      <c r="L979" s="38">
        <f>VLOOKUP(K979,'Dataset-3'!K370:AC759,2,)</f>
        <v>0.24</v>
      </c>
      <c r="M979" s="70" t="str">
        <f>VLOOKUP(L979,'Dataset-3'!L370:AD759,2,)</f>
        <v>Cloudy</v>
      </c>
      <c r="N979" s="38">
        <f>VLOOKUP(M979,'Dataset-3'!M370:AE759,2,)</f>
        <v>0.2273</v>
      </c>
      <c r="O979" s="38">
        <f>VLOOKUP(N979,'Dataset-3'!N370:AF759,2,)</f>
        <v>0.6</v>
      </c>
      <c r="P979" s="38">
        <f>VLOOKUP(O979,'Dataset-3'!O370:AG759,2,)</f>
        <v>0.22389999999999999</v>
      </c>
      <c r="Q979" s="38">
        <f>VLOOKUP(P979,'Dataset-3'!P370:AH759,2,)</f>
        <v>12</v>
      </c>
      <c r="R979" s="38">
        <f>VLOOKUP(Q979,'Dataset-3'!Q370:AI759,2,)</f>
        <v>35</v>
      </c>
      <c r="S979" s="38">
        <f>VLOOKUP(R979,'Dataset-3'!R370:AJ759,2,)</f>
        <v>47</v>
      </c>
    </row>
    <row r="980" spans="1:19" x14ac:dyDescent="0.35">
      <c r="A980" s="37">
        <v>979</v>
      </c>
      <c r="B980" s="60">
        <f>VLOOKUP(A980,'Dataset-3'!A371:S760,2,)</f>
        <v>40587</v>
      </c>
      <c r="C980" s="38">
        <f>VLOOKUP(B980,'Dataset-3'!B371:T760,2,)</f>
        <v>1</v>
      </c>
      <c r="D980" s="38">
        <f>VLOOKUP(C980,'Dataset-3'!C371:U760,2,)</f>
        <v>0</v>
      </c>
      <c r="E980" s="38">
        <f>VLOOKUP(D980,'Dataset-3'!D371:V760,2,)</f>
        <v>2</v>
      </c>
      <c r="F980" s="38">
        <f>VLOOKUP(E980,'Dataset-3'!E371:W760,2,)</f>
        <v>10</v>
      </c>
      <c r="G980" s="41" t="str">
        <f>VLOOKUP(F980,'Dataset-3'!F371:X760,2,)</f>
        <v>Morning</v>
      </c>
      <c r="H980" s="38" t="b">
        <f>VLOOKUP(G980,'Dataset-3'!G371:Y760,2,)</f>
        <v>0</v>
      </c>
      <c r="I980" s="38">
        <f>VLOOKUP(H980,'Dataset-3'!H371:Z760,2,)</f>
        <v>0</v>
      </c>
      <c r="J980" s="41" t="str">
        <f>VLOOKUP(I980,'Dataset-3'!I371:AA760,2,)</f>
        <v>Saturday</v>
      </c>
      <c r="K980" s="38">
        <f>VLOOKUP(J980,'Dataset-3'!J371:AB760,2,)</f>
        <v>1</v>
      </c>
      <c r="L980" s="38">
        <f>VLOOKUP(K980,'Dataset-3'!K371:AC760,2,)</f>
        <v>0.3</v>
      </c>
      <c r="M980" s="70" t="str">
        <f>VLOOKUP(L980,'Dataset-3'!L371:AD760,2,)</f>
        <v>Cloudy</v>
      </c>
      <c r="N980" s="38">
        <f>VLOOKUP(M980,'Dataset-3'!M371:AE760,2,)</f>
        <v>0.2727</v>
      </c>
      <c r="O980" s="38">
        <f>VLOOKUP(N980,'Dataset-3'!N371:AF760,2,)</f>
        <v>0.45</v>
      </c>
      <c r="P980" s="38">
        <f>VLOOKUP(O980,'Dataset-3'!O371:AG760,2,)</f>
        <v>0.32840000000000003</v>
      </c>
      <c r="Q980" s="38">
        <f>VLOOKUP(P980,'Dataset-3'!P371:AH760,2,)</f>
        <v>19</v>
      </c>
      <c r="R980" s="38">
        <f>VLOOKUP(Q980,'Dataset-3'!Q371:AI760,2,)</f>
        <v>86</v>
      </c>
      <c r="S980" s="38">
        <f>VLOOKUP(R980,'Dataset-3'!R371:AJ760,2,)</f>
        <v>105</v>
      </c>
    </row>
    <row r="981" spans="1:19" x14ac:dyDescent="0.35">
      <c r="A981" s="37">
        <v>980</v>
      </c>
      <c r="B981" s="60">
        <f>VLOOKUP(A981,'Dataset-3'!A372:S761,2,)</f>
        <v>40587</v>
      </c>
      <c r="C981" s="38">
        <f>VLOOKUP(B981,'Dataset-3'!B372:T761,2,)</f>
        <v>1</v>
      </c>
      <c r="D981" s="38">
        <f>VLOOKUP(C981,'Dataset-3'!C372:U761,2,)</f>
        <v>0</v>
      </c>
      <c r="E981" s="38">
        <f>VLOOKUP(D981,'Dataset-3'!D372:V761,2,)</f>
        <v>2</v>
      </c>
      <c r="F981" s="38">
        <f>VLOOKUP(E981,'Dataset-3'!E372:W761,2,)</f>
        <v>11</v>
      </c>
      <c r="G981" s="41" t="str">
        <f>VLOOKUP(F981,'Dataset-3'!F372:X761,2,)</f>
        <v>Morning</v>
      </c>
      <c r="H981" s="38" t="b">
        <f>VLOOKUP(G981,'Dataset-3'!G372:Y761,2,)</f>
        <v>0</v>
      </c>
      <c r="I981" s="38">
        <f>VLOOKUP(H981,'Dataset-3'!H372:Z761,2,)</f>
        <v>0</v>
      </c>
      <c r="J981" s="41" t="str">
        <f>VLOOKUP(I981,'Dataset-3'!I372:AA761,2,)</f>
        <v>Saturday</v>
      </c>
      <c r="K981" s="38">
        <f>VLOOKUP(J981,'Dataset-3'!J372:AB761,2,)</f>
        <v>1</v>
      </c>
      <c r="L981" s="38">
        <f>VLOOKUP(K981,'Dataset-3'!K372:AC761,2,)</f>
        <v>0.32</v>
      </c>
      <c r="M981" s="70" t="str">
        <f>VLOOKUP(L981,'Dataset-3'!L372:AD761,2,)</f>
        <v>Sunny</v>
      </c>
      <c r="N981" s="38">
        <f>VLOOKUP(M981,'Dataset-3'!M372:AE761,2,)</f>
        <v>0.28789999999999999</v>
      </c>
      <c r="O981" s="38">
        <f>VLOOKUP(N981,'Dataset-3'!N372:AF761,2,)</f>
        <v>0.39</v>
      </c>
      <c r="P981" s="38">
        <f>VLOOKUP(O981,'Dataset-3'!O372:AG761,2,)</f>
        <v>0.44779999999999998</v>
      </c>
      <c r="Q981" s="38">
        <f>VLOOKUP(P981,'Dataset-3'!P372:AH761,2,)</f>
        <v>26</v>
      </c>
      <c r="R981" s="38">
        <f>VLOOKUP(Q981,'Dataset-3'!Q372:AI761,2,)</f>
        <v>86</v>
      </c>
      <c r="S981" s="38">
        <f>VLOOKUP(R981,'Dataset-3'!R372:AJ761,2,)</f>
        <v>112</v>
      </c>
    </row>
    <row r="982" spans="1:19" x14ac:dyDescent="0.35">
      <c r="A982" s="37">
        <v>981</v>
      </c>
      <c r="B982" s="60">
        <f>VLOOKUP(A982,'Dataset-3'!A373:S762,2,)</f>
        <v>40587</v>
      </c>
      <c r="C982" s="38">
        <f>VLOOKUP(B982,'Dataset-3'!B373:T762,2,)</f>
        <v>1</v>
      </c>
      <c r="D982" s="38">
        <f>VLOOKUP(C982,'Dataset-3'!C373:U762,2,)</f>
        <v>0</v>
      </c>
      <c r="E982" s="38">
        <f>VLOOKUP(D982,'Dataset-3'!D373:V762,2,)</f>
        <v>2</v>
      </c>
      <c r="F982" s="38">
        <f>VLOOKUP(E982,'Dataset-3'!E373:W762,2,)</f>
        <v>12</v>
      </c>
      <c r="G982" s="41" t="str">
        <f>VLOOKUP(F982,'Dataset-3'!F373:X762,2,)</f>
        <v>AfterNoon</v>
      </c>
      <c r="H982" s="38" t="b">
        <f>VLOOKUP(G982,'Dataset-3'!G373:Y762,2,)</f>
        <v>0</v>
      </c>
      <c r="I982" s="38">
        <f>VLOOKUP(H982,'Dataset-3'!H373:Z762,2,)</f>
        <v>0</v>
      </c>
      <c r="J982" s="41" t="str">
        <f>VLOOKUP(I982,'Dataset-3'!I373:AA762,2,)</f>
        <v>Saturday</v>
      </c>
      <c r="K982" s="38">
        <f>VLOOKUP(J982,'Dataset-3'!J373:AB762,2,)</f>
        <v>1</v>
      </c>
      <c r="L982" s="38">
        <f>VLOOKUP(K982,'Dataset-3'!K373:AC762,2,)</f>
        <v>0.36</v>
      </c>
      <c r="M982" s="70" t="str">
        <f>VLOOKUP(L982,'Dataset-3'!L373:AD762,2,)</f>
        <v>Sunny</v>
      </c>
      <c r="N982" s="38">
        <f>VLOOKUP(M982,'Dataset-3'!M373:AE762,2,)</f>
        <v>0.31819999999999998</v>
      </c>
      <c r="O982" s="38">
        <f>VLOOKUP(N982,'Dataset-3'!N373:AF762,2,)</f>
        <v>0.32</v>
      </c>
      <c r="P982" s="38">
        <f>VLOOKUP(O982,'Dataset-3'!O373:AG762,2,)</f>
        <v>0.4627</v>
      </c>
      <c r="Q982" s="38">
        <f>VLOOKUP(P982,'Dataset-3'!P373:AH762,2,)</f>
        <v>58</v>
      </c>
      <c r="R982" s="38">
        <f>VLOOKUP(Q982,'Dataset-3'!Q373:AI762,2,)</f>
        <v>94</v>
      </c>
      <c r="S982" s="38">
        <f>VLOOKUP(R982,'Dataset-3'!R373:AJ762,2,)</f>
        <v>152</v>
      </c>
    </row>
    <row r="983" spans="1:19" x14ac:dyDescent="0.35">
      <c r="A983" s="37">
        <v>982</v>
      </c>
      <c r="B983" s="60">
        <f>VLOOKUP(A983,'Dataset-3'!A374:S763,2,)</f>
        <v>40587</v>
      </c>
      <c r="C983" s="38">
        <f>VLOOKUP(B983,'Dataset-3'!B374:T763,2,)</f>
        <v>1</v>
      </c>
      <c r="D983" s="38">
        <f>VLOOKUP(C983,'Dataset-3'!C374:U763,2,)</f>
        <v>0</v>
      </c>
      <c r="E983" s="38">
        <f>VLOOKUP(D983,'Dataset-3'!D374:V763,2,)</f>
        <v>2</v>
      </c>
      <c r="F983" s="38">
        <f>VLOOKUP(E983,'Dataset-3'!E374:W763,2,)</f>
        <v>13</v>
      </c>
      <c r="G983" s="41" t="str">
        <f>VLOOKUP(F983,'Dataset-3'!F374:X763,2,)</f>
        <v>AfterNoon</v>
      </c>
      <c r="H983" s="38" t="b">
        <f>VLOOKUP(G983,'Dataset-3'!G374:Y763,2,)</f>
        <v>0</v>
      </c>
      <c r="I983" s="38">
        <f>VLOOKUP(H983,'Dataset-3'!H374:Z763,2,)</f>
        <v>0</v>
      </c>
      <c r="J983" s="41" t="str">
        <f>VLOOKUP(I983,'Dataset-3'!I374:AA763,2,)</f>
        <v>Saturday</v>
      </c>
      <c r="K983" s="38">
        <f>VLOOKUP(J983,'Dataset-3'!J374:AB763,2,)</f>
        <v>1</v>
      </c>
      <c r="L983" s="38">
        <f>VLOOKUP(K983,'Dataset-3'!K374:AC763,2,)</f>
        <v>0.38</v>
      </c>
      <c r="M983" s="70" t="str">
        <f>VLOOKUP(L983,'Dataset-3'!L374:AD763,2,)</f>
        <v>Sunny</v>
      </c>
      <c r="N983" s="38">
        <f>VLOOKUP(M983,'Dataset-3'!M374:AE763,2,)</f>
        <v>0.39389999999999997</v>
      </c>
      <c r="O983" s="38">
        <f>VLOOKUP(N983,'Dataset-3'!N374:AF763,2,)</f>
        <v>0.28999999999999998</v>
      </c>
      <c r="P983" s="38">
        <f>VLOOKUP(O983,'Dataset-3'!O374:AG763,2,)</f>
        <v>0.35820000000000002</v>
      </c>
      <c r="Q983" s="38">
        <f>VLOOKUP(P983,'Dataset-3'!P374:AH763,2,)</f>
        <v>62</v>
      </c>
      <c r="R983" s="38">
        <f>VLOOKUP(Q983,'Dataset-3'!Q374:AI763,2,)</f>
        <v>92</v>
      </c>
      <c r="S983" s="38">
        <f>VLOOKUP(R983,'Dataset-3'!R374:AJ763,2,)</f>
        <v>154</v>
      </c>
    </row>
    <row r="984" spans="1:19" x14ac:dyDescent="0.35">
      <c r="A984" s="37">
        <v>983</v>
      </c>
      <c r="B984" s="60">
        <f>VLOOKUP(A984,'Dataset-3'!A375:S764,2,)</f>
        <v>40587</v>
      </c>
      <c r="C984" s="38">
        <f>VLOOKUP(B984,'Dataset-3'!B375:T764,2,)</f>
        <v>1</v>
      </c>
      <c r="D984" s="38">
        <f>VLOOKUP(C984,'Dataset-3'!C375:U764,2,)</f>
        <v>0</v>
      </c>
      <c r="E984" s="38">
        <f>VLOOKUP(D984,'Dataset-3'!D375:V764,2,)</f>
        <v>2</v>
      </c>
      <c r="F984" s="38">
        <f>VLOOKUP(E984,'Dataset-3'!E375:W764,2,)</f>
        <v>14</v>
      </c>
      <c r="G984" s="41" t="str">
        <f>VLOOKUP(F984,'Dataset-3'!F375:X764,2,)</f>
        <v>AfterNoon</v>
      </c>
      <c r="H984" s="38" t="b">
        <f>VLOOKUP(G984,'Dataset-3'!G375:Y764,2,)</f>
        <v>0</v>
      </c>
      <c r="I984" s="38">
        <f>VLOOKUP(H984,'Dataset-3'!H375:Z764,2,)</f>
        <v>0</v>
      </c>
      <c r="J984" s="41" t="str">
        <f>VLOOKUP(I984,'Dataset-3'!I375:AA764,2,)</f>
        <v>Saturday</v>
      </c>
      <c r="K984" s="38">
        <f>VLOOKUP(J984,'Dataset-3'!J375:AB764,2,)</f>
        <v>2</v>
      </c>
      <c r="L984" s="38">
        <f>VLOOKUP(K984,'Dataset-3'!K375:AC764,2,)</f>
        <v>0.4</v>
      </c>
      <c r="M984" s="70" t="str">
        <f>VLOOKUP(L984,'Dataset-3'!L375:AD764,2,)</f>
        <v>Sunny</v>
      </c>
      <c r="N984" s="38">
        <f>VLOOKUP(M984,'Dataset-3'!M375:AE764,2,)</f>
        <v>0.40910000000000002</v>
      </c>
      <c r="O984" s="38">
        <f>VLOOKUP(N984,'Dataset-3'!N375:AF764,2,)</f>
        <v>0.3</v>
      </c>
      <c r="P984" s="38">
        <f>VLOOKUP(O984,'Dataset-3'!O375:AG764,2,)</f>
        <v>0.41789999999999999</v>
      </c>
      <c r="Q984" s="38">
        <f>VLOOKUP(P984,'Dataset-3'!P375:AH764,2,)</f>
        <v>51</v>
      </c>
      <c r="R984" s="38">
        <f>VLOOKUP(Q984,'Dataset-3'!Q375:AI764,2,)</f>
        <v>110</v>
      </c>
      <c r="S984" s="38">
        <f>VLOOKUP(R984,'Dataset-3'!R375:AJ764,2,)</f>
        <v>161</v>
      </c>
    </row>
    <row r="985" spans="1:19" x14ac:dyDescent="0.35">
      <c r="A985" s="37">
        <v>984</v>
      </c>
      <c r="B985" s="60">
        <f>VLOOKUP(A985,'Dataset-3'!A376:S765,2,)</f>
        <v>40587</v>
      </c>
      <c r="C985" s="38">
        <f>VLOOKUP(B985,'Dataset-3'!B376:T765,2,)</f>
        <v>1</v>
      </c>
      <c r="D985" s="38">
        <f>VLOOKUP(C985,'Dataset-3'!C376:U765,2,)</f>
        <v>0</v>
      </c>
      <c r="E985" s="38">
        <f>VLOOKUP(D985,'Dataset-3'!D376:V765,2,)</f>
        <v>2</v>
      </c>
      <c r="F985" s="38">
        <f>VLOOKUP(E985,'Dataset-3'!E376:W765,2,)</f>
        <v>15</v>
      </c>
      <c r="G985" s="41" t="str">
        <f>VLOOKUP(F985,'Dataset-3'!F376:X765,2,)</f>
        <v>AfterNoon</v>
      </c>
      <c r="H985" s="38" t="b">
        <f>VLOOKUP(G985,'Dataset-3'!G376:Y765,2,)</f>
        <v>0</v>
      </c>
      <c r="I985" s="38">
        <f>VLOOKUP(H985,'Dataset-3'!H376:Z765,2,)</f>
        <v>0</v>
      </c>
      <c r="J985" s="41" t="str">
        <f>VLOOKUP(I985,'Dataset-3'!I376:AA765,2,)</f>
        <v>Saturday</v>
      </c>
      <c r="K985" s="38">
        <f>VLOOKUP(J985,'Dataset-3'!J376:AB765,2,)</f>
        <v>2</v>
      </c>
      <c r="L985" s="38">
        <f>VLOOKUP(K985,'Dataset-3'!K376:AC765,2,)</f>
        <v>0.4</v>
      </c>
      <c r="M985" s="70" t="str">
        <f>VLOOKUP(L985,'Dataset-3'!L376:AD765,2,)</f>
        <v>Sunny</v>
      </c>
      <c r="N985" s="38">
        <f>VLOOKUP(M985,'Dataset-3'!M376:AE765,2,)</f>
        <v>0.40910000000000002</v>
      </c>
      <c r="O985" s="38">
        <f>VLOOKUP(N985,'Dataset-3'!N376:AF765,2,)</f>
        <v>0.3</v>
      </c>
      <c r="P985" s="38">
        <f>VLOOKUP(O985,'Dataset-3'!O376:AG765,2,)</f>
        <v>0.29849999999999999</v>
      </c>
      <c r="Q985" s="38">
        <f>VLOOKUP(P985,'Dataset-3'!P376:AH765,2,)</f>
        <v>40</v>
      </c>
      <c r="R985" s="38">
        <f>VLOOKUP(Q985,'Dataset-3'!Q376:AI765,2,)</f>
        <v>122</v>
      </c>
      <c r="S985" s="38">
        <f>VLOOKUP(R985,'Dataset-3'!R376:AJ765,2,)</f>
        <v>162</v>
      </c>
    </row>
    <row r="986" spans="1:19" x14ac:dyDescent="0.35">
      <c r="A986" s="37">
        <v>985</v>
      </c>
      <c r="B986" s="60">
        <f>VLOOKUP(A986,'Dataset-3'!A377:S766,2,)</f>
        <v>40587</v>
      </c>
      <c r="C986" s="38">
        <f>VLOOKUP(B986,'Dataset-3'!B377:T766,2,)</f>
        <v>1</v>
      </c>
      <c r="D986" s="38">
        <f>VLOOKUP(C986,'Dataset-3'!C377:U766,2,)</f>
        <v>0</v>
      </c>
      <c r="E986" s="38">
        <f>VLOOKUP(D986,'Dataset-3'!D377:V766,2,)</f>
        <v>2</v>
      </c>
      <c r="F986" s="38">
        <f>VLOOKUP(E986,'Dataset-3'!E377:W766,2,)</f>
        <v>16</v>
      </c>
      <c r="G986" s="41" t="str">
        <f>VLOOKUP(F986,'Dataset-3'!F377:X766,2,)</f>
        <v>AfterNoon</v>
      </c>
      <c r="H986" s="38" t="b">
        <f>VLOOKUP(G986,'Dataset-3'!G377:Y766,2,)</f>
        <v>0</v>
      </c>
      <c r="I986" s="38">
        <f>VLOOKUP(H986,'Dataset-3'!H377:Z766,2,)</f>
        <v>0</v>
      </c>
      <c r="J986" s="41" t="str">
        <f>VLOOKUP(I986,'Dataset-3'!I377:AA766,2,)</f>
        <v>Saturday</v>
      </c>
      <c r="K986" s="38">
        <f>VLOOKUP(J986,'Dataset-3'!J377:AB766,2,)</f>
        <v>2</v>
      </c>
      <c r="L986" s="38">
        <f>VLOOKUP(K986,'Dataset-3'!K377:AC766,2,)</f>
        <v>0.42</v>
      </c>
      <c r="M986" s="70" t="str">
        <f>VLOOKUP(L986,'Dataset-3'!L377:AD766,2,)</f>
        <v>Sunny</v>
      </c>
      <c r="N986" s="38">
        <f>VLOOKUP(M986,'Dataset-3'!M377:AE766,2,)</f>
        <v>0.42420000000000002</v>
      </c>
      <c r="O986" s="38">
        <f>VLOOKUP(N986,'Dataset-3'!N377:AF766,2,)</f>
        <v>0.28000000000000003</v>
      </c>
      <c r="P986" s="38">
        <f>VLOOKUP(O986,'Dataset-3'!O377:AG766,2,)</f>
        <v>0.32840000000000003</v>
      </c>
      <c r="Q986" s="38">
        <f>VLOOKUP(P986,'Dataset-3'!P377:AH766,2,)</f>
        <v>28</v>
      </c>
      <c r="R986" s="38">
        <f>VLOOKUP(Q986,'Dataset-3'!Q377:AI766,2,)</f>
        <v>106</v>
      </c>
      <c r="S986" s="38">
        <f>VLOOKUP(R986,'Dataset-3'!R377:AJ766,2,)</f>
        <v>134</v>
      </c>
    </row>
    <row r="987" spans="1:19" x14ac:dyDescent="0.35">
      <c r="A987" s="37">
        <v>986</v>
      </c>
      <c r="B987" s="60">
        <f>VLOOKUP(A987,'Dataset-3'!A378:S767,2,)</f>
        <v>40587</v>
      </c>
      <c r="C987" s="38">
        <f>VLOOKUP(B987,'Dataset-3'!B378:T767,2,)</f>
        <v>1</v>
      </c>
      <c r="D987" s="38">
        <f>VLOOKUP(C987,'Dataset-3'!C378:U767,2,)</f>
        <v>0</v>
      </c>
      <c r="E987" s="38">
        <f>VLOOKUP(D987,'Dataset-3'!D378:V767,2,)</f>
        <v>2</v>
      </c>
      <c r="F987" s="38">
        <f>VLOOKUP(E987,'Dataset-3'!E378:W767,2,)</f>
        <v>17</v>
      </c>
      <c r="G987" s="41" t="str">
        <f>VLOOKUP(F987,'Dataset-3'!F378:X767,2,)</f>
        <v>Evening</v>
      </c>
      <c r="H987" s="38" t="b">
        <f>VLOOKUP(G987,'Dataset-3'!G378:Y767,2,)</f>
        <v>0</v>
      </c>
      <c r="I987" s="38">
        <f>VLOOKUP(H987,'Dataset-3'!H378:Z767,2,)</f>
        <v>0</v>
      </c>
      <c r="J987" s="41" t="str">
        <f>VLOOKUP(I987,'Dataset-3'!I378:AA767,2,)</f>
        <v>Saturday</v>
      </c>
      <c r="K987" s="38">
        <f>VLOOKUP(J987,'Dataset-3'!J378:AB767,2,)</f>
        <v>1</v>
      </c>
      <c r="L987" s="38">
        <f>VLOOKUP(K987,'Dataset-3'!K378:AC767,2,)</f>
        <v>0.42</v>
      </c>
      <c r="M987" s="70" t="str">
        <f>VLOOKUP(L987,'Dataset-3'!L378:AD767,2,)</f>
        <v>Sunny</v>
      </c>
      <c r="N987" s="38">
        <f>VLOOKUP(M987,'Dataset-3'!M378:AE767,2,)</f>
        <v>0.42420000000000002</v>
      </c>
      <c r="O987" s="38">
        <f>VLOOKUP(N987,'Dataset-3'!N378:AF767,2,)</f>
        <v>0.28000000000000003</v>
      </c>
      <c r="P987" s="38">
        <f>VLOOKUP(O987,'Dataset-3'!O378:AG767,2,)</f>
        <v>0.32840000000000003</v>
      </c>
      <c r="Q987" s="38">
        <f>VLOOKUP(P987,'Dataset-3'!P378:AH767,2,)</f>
        <v>30</v>
      </c>
      <c r="R987" s="38">
        <f>VLOOKUP(Q987,'Dataset-3'!Q378:AI767,2,)</f>
        <v>95</v>
      </c>
      <c r="S987" s="38">
        <f>VLOOKUP(R987,'Dataset-3'!R378:AJ767,2,)</f>
        <v>125</v>
      </c>
    </row>
    <row r="988" spans="1:19" x14ac:dyDescent="0.35">
      <c r="A988" s="37">
        <v>987</v>
      </c>
      <c r="B988" s="60">
        <f>VLOOKUP(A988,'Dataset-3'!A379:S768,2,)</f>
        <v>40587</v>
      </c>
      <c r="C988" s="38">
        <f>VLOOKUP(B988,'Dataset-3'!B379:T768,2,)</f>
        <v>1</v>
      </c>
      <c r="D988" s="38">
        <f>VLOOKUP(C988,'Dataset-3'!C379:U768,2,)</f>
        <v>0</v>
      </c>
      <c r="E988" s="38">
        <f>VLOOKUP(D988,'Dataset-3'!D379:V768,2,)</f>
        <v>2</v>
      </c>
      <c r="F988" s="38">
        <f>VLOOKUP(E988,'Dataset-3'!E379:W768,2,)</f>
        <v>18</v>
      </c>
      <c r="G988" s="41" t="str">
        <f>VLOOKUP(F988,'Dataset-3'!F379:X768,2,)</f>
        <v>Evening</v>
      </c>
      <c r="H988" s="38" t="b">
        <f>VLOOKUP(G988,'Dataset-3'!G379:Y768,2,)</f>
        <v>0</v>
      </c>
      <c r="I988" s="38">
        <f>VLOOKUP(H988,'Dataset-3'!H379:Z768,2,)</f>
        <v>0</v>
      </c>
      <c r="J988" s="41" t="str">
        <f>VLOOKUP(I988,'Dataset-3'!I379:AA768,2,)</f>
        <v>Saturday</v>
      </c>
      <c r="K988" s="38">
        <f>VLOOKUP(J988,'Dataset-3'!J379:AB768,2,)</f>
        <v>1</v>
      </c>
      <c r="L988" s="38">
        <f>VLOOKUP(K988,'Dataset-3'!K379:AC768,2,)</f>
        <v>0.4</v>
      </c>
      <c r="M988" s="70" t="str">
        <f>VLOOKUP(L988,'Dataset-3'!L379:AD768,2,)</f>
        <v>Sunny</v>
      </c>
      <c r="N988" s="38">
        <f>VLOOKUP(M988,'Dataset-3'!M379:AE768,2,)</f>
        <v>0.40910000000000002</v>
      </c>
      <c r="O988" s="38">
        <f>VLOOKUP(N988,'Dataset-3'!N379:AF768,2,)</f>
        <v>0.32</v>
      </c>
      <c r="P988" s="38">
        <f>VLOOKUP(O988,'Dataset-3'!O379:AG768,2,)</f>
        <v>0.29849999999999999</v>
      </c>
      <c r="Q988" s="38">
        <f>VLOOKUP(P988,'Dataset-3'!P379:AH768,2,)</f>
        <v>17</v>
      </c>
      <c r="R988" s="38">
        <f>VLOOKUP(Q988,'Dataset-3'!Q379:AI768,2,)</f>
        <v>78</v>
      </c>
      <c r="S988" s="38">
        <f>VLOOKUP(R988,'Dataset-3'!R379:AJ768,2,)</f>
        <v>95</v>
      </c>
    </row>
    <row r="989" spans="1:19" x14ac:dyDescent="0.35">
      <c r="A989" s="37">
        <v>988</v>
      </c>
      <c r="B989" s="60">
        <f>VLOOKUP(A989,'Dataset-3'!A380:S769,2,)</f>
        <v>40587</v>
      </c>
      <c r="C989" s="38">
        <f>VLOOKUP(B989,'Dataset-3'!B380:T769,2,)</f>
        <v>1</v>
      </c>
      <c r="D989" s="38">
        <f>VLOOKUP(C989,'Dataset-3'!C380:U769,2,)</f>
        <v>0</v>
      </c>
      <c r="E989" s="38">
        <f>VLOOKUP(D989,'Dataset-3'!D380:V769,2,)</f>
        <v>2</v>
      </c>
      <c r="F989" s="38">
        <f>VLOOKUP(E989,'Dataset-3'!E380:W769,2,)</f>
        <v>19</v>
      </c>
      <c r="G989" s="41" t="str">
        <f>VLOOKUP(F989,'Dataset-3'!F380:X769,2,)</f>
        <v>Evening</v>
      </c>
      <c r="H989" s="38" t="b">
        <f>VLOOKUP(G989,'Dataset-3'!G380:Y769,2,)</f>
        <v>0</v>
      </c>
      <c r="I989" s="38">
        <f>VLOOKUP(H989,'Dataset-3'!H380:Z769,2,)</f>
        <v>0</v>
      </c>
      <c r="J989" s="41" t="str">
        <f>VLOOKUP(I989,'Dataset-3'!I380:AA769,2,)</f>
        <v>Saturday</v>
      </c>
      <c r="K989" s="38">
        <f>VLOOKUP(J989,'Dataset-3'!J380:AB769,2,)</f>
        <v>1</v>
      </c>
      <c r="L989" s="38">
        <f>VLOOKUP(K989,'Dataset-3'!K380:AC769,2,)</f>
        <v>0.4</v>
      </c>
      <c r="M989" s="70" t="str">
        <f>VLOOKUP(L989,'Dataset-3'!L380:AD769,2,)</f>
        <v>Sunny</v>
      </c>
      <c r="N989" s="38">
        <f>VLOOKUP(M989,'Dataset-3'!M380:AE769,2,)</f>
        <v>0.40910000000000002</v>
      </c>
      <c r="O989" s="38">
        <f>VLOOKUP(N989,'Dataset-3'!N380:AF769,2,)</f>
        <v>0.35</v>
      </c>
      <c r="P989" s="38">
        <f>VLOOKUP(O989,'Dataset-3'!O380:AG769,2,)</f>
        <v>0.28360000000000002</v>
      </c>
      <c r="Q989" s="38">
        <f>VLOOKUP(P989,'Dataset-3'!P380:AH769,2,)</f>
        <v>11</v>
      </c>
      <c r="R989" s="38">
        <f>VLOOKUP(Q989,'Dataset-3'!Q380:AI769,2,)</f>
        <v>50</v>
      </c>
      <c r="S989" s="38">
        <f>VLOOKUP(R989,'Dataset-3'!R380:AJ769,2,)</f>
        <v>61</v>
      </c>
    </row>
    <row r="990" spans="1:19" x14ac:dyDescent="0.35">
      <c r="A990" s="37">
        <v>989</v>
      </c>
      <c r="B990" s="60">
        <f>VLOOKUP(A990,'Dataset-3'!A381:S770,2,)</f>
        <v>40587</v>
      </c>
      <c r="C990" s="38">
        <f>VLOOKUP(B990,'Dataset-3'!B381:T770,2,)</f>
        <v>1</v>
      </c>
      <c r="D990" s="38">
        <f>VLOOKUP(C990,'Dataset-3'!C381:U770,2,)</f>
        <v>0</v>
      </c>
      <c r="E990" s="38">
        <f>VLOOKUP(D990,'Dataset-3'!D381:V770,2,)</f>
        <v>2</v>
      </c>
      <c r="F990" s="38">
        <f>VLOOKUP(E990,'Dataset-3'!E381:W770,2,)</f>
        <v>20</v>
      </c>
      <c r="G990" s="41" t="str">
        <f>VLOOKUP(F990,'Dataset-3'!F381:X770,2,)</f>
        <v>Night</v>
      </c>
      <c r="H990" s="38" t="b">
        <f>VLOOKUP(G990,'Dataset-3'!G381:Y770,2,)</f>
        <v>0</v>
      </c>
      <c r="I990" s="38">
        <f>VLOOKUP(H990,'Dataset-3'!H381:Z770,2,)</f>
        <v>0</v>
      </c>
      <c r="J990" s="41" t="str">
        <f>VLOOKUP(I990,'Dataset-3'!I381:AA770,2,)</f>
        <v>Saturday</v>
      </c>
      <c r="K990" s="38">
        <f>VLOOKUP(J990,'Dataset-3'!J381:AB770,2,)</f>
        <v>1</v>
      </c>
      <c r="L990" s="38">
        <f>VLOOKUP(K990,'Dataset-3'!K381:AC770,2,)</f>
        <v>0.4</v>
      </c>
      <c r="M990" s="70" t="str">
        <f>VLOOKUP(L990,'Dataset-3'!L381:AD770,2,)</f>
        <v>Sunny</v>
      </c>
      <c r="N990" s="38">
        <f>VLOOKUP(M990,'Dataset-3'!M381:AE770,2,)</f>
        <v>0.40910000000000002</v>
      </c>
      <c r="O990" s="38">
        <f>VLOOKUP(N990,'Dataset-3'!N381:AF770,2,)</f>
        <v>0.35</v>
      </c>
      <c r="P990" s="38">
        <f>VLOOKUP(O990,'Dataset-3'!O381:AG770,2,)</f>
        <v>0.32840000000000003</v>
      </c>
      <c r="Q990" s="38">
        <f>VLOOKUP(P990,'Dataset-3'!P381:AH770,2,)</f>
        <v>15</v>
      </c>
      <c r="R990" s="38">
        <f>VLOOKUP(Q990,'Dataset-3'!Q381:AI770,2,)</f>
        <v>32</v>
      </c>
      <c r="S990" s="38">
        <f>VLOOKUP(R990,'Dataset-3'!R381:AJ770,2,)</f>
        <v>47</v>
      </c>
    </row>
    <row r="991" spans="1:19" x14ac:dyDescent="0.35">
      <c r="A991" s="37">
        <v>990</v>
      </c>
      <c r="B991" s="60">
        <f>VLOOKUP(A991,'Dataset-3'!A382:S771,2,)</f>
        <v>40587</v>
      </c>
      <c r="C991" s="38">
        <f>VLOOKUP(B991,'Dataset-3'!B382:T771,2,)</f>
        <v>1</v>
      </c>
      <c r="D991" s="38">
        <f>VLOOKUP(C991,'Dataset-3'!C382:U771,2,)</f>
        <v>0</v>
      </c>
      <c r="E991" s="38">
        <f>VLOOKUP(D991,'Dataset-3'!D382:V771,2,)</f>
        <v>2</v>
      </c>
      <c r="F991" s="38">
        <f>VLOOKUP(E991,'Dataset-3'!E382:W771,2,)</f>
        <v>21</v>
      </c>
      <c r="G991" s="41" t="str">
        <f>VLOOKUP(F991,'Dataset-3'!F382:X771,2,)</f>
        <v>Night</v>
      </c>
      <c r="H991" s="38" t="b">
        <f>VLOOKUP(G991,'Dataset-3'!G382:Y771,2,)</f>
        <v>0</v>
      </c>
      <c r="I991" s="38">
        <f>VLOOKUP(H991,'Dataset-3'!H382:Z771,2,)</f>
        <v>0</v>
      </c>
      <c r="J991" s="41" t="str">
        <f>VLOOKUP(I991,'Dataset-3'!I382:AA771,2,)</f>
        <v>Saturday</v>
      </c>
      <c r="K991" s="38">
        <f>VLOOKUP(J991,'Dataset-3'!J382:AB771,2,)</f>
        <v>1</v>
      </c>
      <c r="L991" s="38">
        <f>VLOOKUP(K991,'Dataset-3'!K382:AC771,2,)</f>
        <v>0.4</v>
      </c>
      <c r="M991" s="70" t="str">
        <f>VLOOKUP(L991,'Dataset-3'!L382:AD771,2,)</f>
        <v>Sunny</v>
      </c>
      <c r="N991" s="38">
        <f>VLOOKUP(M991,'Dataset-3'!M382:AE771,2,)</f>
        <v>0.40910000000000002</v>
      </c>
      <c r="O991" s="38">
        <f>VLOOKUP(N991,'Dataset-3'!N382:AF771,2,)</f>
        <v>0.35</v>
      </c>
      <c r="P991" s="38">
        <f>VLOOKUP(O991,'Dataset-3'!O382:AG771,2,)</f>
        <v>0.35820000000000002</v>
      </c>
      <c r="Q991" s="38">
        <f>VLOOKUP(P991,'Dataset-3'!P382:AH771,2,)</f>
        <v>6</v>
      </c>
      <c r="R991" s="38">
        <f>VLOOKUP(Q991,'Dataset-3'!Q382:AI771,2,)</f>
        <v>45</v>
      </c>
      <c r="S991" s="38">
        <f>VLOOKUP(R991,'Dataset-3'!R382:AJ771,2,)</f>
        <v>51</v>
      </c>
    </row>
    <row r="992" spans="1:19" x14ac:dyDescent="0.35">
      <c r="A992" s="37">
        <v>991</v>
      </c>
      <c r="B992" s="60">
        <f>VLOOKUP(A992,'Dataset-3'!A383:S772,2,)</f>
        <v>40587</v>
      </c>
      <c r="C992" s="38">
        <f>VLOOKUP(B992,'Dataset-3'!B383:T772,2,)</f>
        <v>1</v>
      </c>
      <c r="D992" s="38">
        <f>VLOOKUP(C992,'Dataset-3'!C383:U772,2,)</f>
        <v>0</v>
      </c>
      <c r="E992" s="38">
        <f>VLOOKUP(D992,'Dataset-3'!D383:V772,2,)</f>
        <v>2</v>
      </c>
      <c r="F992" s="38">
        <f>VLOOKUP(E992,'Dataset-3'!E383:W772,2,)</f>
        <v>22</v>
      </c>
      <c r="G992" s="41" t="str">
        <f>VLOOKUP(F992,'Dataset-3'!F383:X772,2,)</f>
        <v>Night</v>
      </c>
      <c r="H992" s="38" t="b">
        <f>VLOOKUP(G992,'Dataset-3'!G383:Y772,2,)</f>
        <v>0</v>
      </c>
      <c r="I992" s="38">
        <f>VLOOKUP(H992,'Dataset-3'!H383:Z772,2,)</f>
        <v>0</v>
      </c>
      <c r="J992" s="41" t="str">
        <f>VLOOKUP(I992,'Dataset-3'!I383:AA772,2,)</f>
        <v>Saturday</v>
      </c>
      <c r="K992" s="38">
        <f>VLOOKUP(J992,'Dataset-3'!J383:AB772,2,)</f>
        <v>1</v>
      </c>
      <c r="L992" s="38">
        <f>VLOOKUP(K992,'Dataset-3'!K383:AC772,2,)</f>
        <v>0.4</v>
      </c>
      <c r="M992" s="70" t="str">
        <f>VLOOKUP(L992,'Dataset-3'!L383:AD772,2,)</f>
        <v>Sunny</v>
      </c>
      <c r="N992" s="38">
        <f>VLOOKUP(M992,'Dataset-3'!M383:AE772,2,)</f>
        <v>0.40910000000000002</v>
      </c>
      <c r="O992" s="38">
        <f>VLOOKUP(N992,'Dataset-3'!N383:AF772,2,)</f>
        <v>0.35</v>
      </c>
      <c r="P992" s="38">
        <f>VLOOKUP(O992,'Dataset-3'!O383:AG772,2,)</f>
        <v>0.29849999999999999</v>
      </c>
      <c r="Q992" s="38">
        <f>VLOOKUP(P992,'Dataset-3'!P383:AH772,2,)</f>
        <v>5</v>
      </c>
      <c r="R992" s="38">
        <f>VLOOKUP(Q992,'Dataset-3'!Q383:AI772,2,)</f>
        <v>31</v>
      </c>
      <c r="S992" s="38">
        <f>VLOOKUP(R992,'Dataset-3'!R383:AJ772,2,)</f>
        <v>36</v>
      </c>
    </row>
    <row r="993" spans="1:19" x14ac:dyDescent="0.35">
      <c r="A993" s="37">
        <v>992</v>
      </c>
      <c r="B993" s="60">
        <f>VLOOKUP(A993,'Dataset-3'!A384:S773,2,)</f>
        <v>40587</v>
      </c>
      <c r="C993" s="38">
        <f>VLOOKUP(B993,'Dataset-3'!B384:T773,2,)</f>
        <v>1</v>
      </c>
      <c r="D993" s="38">
        <f>VLOOKUP(C993,'Dataset-3'!C384:U773,2,)</f>
        <v>0</v>
      </c>
      <c r="E993" s="38">
        <f>VLOOKUP(D993,'Dataset-3'!D384:V773,2,)</f>
        <v>2</v>
      </c>
      <c r="F993" s="38">
        <f>VLOOKUP(E993,'Dataset-3'!E384:W773,2,)</f>
        <v>23</v>
      </c>
      <c r="G993" s="41" t="str">
        <f>VLOOKUP(F993,'Dataset-3'!F384:X773,2,)</f>
        <v>Night</v>
      </c>
      <c r="H993" s="38" t="b">
        <f>VLOOKUP(G993,'Dataset-3'!G384:Y773,2,)</f>
        <v>0</v>
      </c>
      <c r="I993" s="38">
        <f>VLOOKUP(H993,'Dataset-3'!H384:Z773,2,)</f>
        <v>0</v>
      </c>
      <c r="J993" s="41" t="str">
        <f>VLOOKUP(I993,'Dataset-3'!I384:AA773,2,)</f>
        <v>Saturday</v>
      </c>
      <c r="K993" s="38">
        <f>VLOOKUP(J993,'Dataset-3'!J384:AB773,2,)</f>
        <v>1</v>
      </c>
      <c r="L993" s="38">
        <f>VLOOKUP(K993,'Dataset-3'!K384:AC773,2,)</f>
        <v>0.4</v>
      </c>
      <c r="M993" s="70" t="str">
        <f>VLOOKUP(L993,'Dataset-3'!L384:AD773,2,)</f>
        <v>Sunny</v>
      </c>
      <c r="N993" s="38">
        <f>VLOOKUP(M993,'Dataset-3'!M384:AE773,2,)</f>
        <v>0.40910000000000002</v>
      </c>
      <c r="O993" s="38">
        <f>VLOOKUP(N993,'Dataset-3'!N384:AF773,2,)</f>
        <v>0.35</v>
      </c>
      <c r="P993" s="38">
        <f>VLOOKUP(O993,'Dataset-3'!O384:AG773,2,)</f>
        <v>0.35820000000000002</v>
      </c>
      <c r="Q993" s="38">
        <f>VLOOKUP(P993,'Dataset-3'!P384:AH773,2,)</f>
        <v>3</v>
      </c>
      <c r="R993" s="38">
        <f>VLOOKUP(Q993,'Dataset-3'!Q384:AI773,2,)</f>
        <v>27</v>
      </c>
      <c r="S993" s="38">
        <f>VLOOKUP(R993,'Dataset-3'!R384:AJ773,2,)</f>
        <v>30</v>
      </c>
    </row>
    <row r="994" spans="1:19" x14ac:dyDescent="0.35">
      <c r="A994" s="37">
        <v>993</v>
      </c>
      <c r="B994" s="60">
        <f>VLOOKUP(A994,'Dataset-3'!A385:S774,2,)</f>
        <v>40588</v>
      </c>
      <c r="C994" s="38">
        <f>VLOOKUP(B994,'Dataset-3'!B385:T774,2,)</f>
        <v>1</v>
      </c>
      <c r="D994" s="38">
        <f>VLOOKUP(C994,'Dataset-3'!C385:U774,2,)</f>
        <v>0</v>
      </c>
      <c r="E994" s="38">
        <f>VLOOKUP(D994,'Dataset-3'!D385:V774,2,)</f>
        <v>2</v>
      </c>
      <c r="F994" s="38">
        <f>VLOOKUP(E994,'Dataset-3'!E385:W774,2,)</f>
        <v>0</v>
      </c>
      <c r="G994" s="41" t="str">
        <f>VLOOKUP(F994,'Dataset-3'!F385:X774,2,)</f>
        <v>Night</v>
      </c>
      <c r="H994" s="38" t="b">
        <f>VLOOKUP(G994,'Dataset-3'!G385:Y774,2,)</f>
        <v>0</v>
      </c>
      <c r="I994" s="38">
        <f>VLOOKUP(H994,'Dataset-3'!H385:Z774,2,)</f>
        <v>1</v>
      </c>
      <c r="J994" s="41" t="str">
        <f>VLOOKUP(I994,'Dataset-3'!I385:AA774,2,)</f>
        <v>Sunday</v>
      </c>
      <c r="K994" s="38">
        <f>VLOOKUP(J994,'Dataset-3'!J385:AB774,2,)</f>
        <v>1</v>
      </c>
      <c r="L994" s="38">
        <f>VLOOKUP(K994,'Dataset-3'!K385:AC774,2,)</f>
        <v>0.38</v>
      </c>
      <c r="M994" s="70" t="str">
        <f>VLOOKUP(L994,'Dataset-3'!L385:AD774,2,)</f>
        <v>Sunny</v>
      </c>
      <c r="N994" s="38">
        <f>VLOOKUP(M994,'Dataset-3'!M385:AE774,2,)</f>
        <v>0.39389999999999997</v>
      </c>
      <c r="O994" s="38">
        <f>VLOOKUP(N994,'Dataset-3'!N385:AF774,2,)</f>
        <v>0.37</v>
      </c>
      <c r="P994" s="38">
        <f>VLOOKUP(O994,'Dataset-3'!O385:AG774,2,)</f>
        <v>0.35820000000000002</v>
      </c>
      <c r="Q994" s="38">
        <f>VLOOKUP(P994,'Dataset-3'!P385:AH774,2,)</f>
        <v>3</v>
      </c>
      <c r="R994" s="38">
        <f>VLOOKUP(Q994,'Dataset-3'!Q385:AI774,2,)</f>
        <v>8</v>
      </c>
      <c r="S994" s="38">
        <f>VLOOKUP(R994,'Dataset-3'!R385:AJ774,2,)</f>
        <v>11</v>
      </c>
    </row>
    <row r="995" spans="1:19" x14ac:dyDescent="0.35">
      <c r="A995" s="37">
        <v>994</v>
      </c>
      <c r="B995" s="60">
        <f>VLOOKUP(A995,'Dataset-3'!A386:S775,2,)</f>
        <v>40588</v>
      </c>
      <c r="C995" s="38">
        <f>VLOOKUP(B995,'Dataset-3'!B386:T775,2,)</f>
        <v>1</v>
      </c>
      <c r="D995" s="38">
        <f>VLOOKUP(C995,'Dataset-3'!C386:U775,2,)</f>
        <v>0</v>
      </c>
      <c r="E995" s="38">
        <f>VLOOKUP(D995,'Dataset-3'!D386:V775,2,)</f>
        <v>2</v>
      </c>
      <c r="F995" s="38">
        <f>VLOOKUP(E995,'Dataset-3'!E386:W775,2,)</f>
        <v>1</v>
      </c>
      <c r="G995" s="41" t="str">
        <f>VLOOKUP(F995,'Dataset-3'!F386:X775,2,)</f>
        <v>Night</v>
      </c>
      <c r="H995" s="38" t="b">
        <f>VLOOKUP(G995,'Dataset-3'!G386:Y775,2,)</f>
        <v>0</v>
      </c>
      <c r="I995" s="38">
        <f>VLOOKUP(H995,'Dataset-3'!H386:Z775,2,)</f>
        <v>1</v>
      </c>
      <c r="J995" s="41" t="str">
        <f>VLOOKUP(I995,'Dataset-3'!I386:AA775,2,)</f>
        <v>Sunday</v>
      </c>
      <c r="K995" s="38">
        <f>VLOOKUP(J995,'Dataset-3'!J386:AB775,2,)</f>
        <v>1</v>
      </c>
      <c r="L995" s="38">
        <f>VLOOKUP(K995,'Dataset-3'!K386:AC775,2,)</f>
        <v>0.38</v>
      </c>
      <c r="M995" s="70" t="str">
        <f>VLOOKUP(L995,'Dataset-3'!L386:AD775,2,)</f>
        <v>Sunny</v>
      </c>
      <c r="N995" s="38">
        <f>VLOOKUP(M995,'Dataset-3'!M386:AE775,2,)</f>
        <v>0.39389999999999997</v>
      </c>
      <c r="O995" s="38">
        <f>VLOOKUP(N995,'Dataset-3'!N386:AF775,2,)</f>
        <v>0.37</v>
      </c>
      <c r="P995" s="38">
        <f>VLOOKUP(O995,'Dataset-3'!O386:AG775,2,)</f>
        <v>0.35820000000000002</v>
      </c>
      <c r="Q995" s="38">
        <f>VLOOKUP(P995,'Dataset-3'!P386:AH775,2,)</f>
        <v>1</v>
      </c>
      <c r="R995" s="38">
        <f>VLOOKUP(Q995,'Dataset-3'!Q386:AI775,2,)</f>
        <v>6</v>
      </c>
      <c r="S995" s="38">
        <f>VLOOKUP(R995,'Dataset-3'!R386:AJ775,2,)</f>
        <v>7</v>
      </c>
    </row>
    <row r="996" spans="1:19" x14ac:dyDescent="0.35">
      <c r="A996" s="37">
        <v>995</v>
      </c>
      <c r="B996" s="60">
        <f>VLOOKUP(A996,'Dataset-3'!A387:S776,2,)</f>
        <v>40588</v>
      </c>
      <c r="C996" s="38">
        <f>VLOOKUP(B996,'Dataset-3'!B387:T776,2,)</f>
        <v>1</v>
      </c>
      <c r="D996" s="38">
        <f>VLOOKUP(C996,'Dataset-3'!C387:U776,2,)</f>
        <v>0</v>
      </c>
      <c r="E996" s="38">
        <f>VLOOKUP(D996,'Dataset-3'!D387:V776,2,)</f>
        <v>2</v>
      </c>
      <c r="F996" s="38">
        <f>VLOOKUP(E996,'Dataset-3'!E387:W776,2,)</f>
        <v>2</v>
      </c>
      <c r="G996" s="41" t="str">
        <f>VLOOKUP(F996,'Dataset-3'!F387:X776,2,)</f>
        <v>Night</v>
      </c>
      <c r="H996" s="38" t="b">
        <f>VLOOKUP(G996,'Dataset-3'!G387:Y776,2,)</f>
        <v>0</v>
      </c>
      <c r="I996" s="38">
        <f>VLOOKUP(H996,'Dataset-3'!H387:Z776,2,)</f>
        <v>1</v>
      </c>
      <c r="J996" s="41" t="str">
        <f>VLOOKUP(I996,'Dataset-3'!I387:AA776,2,)</f>
        <v>Sunday</v>
      </c>
      <c r="K996" s="38">
        <f>VLOOKUP(J996,'Dataset-3'!J387:AB776,2,)</f>
        <v>1</v>
      </c>
      <c r="L996" s="38">
        <f>VLOOKUP(K996,'Dataset-3'!K387:AC776,2,)</f>
        <v>0.36</v>
      </c>
      <c r="M996" s="70" t="str">
        <f>VLOOKUP(L996,'Dataset-3'!L387:AD776,2,)</f>
        <v>Sunny</v>
      </c>
      <c r="N996" s="38">
        <f>VLOOKUP(M996,'Dataset-3'!M387:AE776,2,)</f>
        <v>0.33329999999999999</v>
      </c>
      <c r="O996" s="38">
        <f>VLOOKUP(N996,'Dataset-3'!N387:AF776,2,)</f>
        <v>0.4</v>
      </c>
      <c r="P996" s="38">
        <f>VLOOKUP(O996,'Dataset-3'!O387:AG776,2,)</f>
        <v>0.29849999999999999</v>
      </c>
      <c r="Q996" s="38">
        <f>VLOOKUP(P996,'Dataset-3'!P387:AH776,2,)</f>
        <v>0</v>
      </c>
      <c r="R996" s="38">
        <f>VLOOKUP(Q996,'Dataset-3'!Q387:AI776,2,)</f>
        <v>2</v>
      </c>
      <c r="S996" s="38">
        <f>VLOOKUP(R996,'Dataset-3'!R387:AJ776,2,)</f>
        <v>2</v>
      </c>
    </row>
    <row r="997" spans="1:19" x14ac:dyDescent="0.35">
      <c r="A997" s="37">
        <v>996</v>
      </c>
      <c r="B997" s="60">
        <f>VLOOKUP(A997,'Dataset-3'!A388:S777,2,)</f>
        <v>40588</v>
      </c>
      <c r="C997" s="38">
        <f>VLOOKUP(B997,'Dataset-3'!B388:T777,2,)</f>
        <v>1</v>
      </c>
      <c r="D997" s="38">
        <f>VLOOKUP(C997,'Dataset-3'!C388:U777,2,)</f>
        <v>0</v>
      </c>
      <c r="E997" s="38">
        <f>VLOOKUP(D997,'Dataset-3'!D388:V777,2,)</f>
        <v>2</v>
      </c>
      <c r="F997" s="38">
        <f>VLOOKUP(E997,'Dataset-3'!E388:W777,2,)</f>
        <v>3</v>
      </c>
      <c r="G997" s="41" t="str">
        <f>VLOOKUP(F997,'Dataset-3'!F388:X777,2,)</f>
        <v>Night</v>
      </c>
      <c r="H997" s="38" t="b">
        <f>VLOOKUP(G997,'Dataset-3'!G388:Y777,2,)</f>
        <v>0</v>
      </c>
      <c r="I997" s="38">
        <f>VLOOKUP(H997,'Dataset-3'!H388:Z777,2,)</f>
        <v>1</v>
      </c>
      <c r="J997" s="41" t="str">
        <f>VLOOKUP(I997,'Dataset-3'!I388:AA777,2,)</f>
        <v>Sunday</v>
      </c>
      <c r="K997" s="38">
        <f>VLOOKUP(J997,'Dataset-3'!J388:AB777,2,)</f>
        <v>1</v>
      </c>
      <c r="L997" s="38">
        <f>VLOOKUP(K997,'Dataset-3'!K388:AC777,2,)</f>
        <v>0.34</v>
      </c>
      <c r="M997" s="70" t="str">
        <f>VLOOKUP(L997,'Dataset-3'!L388:AD777,2,)</f>
        <v>Sunny</v>
      </c>
      <c r="N997" s="38">
        <f>VLOOKUP(M997,'Dataset-3'!M388:AE777,2,)</f>
        <v>0.31819999999999998</v>
      </c>
      <c r="O997" s="38">
        <f>VLOOKUP(N997,'Dataset-3'!N388:AF777,2,)</f>
        <v>0.46</v>
      </c>
      <c r="P997" s="38">
        <f>VLOOKUP(O997,'Dataset-3'!O388:AG777,2,)</f>
        <v>0.22389999999999999</v>
      </c>
      <c r="Q997" s="38">
        <f>VLOOKUP(P997,'Dataset-3'!P388:AH777,2,)</f>
        <v>1</v>
      </c>
      <c r="R997" s="38">
        <f>VLOOKUP(Q997,'Dataset-3'!Q388:AI777,2,)</f>
        <v>1</v>
      </c>
      <c r="S997" s="38">
        <f>VLOOKUP(R997,'Dataset-3'!R388:AJ777,2,)</f>
        <v>2</v>
      </c>
    </row>
    <row r="998" spans="1:19" x14ac:dyDescent="0.35">
      <c r="A998" s="37">
        <v>997</v>
      </c>
      <c r="B998" s="60">
        <f>VLOOKUP(A998,'Dataset-3'!A389:S778,2,)</f>
        <v>40588</v>
      </c>
      <c r="C998" s="38">
        <f>VLOOKUP(B998,'Dataset-3'!B389:T778,2,)</f>
        <v>1</v>
      </c>
      <c r="D998" s="38">
        <f>VLOOKUP(C998,'Dataset-3'!C389:U778,2,)</f>
        <v>0</v>
      </c>
      <c r="E998" s="38">
        <f>VLOOKUP(D998,'Dataset-3'!D389:V778,2,)</f>
        <v>2</v>
      </c>
      <c r="F998" s="38">
        <f>VLOOKUP(E998,'Dataset-3'!E389:W778,2,)</f>
        <v>4</v>
      </c>
      <c r="G998" s="41" t="str">
        <f>VLOOKUP(F998,'Dataset-3'!F389:X778,2,)</f>
        <v>Night</v>
      </c>
      <c r="H998" s="38" t="b">
        <f>VLOOKUP(G998,'Dataset-3'!G389:Y778,2,)</f>
        <v>0</v>
      </c>
      <c r="I998" s="38">
        <f>VLOOKUP(H998,'Dataset-3'!H389:Z778,2,)</f>
        <v>1</v>
      </c>
      <c r="J998" s="41" t="str">
        <f>VLOOKUP(I998,'Dataset-3'!I389:AA778,2,)</f>
        <v>Sunday</v>
      </c>
      <c r="K998" s="38">
        <f>VLOOKUP(J998,'Dataset-3'!J389:AB778,2,)</f>
        <v>1</v>
      </c>
      <c r="L998" s="38">
        <f>VLOOKUP(K998,'Dataset-3'!K389:AC778,2,)</f>
        <v>0.32</v>
      </c>
      <c r="M998" s="70" t="str">
        <f>VLOOKUP(L998,'Dataset-3'!L389:AD778,2,)</f>
        <v>Sunny</v>
      </c>
      <c r="N998" s="38">
        <f>VLOOKUP(M998,'Dataset-3'!M389:AE778,2,)</f>
        <v>0.30299999999999999</v>
      </c>
      <c r="O998" s="38">
        <f>VLOOKUP(N998,'Dataset-3'!N389:AF778,2,)</f>
        <v>0.53</v>
      </c>
      <c r="P998" s="38">
        <f>VLOOKUP(O998,'Dataset-3'!O389:AG778,2,)</f>
        <v>0.28360000000000002</v>
      </c>
      <c r="Q998" s="38">
        <f>VLOOKUP(P998,'Dataset-3'!P389:AH778,2,)</f>
        <v>0</v>
      </c>
      <c r="R998" s="38">
        <f>VLOOKUP(Q998,'Dataset-3'!Q389:AI778,2,)</f>
        <v>2</v>
      </c>
      <c r="S998" s="38">
        <f>VLOOKUP(R998,'Dataset-3'!R389:AJ778,2,)</f>
        <v>2</v>
      </c>
    </row>
    <row r="999" spans="1:19" x14ac:dyDescent="0.35">
      <c r="A999" s="37">
        <v>998</v>
      </c>
      <c r="B999" s="60">
        <f>VLOOKUP(A999,'Dataset-3'!A390:S779,2,)</f>
        <v>40588</v>
      </c>
      <c r="C999" s="38">
        <f>VLOOKUP(B999,'Dataset-3'!B390:T779,2,)</f>
        <v>1</v>
      </c>
      <c r="D999" s="38">
        <f>VLOOKUP(C999,'Dataset-3'!C390:U779,2,)</f>
        <v>0</v>
      </c>
      <c r="E999" s="38">
        <f>VLOOKUP(D999,'Dataset-3'!D390:V779,2,)</f>
        <v>2</v>
      </c>
      <c r="F999" s="38">
        <f>VLOOKUP(E999,'Dataset-3'!E390:W779,2,)</f>
        <v>5</v>
      </c>
      <c r="G999" s="41" t="str">
        <f>VLOOKUP(F999,'Dataset-3'!F390:X779,2,)</f>
        <v>Morning</v>
      </c>
      <c r="H999" s="38" t="b">
        <f>VLOOKUP(G999,'Dataset-3'!G390:Y779,2,)</f>
        <v>0</v>
      </c>
      <c r="I999" s="38">
        <f>VLOOKUP(H999,'Dataset-3'!H390:Z779,2,)</f>
        <v>1</v>
      </c>
      <c r="J999" s="41" t="str">
        <f>VLOOKUP(I999,'Dataset-3'!I390:AA779,2,)</f>
        <v>Sunday</v>
      </c>
      <c r="K999" s="38">
        <f>VLOOKUP(J999,'Dataset-3'!J390:AB779,2,)</f>
        <v>1</v>
      </c>
      <c r="L999" s="38">
        <f>VLOOKUP(K999,'Dataset-3'!K390:AC779,2,)</f>
        <v>0.32</v>
      </c>
      <c r="M999" s="70" t="str">
        <f>VLOOKUP(L999,'Dataset-3'!L390:AD779,2,)</f>
        <v>Sunny</v>
      </c>
      <c r="N999" s="38">
        <f>VLOOKUP(M999,'Dataset-3'!M390:AE779,2,)</f>
        <v>0.30299999999999999</v>
      </c>
      <c r="O999" s="38">
        <f>VLOOKUP(N999,'Dataset-3'!N390:AF779,2,)</f>
        <v>0.53</v>
      </c>
      <c r="P999" s="38">
        <f>VLOOKUP(O999,'Dataset-3'!O390:AG779,2,)</f>
        <v>0.28360000000000002</v>
      </c>
      <c r="Q999" s="38">
        <f>VLOOKUP(P999,'Dataset-3'!P390:AH779,2,)</f>
        <v>0</v>
      </c>
      <c r="R999" s="38">
        <f>VLOOKUP(Q999,'Dataset-3'!Q390:AI779,2,)</f>
        <v>3</v>
      </c>
      <c r="S999" s="38">
        <f>VLOOKUP(R999,'Dataset-3'!R390:AJ779,2,)</f>
        <v>3</v>
      </c>
    </row>
    <row r="1000" spans="1:19" x14ac:dyDescent="0.35">
      <c r="A1000" s="37">
        <v>999</v>
      </c>
      <c r="B1000" s="60">
        <f>VLOOKUP(A1000,'Dataset-3'!A391:S780,2,)</f>
        <v>40588</v>
      </c>
      <c r="C1000" s="38">
        <f>VLOOKUP(B1000,'Dataset-3'!B391:T780,2,)</f>
        <v>1</v>
      </c>
      <c r="D1000" s="38">
        <f>VLOOKUP(C1000,'Dataset-3'!C391:U780,2,)</f>
        <v>0</v>
      </c>
      <c r="E1000" s="38">
        <f>VLOOKUP(D1000,'Dataset-3'!D391:V780,2,)</f>
        <v>2</v>
      </c>
      <c r="F1000" s="38">
        <f>VLOOKUP(E1000,'Dataset-3'!E391:W780,2,)</f>
        <v>6</v>
      </c>
      <c r="G1000" s="41" t="str">
        <f>VLOOKUP(F1000,'Dataset-3'!F391:X780,2,)</f>
        <v>Morning</v>
      </c>
      <c r="H1000" s="38" t="b">
        <f>VLOOKUP(G1000,'Dataset-3'!G391:Y780,2,)</f>
        <v>0</v>
      </c>
      <c r="I1000" s="38">
        <f>VLOOKUP(H1000,'Dataset-3'!H391:Z780,2,)</f>
        <v>1</v>
      </c>
      <c r="J1000" s="41" t="str">
        <f>VLOOKUP(I1000,'Dataset-3'!I391:AA780,2,)</f>
        <v>Sunday</v>
      </c>
      <c r="K1000" s="38">
        <f>VLOOKUP(J1000,'Dataset-3'!J391:AB780,2,)</f>
        <v>1</v>
      </c>
      <c r="L1000" s="38">
        <f>VLOOKUP(K1000,'Dataset-3'!K391:AC780,2,)</f>
        <v>0.34</v>
      </c>
      <c r="M1000" s="70" t="str">
        <f>VLOOKUP(L1000,'Dataset-3'!L391:AD780,2,)</f>
        <v>Sunny</v>
      </c>
      <c r="N1000" s="38">
        <f>VLOOKUP(M1000,'Dataset-3'!M391:AE780,2,)</f>
        <v>0.30299999999999999</v>
      </c>
      <c r="O1000" s="38">
        <f>VLOOKUP(N1000,'Dataset-3'!N391:AF780,2,)</f>
        <v>0.46</v>
      </c>
      <c r="P1000" s="38">
        <f>VLOOKUP(O1000,'Dataset-3'!O391:AG780,2,)</f>
        <v>0.29849999999999999</v>
      </c>
      <c r="Q1000" s="38">
        <f>VLOOKUP(P1000,'Dataset-3'!P391:AH780,2,)</f>
        <v>1</v>
      </c>
      <c r="R1000" s="38">
        <f>VLOOKUP(Q1000,'Dataset-3'!Q391:AI780,2,)</f>
        <v>25</v>
      </c>
      <c r="S1000" s="38">
        <f>VLOOKUP(R1000,'Dataset-3'!R391:AJ780,2,)</f>
        <v>26</v>
      </c>
    </row>
    <row r="1001" spans="1:19" x14ac:dyDescent="0.35">
      <c r="A1001" s="37">
        <v>1000</v>
      </c>
      <c r="B1001" s="60">
        <f>VLOOKUP(A1001,'Dataset-3'!A392:S781,2,)</f>
        <v>40588</v>
      </c>
      <c r="C1001" s="38">
        <f>VLOOKUP(B1001,'Dataset-3'!B392:T781,2,)</f>
        <v>1</v>
      </c>
      <c r="D1001" s="38">
        <f>VLOOKUP(C1001,'Dataset-3'!C392:U781,2,)</f>
        <v>0</v>
      </c>
      <c r="E1001" s="38">
        <f>VLOOKUP(D1001,'Dataset-3'!D392:V781,2,)</f>
        <v>2</v>
      </c>
      <c r="F1001" s="38">
        <f>VLOOKUP(E1001,'Dataset-3'!E392:W781,2,)</f>
        <v>7</v>
      </c>
      <c r="G1001" s="41" t="str">
        <f>VLOOKUP(F1001,'Dataset-3'!F392:X781,2,)</f>
        <v>Morning</v>
      </c>
      <c r="H1001" s="38" t="b">
        <f>VLOOKUP(G1001,'Dataset-3'!G392:Y781,2,)</f>
        <v>0</v>
      </c>
      <c r="I1001" s="38">
        <f>VLOOKUP(H1001,'Dataset-3'!H392:Z781,2,)</f>
        <v>1</v>
      </c>
      <c r="J1001" s="41" t="str">
        <f>VLOOKUP(I1001,'Dataset-3'!I392:AA781,2,)</f>
        <v>Sunday</v>
      </c>
      <c r="K1001" s="38">
        <f>VLOOKUP(J1001,'Dataset-3'!J392:AB781,2,)</f>
        <v>1</v>
      </c>
      <c r="L1001" s="38">
        <f>VLOOKUP(K1001,'Dataset-3'!K392:AC781,2,)</f>
        <v>0.34</v>
      </c>
      <c r="M1001" s="70" t="str">
        <f>VLOOKUP(L1001,'Dataset-3'!L392:AD781,2,)</f>
        <v>Sunny</v>
      </c>
      <c r="N1001" s="38">
        <f>VLOOKUP(M1001,'Dataset-3'!M392:AE781,2,)</f>
        <v>0.30299999999999999</v>
      </c>
      <c r="O1001" s="38">
        <f>VLOOKUP(N1001,'Dataset-3'!N392:AF781,2,)</f>
        <v>0.46</v>
      </c>
      <c r="P1001" s="38">
        <f>VLOOKUP(O1001,'Dataset-3'!O392:AG781,2,)</f>
        <v>0.29849999999999999</v>
      </c>
      <c r="Q1001" s="38">
        <f>VLOOKUP(P1001,'Dataset-3'!P392:AH781,2,)</f>
        <v>2</v>
      </c>
      <c r="R1001" s="38">
        <f>VLOOKUP(Q1001,'Dataset-3'!Q392:AI781,2,)</f>
        <v>96</v>
      </c>
      <c r="S1001" s="38">
        <f>VLOOKUP(R1001,'Dataset-3'!R392:AJ781,2,)</f>
        <v>98</v>
      </c>
    </row>
    <row r="1003" spans="1:19" x14ac:dyDescent="0.35">
      <c r="R1003" s="83" t="s">
        <v>87</v>
      </c>
      <c r="S1003" s="81"/>
    </row>
    <row r="1004" spans="1:19" x14ac:dyDescent="0.35">
      <c r="R1004" s="82">
        <f>AVERAGE(R2:R1001)</f>
        <v>53.383000000000003</v>
      </c>
      <c r="S1004" s="82"/>
    </row>
  </sheetData>
  <autoFilter ref="A1:S1" xr:uid="{1E87E3B0-7C97-4564-A8B2-962181307C4B}"/>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4511-2DC4-4D1B-8012-040A738824BA}">
  <sheetPr>
    <tabColor theme="7" tint="0.59999389629810485"/>
  </sheetPr>
  <dimension ref="A2:M197"/>
  <sheetViews>
    <sheetView showGridLines="0" tabSelected="1" workbookViewId="0">
      <selection activeCell="M31" sqref="M31"/>
    </sheetView>
  </sheetViews>
  <sheetFormatPr defaultRowHeight="14.5" x14ac:dyDescent="0.35"/>
  <cols>
    <col min="1" max="1" width="14.6328125" bestFit="1" customWidth="1"/>
    <col min="2" max="2" width="16" bestFit="1" customWidth="1"/>
    <col min="3" max="3" width="17.08984375" bestFit="1" customWidth="1"/>
    <col min="4" max="4" width="12.54296875" bestFit="1" customWidth="1"/>
    <col min="5" max="5" width="13.08984375" customWidth="1"/>
    <col min="6" max="6" width="14.54296875" customWidth="1"/>
    <col min="7" max="7" width="15.36328125" customWidth="1"/>
    <col min="8" max="8" width="12.1796875" customWidth="1"/>
    <col min="9" max="9" width="13.6328125" customWidth="1"/>
    <col min="10" max="10" width="12.1796875" customWidth="1"/>
    <col min="11" max="11" width="12.36328125" customWidth="1"/>
    <col min="12" max="15" width="4.81640625" bestFit="1" customWidth="1"/>
    <col min="16" max="16" width="3.81640625" bestFit="1" customWidth="1"/>
    <col min="17" max="20" width="4.81640625" bestFit="1" customWidth="1"/>
    <col min="21" max="21" width="3.81640625" bestFit="1" customWidth="1"/>
    <col min="22" max="24" width="4.81640625" bestFit="1" customWidth="1"/>
    <col min="25" max="25" width="10.7265625" bestFit="1" customWidth="1"/>
    <col min="26" max="30" width="4.81640625" bestFit="1" customWidth="1"/>
    <col min="31" max="31" width="6.54296875" bestFit="1" customWidth="1"/>
    <col min="32" max="45" width="4.81640625" bestFit="1" customWidth="1"/>
    <col min="46" max="46" width="6.54296875" bestFit="1" customWidth="1"/>
    <col min="47" max="55" width="4.81640625" bestFit="1" customWidth="1"/>
    <col min="56" max="56" width="6.54296875" bestFit="1" customWidth="1"/>
    <col min="57" max="66" width="4.81640625" bestFit="1" customWidth="1"/>
    <col min="67" max="67" width="6.54296875" bestFit="1" customWidth="1"/>
    <col min="68" max="73" width="4.81640625" bestFit="1" customWidth="1"/>
    <col min="74" max="74" width="6.54296875" bestFit="1" customWidth="1"/>
    <col min="75" max="84" width="4.81640625" bestFit="1" customWidth="1"/>
    <col min="85" max="85" width="6.54296875" bestFit="1" customWidth="1"/>
    <col min="86" max="94" width="4.81640625" bestFit="1" customWidth="1"/>
    <col min="95" max="95" width="6.54296875" bestFit="1" customWidth="1"/>
    <col min="96" max="100" width="4.81640625" bestFit="1" customWidth="1"/>
    <col min="101" max="101" width="6.54296875" bestFit="1" customWidth="1"/>
    <col min="102" max="107" width="4.81640625" bestFit="1" customWidth="1"/>
    <col min="108" max="108" width="7.54296875" bestFit="1" customWidth="1"/>
    <col min="109" max="116" width="4.81640625" bestFit="1" customWidth="1"/>
    <col min="117" max="117" width="7.54296875" bestFit="1" customWidth="1"/>
    <col min="118" max="125" width="4.81640625" bestFit="1" customWidth="1"/>
    <col min="126" max="126" width="7.54296875" bestFit="1" customWidth="1"/>
    <col min="127" max="132" width="4.81640625" bestFit="1" customWidth="1"/>
    <col min="133" max="133" width="7.54296875" bestFit="1" customWidth="1"/>
    <col min="134" max="136" width="4.81640625" bestFit="1" customWidth="1"/>
    <col min="137" max="137" width="7.54296875" bestFit="1" customWidth="1"/>
    <col min="138" max="144" width="4.81640625" bestFit="1" customWidth="1"/>
    <col min="145" max="145" width="7.54296875" bestFit="1" customWidth="1"/>
    <col min="146" max="151" width="4.81640625" bestFit="1" customWidth="1"/>
    <col min="152" max="152" width="7.54296875" bestFit="1" customWidth="1"/>
    <col min="153" max="159" width="4.81640625" bestFit="1" customWidth="1"/>
    <col min="160" max="160" width="7.54296875" bestFit="1" customWidth="1"/>
    <col min="161" max="165" width="4.81640625" bestFit="1" customWidth="1"/>
    <col min="166" max="166" width="7.54296875" bestFit="1" customWidth="1"/>
    <col min="167" max="170" width="4.81640625" bestFit="1" customWidth="1"/>
    <col min="171" max="171" width="7.54296875" bestFit="1" customWidth="1"/>
    <col min="172" max="177" width="4.81640625" bestFit="1" customWidth="1"/>
    <col min="178" max="178" width="7.54296875" bestFit="1" customWidth="1"/>
    <col min="179" max="182" width="4.81640625" bestFit="1" customWidth="1"/>
    <col min="183" max="183" width="7.54296875" bestFit="1" customWidth="1"/>
    <col min="184" max="188" width="4.81640625" bestFit="1" customWidth="1"/>
    <col min="189" max="189" width="7.54296875" bestFit="1" customWidth="1"/>
    <col min="190" max="193" width="4.81640625" bestFit="1" customWidth="1"/>
    <col min="194" max="194" width="7.54296875" bestFit="1" customWidth="1"/>
    <col min="195" max="199" width="4.81640625" bestFit="1" customWidth="1"/>
    <col min="200" max="200" width="7.54296875" bestFit="1" customWidth="1"/>
    <col min="201" max="203" width="4.81640625" bestFit="1" customWidth="1"/>
    <col min="204" max="204" width="7.54296875" bestFit="1" customWidth="1"/>
    <col min="205" max="210" width="4.81640625" bestFit="1" customWidth="1"/>
    <col min="211" max="211" width="7.54296875" bestFit="1" customWidth="1"/>
    <col min="212" max="217" width="4.81640625" bestFit="1" customWidth="1"/>
    <col min="218" max="218" width="7.54296875" bestFit="1" customWidth="1"/>
    <col min="219" max="227" width="4.81640625" bestFit="1" customWidth="1"/>
    <col min="228" max="228" width="7.54296875" bestFit="1" customWidth="1"/>
    <col min="229" max="232" width="4.81640625" bestFit="1" customWidth="1"/>
    <col min="233" max="233" width="7.54296875" bestFit="1" customWidth="1"/>
    <col min="234" max="241" width="4.81640625" bestFit="1" customWidth="1"/>
    <col min="242" max="242" width="7.54296875" bestFit="1" customWidth="1"/>
    <col min="243" max="247" width="4.81640625" bestFit="1" customWidth="1"/>
    <col min="248" max="248" width="7.54296875" bestFit="1" customWidth="1"/>
    <col min="249" max="251" width="4.81640625" bestFit="1" customWidth="1"/>
    <col min="252" max="252" width="7.54296875" bestFit="1" customWidth="1"/>
    <col min="253" max="257" width="4.81640625" bestFit="1" customWidth="1"/>
    <col min="258" max="258" width="7.54296875" bestFit="1" customWidth="1"/>
    <col min="259" max="264" width="4.81640625" bestFit="1" customWidth="1"/>
    <col min="265" max="265" width="7.54296875" bestFit="1" customWidth="1"/>
    <col min="266" max="271" width="4.81640625" bestFit="1" customWidth="1"/>
    <col min="272" max="272" width="7.54296875" bestFit="1" customWidth="1"/>
    <col min="273" max="279" width="4.81640625" bestFit="1" customWidth="1"/>
    <col min="280" max="280" width="7.54296875" bestFit="1" customWidth="1"/>
    <col min="281" max="285" width="4.81640625" bestFit="1" customWidth="1"/>
    <col min="286" max="286" width="7.54296875" bestFit="1" customWidth="1"/>
    <col min="287" max="291" width="4.81640625" bestFit="1" customWidth="1"/>
    <col min="292" max="292" width="7.54296875" bestFit="1" customWidth="1"/>
    <col min="293" max="299" width="4.81640625" bestFit="1" customWidth="1"/>
    <col min="300" max="300" width="7.54296875" bestFit="1" customWidth="1"/>
    <col min="301" max="305" width="4.81640625" bestFit="1" customWidth="1"/>
    <col min="306" max="306" width="7.54296875" bestFit="1" customWidth="1"/>
    <col min="307" max="314" width="4.81640625" bestFit="1" customWidth="1"/>
    <col min="315" max="315" width="7.54296875" bestFit="1" customWidth="1"/>
    <col min="316" max="318" width="4.81640625" bestFit="1" customWidth="1"/>
    <col min="319" max="319" width="7.54296875" bestFit="1" customWidth="1"/>
    <col min="320" max="325" width="4.81640625" bestFit="1" customWidth="1"/>
    <col min="326" max="326" width="7.54296875" bestFit="1" customWidth="1"/>
    <col min="327" max="332" width="4.81640625" bestFit="1" customWidth="1"/>
    <col min="333" max="333" width="7.54296875" bestFit="1" customWidth="1"/>
    <col min="334" max="339" width="4.81640625" bestFit="1" customWidth="1"/>
    <col min="340" max="340" width="7.54296875" bestFit="1" customWidth="1"/>
    <col min="341" max="344" width="4.81640625" bestFit="1" customWidth="1"/>
    <col min="345" max="345" width="7.54296875" bestFit="1" customWidth="1"/>
    <col min="346" max="352" width="4.81640625" bestFit="1" customWidth="1"/>
    <col min="353" max="353" width="7.54296875" bestFit="1" customWidth="1"/>
    <col min="354" max="356" width="4.81640625" bestFit="1" customWidth="1"/>
    <col min="357" max="357" width="7.54296875" bestFit="1" customWidth="1"/>
    <col min="358" max="363" width="4.81640625" bestFit="1" customWidth="1"/>
    <col min="364" max="364" width="7.54296875" bestFit="1" customWidth="1"/>
    <col min="365" max="369" width="4.81640625" bestFit="1" customWidth="1"/>
    <col min="370" max="370" width="7.54296875" bestFit="1" customWidth="1"/>
    <col min="371" max="377" width="4.81640625" bestFit="1" customWidth="1"/>
    <col min="378" max="378" width="7.54296875" bestFit="1" customWidth="1"/>
    <col min="379" max="384" width="4.81640625" bestFit="1" customWidth="1"/>
    <col min="385" max="385" width="7.54296875" bestFit="1" customWidth="1"/>
    <col min="386" max="390" width="4.81640625" bestFit="1" customWidth="1"/>
    <col min="391" max="391" width="7.54296875" bestFit="1" customWidth="1"/>
    <col min="392" max="398" width="4.81640625" bestFit="1" customWidth="1"/>
    <col min="399" max="399" width="7.54296875" bestFit="1" customWidth="1"/>
    <col min="400" max="405" width="4.81640625" bestFit="1" customWidth="1"/>
    <col min="406" max="406" width="7.54296875" bestFit="1" customWidth="1"/>
    <col min="407" max="410" width="4.81640625" bestFit="1" customWidth="1"/>
    <col min="411" max="411" width="7.54296875" bestFit="1" customWidth="1"/>
    <col min="412" max="418" width="4.81640625" bestFit="1" customWidth="1"/>
    <col min="419" max="419" width="7.54296875" bestFit="1" customWidth="1"/>
    <col min="420" max="422" width="4.81640625" bestFit="1" customWidth="1"/>
    <col min="423" max="423" width="7.54296875" bestFit="1" customWidth="1"/>
    <col min="424" max="432" width="4.81640625" bestFit="1" customWidth="1"/>
    <col min="433" max="433" width="7.54296875" bestFit="1" customWidth="1"/>
    <col min="434" max="439" width="4.81640625" bestFit="1" customWidth="1"/>
    <col min="440" max="440" width="7.54296875" bestFit="1" customWidth="1"/>
    <col min="441" max="445" width="4.81640625" bestFit="1" customWidth="1"/>
    <col min="446" max="446" width="7.54296875" bestFit="1" customWidth="1"/>
    <col min="447" max="452" width="4.81640625" bestFit="1" customWidth="1"/>
    <col min="453" max="453" width="7.54296875" bestFit="1" customWidth="1"/>
    <col min="454" max="459" width="4.81640625" bestFit="1" customWidth="1"/>
    <col min="460" max="460" width="7.54296875" bestFit="1" customWidth="1"/>
    <col min="461" max="468" width="4.81640625" bestFit="1" customWidth="1"/>
    <col min="469" max="469" width="7.54296875" bestFit="1" customWidth="1"/>
    <col min="470" max="475" width="4.81640625" bestFit="1" customWidth="1"/>
    <col min="476" max="476" width="7.54296875" bestFit="1" customWidth="1"/>
    <col min="477" max="477" width="4.81640625" bestFit="1" customWidth="1"/>
    <col min="478" max="478" width="7.54296875" bestFit="1" customWidth="1"/>
    <col min="479" max="482" width="4.81640625" bestFit="1" customWidth="1"/>
    <col min="483" max="483" width="7.54296875" bestFit="1" customWidth="1"/>
    <col min="484" max="489" width="4.81640625" bestFit="1" customWidth="1"/>
    <col min="490" max="490" width="7.54296875" bestFit="1" customWidth="1"/>
    <col min="491" max="494" width="4.81640625" bestFit="1" customWidth="1"/>
    <col min="495" max="495" width="7.54296875" bestFit="1" customWidth="1"/>
    <col min="496" max="502" width="4.81640625" bestFit="1" customWidth="1"/>
    <col min="503" max="503" width="7.54296875" bestFit="1" customWidth="1"/>
    <col min="504" max="507" width="4.81640625" bestFit="1" customWidth="1"/>
    <col min="508" max="508" width="7.54296875" bestFit="1" customWidth="1"/>
    <col min="509" max="514" width="4.81640625" bestFit="1" customWidth="1"/>
    <col min="515" max="515" width="7.54296875" bestFit="1" customWidth="1"/>
    <col min="516" max="516" width="4.6328125" bestFit="1" customWidth="1"/>
    <col min="517" max="517" width="7.54296875" bestFit="1" customWidth="1"/>
    <col min="518" max="523" width="4.81640625" bestFit="1" customWidth="1"/>
    <col min="524" max="524" width="7.54296875" bestFit="1" customWidth="1"/>
    <col min="525" max="530" width="4.81640625" bestFit="1" customWidth="1"/>
    <col min="531" max="531" width="7.54296875" bestFit="1" customWidth="1"/>
    <col min="532" max="537" width="4.81640625" bestFit="1" customWidth="1"/>
    <col min="538" max="538" width="7.54296875" bestFit="1" customWidth="1"/>
    <col min="539" max="543" width="4.81640625" bestFit="1" customWidth="1"/>
    <col min="544" max="544" width="7.54296875" bestFit="1" customWidth="1"/>
    <col min="545" max="551" width="4.81640625" bestFit="1" customWidth="1"/>
    <col min="552" max="552" width="7.54296875" bestFit="1" customWidth="1"/>
    <col min="553" max="555" width="4.81640625" bestFit="1" customWidth="1"/>
    <col min="556" max="556" width="7.54296875" bestFit="1" customWidth="1"/>
    <col min="557" max="559" width="4.81640625" bestFit="1" customWidth="1"/>
    <col min="560" max="560" width="7.54296875" bestFit="1" customWidth="1"/>
    <col min="561" max="563" width="4.81640625" bestFit="1" customWidth="1"/>
    <col min="564" max="564" width="7.54296875" bestFit="1" customWidth="1"/>
    <col min="565" max="568" width="4.81640625" bestFit="1" customWidth="1"/>
    <col min="569" max="569" width="7.54296875" bestFit="1" customWidth="1"/>
    <col min="570" max="576" width="4.81640625" bestFit="1" customWidth="1"/>
    <col min="577" max="577" width="7.54296875" bestFit="1" customWidth="1"/>
    <col min="578" max="587" width="4.81640625" bestFit="1" customWidth="1"/>
    <col min="588" max="588" width="7.54296875" bestFit="1" customWidth="1"/>
    <col min="589" max="592" width="4.81640625" bestFit="1" customWidth="1"/>
    <col min="593" max="593" width="7.54296875" bestFit="1" customWidth="1"/>
    <col min="594" max="595" width="4.81640625" bestFit="1" customWidth="1"/>
    <col min="596" max="596" width="7.54296875" bestFit="1" customWidth="1"/>
    <col min="597" max="600" width="4.81640625" bestFit="1" customWidth="1"/>
    <col min="601" max="601" width="7.54296875" bestFit="1" customWidth="1"/>
    <col min="602" max="604" width="4.81640625" bestFit="1" customWidth="1"/>
    <col min="605" max="605" width="7.54296875" bestFit="1" customWidth="1"/>
    <col min="606" max="608" width="4.81640625" bestFit="1" customWidth="1"/>
    <col min="609" max="609" width="7.54296875" bestFit="1" customWidth="1"/>
    <col min="610" max="612" width="4.81640625" bestFit="1" customWidth="1"/>
    <col min="613" max="613" width="7.54296875" bestFit="1" customWidth="1"/>
    <col min="614" max="616" width="4.81640625" bestFit="1" customWidth="1"/>
    <col min="617" max="617" width="7.54296875" bestFit="1" customWidth="1"/>
    <col min="618" max="623" width="4.81640625" bestFit="1" customWidth="1"/>
    <col min="624" max="624" width="7.54296875" bestFit="1" customWidth="1"/>
    <col min="625" max="627" width="4.81640625" bestFit="1" customWidth="1"/>
    <col min="628" max="628" width="7.54296875" bestFit="1" customWidth="1"/>
    <col min="629" max="632" width="4.81640625" bestFit="1" customWidth="1"/>
    <col min="633" max="633" width="7.54296875" bestFit="1" customWidth="1"/>
    <col min="634" max="635" width="4.81640625" bestFit="1" customWidth="1"/>
    <col min="636" max="636" width="7.54296875" bestFit="1" customWidth="1"/>
    <col min="637" max="640" width="4.81640625" bestFit="1" customWidth="1"/>
    <col min="641" max="641" width="7.54296875" bestFit="1" customWidth="1"/>
    <col min="642" max="644" width="4.81640625" bestFit="1" customWidth="1"/>
    <col min="645" max="645" width="7.54296875" bestFit="1" customWidth="1"/>
    <col min="646" max="652" width="4.81640625" bestFit="1" customWidth="1"/>
    <col min="653" max="653" width="7.54296875" bestFit="1" customWidth="1"/>
    <col min="654" max="655" width="5.6328125" bestFit="1" customWidth="1"/>
    <col min="656" max="656" width="8.54296875" bestFit="1" customWidth="1"/>
    <col min="657" max="661" width="5.6328125" bestFit="1" customWidth="1"/>
    <col min="662" max="662" width="8.54296875" bestFit="1" customWidth="1"/>
    <col min="663" max="664" width="5.6328125" bestFit="1" customWidth="1"/>
    <col min="665" max="665" width="8.54296875" bestFit="1" customWidth="1"/>
    <col min="666" max="668" width="5.6328125" bestFit="1" customWidth="1"/>
    <col min="669" max="669" width="8.54296875" bestFit="1" customWidth="1"/>
    <col min="670" max="672" width="5.6328125" bestFit="1" customWidth="1"/>
    <col min="673" max="673" width="8.54296875" bestFit="1" customWidth="1"/>
    <col min="674" max="675" width="5.6328125" bestFit="1" customWidth="1"/>
    <col min="676" max="676" width="8.54296875" bestFit="1" customWidth="1"/>
    <col min="677" max="679" width="5.6328125" bestFit="1" customWidth="1"/>
    <col min="680" max="680" width="8.54296875" bestFit="1" customWidth="1"/>
    <col min="681" max="681" width="5.6328125" bestFit="1" customWidth="1"/>
    <col min="682" max="682" width="8.54296875" bestFit="1" customWidth="1"/>
    <col min="683" max="684" width="5.6328125" bestFit="1" customWidth="1"/>
    <col min="685" max="685" width="8.54296875" bestFit="1" customWidth="1"/>
    <col min="686" max="688" width="5.6328125" bestFit="1" customWidth="1"/>
    <col min="689" max="689" width="8.54296875" bestFit="1" customWidth="1"/>
    <col min="690" max="693" width="5.6328125" bestFit="1" customWidth="1"/>
    <col min="694" max="694" width="8.54296875" bestFit="1" customWidth="1"/>
    <col min="695" max="695" width="5.6328125" bestFit="1" customWidth="1"/>
    <col min="696" max="696" width="8.54296875" bestFit="1" customWidth="1"/>
    <col min="697" max="701" width="5.6328125" bestFit="1" customWidth="1"/>
    <col min="702" max="702" width="8.54296875" bestFit="1" customWidth="1"/>
    <col min="703" max="703" width="5.6328125" bestFit="1" customWidth="1"/>
    <col min="704" max="704" width="8.54296875" bestFit="1" customWidth="1"/>
    <col min="705" max="706" width="5.6328125" bestFit="1" customWidth="1"/>
    <col min="707" max="707" width="8.54296875" bestFit="1" customWidth="1"/>
    <col min="708" max="708" width="5.6328125" bestFit="1" customWidth="1"/>
    <col min="709" max="709" width="8.54296875" bestFit="1" customWidth="1"/>
    <col min="710" max="711" width="5.6328125" bestFit="1" customWidth="1"/>
    <col min="712" max="712" width="8.54296875" bestFit="1" customWidth="1"/>
    <col min="713" max="714" width="5.6328125" bestFit="1" customWidth="1"/>
    <col min="715" max="715" width="8.54296875" bestFit="1" customWidth="1"/>
    <col min="716" max="718" width="5.6328125" bestFit="1" customWidth="1"/>
    <col min="719" max="719" width="8.54296875" bestFit="1" customWidth="1"/>
    <col min="720" max="720" width="5.6328125" bestFit="1" customWidth="1"/>
    <col min="721" max="721" width="8.54296875" bestFit="1" customWidth="1"/>
    <col min="722" max="725" width="5.6328125" bestFit="1" customWidth="1"/>
    <col min="726" max="726" width="8.54296875" bestFit="1" customWidth="1"/>
    <col min="727" max="727" width="5.6328125" bestFit="1" customWidth="1"/>
    <col min="728" max="728" width="8.54296875" bestFit="1" customWidth="1"/>
    <col min="729" max="731" width="5.6328125" bestFit="1" customWidth="1"/>
    <col min="732" max="732" width="8.54296875" bestFit="1" customWidth="1"/>
    <col min="733" max="736" width="5.6328125" bestFit="1" customWidth="1"/>
    <col min="737" max="737" width="8.54296875" bestFit="1" customWidth="1"/>
    <col min="738" max="740" width="5.6328125" bestFit="1" customWidth="1"/>
    <col min="741" max="741" width="8.54296875" bestFit="1" customWidth="1"/>
    <col min="742" max="742" width="5.6328125" bestFit="1" customWidth="1"/>
    <col min="743" max="743" width="8.54296875" bestFit="1" customWidth="1"/>
    <col min="744" max="744" width="5.6328125" bestFit="1" customWidth="1"/>
    <col min="745" max="745" width="8.54296875" bestFit="1" customWidth="1"/>
    <col min="746" max="748" width="5.6328125" bestFit="1" customWidth="1"/>
    <col min="749" max="749" width="8.54296875" bestFit="1" customWidth="1"/>
    <col min="750" max="750" width="5.6328125" bestFit="1" customWidth="1"/>
    <col min="751" max="751" width="8.54296875" bestFit="1" customWidth="1"/>
    <col min="752" max="752" width="5.6328125" bestFit="1" customWidth="1"/>
    <col min="753" max="753" width="8.54296875" bestFit="1" customWidth="1"/>
    <col min="754" max="754" width="5.6328125" bestFit="1" customWidth="1"/>
    <col min="755" max="755" width="8.54296875" bestFit="1" customWidth="1"/>
    <col min="756" max="757" width="5.6328125" bestFit="1" customWidth="1"/>
    <col min="758" max="758" width="8.54296875" bestFit="1" customWidth="1"/>
    <col min="759" max="760" width="5.6328125" bestFit="1" customWidth="1"/>
    <col min="761" max="761" width="8.54296875" bestFit="1" customWidth="1"/>
    <col min="762" max="764" width="5.6328125" bestFit="1" customWidth="1"/>
    <col min="765" max="765" width="8.54296875" bestFit="1" customWidth="1"/>
    <col min="766" max="766" width="5.6328125" bestFit="1" customWidth="1"/>
    <col min="767" max="767" width="8.54296875" bestFit="1" customWidth="1"/>
    <col min="768" max="769" width="5.6328125" bestFit="1" customWidth="1"/>
    <col min="770" max="770" width="8.54296875" bestFit="1" customWidth="1"/>
    <col min="771" max="772" width="5.6328125" bestFit="1" customWidth="1"/>
    <col min="773" max="773" width="8.54296875" bestFit="1" customWidth="1"/>
    <col min="774" max="774" width="5.6328125" bestFit="1" customWidth="1"/>
    <col min="775" max="775" width="8.54296875" bestFit="1" customWidth="1"/>
    <col min="776" max="776" width="5.6328125" bestFit="1" customWidth="1"/>
    <col min="777" max="777" width="8.54296875" bestFit="1" customWidth="1"/>
    <col min="778" max="778" width="5.6328125" bestFit="1" customWidth="1"/>
    <col min="779" max="779" width="8.54296875" bestFit="1" customWidth="1"/>
    <col min="780" max="780" width="5.6328125" bestFit="1" customWidth="1"/>
    <col min="781" max="781" width="8.54296875" bestFit="1" customWidth="1"/>
    <col min="782" max="782" width="5.6328125" bestFit="1" customWidth="1"/>
    <col min="783" max="783" width="8.54296875" bestFit="1" customWidth="1"/>
    <col min="784" max="784" width="5.6328125" bestFit="1" customWidth="1"/>
    <col min="785" max="785" width="8.54296875" bestFit="1" customWidth="1"/>
    <col min="786" max="786" width="5.6328125" bestFit="1" customWidth="1"/>
    <col min="787" max="787" width="8.54296875" bestFit="1" customWidth="1"/>
    <col min="788" max="790" width="5.6328125" bestFit="1" customWidth="1"/>
    <col min="791" max="791" width="8.54296875" bestFit="1" customWidth="1"/>
    <col min="792" max="792" width="5.6328125" bestFit="1" customWidth="1"/>
    <col min="793" max="793" width="8.54296875" bestFit="1" customWidth="1"/>
    <col min="794" max="795" width="5.6328125" bestFit="1" customWidth="1"/>
    <col min="796" max="796" width="8.54296875" bestFit="1" customWidth="1"/>
    <col min="797" max="799" width="5.6328125" bestFit="1" customWidth="1"/>
    <col min="800" max="800" width="8.54296875" bestFit="1" customWidth="1"/>
    <col min="801" max="801" width="5.6328125" bestFit="1" customWidth="1"/>
    <col min="802" max="802" width="8.54296875" bestFit="1" customWidth="1"/>
    <col min="803" max="805" width="5.6328125" bestFit="1" customWidth="1"/>
    <col min="806" max="806" width="8.54296875" bestFit="1" customWidth="1"/>
    <col min="807" max="807" width="5.6328125" bestFit="1" customWidth="1"/>
    <col min="808" max="808" width="8.54296875" bestFit="1" customWidth="1"/>
    <col min="809" max="809" width="5.6328125" bestFit="1" customWidth="1"/>
    <col min="810" max="810" width="8.54296875" bestFit="1" customWidth="1"/>
    <col min="811" max="811" width="5.6328125" bestFit="1" customWidth="1"/>
    <col min="812" max="812" width="8.54296875" bestFit="1" customWidth="1"/>
    <col min="813" max="816" width="5.6328125" bestFit="1" customWidth="1"/>
    <col min="817" max="817" width="8.54296875" bestFit="1" customWidth="1"/>
    <col min="818" max="819" width="5.6328125" bestFit="1" customWidth="1"/>
    <col min="820" max="820" width="8.54296875" bestFit="1" customWidth="1"/>
    <col min="821" max="821" width="5.6328125" bestFit="1" customWidth="1"/>
    <col min="822" max="822" width="8.54296875" bestFit="1" customWidth="1"/>
    <col min="823" max="823" width="5.6328125" bestFit="1" customWidth="1"/>
    <col min="824" max="824" width="8.54296875" bestFit="1" customWidth="1"/>
    <col min="825" max="825" width="5.6328125" bestFit="1" customWidth="1"/>
    <col min="826" max="826" width="8.54296875" bestFit="1" customWidth="1"/>
    <col min="827" max="827" width="5.6328125" bestFit="1" customWidth="1"/>
    <col min="828" max="828" width="8.54296875" bestFit="1" customWidth="1"/>
    <col min="829" max="829" width="5.6328125" bestFit="1" customWidth="1"/>
    <col min="830" max="830" width="8.54296875" bestFit="1" customWidth="1"/>
    <col min="831" max="831" width="5.6328125" bestFit="1" customWidth="1"/>
    <col min="832" max="832" width="8.54296875" bestFit="1" customWidth="1"/>
    <col min="833" max="833" width="5.6328125" bestFit="1" customWidth="1"/>
    <col min="834" max="834" width="8.54296875" bestFit="1" customWidth="1"/>
    <col min="835" max="836" width="5.6328125" bestFit="1" customWidth="1"/>
    <col min="837" max="837" width="8.54296875" bestFit="1" customWidth="1"/>
    <col min="838" max="839" width="5.6328125" bestFit="1" customWidth="1"/>
    <col min="840" max="840" width="8.54296875" bestFit="1" customWidth="1"/>
    <col min="841" max="842" width="5.6328125" bestFit="1" customWidth="1"/>
    <col min="843" max="843" width="8.54296875" bestFit="1" customWidth="1"/>
    <col min="844" max="844" width="5.6328125" bestFit="1" customWidth="1"/>
    <col min="845" max="845" width="8.54296875" bestFit="1" customWidth="1"/>
    <col min="846" max="847" width="5.6328125" bestFit="1" customWidth="1"/>
    <col min="848" max="848" width="8.54296875" bestFit="1" customWidth="1"/>
    <col min="849" max="849" width="5.6328125" bestFit="1" customWidth="1"/>
    <col min="850" max="850" width="8.54296875" bestFit="1" customWidth="1"/>
    <col min="851" max="852" width="5.6328125" bestFit="1" customWidth="1"/>
    <col min="853" max="853" width="8.54296875" bestFit="1" customWidth="1"/>
    <col min="854" max="854" width="5.6328125" bestFit="1" customWidth="1"/>
    <col min="855" max="855" width="8.54296875" bestFit="1" customWidth="1"/>
    <col min="856" max="857" width="5.6328125" bestFit="1" customWidth="1"/>
    <col min="858" max="858" width="8.54296875" bestFit="1" customWidth="1"/>
    <col min="859" max="859" width="5.6328125" bestFit="1" customWidth="1"/>
    <col min="860" max="860" width="8.54296875" bestFit="1" customWidth="1"/>
    <col min="861" max="862" width="5.6328125" bestFit="1" customWidth="1"/>
    <col min="863" max="863" width="8.54296875" bestFit="1" customWidth="1"/>
    <col min="864" max="865" width="5.6328125" bestFit="1" customWidth="1"/>
    <col min="866" max="866" width="8.54296875" bestFit="1" customWidth="1"/>
    <col min="867" max="867" width="5.6328125" bestFit="1" customWidth="1"/>
    <col min="868" max="868" width="8.54296875" bestFit="1" customWidth="1"/>
    <col min="869" max="870" width="5.6328125" bestFit="1" customWidth="1"/>
    <col min="871" max="871" width="8.54296875" bestFit="1" customWidth="1"/>
    <col min="872" max="872" width="5.6328125" bestFit="1" customWidth="1"/>
    <col min="873" max="873" width="8.54296875" bestFit="1" customWidth="1"/>
    <col min="874" max="874" width="5.6328125" bestFit="1" customWidth="1"/>
    <col min="875" max="875" width="8.54296875" bestFit="1" customWidth="1"/>
    <col min="876" max="876" width="5.6328125" bestFit="1" customWidth="1"/>
    <col min="877" max="877" width="8.54296875" bestFit="1" customWidth="1"/>
    <col min="878" max="878" width="5.6328125" bestFit="1" customWidth="1"/>
    <col min="879" max="879" width="8.54296875" bestFit="1" customWidth="1"/>
    <col min="880" max="880" width="5.6328125" bestFit="1" customWidth="1"/>
    <col min="881" max="881" width="8.54296875" bestFit="1" customWidth="1"/>
    <col min="882" max="882" width="5.6328125" bestFit="1" customWidth="1"/>
    <col min="883" max="883" width="8.54296875" bestFit="1" customWidth="1"/>
    <col min="884" max="884" width="5.6328125" bestFit="1" customWidth="1"/>
    <col min="885" max="885" width="8.54296875" bestFit="1" customWidth="1"/>
    <col min="886" max="887" width="5.6328125" bestFit="1" customWidth="1"/>
    <col min="888" max="888" width="8.54296875" bestFit="1" customWidth="1"/>
    <col min="889" max="890" width="5.6328125" bestFit="1" customWidth="1"/>
    <col min="891" max="891" width="8.54296875" bestFit="1" customWidth="1"/>
    <col min="892" max="892" width="5.6328125" bestFit="1" customWidth="1"/>
    <col min="893" max="893" width="8.54296875" bestFit="1" customWidth="1"/>
    <col min="894" max="894" width="5.6328125" bestFit="1" customWidth="1"/>
    <col min="895" max="895" width="8.54296875" bestFit="1" customWidth="1"/>
    <col min="896" max="896" width="5.6328125" bestFit="1" customWidth="1"/>
    <col min="897" max="897" width="8.54296875" bestFit="1" customWidth="1"/>
    <col min="898" max="898" width="5.6328125" bestFit="1" customWidth="1"/>
    <col min="899" max="899" width="8.54296875" bestFit="1" customWidth="1"/>
    <col min="900" max="900" width="5.6328125" bestFit="1" customWidth="1"/>
    <col min="901" max="901" width="8.54296875" bestFit="1" customWidth="1"/>
    <col min="902" max="902" width="5.6328125" bestFit="1" customWidth="1"/>
    <col min="903" max="903" width="8.54296875" bestFit="1" customWidth="1"/>
    <col min="904" max="904" width="5.6328125" bestFit="1" customWidth="1"/>
    <col min="905" max="905" width="8.54296875" bestFit="1" customWidth="1"/>
    <col min="906" max="906" width="5.6328125" bestFit="1" customWidth="1"/>
    <col min="907" max="907" width="8.54296875" bestFit="1" customWidth="1"/>
    <col min="908" max="908" width="10.7265625" bestFit="1" customWidth="1"/>
  </cols>
  <sheetData>
    <row r="2" spans="1:13" s="8" customFormat="1" x14ac:dyDescent="0.35"/>
    <row r="3" spans="1:13" s="8" customFormat="1" x14ac:dyDescent="0.35">
      <c r="A3" s="23" t="s">
        <v>73</v>
      </c>
    </row>
    <row r="4" spans="1:13" s="8" customFormat="1" x14ac:dyDescent="0.35">
      <c r="A4" s="14" t="s">
        <v>55</v>
      </c>
      <c r="M4" s="54"/>
    </row>
    <row r="5" spans="1:13" s="8" customFormat="1" x14ac:dyDescent="0.35">
      <c r="A5" s="45">
        <v>58304</v>
      </c>
      <c r="M5" s="26"/>
    </row>
    <row r="6" spans="1:13" s="8" customFormat="1" x14ac:dyDescent="0.35">
      <c r="A6" s="19"/>
      <c r="M6" s="26"/>
    </row>
    <row r="7" spans="1:13" s="8" customFormat="1" x14ac:dyDescent="0.35">
      <c r="A7" s="46" t="s">
        <v>36</v>
      </c>
      <c r="M7" s="26"/>
    </row>
    <row r="8" spans="1:13" s="8" customFormat="1" x14ac:dyDescent="0.35">
      <c r="A8" s="45">
        <v>53383</v>
      </c>
      <c r="M8" s="26"/>
    </row>
    <row r="9" spans="1:13" s="8" customFormat="1" x14ac:dyDescent="0.35">
      <c r="M9" s="26"/>
    </row>
    <row r="10" spans="1:13" s="8" customFormat="1" x14ac:dyDescent="0.35">
      <c r="A10" s="46" t="s">
        <v>40</v>
      </c>
      <c r="M10" s="26"/>
    </row>
    <row r="11" spans="1:13" s="8" customFormat="1" x14ac:dyDescent="0.35">
      <c r="A11" s="45">
        <v>4921</v>
      </c>
      <c r="M11" s="26"/>
    </row>
    <row r="12" spans="1:13" s="8" customFormat="1" x14ac:dyDescent="0.35">
      <c r="A12" s="26"/>
      <c r="M12" s="26"/>
    </row>
    <row r="13" spans="1:13" s="8" customFormat="1" x14ac:dyDescent="0.35">
      <c r="A13" s="84" t="s">
        <v>77</v>
      </c>
      <c r="B13" s="85"/>
      <c r="M13" s="26"/>
    </row>
    <row r="14" spans="1:13" s="8" customFormat="1" x14ac:dyDescent="0.35">
      <c r="A14" s="55" t="s">
        <v>55</v>
      </c>
      <c r="B14" s="58" t="s">
        <v>47</v>
      </c>
      <c r="I14"/>
      <c r="J14"/>
      <c r="K14"/>
      <c r="L14"/>
      <c r="M14"/>
    </row>
    <row r="15" spans="1:13" s="8" customFormat="1" x14ac:dyDescent="0.35">
      <c r="A15" s="47">
        <v>58304</v>
      </c>
      <c r="B15" s="48">
        <v>53383</v>
      </c>
      <c r="M15"/>
    </row>
    <row r="16" spans="1:13" s="8" customFormat="1" x14ac:dyDescent="0.35">
      <c r="M16"/>
    </row>
    <row r="17" spans="1:13" s="8" customFormat="1" x14ac:dyDescent="0.35">
      <c r="A17" s="86" t="s">
        <v>74</v>
      </c>
      <c r="B17" s="84"/>
      <c r="C17" s="84"/>
      <c r="D17" s="84"/>
      <c r="M17"/>
    </row>
    <row r="18" spans="1:13" s="8" customFormat="1" x14ac:dyDescent="0.35">
      <c r="A18" s="42" t="s">
        <v>48</v>
      </c>
      <c r="B18" s="54" t="s">
        <v>56</v>
      </c>
      <c r="C18" s="54" t="s">
        <v>47</v>
      </c>
      <c r="D18" s="52" t="s">
        <v>55</v>
      </c>
      <c r="M18"/>
    </row>
    <row r="19" spans="1:13" s="8" customFormat="1" x14ac:dyDescent="0.35">
      <c r="A19" s="20" t="s">
        <v>62</v>
      </c>
      <c r="B19" s="49">
        <v>1894</v>
      </c>
      <c r="C19" s="53">
        <v>19949</v>
      </c>
      <c r="D19" s="50">
        <v>21843</v>
      </c>
      <c r="M19"/>
    </row>
    <row r="20" spans="1:13" s="8" customFormat="1" x14ac:dyDescent="0.35">
      <c r="A20" s="20" t="s">
        <v>65</v>
      </c>
      <c r="B20" s="51">
        <v>1540</v>
      </c>
      <c r="C20" s="26">
        <v>6729</v>
      </c>
      <c r="D20" s="21">
        <v>8269</v>
      </c>
      <c r="M20"/>
    </row>
    <row r="21" spans="1:13" s="8" customFormat="1" x14ac:dyDescent="0.35">
      <c r="A21" s="20" t="s">
        <v>75</v>
      </c>
      <c r="B21" s="51">
        <v>1343</v>
      </c>
      <c r="C21" s="26">
        <v>24070</v>
      </c>
      <c r="D21" s="21">
        <v>25413</v>
      </c>
      <c r="M21"/>
    </row>
    <row r="22" spans="1:13" s="8" customFormat="1" x14ac:dyDescent="0.35">
      <c r="A22" s="20" t="s">
        <v>76</v>
      </c>
      <c r="B22" s="51">
        <v>144</v>
      </c>
      <c r="C22" s="26">
        <v>2635</v>
      </c>
      <c r="D22" s="21">
        <v>2779</v>
      </c>
      <c r="L22"/>
      <c r="M22"/>
    </row>
    <row r="23" spans="1:13" s="8" customFormat="1" x14ac:dyDescent="0.35">
      <c r="A23" s="14" t="s">
        <v>49</v>
      </c>
      <c r="B23" s="25">
        <v>4921</v>
      </c>
      <c r="C23" s="27">
        <v>53383</v>
      </c>
      <c r="D23" s="22">
        <v>58304</v>
      </c>
      <c r="M23"/>
    </row>
    <row r="24" spans="1:13" s="8" customFormat="1" x14ac:dyDescent="0.35">
      <c r="A24"/>
      <c r="B24"/>
      <c r="C24"/>
      <c r="D24"/>
      <c r="M24"/>
    </row>
    <row r="25" spans="1:13" s="8" customFormat="1" x14ac:dyDescent="0.35">
      <c r="A25"/>
      <c r="B25"/>
      <c r="C25"/>
      <c r="D25"/>
      <c r="M25"/>
    </row>
    <row r="26" spans="1:13" s="8" customFormat="1" x14ac:dyDescent="0.35">
      <c r="M26"/>
    </row>
    <row r="27" spans="1:13" s="8" customFormat="1" x14ac:dyDescent="0.35">
      <c r="M27"/>
    </row>
    <row r="28" spans="1:13" s="8" customFormat="1" x14ac:dyDescent="0.35">
      <c r="M28"/>
    </row>
    <row r="29" spans="1:13" s="8" customFormat="1" x14ac:dyDescent="0.35">
      <c r="M29"/>
    </row>
    <row r="32" spans="1:13" x14ac:dyDescent="0.35">
      <c r="D32" s="67"/>
      <c r="E32" s="68"/>
      <c r="F32" s="68"/>
      <c r="G32" s="65"/>
      <c r="H32" s="66"/>
    </row>
    <row r="33" spans="1:8" x14ac:dyDescent="0.35">
      <c r="E33" s="66"/>
      <c r="F33" s="66"/>
      <c r="G33" s="66"/>
      <c r="H33" s="66"/>
    </row>
    <row r="34" spans="1:8" x14ac:dyDescent="0.35">
      <c r="A34" s="86" t="s">
        <v>85</v>
      </c>
      <c r="B34" s="84"/>
      <c r="C34" s="84"/>
      <c r="D34" s="84"/>
      <c r="E34" s="66"/>
      <c r="F34" s="66"/>
      <c r="G34" s="66"/>
      <c r="H34" s="66"/>
    </row>
    <row r="35" spans="1:8" x14ac:dyDescent="0.35">
      <c r="A35" s="42" t="s">
        <v>48</v>
      </c>
      <c r="B35" s="54" t="s">
        <v>55</v>
      </c>
      <c r="C35" s="54" t="s">
        <v>47</v>
      </c>
      <c r="D35" s="52" t="s">
        <v>56</v>
      </c>
      <c r="E35" s="66"/>
      <c r="F35" s="66"/>
      <c r="G35" s="66"/>
      <c r="H35" s="66"/>
    </row>
    <row r="36" spans="1:8" x14ac:dyDescent="0.35">
      <c r="A36" s="20" t="s">
        <v>67</v>
      </c>
      <c r="B36" s="49">
        <v>8450</v>
      </c>
      <c r="C36" s="53">
        <v>7916</v>
      </c>
      <c r="D36" s="50">
        <v>534</v>
      </c>
      <c r="E36" s="66"/>
      <c r="F36" s="66"/>
      <c r="G36" s="66"/>
      <c r="H36" s="66"/>
    </row>
    <row r="37" spans="1:8" x14ac:dyDescent="0.35">
      <c r="A37" s="20" t="s">
        <v>64</v>
      </c>
      <c r="B37" s="51">
        <v>8383</v>
      </c>
      <c r="C37" s="26">
        <v>7926</v>
      </c>
      <c r="D37" s="21">
        <v>457</v>
      </c>
      <c r="E37" s="66"/>
      <c r="F37" s="66"/>
      <c r="G37" s="66"/>
      <c r="H37" s="66"/>
    </row>
    <row r="38" spans="1:8" x14ac:dyDescent="0.35">
      <c r="A38" s="20" t="s">
        <v>68</v>
      </c>
      <c r="B38" s="51">
        <v>8049</v>
      </c>
      <c r="C38" s="26">
        <v>7705</v>
      </c>
      <c r="D38" s="21">
        <v>344</v>
      </c>
      <c r="E38" s="66"/>
      <c r="F38" s="66"/>
      <c r="G38" s="66"/>
      <c r="H38" s="66"/>
    </row>
    <row r="39" spans="1:8" x14ac:dyDescent="0.35">
      <c r="A39" s="20" t="s">
        <v>69</v>
      </c>
      <c r="B39" s="51">
        <v>8458</v>
      </c>
      <c r="C39" s="26">
        <v>8126</v>
      </c>
      <c r="D39" s="21">
        <v>332</v>
      </c>
    </row>
    <row r="40" spans="1:8" x14ac:dyDescent="0.35">
      <c r="A40" s="20" t="s">
        <v>61</v>
      </c>
      <c r="B40" s="51">
        <v>7748</v>
      </c>
      <c r="C40" s="26">
        <v>6523</v>
      </c>
      <c r="D40" s="21">
        <v>1225</v>
      </c>
    </row>
    <row r="41" spans="1:8" x14ac:dyDescent="0.35">
      <c r="A41" s="20" t="s">
        <v>66</v>
      </c>
      <c r="B41" s="51">
        <v>8121</v>
      </c>
      <c r="C41" s="26">
        <v>6644</v>
      </c>
      <c r="D41" s="21">
        <v>1477</v>
      </c>
    </row>
    <row r="42" spans="1:8" x14ac:dyDescent="0.35">
      <c r="A42" s="20" t="s">
        <v>70</v>
      </c>
      <c r="B42" s="51">
        <v>9095</v>
      </c>
      <c r="C42" s="26">
        <v>8543</v>
      </c>
      <c r="D42" s="21">
        <v>552</v>
      </c>
    </row>
    <row r="43" spans="1:8" x14ac:dyDescent="0.35">
      <c r="A43" s="14" t="s">
        <v>49</v>
      </c>
      <c r="B43" s="25">
        <v>58304</v>
      </c>
      <c r="C43" s="27">
        <v>53383</v>
      </c>
      <c r="D43" s="22">
        <v>4921</v>
      </c>
    </row>
    <row r="51" spans="1:2" x14ac:dyDescent="0.35">
      <c r="A51" s="87" t="s">
        <v>78</v>
      </c>
      <c r="B51" s="88"/>
    </row>
    <row r="52" spans="1:2" x14ac:dyDescent="0.35">
      <c r="A52" s="42" t="s">
        <v>48</v>
      </c>
      <c r="B52" s="30" t="s">
        <v>55</v>
      </c>
    </row>
    <row r="53" spans="1:2" x14ac:dyDescent="0.35">
      <c r="A53" s="43">
        <v>40544</v>
      </c>
      <c r="B53" s="28">
        <v>985</v>
      </c>
    </row>
    <row r="54" spans="1:2" x14ac:dyDescent="0.35">
      <c r="A54" s="43">
        <v>40545</v>
      </c>
      <c r="B54" s="29">
        <v>801</v>
      </c>
    </row>
    <row r="55" spans="1:2" x14ac:dyDescent="0.35">
      <c r="A55" s="43">
        <v>40546</v>
      </c>
      <c r="B55" s="29">
        <v>1349</v>
      </c>
    </row>
    <row r="56" spans="1:2" x14ac:dyDescent="0.35">
      <c r="A56" s="43">
        <v>40547</v>
      </c>
      <c r="B56" s="29">
        <v>1562</v>
      </c>
    </row>
    <row r="57" spans="1:2" x14ac:dyDescent="0.35">
      <c r="A57" s="43">
        <v>40548</v>
      </c>
      <c r="B57" s="29">
        <v>1600</v>
      </c>
    </row>
    <row r="58" spans="1:2" x14ac:dyDescent="0.35">
      <c r="A58" s="43">
        <v>40549</v>
      </c>
      <c r="B58" s="29">
        <v>1606</v>
      </c>
    </row>
    <row r="59" spans="1:2" x14ac:dyDescent="0.35">
      <c r="A59" s="43">
        <v>40550</v>
      </c>
      <c r="B59" s="29">
        <v>1510</v>
      </c>
    </row>
    <row r="60" spans="1:2" x14ac:dyDescent="0.35">
      <c r="A60" s="43">
        <v>40551</v>
      </c>
      <c r="B60" s="29">
        <v>959</v>
      </c>
    </row>
    <row r="61" spans="1:2" x14ac:dyDescent="0.35">
      <c r="A61" s="43">
        <v>40552</v>
      </c>
      <c r="B61" s="29">
        <v>822</v>
      </c>
    </row>
    <row r="62" spans="1:2" x14ac:dyDescent="0.35">
      <c r="A62" s="43">
        <v>40553</v>
      </c>
      <c r="B62" s="29">
        <v>1321</v>
      </c>
    </row>
    <row r="63" spans="1:2" x14ac:dyDescent="0.35">
      <c r="A63" s="43">
        <v>40554</v>
      </c>
      <c r="B63" s="29">
        <v>1263</v>
      </c>
    </row>
    <row r="64" spans="1:2" x14ac:dyDescent="0.35">
      <c r="A64" s="43">
        <v>40555</v>
      </c>
      <c r="B64" s="29">
        <v>1162</v>
      </c>
    </row>
    <row r="65" spans="1:2" x14ac:dyDescent="0.35">
      <c r="A65" s="43">
        <v>40556</v>
      </c>
      <c r="B65" s="29">
        <v>1406</v>
      </c>
    </row>
    <row r="66" spans="1:2" x14ac:dyDescent="0.35">
      <c r="A66" s="43">
        <v>40557</v>
      </c>
      <c r="B66" s="29">
        <v>1421</v>
      </c>
    </row>
    <row r="67" spans="1:2" x14ac:dyDescent="0.35">
      <c r="A67" s="43">
        <v>40558</v>
      </c>
      <c r="B67" s="29">
        <v>1248</v>
      </c>
    </row>
    <row r="68" spans="1:2" x14ac:dyDescent="0.35">
      <c r="A68" s="43">
        <v>40559</v>
      </c>
      <c r="B68" s="29">
        <v>1204</v>
      </c>
    </row>
    <row r="69" spans="1:2" x14ac:dyDescent="0.35">
      <c r="A69" s="43">
        <v>40560</v>
      </c>
      <c r="B69" s="29">
        <v>1000</v>
      </c>
    </row>
    <row r="70" spans="1:2" x14ac:dyDescent="0.35">
      <c r="A70" s="43">
        <v>40561</v>
      </c>
      <c r="B70" s="29">
        <v>683</v>
      </c>
    </row>
    <row r="71" spans="1:2" x14ac:dyDescent="0.35">
      <c r="A71" s="43">
        <v>40562</v>
      </c>
      <c r="B71" s="29">
        <v>1650</v>
      </c>
    </row>
    <row r="72" spans="1:2" x14ac:dyDescent="0.35">
      <c r="A72" s="43">
        <v>40563</v>
      </c>
      <c r="B72" s="29">
        <v>1927</v>
      </c>
    </row>
    <row r="73" spans="1:2" x14ac:dyDescent="0.35">
      <c r="A73" s="43">
        <v>40564</v>
      </c>
      <c r="B73" s="29">
        <v>1543</v>
      </c>
    </row>
    <row r="74" spans="1:2" x14ac:dyDescent="0.35">
      <c r="A74" s="43">
        <v>40565</v>
      </c>
      <c r="B74" s="29">
        <v>981</v>
      </c>
    </row>
    <row r="75" spans="1:2" x14ac:dyDescent="0.35">
      <c r="A75" s="43">
        <v>40566</v>
      </c>
      <c r="B75" s="29">
        <v>986</v>
      </c>
    </row>
    <row r="76" spans="1:2" x14ac:dyDescent="0.35">
      <c r="A76" s="43">
        <v>40567</v>
      </c>
      <c r="B76" s="29">
        <v>1416</v>
      </c>
    </row>
    <row r="77" spans="1:2" x14ac:dyDescent="0.35">
      <c r="A77" s="43">
        <v>40568</v>
      </c>
      <c r="B77" s="29">
        <v>1985</v>
      </c>
    </row>
    <row r="78" spans="1:2" x14ac:dyDescent="0.35">
      <c r="A78" s="43">
        <v>40569</v>
      </c>
      <c r="B78" s="29">
        <v>506</v>
      </c>
    </row>
    <row r="79" spans="1:2" x14ac:dyDescent="0.35">
      <c r="A79" s="43">
        <v>40570</v>
      </c>
      <c r="B79" s="29">
        <v>431</v>
      </c>
    </row>
    <row r="80" spans="1:2" x14ac:dyDescent="0.35">
      <c r="A80" s="43">
        <v>40571</v>
      </c>
      <c r="B80" s="29">
        <v>1167</v>
      </c>
    </row>
    <row r="81" spans="1:2" x14ac:dyDescent="0.35">
      <c r="A81" s="43">
        <v>40572</v>
      </c>
      <c r="B81" s="29">
        <v>1098</v>
      </c>
    </row>
    <row r="82" spans="1:2" x14ac:dyDescent="0.35">
      <c r="A82" s="43">
        <v>40573</v>
      </c>
      <c r="B82" s="29">
        <v>1096</v>
      </c>
    </row>
    <row r="83" spans="1:2" x14ac:dyDescent="0.35">
      <c r="A83" s="43">
        <v>40574</v>
      </c>
      <c r="B83" s="29">
        <v>1501</v>
      </c>
    </row>
    <row r="84" spans="1:2" x14ac:dyDescent="0.35">
      <c r="A84" s="43">
        <v>40575</v>
      </c>
      <c r="B84" s="29">
        <v>1360</v>
      </c>
    </row>
    <row r="85" spans="1:2" x14ac:dyDescent="0.35">
      <c r="A85" s="43">
        <v>40576</v>
      </c>
      <c r="B85" s="29">
        <v>1526</v>
      </c>
    </row>
    <row r="86" spans="1:2" x14ac:dyDescent="0.35">
      <c r="A86" s="43">
        <v>40577</v>
      </c>
      <c r="B86" s="29">
        <v>1550</v>
      </c>
    </row>
    <row r="87" spans="1:2" x14ac:dyDescent="0.35">
      <c r="A87" s="43">
        <v>40578</v>
      </c>
      <c r="B87" s="29">
        <v>1708</v>
      </c>
    </row>
    <row r="88" spans="1:2" x14ac:dyDescent="0.35">
      <c r="A88" s="43">
        <v>40579</v>
      </c>
      <c r="B88" s="29">
        <v>1005</v>
      </c>
    </row>
    <row r="89" spans="1:2" x14ac:dyDescent="0.35">
      <c r="A89" s="43">
        <v>40580</v>
      </c>
      <c r="B89" s="29">
        <v>1623</v>
      </c>
    </row>
    <row r="90" spans="1:2" x14ac:dyDescent="0.35">
      <c r="A90" s="43">
        <v>40581</v>
      </c>
      <c r="B90" s="29">
        <v>1712</v>
      </c>
    </row>
    <row r="91" spans="1:2" x14ac:dyDescent="0.35">
      <c r="A91" s="43">
        <v>40582</v>
      </c>
      <c r="B91" s="29">
        <v>1530</v>
      </c>
    </row>
    <row r="92" spans="1:2" x14ac:dyDescent="0.35">
      <c r="A92" s="43">
        <v>40583</v>
      </c>
      <c r="B92" s="29">
        <v>1605</v>
      </c>
    </row>
    <row r="93" spans="1:2" x14ac:dyDescent="0.35">
      <c r="A93" s="43">
        <v>40584</v>
      </c>
      <c r="B93" s="29">
        <v>1538</v>
      </c>
    </row>
    <row r="94" spans="1:2" x14ac:dyDescent="0.35">
      <c r="A94" s="43">
        <v>40585</v>
      </c>
      <c r="B94" s="29">
        <v>1746</v>
      </c>
    </row>
    <row r="95" spans="1:2" x14ac:dyDescent="0.35">
      <c r="A95" s="43">
        <v>40586</v>
      </c>
      <c r="B95" s="29">
        <v>1472</v>
      </c>
    </row>
    <row r="96" spans="1:2" x14ac:dyDescent="0.35">
      <c r="A96" s="43">
        <v>40587</v>
      </c>
      <c r="B96" s="29">
        <v>1589</v>
      </c>
    </row>
    <row r="97" spans="1:4" x14ac:dyDescent="0.35">
      <c r="A97" s="43">
        <v>40588</v>
      </c>
      <c r="B97" s="29">
        <v>151</v>
      </c>
    </row>
    <row r="98" spans="1:4" x14ac:dyDescent="0.35">
      <c r="A98" s="44" t="s">
        <v>49</v>
      </c>
      <c r="B98" s="24">
        <v>58304</v>
      </c>
    </row>
    <row r="101" spans="1:4" x14ac:dyDescent="0.35">
      <c r="A101" s="86" t="s">
        <v>57</v>
      </c>
      <c r="B101" s="84"/>
      <c r="C101" s="84"/>
      <c r="D101" s="84"/>
    </row>
    <row r="102" spans="1:4" x14ac:dyDescent="0.35">
      <c r="A102" s="55" t="s">
        <v>48</v>
      </c>
      <c r="B102" s="56" t="s">
        <v>55</v>
      </c>
      <c r="C102" s="57" t="s">
        <v>47</v>
      </c>
      <c r="D102" s="58" t="s">
        <v>56</v>
      </c>
    </row>
    <row r="103" spans="1:4" x14ac:dyDescent="0.35">
      <c r="A103" s="43">
        <v>40544</v>
      </c>
      <c r="B103" s="49">
        <v>985</v>
      </c>
      <c r="C103" s="53">
        <v>654</v>
      </c>
      <c r="D103" s="50">
        <v>331</v>
      </c>
    </row>
    <row r="104" spans="1:4" x14ac:dyDescent="0.35">
      <c r="A104" s="43">
        <v>40545</v>
      </c>
      <c r="B104" s="51">
        <v>801</v>
      </c>
      <c r="C104" s="26">
        <v>670</v>
      </c>
      <c r="D104" s="21">
        <v>131</v>
      </c>
    </row>
    <row r="105" spans="1:4" x14ac:dyDescent="0.35">
      <c r="A105" s="43">
        <v>40546</v>
      </c>
      <c r="B105" s="51">
        <v>1349</v>
      </c>
      <c r="C105" s="26">
        <v>1229</v>
      </c>
      <c r="D105" s="21">
        <v>120</v>
      </c>
    </row>
    <row r="106" spans="1:4" x14ac:dyDescent="0.35">
      <c r="A106" s="43">
        <v>40547</v>
      </c>
      <c r="B106" s="51">
        <v>1562</v>
      </c>
      <c r="C106" s="26">
        <v>1454</v>
      </c>
      <c r="D106" s="21">
        <v>108</v>
      </c>
    </row>
    <row r="107" spans="1:4" x14ac:dyDescent="0.35">
      <c r="A107" s="43">
        <v>40548</v>
      </c>
      <c r="B107" s="51">
        <v>1600</v>
      </c>
      <c r="C107" s="26">
        <v>1518</v>
      </c>
      <c r="D107" s="21">
        <v>82</v>
      </c>
    </row>
    <row r="108" spans="1:4" x14ac:dyDescent="0.35">
      <c r="A108" s="43">
        <v>40549</v>
      </c>
      <c r="B108" s="51">
        <v>1606</v>
      </c>
      <c r="C108" s="26">
        <v>1518</v>
      </c>
      <c r="D108" s="21">
        <v>88</v>
      </c>
    </row>
    <row r="109" spans="1:4" x14ac:dyDescent="0.35">
      <c r="A109" s="43">
        <v>40550</v>
      </c>
      <c r="B109" s="51">
        <v>1510</v>
      </c>
      <c r="C109" s="26">
        <v>1362</v>
      </c>
      <c r="D109" s="21">
        <v>148</v>
      </c>
    </row>
    <row r="110" spans="1:4" x14ac:dyDescent="0.35">
      <c r="A110" s="43">
        <v>40551</v>
      </c>
      <c r="B110" s="51">
        <v>959</v>
      </c>
      <c r="C110" s="26">
        <v>891</v>
      </c>
      <c r="D110" s="21">
        <v>68</v>
      </c>
    </row>
    <row r="111" spans="1:4" x14ac:dyDescent="0.35">
      <c r="A111" s="43">
        <v>40552</v>
      </c>
      <c r="B111" s="51">
        <v>822</v>
      </c>
      <c r="C111" s="26">
        <v>768</v>
      </c>
      <c r="D111" s="21">
        <v>54</v>
      </c>
    </row>
    <row r="112" spans="1:4" x14ac:dyDescent="0.35">
      <c r="A112" s="43">
        <v>40553</v>
      </c>
      <c r="B112" s="51">
        <v>1321</v>
      </c>
      <c r="C112" s="26">
        <v>1280</v>
      </c>
      <c r="D112" s="21">
        <v>41</v>
      </c>
    </row>
    <row r="113" spans="1:4" x14ac:dyDescent="0.35">
      <c r="A113" s="43">
        <v>40554</v>
      </c>
      <c r="B113" s="51">
        <v>1263</v>
      </c>
      <c r="C113" s="26">
        <v>1220</v>
      </c>
      <c r="D113" s="21">
        <v>43</v>
      </c>
    </row>
    <row r="114" spans="1:4" x14ac:dyDescent="0.35">
      <c r="A114" s="43">
        <v>40555</v>
      </c>
      <c r="B114" s="51">
        <v>1162</v>
      </c>
      <c r="C114" s="26">
        <v>1137</v>
      </c>
      <c r="D114" s="21">
        <v>25</v>
      </c>
    </row>
    <row r="115" spans="1:4" x14ac:dyDescent="0.35">
      <c r="A115" s="43">
        <v>40556</v>
      </c>
      <c r="B115" s="51">
        <v>1406</v>
      </c>
      <c r="C115" s="26">
        <v>1368</v>
      </c>
      <c r="D115" s="21">
        <v>38</v>
      </c>
    </row>
    <row r="116" spans="1:4" x14ac:dyDescent="0.35">
      <c r="A116" s="43">
        <v>40557</v>
      </c>
      <c r="B116" s="51">
        <v>1421</v>
      </c>
      <c r="C116" s="26">
        <v>1367</v>
      </c>
      <c r="D116" s="21">
        <v>54</v>
      </c>
    </row>
    <row r="117" spans="1:4" x14ac:dyDescent="0.35">
      <c r="A117" s="43">
        <v>40558</v>
      </c>
      <c r="B117" s="51">
        <v>1248</v>
      </c>
      <c r="C117" s="26">
        <v>1026</v>
      </c>
      <c r="D117" s="21">
        <v>222</v>
      </c>
    </row>
    <row r="118" spans="1:4" x14ac:dyDescent="0.35">
      <c r="A118" s="43">
        <v>40559</v>
      </c>
      <c r="B118" s="51">
        <v>1204</v>
      </c>
      <c r="C118" s="26">
        <v>953</v>
      </c>
      <c r="D118" s="21">
        <v>251</v>
      </c>
    </row>
    <row r="119" spans="1:4" x14ac:dyDescent="0.35">
      <c r="A119" s="43">
        <v>40560</v>
      </c>
      <c r="B119" s="51">
        <v>1000</v>
      </c>
      <c r="C119" s="26">
        <v>883</v>
      </c>
      <c r="D119" s="21">
        <v>117</v>
      </c>
    </row>
    <row r="120" spans="1:4" x14ac:dyDescent="0.35">
      <c r="A120" s="43">
        <v>40561</v>
      </c>
      <c r="B120" s="51">
        <v>683</v>
      </c>
      <c r="C120" s="26">
        <v>674</v>
      </c>
      <c r="D120" s="21">
        <v>9</v>
      </c>
    </row>
    <row r="121" spans="1:4" x14ac:dyDescent="0.35">
      <c r="A121" s="43">
        <v>40562</v>
      </c>
      <c r="B121" s="51">
        <v>1650</v>
      </c>
      <c r="C121" s="26">
        <v>1572</v>
      </c>
      <c r="D121" s="21">
        <v>78</v>
      </c>
    </row>
    <row r="122" spans="1:4" x14ac:dyDescent="0.35">
      <c r="A122" s="43">
        <v>40563</v>
      </c>
      <c r="B122" s="51">
        <v>1927</v>
      </c>
      <c r="C122" s="26">
        <v>1844</v>
      </c>
      <c r="D122" s="21">
        <v>83</v>
      </c>
    </row>
    <row r="123" spans="1:4" x14ac:dyDescent="0.35">
      <c r="A123" s="43">
        <v>40564</v>
      </c>
      <c r="B123" s="51">
        <v>1543</v>
      </c>
      <c r="C123" s="26">
        <v>1468</v>
      </c>
      <c r="D123" s="21">
        <v>75</v>
      </c>
    </row>
    <row r="124" spans="1:4" x14ac:dyDescent="0.35">
      <c r="A124" s="43">
        <v>40565</v>
      </c>
      <c r="B124" s="51">
        <v>981</v>
      </c>
      <c r="C124" s="26">
        <v>888</v>
      </c>
      <c r="D124" s="21">
        <v>93</v>
      </c>
    </row>
    <row r="125" spans="1:4" x14ac:dyDescent="0.35">
      <c r="A125" s="43">
        <v>40566</v>
      </c>
      <c r="B125" s="51">
        <v>986</v>
      </c>
      <c r="C125" s="26">
        <v>836</v>
      </c>
      <c r="D125" s="21">
        <v>150</v>
      </c>
    </row>
    <row r="126" spans="1:4" x14ac:dyDescent="0.35">
      <c r="A126" s="43">
        <v>40567</v>
      </c>
      <c r="B126" s="51">
        <v>1416</v>
      </c>
      <c r="C126" s="26">
        <v>1330</v>
      </c>
      <c r="D126" s="21">
        <v>86</v>
      </c>
    </row>
    <row r="127" spans="1:4" x14ac:dyDescent="0.35">
      <c r="A127" s="43">
        <v>40568</v>
      </c>
      <c r="B127" s="51">
        <v>1985</v>
      </c>
      <c r="C127" s="26">
        <v>1799</v>
      </c>
      <c r="D127" s="21">
        <v>186</v>
      </c>
    </row>
    <row r="128" spans="1:4" x14ac:dyDescent="0.35">
      <c r="A128" s="43">
        <v>40569</v>
      </c>
      <c r="B128" s="51">
        <v>506</v>
      </c>
      <c r="C128" s="26">
        <v>472</v>
      </c>
      <c r="D128" s="21">
        <v>34</v>
      </c>
    </row>
    <row r="129" spans="1:4" x14ac:dyDescent="0.35">
      <c r="A129" s="43">
        <v>40570</v>
      </c>
      <c r="B129" s="51">
        <v>431</v>
      </c>
      <c r="C129" s="26">
        <v>416</v>
      </c>
      <c r="D129" s="21">
        <v>15</v>
      </c>
    </row>
    <row r="130" spans="1:4" x14ac:dyDescent="0.35">
      <c r="A130" s="43">
        <v>40571</v>
      </c>
      <c r="B130" s="51">
        <v>1167</v>
      </c>
      <c r="C130" s="26">
        <v>1129</v>
      </c>
      <c r="D130" s="21">
        <v>38</v>
      </c>
    </row>
    <row r="131" spans="1:4" x14ac:dyDescent="0.35">
      <c r="A131" s="43">
        <v>40572</v>
      </c>
      <c r="B131" s="51">
        <v>1098</v>
      </c>
      <c r="C131" s="26">
        <v>975</v>
      </c>
      <c r="D131" s="21">
        <v>123</v>
      </c>
    </row>
    <row r="132" spans="1:4" x14ac:dyDescent="0.35">
      <c r="A132" s="43">
        <v>40573</v>
      </c>
      <c r="B132" s="51">
        <v>1096</v>
      </c>
      <c r="C132" s="26">
        <v>956</v>
      </c>
      <c r="D132" s="21">
        <v>140</v>
      </c>
    </row>
    <row r="133" spans="1:4" x14ac:dyDescent="0.35">
      <c r="A133" s="43">
        <v>40574</v>
      </c>
      <c r="B133" s="51">
        <v>1501</v>
      </c>
      <c r="C133" s="26">
        <v>1459</v>
      </c>
      <c r="D133" s="21">
        <v>42</v>
      </c>
    </row>
    <row r="134" spans="1:4" x14ac:dyDescent="0.35">
      <c r="A134" s="43">
        <v>40575</v>
      </c>
      <c r="B134" s="51">
        <v>1360</v>
      </c>
      <c r="C134" s="26">
        <v>1313</v>
      </c>
      <c r="D134" s="21">
        <v>47</v>
      </c>
    </row>
    <row r="135" spans="1:4" x14ac:dyDescent="0.35">
      <c r="A135" s="43">
        <v>40576</v>
      </c>
      <c r="B135" s="51">
        <v>1526</v>
      </c>
      <c r="C135" s="26">
        <v>1454</v>
      </c>
      <c r="D135" s="21">
        <v>72</v>
      </c>
    </row>
    <row r="136" spans="1:4" x14ac:dyDescent="0.35">
      <c r="A136" s="43">
        <v>40577</v>
      </c>
      <c r="B136" s="51">
        <v>1550</v>
      </c>
      <c r="C136" s="26">
        <v>1489</v>
      </c>
      <c r="D136" s="21">
        <v>61</v>
      </c>
    </row>
    <row r="137" spans="1:4" x14ac:dyDescent="0.35">
      <c r="A137" s="43">
        <v>40578</v>
      </c>
      <c r="B137" s="51">
        <v>1708</v>
      </c>
      <c r="C137" s="26">
        <v>1620</v>
      </c>
      <c r="D137" s="21">
        <v>88</v>
      </c>
    </row>
    <row r="138" spans="1:4" x14ac:dyDescent="0.35">
      <c r="A138" s="43">
        <v>40579</v>
      </c>
      <c r="B138" s="51">
        <v>1005</v>
      </c>
      <c r="C138" s="26">
        <v>905</v>
      </c>
      <c r="D138" s="21">
        <v>100</v>
      </c>
    </row>
    <row r="139" spans="1:4" x14ac:dyDescent="0.35">
      <c r="A139" s="43">
        <v>40580</v>
      </c>
      <c r="B139" s="51">
        <v>1623</v>
      </c>
      <c r="C139" s="26">
        <v>1269</v>
      </c>
      <c r="D139" s="21">
        <v>354</v>
      </c>
    </row>
    <row r="140" spans="1:4" x14ac:dyDescent="0.35">
      <c r="A140" s="43">
        <v>40581</v>
      </c>
      <c r="B140" s="51">
        <v>1712</v>
      </c>
      <c r="C140" s="26">
        <v>1592</v>
      </c>
      <c r="D140" s="21">
        <v>120</v>
      </c>
    </row>
    <row r="141" spans="1:4" x14ac:dyDescent="0.35">
      <c r="A141" s="43">
        <v>40582</v>
      </c>
      <c r="B141" s="51">
        <v>1530</v>
      </c>
      <c r="C141" s="26">
        <v>1466</v>
      </c>
      <c r="D141" s="21">
        <v>64</v>
      </c>
    </row>
    <row r="142" spans="1:4" x14ac:dyDescent="0.35">
      <c r="A142" s="43">
        <v>40583</v>
      </c>
      <c r="B142" s="51">
        <v>1605</v>
      </c>
      <c r="C142" s="26">
        <v>1552</v>
      </c>
      <c r="D142" s="21">
        <v>53</v>
      </c>
    </row>
    <row r="143" spans="1:4" x14ac:dyDescent="0.35">
      <c r="A143" s="43">
        <v>40584</v>
      </c>
      <c r="B143" s="51">
        <v>1538</v>
      </c>
      <c r="C143" s="26">
        <v>1491</v>
      </c>
      <c r="D143" s="21">
        <v>47</v>
      </c>
    </row>
    <row r="144" spans="1:4" x14ac:dyDescent="0.35">
      <c r="A144" s="43">
        <v>40585</v>
      </c>
      <c r="B144" s="51">
        <v>1746</v>
      </c>
      <c r="C144" s="26">
        <v>1597</v>
      </c>
      <c r="D144" s="21">
        <v>149</v>
      </c>
    </row>
    <row r="145" spans="1:4" x14ac:dyDescent="0.35">
      <c r="A145" s="43">
        <v>40586</v>
      </c>
      <c r="B145" s="51">
        <v>1472</v>
      </c>
      <c r="C145" s="26">
        <v>1184</v>
      </c>
      <c r="D145" s="21">
        <v>288</v>
      </c>
    </row>
    <row r="146" spans="1:4" x14ac:dyDescent="0.35">
      <c r="A146" s="43">
        <v>40587</v>
      </c>
      <c r="B146" s="51">
        <v>1589</v>
      </c>
      <c r="C146" s="26">
        <v>1192</v>
      </c>
      <c r="D146" s="21">
        <v>397</v>
      </c>
    </row>
    <row r="147" spans="1:4" x14ac:dyDescent="0.35">
      <c r="A147" s="43">
        <v>40588</v>
      </c>
      <c r="B147" s="51">
        <v>151</v>
      </c>
      <c r="C147" s="26">
        <v>143</v>
      </c>
      <c r="D147" s="21">
        <v>8</v>
      </c>
    </row>
    <row r="148" spans="1:4" x14ac:dyDescent="0.35">
      <c r="A148" s="44" t="s">
        <v>49</v>
      </c>
      <c r="B148" s="25">
        <v>58304</v>
      </c>
      <c r="C148" s="27">
        <v>53383</v>
      </c>
      <c r="D148" s="22">
        <v>4921</v>
      </c>
    </row>
    <row r="152" spans="1:4" x14ac:dyDescent="0.35">
      <c r="A152" s="69"/>
      <c r="B152" s="69"/>
    </row>
    <row r="153" spans="1:4" x14ac:dyDescent="0.35">
      <c r="A153" s="86" t="s">
        <v>86</v>
      </c>
      <c r="B153" s="84"/>
      <c r="C153" s="84"/>
      <c r="D153" s="84"/>
    </row>
    <row r="154" spans="1:4" x14ac:dyDescent="0.35">
      <c r="A154" s="42" t="s">
        <v>48</v>
      </c>
      <c r="B154" s="54" t="s">
        <v>55</v>
      </c>
      <c r="C154" s="54" t="s">
        <v>47</v>
      </c>
      <c r="D154" s="52" t="s">
        <v>56</v>
      </c>
    </row>
    <row r="155" spans="1:4" x14ac:dyDescent="0.35">
      <c r="A155" s="20" t="s">
        <v>79</v>
      </c>
      <c r="B155" s="49">
        <v>17139</v>
      </c>
      <c r="C155" s="53">
        <v>14649</v>
      </c>
      <c r="D155" s="50">
        <v>2490</v>
      </c>
    </row>
    <row r="156" spans="1:4" x14ac:dyDescent="0.35">
      <c r="A156" s="20" t="s">
        <v>80</v>
      </c>
      <c r="B156" s="51">
        <v>15113</v>
      </c>
      <c r="C156" s="26">
        <v>14309</v>
      </c>
      <c r="D156" s="21">
        <v>804</v>
      </c>
    </row>
    <row r="157" spans="1:4" x14ac:dyDescent="0.35">
      <c r="A157" s="20" t="s">
        <v>81</v>
      </c>
      <c r="B157" s="51">
        <v>17132</v>
      </c>
      <c r="C157" s="26">
        <v>16162</v>
      </c>
      <c r="D157" s="21">
        <v>970</v>
      </c>
    </row>
    <row r="158" spans="1:4" x14ac:dyDescent="0.35">
      <c r="A158" s="20" t="s">
        <v>82</v>
      </c>
      <c r="B158" s="51">
        <v>8920</v>
      </c>
      <c r="C158" s="26">
        <v>8263</v>
      </c>
      <c r="D158" s="21">
        <v>657</v>
      </c>
    </row>
    <row r="159" spans="1:4" x14ac:dyDescent="0.35">
      <c r="A159" s="14" t="s">
        <v>49</v>
      </c>
      <c r="B159" s="25">
        <v>58304</v>
      </c>
      <c r="C159" s="27">
        <v>53383</v>
      </c>
      <c r="D159" s="22">
        <v>4921</v>
      </c>
    </row>
    <row r="172" spans="1:4" x14ac:dyDescent="0.35">
      <c r="A172" s="86" t="s">
        <v>84</v>
      </c>
      <c r="B172" s="84"/>
      <c r="C172" s="84"/>
      <c r="D172" s="73"/>
    </row>
    <row r="173" spans="1:4" x14ac:dyDescent="0.35">
      <c r="A173" s="42" t="s">
        <v>48</v>
      </c>
      <c r="B173" s="30" t="s">
        <v>55</v>
      </c>
      <c r="C173" s="72" t="s">
        <v>83</v>
      </c>
    </row>
    <row r="174" spans="1:4" x14ac:dyDescent="0.35">
      <c r="A174" s="20">
        <v>0.02</v>
      </c>
      <c r="B174" s="75">
        <v>168</v>
      </c>
      <c r="C174" s="78">
        <f>SUM(B174:$B$196)/SUM($B$174:$B$196)</f>
        <v>1</v>
      </c>
    </row>
    <row r="175" spans="1:4" x14ac:dyDescent="0.35">
      <c r="A175" s="20">
        <v>0.04</v>
      </c>
      <c r="B175" s="76">
        <v>387</v>
      </c>
      <c r="C175" s="78">
        <f>SUM(B175:$B$196)/SUM($B$174:$B$196)</f>
        <v>0.99711855104281011</v>
      </c>
    </row>
    <row r="176" spans="1:4" x14ac:dyDescent="0.35">
      <c r="A176" s="20">
        <v>0.06</v>
      </c>
      <c r="B176" s="76">
        <v>608</v>
      </c>
      <c r="C176" s="78">
        <f>SUM(B176:$B$196)/SUM($B$174:$B$196)</f>
        <v>0.99048092755214046</v>
      </c>
    </row>
    <row r="177" spans="1:3" x14ac:dyDescent="0.35">
      <c r="A177" s="20">
        <v>0.08</v>
      </c>
      <c r="B177" s="76">
        <v>357</v>
      </c>
      <c r="C177" s="78">
        <f>SUM(B177:$B$196)/SUM($B$174:$B$196)</f>
        <v>0.98005282656421511</v>
      </c>
    </row>
    <row r="178" spans="1:3" x14ac:dyDescent="0.35">
      <c r="A178" s="20">
        <v>0.1</v>
      </c>
      <c r="B178" s="76">
        <v>1259</v>
      </c>
      <c r="C178" s="78">
        <f>SUM(B178:$B$196)/SUM($B$174:$B$196)</f>
        <v>0.97392974753018657</v>
      </c>
    </row>
    <row r="179" spans="1:3" x14ac:dyDescent="0.35">
      <c r="A179" s="20">
        <v>0.12</v>
      </c>
      <c r="B179" s="76">
        <v>2104</v>
      </c>
      <c r="C179" s="78">
        <f>SUM(B179:$B$196)/SUM($B$174:$B$196)</f>
        <v>0.95233603183315041</v>
      </c>
    </row>
    <row r="180" spans="1:3" x14ac:dyDescent="0.35">
      <c r="A180" s="20">
        <v>0.14000000000000001</v>
      </c>
      <c r="B180" s="76">
        <v>4335</v>
      </c>
      <c r="C180" s="78">
        <f>SUM(B180:$B$196)/SUM($B$174:$B$196)</f>
        <v>0.91624931394072451</v>
      </c>
    </row>
    <row r="181" spans="1:3" x14ac:dyDescent="0.35">
      <c r="A181" s="20">
        <v>0.16</v>
      </c>
      <c r="B181" s="76">
        <v>7003</v>
      </c>
      <c r="C181" s="78">
        <f>SUM(B181:$B$196)/SUM($B$174:$B$196)</f>
        <v>0.84189763995609224</v>
      </c>
    </row>
    <row r="182" spans="1:3" x14ac:dyDescent="0.35">
      <c r="A182" s="20">
        <v>0.18</v>
      </c>
      <c r="B182" s="76">
        <v>4045</v>
      </c>
      <c r="C182" s="78">
        <f>SUM(B182:$B$196)/SUM($B$174:$B$196)</f>
        <v>0.72178581229418226</v>
      </c>
    </row>
    <row r="183" spans="1:3" x14ac:dyDescent="0.35">
      <c r="A183" s="20">
        <v>0.2</v>
      </c>
      <c r="B183" s="76">
        <v>7926</v>
      </c>
      <c r="C183" s="78">
        <f>SUM(B183:$B$196)/SUM($B$174:$B$196)</f>
        <v>0.65240806805708018</v>
      </c>
    </row>
    <row r="184" spans="1:3" x14ac:dyDescent="0.35">
      <c r="A184" s="20">
        <v>0.22</v>
      </c>
      <c r="B184" s="76">
        <v>7212</v>
      </c>
      <c r="C184" s="78">
        <f>SUM(B184:$B$196)/SUM($B$174:$B$196)</f>
        <v>0.51646542261251371</v>
      </c>
    </row>
    <row r="185" spans="1:3" x14ac:dyDescent="0.35">
      <c r="A185" s="20">
        <v>0.24</v>
      </c>
      <c r="B185" s="76">
        <v>5965</v>
      </c>
      <c r="C185" s="78">
        <f>SUM(B185:$B$196)/SUM($B$174:$B$196)</f>
        <v>0.39276893523600437</v>
      </c>
    </row>
    <row r="186" spans="1:3" x14ac:dyDescent="0.35">
      <c r="A186" s="20">
        <v>0.26</v>
      </c>
      <c r="B186" s="76">
        <v>3157</v>
      </c>
      <c r="C186" s="78">
        <f>SUM(B186:$B$196)/SUM($B$174:$B$196)</f>
        <v>0.29046034577387486</v>
      </c>
    </row>
    <row r="187" spans="1:3" x14ac:dyDescent="0.35">
      <c r="A187" s="20">
        <v>0.28000000000000003</v>
      </c>
      <c r="B187" s="76">
        <v>1958</v>
      </c>
      <c r="C187" s="78">
        <f>SUM(B187:$B$196)/SUM($B$174:$B$196)</f>
        <v>0.23631311745334796</v>
      </c>
    </row>
    <row r="188" spans="1:3" x14ac:dyDescent="0.35">
      <c r="A188" s="20">
        <v>0.3</v>
      </c>
      <c r="B188" s="76">
        <v>3551</v>
      </c>
      <c r="C188" s="78">
        <f>SUM(B188:$B$196)/SUM($B$174:$B$196)</f>
        <v>0.2027305159165752</v>
      </c>
    </row>
    <row r="189" spans="1:3" x14ac:dyDescent="0.35">
      <c r="A189" s="20">
        <v>0.32</v>
      </c>
      <c r="B189" s="76">
        <v>1966</v>
      </c>
      <c r="C189" s="78">
        <f>SUM(B189:$B$196)/SUM($B$174:$B$196)</f>
        <v>0.14182560373216246</v>
      </c>
    </row>
    <row r="190" spans="1:3" x14ac:dyDescent="0.35">
      <c r="A190" s="20">
        <v>0.34</v>
      </c>
      <c r="B190" s="76">
        <v>2478</v>
      </c>
      <c r="C190" s="78">
        <f>SUM(B190:$B$196)/SUM($B$174:$B$196)</f>
        <v>0.1081057903402854</v>
      </c>
    </row>
    <row r="191" spans="1:3" x14ac:dyDescent="0.35">
      <c r="A191" s="20">
        <v>0.36</v>
      </c>
      <c r="B191" s="76">
        <v>1341</v>
      </c>
      <c r="C191" s="78">
        <f>SUM(B191:$B$196)/SUM($B$174:$B$196)</f>
        <v>6.5604418221734365E-2</v>
      </c>
    </row>
    <row r="192" spans="1:3" x14ac:dyDescent="0.35">
      <c r="A192" s="20">
        <v>0.38</v>
      </c>
      <c r="B192" s="76">
        <v>521</v>
      </c>
      <c r="C192" s="78">
        <f>SUM(B192:$B$196)/SUM($B$174:$B$196)</f>
        <v>4.2604281009879251E-2</v>
      </c>
    </row>
    <row r="193" spans="1:3" x14ac:dyDescent="0.35">
      <c r="A193" s="20">
        <v>0.4</v>
      </c>
      <c r="B193" s="76">
        <v>985</v>
      </c>
      <c r="C193" s="78">
        <f>SUM(B193:$B$196)/SUM($B$174:$B$196)</f>
        <v>3.3668358946212951E-2</v>
      </c>
    </row>
    <row r="194" spans="1:3" x14ac:dyDescent="0.35">
      <c r="A194" s="20">
        <v>0.42</v>
      </c>
      <c r="B194" s="76">
        <v>519</v>
      </c>
      <c r="C194" s="78">
        <f>SUM(B194:$B$196)/SUM($B$174:$B$196)</f>
        <v>1.6774149286498355E-2</v>
      </c>
    </row>
    <row r="195" spans="1:3" x14ac:dyDescent="0.35">
      <c r="A195" s="20">
        <v>0.44</v>
      </c>
      <c r="B195" s="76">
        <v>194</v>
      </c>
      <c r="C195" s="78">
        <f>SUM(B195:$B$196)/SUM($B$174:$B$196)</f>
        <v>7.8725301866081222E-3</v>
      </c>
    </row>
    <row r="196" spans="1:3" x14ac:dyDescent="0.35">
      <c r="A196" s="20">
        <v>0.46</v>
      </c>
      <c r="B196" s="76">
        <v>265</v>
      </c>
      <c r="C196" s="78">
        <f>SUM(B196:$B$196)/SUM($B$174:$B$196)</f>
        <v>4.5451427003293087E-3</v>
      </c>
    </row>
    <row r="197" spans="1:3" x14ac:dyDescent="0.35">
      <c r="A197" s="14" t="s">
        <v>49</v>
      </c>
      <c r="B197" s="77">
        <v>58304</v>
      </c>
      <c r="C197" s="74">
        <v>1</v>
      </c>
    </row>
  </sheetData>
  <mergeCells count="7">
    <mergeCell ref="A13:B13"/>
    <mergeCell ref="A172:C172"/>
    <mergeCell ref="A153:D153"/>
    <mergeCell ref="A51:B51"/>
    <mergeCell ref="A101:D101"/>
    <mergeCell ref="A34:D34"/>
    <mergeCell ref="A17:D17"/>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89C4F-DF50-44E2-BA00-C1D0ACDA5E12}">
  <sheetPr>
    <tabColor rgb="FF33CCFF"/>
  </sheetPr>
  <dimension ref="G54:G55"/>
  <sheetViews>
    <sheetView showGridLines="0" showRowColHeaders="0" workbookViewId="0">
      <selection activeCell="P53" sqref="O53:P53"/>
    </sheetView>
  </sheetViews>
  <sheetFormatPr defaultRowHeight="14.5" x14ac:dyDescent="0.35"/>
  <sheetData>
    <row r="54" spans="7:7" x14ac:dyDescent="0.35">
      <c r="G54" s="79"/>
    </row>
    <row r="55" spans="7:7" x14ac:dyDescent="0.35">
      <c r="G55" s="8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6A8-B065-4FD5-9084-BBBC22EBFA50}">
  <dimension ref="A2:D8"/>
  <sheetViews>
    <sheetView workbookViewId="0">
      <selection activeCell="A3" sqref="A3:D8"/>
    </sheetView>
  </sheetViews>
  <sheetFormatPr defaultRowHeight="14.5" x14ac:dyDescent="0.35"/>
  <cols>
    <col min="1" max="1" width="14.6328125" bestFit="1" customWidth="1"/>
    <col min="2" max="2" width="12.54296875" bestFit="1" customWidth="1"/>
    <col min="3" max="3" width="16" bestFit="1" customWidth="1"/>
    <col min="4" max="4" width="10" bestFit="1" customWidth="1"/>
  </cols>
  <sheetData>
    <row r="2" spans="1:4" x14ac:dyDescent="0.35">
      <c r="A2" s="86" t="s">
        <v>71</v>
      </c>
      <c r="B2" s="84"/>
      <c r="C2" s="84"/>
      <c r="D2" s="84"/>
    </row>
    <row r="3" spans="1:4" x14ac:dyDescent="0.35">
      <c r="A3" s="42" t="s">
        <v>48</v>
      </c>
      <c r="B3" s="54" t="s">
        <v>56</v>
      </c>
      <c r="C3" s="54" t="s">
        <v>47</v>
      </c>
      <c r="D3" s="52" t="s">
        <v>55</v>
      </c>
    </row>
    <row r="4" spans="1:4" x14ac:dyDescent="0.35">
      <c r="A4" s="20" t="s">
        <v>62</v>
      </c>
      <c r="B4" s="49">
        <v>1894</v>
      </c>
      <c r="C4" s="53">
        <v>19949</v>
      </c>
      <c r="D4" s="50">
        <v>21843</v>
      </c>
    </row>
    <row r="5" spans="1:4" x14ac:dyDescent="0.35">
      <c r="A5" s="20" t="s">
        <v>65</v>
      </c>
      <c r="B5" s="51">
        <v>1540</v>
      </c>
      <c r="C5" s="26">
        <v>6729</v>
      </c>
      <c r="D5" s="21">
        <v>8269</v>
      </c>
    </row>
    <row r="6" spans="1:4" x14ac:dyDescent="0.35">
      <c r="A6" s="20" t="s">
        <v>75</v>
      </c>
      <c r="B6" s="51">
        <v>1343</v>
      </c>
      <c r="C6" s="26">
        <v>24070</v>
      </c>
      <c r="D6" s="21">
        <v>25413</v>
      </c>
    </row>
    <row r="7" spans="1:4" x14ac:dyDescent="0.35">
      <c r="A7" s="20" t="s">
        <v>76</v>
      </c>
      <c r="B7" s="51">
        <v>144</v>
      </c>
      <c r="C7" s="26">
        <v>2635</v>
      </c>
      <c r="D7" s="21">
        <v>2779</v>
      </c>
    </row>
    <row r="8" spans="1:4" x14ac:dyDescent="0.35">
      <c r="A8" s="14" t="s">
        <v>49</v>
      </c>
      <c r="B8" s="25">
        <v>4921</v>
      </c>
      <c r="C8" s="27">
        <v>53383</v>
      </c>
      <c r="D8" s="22">
        <v>58304</v>
      </c>
    </row>
  </sheetData>
  <mergeCells count="1">
    <mergeCell ref="A2:D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A0ACB-4907-4230-849F-0CBB17E28552}">
  <dimension ref="A1:P1001"/>
  <sheetViews>
    <sheetView workbookViewId="0">
      <selection activeCell="C1" sqref="C1:C1048576"/>
    </sheetView>
  </sheetViews>
  <sheetFormatPr defaultRowHeight="14.5" x14ac:dyDescent="0.35"/>
  <cols>
    <col min="1" max="1" width="8.81640625" customWidth="1"/>
    <col min="2" max="2" width="9.08984375" customWidth="1"/>
    <col min="3" max="3" width="10.08984375" bestFit="1" customWidth="1"/>
    <col min="8" max="8" width="10.6328125" customWidth="1"/>
    <col min="9" max="9" width="12.1796875" customWidth="1"/>
    <col min="11" max="11" width="10.1796875" customWidth="1"/>
    <col min="13" max="13" width="12.26953125" customWidth="1"/>
    <col min="15" max="15" width="11.6328125" customWidth="1"/>
  </cols>
  <sheetData>
    <row r="1" spans="1:16" x14ac:dyDescent="0.35">
      <c r="A1" t="s">
        <v>25</v>
      </c>
      <c r="B1" t="s">
        <v>21</v>
      </c>
      <c r="C1" t="s">
        <v>16</v>
      </c>
      <c r="D1" t="s">
        <v>17</v>
      </c>
      <c r="E1" t="s">
        <v>18</v>
      </c>
      <c r="F1" t="s">
        <v>19</v>
      </c>
      <c r="G1" t="s">
        <v>20</v>
      </c>
      <c r="H1" t="s">
        <v>22</v>
      </c>
      <c r="I1" t="s">
        <v>23</v>
      </c>
      <c r="J1" t="s">
        <v>24</v>
      </c>
      <c r="K1" t="s">
        <v>50</v>
      </c>
      <c r="L1" t="s">
        <v>26</v>
      </c>
      <c r="M1" t="s">
        <v>27</v>
      </c>
      <c r="N1" t="s">
        <v>28</v>
      </c>
      <c r="O1" t="s">
        <v>29</v>
      </c>
      <c r="P1" t="s">
        <v>30</v>
      </c>
    </row>
    <row r="2" spans="1:16" x14ac:dyDescent="0.35">
      <c r="A2">
        <v>1</v>
      </c>
      <c r="B2" t="b">
        <v>0</v>
      </c>
      <c r="C2" s="18">
        <v>40544</v>
      </c>
      <c r="D2">
        <v>1</v>
      </c>
      <c r="E2">
        <v>0</v>
      </c>
      <c r="F2">
        <v>1</v>
      </c>
      <c r="G2">
        <v>0</v>
      </c>
      <c r="H2">
        <v>6</v>
      </c>
      <c r="I2">
        <v>1</v>
      </c>
      <c r="J2">
        <v>0.24</v>
      </c>
      <c r="K2">
        <v>0.28789999999999999</v>
      </c>
      <c r="L2">
        <v>0.81</v>
      </c>
      <c r="M2">
        <v>0</v>
      </c>
      <c r="N2">
        <v>3</v>
      </c>
      <c r="O2">
        <v>13</v>
      </c>
      <c r="P2">
        <v>16</v>
      </c>
    </row>
    <row r="3" spans="1:16" x14ac:dyDescent="0.35">
      <c r="A3">
        <v>2</v>
      </c>
      <c r="B3" t="b">
        <v>0</v>
      </c>
      <c r="C3" s="18">
        <v>40544</v>
      </c>
      <c r="D3">
        <v>1</v>
      </c>
      <c r="E3">
        <v>0</v>
      </c>
      <c r="F3">
        <v>1</v>
      </c>
      <c r="G3">
        <v>1</v>
      </c>
      <c r="H3">
        <v>6</v>
      </c>
      <c r="I3">
        <v>1</v>
      </c>
      <c r="J3">
        <v>0.22</v>
      </c>
      <c r="K3">
        <v>0.2727</v>
      </c>
      <c r="L3">
        <v>0.8</v>
      </c>
      <c r="M3">
        <v>0</v>
      </c>
      <c r="N3">
        <v>8</v>
      </c>
      <c r="O3">
        <v>32</v>
      </c>
      <c r="P3">
        <v>40</v>
      </c>
    </row>
    <row r="4" spans="1:16" x14ac:dyDescent="0.35">
      <c r="A4">
        <v>3</v>
      </c>
      <c r="B4" t="b">
        <v>0</v>
      </c>
      <c r="C4" s="18">
        <v>40544</v>
      </c>
      <c r="D4">
        <v>1</v>
      </c>
      <c r="E4">
        <v>0</v>
      </c>
      <c r="F4">
        <v>1</v>
      </c>
      <c r="G4">
        <v>2</v>
      </c>
      <c r="H4">
        <v>6</v>
      </c>
      <c r="I4">
        <v>1</v>
      </c>
      <c r="J4">
        <v>0.22</v>
      </c>
      <c r="K4">
        <v>0.2727</v>
      </c>
      <c r="L4">
        <v>0.8</v>
      </c>
      <c r="M4">
        <v>0</v>
      </c>
      <c r="N4">
        <v>5</v>
      </c>
      <c r="O4">
        <v>27</v>
      </c>
      <c r="P4">
        <v>32</v>
      </c>
    </row>
    <row r="5" spans="1:16" x14ac:dyDescent="0.35">
      <c r="A5">
        <v>4</v>
      </c>
      <c r="B5" t="b">
        <v>0</v>
      </c>
      <c r="C5" s="18">
        <v>40544</v>
      </c>
      <c r="D5">
        <v>1</v>
      </c>
      <c r="E5">
        <v>0</v>
      </c>
      <c r="F5">
        <v>1</v>
      </c>
      <c r="G5">
        <v>3</v>
      </c>
      <c r="H5">
        <v>6</v>
      </c>
      <c r="I5">
        <v>1</v>
      </c>
      <c r="J5">
        <v>0.24</v>
      </c>
      <c r="K5">
        <v>0.28789999999999999</v>
      </c>
      <c r="L5">
        <v>0.75</v>
      </c>
      <c r="M5">
        <v>0</v>
      </c>
      <c r="N5">
        <v>3</v>
      </c>
      <c r="O5">
        <v>10</v>
      </c>
      <c r="P5">
        <v>13</v>
      </c>
    </row>
    <row r="6" spans="1:16" x14ac:dyDescent="0.35">
      <c r="A6">
        <v>5</v>
      </c>
      <c r="B6" t="b">
        <v>0</v>
      </c>
      <c r="C6" s="18">
        <v>40544</v>
      </c>
      <c r="D6">
        <v>1</v>
      </c>
      <c r="E6">
        <v>0</v>
      </c>
      <c r="F6">
        <v>1</v>
      </c>
      <c r="G6">
        <v>4</v>
      </c>
      <c r="H6">
        <v>6</v>
      </c>
      <c r="I6">
        <v>1</v>
      </c>
      <c r="J6">
        <v>0.24</v>
      </c>
      <c r="K6">
        <v>0.28789999999999999</v>
      </c>
      <c r="L6">
        <v>0.75</v>
      </c>
      <c r="M6">
        <v>0</v>
      </c>
      <c r="N6">
        <v>0</v>
      </c>
      <c r="O6">
        <v>1</v>
      </c>
      <c r="P6">
        <v>1</v>
      </c>
    </row>
    <row r="7" spans="1:16" x14ac:dyDescent="0.35">
      <c r="A7">
        <v>6</v>
      </c>
      <c r="B7" t="b">
        <v>0</v>
      </c>
      <c r="C7" s="18">
        <v>40544</v>
      </c>
      <c r="D7">
        <v>1</v>
      </c>
      <c r="E7">
        <v>0</v>
      </c>
      <c r="F7">
        <v>1</v>
      </c>
      <c r="G7">
        <v>5</v>
      </c>
      <c r="H7">
        <v>6</v>
      </c>
      <c r="I7">
        <v>2</v>
      </c>
      <c r="J7">
        <v>0.24</v>
      </c>
      <c r="K7">
        <v>0.2576</v>
      </c>
      <c r="L7">
        <v>0.75</v>
      </c>
      <c r="M7">
        <v>8.9599999999999999E-2</v>
      </c>
      <c r="N7">
        <v>0</v>
      </c>
      <c r="O7">
        <v>1</v>
      </c>
      <c r="P7">
        <v>1</v>
      </c>
    </row>
    <row r="8" spans="1:16" x14ac:dyDescent="0.35">
      <c r="A8">
        <v>7</v>
      </c>
      <c r="B8" t="b">
        <v>0</v>
      </c>
      <c r="C8" s="18">
        <v>40544</v>
      </c>
      <c r="D8">
        <v>1</v>
      </c>
      <c r="E8">
        <v>0</v>
      </c>
      <c r="F8">
        <v>1</v>
      </c>
      <c r="G8">
        <v>6</v>
      </c>
      <c r="H8">
        <v>6</v>
      </c>
      <c r="I8">
        <v>1</v>
      </c>
      <c r="J8">
        <v>0.22</v>
      </c>
      <c r="K8">
        <v>0.2727</v>
      </c>
      <c r="L8">
        <v>0.8</v>
      </c>
      <c r="M8">
        <v>0</v>
      </c>
      <c r="N8">
        <v>2</v>
      </c>
      <c r="O8">
        <v>0</v>
      </c>
      <c r="P8">
        <v>2</v>
      </c>
    </row>
    <row r="9" spans="1:16" x14ac:dyDescent="0.35">
      <c r="A9">
        <v>8</v>
      </c>
      <c r="B9" t="b">
        <v>0</v>
      </c>
      <c r="C9" s="18">
        <v>40544</v>
      </c>
      <c r="D9">
        <v>1</v>
      </c>
      <c r="E9">
        <v>0</v>
      </c>
      <c r="F9">
        <v>1</v>
      </c>
      <c r="G9">
        <v>7</v>
      </c>
      <c r="H9">
        <v>6</v>
      </c>
      <c r="I9">
        <v>1</v>
      </c>
      <c r="J9">
        <v>0.2</v>
      </c>
      <c r="K9">
        <v>0.2576</v>
      </c>
      <c r="L9">
        <v>0.86</v>
      </c>
      <c r="M9">
        <v>0</v>
      </c>
      <c r="N9">
        <v>1</v>
      </c>
      <c r="O9">
        <v>2</v>
      </c>
      <c r="P9">
        <v>3</v>
      </c>
    </row>
    <row r="10" spans="1:16" x14ac:dyDescent="0.35">
      <c r="A10">
        <v>9</v>
      </c>
      <c r="B10" t="b">
        <v>0</v>
      </c>
      <c r="C10" s="18">
        <v>40544</v>
      </c>
      <c r="D10">
        <v>1</v>
      </c>
      <c r="E10">
        <v>0</v>
      </c>
      <c r="F10">
        <v>1</v>
      </c>
      <c r="G10">
        <v>8</v>
      </c>
      <c r="H10">
        <v>6</v>
      </c>
      <c r="I10">
        <v>1</v>
      </c>
      <c r="J10">
        <v>0.24</v>
      </c>
      <c r="K10">
        <v>0.30304999999999999</v>
      </c>
      <c r="L10">
        <v>0.75</v>
      </c>
      <c r="M10">
        <v>0</v>
      </c>
      <c r="N10">
        <v>1</v>
      </c>
      <c r="O10">
        <v>7</v>
      </c>
      <c r="P10">
        <v>8</v>
      </c>
    </row>
    <row r="11" spans="1:16" x14ac:dyDescent="0.35">
      <c r="A11">
        <v>10</v>
      </c>
      <c r="B11" t="b">
        <v>0</v>
      </c>
      <c r="C11" s="18">
        <v>40544</v>
      </c>
      <c r="D11">
        <v>1</v>
      </c>
      <c r="E11">
        <v>0</v>
      </c>
      <c r="F11">
        <v>1</v>
      </c>
      <c r="G11">
        <v>9</v>
      </c>
      <c r="H11">
        <v>6</v>
      </c>
      <c r="I11">
        <v>1</v>
      </c>
      <c r="J11">
        <v>0.32</v>
      </c>
      <c r="K11">
        <v>0.34849999999999998</v>
      </c>
      <c r="L11">
        <v>0.76</v>
      </c>
      <c r="M11">
        <v>0</v>
      </c>
      <c r="N11">
        <v>8</v>
      </c>
      <c r="O11">
        <v>6</v>
      </c>
      <c r="P11">
        <v>14</v>
      </c>
    </row>
    <row r="12" spans="1:16" x14ac:dyDescent="0.35">
      <c r="A12">
        <v>11</v>
      </c>
      <c r="B12" t="b">
        <v>0</v>
      </c>
      <c r="C12" s="18">
        <v>40544</v>
      </c>
      <c r="D12">
        <v>1</v>
      </c>
      <c r="E12">
        <v>0</v>
      </c>
      <c r="F12">
        <v>1</v>
      </c>
      <c r="G12">
        <v>10</v>
      </c>
      <c r="H12">
        <v>6</v>
      </c>
      <c r="I12">
        <v>1</v>
      </c>
      <c r="J12">
        <v>0.38</v>
      </c>
      <c r="K12">
        <v>0.39389999999999997</v>
      </c>
      <c r="L12">
        <v>0.76</v>
      </c>
      <c r="M12">
        <v>0.25369999999999998</v>
      </c>
      <c r="N12">
        <v>12</v>
      </c>
      <c r="O12">
        <v>24</v>
      </c>
      <c r="P12">
        <v>36</v>
      </c>
    </row>
    <row r="13" spans="1:16" x14ac:dyDescent="0.35">
      <c r="A13">
        <v>12</v>
      </c>
      <c r="B13" t="b">
        <v>0</v>
      </c>
      <c r="C13" s="18">
        <v>40544</v>
      </c>
      <c r="D13">
        <v>1</v>
      </c>
      <c r="E13">
        <v>0</v>
      </c>
      <c r="F13">
        <v>1</v>
      </c>
      <c r="G13">
        <v>11</v>
      </c>
      <c r="H13">
        <v>6</v>
      </c>
      <c r="I13">
        <v>1</v>
      </c>
      <c r="J13">
        <v>0.36</v>
      </c>
      <c r="K13">
        <v>0.33329999999999999</v>
      </c>
      <c r="L13">
        <v>0.81</v>
      </c>
      <c r="M13">
        <v>0.28360000000000002</v>
      </c>
      <c r="N13">
        <v>26</v>
      </c>
      <c r="O13">
        <v>30</v>
      </c>
      <c r="P13">
        <v>56</v>
      </c>
    </row>
    <row r="14" spans="1:16" x14ac:dyDescent="0.35">
      <c r="A14">
        <v>13</v>
      </c>
      <c r="B14" t="b">
        <v>0</v>
      </c>
      <c r="C14" s="18">
        <v>40544</v>
      </c>
      <c r="D14">
        <v>1</v>
      </c>
      <c r="E14">
        <v>0</v>
      </c>
      <c r="F14">
        <v>1</v>
      </c>
      <c r="G14">
        <v>12</v>
      </c>
      <c r="H14">
        <v>6</v>
      </c>
      <c r="I14">
        <v>1</v>
      </c>
      <c r="J14">
        <v>0.42</v>
      </c>
      <c r="K14">
        <v>0.42420000000000002</v>
      </c>
      <c r="L14">
        <v>0.77</v>
      </c>
      <c r="M14">
        <v>0.28360000000000002</v>
      </c>
      <c r="N14">
        <v>29</v>
      </c>
      <c r="O14">
        <v>55</v>
      </c>
      <c r="P14">
        <v>84</v>
      </c>
    </row>
    <row r="15" spans="1:16" x14ac:dyDescent="0.35">
      <c r="A15">
        <v>14</v>
      </c>
      <c r="B15" t="b">
        <v>0</v>
      </c>
      <c r="C15" s="18">
        <v>40544</v>
      </c>
      <c r="D15">
        <v>1</v>
      </c>
      <c r="E15">
        <v>0</v>
      </c>
      <c r="F15">
        <v>1</v>
      </c>
      <c r="G15">
        <v>13</v>
      </c>
      <c r="H15">
        <v>6</v>
      </c>
      <c r="I15">
        <v>2</v>
      </c>
      <c r="J15">
        <v>0.46</v>
      </c>
      <c r="K15">
        <v>0.45450000000000002</v>
      </c>
      <c r="L15">
        <v>0.72</v>
      </c>
      <c r="M15">
        <v>0.29849999999999999</v>
      </c>
      <c r="N15">
        <v>47</v>
      </c>
      <c r="O15">
        <v>47</v>
      </c>
      <c r="P15">
        <v>94</v>
      </c>
    </row>
    <row r="16" spans="1:16" x14ac:dyDescent="0.35">
      <c r="A16">
        <v>15</v>
      </c>
      <c r="B16" t="b">
        <v>0</v>
      </c>
      <c r="C16" s="18">
        <v>40544</v>
      </c>
      <c r="D16">
        <v>1</v>
      </c>
      <c r="E16">
        <v>0</v>
      </c>
      <c r="F16">
        <v>1</v>
      </c>
      <c r="G16">
        <v>14</v>
      </c>
      <c r="H16">
        <v>6</v>
      </c>
      <c r="I16">
        <v>2</v>
      </c>
      <c r="J16">
        <v>0.46</v>
      </c>
      <c r="K16">
        <v>0.45450000000000002</v>
      </c>
      <c r="L16">
        <v>0.72</v>
      </c>
      <c r="M16">
        <v>0.28360000000000002</v>
      </c>
      <c r="N16">
        <v>35</v>
      </c>
      <c r="O16">
        <v>71</v>
      </c>
      <c r="P16">
        <v>106</v>
      </c>
    </row>
    <row r="17" spans="1:16" x14ac:dyDescent="0.35">
      <c r="A17">
        <v>16</v>
      </c>
      <c r="B17" t="b">
        <v>0</v>
      </c>
      <c r="C17" s="18">
        <v>40544</v>
      </c>
      <c r="D17">
        <v>1</v>
      </c>
      <c r="E17">
        <v>0</v>
      </c>
      <c r="F17">
        <v>1</v>
      </c>
      <c r="G17">
        <v>15</v>
      </c>
      <c r="H17">
        <v>6</v>
      </c>
      <c r="I17">
        <v>2</v>
      </c>
      <c r="J17">
        <v>0.44</v>
      </c>
      <c r="K17">
        <v>0.43940000000000001</v>
      </c>
      <c r="L17">
        <v>0.77</v>
      </c>
      <c r="M17">
        <v>0.29849999999999999</v>
      </c>
      <c r="N17">
        <v>40</v>
      </c>
      <c r="O17">
        <v>70</v>
      </c>
      <c r="P17">
        <v>110</v>
      </c>
    </row>
    <row r="18" spans="1:16" x14ac:dyDescent="0.35">
      <c r="A18">
        <v>17</v>
      </c>
      <c r="B18" t="b">
        <v>0</v>
      </c>
      <c r="C18" s="18">
        <v>40544</v>
      </c>
      <c r="D18">
        <v>1</v>
      </c>
      <c r="E18">
        <v>0</v>
      </c>
      <c r="F18">
        <v>1</v>
      </c>
      <c r="G18">
        <v>16</v>
      </c>
      <c r="H18">
        <v>6</v>
      </c>
      <c r="I18">
        <v>2</v>
      </c>
      <c r="J18">
        <v>0.42</v>
      </c>
      <c r="K18">
        <v>0.42420000000000002</v>
      </c>
      <c r="L18">
        <v>0.82</v>
      </c>
      <c r="M18">
        <v>0.29849999999999999</v>
      </c>
      <c r="N18">
        <v>41</v>
      </c>
      <c r="O18">
        <v>52</v>
      </c>
      <c r="P18">
        <v>93</v>
      </c>
    </row>
    <row r="19" spans="1:16" x14ac:dyDescent="0.35">
      <c r="A19">
        <v>18</v>
      </c>
      <c r="B19" t="b">
        <v>0</v>
      </c>
      <c r="C19" s="18">
        <v>40544</v>
      </c>
      <c r="D19">
        <v>1</v>
      </c>
      <c r="E19">
        <v>0</v>
      </c>
      <c r="F19">
        <v>1</v>
      </c>
      <c r="G19">
        <v>17</v>
      </c>
      <c r="H19">
        <v>6</v>
      </c>
      <c r="I19">
        <v>2</v>
      </c>
      <c r="J19">
        <v>0.44</v>
      </c>
      <c r="K19">
        <v>0.42420000000000002</v>
      </c>
      <c r="L19">
        <v>0.82</v>
      </c>
      <c r="M19">
        <v>0.28360000000000002</v>
      </c>
      <c r="N19">
        <v>15</v>
      </c>
      <c r="O19">
        <v>52</v>
      </c>
      <c r="P19">
        <v>67</v>
      </c>
    </row>
    <row r="20" spans="1:16" x14ac:dyDescent="0.35">
      <c r="A20">
        <v>19</v>
      </c>
      <c r="B20" t="b">
        <v>0</v>
      </c>
      <c r="C20" s="18">
        <v>40544</v>
      </c>
      <c r="D20">
        <v>1</v>
      </c>
      <c r="E20">
        <v>0</v>
      </c>
      <c r="F20">
        <v>1</v>
      </c>
      <c r="G20">
        <v>18</v>
      </c>
      <c r="H20">
        <v>6</v>
      </c>
      <c r="I20">
        <v>3</v>
      </c>
      <c r="J20">
        <v>0.42</v>
      </c>
      <c r="K20">
        <v>0.42420000000000002</v>
      </c>
      <c r="L20">
        <v>0.88</v>
      </c>
      <c r="M20">
        <v>0.25369999999999998</v>
      </c>
      <c r="N20">
        <v>9</v>
      </c>
      <c r="O20">
        <v>26</v>
      </c>
      <c r="P20">
        <v>35</v>
      </c>
    </row>
    <row r="21" spans="1:16" x14ac:dyDescent="0.35">
      <c r="A21">
        <v>20</v>
      </c>
      <c r="B21" t="b">
        <v>0</v>
      </c>
      <c r="C21" s="18">
        <v>40544</v>
      </c>
      <c r="D21">
        <v>1</v>
      </c>
      <c r="E21">
        <v>0</v>
      </c>
      <c r="F21">
        <v>1</v>
      </c>
      <c r="G21">
        <v>19</v>
      </c>
      <c r="H21">
        <v>6</v>
      </c>
      <c r="I21">
        <v>3</v>
      </c>
      <c r="J21">
        <v>0.42</v>
      </c>
      <c r="K21">
        <v>0.42420000000000002</v>
      </c>
      <c r="L21">
        <v>0.88</v>
      </c>
      <c r="M21">
        <v>0.25369999999999998</v>
      </c>
      <c r="N21">
        <v>6</v>
      </c>
      <c r="O21">
        <v>31</v>
      </c>
      <c r="P21">
        <v>37</v>
      </c>
    </row>
    <row r="22" spans="1:16" x14ac:dyDescent="0.35">
      <c r="A22">
        <v>21</v>
      </c>
      <c r="B22" t="b">
        <v>0</v>
      </c>
      <c r="C22" s="18">
        <v>40544</v>
      </c>
      <c r="D22">
        <v>1</v>
      </c>
      <c r="E22">
        <v>0</v>
      </c>
      <c r="F22">
        <v>1</v>
      </c>
      <c r="G22">
        <v>20</v>
      </c>
      <c r="H22">
        <v>6</v>
      </c>
      <c r="I22">
        <v>2</v>
      </c>
      <c r="J22">
        <v>0.4</v>
      </c>
      <c r="K22">
        <v>0.40910000000000002</v>
      </c>
      <c r="L22">
        <v>0.87</v>
      </c>
      <c r="M22">
        <v>0.25369999999999998</v>
      </c>
      <c r="N22">
        <v>11</v>
      </c>
      <c r="O22">
        <v>25</v>
      </c>
      <c r="P22">
        <v>36</v>
      </c>
    </row>
    <row r="23" spans="1:16" x14ac:dyDescent="0.35">
      <c r="A23">
        <v>22</v>
      </c>
      <c r="B23" t="b">
        <v>0</v>
      </c>
      <c r="C23" s="18">
        <v>40544</v>
      </c>
      <c r="D23">
        <v>1</v>
      </c>
      <c r="E23">
        <v>0</v>
      </c>
      <c r="F23">
        <v>1</v>
      </c>
      <c r="G23">
        <v>21</v>
      </c>
      <c r="H23">
        <v>6</v>
      </c>
      <c r="I23">
        <v>2</v>
      </c>
      <c r="J23">
        <v>0.4</v>
      </c>
      <c r="K23">
        <v>0.40910000000000002</v>
      </c>
      <c r="L23">
        <v>0.87</v>
      </c>
      <c r="M23">
        <v>0.19400000000000001</v>
      </c>
      <c r="N23">
        <v>3</v>
      </c>
      <c r="O23">
        <v>31</v>
      </c>
      <c r="P23">
        <v>34</v>
      </c>
    </row>
    <row r="24" spans="1:16" x14ac:dyDescent="0.35">
      <c r="A24">
        <v>23</v>
      </c>
      <c r="B24" t="b">
        <v>0</v>
      </c>
      <c r="C24" s="18">
        <v>40544</v>
      </c>
      <c r="D24">
        <v>1</v>
      </c>
      <c r="E24">
        <v>0</v>
      </c>
      <c r="F24">
        <v>1</v>
      </c>
      <c r="G24">
        <v>22</v>
      </c>
      <c r="H24">
        <v>6</v>
      </c>
      <c r="I24">
        <v>2</v>
      </c>
      <c r="J24">
        <v>0.4</v>
      </c>
      <c r="K24">
        <v>0.40910000000000002</v>
      </c>
      <c r="L24">
        <v>0.94</v>
      </c>
      <c r="M24">
        <v>0.22389999999999999</v>
      </c>
      <c r="N24">
        <v>11</v>
      </c>
      <c r="O24">
        <v>17</v>
      </c>
      <c r="P24">
        <v>28</v>
      </c>
    </row>
    <row r="25" spans="1:16" x14ac:dyDescent="0.35">
      <c r="A25">
        <v>24</v>
      </c>
      <c r="B25" t="b">
        <v>0</v>
      </c>
      <c r="C25" s="18">
        <v>40544</v>
      </c>
      <c r="D25">
        <v>1</v>
      </c>
      <c r="E25">
        <v>0</v>
      </c>
      <c r="F25">
        <v>1</v>
      </c>
      <c r="G25">
        <v>23</v>
      </c>
      <c r="H25">
        <v>6</v>
      </c>
      <c r="I25">
        <v>2</v>
      </c>
      <c r="J25">
        <v>0.46</v>
      </c>
      <c r="K25">
        <v>0.43180000000000002</v>
      </c>
      <c r="L25">
        <v>0.88</v>
      </c>
      <c r="M25">
        <v>0.29849999999999999</v>
      </c>
      <c r="N25">
        <v>15</v>
      </c>
      <c r="O25">
        <v>24</v>
      </c>
      <c r="P25">
        <v>39</v>
      </c>
    </row>
    <row r="26" spans="1:16" x14ac:dyDescent="0.35">
      <c r="A26">
        <v>25</v>
      </c>
      <c r="B26" t="b">
        <v>0</v>
      </c>
      <c r="C26" s="18">
        <v>40545</v>
      </c>
      <c r="D26">
        <v>1</v>
      </c>
      <c r="E26">
        <v>0</v>
      </c>
      <c r="F26">
        <v>1</v>
      </c>
      <c r="G26">
        <v>0</v>
      </c>
      <c r="H26">
        <v>0</v>
      </c>
      <c r="I26">
        <v>2</v>
      </c>
      <c r="J26">
        <v>0.46</v>
      </c>
      <c r="K26">
        <v>0.45450000000000002</v>
      </c>
      <c r="L26">
        <v>0.88</v>
      </c>
      <c r="M26">
        <v>0.29849999999999999</v>
      </c>
      <c r="N26">
        <v>4</v>
      </c>
      <c r="O26">
        <v>13</v>
      </c>
      <c r="P26">
        <v>17</v>
      </c>
    </row>
    <row r="27" spans="1:16" x14ac:dyDescent="0.35">
      <c r="A27">
        <v>26</v>
      </c>
      <c r="B27" t="b">
        <v>0</v>
      </c>
      <c r="C27" s="18">
        <v>40545</v>
      </c>
      <c r="D27">
        <v>1</v>
      </c>
      <c r="E27">
        <v>0</v>
      </c>
      <c r="F27">
        <v>1</v>
      </c>
      <c r="G27">
        <v>1</v>
      </c>
      <c r="H27">
        <v>0</v>
      </c>
      <c r="I27">
        <v>2</v>
      </c>
      <c r="J27">
        <v>0.44</v>
      </c>
      <c r="K27">
        <v>0.43940000000000001</v>
      </c>
      <c r="L27">
        <v>0.94</v>
      </c>
      <c r="M27">
        <v>0.25369999999999998</v>
      </c>
      <c r="N27">
        <v>1</v>
      </c>
      <c r="O27">
        <v>16</v>
      </c>
      <c r="P27">
        <v>17</v>
      </c>
    </row>
    <row r="28" spans="1:16" x14ac:dyDescent="0.35">
      <c r="A28">
        <v>27</v>
      </c>
      <c r="B28" t="b">
        <v>0</v>
      </c>
      <c r="C28" s="18">
        <v>40545</v>
      </c>
      <c r="D28">
        <v>1</v>
      </c>
      <c r="E28">
        <v>0</v>
      </c>
      <c r="F28">
        <v>1</v>
      </c>
      <c r="G28">
        <v>2</v>
      </c>
      <c r="H28">
        <v>0</v>
      </c>
      <c r="I28">
        <v>2</v>
      </c>
      <c r="J28">
        <v>0.42</v>
      </c>
      <c r="K28">
        <v>0.42420000000000002</v>
      </c>
      <c r="L28">
        <v>1</v>
      </c>
      <c r="M28">
        <v>0.28360000000000002</v>
      </c>
      <c r="N28">
        <v>1</v>
      </c>
      <c r="O28">
        <v>8</v>
      </c>
      <c r="P28">
        <v>9</v>
      </c>
    </row>
    <row r="29" spans="1:16" x14ac:dyDescent="0.35">
      <c r="A29">
        <v>28</v>
      </c>
      <c r="B29" t="b">
        <v>0</v>
      </c>
      <c r="C29" s="18">
        <v>40545</v>
      </c>
      <c r="D29">
        <v>1</v>
      </c>
      <c r="E29">
        <v>0</v>
      </c>
      <c r="F29">
        <v>1</v>
      </c>
      <c r="G29">
        <v>3</v>
      </c>
      <c r="H29">
        <v>0</v>
      </c>
      <c r="I29">
        <v>2</v>
      </c>
      <c r="J29">
        <v>0.46</v>
      </c>
      <c r="K29">
        <v>0.45450000000000002</v>
      </c>
      <c r="L29">
        <v>0.94</v>
      </c>
      <c r="M29">
        <v>0.19400000000000001</v>
      </c>
      <c r="N29">
        <v>2</v>
      </c>
      <c r="O29">
        <v>4</v>
      </c>
      <c r="P29">
        <v>6</v>
      </c>
    </row>
    <row r="30" spans="1:16" x14ac:dyDescent="0.35">
      <c r="A30">
        <v>29</v>
      </c>
      <c r="B30" t="b">
        <v>0</v>
      </c>
      <c r="C30" s="18">
        <v>40545</v>
      </c>
      <c r="D30">
        <v>1</v>
      </c>
      <c r="E30">
        <v>0</v>
      </c>
      <c r="F30">
        <v>1</v>
      </c>
      <c r="G30">
        <v>4</v>
      </c>
      <c r="H30">
        <v>0</v>
      </c>
      <c r="I30">
        <v>2</v>
      </c>
      <c r="J30">
        <v>0.46</v>
      </c>
      <c r="K30">
        <v>0.43935000000000002</v>
      </c>
      <c r="L30">
        <v>0.94</v>
      </c>
      <c r="M30">
        <v>0.19400000000000001</v>
      </c>
      <c r="N30">
        <v>2</v>
      </c>
      <c r="O30">
        <v>1</v>
      </c>
      <c r="P30">
        <v>3</v>
      </c>
    </row>
    <row r="31" spans="1:16" x14ac:dyDescent="0.35">
      <c r="A31">
        <v>30</v>
      </c>
      <c r="B31" t="b">
        <v>0</v>
      </c>
      <c r="C31" s="18">
        <v>40545</v>
      </c>
      <c r="D31">
        <v>1</v>
      </c>
      <c r="E31">
        <v>0</v>
      </c>
      <c r="F31">
        <v>1</v>
      </c>
      <c r="G31">
        <v>6</v>
      </c>
      <c r="H31">
        <v>0</v>
      </c>
      <c r="I31">
        <v>3</v>
      </c>
      <c r="J31">
        <v>0.42</v>
      </c>
      <c r="K31">
        <v>0.42420000000000002</v>
      </c>
      <c r="L31">
        <v>0.77</v>
      </c>
      <c r="M31">
        <v>0.29849999999999999</v>
      </c>
      <c r="N31">
        <v>0</v>
      </c>
      <c r="O31">
        <v>2</v>
      </c>
      <c r="P31">
        <v>2</v>
      </c>
    </row>
    <row r="32" spans="1:16" x14ac:dyDescent="0.35">
      <c r="A32">
        <v>31</v>
      </c>
      <c r="B32" t="b">
        <v>0</v>
      </c>
      <c r="C32" s="18">
        <v>40545</v>
      </c>
      <c r="D32">
        <v>1</v>
      </c>
      <c r="E32">
        <v>0</v>
      </c>
      <c r="F32">
        <v>1</v>
      </c>
      <c r="G32">
        <v>7</v>
      </c>
      <c r="H32">
        <v>0</v>
      </c>
      <c r="I32">
        <v>2</v>
      </c>
      <c r="J32">
        <v>0.4</v>
      </c>
      <c r="K32">
        <v>0.40910000000000002</v>
      </c>
      <c r="L32">
        <v>0.76</v>
      </c>
      <c r="M32">
        <v>0.19400000000000001</v>
      </c>
      <c r="N32">
        <v>0</v>
      </c>
      <c r="O32">
        <v>1</v>
      </c>
      <c r="P32">
        <v>1</v>
      </c>
    </row>
    <row r="33" spans="1:16" x14ac:dyDescent="0.35">
      <c r="A33">
        <v>32</v>
      </c>
      <c r="B33" t="b">
        <v>0</v>
      </c>
      <c r="C33" s="18">
        <v>40545</v>
      </c>
      <c r="D33">
        <v>1</v>
      </c>
      <c r="E33">
        <v>0</v>
      </c>
      <c r="F33">
        <v>1</v>
      </c>
      <c r="G33">
        <v>8</v>
      </c>
      <c r="H33">
        <v>0</v>
      </c>
      <c r="I33">
        <v>3</v>
      </c>
      <c r="J33">
        <v>0.4</v>
      </c>
      <c r="K33">
        <v>0.40910000000000002</v>
      </c>
      <c r="L33">
        <v>0.71</v>
      </c>
      <c r="M33">
        <v>0.22389999999999999</v>
      </c>
      <c r="N33">
        <v>0</v>
      </c>
      <c r="O33">
        <v>8</v>
      </c>
      <c r="P33">
        <v>8</v>
      </c>
    </row>
    <row r="34" spans="1:16" x14ac:dyDescent="0.35">
      <c r="A34">
        <v>33</v>
      </c>
      <c r="B34" t="b">
        <v>0</v>
      </c>
      <c r="C34" s="18">
        <v>40545</v>
      </c>
      <c r="D34">
        <v>1</v>
      </c>
      <c r="E34">
        <v>0</v>
      </c>
      <c r="F34">
        <v>1</v>
      </c>
      <c r="G34">
        <v>9</v>
      </c>
      <c r="H34">
        <v>0</v>
      </c>
      <c r="I34">
        <v>2</v>
      </c>
      <c r="J34">
        <v>0.38</v>
      </c>
      <c r="K34">
        <v>0.37880000000000003</v>
      </c>
      <c r="L34">
        <v>0.76</v>
      </c>
      <c r="M34">
        <v>0.22389999999999999</v>
      </c>
      <c r="N34">
        <v>1</v>
      </c>
      <c r="O34">
        <v>19</v>
      </c>
      <c r="P34">
        <v>20</v>
      </c>
    </row>
    <row r="35" spans="1:16" x14ac:dyDescent="0.35">
      <c r="A35">
        <v>34</v>
      </c>
      <c r="B35" t="b">
        <v>0</v>
      </c>
      <c r="C35" s="18">
        <v>40545</v>
      </c>
      <c r="D35">
        <v>1</v>
      </c>
      <c r="E35">
        <v>0</v>
      </c>
      <c r="F35">
        <v>1</v>
      </c>
      <c r="G35">
        <v>10</v>
      </c>
      <c r="H35">
        <v>0</v>
      </c>
      <c r="I35">
        <v>2</v>
      </c>
      <c r="J35">
        <v>0.36</v>
      </c>
      <c r="K35">
        <v>0.34849999999999998</v>
      </c>
      <c r="L35">
        <v>0.81</v>
      </c>
      <c r="M35">
        <v>0.22389999999999999</v>
      </c>
      <c r="N35">
        <v>7</v>
      </c>
      <c r="O35">
        <v>46</v>
      </c>
      <c r="P35">
        <v>53</v>
      </c>
    </row>
    <row r="36" spans="1:16" x14ac:dyDescent="0.35">
      <c r="A36">
        <v>35</v>
      </c>
      <c r="B36" t="b">
        <v>0</v>
      </c>
      <c r="C36" s="18">
        <v>40545</v>
      </c>
      <c r="D36">
        <v>1</v>
      </c>
      <c r="E36">
        <v>0</v>
      </c>
      <c r="F36">
        <v>1</v>
      </c>
      <c r="G36">
        <v>11</v>
      </c>
      <c r="H36">
        <v>0</v>
      </c>
      <c r="I36">
        <v>2</v>
      </c>
      <c r="J36">
        <v>0.36</v>
      </c>
      <c r="K36">
        <v>0.33329999999999999</v>
      </c>
      <c r="L36">
        <v>0.71</v>
      </c>
      <c r="M36">
        <v>0.25369999999999998</v>
      </c>
      <c r="N36">
        <v>16</v>
      </c>
      <c r="O36">
        <v>54</v>
      </c>
      <c r="P36">
        <v>70</v>
      </c>
    </row>
    <row r="37" spans="1:16" x14ac:dyDescent="0.35">
      <c r="A37">
        <v>36</v>
      </c>
      <c r="B37" t="b">
        <v>0</v>
      </c>
      <c r="C37" s="18">
        <v>40545</v>
      </c>
      <c r="D37">
        <v>1</v>
      </c>
      <c r="E37">
        <v>0</v>
      </c>
      <c r="F37">
        <v>1</v>
      </c>
      <c r="G37">
        <v>12</v>
      </c>
      <c r="H37">
        <v>0</v>
      </c>
      <c r="I37">
        <v>2</v>
      </c>
      <c r="J37">
        <v>0.36</v>
      </c>
      <c r="K37">
        <v>0.33329999999999999</v>
      </c>
      <c r="L37">
        <v>0.66</v>
      </c>
      <c r="M37">
        <v>0.29849999999999999</v>
      </c>
      <c r="N37">
        <v>20</v>
      </c>
      <c r="O37">
        <v>73</v>
      </c>
      <c r="P37">
        <v>93</v>
      </c>
    </row>
    <row r="38" spans="1:16" x14ac:dyDescent="0.35">
      <c r="A38">
        <v>37</v>
      </c>
      <c r="B38" t="b">
        <v>0</v>
      </c>
      <c r="C38" s="18">
        <v>40545</v>
      </c>
      <c r="D38">
        <v>1</v>
      </c>
      <c r="E38">
        <v>0</v>
      </c>
      <c r="F38">
        <v>1</v>
      </c>
      <c r="G38">
        <v>13</v>
      </c>
      <c r="H38">
        <v>0</v>
      </c>
      <c r="I38">
        <v>2</v>
      </c>
      <c r="J38">
        <v>0.36</v>
      </c>
      <c r="K38">
        <v>0.34849999999999998</v>
      </c>
      <c r="L38">
        <v>0.66</v>
      </c>
      <c r="M38">
        <v>0.1343</v>
      </c>
      <c r="N38">
        <v>11</v>
      </c>
      <c r="O38">
        <v>64</v>
      </c>
      <c r="P38">
        <v>75</v>
      </c>
    </row>
    <row r="39" spans="1:16" x14ac:dyDescent="0.35">
      <c r="A39">
        <v>38</v>
      </c>
      <c r="B39" t="b">
        <v>0</v>
      </c>
      <c r="C39" s="18">
        <v>40545</v>
      </c>
      <c r="D39">
        <v>1</v>
      </c>
      <c r="E39">
        <v>0</v>
      </c>
      <c r="F39">
        <v>1</v>
      </c>
      <c r="G39">
        <v>14</v>
      </c>
      <c r="H39">
        <v>0</v>
      </c>
      <c r="I39">
        <v>3</v>
      </c>
      <c r="J39">
        <v>0.36</v>
      </c>
      <c r="K39">
        <v>0.34089999999999998</v>
      </c>
      <c r="L39">
        <v>0.76</v>
      </c>
      <c r="M39">
        <v>0.19400000000000001</v>
      </c>
      <c r="N39">
        <v>4</v>
      </c>
      <c r="O39">
        <v>55</v>
      </c>
      <c r="P39">
        <v>59</v>
      </c>
    </row>
    <row r="40" spans="1:16" x14ac:dyDescent="0.35">
      <c r="A40">
        <v>39</v>
      </c>
      <c r="B40" t="b">
        <v>0</v>
      </c>
      <c r="C40" s="18">
        <v>40545</v>
      </c>
      <c r="D40">
        <v>1</v>
      </c>
      <c r="E40">
        <v>0</v>
      </c>
      <c r="F40">
        <v>1</v>
      </c>
      <c r="G40">
        <v>15</v>
      </c>
      <c r="H40">
        <v>0</v>
      </c>
      <c r="I40">
        <v>3</v>
      </c>
      <c r="J40">
        <v>0.34</v>
      </c>
      <c r="K40">
        <v>0.33329999999999999</v>
      </c>
      <c r="L40">
        <v>0.81</v>
      </c>
      <c r="M40">
        <v>0.16420000000000001</v>
      </c>
      <c r="N40">
        <v>19</v>
      </c>
      <c r="O40">
        <v>55</v>
      </c>
      <c r="P40">
        <v>74</v>
      </c>
    </row>
    <row r="41" spans="1:16" x14ac:dyDescent="0.35">
      <c r="A41">
        <v>40</v>
      </c>
      <c r="B41" t="b">
        <v>0</v>
      </c>
      <c r="C41" s="18">
        <v>40545</v>
      </c>
      <c r="D41">
        <v>1</v>
      </c>
      <c r="E41">
        <v>0</v>
      </c>
      <c r="F41">
        <v>1</v>
      </c>
      <c r="G41">
        <v>16</v>
      </c>
      <c r="H41">
        <v>0</v>
      </c>
      <c r="I41">
        <v>3</v>
      </c>
      <c r="J41">
        <v>0.34</v>
      </c>
      <c r="K41">
        <v>0.33329999999999999</v>
      </c>
      <c r="L41">
        <v>0.71</v>
      </c>
      <c r="M41">
        <v>0.16420000000000001</v>
      </c>
      <c r="N41">
        <v>9</v>
      </c>
      <c r="O41">
        <v>67</v>
      </c>
      <c r="P41">
        <v>76</v>
      </c>
    </row>
    <row r="42" spans="1:16" x14ac:dyDescent="0.35">
      <c r="A42">
        <v>41</v>
      </c>
      <c r="B42" t="b">
        <v>0</v>
      </c>
      <c r="C42" s="18">
        <v>40545</v>
      </c>
      <c r="D42">
        <v>1</v>
      </c>
      <c r="E42">
        <v>0</v>
      </c>
      <c r="F42">
        <v>1</v>
      </c>
      <c r="G42">
        <v>17</v>
      </c>
      <c r="H42">
        <v>0</v>
      </c>
      <c r="I42">
        <v>1</v>
      </c>
      <c r="J42">
        <v>0.34</v>
      </c>
      <c r="K42">
        <v>0.33329999999999999</v>
      </c>
      <c r="L42">
        <v>0.56999999999999995</v>
      </c>
      <c r="M42">
        <v>0.19400000000000001</v>
      </c>
      <c r="N42">
        <v>7</v>
      </c>
      <c r="O42">
        <v>58</v>
      </c>
      <c r="P42">
        <v>65</v>
      </c>
    </row>
    <row r="43" spans="1:16" x14ac:dyDescent="0.35">
      <c r="A43">
        <v>42</v>
      </c>
      <c r="B43" t="b">
        <v>0</v>
      </c>
      <c r="C43" s="18">
        <v>40545</v>
      </c>
      <c r="D43">
        <v>1</v>
      </c>
      <c r="E43">
        <v>0</v>
      </c>
      <c r="F43">
        <v>1</v>
      </c>
      <c r="G43">
        <v>18</v>
      </c>
      <c r="H43">
        <v>0</v>
      </c>
      <c r="I43">
        <v>2</v>
      </c>
      <c r="J43">
        <v>0.36</v>
      </c>
      <c r="K43">
        <v>0.33329999999999999</v>
      </c>
      <c r="L43">
        <v>0.46</v>
      </c>
      <c r="M43">
        <v>0.32840000000000003</v>
      </c>
      <c r="N43">
        <v>10</v>
      </c>
      <c r="O43">
        <v>43</v>
      </c>
      <c r="P43">
        <v>53</v>
      </c>
    </row>
    <row r="44" spans="1:16" x14ac:dyDescent="0.35">
      <c r="A44">
        <v>43</v>
      </c>
      <c r="B44" t="b">
        <v>0</v>
      </c>
      <c r="C44" s="18">
        <v>40545</v>
      </c>
      <c r="D44">
        <v>1</v>
      </c>
      <c r="E44">
        <v>0</v>
      </c>
      <c r="F44">
        <v>1</v>
      </c>
      <c r="G44">
        <v>19</v>
      </c>
      <c r="H44">
        <v>0</v>
      </c>
      <c r="I44">
        <v>1</v>
      </c>
      <c r="J44">
        <v>0.32</v>
      </c>
      <c r="K44">
        <v>0.28789999999999999</v>
      </c>
      <c r="L44">
        <v>0.42</v>
      </c>
      <c r="M44">
        <v>0.44779999999999998</v>
      </c>
      <c r="N44">
        <v>1</v>
      </c>
      <c r="O44">
        <v>29</v>
      </c>
      <c r="P44">
        <v>30</v>
      </c>
    </row>
    <row r="45" spans="1:16" x14ac:dyDescent="0.35">
      <c r="A45">
        <v>44</v>
      </c>
      <c r="B45" t="b">
        <v>0</v>
      </c>
      <c r="C45" s="18">
        <v>40545</v>
      </c>
      <c r="D45">
        <v>1</v>
      </c>
      <c r="E45">
        <v>0</v>
      </c>
      <c r="F45">
        <v>1</v>
      </c>
      <c r="G45">
        <v>20</v>
      </c>
      <c r="H45">
        <v>0</v>
      </c>
      <c r="I45">
        <v>1</v>
      </c>
      <c r="J45">
        <v>0.3</v>
      </c>
      <c r="K45">
        <v>0.2576</v>
      </c>
      <c r="L45">
        <v>0.39</v>
      </c>
      <c r="M45">
        <v>0.35820000000000002</v>
      </c>
      <c r="N45">
        <v>5</v>
      </c>
      <c r="O45">
        <v>17</v>
      </c>
      <c r="P45">
        <v>22</v>
      </c>
    </row>
    <row r="46" spans="1:16" x14ac:dyDescent="0.35">
      <c r="A46">
        <v>45</v>
      </c>
      <c r="B46" t="b">
        <v>0</v>
      </c>
      <c r="C46" s="18">
        <v>40545</v>
      </c>
      <c r="D46">
        <v>1</v>
      </c>
      <c r="E46">
        <v>0</v>
      </c>
      <c r="F46">
        <v>1</v>
      </c>
      <c r="G46">
        <v>21</v>
      </c>
      <c r="H46">
        <v>0</v>
      </c>
      <c r="I46">
        <v>1</v>
      </c>
      <c r="J46">
        <v>0.26</v>
      </c>
      <c r="K46">
        <v>0.2273</v>
      </c>
      <c r="L46">
        <v>0.44</v>
      </c>
      <c r="M46">
        <v>0.32840000000000003</v>
      </c>
      <c r="N46">
        <v>11</v>
      </c>
      <c r="O46">
        <v>20</v>
      </c>
      <c r="P46">
        <v>31</v>
      </c>
    </row>
    <row r="47" spans="1:16" x14ac:dyDescent="0.35">
      <c r="A47">
        <v>46</v>
      </c>
      <c r="B47" t="b">
        <v>0</v>
      </c>
      <c r="C47" s="18">
        <v>40545</v>
      </c>
      <c r="D47">
        <v>1</v>
      </c>
      <c r="E47">
        <v>0</v>
      </c>
      <c r="F47">
        <v>1</v>
      </c>
      <c r="G47">
        <v>22</v>
      </c>
      <c r="H47">
        <v>0</v>
      </c>
      <c r="I47">
        <v>1</v>
      </c>
      <c r="J47">
        <v>0.24</v>
      </c>
      <c r="K47">
        <v>0.21210000000000001</v>
      </c>
      <c r="L47">
        <v>0.44</v>
      </c>
      <c r="M47">
        <v>0.29849999999999999</v>
      </c>
      <c r="N47">
        <v>0</v>
      </c>
      <c r="O47">
        <v>9</v>
      </c>
      <c r="P47">
        <v>9</v>
      </c>
    </row>
    <row r="48" spans="1:16" x14ac:dyDescent="0.35">
      <c r="A48">
        <v>47</v>
      </c>
      <c r="B48" t="b">
        <v>0</v>
      </c>
      <c r="C48" s="18">
        <v>40545</v>
      </c>
      <c r="D48">
        <v>1</v>
      </c>
      <c r="E48">
        <v>0</v>
      </c>
      <c r="F48">
        <v>1</v>
      </c>
      <c r="G48">
        <v>23</v>
      </c>
      <c r="H48">
        <v>0</v>
      </c>
      <c r="I48">
        <v>1</v>
      </c>
      <c r="J48">
        <v>0.22</v>
      </c>
      <c r="K48">
        <v>0.2273</v>
      </c>
      <c r="L48">
        <v>0.47</v>
      </c>
      <c r="M48">
        <v>0.16420000000000001</v>
      </c>
      <c r="N48">
        <v>0</v>
      </c>
      <c r="O48">
        <v>8</v>
      </c>
      <c r="P48">
        <v>8</v>
      </c>
    </row>
    <row r="49" spans="1:16" x14ac:dyDescent="0.35">
      <c r="A49">
        <v>48</v>
      </c>
      <c r="B49" t="b">
        <v>0</v>
      </c>
      <c r="C49" s="18">
        <v>40546</v>
      </c>
      <c r="D49">
        <v>1</v>
      </c>
      <c r="E49">
        <v>0</v>
      </c>
      <c r="F49">
        <v>1</v>
      </c>
      <c r="G49">
        <v>0</v>
      </c>
      <c r="H49">
        <v>1</v>
      </c>
      <c r="I49">
        <v>1</v>
      </c>
      <c r="J49">
        <v>0.22</v>
      </c>
      <c r="K49">
        <v>0.19700000000000001</v>
      </c>
      <c r="L49">
        <v>0.44</v>
      </c>
      <c r="M49">
        <v>0.35820000000000002</v>
      </c>
      <c r="N49">
        <v>0</v>
      </c>
      <c r="O49">
        <v>5</v>
      </c>
      <c r="P49">
        <v>5</v>
      </c>
    </row>
    <row r="50" spans="1:16" x14ac:dyDescent="0.35">
      <c r="A50">
        <v>49</v>
      </c>
      <c r="B50" t="b">
        <v>0</v>
      </c>
      <c r="C50" s="18">
        <v>40546</v>
      </c>
      <c r="D50">
        <v>1</v>
      </c>
      <c r="E50">
        <v>0</v>
      </c>
      <c r="F50">
        <v>1</v>
      </c>
      <c r="G50">
        <v>1</v>
      </c>
      <c r="H50">
        <v>1</v>
      </c>
      <c r="I50">
        <v>1</v>
      </c>
      <c r="J50">
        <v>0.2</v>
      </c>
      <c r="K50">
        <v>0.16670000000000001</v>
      </c>
      <c r="L50">
        <v>0.44</v>
      </c>
      <c r="M50">
        <v>0.41789999999999999</v>
      </c>
      <c r="N50">
        <v>0</v>
      </c>
      <c r="O50">
        <v>2</v>
      </c>
      <c r="P50">
        <v>2</v>
      </c>
    </row>
    <row r="51" spans="1:16" x14ac:dyDescent="0.35">
      <c r="A51">
        <v>50</v>
      </c>
      <c r="B51" t="b">
        <v>0</v>
      </c>
      <c r="C51" s="18">
        <v>40546</v>
      </c>
      <c r="D51">
        <v>1</v>
      </c>
      <c r="E51">
        <v>0</v>
      </c>
      <c r="F51">
        <v>1</v>
      </c>
      <c r="G51">
        <v>4</v>
      </c>
      <c r="H51">
        <v>1</v>
      </c>
      <c r="I51">
        <v>1</v>
      </c>
      <c r="J51">
        <v>0.16</v>
      </c>
      <c r="K51">
        <v>0.13639999999999999</v>
      </c>
      <c r="L51">
        <v>0.47</v>
      </c>
      <c r="M51">
        <v>0.3881</v>
      </c>
      <c r="N51">
        <v>0</v>
      </c>
      <c r="O51">
        <v>1</v>
      </c>
      <c r="P51">
        <v>1</v>
      </c>
    </row>
    <row r="52" spans="1:16" x14ac:dyDescent="0.35">
      <c r="A52">
        <v>51</v>
      </c>
      <c r="B52" t="b">
        <v>0</v>
      </c>
      <c r="C52" s="18">
        <v>40546</v>
      </c>
      <c r="D52">
        <v>1</v>
      </c>
      <c r="E52">
        <v>0</v>
      </c>
      <c r="F52">
        <v>1</v>
      </c>
      <c r="G52">
        <v>5</v>
      </c>
      <c r="H52">
        <v>1</v>
      </c>
      <c r="I52">
        <v>1</v>
      </c>
      <c r="J52">
        <v>0.16</v>
      </c>
      <c r="K52">
        <v>0.13639999999999999</v>
      </c>
      <c r="L52">
        <v>0.47</v>
      </c>
      <c r="M52">
        <v>0.28360000000000002</v>
      </c>
      <c r="N52">
        <v>0</v>
      </c>
      <c r="O52">
        <v>3</v>
      </c>
      <c r="P52">
        <v>3</v>
      </c>
    </row>
    <row r="53" spans="1:16" x14ac:dyDescent="0.35">
      <c r="A53">
        <v>52</v>
      </c>
      <c r="B53" t="b">
        <v>0</v>
      </c>
      <c r="C53" s="18">
        <v>40546</v>
      </c>
      <c r="D53">
        <v>1</v>
      </c>
      <c r="E53">
        <v>0</v>
      </c>
      <c r="F53">
        <v>1</v>
      </c>
      <c r="G53">
        <v>6</v>
      </c>
      <c r="H53">
        <v>1</v>
      </c>
      <c r="I53">
        <v>1</v>
      </c>
      <c r="J53">
        <v>0.14000000000000001</v>
      </c>
      <c r="K53">
        <v>0.1061</v>
      </c>
      <c r="L53">
        <v>0.5</v>
      </c>
      <c r="M53">
        <v>0.3881</v>
      </c>
      <c r="N53">
        <v>0</v>
      </c>
      <c r="O53">
        <v>30</v>
      </c>
      <c r="P53">
        <v>30</v>
      </c>
    </row>
    <row r="54" spans="1:16" x14ac:dyDescent="0.35">
      <c r="A54">
        <v>53</v>
      </c>
      <c r="B54" t="b">
        <v>0</v>
      </c>
      <c r="C54" s="18">
        <v>40546</v>
      </c>
      <c r="D54">
        <v>1</v>
      </c>
      <c r="E54">
        <v>0</v>
      </c>
      <c r="F54">
        <v>1</v>
      </c>
      <c r="G54">
        <v>7</v>
      </c>
      <c r="H54">
        <v>1</v>
      </c>
      <c r="I54">
        <v>1</v>
      </c>
      <c r="J54">
        <v>0.14000000000000001</v>
      </c>
      <c r="K54">
        <v>0.13639999999999999</v>
      </c>
      <c r="L54">
        <v>0.5</v>
      </c>
      <c r="M54">
        <v>0.19400000000000001</v>
      </c>
      <c r="N54">
        <v>1</v>
      </c>
      <c r="O54">
        <v>63</v>
      </c>
      <c r="P54">
        <v>64</v>
      </c>
    </row>
    <row r="55" spans="1:16" x14ac:dyDescent="0.35">
      <c r="A55">
        <v>54</v>
      </c>
      <c r="B55" t="b">
        <v>0</v>
      </c>
      <c r="C55" s="18">
        <v>40546</v>
      </c>
      <c r="D55">
        <v>1</v>
      </c>
      <c r="E55">
        <v>0</v>
      </c>
      <c r="F55">
        <v>1</v>
      </c>
      <c r="G55">
        <v>8</v>
      </c>
      <c r="H55">
        <v>1</v>
      </c>
      <c r="I55">
        <v>1</v>
      </c>
      <c r="J55">
        <v>0.14000000000000001</v>
      </c>
      <c r="K55">
        <v>0.1212</v>
      </c>
      <c r="L55">
        <v>0.5</v>
      </c>
      <c r="M55">
        <v>0.28360000000000002</v>
      </c>
      <c r="N55">
        <v>1</v>
      </c>
      <c r="O55">
        <v>153</v>
      </c>
      <c r="P55">
        <v>154</v>
      </c>
    </row>
    <row r="56" spans="1:16" x14ac:dyDescent="0.35">
      <c r="A56">
        <v>55</v>
      </c>
      <c r="B56" t="b">
        <v>0</v>
      </c>
      <c r="C56" s="18">
        <v>40546</v>
      </c>
      <c r="D56">
        <v>1</v>
      </c>
      <c r="E56">
        <v>0</v>
      </c>
      <c r="F56">
        <v>1</v>
      </c>
      <c r="G56">
        <v>9</v>
      </c>
      <c r="H56">
        <v>1</v>
      </c>
      <c r="I56">
        <v>1</v>
      </c>
      <c r="J56">
        <v>0.16</v>
      </c>
      <c r="K56">
        <v>0.13639999999999999</v>
      </c>
      <c r="L56">
        <v>0.43</v>
      </c>
      <c r="M56">
        <v>0.3881</v>
      </c>
      <c r="N56">
        <v>7</v>
      </c>
      <c r="O56">
        <v>81</v>
      </c>
      <c r="P56">
        <v>88</v>
      </c>
    </row>
    <row r="57" spans="1:16" x14ac:dyDescent="0.35">
      <c r="A57">
        <v>56</v>
      </c>
      <c r="B57" t="b">
        <v>0</v>
      </c>
      <c r="C57" s="18">
        <v>40546</v>
      </c>
      <c r="D57">
        <v>1</v>
      </c>
      <c r="E57">
        <v>0</v>
      </c>
      <c r="F57">
        <v>1</v>
      </c>
      <c r="G57">
        <v>10</v>
      </c>
      <c r="H57">
        <v>1</v>
      </c>
      <c r="I57">
        <v>1</v>
      </c>
      <c r="J57">
        <v>0.18</v>
      </c>
      <c r="K57">
        <v>0.16669999999999999</v>
      </c>
      <c r="L57">
        <v>0.43</v>
      </c>
      <c r="M57">
        <v>0.25369999999999998</v>
      </c>
      <c r="N57">
        <v>11</v>
      </c>
      <c r="O57">
        <v>33</v>
      </c>
      <c r="P57">
        <v>44</v>
      </c>
    </row>
    <row r="58" spans="1:16" x14ac:dyDescent="0.35">
      <c r="A58">
        <v>57</v>
      </c>
      <c r="B58" t="b">
        <v>0</v>
      </c>
      <c r="C58" s="18">
        <v>40546</v>
      </c>
      <c r="D58">
        <v>1</v>
      </c>
      <c r="E58">
        <v>0</v>
      </c>
      <c r="F58">
        <v>1</v>
      </c>
      <c r="G58">
        <v>11</v>
      </c>
      <c r="H58">
        <v>1</v>
      </c>
      <c r="I58">
        <v>1</v>
      </c>
      <c r="J58">
        <v>0.2</v>
      </c>
      <c r="K58">
        <v>0.18179999999999999</v>
      </c>
      <c r="L58">
        <v>0.4</v>
      </c>
      <c r="M58">
        <v>0.32840000000000003</v>
      </c>
      <c r="N58">
        <v>10</v>
      </c>
      <c r="O58">
        <v>41</v>
      </c>
      <c r="P58">
        <v>51</v>
      </c>
    </row>
    <row r="59" spans="1:16" x14ac:dyDescent="0.35">
      <c r="A59">
        <v>58</v>
      </c>
      <c r="B59" t="b">
        <v>0</v>
      </c>
      <c r="C59" s="18">
        <v>40546</v>
      </c>
      <c r="D59">
        <v>1</v>
      </c>
      <c r="E59">
        <v>0</v>
      </c>
      <c r="F59">
        <v>1</v>
      </c>
      <c r="G59">
        <v>12</v>
      </c>
      <c r="H59">
        <v>1</v>
      </c>
      <c r="I59">
        <v>1</v>
      </c>
      <c r="J59">
        <v>0.22</v>
      </c>
      <c r="K59">
        <v>0.21210000000000001</v>
      </c>
      <c r="L59">
        <v>0.35</v>
      </c>
      <c r="M59">
        <v>0.29849999999999999</v>
      </c>
      <c r="N59">
        <v>13</v>
      </c>
      <c r="O59">
        <v>48</v>
      </c>
      <c r="P59">
        <v>61</v>
      </c>
    </row>
    <row r="60" spans="1:16" x14ac:dyDescent="0.35">
      <c r="A60">
        <v>59</v>
      </c>
      <c r="B60" t="b">
        <v>0</v>
      </c>
      <c r="C60" s="18">
        <v>40546</v>
      </c>
      <c r="D60">
        <v>1</v>
      </c>
      <c r="E60">
        <v>0</v>
      </c>
      <c r="F60">
        <v>1</v>
      </c>
      <c r="G60">
        <v>13</v>
      </c>
      <c r="H60">
        <v>1</v>
      </c>
      <c r="I60">
        <v>1</v>
      </c>
      <c r="J60">
        <v>0.24</v>
      </c>
      <c r="K60">
        <v>0.22725000000000001</v>
      </c>
      <c r="L60">
        <v>0.35</v>
      </c>
      <c r="M60">
        <v>0.28360000000000002</v>
      </c>
      <c r="N60">
        <v>8</v>
      </c>
      <c r="O60">
        <v>53</v>
      </c>
      <c r="P60">
        <v>61</v>
      </c>
    </row>
    <row r="61" spans="1:16" x14ac:dyDescent="0.35">
      <c r="A61">
        <v>60</v>
      </c>
      <c r="B61" t="b">
        <v>0</v>
      </c>
      <c r="C61" s="18">
        <v>40546</v>
      </c>
      <c r="D61">
        <v>1</v>
      </c>
      <c r="E61">
        <v>0</v>
      </c>
      <c r="F61">
        <v>1</v>
      </c>
      <c r="G61">
        <v>14</v>
      </c>
      <c r="H61">
        <v>1</v>
      </c>
      <c r="I61">
        <v>1</v>
      </c>
      <c r="J61">
        <v>0.26</v>
      </c>
      <c r="K61">
        <v>0.2424</v>
      </c>
      <c r="L61">
        <v>0.3</v>
      </c>
      <c r="M61">
        <v>0.28360000000000002</v>
      </c>
      <c r="N61">
        <v>11</v>
      </c>
      <c r="O61">
        <v>66</v>
      </c>
      <c r="P61">
        <v>77</v>
      </c>
    </row>
    <row r="62" spans="1:16" x14ac:dyDescent="0.35">
      <c r="A62">
        <v>61</v>
      </c>
      <c r="B62" t="b">
        <v>0</v>
      </c>
      <c r="C62" s="18">
        <v>40546</v>
      </c>
      <c r="D62">
        <v>1</v>
      </c>
      <c r="E62">
        <v>0</v>
      </c>
      <c r="F62">
        <v>1</v>
      </c>
      <c r="G62">
        <v>15</v>
      </c>
      <c r="H62">
        <v>1</v>
      </c>
      <c r="I62">
        <v>1</v>
      </c>
      <c r="J62">
        <v>0.26</v>
      </c>
      <c r="K62">
        <v>0.2424</v>
      </c>
      <c r="L62">
        <v>0.3</v>
      </c>
      <c r="M62">
        <v>0.25369999999999998</v>
      </c>
      <c r="N62">
        <v>14</v>
      </c>
      <c r="O62">
        <v>58</v>
      </c>
      <c r="P62">
        <v>72</v>
      </c>
    </row>
    <row r="63" spans="1:16" x14ac:dyDescent="0.35">
      <c r="A63">
        <v>62</v>
      </c>
      <c r="B63" t="b">
        <v>0</v>
      </c>
      <c r="C63" s="18">
        <v>40546</v>
      </c>
      <c r="D63">
        <v>1</v>
      </c>
      <c r="E63">
        <v>0</v>
      </c>
      <c r="F63">
        <v>1</v>
      </c>
      <c r="G63">
        <v>16</v>
      </c>
      <c r="H63">
        <v>1</v>
      </c>
      <c r="I63">
        <v>1</v>
      </c>
      <c r="J63">
        <v>0.26</v>
      </c>
      <c r="K63">
        <v>0.2424</v>
      </c>
      <c r="L63">
        <v>0.3</v>
      </c>
      <c r="M63">
        <v>0.25369999999999998</v>
      </c>
      <c r="N63">
        <v>9</v>
      </c>
      <c r="O63">
        <v>67</v>
      </c>
      <c r="P63">
        <v>76</v>
      </c>
    </row>
    <row r="64" spans="1:16" x14ac:dyDescent="0.35">
      <c r="A64">
        <v>63</v>
      </c>
      <c r="B64" t="b">
        <v>0</v>
      </c>
      <c r="C64" s="18">
        <v>40546</v>
      </c>
      <c r="D64">
        <v>1</v>
      </c>
      <c r="E64">
        <v>0</v>
      </c>
      <c r="F64">
        <v>1</v>
      </c>
      <c r="G64">
        <v>17</v>
      </c>
      <c r="H64">
        <v>1</v>
      </c>
      <c r="I64">
        <v>1</v>
      </c>
      <c r="J64">
        <v>0.24</v>
      </c>
      <c r="K64">
        <v>0.2273</v>
      </c>
      <c r="L64">
        <v>0.3</v>
      </c>
      <c r="M64">
        <v>0.22389999999999999</v>
      </c>
      <c r="N64">
        <v>11</v>
      </c>
      <c r="O64">
        <v>146</v>
      </c>
      <c r="P64">
        <v>157</v>
      </c>
    </row>
    <row r="65" spans="1:16" x14ac:dyDescent="0.35">
      <c r="A65">
        <v>64</v>
      </c>
      <c r="B65" t="b">
        <v>0</v>
      </c>
      <c r="C65" s="18">
        <v>40546</v>
      </c>
      <c r="D65">
        <v>1</v>
      </c>
      <c r="E65">
        <v>0</v>
      </c>
      <c r="F65">
        <v>1</v>
      </c>
      <c r="G65">
        <v>18</v>
      </c>
      <c r="H65">
        <v>1</v>
      </c>
      <c r="I65">
        <v>1</v>
      </c>
      <c r="J65">
        <v>0.24</v>
      </c>
      <c r="K65">
        <v>0.2576</v>
      </c>
      <c r="L65">
        <v>0.32</v>
      </c>
      <c r="M65">
        <v>0.1045</v>
      </c>
      <c r="N65">
        <v>9</v>
      </c>
      <c r="O65">
        <v>148</v>
      </c>
      <c r="P65">
        <v>157</v>
      </c>
    </row>
    <row r="66" spans="1:16" x14ac:dyDescent="0.35">
      <c r="A66">
        <v>65</v>
      </c>
      <c r="B66" t="b">
        <v>0</v>
      </c>
      <c r="C66" s="18">
        <v>40546</v>
      </c>
      <c r="D66">
        <v>1</v>
      </c>
      <c r="E66">
        <v>0</v>
      </c>
      <c r="F66">
        <v>1</v>
      </c>
      <c r="G66">
        <v>19</v>
      </c>
      <c r="H66">
        <v>1</v>
      </c>
      <c r="I66">
        <v>1</v>
      </c>
      <c r="J66">
        <v>0.2</v>
      </c>
      <c r="K66">
        <v>0.2576</v>
      </c>
      <c r="L66">
        <v>0.47</v>
      </c>
      <c r="M66">
        <v>0</v>
      </c>
      <c r="N66">
        <v>8</v>
      </c>
      <c r="O66">
        <v>102</v>
      </c>
      <c r="P66">
        <v>110</v>
      </c>
    </row>
    <row r="67" spans="1:16" x14ac:dyDescent="0.35">
      <c r="A67">
        <v>66</v>
      </c>
      <c r="B67" t="b">
        <v>0</v>
      </c>
      <c r="C67" s="18">
        <v>40546</v>
      </c>
      <c r="D67">
        <v>1</v>
      </c>
      <c r="E67">
        <v>0</v>
      </c>
      <c r="F67">
        <v>1</v>
      </c>
      <c r="G67">
        <v>20</v>
      </c>
      <c r="H67">
        <v>1</v>
      </c>
      <c r="I67">
        <v>1</v>
      </c>
      <c r="J67">
        <v>0.2</v>
      </c>
      <c r="K67">
        <v>0.2273</v>
      </c>
      <c r="L67">
        <v>0.47</v>
      </c>
      <c r="M67">
        <v>0.1045</v>
      </c>
      <c r="N67">
        <v>3</v>
      </c>
      <c r="O67">
        <v>49</v>
      </c>
      <c r="P67">
        <v>52</v>
      </c>
    </row>
    <row r="68" spans="1:16" x14ac:dyDescent="0.35">
      <c r="A68">
        <v>67</v>
      </c>
      <c r="B68" t="b">
        <v>0</v>
      </c>
      <c r="C68" s="18">
        <v>40546</v>
      </c>
      <c r="D68">
        <v>1</v>
      </c>
      <c r="E68">
        <v>0</v>
      </c>
      <c r="F68">
        <v>1</v>
      </c>
      <c r="G68">
        <v>21</v>
      </c>
      <c r="H68">
        <v>1</v>
      </c>
      <c r="I68">
        <v>1</v>
      </c>
      <c r="J68">
        <v>0.18</v>
      </c>
      <c r="K68">
        <v>0.19700000000000001</v>
      </c>
      <c r="L68">
        <v>0.64</v>
      </c>
      <c r="M68">
        <v>0.1343</v>
      </c>
      <c r="N68">
        <v>3</v>
      </c>
      <c r="O68">
        <v>49</v>
      </c>
      <c r="P68">
        <v>52</v>
      </c>
    </row>
    <row r="69" spans="1:16" x14ac:dyDescent="0.35">
      <c r="A69">
        <v>68</v>
      </c>
      <c r="B69" t="b">
        <v>0</v>
      </c>
      <c r="C69" s="18">
        <v>40546</v>
      </c>
      <c r="D69">
        <v>1</v>
      </c>
      <c r="E69">
        <v>0</v>
      </c>
      <c r="F69">
        <v>1</v>
      </c>
      <c r="G69">
        <v>22</v>
      </c>
      <c r="H69">
        <v>1</v>
      </c>
      <c r="I69">
        <v>1</v>
      </c>
      <c r="J69">
        <v>0.14000000000000001</v>
      </c>
      <c r="K69">
        <v>0.1515</v>
      </c>
      <c r="L69">
        <v>0.69</v>
      </c>
      <c r="M69">
        <v>0.1343</v>
      </c>
      <c r="N69">
        <v>0</v>
      </c>
      <c r="O69">
        <v>20</v>
      </c>
      <c r="P69">
        <v>20</v>
      </c>
    </row>
    <row r="70" spans="1:16" x14ac:dyDescent="0.35">
      <c r="A70">
        <v>69</v>
      </c>
      <c r="B70" t="b">
        <v>0</v>
      </c>
      <c r="C70" s="18">
        <v>40546</v>
      </c>
      <c r="D70">
        <v>1</v>
      </c>
      <c r="E70">
        <v>0</v>
      </c>
      <c r="F70">
        <v>1</v>
      </c>
      <c r="G70">
        <v>23</v>
      </c>
      <c r="H70">
        <v>1</v>
      </c>
      <c r="I70">
        <v>1</v>
      </c>
      <c r="J70">
        <v>0.18</v>
      </c>
      <c r="K70">
        <v>0.21210000000000001</v>
      </c>
      <c r="L70">
        <v>0.55000000000000004</v>
      </c>
      <c r="M70">
        <v>0.1045</v>
      </c>
      <c r="N70">
        <v>1</v>
      </c>
      <c r="O70">
        <v>11</v>
      </c>
      <c r="P70">
        <v>12</v>
      </c>
    </row>
    <row r="71" spans="1:16" x14ac:dyDescent="0.35">
      <c r="A71">
        <v>70</v>
      </c>
      <c r="B71" t="b">
        <v>0</v>
      </c>
      <c r="C71" s="18">
        <v>40547</v>
      </c>
      <c r="D71">
        <v>1</v>
      </c>
      <c r="E71">
        <v>0</v>
      </c>
      <c r="F71">
        <v>1</v>
      </c>
      <c r="G71">
        <v>0</v>
      </c>
      <c r="H71">
        <v>2</v>
      </c>
      <c r="I71">
        <v>1</v>
      </c>
      <c r="J71">
        <v>0.16</v>
      </c>
      <c r="K71">
        <v>0.19695000000000001</v>
      </c>
      <c r="L71">
        <v>0.55000000000000004</v>
      </c>
      <c r="M71">
        <v>0.1045</v>
      </c>
      <c r="N71">
        <v>0</v>
      </c>
      <c r="O71">
        <v>5</v>
      </c>
      <c r="P71">
        <v>5</v>
      </c>
    </row>
    <row r="72" spans="1:16" x14ac:dyDescent="0.35">
      <c r="A72">
        <v>71</v>
      </c>
      <c r="B72" t="b">
        <v>0</v>
      </c>
      <c r="C72" s="18">
        <v>40547</v>
      </c>
      <c r="D72">
        <v>1</v>
      </c>
      <c r="E72">
        <v>0</v>
      </c>
      <c r="F72">
        <v>1</v>
      </c>
      <c r="G72">
        <v>1</v>
      </c>
      <c r="H72">
        <v>2</v>
      </c>
      <c r="I72">
        <v>1</v>
      </c>
      <c r="J72">
        <v>0.16</v>
      </c>
      <c r="K72">
        <v>0.18179999999999999</v>
      </c>
      <c r="L72">
        <v>0.59</v>
      </c>
      <c r="M72">
        <v>0.1045</v>
      </c>
      <c r="N72">
        <v>0</v>
      </c>
      <c r="O72">
        <v>2</v>
      </c>
      <c r="P72">
        <v>2</v>
      </c>
    </row>
    <row r="73" spans="1:16" x14ac:dyDescent="0.35">
      <c r="A73">
        <v>72</v>
      </c>
      <c r="B73" t="b">
        <v>0</v>
      </c>
      <c r="C73" s="18">
        <v>40547</v>
      </c>
      <c r="D73">
        <v>1</v>
      </c>
      <c r="E73">
        <v>0</v>
      </c>
      <c r="F73">
        <v>1</v>
      </c>
      <c r="G73">
        <v>2</v>
      </c>
      <c r="H73">
        <v>2</v>
      </c>
      <c r="I73">
        <v>1</v>
      </c>
      <c r="J73">
        <v>0.14000000000000001</v>
      </c>
      <c r="K73">
        <v>0.1515</v>
      </c>
      <c r="L73">
        <v>0.63</v>
      </c>
      <c r="M73">
        <v>0.1343</v>
      </c>
      <c r="N73">
        <v>0</v>
      </c>
      <c r="O73">
        <v>1</v>
      </c>
      <c r="P73">
        <v>1</v>
      </c>
    </row>
    <row r="74" spans="1:16" x14ac:dyDescent="0.35">
      <c r="A74">
        <v>73</v>
      </c>
      <c r="B74" t="b">
        <v>0</v>
      </c>
      <c r="C74" s="18">
        <v>40547</v>
      </c>
      <c r="D74">
        <v>1</v>
      </c>
      <c r="E74">
        <v>0</v>
      </c>
      <c r="F74">
        <v>1</v>
      </c>
      <c r="G74">
        <v>4</v>
      </c>
      <c r="H74">
        <v>2</v>
      </c>
      <c r="I74">
        <v>1</v>
      </c>
      <c r="J74">
        <v>0.14000000000000001</v>
      </c>
      <c r="K74">
        <v>0.18179999999999999</v>
      </c>
      <c r="L74">
        <v>0.63</v>
      </c>
      <c r="M74">
        <v>8.9599999999999999E-2</v>
      </c>
      <c r="N74">
        <v>0</v>
      </c>
      <c r="O74">
        <v>2</v>
      </c>
      <c r="P74">
        <v>2</v>
      </c>
    </row>
    <row r="75" spans="1:16" x14ac:dyDescent="0.35">
      <c r="A75">
        <v>74</v>
      </c>
      <c r="B75" t="b">
        <v>0</v>
      </c>
      <c r="C75" s="18">
        <v>40547</v>
      </c>
      <c r="D75">
        <v>1</v>
      </c>
      <c r="E75">
        <v>0</v>
      </c>
      <c r="F75">
        <v>1</v>
      </c>
      <c r="G75">
        <v>5</v>
      </c>
      <c r="H75">
        <v>2</v>
      </c>
      <c r="I75">
        <v>1</v>
      </c>
      <c r="J75">
        <v>0.12</v>
      </c>
      <c r="K75">
        <v>0.1515</v>
      </c>
      <c r="L75">
        <v>0.68</v>
      </c>
      <c r="M75">
        <v>0.1045</v>
      </c>
      <c r="N75">
        <v>0</v>
      </c>
      <c r="O75">
        <v>4</v>
      </c>
      <c r="P75">
        <v>4</v>
      </c>
    </row>
    <row r="76" spans="1:16" x14ac:dyDescent="0.35">
      <c r="A76">
        <v>75</v>
      </c>
      <c r="B76" t="b">
        <v>0</v>
      </c>
      <c r="C76" s="18">
        <v>40547</v>
      </c>
      <c r="D76">
        <v>1</v>
      </c>
      <c r="E76">
        <v>0</v>
      </c>
      <c r="F76">
        <v>1</v>
      </c>
      <c r="G76">
        <v>6</v>
      </c>
      <c r="H76">
        <v>2</v>
      </c>
      <c r="I76">
        <v>1</v>
      </c>
      <c r="J76">
        <v>0.12</v>
      </c>
      <c r="K76">
        <v>0.1515</v>
      </c>
      <c r="L76">
        <v>0.74</v>
      </c>
      <c r="M76">
        <v>0.1045</v>
      </c>
      <c r="N76">
        <v>0</v>
      </c>
      <c r="O76">
        <v>36</v>
      </c>
      <c r="P76">
        <v>36</v>
      </c>
    </row>
    <row r="77" spans="1:16" x14ac:dyDescent="0.35">
      <c r="A77">
        <v>76</v>
      </c>
      <c r="B77" t="b">
        <v>0</v>
      </c>
      <c r="C77" s="18">
        <v>40547</v>
      </c>
      <c r="D77">
        <v>1</v>
      </c>
      <c r="E77">
        <v>0</v>
      </c>
      <c r="F77">
        <v>1</v>
      </c>
      <c r="G77">
        <v>7</v>
      </c>
      <c r="H77">
        <v>2</v>
      </c>
      <c r="I77">
        <v>1</v>
      </c>
      <c r="J77">
        <v>0.12</v>
      </c>
      <c r="K77">
        <v>0.1515</v>
      </c>
      <c r="L77">
        <v>0.74</v>
      </c>
      <c r="M77">
        <v>0.1343</v>
      </c>
      <c r="N77">
        <v>2</v>
      </c>
      <c r="O77">
        <v>92</v>
      </c>
      <c r="P77">
        <v>94</v>
      </c>
    </row>
    <row r="78" spans="1:16" x14ac:dyDescent="0.35">
      <c r="A78">
        <v>77</v>
      </c>
      <c r="B78" t="b">
        <v>0</v>
      </c>
      <c r="C78" s="18">
        <v>40547</v>
      </c>
      <c r="D78">
        <v>1</v>
      </c>
      <c r="E78">
        <v>0</v>
      </c>
      <c r="F78">
        <v>1</v>
      </c>
      <c r="G78">
        <v>8</v>
      </c>
      <c r="H78">
        <v>2</v>
      </c>
      <c r="I78">
        <v>1</v>
      </c>
      <c r="J78">
        <v>0.14000000000000001</v>
      </c>
      <c r="K78">
        <v>0.1515</v>
      </c>
      <c r="L78">
        <v>0.69</v>
      </c>
      <c r="M78">
        <v>0.16420000000000001</v>
      </c>
      <c r="N78">
        <v>2</v>
      </c>
      <c r="O78">
        <v>177</v>
      </c>
      <c r="P78">
        <v>179</v>
      </c>
    </row>
    <row r="79" spans="1:16" x14ac:dyDescent="0.35">
      <c r="A79">
        <v>78</v>
      </c>
      <c r="B79" t="b">
        <v>0</v>
      </c>
      <c r="C79" s="18">
        <v>40547</v>
      </c>
      <c r="D79">
        <v>1</v>
      </c>
      <c r="E79">
        <v>0</v>
      </c>
      <c r="F79">
        <v>1</v>
      </c>
      <c r="G79">
        <v>9</v>
      </c>
      <c r="H79">
        <v>2</v>
      </c>
      <c r="I79">
        <v>1</v>
      </c>
      <c r="J79">
        <v>0.16</v>
      </c>
      <c r="K79">
        <v>0.1515</v>
      </c>
      <c r="L79">
        <v>0.64</v>
      </c>
      <c r="M79">
        <v>0.22389999999999999</v>
      </c>
      <c r="N79">
        <v>2</v>
      </c>
      <c r="O79">
        <v>98</v>
      </c>
      <c r="P79">
        <v>100</v>
      </c>
    </row>
    <row r="80" spans="1:16" x14ac:dyDescent="0.35">
      <c r="A80">
        <v>79</v>
      </c>
      <c r="B80" t="b">
        <v>0</v>
      </c>
      <c r="C80" s="18">
        <v>40547</v>
      </c>
      <c r="D80">
        <v>1</v>
      </c>
      <c r="E80">
        <v>0</v>
      </c>
      <c r="F80">
        <v>1</v>
      </c>
      <c r="G80">
        <v>10</v>
      </c>
      <c r="H80">
        <v>2</v>
      </c>
      <c r="I80">
        <v>2</v>
      </c>
      <c r="J80">
        <v>0.16</v>
      </c>
      <c r="K80">
        <v>0.13639999999999999</v>
      </c>
      <c r="L80">
        <v>0.69</v>
      </c>
      <c r="M80">
        <v>0.32840000000000003</v>
      </c>
      <c r="N80">
        <v>5</v>
      </c>
      <c r="O80">
        <v>37</v>
      </c>
      <c r="P80">
        <v>42</v>
      </c>
    </row>
    <row r="81" spans="1:16" x14ac:dyDescent="0.35">
      <c r="A81">
        <v>80</v>
      </c>
      <c r="B81" t="b">
        <v>0</v>
      </c>
      <c r="C81" s="18">
        <v>40547</v>
      </c>
      <c r="D81">
        <v>1</v>
      </c>
      <c r="E81">
        <v>0</v>
      </c>
      <c r="F81">
        <v>1</v>
      </c>
      <c r="G81">
        <v>11</v>
      </c>
      <c r="H81">
        <v>2</v>
      </c>
      <c r="I81">
        <v>1</v>
      </c>
      <c r="J81">
        <v>0.22</v>
      </c>
      <c r="K81">
        <v>0.21210000000000001</v>
      </c>
      <c r="L81">
        <v>0.51</v>
      </c>
      <c r="M81">
        <v>0.29849999999999999</v>
      </c>
      <c r="N81">
        <v>7</v>
      </c>
      <c r="O81">
        <v>50</v>
      </c>
      <c r="P81">
        <v>57</v>
      </c>
    </row>
    <row r="82" spans="1:16" x14ac:dyDescent="0.35">
      <c r="A82">
        <v>81</v>
      </c>
      <c r="B82" t="b">
        <v>0</v>
      </c>
      <c r="C82" s="18">
        <v>40547</v>
      </c>
      <c r="D82">
        <v>1</v>
      </c>
      <c r="E82">
        <v>0</v>
      </c>
      <c r="F82">
        <v>1</v>
      </c>
      <c r="G82">
        <v>12</v>
      </c>
      <c r="H82">
        <v>2</v>
      </c>
      <c r="I82">
        <v>1</v>
      </c>
      <c r="J82">
        <v>0.22</v>
      </c>
      <c r="K82">
        <v>0.2273</v>
      </c>
      <c r="L82">
        <v>0.51</v>
      </c>
      <c r="M82">
        <v>0.16420000000000001</v>
      </c>
      <c r="N82">
        <v>12</v>
      </c>
      <c r="O82">
        <v>66</v>
      </c>
      <c r="P82">
        <v>78</v>
      </c>
    </row>
    <row r="83" spans="1:16" x14ac:dyDescent="0.35">
      <c r="A83">
        <v>82</v>
      </c>
      <c r="B83" t="b">
        <v>0</v>
      </c>
      <c r="C83" s="18">
        <v>40547</v>
      </c>
      <c r="D83">
        <v>1</v>
      </c>
      <c r="E83">
        <v>0</v>
      </c>
      <c r="F83">
        <v>1</v>
      </c>
      <c r="G83">
        <v>13</v>
      </c>
      <c r="H83">
        <v>2</v>
      </c>
      <c r="I83">
        <v>1</v>
      </c>
      <c r="J83">
        <v>0.24</v>
      </c>
      <c r="K83">
        <v>0.2273</v>
      </c>
      <c r="L83">
        <v>0.56000000000000005</v>
      </c>
      <c r="M83">
        <v>0.19400000000000001</v>
      </c>
      <c r="N83">
        <v>18</v>
      </c>
      <c r="O83">
        <v>79</v>
      </c>
      <c r="P83">
        <v>97</v>
      </c>
    </row>
    <row r="84" spans="1:16" x14ac:dyDescent="0.35">
      <c r="A84">
        <v>83</v>
      </c>
      <c r="B84" t="b">
        <v>0</v>
      </c>
      <c r="C84" s="18">
        <v>40547</v>
      </c>
      <c r="D84">
        <v>1</v>
      </c>
      <c r="E84">
        <v>0</v>
      </c>
      <c r="F84">
        <v>1</v>
      </c>
      <c r="G84">
        <v>14</v>
      </c>
      <c r="H84">
        <v>2</v>
      </c>
      <c r="I84">
        <v>1</v>
      </c>
      <c r="J84">
        <v>0.26</v>
      </c>
      <c r="K84">
        <v>0.2576</v>
      </c>
      <c r="L84">
        <v>0.52</v>
      </c>
      <c r="M84">
        <v>0.22389999999999999</v>
      </c>
      <c r="N84">
        <v>9</v>
      </c>
      <c r="O84">
        <v>54</v>
      </c>
      <c r="P84">
        <v>63</v>
      </c>
    </row>
    <row r="85" spans="1:16" x14ac:dyDescent="0.35">
      <c r="A85">
        <v>84</v>
      </c>
      <c r="B85" t="b">
        <v>0</v>
      </c>
      <c r="C85" s="18">
        <v>40547</v>
      </c>
      <c r="D85">
        <v>1</v>
      </c>
      <c r="E85">
        <v>0</v>
      </c>
      <c r="F85">
        <v>1</v>
      </c>
      <c r="G85">
        <v>15</v>
      </c>
      <c r="H85">
        <v>2</v>
      </c>
      <c r="I85">
        <v>1</v>
      </c>
      <c r="J85">
        <v>0.28000000000000003</v>
      </c>
      <c r="K85">
        <v>0.2727</v>
      </c>
      <c r="L85">
        <v>0.52</v>
      </c>
      <c r="M85">
        <v>0.25369999999999998</v>
      </c>
      <c r="N85">
        <v>17</v>
      </c>
      <c r="O85">
        <v>48</v>
      </c>
      <c r="P85">
        <v>65</v>
      </c>
    </row>
    <row r="86" spans="1:16" x14ac:dyDescent="0.35">
      <c r="A86">
        <v>85</v>
      </c>
      <c r="B86" t="b">
        <v>0</v>
      </c>
      <c r="C86" s="18">
        <v>40547</v>
      </c>
      <c r="D86">
        <v>1</v>
      </c>
      <c r="E86">
        <v>0</v>
      </c>
      <c r="F86">
        <v>1</v>
      </c>
      <c r="G86">
        <v>16</v>
      </c>
      <c r="H86">
        <v>2</v>
      </c>
      <c r="I86">
        <v>1</v>
      </c>
      <c r="J86">
        <v>0.3</v>
      </c>
      <c r="K86">
        <v>0.28789999999999999</v>
      </c>
      <c r="L86">
        <v>0.49</v>
      </c>
      <c r="M86">
        <v>0.25369999999999998</v>
      </c>
      <c r="N86">
        <v>15</v>
      </c>
      <c r="O86">
        <v>68</v>
      </c>
      <c r="P86">
        <v>83</v>
      </c>
    </row>
    <row r="87" spans="1:16" x14ac:dyDescent="0.35">
      <c r="A87">
        <v>86</v>
      </c>
      <c r="B87" t="b">
        <v>0</v>
      </c>
      <c r="C87" s="18">
        <v>40547</v>
      </c>
      <c r="D87">
        <v>1</v>
      </c>
      <c r="E87">
        <v>0</v>
      </c>
      <c r="F87">
        <v>1</v>
      </c>
      <c r="G87">
        <v>17</v>
      </c>
      <c r="H87">
        <v>2</v>
      </c>
      <c r="I87">
        <v>1</v>
      </c>
      <c r="J87">
        <v>0.28000000000000003</v>
      </c>
      <c r="K87">
        <v>0.2727</v>
      </c>
      <c r="L87">
        <v>0.48</v>
      </c>
      <c r="M87">
        <v>0.22389999999999999</v>
      </c>
      <c r="N87">
        <v>10</v>
      </c>
      <c r="O87">
        <v>202</v>
      </c>
      <c r="P87">
        <v>212</v>
      </c>
    </row>
    <row r="88" spans="1:16" x14ac:dyDescent="0.35">
      <c r="A88">
        <v>87</v>
      </c>
      <c r="B88" t="b">
        <v>0</v>
      </c>
      <c r="C88" s="18">
        <v>40547</v>
      </c>
      <c r="D88">
        <v>1</v>
      </c>
      <c r="E88">
        <v>0</v>
      </c>
      <c r="F88">
        <v>1</v>
      </c>
      <c r="G88">
        <v>18</v>
      </c>
      <c r="H88">
        <v>2</v>
      </c>
      <c r="I88">
        <v>1</v>
      </c>
      <c r="J88">
        <v>0.26</v>
      </c>
      <c r="K88">
        <v>0.2576</v>
      </c>
      <c r="L88">
        <v>0.48</v>
      </c>
      <c r="M88">
        <v>0.19400000000000001</v>
      </c>
      <c r="N88">
        <v>3</v>
      </c>
      <c r="O88">
        <v>179</v>
      </c>
      <c r="P88">
        <v>182</v>
      </c>
    </row>
    <row r="89" spans="1:16" x14ac:dyDescent="0.35">
      <c r="A89">
        <v>88</v>
      </c>
      <c r="B89" t="b">
        <v>0</v>
      </c>
      <c r="C89" s="18">
        <v>40547</v>
      </c>
      <c r="D89">
        <v>1</v>
      </c>
      <c r="E89">
        <v>0</v>
      </c>
      <c r="F89">
        <v>1</v>
      </c>
      <c r="G89">
        <v>19</v>
      </c>
      <c r="H89">
        <v>2</v>
      </c>
      <c r="I89">
        <v>1</v>
      </c>
      <c r="J89">
        <v>0.24</v>
      </c>
      <c r="K89">
        <v>0.2576</v>
      </c>
      <c r="L89">
        <v>0.48</v>
      </c>
      <c r="M89">
        <v>0.1045</v>
      </c>
      <c r="N89">
        <v>2</v>
      </c>
      <c r="O89">
        <v>110</v>
      </c>
      <c r="P89">
        <v>112</v>
      </c>
    </row>
    <row r="90" spans="1:16" x14ac:dyDescent="0.35">
      <c r="A90">
        <v>89</v>
      </c>
      <c r="B90" t="b">
        <v>0</v>
      </c>
      <c r="C90" s="18">
        <v>40547</v>
      </c>
      <c r="D90">
        <v>1</v>
      </c>
      <c r="E90">
        <v>0</v>
      </c>
      <c r="F90">
        <v>1</v>
      </c>
      <c r="G90">
        <v>20</v>
      </c>
      <c r="H90">
        <v>2</v>
      </c>
      <c r="I90">
        <v>1</v>
      </c>
      <c r="J90">
        <v>0.24</v>
      </c>
      <c r="K90">
        <v>0.2576</v>
      </c>
      <c r="L90">
        <v>0.48</v>
      </c>
      <c r="M90">
        <v>0.1045</v>
      </c>
      <c r="N90">
        <v>1</v>
      </c>
      <c r="O90">
        <v>53</v>
      </c>
      <c r="P90">
        <v>54</v>
      </c>
    </row>
    <row r="91" spans="1:16" x14ac:dyDescent="0.35">
      <c r="A91">
        <v>90</v>
      </c>
      <c r="B91" t="b">
        <v>0</v>
      </c>
      <c r="C91" s="18">
        <v>40547</v>
      </c>
      <c r="D91">
        <v>1</v>
      </c>
      <c r="E91">
        <v>0</v>
      </c>
      <c r="F91">
        <v>1</v>
      </c>
      <c r="G91">
        <v>21</v>
      </c>
      <c r="H91">
        <v>2</v>
      </c>
      <c r="I91">
        <v>1</v>
      </c>
      <c r="J91">
        <v>0.22</v>
      </c>
      <c r="K91">
        <v>0.2727</v>
      </c>
      <c r="L91">
        <v>0.64</v>
      </c>
      <c r="M91">
        <v>0</v>
      </c>
      <c r="N91">
        <v>0</v>
      </c>
      <c r="O91">
        <v>48</v>
      </c>
      <c r="P91">
        <v>48</v>
      </c>
    </row>
    <row r="92" spans="1:16" x14ac:dyDescent="0.35">
      <c r="A92">
        <v>91</v>
      </c>
      <c r="B92" t="b">
        <v>0</v>
      </c>
      <c r="C92" s="18">
        <v>40547</v>
      </c>
      <c r="D92">
        <v>1</v>
      </c>
      <c r="E92">
        <v>0</v>
      </c>
      <c r="F92">
        <v>1</v>
      </c>
      <c r="G92">
        <v>22</v>
      </c>
      <c r="H92">
        <v>2</v>
      </c>
      <c r="I92">
        <v>1</v>
      </c>
      <c r="J92">
        <v>0.22</v>
      </c>
      <c r="K92">
        <v>0.2576</v>
      </c>
      <c r="L92">
        <v>0.64</v>
      </c>
      <c r="M92">
        <v>8.9599999999999999E-2</v>
      </c>
      <c r="N92">
        <v>1</v>
      </c>
      <c r="O92">
        <v>34</v>
      </c>
      <c r="P92">
        <v>35</v>
      </c>
    </row>
    <row r="93" spans="1:16" x14ac:dyDescent="0.35">
      <c r="A93">
        <v>92</v>
      </c>
      <c r="B93" t="b">
        <v>0</v>
      </c>
      <c r="C93" s="18">
        <v>40547</v>
      </c>
      <c r="D93">
        <v>1</v>
      </c>
      <c r="E93">
        <v>0</v>
      </c>
      <c r="F93">
        <v>1</v>
      </c>
      <c r="G93">
        <v>23</v>
      </c>
      <c r="H93">
        <v>2</v>
      </c>
      <c r="I93">
        <v>1</v>
      </c>
      <c r="J93">
        <v>0.2</v>
      </c>
      <c r="K93">
        <v>0.2273</v>
      </c>
      <c r="L93">
        <v>0.69</v>
      </c>
      <c r="M93">
        <v>8.9599999999999999E-2</v>
      </c>
      <c r="N93">
        <v>2</v>
      </c>
      <c r="O93">
        <v>9</v>
      </c>
      <c r="P93">
        <v>11</v>
      </c>
    </row>
    <row r="94" spans="1:16" x14ac:dyDescent="0.35">
      <c r="A94">
        <v>93</v>
      </c>
      <c r="B94" t="b">
        <v>0</v>
      </c>
      <c r="C94" s="18">
        <v>40548</v>
      </c>
      <c r="D94">
        <v>1</v>
      </c>
      <c r="E94">
        <v>0</v>
      </c>
      <c r="F94">
        <v>1</v>
      </c>
      <c r="G94">
        <v>0</v>
      </c>
      <c r="H94">
        <v>3</v>
      </c>
      <c r="I94">
        <v>1</v>
      </c>
      <c r="J94">
        <v>0.2</v>
      </c>
      <c r="K94">
        <v>0.2576</v>
      </c>
      <c r="L94">
        <v>0.64</v>
      </c>
      <c r="M94">
        <v>0</v>
      </c>
      <c r="N94">
        <v>0</v>
      </c>
      <c r="O94">
        <v>6</v>
      </c>
      <c r="P94">
        <v>6</v>
      </c>
    </row>
    <row r="95" spans="1:16" x14ac:dyDescent="0.35">
      <c r="A95">
        <v>94</v>
      </c>
      <c r="B95" t="b">
        <v>0</v>
      </c>
      <c r="C95" s="18">
        <v>40548</v>
      </c>
      <c r="D95">
        <v>1</v>
      </c>
      <c r="E95">
        <v>0</v>
      </c>
      <c r="F95">
        <v>1</v>
      </c>
      <c r="G95">
        <v>1</v>
      </c>
      <c r="H95">
        <v>3</v>
      </c>
      <c r="I95">
        <v>1</v>
      </c>
      <c r="J95">
        <v>0.16</v>
      </c>
      <c r="K95">
        <v>0.19700000000000001</v>
      </c>
      <c r="L95">
        <v>0.74</v>
      </c>
      <c r="M95">
        <v>8.9599999999999999E-2</v>
      </c>
      <c r="N95">
        <v>0</v>
      </c>
      <c r="O95">
        <v>6</v>
      </c>
      <c r="P95">
        <v>6</v>
      </c>
    </row>
    <row r="96" spans="1:16" x14ac:dyDescent="0.35">
      <c r="A96">
        <v>95</v>
      </c>
      <c r="B96" t="b">
        <v>0</v>
      </c>
      <c r="C96" s="18">
        <v>40548</v>
      </c>
      <c r="D96">
        <v>1</v>
      </c>
      <c r="E96">
        <v>0</v>
      </c>
      <c r="F96">
        <v>1</v>
      </c>
      <c r="G96">
        <v>2</v>
      </c>
      <c r="H96">
        <v>3</v>
      </c>
      <c r="I96">
        <v>1</v>
      </c>
      <c r="J96">
        <v>0.16</v>
      </c>
      <c r="K96">
        <v>0.19700000000000001</v>
      </c>
      <c r="L96">
        <v>0.74</v>
      </c>
      <c r="M96">
        <v>8.9599999999999999E-2</v>
      </c>
      <c r="N96">
        <v>0</v>
      </c>
      <c r="O96">
        <v>2</v>
      </c>
      <c r="P96">
        <v>2</v>
      </c>
    </row>
    <row r="97" spans="1:16" x14ac:dyDescent="0.35">
      <c r="A97">
        <v>96</v>
      </c>
      <c r="B97" t="b">
        <v>0</v>
      </c>
      <c r="C97" s="18">
        <v>40548</v>
      </c>
      <c r="D97">
        <v>1</v>
      </c>
      <c r="E97">
        <v>0</v>
      </c>
      <c r="F97">
        <v>1</v>
      </c>
      <c r="G97">
        <v>4</v>
      </c>
      <c r="H97">
        <v>3</v>
      </c>
      <c r="I97">
        <v>1</v>
      </c>
      <c r="J97">
        <v>0.24</v>
      </c>
      <c r="K97">
        <v>0.2273</v>
      </c>
      <c r="L97">
        <v>0.48</v>
      </c>
      <c r="M97">
        <v>0.22389999999999999</v>
      </c>
      <c r="N97">
        <v>0</v>
      </c>
      <c r="O97">
        <v>2</v>
      </c>
      <c r="P97">
        <v>2</v>
      </c>
    </row>
    <row r="98" spans="1:16" x14ac:dyDescent="0.35">
      <c r="A98">
        <v>97</v>
      </c>
      <c r="B98" t="b">
        <v>0</v>
      </c>
      <c r="C98" s="18">
        <v>40548</v>
      </c>
      <c r="D98">
        <v>1</v>
      </c>
      <c r="E98">
        <v>0</v>
      </c>
      <c r="F98">
        <v>1</v>
      </c>
      <c r="G98">
        <v>5</v>
      </c>
      <c r="H98">
        <v>3</v>
      </c>
      <c r="I98">
        <v>1</v>
      </c>
      <c r="J98">
        <v>0.22</v>
      </c>
      <c r="K98">
        <v>0.2273</v>
      </c>
      <c r="L98">
        <v>0.47</v>
      </c>
      <c r="M98">
        <v>0.16420000000000001</v>
      </c>
      <c r="N98">
        <v>0</v>
      </c>
      <c r="O98">
        <v>3</v>
      </c>
      <c r="P98">
        <v>3</v>
      </c>
    </row>
    <row r="99" spans="1:16" x14ac:dyDescent="0.35">
      <c r="A99">
        <v>98</v>
      </c>
      <c r="B99" t="b">
        <v>0</v>
      </c>
      <c r="C99" s="18">
        <v>40548</v>
      </c>
      <c r="D99">
        <v>1</v>
      </c>
      <c r="E99">
        <v>0</v>
      </c>
      <c r="F99">
        <v>1</v>
      </c>
      <c r="G99">
        <v>6</v>
      </c>
      <c r="H99">
        <v>3</v>
      </c>
      <c r="I99">
        <v>1</v>
      </c>
      <c r="J99">
        <v>0.2</v>
      </c>
      <c r="K99">
        <v>0.19700000000000001</v>
      </c>
      <c r="L99">
        <v>0.47</v>
      </c>
      <c r="M99">
        <v>0.22389999999999999</v>
      </c>
      <c r="N99">
        <v>0</v>
      </c>
      <c r="O99">
        <v>33</v>
      </c>
      <c r="P99">
        <v>33</v>
      </c>
    </row>
    <row r="100" spans="1:16" x14ac:dyDescent="0.35">
      <c r="A100">
        <v>99</v>
      </c>
      <c r="B100" t="b">
        <v>0</v>
      </c>
      <c r="C100" s="18">
        <v>40548</v>
      </c>
      <c r="D100">
        <v>1</v>
      </c>
      <c r="E100">
        <v>0</v>
      </c>
      <c r="F100">
        <v>1</v>
      </c>
      <c r="G100">
        <v>7</v>
      </c>
      <c r="H100">
        <v>3</v>
      </c>
      <c r="I100">
        <v>1</v>
      </c>
      <c r="J100">
        <v>0.18</v>
      </c>
      <c r="K100">
        <v>0.18179999999999999</v>
      </c>
      <c r="L100">
        <v>0.43</v>
      </c>
      <c r="M100">
        <v>0.19400000000000001</v>
      </c>
      <c r="N100">
        <v>1</v>
      </c>
      <c r="O100">
        <v>87</v>
      </c>
      <c r="P100">
        <v>88</v>
      </c>
    </row>
    <row r="101" spans="1:16" x14ac:dyDescent="0.35">
      <c r="A101">
        <v>100</v>
      </c>
      <c r="B101" t="b">
        <v>0</v>
      </c>
      <c r="C101" s="18">
        <v>40548</v>
      </c>
      <c r="D101">
        <v>1</v>
      </c>
      <c r="E101">
        <v>0</v>
      </c>
      <c r="F101">
        <v>1</v>
      </c>
      <c r="G101">
        <v>8</v>
      </c>
      <c r="H101">
        <v>3</v>
      </c>
      <c r="I101">
        <v>1</v>
      </c>
      <c r="J101">
        <v>0.2</v>
      </c>
      <c r="K101">
        <v>0.18179999999999999</v>
      </c>
      <c r="L101">
        <v>0.4</v>
      </c>
      <c r="M101">
        <v>0.29849999999999999</v>
      </c>
      <c r="N101">
        <v>3</v>
      </c>
      <c r="O101">
        <v>192</v>
      </c>
      <c r="P101">
        <v>195</v>
      </c>
    </row>
    <row r="102" spans="1:16" x14ac:dyDescent="0.35">
      <c r="A102">
        <v>101</v>
      </c>
      <c r="B102" t="b">
        <v>0</v>
      </c>
      <c r="C102" s="18">
        <v>40548</v>
      </c>
      <c r="D102">
        <v>1</v>
      </c>
      <c r="E102">
        <v>0</v>
      </c>
      <c r="F102">
        <v>1</v>
      </c>
      <c r="G102">
        <v>9</v>
      </c>
      <c r="H102">
        <v>3</v>
      </c>
      <c r="I102">
        <v>1</v>
      </c>
      <c r="J102">
        <v>0.22</v>
      </c>
      <c r="K102">
        <v>0.19700000000000001</v>
      </c>
      <c r="L102">
        <v>0.37</v>
      </c>
      <c r="M102">
        <v>0.32840000000000003</v>
      </c>
      <c r="N102">
        <v>6</v>
      </c>
      <c r="O102">
        <v>109</v>
      </c>
      <c r="P102">
        <v>115</v>
      </c>
    </row>
    <row r="103" spans="1:16" x14ac:dyDescent="0.35">
      <c r="A103">
        <v>102</v>
      </c>
      <c r="B103" t="b">
        <v>0</v>
      </c>
      <c r="C103" s="18">
        <v>40548</v>
      </c>
      <c r="D103">
        <v>1</v>
      </c>
      <c r="E103">
        <v>0</v>
      </c>
      <c r="F103">
        <v>1</v>
      </c>
      <c r="G103">
        <v>10</v>
      </c>
      <c r="H103">
        <v>3</v>
      </c>
      <c r="I103">
        <v>1</v>
      </c>
      <c r="J103">
        <v>0.22</v>
      </c>
      <c r="K103">
        <v>0.19700000000000001</v>
      </c>
      <c r="L103">
        <v>0.37</v>
      </c>
      <c r="M103">
        <v>0.32840000000000003</v>
      </c>
      <c r="N103">
        <v>4</v>
      </c>
      <c r="O103">
        <v>53</v>
      </c>
      <c r="P103">
        <v>57</v>
      </c>
    </row>
    <row r="104" spans="1:16" x14ac:dyDescent="0.35">
      <c r="A104">
        <v>103</v>
      </c>
      <c r="B104" t="b">
        <v>0</v>
      </c>
      <c r="C104" s="18">
        <v>40548</v>
      </c>
      <c r="D104">
        <v>1</v>
      </c>
      <c r="E104">
        <v>0</v>
      </c>
      <c r="F104">
        <v>1</v>
      </c>
      <c r="G104">
        <v>11</v>
      </c>
      <c r="H104">
        <v>3</v>
      </c>
      <c r="I104">
        <v>1</v>
      </c>
      <c r="J104">
        <v>0.26</v>
      </c>
      <c r="K104">
        <v>0.2273</v>
      </c>
      <c r="L104">
        <v>0.33</v>
      </c>
      <c r="M104">
        <v>0.32840000000000003</v>
      </c>
      <c r="N104">
        <v>12</v>
      </c>
      <c r="O104">
        <v>34</v>
      </c>
      <c r="P104">
        <v>46</v>
      </c>
    </row>
    <row r="105" spans="1:16" x14ac:dyDescent="0.35">
      <c r="A105">
        <v>104</v>
      </c>
      <c r="B105" t="b">
        <v>0</v>
      </c>
      <c r="C105" s="18">
        <v>40548</v>
      </c>
      <c r="D105">
        <v>1</v>
      </c>
      <c r="E105">
        <v>0</v>
      </c>
      <c r="F105">
        <v>1</v>
      </c>
      <c r="G105">
        <v>12</v>
      </c>
      <c r="H105">
        <v>3</v>
      </c>
      <c r="I105">
        <v>1</v>
      </c>
      <c r="J105">
        <v>0.26</v>
      </c>
      <c r="K105">
        <v>0.2273</v>
      </c>
      <c r="L105">
        <v>0.33</v>
      </c>
      <c r="M105">
        <v>0.32840000000000003</v>
      </c>
      <c r="N105">
        <v>5</v>
      </c>
      <c r="O105">
        <v>74</v>
      </c>
      <c r="P105">
        <v>79</v>
      </c>
    </row>
    <row r="106" spans="1:16" x14ac:dyDescent="0.35">
      <c r="A106">
        <v>105</v>
      </c>
      <c r="B106" t="b">
        <v>0</v>
      </c>
      <c r="C106" s="18">
        <v>40548</v>
      </c>
      <c r="D106">
        <v>1</v>
      </c>
      <c r="E106">
        <v>0</v>
      </c>
      <c r="F106">
        <v>1</v>
      </c>
      <c r="G106">
        <v>13</v>
      </c>
      <c r="H106">
        <v>3</v>
      </c>
      <c r="I106">
        <v>1</v>
      </c>
      <c r="J106">
        <v>0.28000000000000003</v>
      </c>
      <c r="K106">
        <v>0.2576</v>
      </c>
      <c r="L106">
        <v>0.3</v>
      </c>
      <c r="M106">
        <v>0.29849999999999999</v>
      </c>
      <c r="N106">
        <v>6</v>
      </c>
      <c r="O106">
        <v>65</v>
      </c>
      <c r="P106">
        <v>71</v>
      </c>
    </row>
    <row r="107" spans="1:16" x14ac:dyDescent="0.35">
      <c r="A107">
        <v>106</v>
      </c>
      <c r="B107" t="b">
        <v>0</v>
      </c>
      <c r="C107" s="18">
        <v>40548</v>
      </c>
      <c r="D107">
        <v>1</v>
      </c>
      <c r="E107">
        <v>0</v>
      </c>
      <c r="F107">
        <v>1</v>
      </c>
      <c r="G107">
        <v>14</v>
      </c>
      <c r="H107">
        <v>3</v>
      </c>
      <c r="I107">
        <v>1</v>
      </c>
      <c r="J107">
        <v>0.3</v>
      </c>
      <c r="K107">
        <v>0.28789999999999999</v>
      </c>
      <c r="L107">
        <v>0.28000000000000003</v>
      </c>
      <c r="M107">
        <v>0.19400000000000001</v>
      </c>
      <c r="N107">
        <v>10</v>
      </c>
      <c r="O107">
        <v>52</v>
      </c>
      <c r="P107">
        <v>62</v>
      </c>
    </row>
    <row r="108" spans="1:16" x14ac:dyDescent="0.35">
      <c r="A108">
        <v>107</v>
      </c>
      <c r="B108" t="b">
        <v>0</v>
      </c>
      <c r="C108" s="18">
        <v>40548</v>
      </c>
      <c r="D108">
        <v>1</v>
      </c>
      <c r="E108">
        <v>0</v>
      </c>
      <c r="F108">
        <v>1</v>
      </c>
      <c r="G108">
        <v>15</v>
      </c>
      <c r="H108">
        <v>3</v>
      </c>
      <c r="I108">
        <v>1</v>
      </c>
      <c r="J108">
        <v>0.3</v>
      </c>
      <c r="K108">
        <v>0.28789999999999999</v>
      </c>
      <c r="L108">
        <v>0.28000000000000003</v>
      </c>
      <c r="M108">
        <v>0.19400000000000001</v>
      </c>
      <c r="N108">
        <v>7</v>
      </c>
      <c r="O108">
        <v>55</v>
      </c>
      <c r="P108">
        <v>62</v>
      </c>
    </row>
    <row r="109" spans="1:16" x14ac:dyDescent="0.35">
      <c r="A109">
        <v>108</v>
      </c>
      <c r="B109" t="b">
        <v>0</v>
      </c>
      <c r="C109" s="18">
        <v>40548</v>
      </c>
      <c r="D109">
        <v>1</v>
      </c>
      <c r="E109">
        <v>0</v>
      </c>
      <c r="F109">
        <v>1</v>
      </c>
      <c r="G109">
        <v>16</v>
      </c>
      <c r="H109">
        <v>3</v>
      </c>
      <c r="I109">
        <v>1</v>
      </c>
      <c r="J109">
        <v>0.3</v>
      </c>
      <c r="K109">
        <v>0.31819999999999998</v>
      </c>
      <c r="L109">
        <v>0.28000000000000003</v>
      </c>
      <c r="M109">
        <v>8.9599999999999999E-2</v>
      </c>
      <c r="N109">
        <v>4</v>
      </c>
      <c r="O109">
        <v>85</v>
      </c>
      <c r="P109">
        <v>89</v>
      </c>
    </row>
    <row r="110" spans="1:16" x14ac:dyDescent="0.35">
      <c r="A110">
        <v>109</v>
      </c>
      <c r="B110" t="b">
        <v>0</v>
      </c>
      <c r="C110" s="18">
        <v>40548</v>
      </c>
      <c r="D110">
        <v>1</v>
      </c>
      <c r="E110">
        <v>0</v>
      </c>
      <c r="F110">
        <v>1</v>
      </c>
      <c r="G110">
        <v>17</v>
      </c>
      <c r="H110">
        <v>3</v>
      </c>
      <c r="I110">
        <v>1</v>
      </c>
      <c r="J110">
        <v>0.24</v>
      </c>
      <c r="K110">
        <v>0.2273</v>
      </c>
      <c r="L110">
        <v>0.38</v>
      </c>
      <c r="M110">
        <v>0.19400000000000001</v>
      </c>
      <c r="N110">
        <v>4</v>
      </c>
      <c r="O110">
        <v>186</v>
      </c>
      <c r="P110">
        <v>190</v>
      </c>
    </row>
    <row r="111" spans="1:16" x14ac:dyDescent="0.35">
      <c r="A111">
        <v>110</v>
      </c>
      <c r="B111" t="b">
        <v>0</v>
      </c>
      <c r="C111" s="18">
        <v>40548</v>
      </c>
      <c r="D111">
        <v>1</v>
      </c>
      <c r="E111">
        <v>0</v>
      </c>
      <c r="F111">
        <v>1</v>
      </c>
      <c r="G111">
        <v>18</v>
      </c>
      <c r="H111">
        <v>3</v>
      </c>
      <c r="I111">
        <v>1</v>
      </c>
      <c r="J111">
        <v>0.24</v>
      </c>
      <c r="K111">
        <v>0.2424</v>
      </c>
      <c r="L111">
        <v>0.38</v>
      </c>
      <c r="M111">
        <v>0.1343</v>
      </c>
      <c r="N111">
        <v>3</v>
      </c>
      <c r="O111">
        <v>166</v>
      </c>
      <c r="P111">
        <v>169</v>
      </c>
    </row>
    <row r="112" spans="1:16" x14ac:dyDescent="0.35">
      <c r="A112">
        <v>111</v>
      </c>
      <c r="B112" t="b">
        <v>0</v>
      </c>
      <c r="C112" s="18">
        <v>40548</v>
      </c>
      <c r="D112">
        <v>1</v>
      </c>
      <c r="E112">
        <v>0</v>
      </c>
      <c r="F112">
        <v>1</v>
      </c>
      <c r="G112">
        <v>19</v>
      </c>
      <c r="H112">
        <v>3</v>
      </c>
      <c r="I112">
        <v>1</v>
      </c>
      <c r="J112">
        <v>0.24</v>
      </c>
      <c r="K112">
        <v>0.2576</v>
      </c>
      <c r="L112">
        <v>0.38</v>
      </c>
      <c r="M112">
        <v>0.1045</v>
      </c>
      <c r="N112">
        <v>5</v>
      </c>
      <c r="O112">
        <v>127</v>
      </c>
      <c r="P112">
        <v>132</v>
      </c>
    </row>
    <row r="113" spans="1:16" x14ac:dyDescent="0.35">
      <c r="A113">
        <v>112</v>
      </c>
      <c r="B113" t="b">
        <v>0</v>
      </c>
      <c r="C113" s="18">
        <v>40548</v>
      </c>
      <c r="D113">
        <v>1</v>
      </c>
      <c r="E113">
        <v>0</v>
      </c>
      <c r="F113">
        <v>1</v>
      </c>
      <c r="G113">
        <v>20</v>
      </c>
      <c r="H113">
        <v>3</v>
      </c>
      <c r="I113">
        <v>1</v>
      </c>
      <c r="J113">
        <v>0.22</v>
      </c>
      <c r="K113">
        <v>0.2273</v>
      </c>
      <c r="L113">
        <v>0.47</v>
      </c>
      <c r="M113">
        <v>0.16420000000000001</v>
      </c>
      <c r="N113">
        <v>7</v>
      </c>
      <c r="O113">
        <v>82</v>
      </c>
      <c r="P113">
        <v>89</v>
      </c>
    </row>
    <row r="114" spans="1:16" x14ac:dyDescent="0.35">
      <c r="A114">
        <v>113</v>
      </c>
      <c r="B114" t="b">
        <v>0</v>
      </c>
      <c r="C114" s="18">
        <v>40548</v>
      </c>
      <c r="D114">
        <v>1</v>
      </c>
      <c r="E114">
        <v>0</v>
      </c>
      <c r="F114">
        <v>1</v>
      </c>
      <c r="G114">
        <v>21</v>
      </c>
      <c r="H114">
        <v>3</v>
      </c>
      <c r="I114">
        <v>1</v>
      </c>
      <c r="J114">
        <v>0.2</v>
      </c>
      <c r="K114">
        <v>0.19700000000000001</v>
      </c>
      <c r="L114">
        <v>0.51</v>
      </c>
      <c r="M114">
        <v>0.19400000000000001</v>
      </c>
      <c r="N114">
        <v>3</v>
      </c>
      <c r="O114">
        <v>40</v>
      </c>
      <c r="P114">
        <v>43</v>
      </c>
    </row>
    <row r="115" spans="1:16" x14ac:dyDescent="0.35">
      <c r="A115">
        <v>114</v>
      </c>
      <c r="B115" t="b">
        <v>0</v>
      </c>
      <c r="C115" s="18">
        <v>40548</v>
      </c>
      <c r="D115">
        <v>1</v>
      </c>
      <c r="E115">
        <v>0</v>
      </c>
      <c r="F115">
        <v>1</v>
      </c>
      <c r="G115">
        <v>22</v>
      </c>
      <c r="H115">
        <v>3</v>
      </c>
      <c r="I115">
        <v>1</v>
      </c>
      <c r="J115">
        <v>0.18</v>
      </c>
      <c r="K115">
        <v>0.19700000000000001</v>
      </c>
      <c r="L115">
        <v>0.55000000000000004</v>
      </c>
      <c r="M115">
        <v>0.1343</v>
      </c>
      <c r="N115">
        <v>1</v>
      </c>
      <c r="O115">
        <v>41</v>
      </c>
      <c r="P115">
        <v>42</v>
      </c>
    </row>
    <row r="116" spans="1:16" x14ac:dyDescent="0.35">
      <c r="A116">
        <v>115</v>
      </c>
      <c r="B116" t="b">
        <v>0</v>
      </c>
      <c r="C116" s="18">
        <v>40548</v>
      </c>
      <c r="D116">
        <v>1</v>
      </c>
      <c r="E116">
        <v>0</v>
      </c>
      <c r="F116">
        <v>1</v>
      </c>
      <c r="G116">
        <v>23</v>
      </c>
      <c r="H116">
        <v>3</v>
      </c>
      <c r="I116">
        <v>1</v>
      </c>
      <c r="J116">
        <v>0.2</v>
      </c>
      <c r="K116">
        <v>0.2576</v>
      </c>
      <c r="L116">
        <v>0.47</v>
      </c>
      <c r="M116">
        <v>0</v>
      </c>
      <c r="N116">
        <v>1</v>
      </c>
      <c r="O116">
        <v>18</v>
      </c>
      <c r="P116">
        <v>19</v>
      </c>
    </row>
    <row r="117" spans="1:16" x14ac:dyDescent="0.35">
      <c r="A117">
        <v>116</v>
      </c>
      <c r="B117" t="b">
        <v>0</v>
      </c>
      <c r="C117" s="18">
        <v>40549</v>
      </c>
      <c r="D117">
        <v>1</v>
      </c>
      <c r="E117">
        <v>0</v>
      </c>
      <c r="F117">
        <v>1</v>
      </c>
      <c r="G117">
        <v>0</v>
      </c>
      <c r="H117">
        <v>4</v>
      </c>
      <c r="I117">
        <v>1</v>
      </c>
      <c r="J117">
        <v>0.18</v>
      </c>
      <c r="K117">
        <v>0.2424</v>
      </c>
      <c r="L117">
        <v>0.55000000000000004</v>
      </c>
      <c r="M117">
        <v>0</v>
      </c>
      <c r="N117">
        <v>0</v>
      </c>
      <c r="O117">
        <v>11</v>
      </c>
      <c r="P117">
        <v>11</v>
      </c>
    </row>
    <row r="118" spans="1:16" x14ac:dyDescent="0.35">
      <c r="A118">
        <v>117</v>
      </c>
      <c r="B118" t="b">
        <v>0</v>
      </c>
      <c r="C118" s="18">
        <v>40549</v>
      </c>
      <c r="D118">
        <v>1</v>
      </c>
      <c r="E118">
        <v>0</v>
      </c>
      <c r="F118">
        <v>1</v>
      </c>
      <c r="G118">
        <v>1</v>
      </c>
      <c r="H118">
        <v>4</v>
      </c>
      <c r="I118">
        <v>1</v>
      </c>
      <c r="J118">
        <v>0.16</v>
      </c>
      <c r="K118">
        <v>0.2273</v>
      </c>
      <c r="L118">
        <v>0.64</v>
      </c>
      <c r="M118">
        <v>0</v>
      </c>
      <c r="N118">
        <v>0</v>
      </c>
      <c r="O118">
        <v>4</v>
      </c>
      <c r="P118">
        <v>4</v>
      </c>
    </row>
    <row r="119" spans="1:16" x14ac:dyDescent="0.35">
      <c r="A119">
        <v>118</v>
      </c>
      <c r="B119" t="b">
        <v>0</v>
      </c>
      <c r="C119" s="18">
        <v>40549</v>
      </c>
      <c r="D119">
        <v>1</v>
      </c>
      <c r="E119">
        <v>0</v>
      </c>
      <c r="F119">
        <v>1</v>
      </c>
      <c r="G119">
        <v>2</v>
      </c>
      <c r="H119">
        <v>4</v>
      </c>
      <c r="I119">
        <v>1</v>
      </c>
      <c r="J119">
        <v>0.16</v>
      </c>
      <c r="K119">
        <v>0.2273</v>
      </c>
      <c r="L119">
        <v>0.64</v>
      </c>
      <c r="M119">
        <v>0</v>
      </c>
      <c r="N119">
        <v>0</v>
      </c>
      <c r="O119">
        <v>2</v>
      </c>
      <c r="P119">
        <v>2</v>
      </c>
    </row>
    <row r="120" spans="1:16" x14ac:dyDescent="0.35">
      <c r="A120">
        <v>119</v>
      </c>
      <c r="B120" t="b">
        <v>0</v>
      </c>
      <c r="C120" s="18">
        <v>40549</v>
      </c>
      <c r="D120">
        <v>1</v>
      </c>
      <c r="E120">
        <v>0</v>
      </c>
      <c r="F120">
        <v>1</v>
      </c>
      <c r="G120">
        <v>4</v>
      </c>
      <c r="H120">
        <v>4</v>
      </c>
      <c r="I120">
        <v>2</v>
      </c>
      <c r="J120">
        <v>0.16</v>
      </c>
      <c r="K120">
        <v>0.19700000000000001</v>
      </c>
      <c r="L120">
        <v>0.64</v>
      </c>
      <c r="M120">
        <v>8.9599999999999999E-2</v>
      </c>
      <c r="N120">
        <v>0</v>
      </c>
      <c r="O120">
        <v>1</v>
      </c>
      <c r="P120">
        <v>1</v>
      </c>
    </row>
    <row r="121" spans="1:16" x14ac:dyDescent="0.35">
      <c r="A121">
        <v>120</v>
      </c>
      <c r="B121" t="b">
        <v>0</v>
      </c>
      <c r="C121" s="18">
        <v>40549</v>
      </c>
      <c r="D121">
        <v>1</v>
      </c>
      <c r="E121">
        <v>0</v>
      </c>
      <c r="F121">
        <v>1</v>
      </c>
      <c r="G121">
        <v>5</v>
      </c>
      <c r="H121">
        <v>4</v>
      </c>
      <c r="I121">
        <v>2</v>
      </c>
      <c r="J121">
        <v>0.14000000000000001</v>
      </c>
      <c r="K121">
        <v>0.18179999999999999</v>
      </c>
      <c r="L121">
        <v>0.69</v>
      </c>
      <c r="M121">
        <v>8.9599999999999999E-2</v>
      </c>
      <c r="N121">
        <v>0</v>
      </c>
      <c r="O121">
        <v>4</v>
      </c>
      <c r="P121">
        <v>4</v>
      </c>
    </row>
    <row r="122" spans="1:16" x14ac:dyDescent="0.35">
      <c r="A122">
        <v>121</v>
      </c>
      <c r="B122" t="b">
        <v>0</v>
      </c>
      <c r="C122" s="18">
        <v>40549</v>
      </c>
      <c r="D122">
        <v>1</v>
      </c>
      <c r="E122">
        <v>0</v>
      </c>
      <c r="F122">
        <v>1</v>
      </c>
      <c r="G122">
        <v>6</v>
      </c>
      <c r="H122">
        <v>4</v>
      </c>
      <c r="I122">
        <v>2</v>
      </c>
      <c r="J122">
        <v>0.14000000000000001</v>
      </c>
      <c r="K122">
        <v>0.16669999999999999</v>
      </c>
      <c r="L122">
        <v>0.63</v>
      </c>
      <c r="M122">
        <v>0.1045</v>
      </c>
      <c r="N122">
        <v>0</v>
      </c>
      <c r="O122">
        <v>36</v>
      </c>
      <c r="P122">
        <v>36</v>
      </c>
    </row>
    <row r="123" spans="1:16" x14ac:dyDescent="0.35">
      <c r="A123">
        <v>122</v>
      </c>
      <c r="B123" t="b">
        <v>0</v>
      </c>
      <c r="C123" s="18">
        <v>40549</v>
      </c>
      <c r="D123">
        <v>1</v>
      </c>
      <c r="E123">
        <v>0</v>
      </c>
      <c r="F123">
        <v>1</v>
      </c>
      <c r="G123">
        <v>7</v>
      </c>
      <c r="H123">
        <v>4</v>
      </c>
      <c r="I123">
        <v>2</v>
      </c>
      <c r="J123">
        <v>0.16</v>
      </c>
      <c r="K123">
        <v>0.2273</v>
      </c>
      <c r="L123">
        <v>0.59</v>
      </c>
      <c r="M123">
        <v>0</v>
      </c>
      <c r="N123">
        <v>0</v>
      </c>
      <c r="O123">
        <v>95</v>
      </c>
      <c r="P123">
        <v>95</v>
      </c>
    </row>
    <row r="124" spans="1:16" x14ac:dyDescent="0.35">
      <c r="A124">
        <v>123</v>
      </c>
      <c r="B124" t="b">
        <v>0</v>
      </c>
      <c r="C124" s="18">
        <v>40549</v>
      </c>
      <c r="D124">
        <v>1</v>
      </c>
      <c r="E124">
        <v>0</v>
      </c>
      <c r="F124">
        <v>1</v>
      </c>
      <c r="G124">
        <v>8</v>
      </c>
      <c r="H124">
        <v>4</v>
      </c>
      <c r="I124">
        <v>1</v>
      </c>
      <c r="J124">
        <v>0.16</v>
      </c>
      <c r="K124">
        <v>0.2273</v>
      </c>
      <c r="L124">
        <v>0.59</v>
      </c>
      <c r="M124">
        <v>0</v>
      </c>
      <c r="N124">
        <v>3</v>
      </c>
      <c r="O124">
        <v>216</v>
      </c>
      <c r="P124">
        <v>219</v>
      </c>
    </row>
    <row r="125" spans="1:16" x14ac:dyDescent="0.35">
      <c r="A125">
        <v>124</v>
      </c>
      <c r="B125" t="b">
        <v>0</v>
      </c>
      <c r="C125" s="18">
        <v>40549</v>
      </c>
      <c r="D125">
        <v>1</v>
      </c>
      <c r="E125">
        <v>0</v>
      </c>
      <c r="F125">
        <v>1</v>
      </c>
      <c r="G125">
        <v>9</v>
      </c>
      <c r="H125">
        <v>4</v>
      </c>
      <c r="I125">
        <v>2</v>
      </c>
      <c r="J125">
        <v>0.18</v>
      </c>
      <c r="K125">
        <v>0.2424</v>
      </c>
      <c r="L125">
        <v>0.51</v>
      </c>
      <c r="M125">
        <v>0</v>
      </c>
      <c r="N125">
        <v>6</v>
      </c>
      <c r="O125">
        <v>116</v>
      </c>
      <c r="P125">
        <v>122</v>
      </c>
    </row>
    <row r="126" spans="1:16" x14ac:dyDescent="0.35">
      <c r="A126">
        <v>125</v>
      </c>
      <c r="B126" t="b">
        <v>0</v>
      </c>
      <c r="C126" s="18">
        <v>40549</v>
      </c>
      <c r="D126">
        <v>1</v>
      </c>
      <c r="E126">
        <v>0</v>
      </c>
      <c r="F126">
        <v>1</v>
      </c>
      <c r="G126">
        <v>10</v>
      </c>
      <c r="H126">
        <v>4</v>
      </c>
      <c r="I126">
        <v>1</v>
      </c>
      <c r="J126">
        <v>0.2</v>
      </c>
      <c r="K126">
        <v>0.2576</v>
      </c>
      <c r="L126">
        <v>0.47</v>
      </c>
      <c r="M126">
        <v>0</v>
      </c>
      <c r="N126">
        <v>3</v>
      </c>
      <c r="O126">
        <v>42</v>
      </c>
      <c r="P126">
        <v>45</v>
      </c>
    </row>
    <row r="127" spans="1:16" x14ac:dyDescent="0.35">
      <c r="A127">
        <v>126</v>
      </c>
      <c r="B127" t="b">
        <v>0</v>
      </c>
      <c r="C127" s="18">
        <v>40549</v>
      </c>
      <c r="D127">
        <v>1</v>
      </c>
      <c r="E127">
        <v>0</v>
      </c>
      <c r="F127">
        <v>1</v>
      </c>
      <c r="G127">
        <v>11</v>
      </c>
      <c r="H127">
        <v>4</v>
      </c>
      <c r="I127">
        <v>1</v>
      </c>
      <c r="J127">
        <v>0.22</v>
      </c>
      <c r="K127">
        <v>0.2576</v>
      </c>
      <c r="L127">
        <v>0.44</v>
      </c>
      <c r="M127">
        <v>8.9599999999999999E-2</v>
      </c>
      <c r="N127">
        <v>2</v>
      </c>
      <c r="O127">
        <v>57</v>
      </c>
      <c r="P127">
        <v>59</v>
      </c>
    </row>
    <row r="128" spans="1:16" x14ac:dyDescent="0.35">
      <c r="A128">
        <v>127</v>
      </c>
      <c r="B128" t="b">
        <v>0</v>
      </c>
      <c r="C128" s="18">
        <v>40549</v>
      </c>
      <c r="D128">
        <v>1</v>
      </c>
      <c r="E128">
        <v>0</v>
      </c>
      <c r="F128">
        <v>1</v>
      </c>
      <c r="G128">
        <v>12</v>
      </c>
      <c r="H128">
        <v>4</v>
      </c>
      <c r="I128">
        <v>1</v>
      </c>
      <c r="J128">
        <v>0.26</v>
      </c>
      <c r="K128">
        <v>0.28789999999999999</v>
      </c>
      <c r="L128">
        <v>0.35</v>
      </c>
      <c r="M128">
        <v>0</v>
      </c>
      <c r="N128">
        <v>6</v>
      </c>
      <c r="O128">
        <v>78</v>
      </c>
      <c r="P128">
        <v>84</v>
      </c>
    </row>
    <row r="129" spans="1:16" x14ac:dyDescent="0.35">
      <c r="A129">
        <v>128</v>
      </c>
      <c r="B129" t="b">
        <v>0</v>
      </c>
      <c r="C129" s="18">
        <v>40549</v>
      </c>
      <c r="D129">
        <v>1</v>
      </c>
      <c r="E129">
        <v>0</v>
      </c>
      <c r="F129">
        <v>1</v>
      </c>
      <c r="G129">
        <v>13</v>
      </c>
      <c r="H129">
        <v>4</v>
      </c>
      <c r="I129">
        <v>1</v>
      </c>
      <c r="J129">
        <v>0.26</v>
      </c>
      <c r="K129">
        <v>0.2727</v>
      </c>
      <c r="L129">
        <v>0.35</v>
      </c>
      <c r="M129">
        <v>0.1045</v>
      </c>
      <c r="N129">
        <v>12</v>
      </c>
      <c r="O129">
        <v>55</v>
      </c>
      <c r="P129">
        <v>67</v>
      </c>
    </row>
    <row r="130" spans="1:16" x14ac:dyDescent="0.35">
      <c r="A130">
        <v>129</v>
      </c>
      <c r="B130" t="b">
        <v>0</v>
      </c>
      <c r="C130" s="18">
        <v>40549</v>
      </c>
      <c r="D130">
        <v>1</v>
      </c>
      <c r="E130">
        <v>0</v>
      </c>
      <c r="F130">
        <v>1</v>
      </c>
      <c r="G130">
        <v>14</v>
      </c>
      <c r="H130">
        <v>4</v>
      </c>
      <c r="I130">
        <v>1</v>
      </c>
      <c r="J130">
        <v>0.28000000000000003</v>
      </c>
      <c r="K130">
        <v>0.2727</v>
      </c>
      <c r="L130">
        <v>0.36</v>
      </c>
      <c r="M130">
        <v>0.16420000000000001</v>
      </c>
      <c r="N130">
        <v>11</v>
      </c>
      <c r="O130">
        <v>59</v>
      </c>
      <c r="P130">
        <v>70</v>
      </c>
    </row>
    <row r="131" spans="1:16" x14ac:dyDescent="0.35">
      <c r="A131">
        <v>130</v>
      </c>
      <c r="B131" t="b">
        <v>0</v>
      </c>
      <c r="C131" s="18">
        <v>40549</v>
      </c>
      <c r="D131">
        <v>1</v>
      </c>
      <c r="E131">
        <v>0</v>
      </c>
      <c r="F131">
        <v>1</v>
      </c>
      <c r="G131">
        <v>15</v>
      </c>
      <c r="H131">
        <v>4</v>
      </c>
      <c r="I131">
        <v>1</v>
      </c>
      <c r="J131">
        <v>0.28000000000000003</v>
      </c>
      <c r="K131">
        <v>0.2727</v>
      </c>
      <c r="L131">
        <v>0.36</v>
      </c>
      <c r="M131">
        <v>0</v>
      </c>
      <c r="N131">
        <v>8</v>
      </c>
      <c r="O131">
        <v>54</v>
      </c>
      <c r="P131">
        <v>62</v>
      </c>
    </row>
    <row r="132" spans="1:16" x14ac:dyDescent="0.35">
      <c r="A132">
        <v>131</v>
      </c>
      <c r="B132" t="b">
        <v>0</v>
      </c>
      <c r="C132" s="18">
        <v>40549</v>
      </c>
      <c r="D132">
        <v>1</v>
      </c>
      <c r="E132">
        <v>0</v>
      </c>
      <c r="F132">
        <v>1</v>
      </c>
      <c r="G132">
        <v>16</v>
      </c>
      <c r="H132">
        <v>4</v>
      </c>
      <c r="I132">
        <v>1</v>
      </c>
      <c r="J132">
        <v>0.26</v>
      </c>
      <c r="K132">
        <v>0.2576</v>
      </c>
      <c r="L132">
        <v>0.38</v>
      </c>
      <c r="M132">
        <v>0.16420000000000001</v>
      </c>
      <c r="N132">
        <v>12</v>
      </c>
      <c r="O132">
        <v>74</v>
      </c>
      <c r="P132">
        <v>86</v>
      </c>
    </row>
    <row r="133" spans="1:16" x14ac:dyDescent="0.35">
      <c r="A133">
        <v>132</v>
      </c>
      <c r="B133" t="b">
        <v>0</v>
      </c>
      <c r="C133" s="18">
        <v>40549</v>
      </c>
      <c r="D133">
        <v>1</v>
      </c>
      <c r="E133">
        <v>0</v>
      </c>
      <c r="F133">
        <v>1</v>
      </c>
      <c r="G133">
        <v>17</v>
      </c>
      <c r="H133">
        <v>4</v>
      </c>
      <c r="I133">
        <v>1</v>
      </c>
      <c r="J133">
        <v>0.22</v>
      </c>
      <c r="K133">
        <v>0.2273</v>
      </c>
      <c r="L133">
        <v>0.51</v>
      </c>
      <c r="M133">
        <v>0.16420000000000001</v>
      </c>
      <c r="N133">
        <v>9</v>
      </c>
      <c r="O133">
        <v>163</v>
      </c>
      <c r="P133">
        <v>172</v>
      </c>
    </row>
    <row r="134" spans="1:16" x14ac:dyDescent="0.35">
      <c r="A134">
        <v>133</v>
      </c>
      <c r="B134" t="b">
        <v>0</v>
      </c>
      <c r="C134" s="18">
        <v>40549</v>
      </c>
      <c r="D134">
        <v>1</v>
      </c>
      <c r="E134">
        <v>0</v>
      </c>
      <c r="F134">
        <v>1</v>
      </c>
      <c r="G134">
        <v>18</v>
      </c>
      <c r="H134">
        <v>4</v>
      </c>
      <c r="I134">
        <v>1</v>
      </c>
      <c r="J134">
        <v>0.22</v>
      </c>
      <c r="K134">
        <v>0.2273</v>
      </c>
      <c r="L134">
        <v>0.51</v>
      </c>
      <c r="M134">
        <v>0.1343</v>
      </c>
      <c r="N134">
        <v>5</v>
      </c>
      <c r="O134">
        <v>158</v>
      </c>
      <c r="P134">
        <v>163</v>
      </c>
    </row>
    <row r="135" spans="1:16" x14ac:dyDescent="0.35">
      <c r="A135">
        <v>134</v>
      </c>
      <c r="B135" t="b">
        <v>0</v>
      </c>
      <c r="C135" s="18">
        <v>40549</v>
      </c>
      <c r="D135">
        <v>1</v>
      </c>
      <c r="E135">
        <v>0</v>
      </c>
      <c r="F135">
        <v>1</v>
      </c>
      <c r="G135">
        <v>19</v>
      </c>
      <c r="H135">
        <v>4</v>
      </c>
      <c r="I135">
        <v>1</v>
      </c>
      <c r="J135">
        <v>0.22</v>
      </c>
      <c r="K135">
        <v>0.2576</v>
      </c>
      <c r="L135">
        <v>0.55000000000000004</v>
      </c>
      <c r="M135">
        <v>8.9599999999999999E-2</v>
      </c>
      <c r="N135">
        <v>3</v>
      </c>
      <c r="O135">
        <v>109</v>
      </c>
      <c r="P135">
        <v>112</v>
      </c>
    </row>
    <row r="136" spans="1:16" x14ac:dyDescent="0.35">
      <c r="A136">
        <v>135</v>
      </c>
      <c r="B136" t="b">
        <v>0</v>
      </c>
      <c r="C136" s="18">
        <v>40549</v>
      </c>
      <c r="D136">
        <v>1</v>
      </c>
      <c r="E136">
        <v>0</v>
      </c>
      <c r="F136">
        <v>1</v>
      </c>
      <c r="G136">
        <v>20</v>
      </c>
      <c r="H136">
        <v>4</v>
      </c>
      <c r="I136">
        <v>1</v>
      </c>
      <c r="J136">
        <v>0.2</v>
      </c>
      <c r="K136">
        <v>0.21210000000000001</v>
      </c>
      <c r="L136">
        <v>0.51</v>
      </c>
      <c r="M136">
        <v>0.16420000000000001</v>
      </c>
      <c r="N136">
        <v>3</v>
      </c>
      <c r="O136">
        <v>66</v>
      </c>
      <c r="P136">
        <v>69</v>
      </c>
    </row>
    <row r="137" spans="1:16" x14ac:dyDescent="0.35">
      <c r="A137">
        <v>136</v>
      </c>
      <c r="B137" t="b">
        <v>0</v>
      </c>
      <c r="C137" s="18">
        <v>40549</v>
      </c>
      <c r="D137">
        <v>1</v>
      </c>
      <c r="E137">
        <v>0</v>
      </c>
      <c r="F137">
        <v>1</v>
      </c>
      <c r="G137">
        <v>21</v>
      </c>
      <c r="H137">
        <v>4</v>
      </c>
      <c r="I137">
        <v>2</v>
      </c>
      <c r="J137">
        <v>0.22</v>
      </c>
      <c r="K137">
        <v>0.21210000000000001</v>
      </c>
      <c r="L137">
        <v>0.55000000000000004</v>
      </c>
      <c r="M137">
        <v>0.22389999999999999</v>
      </c>
      <c r="N137">
        <v>0</v>
      </c>
      <c r="O137">
        <v>48</v>
      </c>
      <c r="P137">
        <v>48</v>
      </c>
    </row>
    <row r="138" spans="1:16" x14ac:dyDescent="0.35">
      <c r="A138">
        <v>137</v>
      </c>
      <c r="B138" t="b">
        <v>0</v>
      </c>
      <c r="C138" s="18">
        <v>40549</v>
      </c>
      <c r="D138">
        <v>1</v>
      </c>
      <c r="E138">
        <v>0</v>
      </c>
      <c r="F138">
        <v>1</v>
      </c>
      <c r="G138">
        <v>22</v>
      </c>
      <c r="H138">
        <v>4</v>
      </c>
      <c r="I138">
        <v>2</v>
      </c>
      <c r="J138">
        <v>0.22</v>
      </c>
      <c r="K138">
        <v>0.21210000000000001</v>
      </c>
      <c r="L138">
        <v>0.51</v>
      </c>
      <c r="M138">
        <v>0.28360000000000002</v>
      </c>
      <c r="N138">
        <v>1</v>
      </c>
      <c r="O138">
        <v>51</v>
      </c>
      <c r="P138">
        <v>52</v>
      </c>
    </row>
    <row r="139" spans="1:16" x14ac:dyDescent="0.35">
      <c r="A139">
        <v>138</v>
      </c>
      <c r="B139" t="b">
        <v>0</v>
      </c>
      <c r="C139" s="18">
        <v>40549</v>
      </c>
      <c r="D139">
        <v>1</v>
      </c>
      <c r="E139">
        <v>0</v>
      </c>
      <c r="F139">
        <v>1</v>
      </c>
      <c r="G139">
        <v>23</v>
      </c>
      <c r="H139">
        <v>4</v>
      </c>
      <c r="I139">
        <v>2</v>
      </c>
      <c r="J139">
        <v>0.2</v>
      </c>
      <c r="K139">
        <v>0.19700000000000001</v>
      </c>
      <c r="L139">
        <v>0.59</v>
      </c>
      <c r="M139">
        <v>0.19400000000000001</v>
      </c>
      <c r="N139">
        <v>4</v>
      </c>
      <c r="O139">
        <v>19</v>
      </c>
      <c r="P139">
        <v>23</v>
      </c>
    </row>
    <row r="140" spans="1:16" x14ac:dyDescent="0.35">
      <c r="A140">
        <v>139</v>
      </c>
      <c r="B140" t="b">
        <v>0</v>
      </c>
      <c r="C140" s="18">
        <v>40550</v>
      </c>
      <c r="D140">
        <v>1</v>
      </c>
      <c r="E140">
        <v>0</v>
      </c>
      <c r="F140">
        <v>1</v>
      </c>
      <c r="G140">
        <v>0</v>
      </c>
      <c r="H140">
        <v>5</v>
      </c>
      <c r="I140">
        <v>2</v>
      </c>
      <c r="J140">
        <v>0.2</v>
      </c>
      <c r="K140">
        <v>0.19700000000000001</v>
      </c>
      <c r="L140">
        <v>0.64</v>
      </c>
      <c r="M140">
        <v>0.19400000000000001</v>
      </c>
      <c r="N140">
        <v>4</v>
      </c>
      <c r="O140">
        <v>13</v>
      </c>
      <c r="P140">
        <v>17</v>
      </c>
    </row>
    <row r="141" spans="1:16" x14ac:dyDescent="0.35">
      <c r="A141">
        <v>140</v>
      </c>
      <c r="B141" t="b">
        <v>0</v>
      </c>
      <c r="C141" s="18">
        <v>40550</v>
      </c>
      <c r="D141">
        <v>1</v>
      </c>
      <c r="E141">
        <v>0</v>
      </c>
      <c r="F141">
        <v>1</v>
      </c>
      <c r="G141">
        <v>1</v>
      </c>
      <c r="H141">
        <v>5</v>
      </c>
      <c r="I141">
        <v>2</v>
      </c>
      <c r="J141">
        <v>0.2</v>
      </c>
      <c r="K141">
        <v>0.19700000000000001</v>
      </c>
      <c r="L141">
        <v>0.69</v>
      </c>
      <c r="M141">
        <v>0.22389999999999999</v>
      </c>
      <c r="N141">
        <v>2</v>
      </c>
      <c r="O141">
        <v>5</v>
      </c>
      <c r="P141">
        <v>7</v>
      </c>
    </row>
    <row r="142" spans="1:16" x14ac:dyDescent="0.35">
      <c r="A142">
        <v>141</v>
      </c>
      <c r="B142" t="b">
        <v>0</v>
      </c>
      <c r="C142" s="18">
        <v>40550</v>
      </c>
      <c r="D142">
        <v>1</v>
      </c>
      <c r="E142">
        <v>0</v>
      </c>
      <c r="F142">
        <v>1</v>
      </c>
      <c r="G142">
        <v>2</v>
      </c>
      <c r="H142">
        <v>5</v>
      </c>
      <c r="I142">
        <v>2</v>
      </c>
      <c r="J142">
        <v>0.2</v>
      </c>
      <c r="K142">
        <v>0.19700000000000001</v>
      </c>
      <c r="L142">
        <v>0.69</v>
      </c>
      <c r="M142">
        <v>0.22389999999999999</v>
      </c>
      <c r="N142">
        <v>0</v>
      </c>
      <c r="O142">
        <v>1</v>
      </c>
      <c r="P142">
        <v>1</v>
      </c>
    </row>
    <row r="143" spans="1:16" x14ac:dyDescent="0.35">
      <c r="A143">
        <v>142</v>
      </c>
      <c r="B143" t="b">
        <v>0</v>
      </c>
      <c r="C143" s="18">
        <v>40550</v>
      </c>
      <c r="D143">
        <v>1</v>
      </c>
      <c r="E143">
        <v>0</v>
      </c>
      <c r="F143">
        <v>1</v>
      </c>
      <c r="G143">
        <v>4</v>
      </c>
      <c r="H143">
        <v>5</v>
      </c>
      <c r="I143">
        <v>2</v>
      </c>
      <c r="J143">
        <v>0.2</v>
      </c>
      <c r="K143">
        <v>0.21210000000000001</v>
      </c>
      <c r="L143">
        <v>0.69</v>
      </c>
      <c r="M143">
        <v>0.1343</v>
      </c>
      <c r="N143">
        <v>0</v>
      </c>
      <c r="O143">
        <v>1</v>
      </c>
      <c r="P143">
        <v>1</v>
      </c>
    </row>
    <row r="144" spans="1:16" x14ac:dyDescent="0.35">
      <c r="A144">
        <v>143</v>
      </c>
      <c r="B144" t="b">
        <v>0</v>
      </c>
      <c r="C144" s="18">
        <v>40550</v>
      </c>
      <c r="D144">
        <v>1</v>
      </c>
      <c r="E144">
        <v>0</v>
      </c>
      <c r="F144">
        <v>1</v>
      </c>
      <c r="G144">
        <v>5</v>
      </c>
      <c r="H144">
        <v>5</v>
      </c>
      <c r="I144">
        <v>3</v>
      </c>
      <c r="J144">
        <v>0.22</v>
      </c>
      <c r="K144">
        <v>0.2727</v>
      </c>
      <c r="L144">
        <v>0.55000000000000004</v>
      </c>
      <c r="M144">
        <v>0</v>
      </c>
      <c r="N144">
        <v>0</v>
      </c>
      <c r="O144">
        <v>5</v>
      </c>
      <c r="P144">
        <v>5</v>
      </c>
    </row>
    <row r="145" spans="1:16" x14ac:dyDescent="0.35">
      <c r="A145">
        <v>144</v>
      </c>
      <c r="B145" t="b">
        <v>0</v>
      </c>
      <c r="C145" s="18">
        <v>40550</v>
      </c>
      <c r="D145">
        <v>1</v>
      </c>
      <c r="E145">
        <v>0</v>
      </c>
      <c r="F145">
        <v>1</v>
      </c>
      <c r="G145">
        <v>6</v>
      </c>
      <c r="H145">
        <v>5</v>
      </c>
      <c r="I145">
        <v>2</v>
      </c>
      <c r="J145">
        <v>0.2</v>
      </c>
      <c r="K145">
        <v>0.2576</v>
      </c>
      <c r="L145">
        <v>0.69</v>
      </c>
      <c r="M145">
        <v>0</v>
      </c>
      <c r="N145">
        <v>8</v>
      </c>
      <c r="O145">
        <v>26</v>
      </c>
      <c r="P145">
        <v>34</v>
      </c>
    </row>
    <row r="146" spans="1:16" x14ac:dyDescent="0.35">
      <c r="A146">
        <v>145</v>
      </c>
      <c r="B146" t="b">
        <v>0</v>
      </c>
      <c r="C146" s="18">
        <v>40550</v>
      </c>
      <c r="D146">
        <v>1</v>
      </c>
      <c r="E146">
        <v>0</v>
      </c>
      <c r="F146">
        <v>1</v>
      </c>
      <c r="G146">
        <v>7</v>
      </c>
      <c r="H146">
        <v>5</v>
      </c>
      <c r="I146">
        <v>1</v>
      </c>
      <c r="J146">
        <v>0.2</v>
      </c>
      <c r="K146">
        <v>0.21210000000000001</v>
      </c>
      <c r="L146">
        <v>0.69</v>
      </c>
      <c r="M146">
        <v>0.1343</v>
      </c>
      <c r="N146">
        <v>8</v>
      </c>
      <c r="O146">
        <v>76</v>
      </c>
      <c r="P146">
        <v>84</v>
      </c>
    </row>
    <row r="147" spans="1:16" x14ac:dyDescent="0.35">
      <c r="A147">
        <v>146</v>
      </c>
      <c r="B147" t="b">
        <v>0</v>
      </c>
      <c r="C147" s="18">
        <v>40550</v>
      </c>
      <c r="D147">
        <v>1</v>
      </c>
      <c r="E147">
        <v>0</v>
      </c>
      <c r="F147">
        <v>1</v>
      </c>
      <c r="G147">
        <v>8</v>
      </c>
      <c r="H147">
        <v>5</v>
      </c>
      <c r="I147">
        <v>1</v>
      </c>
      <c r="J147">
        <v>0.2</v>
      </c>
      <c r="K147">
        <v>0.19700000000000001</v>
      </c>
      <c r="L147">
        <v>0.51</v>
      </c>
      <c r="M147">
        <v>0.25369999999999998</v>
      </c>
      <c r="N147">
        <v>20</v>
      </c>
      <c r="O147">
        <v>190</v>
      </c>
      <c r="P147">
        <v>210</v>
      </c>
    </row>
    <row r="148" spans="1:16" x14ac:dyDescent="0.35">
      <c r="A148">
        <v>147</v>
      </c>
      <c r="B148" t="b">
        <v>0</v>
      </c>
      <c r="C148" s="18">
        <v>40550</v>
      </c>
      <c r="D148">
        <v>1</v>
      </c>
      <c r="E148">
        <v>0</v>
      </c>
      <c r="F148">
        <v>1</v>
      </c>
      <c r="G148">
        <v>9</v>
      </c>
      <c r="H148">
        <v>5</v>
      </c>
      <c r="I148">
        <v>1</v>
      </c>
      <c r="J148">
        <v>0.2</v>
      </c>
      <c r="K148">
        <v>0.18179999999999999</v>
      </c>
      <c r="L148">
        <v>0.47</v>
      </c>
      <c r="M148">
        <v>0.29849999999999999</v>
      </c>
      <c r="N148">
        <v>9</v>
      </c>
      <c r="O148">
        <v>125</v>
      </c>
      <c r="P148">
        <v>134</v>
      </c>
    </row>
    <row r="149" spans="1:16" x14ac:dyDescent="0.35">
      <c r="A149">
        <v>148</v>
      </c>
      <c r="B149" t="b">
        <v>0</v>
      </c>
      <c r="C149" s="18">
        <v>40550</v>
      </c>
      <c r="D149">
        <v>1</v>
      </c>
      <c r="E149">
        <v>0</v>
      </c>
      <c r="F149">
        <v>1</v>
      </c>
      <c r="G149">
        <v>10</v>
      </c>
      <c r="H149">
        <v>5</v>
      </c>
      <c r="I149">
        <v>1</v>
      </c>
      <c r="J149">
        <v>0.22</v>
      </c>
      <c r="K149">
        <v>0.19700000000000001</v>
      </c>
      <c r="L149">
        <v>0.37</v>
      </c>
      <c r="M149">
        <v>0.32840000000000003</v>
      </c>
      <c r="N149">
        <v>16</v>
      </c>
      <c r="O149">
        <v>47</v>
      </c>
      <c r="P149">
        <v>63</v>
      </c>
    </row>
    <row r="150" spans="1:16" x14ac:dyDescent="0.35">
      <c r="A150">
        <v>149</v>
      </c>
      <c r="B150" t="b">
        <v>0</v>
      </c>
      <c r="C150" s="18">
        <v>40550</v>
      </c>
      <c r="D150">
        <v>1</v>
      </c>
      <c r="E150">
        <v>0</v>
      </c>
      <c r="F150">
        <v>1</v>
      </c>
      <c r="G150">
        <v>11</v>
      </c>
      <c r="H150">
        <v>5</v>
      </c>
      <c r="I150">
        <v>2</v>
      </c>
      <c r="J150">
        <v>0.2</v>
      </c>
      <c r="K150">
        <v>0.19700000000000001</v>
      </c>
      <c r="L150">
        <v>0.4</v>
      </c>
      <c r="M150">
        <v>0.22389999999999999</v>
      </c>
      <c r="N150">
        <v>19</v>
      </c>
      <c r="O150">
        <v>48</v>
      </c>
      <c r="P150">
        <v>67</v>
      </c>
    </row>
    <row r="151" spans="1:16" x14ac:dyDescent="0.35">
      <c r="A151">
        <v>150</v>
      </c>
      <c r="B151" t="b">
        <v>0</v>
      </c>
      <c r="C151" s="18">
        <v>40550</v>
      </c>
      <c r="D151">
        <v>1</v>
      </c>
      <c r="E151">
        <v>0</v>
      </c>
      <c r="F151">
        <v>1</v>
      </c>
      <c r="G151">
        <v>12</v>
      </c>
      <c r="H151">
        <v>5</v>
      </c>
      <c r="I151">
        <v>2</v>
      </c>
      <c r="J151">
        <v>0.2</v>
      </c>
      <c r="K151">
        <v>0.19700000000000001</v>
      </c>
      <c r="L151">
        <v>0.37</v>
      </c>
      <c r="M151">
        <v>0.25369999999999998</v>
      </c>
      <c r="N151">
        <v>9</v>
      </c>
      <c r="O151">
        <v>50</v>
      </c>
      <c r="P151">
        <v>59</v>
      </c>
    </row>
    <row r="152" spans="1:16" x14ac:dyDescent="0.35">
      <c r="A152">
        <v>151</v>
      </c>
      <c r="B152" t="b">
        <v>0</v>
      </c>
      <c r="C152" s="18">
        <v>40550</v>
      </c>
      <c r="D152">
        <v>1</v>
      </c>
      <c r="E152">
        <v>0</v>
      </c>
      <c r="F152">
        <v>1</v>
      </c>
      <c r="G152">
        <v>13</v>
      </c>
      <c r="H152">
        <v>5</v>
      </c>
      <c r="I152">
        <v>2</v>
      </c>
      <c r="J152">
        <v>0.2</v>
      </c>
      <c r="K152">
        <v>0.18179999999999999</v>
      </c>
      <c r="L152">
        <v>0.37</v>
      </c>
      <c r="M152">
        <v>0.28360000000000002</v>
      </c>
      <c r="N152">
        <v>9</v>
      </c>
      <c r="O152">
        <v>64</v>
      </c>
      <c r="P152">
        <v>73</v>
      </c>
    </row>
    <row r="153" spans="1:16" x14ac:dyDescent="0.35">
      <c r="A153">
        <v>152</v>
      </c>
      <c r="B153" t="b">
        <v>0</v>
      </c>
      <c r="C153" s="18">
        <v>40550</v>
      </c>
      <c r="D153">
        <v>1</v>
      </c>
      <c r="E153">
        <v>0</v>
      </c>
      <c r="F153">
        <v>1</v>
      </c>
      <c r="G153">
        <v>14</v>
      </c>
      <c r="H153">
        <v>5</v>
      </c>
      <c r="I153">
        <v>2</v>
      </c>
      <c r="J153">
        <v>0.2</v>
      </c>
      <c r="K153">
        <v>0.19700000000000001</v>
      </c>
      <c r="L153">
        <v>0.4</v>
      </c>
      <c r="M153">
        <v>0.25369999999999998</v>
      </c>
      <c r="N153">
        <v>7</v>
      </c>
      <c r="O153">
        <v>43</v>
      </c>
      <c r="P153">
        <v>50</v>
      </c>
    </row>
    <row r="154" spans="1:16" x14ac:dyDescent="0.35">
      <c r="A154">
        <v>153</v>
      </c>
      <c r="B154" t="b">
        <v>0</v>
      </c>
      <c r="C154" s="18">
        <v>40550</v>
      </c>
      <c r="D154">
        <v>1</v>
      </c>
      <c r="E154">
        <v>0</v>
      </c>
      <c r="F154">
        <v>1</v>
      </c>
      <c r="G154">
        <v>15</v>
      </c>
      <c r="H154">
        <v>5</v>
      </c>
      <c r="I154">
        <v>2</v>
      </c>
      <c r="J154">
        <v>0.2</v>
      </c>
      <c r="K154">
        <v>0.21210000000000001</v>
      </c>
      <c r="L154">
        <v>0.37</v>
      </c>
      <c r="M154">
        <v>0.16420000000000001</v>
      </c>
      <c r="N154">
        <v>9</v>
      </c>
      <c r="O154">
        <v>63</v>
      </c>
      <c r="P154">
        <v>72</v>
      </c>
    </row>
    <row r="155" spans="1:16" x14ac:dyDescent="0.35">
      <c r="A155">
        <v>154</v>
      </c>
      <c r="B155" t="b">
        <v>0</v>
      </c>
      <c r="C155" s="18">
        <v>40550</v>
      </c>
      <c r="D155">
        <v>1</v>
      </c>
      <c r="E155">
        <v>0</v>
      </c>
      <c r="F155">
        <v>1</v>
      </c>
      <c r="G155">
        <v>16</v>
      </c>
      <c r="H155">
        <v>5</v>
      </c>
      <c r="I155">
        <v>2</v>
      </c>
      <c r="J155">
        <v>0.2</v>
      </c>
      <c r="K155">
        <v>0.21210000000000001</v>
      </c>
      <c r="L155">
        <v>0.37</v>
      </c>
      <c r="M155">
        <v>0.16420000000000001</v>
      </c>
      <c r="N155">
        <v>5</v>
      </c>
      <c r="O155">
        <v>82</v>
      </c>
      <c r="P155">
        <v>87</v>
      </c>
    </row>
    <row r="156" spans="1:16" x14ac:dyDescent="0.35">
      <c r="A156">
        <v>155</v>
      </c>
      <c r="B156" t="b">
        <v>0</v>
      </c>
      <c r="C156" s="18">
        <v>40550</v>
      </c>
      <c r="D156">
        <v>1</v>
      </c>
      <c r="E156">
        <v>0</v>
      </c>
      <c r="F156">
        <v>1</v>
      </c>
      <c r="G156">
        <v>17</v>
      </c>
      <c r="H156">
        <v>5</v>
      </c>
      <c r="I156">
        <v>2</v>
      </c>
      <c r="J156">
        <v>0.2</v>
      </c>
      <c r="K156">
        <v>0.2576</v>
      </c>
      <c r="L156">
        <v>0.37</v>
      </c>
      <c r="M156">
        <v>0</v>
      </c>
      <c r="N156">
        <v>9</v>
      </c>
      <c r="O156">
        <v>178</v>
      </c>
      <c r="P156">
        <v>187</v>
      </c>
    </row>
    <row r="157" spans="1:16" x14ac:dyDescent="0.35">
      <c r="A157">
        <v>156</v>
      </c>
      <c r="B157" t="b">
        <v>0</v>
      </c>
      <c r="C157" s="18">
        <v>40550</v>
      </c>
      <c r="D157">
        <v>1</v>
      </c>
      <c r="E157">
        <v>0</v>
      </c>
      <c r="F157">
        <v>1</v>
      </c>
      <c r="G157">
        <v>18</v>
      </c>
      <c r="H157">
        <v>5</v>
      </c>
      <c r="I157">
        <v>1</v>
      </c>
      <c r="J157">
        <v>0.2</v>
      </c>
      <c r="K157">
        <v>0.2273</v>
      </c>
      <c r="L157">
        <v>0.4</v>
      </c>
      <c r="M157">
        <v>8.9599999999999999E-2</v>
      </c>
      <c r="N157">
        <v>7</v>
      </c>
      <c r="O157">
        <v>116</v>
      </c>
      <c r="P157">
        <v>123</v>
      </c>
    </row>
    <row r="158" spans="1:16" x14ac:dyDescent="0.35">
      <c r="A158">
        <v>157</v>
      </c>
      <c r="B158" t="b">
        <v>0</v>
      </c>
      <c r="C158" s="18">
        <v>40550</v>
      </c>
      <c r="D158">
        <v>1</v>
      </c>
      <c r="E158">
        <v>0</v>
      </c>
      <c r="F158">
        <v>1</v>
      </c>
      <c r="G158">
        <v>19</v>
      </c>
      <c r="H158">
        <v>5</v>
      </c>
      <c r="I158">
        <v>1</v>
      </c>
      <c r="J158">
        <v>0.16</v>
      </c>
      <c r="K158">
        <v>0.19700000000000001</v>
      </c>
      <c r="L158">
        <v>0.55000000000000004</v>
      </c>
      <c r="M158">
        <v>8.9599999999999999E-2</v>
      </c>
      <c r="N158">
        <v>3</v>
      </c>
      <c r="O158">
        <v>92</v>
      </c>
      <c r="P158">
        <v>95</v>
      </c>
    </row>
    <row r="159" spans="1:16" x14ac:dyDescent="0.35">
      <c r="A159">
        <v>158</v>
      </c>
      <c r="B159" t="b">
        <v>0</v>
      </c>
      <c r="C159" s="18">
        <v>40550</v>
      </c>
      <c r="D159">
        <v>1</v>
      </c>
      <c r="E159">
        <v>0</v>
      </c>
      <c r="F159">
        <v>1</v>
      </c>
      <c r="G159">
        <v>20</v>
      </c>
      <c r="H159">
        <v>5</v>
      </c>
      <c r="I159">
        <v>1</v>
      </c>
      <c r="J159">
        <v>0.18</v>
      </c>
      <c r="K159">
        <v>0.21210000000000001</v>
      </c>
      <c r="L159">
        <v>0.47</v>
      </c>
      <c r="M159">
        <v>0.1045</v>
      </c>
      <c r="N159">
        <v>1</v>
      </c>
      <c r="O159">
        <v>50</v>
      </c>
      <c r="P159">
        <v>51</v>
      </c>
    </row>
    <row r="160" spans="1:16" x14ac:dyDescent="0.35">
      <c r="A160">
        <v>159</v>
      </c>
      <c r="B160" t="b">
        <v>0</v>
      </c>
      <c r="C160" s="18">
        <v>40550</v>
      </c>
      <c r="D160">
        <v>1</v>
      </c>
      <c r="E160">
        <v>0</v>
      </c>
      <c r="F160">
        <v>1</v>
      </c>
      <c r="G160">
        <v>21</v>
      </c>
      <c r="H160">
        <v>5</v>
      </c>
      <c r="I160">
        <v>1</v>
      </c>
      <c r="J160">
        <v>0.18</v>
      </c>
      <c r="K160">
        <v>0.19700000000000001</v>
      </c>
      <c r="L160">
        <v>0.47</v>
      </c>
      <c r="M160">
        <v>0.1343</v>
      </c>
      <c r="N160">
        <v>0</v>
      </c>
      <c r="O160">
        <v>39</v>
      </c>
      <c r="P160">
        <v>39</v>
      </c>
    </row>
    <row r="161" spans="1:16" x14ac:dyDescent="0.35">
      <c r="A161">
        <v>160</v>
      </c>
      <c r="B161" t="b">
        <v>0</v>
      </c>
      <c r="C161" s="18">
        <v>40550</v>
      </c>
      <c r="D161">
        <v>1</v>
      </c>
      <c r="E161">
        <v>0</v>
      </c>
      <c r="F161">
        <v>1</v>
      </c>
      <c r="G161">
        <v>22</v>
      </c>
      <c r="H161">
        <v>5</v>
      </c>
      <c r="I161">
        <v>2</v>
      </c>
      <c r="J161">
        <v>0.18</v>
      </c>
      <c r="K161">
        <v>0.19700000000000001</v>
      </c>
      <c r="L161">
        <v>0.43</v>
      </c>
      <c r="M161">
        <v>0.16420000000000001</v>
      </c>
      <c r="N161">
        <v>2</v>
      </c>
      <c r="O161">
        <v>34</v>
      </c>
      <c r="P161">
        <v>36</v>
      </c>
    </row>
    <row r="162" spans="1:16" x14ac:dyDescent="0.35">
      <c r="A162">
        <v>161</v>
      </c>
      <c r="B162" t="b">
        <v>0</v>
      </c>
      <c r="C162" s="18">
        <v>40550</v>
      </c>
      <c r="D162">
        <v>1</v>
      </c>
      <c r="E162">
        <v>0</v>
      </c>
      <c r="F162">
        <v>1</v>
      </c>
      <c r="G162">
        <v>23</v>
      </c>
      <c r="H162">
        <v>5</v>
      </c>
      <c r="I162">
        <v>2</v>
      </c>
      <c r="J162">
        <v>0.18</v>
      </c>
      <c r="K162">
        <v>0.19700000000000001</v>
      </c>
      <c r="L162">
        <v>0.51</v>
      </c>
      <c r="M162">
        <v>0.16420000000000001</v>
      </c>
      <c r="N162">
        <v>1</v>
      </c>
      <c r="O162">
        <v>14</v>
      </c>
      <c r="P162">
        <v>15</v>
      </c>
    </row>
    <row r="163" spans="1:16" x14ac:dyDescent="0.35">
      <c r="A163">
        <v>162</v>
      </c>
      <c r="B163" t="b">
        <v>0</v>
      </c>
      <c r="C163" s="18">
        <v>40551</v>
      </c>
      <c r="D163">
        <v>1</v>
      </c>
      <c r="E163">
        <v>0</v>
      </c>
      <c r="F163">
        <v>1</v>
      </c>
      <c r="G163">
        <v>0</v>
      </c>
      <c r="H163">
        <v>6</v>
      </c>
      <c r="I163">
        <v>2</v>
      </c>
      <c r="J163">
        <v>0.18</v>
      </c>
      <c r="K163">
        <v>0.19700000000000001</v>
      </c>
      <c r="L163">
        <v>0.51</v>
      </c>
      <c r="M163">
        <v>0.16420000000000001</v>
      </c>
      <c r="N163">
        <v>1</v>
      </c>
      <c r="O163">
        <v>24</v>
      </c>
      <c r="P163">
        <v>25</v>
      </c>
    </row>
    <row r="164" spans="1:16" x14ac:dyDescent="0.35">
      <c r="A164">
        <v>163</v>
      </c>
      <c r="B164" t="b">
        <v>0</v>
      </c>
      <c r="C164" s="18">
        <v>40551</v>
      </c>
      <c r="D164">
        <v>1</v>
      </c>
      <c r="E164">
        <v>0</v>
      </c>
      <c r="F164">
        <v>1</v>
      </c>
      <c r="G164">
        <v>1</v>
      </c>
      <c r="H164">
        <v>6</v>
      </c>
      <c r="I164">
        <v>2</v>
      </c>
      <c r="J164">
        <v>0.18</v>
      </c>
      <c r="K164">
        <v>0.21210000000000001</v>
      </c>
      <c r="L164">
        <v>0.55000000000000004</v>
      </c>
      <c r="M164">
        <v>8.9599999999999999E-2</v>
      </c>
      <c r="N164">
        <v>1</v>
      </c>
      <c r="O164">
        <v>15</v>
      </c>
      <c r="P164">
        <v>16</v>
      </c>
    </row>
    <row r="165" spans="1:16" x14ac:dyDescent="0.35">
      <c r="A165">
        <v>164</v>
      </c>
      <c r="B165" t="b">
        <v>0</v>
      </c>
      <c r="C165" s="18">
        <v>40551</v>
      </c>
      <c r="D165">
        <v>1</v>
      </c>
      <c r="E165">
        <v>0</v>
      </c>
      <c r="F165">
        <v>1</v>
      </c>
      <c r="G165">
        <v>2</v>
      </c>
      <c r="H165">
        <v>6</v>
      </c>
      <c r="I165">
        <v>2</v>
      </c>
      <c r="J165">
        <v>0.18</v>
      </c>
      <c r="K165">
        <v>0.2424</v>
      </c>
      <c r="L165">
        <v>0.55000000000000004</v>
      </c>
      <c r="M165">
        <v>0</v>
      </c>
      <c r="N165">
        <v>3</v>
      </c>
      <c r="O165">
        <v>13</v>
      </c>
      <c r="P165">
        <v>16</v>
      </c>
    </row>
    <row r="166" spans="1:16" x14ac:dyDescent="0.35">
      <c r="A166">
        <v>165</v>
      </c>
      <c r="B166" t="b">
        <v>0</v>
      </c>
      <c r="C166" s="18">
        <v>40551</v>
      </c>
      <c r="D166">
        <v>1</v>
      </c>
      <c r="E166">
        <v>0</v>
      </c>
      <c r="F166">
        <v>1</v>
      </c>
      <c r="G166">
        <v>3</v>
      </c>
      <c r="H166">
        <v>6</v>
      </c>
      <c r="I166">
        <v>3</v>
      </c>
      <c r="J166">
        <v>0.18</v>
      </c>
      <c r="K166">
        <v>0.19700000000000001</v>
      </c>
      <c r="L166">
        <v>0.55000000000000004</v>
      </c>
      <c r="M166">
        <v>0.16420000000000001</v>
      </c>
      <c r="N166">
        <v>0</v>
      </c>
      <c r="O166">
        <v>7</v>
      </c>
      <c r="P166">
        <v>7</v>
      </c>
    </row>
    <row r="167" spans="1:16" x14ac:dyDescent="0.35">
      <c r="A167">
        <v>166</v>
      </c>
      <c r="B167" t="b">
        <v>0</v>
      </c>
      <c r="C167" s="18">
        <v>40551</v>
      </c>
      <c r="D167">
        <v>1</v>
      </c>
      <c r="E167">
        <v>0</v>
      </c>
      <c r="F167">
        <v>1</v>
      </c>
      <c r="G167">
        <v>4</v>
      </c>
      <c r="H167">
        <v>6</v>
      </c>
      <c r="I167">
        <v>3</v>
      </c>
      <c r="J167">
        <v>0.18</v>
      </c>
      <c r="K167">
        <v>0.19700000000000001</v>
      </c>
      <c r="L167">
        <v>0.55000000000000004</v>
      </c>
      <c r="M167">
        <v>0.16420000000000001</v>
      </c>
      <c r="N167">
        <v>0</v>
      </c>
      <c r="O167">
        <v>1</v>
      </c>
      <c r="P167">
        <v>1</v>
      </c>
    </row>
    <row r="168" spans="1:16" x14ac:dyDescent="0.35">
      <c r="A168">
        <v>167</v>
      </c>
      <c r="B168" t="b">
        <v>0</v>
      </c>
      <c r="C168" s="18">
        <v>40551</v>
      </c>
      <c r="D168">
        <v>1</v>
      </c>
      <c r="E168">
        <v>0</v>
      </c>
      <c r="F168">
        <v>1</v>
      </c>
      <c r="G168">
        <v>5</v>
      </c>
      <c r="H168">
        <v>6</v>
      </c>
      <c r="I168">
        <v>2</v>
      </c>
      <c r="J168">
        <v>0.16</v>
      </c>
      <c r="K168">
        <v>0.16669999999999999</v>
      </c>
      <c r="L168">
        <v>0.74</v>
      </c>
      <c r="M168">
        <v>0.16420000000000001</v>
      </c>
      <c r="N168">
        <v>0</v>
      </c>
      <c r="O168">
        <v>5</v>
      </c>
      <c r="P168">
        <v>5</v>
      </c>
    </row>
    <row r="169" spans="1:16" x14ac:dyDescent="0.35">
      <c r="A169">
        <v>168</v>
      </c>
      <c r="B169" t="b">
        <v>0</v>
      </c>
      <c r="C169" s="18">
        <v>40551</v>
      </c>
      <c r="D169">
        <v>1</v>
      </c>
      <c r="E169">
        <v>0</v>
      </c>
      <c r="F169">
        <v>1</v>
      </c>
      <c r="G169">
        <v>6</v>
      </c>
      <c r="H169">
        <v>6</v>
      </c>
      <c r="I169">
        <v>2</v>
      </c>
      <c r="J169">
        <v>0.16</v>
      </c>
      <c r="K169">
        <v>0.16669999999999999</v>
      </c>
      <c r="L169">
        <v>0.74</v>
      </c>
      <c r="M169">
        <v>0.16420000000000001</v>
      </c>
      <c r="N169">
        <v>0</v>
      </c>
      <c r="O169">
        <v>2</v>
      </c>
      <c r="P169">
        <v>2</v>
      </c>
    </row>
    <row r="170" spans="1:16" x14ac:dyDescent="0.35">
      <c r="A170">
        <v>169</v>
      </c>
      <c r="B170" t="b">
        <v>0</v>
      </c>
      <c r="C170" s="18">
        <v>40551</v>
      </c>
      <c r="D170">
        <v>1</v>
      </c>
      <c r="E170">
        <v>0</v>
      </c>
      <c r="F170">
        <v>1</v>
      </c>
      <c r="G170">
        <v>7</v>
      </c>
      <c r="H170">
        <v>6</v>
      </c>
      <c r="I170">
        <v>2</v>
      </c>
      <c r="J170">
        <v>0.16</v>
      </c>
      <c r="K170">
        <v>0.18179999999999999</v>
      </c>
      <c r="L170">
        <v>0.74</v>
      </c>
      <c r="M170">
        <v>0.1045</v>
      </c>
      <c r="N170">
        <v>1</v>
      </c>
      <c r="O170">
        <v>8</v>
      </c>
      <c r="P170">
        <v>9</v>
      </c>
    </row>
    <row r="171" spans="1:16" x14ac:dyDescent="0.35">
      <c r="A171">
        <v>170</v>
      </c>
      <c r="B171" t="b">
        <v>0</v>
      </c>
      <c r="C171" s="18">
        <v>40551</v>
      </c>
      <c r="D171">
        <v>1</v>
      </c>
      <c r="E171">
        <v>0</v>
      </c>
      <c r="F171">
        <v>1</v>
      </c>
      <c r="G171">
        <v>8</v>
      </c>
      <c r="H171">
        <v>6</v>
      </c>
      <c r="I171">
        <v>3</v>
      </c>
      <c r="J171">
        <v>0.16</v>
      </c>
      <c r="K171">
        <v>0.18179999999999999</v>
      </c>
      <c r="L171">
        <v>0.93</v>
      </c>
      <c r="M171">
        <v>0.1045</v>
      </c>
      <c r="N171">
        <v>0</v>
      </c>
      <c r="O171">
        <v>15</v>
      </c>
      <c r="P171">
        <v>15</v>
      </c>
    </row>
    <row r="172" spans="1:16" x14ac:dyDescent="0.35">
      <c r="A172">
        <v>171</v>
      </c>
      <c r="B172" t="b">
        <v>0</v>
      </c>
      <c r="C172" s="18">
        <v>40551</v>
      </c>
      <c r="D172">
        <v>1</v>
      </c>
      <c r="E172">
        <v>0</v>
      </c>
      <c r="F172">
        <v>1</v>
      </c>
      <c r="G172">
        <v>9</v>
      </c>
      <c r="H172">
        <v>6</v>
      </c>
      <c r="I172">
        <v>3</v>
      </c>
      <c r="J172">
        <v>0.16</v>
      </c>
      <c r="K172">
        <v>0.18179999999999999</v>
      </c>
      <c r="L172">
        <v>0.93</v>
      </c>
      <c r="M172">
        <v>0.1045</v>
      </c>
      <c r="N172">
        <v>0</v>
      </c>
      <c r="O172">
        <v>20</v>
      </c>
      <c r="P172">
        <v>20</v>
      </c>
    </row>
    <row r="173" spans="1:16" x14ac:dyDescent="0.35">
      <c r="A173">
        <v>172</v>
      </c>
      <c r="B173" t="b">
        <v>0</v>
      </c>
      <c r="C173" s="18">
        <v>40551</v>
      </c>
      <c r="D173">
        <v>1</v>
      </c>
      <c r="E173">
        <v>0</v>
      </c>
      <c r="F173">
        <v>1</v>
      </c>
      <c r="G173">
        <v>10</v>
      </c>
      <c r="H173">
        <v>6</v>
      </c>
      <c r="I173">
        <v>2</v>
      </c>
      <c r="J173">
        <v>0.18</v>
      </c>
      <c r="K173">
        <v>0.19700000000000001</v>
      </c>
      <c r="L173">
        <v>0.8</v>
      </c>
      <c r="M173">
        <v>0.16420000000000001</v>
      </c>
      <c r="N173">
        <v>5</v>
      </c>
      <c r="O173">
        <v>56</v>
      </c>
      <c r="P173">
        <v>61</v>
      </c>
    </row>
    <row r="174" spans="1:16" x14ac:dyDescent="0.35">
      <c r="A174">
        <v>173</v>
      </c>
      <c r="B174" t="b">
        <v>0</v>
      </c>
      <c r="C174" s="18">
        <v>40551</v>
      </c>
      <c r="D174">
        <v>1</v>
      </c>
      <c r="E174">
        <v>0</v>
      </c>
      <c r="F174">
        <v>1</v>
      </c>
      <c r="G174">
        <v>11</v>
      </c>
      <c r="H174">
        <v>6</v>
      </c>
      <c r="I174">
        <v>2</v>
      </c>
      <c r="J174">
        <v>0.2</v>
      </c>
      <c r="K174">
        <v>0.18179999999999999</v>
      </c>
      <c r="L174">
        <v>0.69</v>
      </c>
      <c r="M174">
        <v>0.3881</v>
      </c>
      <c r="N174">
        <v>2</v>
      </c>
      <c r="O174">
        <v>60</v>
      </c>
      <c r="P174">
        <v>62</v>
      </c>
    </row>
    <row r="175" spans="1:16" x14ac:dyDescent="0.35">
      <c r="A175">
        <v>174</v>
      </c>
      <c r="B175" t="b">
        <v>0</v>
      </c>
      <c r="C175" s="18">
        <v>40551</v>
      </c>
      <c r="D175">
        <v>1</v>
      </c>
      <c r="E175">
        <v>0</v>
      </c>
      <c r="F175">
        <v>1</v>
      </c>
      <c r="G175">
        <v>12</v>
      </c>
      <c r="H175">
        <v>6</v>
      </c>
      <c r="I175">
        <v>2</v>
      </c>
      <c r="J175">
        <v>0.2</v>
      </c>
      <c r="K175">
        <v>0.18179999999999999</v>
      </c>
      <c r="L175">
        <v>0.59</v>
      </c>
      <c r="M175">
        <v>0.35820000000000002</v>
      </c>
      <c r="N175">
        <v>8</v>
      </c>
      <c r="O175">
        <v>90</v>
      </c>
      <c r="P175">
        <v>98</v>
      </c>
    </row>
    <row r="176" spans="1:16" x14ac:dyDescent="0.35">
      <c r="A176">
        <v>175</v>
      </c>
      <c r="B176" t="b">
        <v>0</v>
      </c>
      <c r="C176" s="18">
        <v>40551</v>
      </c>
      <c r="D176">
        <v>1</v>
      </c>
      <c r="E176">
        <v>0</v>
      </c>
      <c r="F176">
        <v>1</v>
      </c>
      <c r="G176">
        <v>13</v>
      </c>
      <c r="H176">
        <v>6</v>
      </c>
      <c r="I176">
        <v>1</v>
      </c>
      <c r="J176">
        <v>0.2</v>
      </c>
      <c r="K176">
        <v>0.18179999999999999</v>
      </c>
      <c r="L176">
        <v>0.44</v>
      </c>
      <c r="M176">
        <v>0.32840000000000003</v>
      </c>
      <c r="N176">
        <v>7</v>
      </c>
      <c r="O176">
        <v>95</v>
      </c>
      <c r="P176">
        <v>102</v>
      </c>
    </row>
    <row r="177" spans="1:16" x14ac:dyDescent="0.35">
      <c r="A177">
        <v>176</v>
      </c>
      <c r="B177" t="b">
        <v>0</v>
      </c>
      <c r="C177" s="18">
        <v>40551</v>
      </c>
      <c r="D177">
        <v>1</v>
      </c>
      <c r="E177">
        <v>0</v>
      </c>
      <c r="F177">
        <v>1</v>
      </c>
      <c r="G177">
        <v>14</v>
      </c>
      <c r="H177">
        <v>6</v>
      </c>
      <c r="I177">
        <v>1</v>
      </c>
      <c r="J177">
        <v>0.2</v>
      </c>
      <c r="K177">
        <v>0.16669999999999999</v>
      </c>
      <c r="L177">
        <v>0.32</v>
      </c>
      <c r="M177">
        <v>0.49249999999999999</v>
      </c>
      <c r="N177">
        <v>12</v>
      </c>
      <c r="O177">
        <v>83</v>
      </c>
      <c r="P177">
        <v>95</v>
      </c>
    </row>
    <row r="178" spans="1:16" x14ac:dyDescent="0.35">
      <c r="A178">
        <v>177</v>
      </c>
      <c r="B178" t="b">
        <v>0</v>
      </c>
      <c r="C178" s="18">
        <v>40551</v>
      </c>
      <c r="D178">
        <v>1</v>
      </c>
      <c r="E178">
        <v>0</v>
      </c>
      <c r="F178">
        <v>1</v>
      </c>
      <c r="G178">
        <v>15</v>
      </c>
      <c r="H178">
        <v>6</v>
      </c>
      <c r="I178">
        <v>1</v>
      </c>
      <c r="J178">
        <v>0.2</v>
      </c>
      <c r="K178">
        <v>0.16669999999999999</v>
      </c>
      <c r="L178">
        <v>0.32</v>
      </c>
      <c r="M178">
        <v>0.44779999999999998</v>
      </c>
      <c r="N178">
        <v>5</v>
      </c>
      <c r="O178">
        <v>69</v>
      </c>
      <c r="P178">
        <v>74</v>
      </c>
    </row>
    <row r="179" spans="1:16" x14ac:dyDescent="0.35">
      <c r="A179">
        <v>178</v>
      </c>
      <c r="B179" t="b">
        <v>0</v>
      </c>
      <c r="C179" s="18">
        <v>40551</v>
      </c>
      <c r="D179">
        <v>1</v>
      </c>
      <c r="E179">
        <v>0</v>
      </c>
      <c r="F179">
        <v>1</v>
      </c>
      <c r="G179">
        <v>16</v>
      </c>
      <c r="H179">
        <v>6</v>
      </c>
      <c r="I179">
        <v>1</v>
      </c>
      <c r="J179">
        <v>0.18</v>
      </c>
      <c r="K179">
        <v>0.13639999999999999</v>
      </c>
      <c r="L179">
        <v>0.28999999999999998</v>
      </c>
      <c r="M179">
        <v>0.44779999999999998</v>
      </c>
      <c r="N179">
        <v>8</v>
      </c>
      <c r="O179">
        <v>68</v>
      </c>
      <c r="P179">
        <v>76</v>
      </c>
    </row>
    <row r="180" spans="1:16" x14ac:dyDescent="0.35">
      <c r="A180">
        <v>179</v>
      </c>
      <c r="B180" t="b">
        <v>0</v>
      </c>
      <c r="C180" s="18">
        <v>40551</v>
      </c>
      <c r="D180">
        <v>1</v>
      </c>
      <c r="E180">
        <v>0</v>
      </c>
      <c r="F180">
        <v>1</v>
      </c>
      <c r="G180">
        <v>17</v>
      </c>
      <c r="H180">
        <v>6</v>
      </c>
      <c r="I180">
        <v>1</v>
      </c>
      <c r="J180">
        <v>0.16</v>
      </c>
      <c r="K180">
        <v>0.1212</v>
      </c>
      <c r="L180">
        <v>0.37</v>
      </c>
      <c r="M180">
        <v>0.55220000000000002</v>
      </c>
      <c r="N180">
        <v>5</v>
      </c>
      <c r="O180">
        <v>64</v>
      </c>
      <c r="P180">
        <v>69</v>
      </c>
    </row>
    <row r="181" spans="1:16" x14ac:dyDescent="0.35">
      <c r="A181">
        <v>180</v>
      </c>
      <c r="B181" t="b">
        <v>0</v>
      </c>
      <c r="C181" s="18">
        <v>40551</v>
      </c>
      <c r="D181">
        <v>1</v>
      </c>
      <c r="E181">
        <v>0</v>
      </c>
      <c r="F181">
        <v>1</v>
      </c>
      <c r="G181">
        <v>18</v>
      </c>
      <c r="H181">
        <v>6</v>
      </c>
      <c r="I181">
        <v>1</v>
      </c>
      <c r="J181">
        <v>0.14000000000000001</v>
      </c>
      <c r="K181">
        <v>0.1212</v>
      </c>
      <c r="L181">
        <v>0.39</v>
      </c>
      <c r="M181">
        <v>0.29849999999999999</v>
      </c>
      <c r="N181">
        <v>3</v>
      </c>
      <c r="O181">
        <v>52</v>
      </c>
      <c r="P181">
        <v>55</v>
      </c>
    </row>
    <row r="182" spans="1:16" x14ac:dyDescent="0.35">
      <c r="A182">
        <v>181</v>
      </c>
      <c r="B182" t="b">
        <v>0</v>
      </c>
      <c r="C182" s="18">
        <v>40551</v>
      </c>
      <c r="D182">
        <v>1</v>
      </c>
      <c r="E182">
        <v>0</v>
      </c>
      <c r="F182">
        <v>1</v>
      </c>
      <c r="G182">
        <v>19</v>
      </c>
      <c r="H182">
        <v>6</v>
      </c>
      <c r="I182">
        <v>1</v>
      </c>
      <c r="J182">
        <v>0.14000000000000001</v>
      </c>
      <c r="K182">
        <v>0.1212</v>
      </c>
      <c r="L182">
        <v>0.36</v>
      </c>
      <c r="M182">
        <v>0.25369999999999998</v>
      </c>
      <c r="N182">
        <v>4</v>
      </c>
      <c r="O182">
        <v>26</v>
      </c>
      <c r="P182">
        <v>30</v>
      </c>
    </row>
    <row r="183" spans="1:16" x14ac:dyDescent="0.35">
      <c r="A183">
        <v>182</v>
      </c>
      <c r="B183" t="b">
        <v>0</v>
      </c>
      <c r="C183" s="18">
        <v>40551</v>
      </c>
      <c r="D183">
        <v>1</v>
      </c>
      <c r="E183">
        <v>0</v>
      </c>
      <c r="F183">
        <v>1</v>
      </c>
      <c r="G183">
        <v>20</v>
      </c>
      <c r="H183">
        <v>6</v>
      </c>
      <c r="I183">
        <v>1</v>
      </c>
      <c r="J183">
        <v>0.12</v>
      </c>
      <c r="K183">
        <v>0.1212</v>
      </c>
      <c r="L183">
        <v>0.36</v>
      </c>
      <c r="M183">
        <v>0.25369999999999998</v>
      </c>
      <c r="N183">
        <v>0</v>
      </c>
      <c r="O183">
        <v>28</v>
      </c>
      <c r="P183">
        <v>28</v>
      </c>
    </row>
    <row r="184" spans="1:16" x14ac:dyDescent="0.35">
      <c r="A184">
        <v>183</v>
      </c>
      <c r="B184" t="b">
        <v>0</v>
      </c>
      <c r="C184" s="18">
        <v>40551</v>
      </c>
      <c r="D184">
        <v>1</v>
      </c>
      <c r="E184">
        <v>0</v>
      </c>
      <c r="F184">
        <v>1</v>
      </c>
      <c r="G184">
        <v>21</v>
      </c>
      <c r="H184">
        <v>6</v>
      </c>
      <c r="I184">
        <v>1</v>
      </c>
      <c r="J184">
        <v>0.12</v>
      </c>
      <c r="K184">
        <v>0.1061</v>
      </c>
      <c r="L184">
        <v>0.39</v>
      </c>
      <c r="M184">
        <v>0.35820000000000002</v>
      </c>
      <c r="N184">
        <v>2</v>
      </c>
      <c r="O184">
        <v>35</v>
      </c>
      <c r="P184">
        <v>37</v>
      </c>
    </row>
    <row r="185" spans="1:16" x14ac:dyDescent="0.35">
      <c r="A185">
        <v>184</v>
      </c>
      <c r="B185" t="b">
        <v>0</v>
      </c>
      <c r="C185" s="18">
        <v>40551</v>
      </c>
      <c r="D185">
        <v>1</v>
      </c>
      <c r="E185">
        <v>0</v>
      </c>
      <c r="F185">
        <v>1</v>
      </c>
      <c r="G185">
        <v>22</v>
      </c>
      <c r="H185">
        <v>6</v>
      </c>
      <c r="I185">
        <v>1</v>
      </c>
      <c r="J185">
        <v>0.12</v>
      </c>
      <c r="K185">
        <v>0.1061</v>
      </c>
      <c r="L185">
        <v>0.36</v>
      </c>
      <c r="M185">
        <v>0.3881</v>
      </c>
      <c r="N185">
        <v>1</v>
      </c>
      <c r="O185">
        <v>33</v>
      </c>
      <c r="P185">
        <v>34</v>
      </c>
    </row>
    <row r="186" spans="1:16" x14ac:dyDescent="0.35">
      <c r="A186">
        <v>185</v>
      </c>
      <c r="B186" t="b">
        <v>0</v>
      </c>
      <c r="C186" s="18">
        <v>40551</v>
      </c>
      <c r="D186">
        <v>1</v>
      </c>
      <c r="E186">
        <v>0</v>
      </c>
      <c r="F186">
        <v>1</v>
      </c>
      <c r="G186">
        <v>23</v>
      </c>
      <c r="H186">
        <v>6</v>
      </c>
      <c r="I186">
        <v>1</v>
      </c>
      <c r="J186">
        <v>0.1</v>
      </c>
      <c r="K186">
        <v>6.0600000000000001E-2</v>
      </c>
      <c r="L186">
        <v>0.39</v>
      </c>
      <c r="M186">
        <v>0.44779999999999998</v>
      </c>
      <c r="N186">
        <v>0</v>
      </c>
      <c r="O186">
        <v>22</v>
      </c>
      <c r="P186">
        <v>22</v>
      </c>
    </row>
    <row r="187" spans="1:16" x14ac:dyDescent="0.35">
      <c r="A187">
        <v>186</v>
      </c>
      <c r="B187" t="b">
        <v>0</v>
      </c>
      <c r="C187" s="18">
        <v>40552</v>
      </c>
      <c r="D187">
        <v>1</v>
      </c>
      <c r="E187">
        <v>0</v>
      </c>
      <c r="F187">
        <v>1</v>
      </c>
      <c r="G187">
        <v>0</v>
      </c>
      <c r="H187">
        <v>0</v>
      </c>
      <c r="I187">
        <v>1</v>
      </c>
      <c r="J187">
        <v>0.1</v>
      </c>
      <c r="K187">
        <v>7.5800000000000006E-2</v>
      </c>
      <c r="L187">
        <v>0.42</v>
      </c>
      <c r="M187">
        <v>0.3881</v>
      </c>
      <c r="N187">
        <v>1</v>
      </c>
      <c r="O187">
        <v>24</v>
      </c>
      <c r="P187">
        <v>25</v>
      </c>
    </row>
    <row r="188" spans="1:16" x14ac:dyDescent="0.35">
      <c r="A188">
        <v>187</v>
      </c>
      <c r="B188" t="b">
        <v>0</v>
      </c>
      <c r="C188" s="18">
        <v>40552</v>
      </c>
      <c r="D188">
        <v>1</v>
      </c>
      <c r="E188">
        <v>0</v>
      </c>
      <c r="F188">
        <v>1</v>
      </c>
      <c r="G188">
        <v>1</v>
      </c>
      <c r="H188">
        <v>0</v>
      </c>
      <c r="I188">
        <v>1</v>
      </c>
      <c r="J188">
        <v>0.1</v>
      </c>
      <c r="K188">
        <v>6.0600000000000001E-2</v>
      </c>
      <c r="L188">
        <v>0.42</v>
      </c>
      <c r="M188">
        <v>0.4627</v>
      </c>
      <c r="N188">
        <v>0</v>
      </c>
      <c r="O188">
        <v>12</v>
      </c>
      <c r="P188">
        <v>12</v>
      </c>
    </row>
    <row r="189" spans="1:16" x14ac:dyDescent="0.35">
      <c r="A189">
        <v>188</v>
      </c>
      <c r="B189" t="b">
        <v>0</v>
      </c>
      <c r="C189" s="18">
        <v>40552</v>
      </c>
      <c r="D189">
        <v>1</v>
      </c>
      <c r="E189">
        <v>0</v>
      </c>
      <c r="F189">
        <v>1</v>
      </c>
      <c r="G189">
        <v>2</v>
      </c>
      <c r="H189">
        <v>0</v>
      </c>
      <c r="I189">
        <v>1</v>
      </c>
      <c r="J189">
        <v>0.1</v>
      </c>
      <c r="K189">
        <v>6.0600000000000001E-2</v>
      </c>
      <c r="L189">
        <v>0.46</v>
      </c>
      <c r="M189">
        <v>0.4627</v>
      </c>
      <c r="N189">
        <v>0</v>
      </c>
      <c r="O189">
        <v>11</v>
      </c>
      <c r="P189">
        <v>11</v>
      </c>
    </row>
    <row r="190" spans="1:16" x14ac:dyDescent="0.35">
      <c r="A190">
        <v>189</v>
      </c>
      <c r="B190" t="b">
        <v>0</v>
      </c>
      <c r="C190" s="18">
        <v>40552</v>
      </c>
      <c r="D190">
        <v>1</v>
      </c>
      <c r="E190">
        <v>0</v>
      </c>
      <c r="F190">
        <v>1</v>
      </c>
      <c r="G190">
        <v>3</v>
      </c>
      <c r="H190">
        <v>0</v>
      </c>
      <c r="I190">
        <v>1</v>
      </c>
      <c r="J190">
        <v>0.1</v>
      </c>
      <c r="K190">
        <v>7.5800000000000006E-2</v>
      </c>
      <c r="L190">
        <v>0.46</v>
      </c>
      <c r="M190">
        <v>0.41789999999999999</v>
      </c>
      <c r="N190">
        <v>0</v>
      </c>
      <c r="O190">
        <v>4</v>
      </c>
      <c r="P190">
        <v>4</v>
      </c>
    </row>
    <row r="191" spans="1:16" x14ac:dyDescent="0.35">
      <c r="A191">
        <v>190</v>
      </c>
      <c r="B191" t="b">
        <v>0</v>
      </c>
      <c r="C191" s="18">
        <v>40552</v>
      </c>
      <c r="D191">
        <v>1</v>
      </c>
      <c r="E191">
        <v>0</v>
      </c>
      <c r="F191">
        <v>1</v>
      </c>
      <c r="G191">
        <v>4</v>
      </c>
      <c r="H191">
        <v>0</v>
      </c>
      <c r="I191">
        <v>1</v>
      </c>
      <c r="J191">
        <v>0.08</v>
      </c>
      <c r="K191">
        <v>9.0899999999999995E-2</v>
      </c>
      <c r="L191">
        <v>0.53</v>
      </c>
      <c r="M191">
        <v>0.19400000000000001</v>
      </c>
      <c r="N191">
        <v>0</v>
      </c>
      <c r="O191">
        <v>1</v>
      </c>
      <c r="P191">
        <v>1</v>
      </c>
    </row>
    <row r="192" spans="1:16" x14ac:dyDescent="0.35">
      <c r="A192">
        <v>191</v>
      </c>
      <c r="B192" t="b">
        <v>0</v>
      </c>
      <c r="C192" s="18">
        <v>40552</v>
      </c>
      <c r="D192">
        <v>1</v>
      </c>
      <c r="E192">
        <v>0</v>
      </c>
      <c r="F192">
        <v>1</v>
      </c>
      <c r="G192">
        <v>5</v>
      </c>
      <c r="H192">
        <v>0</v>
      </c>
      <c r="I192">
        <v>1</v>
      </c>
      <c r="J192">
        <v>0.08</v>
      </c>
      <c r="K192">
        <v>9.0899999999999995E-2</v>
      </c>
      <c r="L192">
        <v>0.53</v>
      </c>
      <c r="M192">
        <v>0.19400000000000001</v>
      </c>
      <c r="N192">
        <v>0</v>
      </c>
      <c r="O192">
        <v>1</v>
      </c>
      <c r="P192">
        <v>1</v>
      </c>
    </row>
    <row r="193" spans="1:16" x14ac:dyDescent="0.35">
      <c r="A193">
        <v>192</v>
      </c>
      <c r="B193" t="b">
        <v>0</v>
      </c>
      <c r="C193" s="18">
        <v>40552</v>
      </c>
      <c r="D193">
        <v>1</v>
      </c>
      <c r="E193">
        <v>0</v>
      </c>
      <c r="F193">
        <v>1</v>
      </c>
      <c r="G193">
        <v>6</v>
      </c>
      <c r="H193">
        <v>0</v>
      </c>
      <c r="I193">
        <v>1</v>
      </c>
      <c r="J193">
        <v>0.1</v>
      </c>
      <c r="K193">
        <v>9.0899999999999995E-2</v>
      </c>
      <c r="L193">
        <v>0.49</v>
      </c>
      <c r="M193">
        <v>0.28360000000000002</v>
      </c>
      <c r="N193">
        <v>0</v>
      </c>
      <c r="O193">
        <v>1</v>
      </c>
      <c r="P193">
        <v>1</v>
      </c>
    </row>
    <row r="194" spans="1:16" x14ac:dyDescent="0.35">
      <c r="A194">
        <v>193</v>
      </c>
      <c r="B194" t="b">
        <v>0</v>
      </c>
      <c r="C194" s="18">
        <v>40552</v>
      </c>
      <c r="D194">
        <v>1</v>
      </c>
      <c r="E194">
        <v>0</v>
      </c>
      <c r="F194">
        <v>1</v>
      </c>
      <c r="G194">
        <v>7</v>
      </c>
      <c r="H194">
        <v>0</v>
      </c>
      <c r="I194">
        <v>1</v>
      </c>
      <c r="J194">
        <v>0.08</v>
      </c>
      <c r="K194">
        <v>9.0899999999999995E-2</v>
      </c>
      <c r="L194">
        <v>0.53</v>
      </c>
      <c r="M194">
        <v>0.19400000000000001</v>
      </c>
      <c r="N194">
        <v>1</v>
      </c>
      <c r="O194">
        <v>5</v>
      </c>
      <c r="P194">
        <v>6</v>
      </c>
    </row>
    <row r="195" spans="1:16" x14ac:dyDescent="0.35">
      <c r="A195">
        <v>194</v>
      </c>
      <c r="B195" t="b">
        <v>0</v>
      </c>
      <c r="C195" s="18">
        <v>40552</v>
      </c>
      <c r="D195">
        <v>1</v>
      </c>
      <c r="E195">
        <v>0</v>
      </c>
      <c r="F195">
        <v>1</v>
      </c>
      <c r="G195">
        <v>8</v>
      </c>
      <c r="H195">
        <v>0</v>
      </c>
      <c r="I195">
        <v>1</v>
      </c>
      <c r="J195">
        <v>0.1</v>
      </c>
      <c r="K195">
        <v>9.0899999999999995E-2</v>
      </c>
      <c r="L195">
        <v>0.49</v>
      </c>
      <c r="M195">
        <v>0.28360000000000002</v>
      </c>
      <c r="N195">
        <v>0</v>
      </c>
      <c r="O195">
        <v>10</v>
      </c>
      <c r="P195">
        <v>10</v>
      </c>
    </row>
    <row r="196" spans="1:16" x14ac:dyDescent="0.35">
      <c r="A196">
        <v>195</v>
      </c>
      <c r="B196" t="b">
        <v>0</v>
      </c>
      <c r="C196" s="18">
        <v>40552</v>
      </c>
      <c r="D196">
        <v>1</v>
      </c>
      <c r="E196">
        <v>0</v>
      </c>
      <c r="F196">
        <v>1</v>
      </c>
      <c r="G196">
        <v>9</v>
      </c>
      <c r="H196">
        <v>0</v>
      </c>
      <c r="I196">
        <v>1</v>
      </c>
      <c r="J196">
        <v>0.12</v>
      </c>
      <c r="K196">
        <v>7.5800000000000006E-2</v>
      </c>
      <c r="L196">
        <v>0.46</v>
      </c>
      <c r="M196">
        <v>0.52239999999999998</v>
      </c>
      <c r="N196">
        <v>0</v>
      </c>
      <c r="O196">
        <v>19</v>
      </c>
      <c r="P196">
        <v>19</v>
      </c>
    </row>
    <row r="197" spans="1:16" x14ac:dyDescent="0.35">
      <c r="A197">
        <v>196</v>
      </c>
      <c r="B197" t="b">
        <v>0</v>
      </c>
      <c r="C197" s="18">
        <v>40552</v>
      </c>
      <c r="D197">
        <v>1</v>
      </c>
      <c r="E197">
        <v>0</v>
      </c>
      <c r="F197">
        <v>1</v>
      </c>
      <c r="G197">
        <v>10</v>
      </c>
      <c r="H197">
        <v>0</v>
      </c>
      <c r="I197">
        <v>1</v>
      </c>
      <c r="J197">
        <v>0.14000000000000001</v>
      </c>
      <c r="K197">
        <v>0.1061</v>
      </c>
      <c r="L197">
        <v>0.43</v>
      </c>
      <c r="M197">
        <v>0.3881</v>
      </c>
      <c r="N197">
        <v>0</v>
      </c>
      <c r="O197">
        <v>49</v>
      </c>
      <c r="P197">
        <v>49</v>
      </c>
    </row>
    <row r="198" spans="1:16" x14ac:dyDescent="0.35">
      <c r="A198">
        <v>197</v>
      </c>
      <c r="B198" t="b">
        <v>0</v>
      </c>
      <c r="C198" s="18">
        <v>40552</v>
      </c>
      <c r="D198">
        <v>1</v>
      </c>
      <c r="E198">
        <v>0</v>
      </c>
      <c r="F198">
        <v>1</v>
      </c>
      <c r="G198">
        <v>11</v>
      </c>
      <c r="H198">
        <v>0</v>
      </c>
      <c r="I198">
        <v>1</v>
      </c>
      <c r="J198">
        <v>0.16</v>
      </c>
      <c r="K198">
        <v>0.1212</v>
      </c>
      <c r="L198">
        <v>0.4</v>
      </c>
      <c r="M198">
        <v>0.52239999999999998</v>
      </c>
      <c r="N198">
        <v>2</v>
      </c>
      <c r="O198">
        <v>47</v>
      </c>
      <c r="P198">
        <v>49</v>
      </c>
    </row>
    <row r="199" spans="1:16" x14ac:dyDescent="0.35">
      <c r="A199">
        <v>198</v>
      </c>
      <c r="B199" t="b">
        <v>0</v>
      </c>
      <c r="C199" s="18">
        <v>40552</v>
      </c>
      <c r="D199">
        <v>1</v>
      </c>
      <c r="E199">
        <v>0</v>
      </c>
      <c r="F199">
        <v>1</v>
      </c>
      <c r="G199">
        <v>12</v>
      </c>
      <c r="H199">
        <v>0</v>
      </c>
      <c r="I199">
        <v>1</v>
      </c>
      <c r="J199">
        <v>0.18</v>
      </c>
      <c r="K199">
        <v>0.13639999999999999</v>
      </c>
      <c r="L199">
        <v>0.37</v>
      </c>
      <c r="M199">
        <v>0.44779999999999998</v>
      </c>
      <c r="N199">
        <v>4</v>
      </c>
      <c r="O199">
        <v>79</v>
      </c>
      <c r="P199">
        <v>83</v>
      </c>
    </row>
    <row r="200" spans="1:16" x14ac:dyDescent="0.35">
      <c r="A200">
        <v>199</v>
      </c>
      <c r="B200" t="b">
        <v>0</v>
      </c>
      <c r="C200" s="18">
        <v>40552</v>
      </c>
      <c r="D200">
        <v>1</v>
      </c>
      <c r="E200">
        <v>0</v>
      </c>
      <c r="F200">
        <v>1</v>
      </c>
      <c r="G200">
        <v>13</v>
      </c>
      <c r="H200">
        <v>0</v>
      </c>
      <c r="I200">
        <v>1</v>
      </c>
      <c r="J200">
        <v>0.2</v>
      </c>
      <c r="K200">
        <v>0.16669999999999999</v>
      </c>
      <c r="L200">
        <v>0.34</v>
      </c>
      <c r="M200">
        <v>0.44779999999999998</v>
      </c>
      <c r="N200">
        <v>6</v>
      </c>
      <c r="O200">
        <v>69</v>
      </c>
      <c r="P200">
        <v>75</v>
      </c>
    </row>
    <row r="201" spans="1:16" x14ac:dyDescent="0.35">
      <c r="A201">
        <v>200</v>
      </c>
      <c r="B201" t="b">
        <v>0</v>
      </c>
      <c r="C201" s="18">
        <v>40552</v>
      </c>
      <c r="D201">
        <v>1</v>
      </c>
      <c r="E201">
        <v>0</v>
      </c>
      <c r="F201">
        <v>1</v>
      </c>
      <c r="G201">
        <v>14</v>
      </c>
      <c r="H201">
        <v>0</v>
      </c>
      <c r="I201">
        <v>1</v>
      </c>
      <c r="J201">
        <v>0.22</v>
      </c>
      <c r="K201">
        <v>0.18179999999999999</v>
      </c>
      <c r="L201">
        <v>0.32</v>
      </c>
      <c r="M201">
        <v>0.4627</v>
      </c>
      <c r="N201">
        <v>8</v>
      </c>
      <c r="O201">
        <v>64</v>
      </c>
      <c r="P201">
        <v>72</v>
      </c>
    </row>
    <row r="202" spans="1:16" x14ac:dyDescent="0.35">
      <c r="A202">
        <v>201</v>
      </c>
      <c r="B202" t="b">
        <v>0</v>
      </c>
      <c r="C202" s="18">
        <v>40552</v>
      </c>
      <c r="D202">
        <v>1</v>
      </c>
      <c r="E202">
        <v>0</v>
      </c>
      <c r="F202">
        <v>1</v>
      </c>
      <c r="G202">
        <v>15</v>
      </c>
      <c r="H202">
        <v>0</v>
      </c>
      <c r="I202">
        <v>1</v>
      </c>
      <c r="J202">
        <v>0.22</v>
      </c>
      <c r="K202">
        <v>0.19700000000000001</v>
      </c>
      <c r="L202">
        <v>0.35</v>
      </c>
      <c r="M202">
        <v>0.35820000000000002</v>
      </c>
      <c r="N202">
        <v>5</v>
      </c>
      <c r="O202">
        <v>77</v>
      </c>
      <c r="P202">
        <v>82</v>
      </c>
    </row>
    <row r="203" spans="1:16" x14ac:dyDescent="0.35">
      <c r="A203">
        <v>202</v>
      </c>
      <c r="B203" t="b">
        <v>0</v>
      </c>
      <c r="C203" s="18">
        <v>40552</v>
      </c>
      <c r="D203">
        <v>1</v>
      </c>
      <c r="E203">
        <v>0</v>
      </c>
      <c r="F203">
        <v>1</v>
      </c>
      <c r="G203">
        <v>16</v>
      </c>
      <c r="H203">
        <v>0</v>
      </c>
      <c r="I203">
        <v>1</v>
      </c>
      <c r="J203">
        <v>0.2</v>
      </c>
      <c r="K203">
        <v>0.16669999999999999</v>
      </c>
      <c r="L203">
        <v>0.34</v>
      </c>
      <c r="M203">
        <v>0.44779999999999998</v>
      </c>
      <c r="N203">
        <v>13</v>
      </c>
      <c r="O203">
        <v>79</v>
      </c>
      <c r="P203">
        <v>92</v>
      </c>
    </row>
    <row r="204" spans="1:16" x14ac:dyDescent="0.35">
      <c r="A204">
        <v>203</v>
      </c>
      <c r="B204" t="b">
        <v>0</v>
      </c>
      <c r="C204" s="18">
        <v>40552</v>
      </c>
      <c r="D204">
        <v>1</v>
      </c>
      <c r="E204">
        <v>0</v>
      </c>
      <c r="F204">
        <v>1</v>
      </c>
      <c r="G204">
        <v>17</v>
      </c>
      <c r="H204">
        <v>0</v>
      </c>
      <c r="I204">
        <v>1</v>
      </c>
      <c r="J204">
        <v>0.18</v>
      </c>
      <c r="K204">
        <v>0.1515</v>
      </c>
      <c r="L204">
        <v>0.37</v>
      </c>
      <c r="M204">
        <v>0.3881</v>
      </c>
      <c r="N204">
        <v>3</v>
      </c>
      <c r="O204">
        <v>59</v>
      </c>
      <c r="P204">
        <v>62</v>
      </c>
    </row>
    <row r="205" spans="1:16" x14ac:dyDescent="0.35">
      <c r="A205">
        <v>204</v>
      </c>
      <c r="B205" t="b">
        <v>0</v>
      </c>
      <c r="C205" s="18">
        <v>40552</v>
      </c>
      <c r="D205">
        <v>1</v>
      </c>
      <c r="E205">
        <v>0</v>
      </c>
      <c r="F205">
        <v>1</v>
      </c>
      <c r="G205">
        <v>18</v>
      </c>
      <c r="H205">
        <v>0</v>
      </c>
      <c r="I205">
        <v>1</v>
      </c>
      <c r="J205">
        <v>0.16</v>
      </c>
      <c r="K205">
        <v>0.13639999999999999</v>
      </c>
      <c r="L205">
        <v>0.4</v>
      </c>
      <c r="M205">
        <v>0.32840000000000003</v>
      </c>
      <c r="N205">
        <v>4</v>
      </c>
      <c r="O205">
        <v>44</v>
      </c>
      <c r="P205">
        <v>48</v>
      </c>
    </row>
    <row r="206" spans="1:16" x14ac:dyDescent="0.35">
      <c r="A206">
        <v>205</v>
      </c>
      <c r="B206" t="b">
        <v>0</v>
      </c>
      <c r="C206" s="18">
        <v>40552</v>
      </c>
      <c r="D206">
        <v>1</v>
      </c>
      <c r="E206">
        <v>0</v>
      </c>
      <c r="F206">
        <v>1</v>
      </c>
      <c r="G206">
        <v>19</v>
      </c>
      <c r="H206">
        <v>0</v>
      </c>
      <c r="I206">
        <v>1</v>
      </c>
      <c r="J206">
        <v>0.16</v>
      </c>
      <c r="K206">
        <v>0.13639999999999999</v>
      </c>
      <c r="L206">
        <v>0.43</v>
      </c>
      <c r="M206">
        <v>0.32840000000000003</v>
      </c>
      <c r="N206">
        <v>1</v>
      </c>
      <c r="O206">
        <v>40</v>
      </c>
      <c r="P206">
        <v>41</v>
      </c>
    </row>
    <row r="207" spans="1:16" x14ac:dyDescent="0.35">
      <c r="A207">
        <v>206</v>
      </c>
      <c r="B207" t="b">
        <v>0</v>
      </c>
      <c r="C207" s="18">
        <v>40552</v>
      </c>
      <c r="D207">
        <v>1</v>
      </c>
      <c r="E207">
        <v>0</v>
      </c>
      <c r="F207">
        <v>1</v>
      </c>
      <c r="G207">
        <v>20</v>
      </c>
      <c r="H207">
        <v>0</v>
      </c>
      <c r="I207">
        <v>1</v>
      </c>
      <c r="J207">
        <v>0.14000000000000001</v>
      </c>
      <c r="K207">
        <v>0.1212</v>
      </c>
      <c r="L207">
        <v>0.46</v>
      </c>
      <c r="M207">
        <v>0.25369999999999998</v>
      </c>
      <c r="N207">
        <v>0</v>
      </c>
      <c r="O207">
        <v>38</v>
      </c>
      <c r="P207">
        <v>38</v>
      </c>
    </row>
    <row r="208" spans="1:16" x14ac:dyDescent="0.35">
      <c r="A208">
        <v>207</v>
      </c>
      <c r="B208" t="b">
        <v>0</v>
      </c>
      <c r="C208" s="18">
        <v>40552</v>
      </c>
      <c r="D208">
        <v>1</v>
      </c>
      <c r="E208">
        <v>0</v>
      </c>
      <c r="F208">
        <v>1</v>
      </c>
      <c r="G208">
        <v>21</v>
      </c>
      <c r="H208">
        <v>0</v>
      </c>
      <c r="I208">
        <v>1</v>
      </c>
      <c r="J208">
        <v>0.14000000000000001</v>
      </c>
      <c r="K208">
        <v>0.1061</v>
      </c>
      <c r="L208">
        <v>0.46</v>
      </c>
      <c r="M208">
        <v>0.41789999999999999</v>
      </c>
      <c r="N208">
        <v>1</v>
      </c>
      <c r="O208">
        <v>19</v>
      </c>
      <c r="P208">
        <v>20</v>
      </c>
    </row>
    <row r="209" spans="1:16" x14ac:dyDescent="0.35">
      <c r="A209">
        <v>208</v>
      </c>
      <c r="B209" t="b">
        <v>0</v>
      </c>
      <c r="C209" s="18">
        <v>40552</v>
      </c>
      <c r="D209">
        <v>1</v>
      </c>
      <c r="E209">
        <v>0</v>
      </c>
      <c r="F209">
        <v>1</v>
      </c>
      <c r="G209">
        <v>22</v>
      </c>
      <c r="H209">
        <v>0</v>
      </c>
      <c r="I209">
        <v>1</v>
      </c>
      <c r="J209">
        <v>0.14000000000000001</v>
      </c>
      <c r="K209">
        <v>0.1212</v>
      </c>
      <c r="L209">
        <v>0.46</v>
      </c>
      <c r="M209">
        <v>0.29849999999999999</v>
      </c>
      <c r="N209">
        <v>5</v>
      </c>
      <c r="O209">
        <v>10</v>
      </c>
      <c r="P209">
        <v>15</v>
      </c>
    </row>
    <row r="210" spans="1:16" x14ac:dyDescent="0.35">
      <c r="A210">
        <v>209</v>
      </c>
      <c r="B210" t="b">
        <v>0</v>
      </c>
      <c r="C210" s="18">
        <v>40552</v>
      </c>
      <c r="D210">
        <v>1</v>
      </c>
      <c r="E210">
        <v>0</v>
      </c>
      <c r="F210">
        <v>1</v>
      </c>
      <c r="G210">
        <v>23</v>
      </c>
      <c r="H210">
        <v>0</v>
      </c>
      <c r="I210">
        <v>1</v>
      </c>
      <c r="J210">
        <v>0.12</v>
      </c>
      <c r="K210">
        <v>0.13639999999999999</v>
      </c>
      <c r="L210">
        <v>0.5</v>
      </c>
      <c r="M210">
        <v>0.19400000000000001</v>
      </c>
      <c r="N210">
        <v>0</v>
      </c>
      <c r="O210">
        <v>6</v>
      </c>
      <c r="P210">
        <v>6</v>
      </c>
    </row>
    <row r="211" spans="1:16" x14ac:dyDescent="0.35">
      <c r="A211">
        <v>210</v>
      </c>
      <c r="B211" t="b">
        <v>0</v>
      </c>
      <c r="C211" s="18">
        <v>40553</v>
      </c>
      <c r="D211">
        <v>1</v>
      </c>
      <c r="E211">
        <v>0</v>
      </c>
      <c r="F211">
        <v>1</v>
      </c>
      <c r="G211">
        <v>0</v>
      </c>
      <c r="H211">
        <v>1</v>
      </c>
      <c r="I211">
        <v>1</v>
      </c>
      <c r="J211">
        <v>0.12</v>
      </c>
      <c r="K211">
        <v>0.1212</v>
      </c>
      <c r="L211">
        <v>0.5</v>
      </c>
      <c r="M211">
        <v>0.28360000000000002</v>
      </c>
      <c r="N211">
        <v>2</v>
      </c>
      <c r="O211">
        <v>3</v>
      </c>
      <c r="P211">
        <v>5</v>
      </c>
    </row>
    <row r="212" spans="1:16" x14ac:dyDescent="0.35">
      <c r="A212">
        <v>211</v>
      </c>
      <c r="B212" t="b">
        <v>0</v>
      </c>
      <c r="C212" s="18">
        <v>40553</v>
      </c>
      <c r="D212">
        <v>1</v>
      </c>
      <c r="E212">
        <v>0</v>
      </c>
      <c r="F212">
        <v>1</v>
      </c>
      <c r="G212">
        <v>1</v>
      </c>
      <c r="H212">
        <v>1</v>
      </c>
      <c r="I212">
        <v>1</v>
      </c>
      <c r="J212">
        <v>0.12</v>
      </c>
      <c r="K212">
        <v>0.1212</v>
      </c>
      <c r="L212">
        <v>0.5</v>
      </c>
      <c r="M212">
        <v>0.28360000000000002</v>
      </c>
      <c r="N212">
        <v>1</v>
      </c>
      <c r="O212">
        <v>0</v>
      </c>
      <c r="P212">
        <v>1</v>
      </c>
    </row>
    <row r="213" spans="1:16" x14ac:dyDescent="0.35">
      <c r="A213">
        <v>212</v>
      </c>
      <c r="B213" t="b">
        <v>0</v>
      </c>
      <c r="C213" s="18">
        <v>40553</v>
      </c>
      <c r="D213">
        <v>1</v>
      </c>
      <c r="E213">
        <v>0</v>
      </c>
      <c r="F213">
        <v>1</v>
      </c>
      <c r="G213">
        <v>2</v>
      </c>
      <c r="H213">
        <v>1</v>
      </c>
      <c r="I213">
        <v>1</v>
      </c>
      <c r="J213">
        <v>0.12</v>
      </c>
      <c r="K213">
        <v>0.1212</v>
      </c>
      <c r="L213">
        <v>0.5</v>
      </c>
      <c r="M213">
        <v>0.22389999999999999</v>
      </c>
      <c r="N213">
        <v>0</v>
      </c>
      <c r="O213">
        <v>3</v>
      </c>
      <c r="P213">
        <v>3</v>
      </c>
    </row>
    <row r="214" spans="1:16" x14ac:dyDescent="0.35">
      <c r="A214">
        <v>213</v>
      </c>
      <c r="B214" t="b">
        <v>0</v>
      </c>
      <c r="C214" s="18">
        <v>40553</v>
      </c>
      <c r="D214">
        <v>1</v>
      </c>
      <c r="E214">
        <v>0</v>
      </c>
      <c r="F214">
        <v>1</v>
      </c>
      <c r="G214">
        <v>3</v>
      </c>
      <c r="H214">
        <v>1</v>
      </c>
      <c r="I214">
        <v>1</v>
      </c>
      <c r="J214">
        <v>0.12</v>
      </c>
      <c r="K214">
        <v>0.1212</v>
      </c>
      <c r="L214">
        <v>0.5</v>
      </c>
      <c r="M214">
        <v>0.22389999999999999</v>
      </c>
      <c r="N214">
        <v>0</v>
      </c>
      <c r="O214">
        <v>1</v>
      </c>
      <c r="P214">
        <v>1</v>
      </c>
    </row>
    <row r="215" spans="1:16" x14ac:dyDescent="0.35">
      <c r="A215">
        <v>214</v>
      </c>
      <c r="B215" t="b">
        <v>0</v>
      </c>
      <c r="C215" s="18">
        <v>40553</v>
      </c>
      <c r="D215">
        <v>1</v>
      </c>
      <c r="E215">
        <v>0</v>
      </c>
      <c r="F215">
        <v>1</v>
      </c>
      <c r="G215">
        <v>4</v>
      </c>
      <c r="H215">
        <v>1</v>
      </c>
      <c r="I215">
        <v>1</v>
      </c>
      <c r="J215">
        <v>0.1</v>
      </c>
      <c r="K215">
        <v>0.1212</v>
      </c>
      <c r="L215">
        <v>0.54</v>
      </c>
      <c r="M215">
        <v>0.1343</v>
      </c>
      <c r="N215">
        <v>1</v>
      </c>
      <c r="O215">
        <v>2</v>
      </c>
      <c r="P215">
        <v>3</v>
      </c>
    </row>
    <row r="216" spans="1:16" x14ac:dyDescent="0.35">
      <c r="A216">
        <v>215</v>
      </c>
      <c r="B216" t="b">
        <v>0</v>
      </c>
      <c r="C216" s="18">
        <v>40553</v>
      </c>
      <c r="D216">
        <v>1</v>
      </c>
      <c r="E216">
        <v>0</v>
      </c>
      <c r="F216">
        <v>1</v>
      </c>
      <c r="G216">
        <v>5</v>
      </c>
      <c r="H216">
        <v>1</v>
      </c>
      <c r="I216">
        <v>1</v>
      </c>
      <c r="J216">
        <v>0.1</v>
      </c>
      <c r="K216">
        <v>0.1061</v>
      </c>
      <c r="L216">
        <v>0.54</v>
      </c>
      <c r="M216">
        <v>0.25369999999999998</v>
      </c>
      <c r="N216">
        <v>0</v>
      </c>
      <c r="O216">
        <v>3</v>
      </c>
      <c r="P216">
        <v>3</v>
      </c>
    </row>
    <row r="217" spans="1:16" x14ac:dyDescent="0.35">
      <c r="A217">
        <v>216</v>
      </c>
      <c r="B217" t="b">
        <v>0</v>
      </c>
      <c r="C217" s="18">
        <v>40553</v>
      </c>
      <c r="D217">
        <v>1</v>
      </c>
      <c r="E217">
        <v>0</v>
      </c>
      <c r="F217">
        <v>1</v>
      </c>
      <c r="G217">
        <v>6</v>
      </c>
      <c r="H217">
        <v>1</v>
      </c>
      <c r="I217">
        <v>1</v>
      </c>
      <c r="J217">
        <v>0.12</v>
      </c>
      <c r="K217">
        <v>0.1212</v>
      </c>
      <c r="L217">
        <v>0.5</v>
      </c>
      <c r="M217">
        <v>0.28360000000000002</v>
      </c>
      <c r="N217">
        <v>0</v>
      </c>
      <c r="O217">
        <v>31</v>
      </c>
      <c r="P217">
        <v>31</v>
      </c>
    </row>
    <row r="218" spans="1:16" x14ac:dyDescent="0.35">
      <c r="A218">
        <v>217</v>
      </c>
      <c r="B218" t="b">
        <v>0</v>
      </c>
      <c r="C218" s="18">
        <v>40553</v>
      </c>
      <c r="D218">
        <v>1</v>
      </c>
      <c r="E218">
        <v>0</v>
      </c>
      <c r="F218">
        <v>1</v>
      </c>
      <c r="G218">
        <v>7</v>
      </c>
      <c r="H218">
        <v>1</v>
      </c>
      <c r="I218">
        <v>1</v>
      </c>
      <c r="J218">
        <v>0.12</v>
      </c>
      <c r="K218">
        <v>0.1212</v>
      </c>
      <c r="L218">
        <v>0.5</v>
      </c>
      <c r="M218">
        <v>0.22389999999999999</v>
      </c>
      <c r="N218">
        <v>2</v>
      </c>
      <c r="O218">
        <v>75</v>
      </c>
      <c r="P218">
        <v>77</v>
      </c>
    </row>
    <row r="219" spans="1:16" x14ac:dyDescent="0.35">
      <c r="A219">
        <v>218</v>
      </c>
      <c r="B219" t="b">
        <v>0</v>
      </c>
      <c r="C219" s="18">
        <v>40553</v>
      </c>
      <c r="D219">
        <v>1</v>
      </c>
      <c r="E219">
        <v>0</v>
      </c>
      <c r="F219">
        <v>1</v>
      </c>
      <c r="G219">
        <v>8</v>
      </c>
      <c r="H219">
        <v>1</v>
      </c>
      <c r="I219">
        <v>2</v>
      </c>
      <c r="J219">
        <v>0.12</v>
      </c>
      <c r="K219">
        <v>0.1212</v>
      </c>
      <c r="L219">
        <v>0.5</v>
      </c>
      <c r="M219">
        <v>0.28360000000000002</v>
      </c>
      <c r="N219">
        <v>4</v>
      </c>
      <c r="O219">
        <v>184</v>
      </c>
      <c r="P219">
        <v>188</v>
      </c>
    </row>
    <row r="220" spans="1:16" x14ac:dyDescent="0.35">
      <c r="A220">
        <v>219</v>
      </c>
      <c r="B220" t="b">
        <v>0</v>
      </c>
      <c r="C220" s="18">
        <v>40553</v>
      </c>
      <c r="D220">
        <v>1</v>
      </c>
      <c r="E220">
        <v>0</v>
      </c>
      <c r="F220">
        <v>1</v>
      </c>
      <c r="G220">
        <v>9</v>
      </c>
      <c r="H220">
        <v>1</v>
      </c>
      <c r="I220">
        <v>2</v>
      </c>
      <c r="J220">
        <v>0.14000000000000001</v>
      </c>
      <c r="K220">
        <v>0.1212</v>
      </c>
      <c r="L220">
        <v>0.5</v>
      </c>
      <c r="M220">
        <v>0.25369999999999998</v>
      </c>
      <c r="N220">
        <v>2</v>
      </c>
      <c r="O220">
        <v>92</v>
      </c>
      <c r="P220">
        <v>94</v>
      </c>
    </row>
    <row r="221" spans="1:16" x14ac:dyDescent="0.35">
      <c r="A221">
        <v>220</v>
      </c>
      <c r="B221" t="b">
        <v>0</v>
      </c>
      <c r="C221" s="18">
        <v>40553</v>
      </c>
      <c r="D221">
        <v>1</v>
      </c>
      <c r="E221">
        <v>0</v>
      </c>
      <c r="F221">
        <v>1</v>
      </c>
      <c r="G221">
        <v>10</v>
      </c>
      <c r="H221">
        <v>1</v>
      </c>
      <c r="I221">
        <v>2</v>
      </c>
      <c r="J221">
        <v>0.14000000000000001</v>
      </c>
      <c r="K221">
        <v>0.1212</v>
      </c>
      <c r="L221">
        <v>0.5</v>
      </c>
      <c r="M221">
        <v>0.29849999999999999</v>
      </c>
      <c r="N221">
        <v>0</v>
      </c>
      <c r="O221">
        <v>31</v>
      </c>
      <c r="P221">
        <v>31</v>
      </c>
    </row>
    <row r="222" spans="1:16" x14ac:dyDescent="0.35">
      <c r="A222">
        <v>221</v>
      </c>
      <c r="B222" t="b">
        <v>0</v>
      </c>
      <c r="C222" s="18">
        <v>40553</v>
      </c>
      <c r="D222">
        <v>1</v>
      </c>
      <c r="E222">
        <v>0</v>
      </c>
      <c r="F222">
        <v>1</v>
      </c>
      <c r="G222">
        <v>11</v>
      </c>
      <c r="H222">
        <v>1</v>
      </c>
      <c r="I222">
        <v>2</v>
      </c>
      <c r="J222">
        <v>0.16</v>
      </c>
      <c r="K222">
        <v>0.13639999999999999</v>
      </c>
      <c r="L222">
        <v>0.47</v>
      </c>
      <c r="M222">
        <v>0.28360000000000002</v>
      </c>
      <c r="N222">
        <v>2</v>
      </c>
      <c r="O222">
        <v>28</v>
      </c>
      <c r="P222">
        <v>30</v>
      </c>
    </row>
    <row r="223" spans="1:16" x14ac:dyDescent="0.35">
      <c r="A223">
        <v>222</v>
      </c>
      <c r="B223" t="b">
        <v>0</v>
      </c>
      <c r="C223" s="18">
        <v>40553</v>
      </c>
      <c r="D223">
        <v>1</v>
      </c>
      <c r="E223">
        <v>0</v>
      </c>
      <c r="F223">
        <v>1</v>
      </c>
      <c r="G223">
        <v>12</v>
      </c>
      <c r="H223">
        <v>1</v>
      </c>
      <c r="I223">
        <v>2</v>
      </c>
      <c r="J223">
        <v>0.2</v>
      </c>
      <c r="K223">
        <v>0.18179999999999999</v>
      </c>
      <c r="L223">
        <v>0.4</v>
      </c>
      <c r="M223">
        <v>0.28360000000000002</v>
      </c>
      <c r="N223">
        <v>5</v>
      </c>
      <c r="O223">
        <v>47</v>
      </c>
      <c r="P223">
        <v>52</v>
      </c>
    </row>
    <row r="224" spans="1:16" x14ac:dyDescent="0.35">
      <c r="A224">
        <v>223</v>
      </c>
      <c r="B224" t="b">
        <v>0</v>
      </c>
      <c r="C224" s="18">
        <v>40553</v>
      </c>
      <c r="D224">
        <v>1</v>
      </c>
      <c r="E224">
        <v>0</v>
      </c>
      <c r="F224">
        <v>1</v>
      </c>
      <c r="G224">
        <v>13</v>
      </c>
      <c r="H224">
        <v>1</v>
      </c>
      <c r="I224">
        <v>2</v>
      </c>
      <c r="J224">
        <v>0.2</v>
      </c>
      <c r="K224">
        <v>0.18179999999999999</v>
      </c>
      <c r="L224">
        <v>0.4</v>
      </c>
      <c r="M224">
        <v>0.28360000000000002</v>
      </c>
      <c r="N224">
        <v>4</v>
      </c>
      <c r="O224">
        <v>50</v>
      </c>
      <c r="P224">
        <v>54</v>
      </c>
    </row>
    <row r="225" spans="1:16" x14ac:dyDescent="0.35">
      <c r="A225">
        <v>224</v>
      </c>
      <c r="B225" t="b">
        <v>0</v>
      </c>
      <c r="C225" s="18">
        <v>40553</v>
      </c>
      <c r="D225">
        <v>1</v>
      </c>
      <c r="E225">
        <v>0</v>
      </c>
      <c r="F225">
        <v>1</v>
      </c>
      <c r="G225">
        <v>14</v>
      </c>
      <c r="H225">
        <v>1</v>
      </c>
      <c r="I225">
        <v>2</v>
      </c>
      <c r="J225">
        <v>0.2</v>
      </c>
      <c r="K225">
        <v>0.19700000000000001</v>
      </c>
      <c r="L225">
        <v>0.4</v>
      </c>
      <c r="M225">
        <v>0.22389999999999999</v>
      </c>
      <c r="N225">
        <v>0</v>
      </c>
      <c r="O225">
        <v>47</v>
      </c>
      <c r="P225">
        <v>47</v>
      </c>
    </row>
    <row r="226" spans="1:16" x14ac:dyDescent="0.35">
      <c r="A226">
        <v>225</v>
      </c>
      <c r="B226" t="b">
        <v>0</v>
      </c>
      <c r="C226" s="18">
        <v>40553</v>
      </c>
      <c r="D226">
        <v>1</v>
      </c>
      <c r="E226">
        <v>0</v>
      </c>
      <c r="F226">
        <v>1</v>
      </c>
      <c r="G226">
        <v>15</v>
      </c>
      <c r="H226">
        <v>1</v>
      </c>
      <c r="I226">
        <v>2</v>
      </c>
      <c r="J226">
        <v>0.2</v>
      </c>
      <c r="K226">
        <v>0.19700000000000001</v>
      </c>
      <c r="L226">
        <v>0.4</v>
      </c>
      <c r="M226">
        <v>0.22389999999999999</v>
      </c>
      <c r="N226">
        <v>2</v>
      </c>
      <c r="O226">
        <v>43</v>
      </c>
      <c r="P226">
        <v>45</v>
      </c>
    </row>
    <row r="227" spans="1:16" x14ac:dyDescent="0.35">
      <c r="A227">
        <v>226</v>
      </c>
      <c r="B227" t="b">
        <v>0</v>
      </c>
      <c r="C227" s="18">
        <v>40553</v>
      </c>
      <c r="D227">
        <v>1</v>
      </c>
      <c r="E227">
        <v>0</v>
      </c>
      <c r="F227">
        <v>1</v>
      </c>
      <c r="G227">
        <v>16</v>
      </c>
      <c r="H227">
        <v>1</v>
      </c>
      <c r="I227">
        <v>1</v>
      </c>
      <c r="J227">
        <v>0.2</v>
      </c>
      <c r="K227">
        <v>0.21210000000000001</v>
      </c>
      <c r="L227">
        <v>0.4</v>
      </c>
      <c r="M227">
        <v>0.1343</v>
      </c>
      <c r="N227">
        <v>4</v>
      </c>
      <c r="O227">
        <v>70</v>
      </c>
      <c r="P227">
        <v>74</v>
      </c>
    </row>
    <row r="228" spans="1:16" x14ac:dyDescent="0.35">
      <c r="A228">
        <v>227</v>
      </c>
      <c r="B228" t="b">
        <v>0</v>
      </c>
      <c r="C228" s="18">
        <v>40553</v>
      </c>
      <c r="D228">
        <v>1</v>
      </c>
      <c r="E228">
        <v>0</v>
      </c>
      <c r="F228">
        <v>1</v>
      </c>
      <c r="G228">
        <v>17</v>
      </c>
      <c r="H228">
        <v>1</v>
      </c>
      <c r="I228">
        <v>1</v>
      </c>
      <c r="J228">
        <v>0.2</v>
      </c>
      <c r="K228">
        <v>0.2273</v>
      </c>
      <c r="L228">
        <v>0.4</v>
      </c>
      <c r="M228">
        <v>0.1045</v>
      </c>
      <c r="N228">
        <v>4</v>
      </c>
      <c r="O228">
        <v>174</v>
      </c>
      <c r="P228">
        <v>178</v>
      </c>
    </row>
    <row r="229" spans="1:16" x14ac:dyDescent="0.35">
      <c r="A229">
        <v>228</v>
      </c>
      <c r="B229" t="b">
        <v>0</v>
      </c>
      <c r="C229" s="18">
        <v>40553</v>
      </c>
      <c r="D229">
        <v>1</v>
      </c>
      <c r="E229">
        <v>0</v>
      </c>
      <c r="F229">
        <v>1</v>
      </c>
      <c r="G229">
        <v>18</v>
      </c>
      <c r="H229">
        <v>1</v>
      </c>
      <c r="I229">
        <v>1</v>
      </c>
      <c r="J229">
        <v>0.2</v>
      </c>
      <c r="K229">
        <v>0.19700000000000001</v>
      </c>
      <c r="L229">
        <v>0.4</v>
      </c>
      <c r="M229">
        <v>0.22389999999999999</v>
      </c>
      <c r="N229">
        <v>1</v>
      </c>
      <c r="O229">
        <v>154</v>
      </c>
      <c r="P229">
        <v>155</v>
      </c>
    </row>
    <row r="230" spans="1:16" x14ac:dyDescent="0.35">
      <c r="A230">
        <v>229</v>
      </c>
      <c r="B230" t="b">
        <v>0</v>
      </c>
      <c r="C230" s="18">
        <v>40553</v>
      </c>
      <c r="D230">
        <v>1</v>
      </c>
      <c r="E230">
        <v>0</v>
      </c>
      <c r="F230">
        <v>1</v>
      </c>
      <c r="G230">
        <v>19</v>
      </c>
      <c r="H230">
        <v>1</v>
      </c>
      <c r="I230">
        <v>1</v>
      </c>
      <c r="J230">
        <v>0.16</v>
      </c>
      <c r="K230">
        <v>0.16669999999999999</v>
      </c>
      <c r="L230">
        <v>0.47</v>
      </c>
      <c r="M230">
        <v>0.16420000000000001</v>
      </c>
      <c r="N230">
        <v>3</v>
      </c>
      <c r="O230">
        <v>92</v>
      </c>
      <c r="P230">
        <v>95</v>
      </c>
    </row>
    <row r="231" spans="1:16" x14ac:dyDescent="0.35">
      <c r="A231">
        <v>230</v>
      </c>
      <c r="B231" t="b">
        <v>0</v>
      </c>
      <c r="C231" s="18">
        <v>40553</v>
      </c>
      <c r="D231">
        <v>1</v>
      </c>
      <c r="E231">
        <v>0</v>
      </c>
      <c r="F231">
        <v>1</v>
      </c>
      <c r="G231">
        <v>20</v>
      </c>
      <c r="H231">
        <v>1</v>
      </c>
      <c r="I231">
        <v>1</v>
      </c>
      <c r="J231">
        <v>0.16</v>
      </c>
      <c r="K231">
        <v>0.16669999999999999</v>
      </c>
      <c r="L231">
        <v>0.5</v>
      </c>
      <c r="M231">
        <v>0.16420000000000001</v>
      </c>
      <c r="N231">
        <v>1</v>
      </c>
      <c r="O231">
        <v>73</v>
      </c>
      <c r="P231">
        <v>74</v>
      </c>
    </row>
    <row r="232" spans="1:16" x14ac:dyDescent="0.35">
      <c r="A232">
        <v>231</v>
      </c>
      <c r="B232" t="b">
        <v>0</v>
      </c>
      <c r="C232" s="18">
        <v>40553</v>
      </c>
      <c r="D232">
        <v>1</v>
      </c>
      <c r="E232">
        <v>0</v>
      </c>
      <c r="F232">
        <v>1</v>
      </c>
      <c r="G232">
        <v>21</v>
      </c>
      <c r="H232">
        <v>1</v>
      </c>
      <c r="I232">
        <v>1</v>
      </c>
      <c r="J232">
        <v>0.14000000000000001</v>
      </c>
      <c r="K232">
        <v>0.13639999999999999</v>
      </c>
      <c r="L232">
        <v>0.59</v>
      </c>
      <c r="M232">
        <v>0.19400000000000001</v>
      </c>
      <c r="N232">
        <v>1</v>
      </c>
      <c r="O232">
        <v>37</v>
      </c>
      <c r="P232">
        <v>38</v>
      </c>
    </row>
    <row r="233" spans="1:16" x14ac:dyDescent="0.35">
      <c r="A233">
        <v>232</v>
      </c>
      <c r="B233" t="b">
        <v>0</v>
      </c>
      <c r="C233" s="18">
        <v>40553</v>
      </c>
      <c r="D233">
        <v>1</v>
      </c>
      <c r="E233">
        <v>0</v>
      </c>
      <c r="F233">
        <v>1</v>
      </c>
      <c r="G233">
        <v>22</v>
      </c>
      <c r="H233">
        <v>1</v>
      </c>
      <c r="I233">
        <v>1</v>
      </c>
      <c r="J233">
        <v>0.14000000000000001</v>
      </c>
      <c r="K233">
        <v>0.1515</v>
      </c>
      <c r="L233">
        <v>0.59</v>
      </c>
      <c r="M233">
        <v>0.16420000000000001</v>
      </c>
      <c r="N233">
        <v>2</v>
      </c>
      <c r="O233">
        <v>22</v>
      </c>
      <c r="P233">
        <v>24</v>
      </c>
    </row>
    <row r="234" spans="1:16" x14ac:dyDescent="0.35">
      <c r="A234">
        <v>233</v>
      </c>
      <c r="B234" t="b">
        <v>0</v>
      </c>
      <c r="C234" s="18">
        <v>40553</v>
      </c>
      <c r="D234">
        <v>1</v>
      </c>
      <c r="E234">
        <v>0</v>
      </c>
      <c r="F234">
        <v>1</v>
      </c>
      <c r="G234">
        <v>23</v>
      </c>
      <c r="H234">
        <v>1</v>
      </c>
      <c r="I234">
        <v>1</v>
      </c>
      <c r="J234">
        <v>0.14000000000000001</v>
      </c>
      <c r="K234">
        <v>0.1515</v>
      </c>
      <c r="L234">
        <v>0.59</v>
      </c>
      <c r="M234">
        <v>0.16420000000000001</v>
      </c>
      <c r="N234">
        <v>0</v>
      </c>
      <c r="O234">
        <v>18</v>
      </c>
      <c r="P234">
        <v>18</v>
      </c>
    </row>
    <row r="235" spans="1:16" x14ac:dyDescent="0.35">
      <c r="A235">
        <v>234</v>
      </c>
      <c r="B235" t="b">
        <v>0</v>
      </c>
      <c r="C235" s="18">
        <v>40554</v>
      </c>
      <c r="D235">
        <v>1</v>
      </c>
      <c r="E235">
        <v>0</v>
      </c>
      <c r="F235">
        <v>1</v>
      </c>
      <c r="G235">
        <v>0</v>
      </c>
      <c r="H235">
        <v>2</v>
      </c>
      <c r="I235">
        <v>1</v>
      </c>
      <c r="J235">
        <v>0.14000000000000001</v>
      </c>
      <c r="K235">
        <v>0.16669999999999999</v>
      </c>
      <c r="L235">
        <v>0.59</v>
      </c>
      <c r="M235">
        <v>0.1045</v>
      </c>
      <c r="N235">
        <v>2</v>
      </c>
      <c r="O235">
        <v>10</v>
      </c>
      <c r="P235">
        <v>12</v>
      </c>
    </row>
    <row r="236" spans="1:16" x14ac:dyDescent="0.35">
      <c r="A236">
        <v>235</v>
      </c>
      <c r="B236" t="b">
        <v>0</v>
      </c>
      <c r="C236" s="18">
        <v>40554</v>
      </c>
      <c r="D236">
        <v>1</v>
      </c>
      <c r="E236">
        <v>0</v>
      </c>
      <c r="F236">
        <v>1</v>
      </c>
      <c r="G236">
        <v>1</v>
      </c>
      <c r="H236">
        <v>2</v>
      </c>
      <c r="I236">
        <v>1</v>
      </c>
      <c r="J236">
        <v>0.14000000000000001</v>
      </c>
      <c r="K236">
        <v>0.1515</v>
      </c>
      <c r="L236">
        <v>0.59</v>
      </c>
      <c r="M236">
        <v>0.16420000000000001</v>
      </c>
      <c r="N236">
        <v>0</v>
      </c>
      <c r="O236">
        <v>3</v>
      </c>
      <c r="P236">
        <v>3</v>
      </c>
    </row>
    <row r="237" spans="1:16" x14ac:dyDescent="0.35">
      <c r="A237">
        <v>236</v>
      </c>
      <c r="B237" t="b">
        <v>0</v>
      </c>
      <c r="C237" s="18">
        <v>40554</v>
      </c>
      <c r="D237">
        <v>1</v>
      </c>
      <c r="E237">
        <v>0</v>
      </c>
      <c r="F237">
        <v>1</v>
      </c>
      <c r="G237">
        <v>2</v>
      </c>
      <c r="H237">
        <v>2</v>
      </c>
      <c r="I237">
        <v>2</v>
      </c>
      <c r="J237">
        <v>0.16</v>
      </c>
      <c r="K237">
        <v>0.1515</v>
      </c>
      <c r="L237">
        <v>0.55000000000000004</v>
      </c>
      <c r="M237">
        <v>0.19400000000000001</v>
      </c>
      <c r="N237">
        <v>0</v>
      </c>
      <c r="O237">
        <v>3</v>
      </c>
      <c r="P237">
        <v>3</v>
      </c>
    </row>
    <row r="238" spans="1:16" x14ac:dyDescent="0.35">
      <c r="A238">
        <v>237</v>
      </c>
      <c r="B238" t="b">
        <v>0</v>
      </c>
      <c r="C238" s="18">
        <v>40554</v>
      </c>
      <c r="D238">
        <v>1</v>
      </c>
      <c r="E238">
        <v>0</v>
      </c>
      <c r="F238">
        <v>1</v>
      </c>
      <c r="G238">
        <v>5</v>
      </c>
      <c r="H238">
        <v>2</v>
      </c>
      <c r="I238">
        <v>2</v>
      </c>
      <c r="J238">
        <v>0.16</v>
      </c>
      <c r="K238">
        <v>0.18179999999999999</v>
      </c>
      <c r="L238">
        <v>0.55000000000000004</v>
      </c>
      <c r="M238">
        <v>0.1343</v>
      </c>
      <c r="N238">
        <v>0</v>
      </c>
      <c r="O238">
        <v>6</v>
      </c>
      <c r="P238">
        <v>6</v>
      </c>
    </row>
    <row r="239" spans="1:16" x14ac:dyDescent="0.35">
      <c r="A239">
        <v>238</v>
      </c>
      <c r="B239" t="b">
        <v>0</v>
      </c>
      <c r="C239" s="18">
        <v>40554</v>
      </c>
      <c r="D239">
        <v>1</v>
      </c>
      <c r="E239">
        <v>0</v>
      </c>
      <c r="F239">
        <v>1</v>
      </c>
      <c r="G239">
        <v>6</v>
      </c>
      <c r="H239">
        <v>2</v>
      </c>
      <c r="I239">
        <v>2</v>
      </c>
      <c r="J239">
        <v>0.16</v>
      </c>
      <c r="K239">
        <v>0.18179999999999999</v>
      </c>
      <c r="L239">
        <v>0.55000000000000004</v>
      </c>
      <c r="M239">
        <v>0.1343</v>
      </c>
      <c r="N239">
        <v>0</v>
      </c>
      <c r="O239">
        <v>27</v>
      </c>
      <c r="P239">
        <v>27</v>
      </c>
    </row>
    <row r="240" spans="1:16" x14ac:dyDescent="0.35">
      <c r="A240">
        <v>239</v>
      </c>
      <c r="B240" t="b">
        <v>0</v>
      </c>
      <c r="C240" s="18">
        <v>40554</v>
      </c>
      <c r="D240">
        <v>1</v>
      </c>
      <c r="E240">
        <v>0</v>
      </c>
      <c r="F240">
        <v>1</v>
      </c>
      <c r="G240">
        <v>7</v>
      </c>
      <c r="H240">
        <v>2</v>
      </c>
      <c r="I240">
        <v>2</v>
      </c>
      <c r="J240">
        <v>0.16</v>
      </c>
      <c r="K240">
        <v>0.2273</v>
      </c>
      <c r="L240">
        <v>0.55000000000000004</v>
      </c>
      <c r="M240">
        <v>0</v>
      </c>
      <c r="N240">
        <v>2</v>
      </c>
      <c r="O240">
        <v>97</v>
      </c>
      <c r="P240">
        <v>99</v>
      </c>
    </row>
    <row r="241" spans="1:16" x14ac:dyDescent="0.35">
      <c r="A241">
        <v>240</v>
      </c>
      <c r="B241" t="b">
        <v>0</v>
      </c>
      <c r="C241" s="18">
        <v>40554</v>
      </c>
      <c r="D241">
        <v>1</v>
      </c>
      <c r="E241">
        <v>0</v>
      </c>
      <c r="F241">
        <v>1</v>
      </c>
      <c r="G241">
        <v>8</v>
      </c>
      <c r="H241">
        <v>2</v>
      </c>
      <c r="I241">
        <v>2</v>
      </c>
      <c r="J241">
        <v>0.18</v>
      </c>
      <c r="K241">
        <v>0.21210000000000001</v>
      </c>
      <c r="L241">
        <v>0.51</v>
      </c>
      <c r="M241">
        <v>8.9599999999999999E-2</v>
      </c>
      <c r="N241">
        <v>3</v>
      </c>
      <c r="O241">
        <v>214</v>
      </c>
      <c r="P241">
        <v>217</v>
      </c>
    </row>
    <row r="242" spans="1:16" x14ac:dyDescent="0.35">
      <c r="A242">
        <v>241</v>
      </c>
      <c r="B242" t="b">
        <v>0</v>
      </c>
      <c r="C242" s="18">
        <v>40554</v>
      </c>
      <c r="D242">
        <v>1</v>
      </c>
      <c r="E242">
        <v>0</v>
      </c>
      <c r="F242">
        <v>1</v>
      </c>
      <c r="G242">
        <v>9</v>
      </c>
      <c r="H242">
        <v>2</v>
      </c>
      <c r="I242">
        <v>2</v>
      </c>
      <c r="J242">
        <v>0.18</v>
      </c>
      <c r="K242">
        <v>0.19700000000000001</v>
      </c>
      <c r="L242">
        <v>0.51</v>
      </c>
      <c r="M242">
        <v>0.16420000000000001</v>
      </c>
      <c r="N242">
        <v>3</v>
      </c>
      <c r="O242">
        <v>127</v>
      </c>
      <c r="P242">
        <v>130</v>
      </c>
    </row>
    <row r="243" spans="1:16" x14ac:dyDescent="0.35">
      <c r="A243">
        <v>242</v>
      </c>
      <c r="B243" t="b">
        <v>0</v>
      </c>
      <c r="C243" s="18">
        <v>40554</v>
      </c>
      <c r="D243">
        <v>1</v>
      </c>
      <c r="E243">
        <v>0</v>
      </c>
      <c r="F243">
        <v>1</v>
      </c>
      <c r="G243">
        <v>10</v>
      </c>
      <c r="H243">
        <v>2</v>
      </c>
      <c r="I243">
        <v>2</v>
      </c>
      <c r="J243">
        <v>0.2</v>
      </c>
      <c r="K243">
        <v>0.21210000000000001</v>
      </c>
      <c r="L243">
        <v>0.51</v>
      </c>
      <c r="M243">
        <v>0.16420000000000001</v>
      </c>
      <c r="N243">
        <v>3</v>
      </c>
      <c r="O243">
        <v>51</v>
      </c>
      <c r="P243">
        <v>54</v>
      </c>
    </row>
    <row r="244" spans="1:16" x14ac:dyDescent="0.35">
      <c r="A244">
        <v>243</v>
      </c>
      <c r="B244" t="b">
        <v>0</v>
      </c>
      <c r="C244" s="18">
        <v>40554</v>
      </c>
      <c r="D244">
        <v>1</v>
      </c>
      <c r="E244">
        <v>0</v>
      </c>
      <c r="F244">
        <v>1</v>
      </c>
      <c r="G244">
        <v>11</v>
      </c>
      <c r="H244">
        <v>2</v>
      </c>
      <c r="I244">
        <v>2</v>
      </c>
      <c r="J244">
        <v>0.2</v>
      </c>
      <c r="K244">
        <v>0.21210000000000001</v>
      </c>
      <c r="L244">
        <v>0.47</v>
      </c>
      <c r="M244">
        <v>0.1343</v>
      </c>
      <c r="N244">
        <v>4</v>
      </c>
      <c r="O244">
        <v>31</v>
      </c>
      <c r="P244">
        <v>35</v>
      </c>
    </row>
    <row r="245" spans="1:16" x14ac:dyDescent="0.35">
      <c r="A245">
        <v>244</v>
      </c>
      <c r="B245" t="b">
        <v>0</v>
      </c>
      <c r="C245" s="18">
        <v>40554</v>
      </c>
      <c r="D245">
        <v>1</v>
      </c>
      <c r="E245">
        <v>0</v>
      </c>
      <c r="F245">
        <v>1</v>
      </c>
      <c r="G245">
        <v>12</v>
      </c>
      <c r="H245">
        <v>2</v>
      </c>
      <c r="I245">
        <v>2</v>
      </c>
      <c r="J245">
        <v>0.2</v>
      </c>
      <c r="K245">
        <v>0.2273</v>
      </c>
      <c r="L245">
        <v>0.51</v>
      </c>
      <c r="M245">
        <v>0.1045</v>
      </c>
      <c r="N245">
        <v>2</v>
      </c>
      <c r="O245">
        <v>55</v>
      </c>
      <c r="P245">
        <v>57</v>
      </c>
    </row>
    <row r="246" spans="1:16" x14ac:dyDescent="0.35">
      <c r="A246">
        <v>245</v>
      </c>
      <c r="B246" t="b">
        <v>0</v>
      </c>
      <c r="C246" s="18">
        <v>40554</v>
      </c>
      <c r="D246">
        <v>1</v>
      </c>
      <c r="E246">
        <v>0</v>
      </c>
      <c r="F246">
        <v>1</v>
      </c>
      <c r="G246">
        <v>13</v>
      </c>
      <c r="H246">
        <v>2</v>
      </c>
      <c r="I246">
        <v>2</v>
      </c>
      <c r="J246">
        <v>0.2</v>
      </c>
      <c r="K246">
        <v>0.2273</v>
      </c>
      <c r="L246">
        <v>0.59</v>
      </c>
      <c r="M246">
        <v>8.9599999999999999E-2</v>
      </c>
      <c r="N246">
        <v>6</v>
      </c>
      <c r="O246">
        <v>46</v>
      </c>
      <c r="P246">
        <v>52</v>
      </c>
    </row>
    <row r="247" spans="1:16" x14ac:dyDescent="0.35">
      <c r="A247">
        <v>246</v>
      </c>
      <c r="B247" t="b">
        <v>0</v>
      </c>
      <c r="C247" s="18">
        <v>40554</v>
      </c>
      <c r="D247">
        <v>1</v>
      </c>
      <c r="E247">
        <v>0</v>
      </c>
      <c r="F247">
        <v>1</v>
      </c>
      <c r="G247">
        <v>14</v>
      </c>
      <c r="H247">
        <v>2</v>
      </c>
      <c r="I247">
        <v>2</v>
      </c>
      <c r="J247">
        <v>0.2</v>
      </c>
      <c r="K247">
        <v>0.2273</v>
      </c>
      <c r="L247">
        <v>0.59</v>
      </c>
      <c r="M247">
        <v>8.9599999999999999E-2</v>
      </c>
      <c r="N247">
        <v>3</v>
      </c>
      <c r="O247">
        <v>60</v>
      </c>
      <c r="P247">
        <v>63</v>
      </c>
    </row>
    <row r="248" spans="1:16" x14ac:dyDescent="0.35">
      <c r="A248">
        <v>247</v>
      </c>
      <c r="B248" t="b">
        <v>0</v>
      </c>
      <c r="C248" s="18">
        <v>40554</v>
      </c>
      <c r="D248">
        <v>1</v>
      </c>
      <c r="E248">
        <v>0</v>
      </c>
      <c r="F248">
        <v>1</v>
      </c>
      <c r="G248">
        <v>15</v>
      </c>
      <c r="H248">
        <v>2</v>
      </c>
      <c r="I248">
        <v>2</v>
      </c>
      <c r="J248">
        <v>0.16</v>
      </c>
      <c r="K248">
        <v>0.19700000000000001</v>
      </c>
      <c r="L248">
        <v>0.8</v>
      </c>
      <c r="M248">
        <v>8.9599999999999999E-2</v>
      </c>
      <c r="N248">
        <v>2</v>
      </c>
      <c r="O248">
        <v>45</v>
      </c>
      <c r="P248">
        <v>47</v>
      </c>
    </row>
    <row r="249" spans="1:16" x14ac:dyDescent="0.35">
      <c r="A249">
        <v>248</v>
      </c>
      <c r="B249" t="b">
        <v>0</v>
      </c>
      <c r="C249" s="18">
        <v>40554</v>
      </c>
      <c r="D249">
        <v>1</v>
      </c>
      <c r="E249">
        <v>0</v>
      </c>
      <c r="F249">
        <v>1</v>
      </c>
      <c r="G249">
        <v>16</v>
      </c>
      <c r="H249">
        <v>2</v>
      </c>
      <c r="I249">
        <v>2</v>
      </c>
      <c r="J249">
        <v>0.16</v>
      </c>
      <c r="K249">
        <v>0.1515</v>
      </c>
      <c r="L249">
        <v>0.86</v>
      </c>
      <c r="M249">
        <v>0.22389999999999999</v>
      </c>
      <c r="N249">
        <v>4</v>
      </c>
      <c r="O249">
        <v>72</v>
      </c>
      <c r="P249">
        <v>76</v>
      </c>
    </row>
    <row r="250" spans="1:16" x14ac:dyDescent="0.35">
      <c r="A250">
        <v>249</v>
      </c>
      <c r="B250" t="b">
        <v>0</v>
      </c>
      <c r="C250" s="18">
        <v>40554</v>
      </c>
      <c r="D250">
        <v>1</v>
      </c>
      <c r="E250">
        <v>0</v>
      </c>
      <c r="F250">
        <v>1</v>
      </c>
      <c r="G250">
        <v>17</v>
      </c>
      <c r="H250">
        <v>2</v>
      </c>
      <c r="I250">
        <v>2</v>
      </c>
      <c r="J250">
        <v>0.16</v>
      </c>
      <c r="K250">
        <v>0.1515</v>
      </c>
      <c r="L250">
        <v>0.86</v>
      </c>
      <c r="M250">
        <v>0.22389999999999999</v>
      </c>
      <c r="N250">
        <v>6</v>
      </c>
      <c r="O250">
        <v>130</v>
      </c>
      <c r="P250">
        <v>136</v>
      </c>
    </row>
    <row r="251" spans="1:16" x14ac:dyDescent="0.35">
      <c r="A251">
        <v>250</v>
      </c>
      <c r="B251" t="b">
        <v>0</v>
      </c>
      <c r="C251" s="18">
        <v>40554</v>
      </c>
      <c r="D251">
        <v>1</v>
      </c>
      <c r="E251">
        <v>0</v>
      </c>
      <c r="F251">
        <v>1</v>
      </c>
      <c r="G251">
        <v>18</v>
      </c>
      <c r="H251">
        <v>2</v>
      </c>
      <c r="I251">
        <v>3</v>
      </c>
      <c r="J251">
        <v>0.16</v>
      </c>
      <c r="K251">
        <v>0.18179999999999999</v>
      </c>
      <c r="L251">
        <v>0.93</v>
      </c>
      <c r="M251">
        <v>0.1045</v>
      </c>
      <c r="N251">
        <v>1</v>
      </c>
      <c r="O251">
        <v>94</v>
      </c>
      <c r="P251">
        <v>95</v>
      </c>
    </row>
    <row r="252" spans="1:16" x14ac:dyDescent="0.35">
      <c r="A252">
        <v>251</v>
      </c>
      <c r="B252" t="b">
        <v>0</v>
      </c>
      <c r="C252" s="18">
        <v>40554</v>
      </c>
      <c r="D252">
        <v>1</v>
      </c>
      <c r="E252">
        <v>0</v>
      </c>
      <c r="F252">
        <v>1</v>
      </c>
      <c r="G252">
        <v>19</v>
      </c>
      <c r="H252">
        <v>2</v>
      </c>
      <c r="I252">
        <v>3</v>
      </c>
      <c r="J252">
        <v>0.16</v>
      </c>
      <c r="K252">
        <v>0.2273</v>
      </c>
      <c r="L252">
        <v>0.93</v>
      </c>
      <c r="M252">
        <v>0</v>
      </c>
      <c r="N252">
        <v>0</v>
      </c>
      <c r="O252">
        <v>51</v>
      </c>
      <c r="P252">
        <v>51</v>
      </c>
    </row>
    <row r="253" spans="1:16" x14ac:dyDescent="0.35">
      <c r="A253">
        <v>252</v>
      </c>
      <c r="B253" t="b">
        <v>0</v>
      </c>
      <c r="C253" s="18">
        <v>40554</v>
      </c>
      <c r="D253">
        <v>1</v>
      </c>
      <c r="E253">
        <v>0</v>
      </c>
      <c r="F253">
        <v>1</v>
      </c>
      <c r="G253">
        <v>20</v>
      </c>
      <c r="H253">
        <v>2</v>
      </c>
      <c r="I253">
        <v>3</v>
      </c>
      <c r="J253">
        <v>0.16</v>
      </c>
      <c r="K253">
        <v>0.1515</v>
      </c>
      <c r="L253">
        <v>0.93</v>
      </c>
      <c r="M253">
        <v>0.19400000000000001</v>
      </c>
      <c r="N253">
        <v>0</v>
      </c>
      <c r="O253">
        <v>32</v>
      </c>
      <c r="P253">
        <v>32</v>
      </c>
    </row>
    <row r="254" spans="1:16" x14ac:dyDescent="0.35">
      <c r="A254">
        <v>253</v>
      </c>
      <c r="B254" t="b">
        <v>0</v>
      </c>
      <c r="C254" s="18">
        <v>40554</v>
      </c>
      <c r="D254">
        <v>1</v>
      </c>
      <c r="E254">
        <v>0</v>
      </c>
      <c r="F254">
        <v>1</v>
      </c>
      <c r="G254">
        <v>21</v>
      </c>
      <c r="H254">
        <v>2</v>
      </c>
      <c r="I254">
        <v>3</v>
      </c>
      <c r="J254">
        <v>0.16</v>
      </c>
      <c r="K254">
        <v>0.19700000000000001</v>
      </c>
      <c r="L254">
        <v>0.86</v>
      </c>
      <c r="M254">
        <v>8.9599999999999999E-2</v>
      </c>
      <c r="N254">
        <v>0</v>
      </c>
      <c r="O254">
        <v>20</v>
      </c>
      <c r="P254">
        <v>20</v>
      </c>
    </row>
    <row r="255" spans="1:16" x14ac:dyDescent="0.35">
      <c r="A255">
        <v>254</v>
      </c>
      <c r="B255" t="b">
        <v>0</v>
      </c>
      <c r="C255" s="18">
        <v>40554</v>
      </c>
      <c r="D255">
        <v>1</v>
      </c>
      <c r="E255">
        <v>0</v>
      </c>
      <c r="F255">
        <v>1</v>
      </c>
      <c r="G255">
        <v>22</v>
      </c>
      <c r="H255">
        <v>2</v>
      </c>
      <c r="I255">
        <v>3</v>
      </c>
      <c r="J255">
        <v>0.16</v>
      </c>
      <c r="K255">
        <v>0.18179999999999999</v>
      </c>
      <c r="L255">
        <v>0.93</v>
      </c>
      <c r="M255">
        <v>0.1045</v>
      </c>
      <c r="N255">
        <v>1</v>
      </c>
      <c r="O255">
        <v>28</v>
      </c>
      <c r="P255">
        <v>29</v>
      </c>
    </row>
    <row r="256" spans="1:16" x14ac:dyDescent="0.35">
      <c r="A256">
        <v>255</v>
      </c>
      <c r="B256" t="b">
        <v>0</v>
      </c>
      <c r="C256" s="18">
        <v>40554</v>
      </c>
      <c r="D256">
        <v>1</v>
      </c>
      <c r="E256">
        <v>0</v>
      </c>
      <c r="F256">
        <v>1</v>
      </c>
      <c r="G256">
        <v>23</v>
      </c>
      <c r="H256">
        <v>2</v>
      </c>
      <c r="I256">
        <v>3</v>
      </c>
      <c r="J256">
        <v>0.16</v>
      </c>
      <c r="K256">
        <v>0.19700000000000001</v>
      </c>
      <c r="L256">
        <v>0.93</v>
      </c>
      <c r="M256">
        <v>8.9599999999999999E-2</v>
      </c>
      <c r="N256">
        <v>1</v>
      </c>
      <c r="O256">
        <v>18</v>
      </c>
      <c r="P256">
        <v>19</v>
      </c>
    </row>
    <row r="257" spans="1:16" x14ac:dyDescent="0.35">
      <c r="A257">
        <v>256</v>
      </c>
      <c r="B257" t="b">
        <v>0</v>
      </c>
      <c r="C257" s="18">
        <v>40555</v>
      </c>
      <c r="D257">
        <v>1</v>
      </c>
      <c r="E257">
        <v>0</v>
      </c>
      <c r="F257">
        <v>1</v>
      </c>
      <c r="G257">
        <v>0</v>
      </c>
      <c r="H257">
        <v>3</v>
      </c>
      <c r="I257">
        <v>2</v>
      </c>
      <c r="J257">
        <v>0.16</v>
      </c>
      <c r="K257">
        <v>0.19700000000000001</v>
      </c>
      <c r="L257">
        <v>0.86</v>
      </c>
      <c r="M257">
        <v>8.9599999999999999E-2</v>
      </c>
      <c r="N257">
        <v>0</v>
      </c>
      <c r="O257">
        <v>7</v>
      </c>
      <c r="P257">
        <v>7</v>
      </c>
    </row>
    <row r="258" spans="1:16" x14ac:dyDescent="0.35">
      <c r="A258">
        <v>257</v>
      </c>
      <c r="B258" t="b">
        <v>0</v>
      </c>
      <c r="C258" s="18">
        <v>40555</v>
      </c>
      <c r="D258">
        <v>1</v>
      </c>
      <c r="E258">
        <v>0</v>
      </c>
      <c r="F258">
        <v>1</v>
      </c>
      <c r="G258">
        <v>1</v>
      </c>
      <c r="H258">
        <v>3</v>
      </c>
      <c r="I258">
        <v>2</v>
      </c>
      <c r="J258">
        <v>0.16</v>
      </c>
      <c r="K258">
        <v>0.18179999999999999</v>
      </c>
      <c r="L258">
        <v>0.86</v>
      </c>
      <c r="M258">
        <v>0.1045</v>
      </c>
      <c r="N258">
        <v>0</v>
      </c>
      <c r="O258">
        <v>6</v>
      </c>
      <c r="P258">
        <v>6</v>
      </c>
    </row>
    <row r="259" spans="1:16" x14ac:dyDescent="0.35">
      <c r="A259">
        <v>258</v>
      </c>
      <c r="B259" t="b">
        <v>0</v>
      </c>
      <c r="C259" s="18">
        <v>40555</v>
      </c>
      <c r="D259">
        <v>1</v>
      </c>
      <c r="E259">
        <v>0</v>
      </c>
      <c r="F259">
        <v>1</v>
      </c>
      <c r="G259">
        <v>2</v>
      </c>
      <c r="H259">
        <v>3</v>
      </c>
      <c r="I259">
        <v>1</v>
      </c>
      <c r="J259">
        <v>0.14000000000000001</v>
      </c>
      <c r="K259">
        <v>0.1515</v>
      </c>
      <c r="L259">
        <v>0.86</v>
      </c>
      <c r="M259">
        <v>0.1343</v>
      </c>
      <c r="N259">
        <v>0</v>
      </c>
      <c r="O259">
        <v>1</v>
      </c>
      <c r="P259">
        <v>1</v>
      </c>
    </row>
    <row r="260" spans="1:16" x14ac:dyDescent="0.35">
      <c r="A260">
        <v>259</v>
      </c>
      <c r="B260" t="b">
        <v>0</v>
      </c>
      <c r="C260" s="18">
        <v>40555</v>
      </c>
      <c r="D260">
        <v>1</v>
      </c>
      <c r="E260">
        <v>0</v>
      </c>
      <c r="F260">
        <v>1</v>
      </c>
      <c r="G260">
        <v>5</v>
      </c>
      <c r="H260">
        <v>3</v>
      </c>
      <c r="I260">
        <v>1</v>
      </c>
      <c r="J260">
        <v>0.14000000000000001</v>
      </c>
      <c r="K260">
        <v>0.1515</v>
      </c>
      <c r="L260">
        <v>0.86</v>
      </c>
      <c r="M260">
        <v>0.16420000000000001</v>
      </c>
      <c r="N260">
        <v>0</v>
      </c>
      <c r="O260">
        <v>5</v>
      </c>
      <c r="P260">
        <v>5</v>
      </c>
    </row>
    <row r="261" spans="1:16" x14ac:dyDescent="0.35">
      <c r="A261">
        <v>260</v>
      </c>
      <c r="B261" t="b">
        <v>0</v>
      </c>
      <c r="C261" s="18">
        <v>40555</v>
      </c>
      <c r="D261">
        <v>1</v>
      </c>
      <c r="E261">
        <v>0</v>
      </c>
      <c r="F261">
        <v>1</v>
      </c>
      <c r="G261">
        <v>6</v>
      </c>
      <c r="H261">
        <v>3</v>
      </c>
      <c r="I261">
        <v>1</v>
      </c>
      <c r="J261">
        <v>0.12</v>
      </c>
      <c r="K261">
        <v>0.1515</v>
      </c>
      <c r="L261">
        <v>0.93</v>
      </c>
      <c r="M261">
        <v>0.1343</v>
      </c>
      <c r="N261">
        <v>0</v>
      </c>
      <c r="O261">
        <v>16</v>
      </c>
      <c r="P261">
        <v>16</v>
      </c>
    </row>
    <row r="262" spans="1:16" x14ac:dyDescent="0.35">
      <c r="A262">
        <v>261</v>
      </c>
      <c r="B262" t="b">
        <v>0</v>
      </c>
      <c r="C262" s="18">
        <v>40555</v>
      </c>
      <c r="D262">
        <v>1</v>
      </c>
      <c r="E262">
        <v>0</v>
      </c>
      <c r="F262">
        <v>1</v>
      </c>
      <c r="G262">
        <v>7</v>
      </c>
      <c r="H262">
        <v>3</v>
      </c>
      <c r="I262">
        <v>1</v>
      </c>
      <c r="J262">
        <v>0.14000000000000001</v>
      </c>
      <c r="K262">
        <v>0.1515</v>
      </c>
      <c r="L262">
        <v>0.69</v>
      </c>
      <c r="M262">
        <v>0.1343</v>
      </c>
      <c r="N262">
        <v>0</v>
      </c>
      <c r="O262">
        <v>54</v>
      </c>
      <c r="P262">
        <v>54</v>
      </c>
    </row>
    <row r="263" spans="1:16" x14ac:dyDescent="0.35">
      <c r="A263">
        <v>262</v>
      </c>
      <c r="B263" t="b">
        <v>0</v>
      </c>
      <c r="C263" s="18">
        <v>40555</v>
      </c>
      <c r="D263">
        <v>1</v>
      </c>
      <c r="E263">
        <v>0</v>
      </c>
      <c r="F263">
        <v>1</v>
      </c>
      <c r="G263">
        <v>8</v>
      </c>
      <c r="H263">
        <v>3</v>
      </c>
      <c r="I263">
        <v>1</v>
      </c>
      <c r="J263">
        <v>0.16</v>
      </c>
      <c r="K263">
        <v>0.16669999999999999</v>
      </c>
      <c r="L263">
        <v>0.59</v>
      </c>
      <c r="M263">
        <v>0.16420000000000001</v>
      </c>
      <c r="N263">
        <v>3</v>
      </c>
      <c r="O263">
        <v>125</v>
      </c>
      <c r="P263">
        <v>128</v>
      </c>
    </row>
    <row r="264" spans="1:16" x14ac:dyDescent="0.35">
      <c r="A264">
        <v>263</v>
      </c>
      <c r="B264" t="b">
        <v>0</v>
      </c>
      <c r="C264" s="18">
        <v>40555</v>
      </c>
      <c r="D264">
        <v>1</v>
      </c>
      <c r="E264">
        <v>0</v>
      </c>
      <c r="F264">
        <v>1</v>
      </c>
      <c r="G264">
        <v>9</v>
      </c>
      <c r="H264">
        <v>3</v>
      </c>
      <c r="I264">
        <v>1</v>
      </c>
      <c r="J264">
        <v>0.16</v>
      </c>
      <c r="K264">
        <v>0.13639999999999999</v>
      </c>
      <c r="L264">
        <v>0.59</v>
      </c>
      <c r="M264">
        <v>0.32840000000000003</v>
      </c>
      <c r="N264">
        <v>3</v>
      </c>
      <c r="O264">
        <v>78</v>
      </c>
      <c r="P264">
        <v>81</v>
      </c>
    </row>
    <row r="265" spans="1:16" x14ac:dyDescent="0.35">
      <c r="A265">
        <v>264</v>
      </c>
      <c r="B265" t="b">
        <v>0</v>
      </c>
      <c r="C265" s="18">
        <v>40555</v>
      </c>
      <c r="D265">
        <v>1</v>
      </c>
      <c r="E265">
        <v>0</v>
      </c>
      <c r="F265">
        <v>1</v>
      </c>
      <c r="G265">
        <v>10</v>
      </c>
      <c r="H265">
        <v>3</v>
      </c>
      <c r="I265">
        <v>1</v>
      </c>
      <c r="J265">
        <v>0.18</v>
      </c>
      <c r="K265">
        <v>0.18179999999999999</v>
      </c>
      <c r="L265">
        <v>0.55000000000000004</v>
      </c>
      <c r="M265">
        <v>0.22389999999999999</v>
      </c>
      <c r="N265">
        <v>0</v>
      </c>
      <c r="O265">
        <v>39</v>
      </c>
      <c r="P265">
        <v>39</v>
      </c>
    </row>
    <row r="266" spans="1:16" x14ac:dyDescent="0.35">
      <c r="A266">
        <v>265</v>
      </c>
      <c r="B266" t="b">
        <v>0</v>
      </c>
      <c r="C266" s="18">
        <v>40555</v>
      </c>
      <c r="D266">
        <v>1</v>
      </c>
      <c r="E266">
        <v>0</v>
      </c>
      <c r="F266">
        <v>1</v>
      </c>
      <c r="G266">
        <v>11</v>
      </c>
      <c r="H266">
        <v>3</v>
      </c>
      <c r="I266">
        <v>1</v>
      </c>
      <c r="J266">
        <v>0.2</v>
      </c>
      <c r="K266">
        <v>0.18179999999999999</v>
      </c>
      <c r="L266">
        <v>0.51</v>
      </c>
      <c r="M266">
        <v>0.3881</v>
      </c>
      <c r="N266">
        <v>3</v>
      </c>
      <c r="O266">
        <v>32</v>
      </c>
      <c r="P266">
        <v>35</v>
      </c>
    </row>
    <row r="267" spans="1:16" x14ac:dyDescent="0.35">
      <c r="A267">
        <v>266</v>
      </c>
      <c r="B267" t="b">
        <v>0</v>
      </c>
      <c r="C267" s="18">
        <v>40555</v>
      </c>
      <c r="D267">
        <v>1</v>
      </c>
      <c r="E267">
        <v>0</v>
      </c>
      <c r="F267">
        <v>1</v>
      </c>
      <c r="G267">
        <v>12</v>
      </c>
      <c r="H267">
        <v>3</v>
      </c>
      <c r="I267">
        <v>1</v>
      </c>
      <c r="J267">
        <v>0.2</v>
      </c>
      <c r="K267">
        <v>0.1515</v>
      </c>
      <c r="L267">
        <v>0.47</v>
      </c>
      <c r="M267">
        <v>0.58209999999999995</v>
      </c>
      <c r="N267">
        <v>3</v>
      </c>
      <c r="O267">
        <v>52</v>
      </c>
      <c r="P267">
        <v>55</v>
      </c>
    </row>
    <row r="268" spans="1:16" x14ac:dyDescent="0.35">
      <c r="A268">
        <v>267</v>
      </c>
      <c r="B268" t="b">
        <v>0</v>
      </c>
      <c r="C268" s="18">
        <v>40555</v>
      </c>
      <c r="D268">
        <v>1</v>
      </c>
      <c r="E268">
        <v>0</v>
      </c>
      <c r="F268">
        <v>1</v>
      </c>
      <c r="G268">
        <v>13</v>
      </c>
      <c r="H268">
        <v>3</v>
      </c>
      <c r="I268">
        <v>1</v>
      </c>
      <c r="J268">
        <v>0.22</v>
      </c>
      <c r="K268">
        <v>0.19700000000000001</v>
      </c>
      <c r="L268">
        <v>0.44</v>
      </c>
      <c r="M268">
        <v>0.35820000000000002</v>
      </c>
      <c r="N268">
        <v>0</v>
      </c>
      <c r="O268">
        <v>49</v>
      </c>
      <c r="P268">
        <v>49</v>
      </c>
    </row>
    <row r="269" spans="1:16" x14ac:dyDescent="0.35">
      <c r="A269">
        <v>268</v>
      </c>
      <c r="B269" t="b">
        <v>0</v>
      </c>
      <c r="C269" s="18">
        <v>40555</v>
      </c>
      <c r="D269">
        <v>1</v>
      </c>
      <c r="E269">
        <v>0</v>
      </c>
      <c r="F269">
        <v>1</v>
      </c>
      <c r="G269">
        <v>14</v>
      </c>
      <c r="H269">
        <v>3</v>
      </c>
      <c r="I269">
        <v>1</v>
      </c>
      <c r="J269">
        <v>0.2</v>
      </c>
      <c r="K269">
        <v>0.18179999999999999</v>
      </c>
      <c r="L269">
        <v>0.47</v>
      </c>
      <c r="M269">
        <v>0.32840000000000003</v>
      </c>
      <c r="N269">
        <v>0</v>
      </c>
      <c r="O269">
        <v>44</v>
      </c>
      <c r="P269">
        <v>44</v>
      </c>
    </row>
    <row r="270" spans="1:16" x14ac:dyDescent="0.35">
      <c r="A270">
        <v>269</v>
      </c>
      <c r="B270" t="b">
        <v>0</v>
      </c>
      <c r="C270" s="18">
        <v>40555</v>
      </c>
      <c r="D270">
        <v>1</v>
      </c>
      <c r="E270">
        <v>0</v>
      </c>
      <c r="F270">
        <v>1</v>
      </c>
      <c r="G270">
        <v>15</v>
      </c>
      <c r="H270">
        <v>3</v>
      </c>
      <c r="I270">
        <v>1</v>
      </c>
      <c r="J270">
        <v>0.2</v>
      </c>
      <c r="K270">
        <v>0.16669999999999999</v>
      </c>
      <c r="L270">
        <v>0.47</v>
      </c>
      <c r="M270">
        <v>0.41789999999999999</v>
      </c>
      <c r="N270">
        <v>1</v>
      </c>
      <c r="O270">
        <v>48</v>
      </c>
      <c r="P270">
        <v>49</v>
      </c>
    </row>
    <row r="271" spans="1:16" x14ac:dyDescent="0.35">
      <c r="A271">
        <v>270</v>
      </c>
      <c r="B271" t="b">
        <v>0</v>
      </c>
      <c r="C271" s="18">
        <v>40555</v>
      </c>
      <c r="D271">
        <v>1</v>
      </c>
      <c r="E271">
        <v>0</v>
      </c>
      <c r="F271">
        <v>1</v>
      </c>
      <c r="G271">
        <v>16</v>
      </c>
      <c r="H271">
        <v>3</v>
      </c>
      <c r="I271">
        <v>1</v>
      </c>
      <c r="J271">
        <v>0.22</v>
      </c>
      <c r="K271">
        <v>0.19700000000000001</v>
      </c>
      <c r="L271">
        <v>0.44</v>
      </c>
      <c r="M271">
        <v>0.32840000000000003</v>
      </c>
      <c r="N271">
        <v>5</v>
      </c>
      <c r="O271">
        <v>63</v>
      </c>
      <c r="P271">
        <v>68</v>
      </c>
    </row>
    <row r="272" spans="1:16" x14ac:dyDescent="0.35">
      <c r="A272">
        <v>271</v>
      </c>
      <c r="B272" t="b">
        <v>0</v>
      </c>
      <c r="C272" s="18">
        <v>40555</v>
      </c>
      <c r="D272">
        <v>1</v>
      </c>
      <c r="E272">
        <v>0</v>
      </c>
      <c r="F272">
        <v>1</v>
      </c>
      <c r="G272">
        <v>17</v>
      </c>
      <c r="H272">
        <v>3</v>
      </c>
      <c r="I272">
        <v>1</v>
      </c>
      <c r="J272">
        <v>0.2</v>
      </c>
      <c r="K272">
        <v>0.18179999999999999</v>
      </c>
      <c r="L272">
        <v>0.47</v>
      </c>
      <c r="M272">
        <v>0.35820000000000002</v>
      </c>
      <c r="N272">
        <v>0</v>
      </c>
      <c r="O272">
        <v>139</v>
      </c>
      <c r="P272">
        <v>139</v>
      </c>
    </row>
    <row r="273" spans="1:16" x14ac:dyDescent="0.35">
      <c r="A273">
        <v>272</v>
      </c>
      <c r="B273" t="b">
        <v>0</v>
      </c>
      <c r="C273" s="18">
        <v>40555</v>
      </c>
      <c r="D273">
        <v>1</v>
      </c>
      <c r="E273">
        <v>0</v>
      </c>
      <c r="F273">
        <v>1</v>
      </c>
      <c r="G273">
        <v>18</v>
      </c>
      <c r="H273">
        <v>3</v>
      </c>
      <c r="I273">
        <v>1</v>
      </c>
      <c r="J273">
        <v>0.2</v>
      </c>
      <c r="K273">
        <v>0.1515</v>
      </c>
      <c r="L273">
        <v>0.47</v>
      </c>
      <c r="M273">
        <v>0.52239999999999998</v>
      </c>
      <c r="N273">
        <v>2</v>
      </c>
      <c r="O273">
        <v>135</v>
      </c>
      <c r="P273">
        <v>137</v>
      </c>
    </row>
    <row r="274" spans="1:16" x14ac:dyDescent="0.35">
      <c r="A274">
        <v>273</v>
      </c>
      <c r="B274" t="b">
        <v>0</v>
      </c>
      <c r="C274" s="18">
        <v>40555</v>
      </c>
      <c r="D274">
        <v>1</v>
      </c>
      <c r="E274">
        <v>0</v>
      </c>
      <c r="F274">
        <v>1</v>
      </c>
      <c r="G274">
        <v>19</v>
      </c>
      <c r="H274">
        <v>3</v>
      </c>
      <c r="I274">
        <v>1</v>
      </c>
      <c r="J274">
        <v>0.18</v>
      </c>
      <c r="K274">
        <v>0.1515</v>
      </c>
      <c r="L274">
        <v>0.47</v>
      </c>
      <c r="M274">
        <v>0.41789999999999999</v>
      </c>
      <c r="N274">
        <v>1</v>
      </c>
      <c r="O274">
        <v>82</v>
      </c>
      <c r="P274">
        <v>83</v>
      </c>
    </row>
    <row r="275" spans="1:16" x14ac:dyDescent="0.35">
      <c r="A275">
        <v>274</v>
      </c>
      <c r="B275" t="b">
        <v>0</v>
      </c>
      <c r="C275" s="18">
        <v>40555</v>
      </c>
      <c r="D275">
        <v>1</v>
      </c>
      <c r="E275">
        <v>0</v>
      </c>
      <c r="F275">
        <v>1</v>
      </c>
      <c r="G275">
        <v>20</v>
      </c>
      <c r="H275">
        <v>3</v>
      </c>
      <c r="I275">
        <v>1</v>
      </c>
      <c r="J275">
        <v>0.16</v>
      </c>
      <c r="K275">
        <v>0.13639999999999999</v>
      </c>
      <c r="L275">
        <v>0.5</v>
      </c>
      <c r="M275">
        <v>0.32840000000000003</v>
      </c>
      <c r="N275">
        <v>2</v>
      </c>
      <c r="O275">
        <v>54</v>
      </c>
      <c r="P275">
        <v>56</v>
      </c>
    </row>
    <row r="276" spans="1:16" x14ac:dyDescent="0.35">
      <c r="A276">
        <v>275</v>
      </c>
      <c r="B276" t="b">
        <v>0</v>
      </c>
      <c r="C276" s="18">
        <v>40555</v>
      </c>
      <c r="D276">
        <v>1</v>
      </c>
      <c r="E276">
        <v>0</v>
      </c>
      <c r="F276">
        <v>1</v>
      </c>
      <c r="G276">
        <v>21</v>
      </c>
      <c r="H276">
        <v>3</v>
      </c>
      <c r="I276">
        <v>1</v>
      </c>
      <c r="J276">
        <v>0.16</v>
      </c>
      <c r="K276">
        <v>0.13639999999999999</v>
      </c>
      <c r="L276">
        <v>0.55000000000000004</v>
      </c>
      <c r="M276">
        <v>0.32840000000000003</v>
      </c>
      <c r="N276">
        <v>0</v>
      </c>
      <c r="O276">
        <v>57</v>
      </c>
      <c r="P276">
        <v>57</v>
      </c>
    </row>
    <row r="277" spans="1:16" x14ac:dyDescent="0.35">
      <c r="A277">
        <v>276</v>
      </c>
      <c r="B277" t="b">
        <v>0</v>
      </c>
      <c r="C277" s="18">
        <v>40555</v>
      </c>
      <c r="D277">
        <v>1</v>
      </c>
      <c r="E277">
        <v>0</v>
      </c>
      <c r="F277">
        <v>1</v>
      </c>
      <c r="G277">
        <v>22</v>
      </c>
      <c r="H277">
        <v>3</v>
      </c>
      <c r="I277">
        <v>1</v>
      </c>
      <c r="J277">
        <v>0.16</v>
      </c>
      <c r="K277">
        <v>0.1212</v>
      </c>
      <c r="L277">
        <v>0.55000000000000004</v>
      </c>
      <c r="M277">
        <v>0.44779999999999998</v>
      </c>
      <c r="N277">
        <v>1</v>
      </c>
      <c r="O277">
        <v>32</v>
      </c>
      <c r="P277">
        <v>33</v>
      </c>
    </row>
    <row r="278" spans="1:16" x14ac:dyDescent="0.35">
      <c r="A278">
        <v>277</v>
      </c>
      <c r="B278" t="b">
        <v>0</v>
      </c>
      <c r="C278" s="18">
        <v>40555</v>
      </c>
      <c r="D278">
        <v>1</v>
      </c>
      <c r="E278">
        <v>0</v>
      </c>
      <c r="F278">
        <v>1</v>
      </c>
      <c r="G278">
        <v>23</v>
      </c>
      <c r="H278">
        <v>3</v>
      </c>
      <c r="I278">
        <v>1</v>
      </c>
      <c r="J278">
        <v>0.14000000000000001</v>
      </c>
      <c r="K278">
        <v>0.1061</v>
      </c>
      <c r="L278">
        <v>0.59</v>
      </c>
      <c r="M278">
        <v>0.41789999999999999</v>
      </c>
      <c r="N278">
        <v>1</v>
      </c>
      <c r="O278">
        <v>19</v>
      </c>
      <c r="P278">
        <v>20</v>
      </c>
    </row>
    <row r="279" spans="1:16" x14ac:dyDescent="0.35">
      <c r="A279">
        <v>278</v>
      </c>
      <c r="B279" t="b">
        <v>0</v>
      </c>
      <c r="C279" s="18">
        <v>40556</v>
      </c>
      <c r="D279">
        <v>1</v>
      </c>
      <c r="E279">
        <v>0</v>
      </c>
      <c r="F279">
        <v>1</v>
      </c>
      <c r="G279">
        <v>0</v>
      </c>
      <c r="H279">
        <v>4</v>
      </c>
      <c r="I279">
        <v>1</v>
      </c>
      <c r="J279">
        <v>0.14000000000000001</v>
      </c>
      <c r="K279">
        <v>0.1212</v>
      </c>
      <c r="L279">
        <v>0.59</v>
      </c>
      <c r="M279">
        <v>0.28360000000000002</v>
      </c>
      <c r="N279">
        <v>1</v>
      </c>
      <c r="O279">
        <v>6</v>
      </c>
      <c r="P279">
        <v>7</v>
      </c>
    </row>
    <row r="280" spans="1:16" x14ac:dyDescent="0.35">
      <c r="A280">
        <v>279</v>
      </c>
      <c r="B280" t="b">
        <v>0</v>
      </c>
      <c r="C280" s="18">
        <v>40556</v>
      </c>
      <c r="D280">
        <v>1</v>
      </c>
      <c r="E280">
        <v>0</v>
      </c>
      <c r="F280">
        <v>1</v>
      </c>
      <c r="G280">
        <v>1</v>
      </c>
      <c r="H280">
        <v>4</v>
      </c>
      <c r="I280">
        <v>1</v>
      </c>
      <c r="J280">
        <v>0.14000000000000001</v>
      </c>
      <c r="K280">
        <v>0.1212</v>
      </c>
      <c r="L280">
        <v>0.5</v>
      </c>
      <c r="M280">
        <v>0.28360000000000002</v>
      </c>
      <c r="N280">
        <v>0</v>
      </c>
      <c r="O280">
        <v>2</v>
      </c>
      <c r="P280">
        <v>2</v>
      </c>
    </row>
    <row r="281" spans="1:16" x14ac:dyDescent="0.35">
      <c r="A281">
        <v>280</v>
      </c>
      <c r="B281" t="b">
        <v>0</v>
      </c>
      <c r="C281" s="18">
        <v>40556</v>
      </c>
      <c r="D281">
        <v>1</v>
      </c>
      <c r="E281">
        <v>0</v>
      </c>
      <c r="F281">
        <v>1</v>
      </c>
      <c r="G281">
        <v>2</v>
      </c>
      <c r="H281">
        <v>4</v>
      </c>
      <c r="I281">
        <v>1</v>
      </c>
      <c r="J281">
        <v>0.14000000000000001</v>
      </c>
      <c r="K281">
        <v>0.1212</v>
      </c>
      <c r="L281">
        <v>0.5</v>
      </c>
      <c r="M281">
        <v>0.35820000000000002</v>
      </c>
      <c r="N281">
        <v>0</v>
      </c>
      <c r="O281">
        <v>2</v>
      </c>
      <c r="P281">
        <v>2</v>
      </c>
    </row>
    <row r="282" spans="1:16" x14ac:dyDescent="0.35">
      <c r="A282">
        <v>281</v>
      </c>
      <c r="B282" t="b">
        <v>0</v>
      </c>
      <c r="C282" s="18">
        <v>40556</v>
      </c>
      <c r="D282">
        <v>1</v>
      </c>
      <c r="E282">
        <v>0</v>
      </c>
      <c r="F282">
        <v>1</v>
      </c>
      <c r="G282">
        <v>3</v>
      </c>
      <c r="H282">
        <v>4</v>
      </c>
      <c r="I282">
        <v>1</v>
      </c>
      <c r="J282">
        <v>0.14000000000000001</v>
      </c>
      <c r="K282">
        <v>0.1212</v>
      </c>
      <c r="L282">
        <v>0.5</v>
      </c>
      <c r="M282">
        <v>0.32840000000000003</v>
      </c>
      <c r="N282">
        <v>0</v>
      </c>
      <c r="O282">
        <v>3</v>
      </c>
      <c r="P282">
        <v>3</v>
      </c>
    </row>
    <row r="283" spans="1:16" x14ac:dyDescent="0.35">
      <c r="A283">
        <v>282</v>
      </c>
      <c r="B283" t="b">
        <v>0</v>
      </c>
      <c r="C283" s="18">
        <v>40556</v>
      </c>
      <c r="D283">
        <v>1</v>
      </c>
      <c r="E283">
        <v>0</v>
      </c>
      <c r="F283">
        <v>1</v>
      </c>
      <c r="G283">
        <v>4</v>
      </c>
      <c r="H283">
        <v>4</v>
      </c>
      <c r="I283">
        <v>1</v>
      </c>
      <c r="J283">
        <v>0.14000000000000001</v>
      </c>
      <c r="K283">
        <v>0.1212</v>
      </c>
      <c r="L283">
        <v>0.5</v>
      </c>
      <c r="M283">
        <v>0.25369999999999998</v>
      </c>
      <c r="N283">
        <v>0</v>
      </c>
      <c r="O283">
        <v>4</v>
      </c>
      <c r="P283">
        <v>4</v>
      </c>
    </row>
    <row r="284" spans="1:16" x14ac:dyDescent="0.35">
      <c r="A284">
        <v>283</v>
      </c>
      <c r="B284" t="b">
        <v>0</v>
      </c>
      <c r="C284" s="18">
        <v>40556</v>
      </c>
      <c r="D284">
        <v>1</v>
      </c>
      <c r="E284">
        <v>0</v>
      </c>
      <c r="F284">
        <v>1</v>
      </c>
      <c r="G284">
        <v>5</v>
      </c>
      <c r="H284">
        <v>4</v>
      </c>
      <c r="I284">
        <v>1</v>
      </c>
      <c r="J284">
        <v>0.14000000000000001</v>
      </c>
      <c r="K284">
        <v>0.1212</v>
      </c>
      <c r="L284">
        <v>0.5</v>
      </c>
      <c r="M284">
        <v>0.29849999999999999</v>
      </c>
      <c r="N284">
        <v>0</v>
      </c>
      <c r="O284">
        <v>3</v>
      </c>
      <c r="P284">
        <v>3</v>
      </c>
    </row>
    <row r="285" spans="1:16" x14ac:dyDescent="0.35">
      <c r="A285">
        <v>284</v>
      </c>
      <c r="B285" t="b">
        <v>0</v>
      </c>
      <c r="C285" s="18">
        <v>40556</v>
      </c>
      <c r="D285">
        <v>1</v>
      </c>
      <c r="E285">
        <v>0</v>
      </c>
      <c r="F285">
        <v>1</v>
      </c>
      <c r="G285">
        <v>6</v>
      </c>
      <c r="H285">
        <v>4</v>
      </c>
      <c r="I285">
        <v>1</v>
      </c>
      <c r="J285">
        <v>0.12</v>
      </c>
      <c r="K285">
        <v>0.1515</v>
      </c>
      <c r="L285">
        <v>0.54</v>
      </c>
      <c r="M285">
        <v>0.1343</v>
      </c>
      <c r="N285">
        <v>0</v>
      </c>
      <c r="O285">
        <v>28</v>
      </c>
      <c r="P285">
        <v>28</v>
      </c>
    </row>
    <row r="286" spans="1:16" x14ac:dyDescent="0.35">
      <c r="A286">
        <v>285</v>
      </c>
      <c r="B286" t="b">
        <v>0</v>
      </c>
      <c r="C286" s="18">
        <v>40556</v>
      </c>
      <c r="D286">
        <v>1</v>
      </c>
      <c r="E286">
        <v>0</v>
      </c>
      <c r="F286">
        <v>1</v>
      </c>
      <c r="G286">
        <v>7</v>
      </c>
      <c r="H286">
        <v>4</v>
      </c>
      <c r="I286">
        <v>1</v>
      </c>
      <c r="J286">
        <v>0.12</v>
      </c>
      <c r="K286">
        <v>0.1515</v>
      </c>
      <c r="L286">
        <v>0.54</v>
      </c>
      <c r="M286">
        <v>0.1343</v>
      </c>
      <c r="N286">
        <v>0</v>
      </c>
      <c r="O286">
        <v>72</v>
      </c>
      <c r="P286">
        <v>72</v>
      </c>
    </row>
    <row r="287" spans="1:16" x14ac:dyDescent="0.35">
      <c r="A287">
        <v>286</v>
      </c>
      <c r="B287" t="b">
        <v>0</v>
      </c>
      <c r="C287" s="18">
        <v>40556</v>
      </c>
      <c r="D287">
        <v>1</v>
      </c>
      <c r="E287">
        <v>0</v>
      </c>
      <c r="F287">
        <v>1</v>
      </c>
      <c r="G287">
        <v>8</v>
      </c>
      <c r="H287">
        <v>4</v>
      </c>
      <c r="I287">
        <v>1</v>
      </c>
      <c r="J287">
        <v>0.14000000000000001</v>
      </c>
      <c r="K287">
        <v>0.13639999999999999</v>
      </c>
      <c r="L287">
        <v>0.5</v>
      </c>
      <c r="M287">
        <v>0.19400000000000001</v>
      </c>
      <c r="N287">
        <v>5</v>
      </c>
      <c r="O287">
        <v>197</v>
      </c>
      <c r="P287">
        <v>202</v>
      </c>
    </row>
    <row r="288" spans="1:16" x14ac:dyDescent="0.35">
      <c r="A288">
        <v>287</v>
      </c>
      <c r="B288" t="b">
        <v>0</v>
      </c>
      <c r="C288" s="18">
        <v>40556</v>
      </c>
      <c r="D288">
        <v>1</v>
      </c>
      <c r="E288">
        <v>0</v>
      </c>
      <c r="F288">
        <v>1</v>
      </c>
      <c r="G288">
        <v>9</v>
      </c>
      <c r="H288">
        <v>4</v>
      </c>
      <c r="I288">
        <v>1</v>
      </c>
      <c r="J288">
        <v>0.14000000000000001</v>
      </c>
      <c r="K288">
        <v>0.1212</v>
      </c>
      <c r="L288">
        <v>0.5</v>
      </c>
      <c r="M288">
        <v>0.32840000000000003</v>
      </c>
      <c r="N288">
        <v>2</v>
      </c>
      <c r="O288">
        <v>137</v>
      </c>
      <c r="P288">
        <v>139</v>
      </c>
    </row>
    <row r="289" spans="1:16" x14ac:dyDescent="0.35">
      <c r="A289">
        <v>288</v>
      </c>
      <c r="B289" t="b">
        <v>0</v>
      </c>
      <c r="C289" s="18">
        <v>40556</v>
      </c>
      <c r="D289">
        <v>1</v>
      </c>
      <c r="E289">
        <v>0</v>
      </c>
      <c r="F289">
        <v>1</v>
      </c>
      <c r="G289">
        <v>10</v>
      </c>
      <c r="H289">
        <v>4</v>
      </c>
      <c r="I289">
        <v>2</v>
      </c>
      <c r="J289">
        <v>0.16</v>
      </c>
      <c r="K289">
        <v>0.13639999999999999</v>
      </c>
      <c r="L289">
        <v>0.5</v>
      </c>
      <c r="M289">
        <v>0.35820000000000002</v>
      </c>
      <c r="N289">
        <v>2</v>
      </c>
      <c r="O289">
        <v>36</v>
      </c>
      <c r="P289">
        <v>38</v>
      </c>
    </row>
    <row r="290" spans="1:16" x14ac:dyDescent="0.35">
      <c r="A290">
        <v>289</v>
      </c>
      <c r="B290" t="b">
        <v>0</v>
      </c>
      <c r="C290" s="18">
        <v>40556</v>
      </c>
      <c r="D290">
        <v>1</v>
      </c>
      <c r="E290">
        <v>0</v>
      </c>
      <c r="F290">
        <v>1</v>
      </c>
      <c r="G290">
        <v>11</v>
      </c>
      <c r="H290">
        <v>4</v>
      </c>
      <c r="I290">
        <v>2</v>
      </c>
      <c r="J290">
        <v>0.2</v>
      </c>
      <c r="K290">
        <v>0.16669999999999999</v>
      </c>
      <c r="L290">
        <v>0.44</v>
      </c>
      <c r="M290">
        <v>0.44779999999999998</v>
      </c>
      <c r="N290">
        <v>4</v>
      </c>
      <c r="O290">
        <v>33</v>
      </c>
      <c r="P290">
        <v>37</v>
      </c>
    </row>
    <row r="291" spans="1:16" x14ac:dyDescent="0.35">
      <c r="A291">
        <v>290</v>
      </c>
      <c r="B291" t="b">
        <v>0</v>
      </c>
      <c r="C291" s="18">
        <v>40556</v>
      </c>
      <c r="D291">
        <v>1</v>
      </c>
      <c r="E291">
        <v>0</v>
      </c>
      <c r="F291">
        <v>1</v>
      </c>
      <c r="G291">
        <v>12</v>
      </c>
      <c r="H291">
        <v>4</v>
      </c>
      <c r="I291">
        <v>1</v>
      </c>
      <c r="J291">
        <v>0.2</v>
      </c>
      <c r="K291">
        <v>0.16669999999999999</v>
      </c>
      <c r="L291">
        <v>0.44</v>
      </c>
      <c r="M291">
        <v>0.41789999999999999</v>
      </c>
      <c r="N291">
        <v>3</v>
      </c>
      <c r="O291">
        <v>49</v>
      </c>
      <c r="P291">
        <v>52</v>
      </c>
    </row>
    <row r="292" spans="1:16" x14ac:dyDescent="0.35">
      <c r="A292">
        <v>291</v>
      </c>
      <c r="B292" t="b">
        <v>0</v>
      </c>
      <c r="C292" s="18">
        <v>40556</v>
      </c>
      <c r="D292">
        <v>1</v>
      </c>
      <c r="E292">
        <v>0</v>
      </c>
      <c r="F292">
        <v>1</v>
      </c>
      <c r="G292">
        <v>13</v>
      </c>
      <c r="H292">
        <v>4</v>
      </c>
      <c r="I292">
        <v>1</v>
      </c>
      <c r="J292">
        <v>0.22</v>
      </c>
      <c r="K292">
        <v>0.19700000000000001</v>
      </c>
      <c r="L292">
        <v>0.41</v>
      </c>
      <c r="M292">
        <v>0.44779999999999998</v>
      </c>
      <c r="N292">
        <v>2</v>
      </c>
      <c r="O292">
        <v>81</v>
      </c>
      <c r="P292">
        <v>83</v>
      </c>
    </row>
    <row r="293" spans="1:16" x14ac:dyDescent="0.35">
      <c r="A293">
        <v>292</v>
      </c>
      <c r="B293" t="b">
        <v>0</v>
      </c>
      <c r="C293" s="18">
        <v>40556</v>
      </c>
      <c r="D293">
        <v>1</v>
      </c>
      <c r="E293">
        <v>0</v>
      </c>
      <c r="F293">
        <v>1</v>
      </c>
      <c r="G293">
        <v>14</v>
      </c>
      <c r="H293">
        <v>4</v>
      </c>
      <c r="I293">
        <v>1</v>
      </c>
      <c r="J293">
        <v>0.22</v>
      </c>
      <c r="K293">
        <v>0.19700000000000001</v>
      </c>
      <c r="L293">
        <v>0.41</v>
      </c>
      <c r="M293">
        <v>0.3881</v>
      </c>
      <c r="N293">
        <v>3</v>
      </c>
      <c r="O293">
        <v>39</v>
      </c>
      <c r="P293">
        <v>42</v>
      </c>
    </row>
    <row r="294" spans="1:16" x14ac:dyDescent="0.35">
      <c r="A294">
        <v>293</v>
      </c>
      <c r="B294" t="b">
        <v>0</v>
      </c>
      <c r="C294" s="18">
        <v>40556</v>
      </c>
      <c r="D294">
        <v>1</v>
      </c>
      <c r="E294">
        <v>0</v>
      </c>
      <c r="F294">
        <v>1</v>
      </c>
      <c r="G294">
        <v>15</v>
      </c>
      <c r="H294">
        <v>4</v>
      </c>
      <c r="I294">
        <v>1</v>
      </c>
      <c r="J294">
        <v>0.24</v>
      </c>
      <c r="K294">
        <v>0.21210000000000001</v>
      </c>
      <c r="L294">
        <v>0.38</v>
      </c>
      <c r="M294">
        <v>0.29849999999999999</v>
      </c>
      <c r="N294">
        <v>5</v>
      </c>
      <c r="O294">
        <v>55</v>
      </c>
      <c r="P294">
        <v>60</v>
      </c>
    </row>
    <row r="295" spans="1:16" x14ac:dyDescent="0.35">
      <c r="A295">
        <v>294</v>
      </c>
      <c r="B295" t="b">
        <v>0</v>
      </c>
      <c r="C295" s="18">
        <v>40556</v>
      </c>
      <c r="D295">
        <v>1</v>
      </c>
      <c r="E295">
        <v>0</v>
      </c>
      <c r="F295">
        <v>1</v>
      </c>
      <c r="G295">
        <v>16</v>
      </c>
      <c r="H295">
        <v>4</v>
      </c>
      <c r="I295">
        <v>1</v>
      </c>
      <c r="J295">
        <v>0.24</v>
      </c>
      <c r="K295">
        <v>0.21210000000000001</v>
      </c>
      <c r="L295">
        <v>0.38</v>
      </c>
      <c r="M295">
        <v>0.35820000000000002</v>
      </c>
      <c r="N295">
        <v>2</v>
      </c>
      <c r="O295">
        <v>76</v>
      </c>
      <c r="P295">
        <v>78</v>
      </c>
    </row>
    <row r="296" spans="1:16" x14ac:dyDescent="0.35">
      <c r="A296">
        <v>295</v>
      </c>
      <c r="B296" t="b">
        <v>0</v>
      </c>
      <c r="C296" s="18">
        <v>40556</v>
      </c>
      <c r="D296">
        <v>1</v>
      </c>
      <c r="E296">
        <v>0</v>
      </c>
      <c r="F296">
        <v>1</v>
      </c>
      <c r="G296">
        <v>17</v>
      </c>
      <c r="H296">
        <v>4</v>
      </c>
      <c r="I296">
        <v>1</v>
      </c>
      <c r="J296">
        <v>0.2</v>
      </c>
      <c r="K296">
        <v>0.18179999999999999</v>
      </c>
      <c r="L296">
        <v>0.4</v>
      </c>
      <c r="M296">
        <v>0.28360000000000002</v>
      </c>
      <c r="N296">
        <v>4</v>
      </c>
      <c r="O296">
        <v>158</v>
      </c>
      <c r="P296">
        <v>162</v>
      </c>
    </row>
    <row r="297" spans="1:16" x14ac:dyDescent="0.35">
      <c r="A297">
        <v>296</v>
      </c>
      <c r="B297" t="b">
        <v>0</v>
      </c>
      <c r="C297" s="18">
        <v>40556</v>
      </c>
      <c r="D297">
        <v>1</v>
      </c>
      <c r="E297">
        <v>0</v>
      </c>
      <c r="F297">
        <v>1</v>
      </c>
      <c r="G297">
        <v>18</v>
      </c>
      <c r="H297">
        <v>4</v>
      </c>
      <c r="I297">
        <v>1</v>
      </c>
      <c r="J297">
        <v>0.2</v>
      </c>
      <c r="K297">
        <v>0.18179999999999999</v>
      </c>
      <c r="L297">
        <v>0.4</v>
      </c>
      <c r="M297">
        <v>0.32840000000000003</v>
      </c>
      <c r="N297">
        <v>3</v>
      </c>
      <c r="O297">
        <v>141</v>
      </c>
      <c r="P297">
        <v>144</v>
      </c>
    </row>
    <row r="298" spans="1:16" x14ac:dyDescent="0.35">
      <c r="A298">
        <v>297</v>
      </c>
      <c r="B298" t="b">
        <v>0</v>
      </c>
      <c r="C298" s="18">
        <v>40556</v>
      </c>
      <c r="D298">
        <v>1</v>
      </c>
      <c r="E298">
        <v>0</v>
      </c>
      <c r="F298">
        <v>1</v>
      </c>
      <c r="G298">
        <v>19</v>
      </c>
      <c r="H298">
        <v>4</v>
      </c>
      <c r="I298">
        <v>1</v>
      </c>
      <c r="J298">
        <v>0.16</v>
      </c>
      <c r="K298">
        <v>0.1515</v>
      </c>
      <c r="L298">
        <v>0.47</v>
      </c>
      <c r="M298">
        <v>0.25369999999999998</v>
      </c>
      <c r="N298">
        <v>1</v>
      </c>
      <c r="O298">
        <v>98</v>
      </c>
      <c r="P298">
        <v>99</v>
      </c>
    </row>
    <row r="299" spans="1:16" x14ac:dyDescent="0.35">
      <c r="A299">
        <v>298</v>
      </c>
      <c r="B299" t="b">
        <v>0</v>
      </c>
      <c r="C299" s="18">
        <v>40556</v>
      </c>
      <c r="D299">
        <v>1</v>
      </c>
      <c r="E299">
        <v>0</v>
      </c>
      <c r="F299">
        <v>1</v>
      </c>
      <c r="G299">
        <v>20</v>
      </c>
      <c r="H299">
        <v>4</v>
      </c>
      <c r="I299">
        <v>1</v>
      </c>
      <c r="J299">
        <v>0.16</v>
      </c>
      <c r="K299">
        <v>0.1515</v>
      </c>
      <c r="L299">
        <v>0.47</v>
      </c>
      <c r="M299">
        <v>0.22389999999999999</v>
      </c>
      <c r="N299">
        <v>0</v>
      </c>
      <c r="O299">
        <v>64</v>
      </c>
      <c r="P299">
        <v>64</v>
      </c>
    </row>
    <row r="300" spans="1:16" x14ac:dyDescent="0.35">
      <c r="A300">
        <v>299</v>
      </c>
      <c r="B300" t="b">
        <v>0</v>
      </c>
      <c r="C300" s="18">
        <v>40556</v>
      </c>
      <c r="D300">
        <v>1</v>
      </c>
      <c r="E300">
        <v>0</v>
      </c>
      <c r="F300">
        <v>1</v>
      </c>
      <c r="G300">
        <v>21</v>
      </c>
      <c r="H300">
        <v>4</v>
      </c>
      <c r="I300">
        <v>1</v>
      </c>
      <c r="J300">
        <v>0.14000000000000001</v>
      </c>
      <c r="K300">
        <v>0.1212</v>
      </c>
      <c r="L300">
        <v>0.46</v>
      </c>
      <c r="M300">
        <v>0.29849999999999999</v>
      </c>
      <c r="N300">
        <v>0</v>
      </c>
      <c r="O300">
        <v>40</v>
      </c>
      <c r="P300">
        <v>40</v>
      </c>
    </row>
    <row r="301" spans="1:16" x14ac:dyDescent="0.35">
      <c r="A301">
        <v>300</v>
      </c>
      <c r="B301" t="b">
        <v>0</v>
      </c>
      <c r="C301" s="18">
        <v>40556</v>
      </c>
      <c r="D301">
        <v>1</v>
      </c>
      <c r="E301">
        <v>0</v>
      </c>
      <c r="F301">
        <v>1</v>
      </c>
      <c r="G301">
        <v>22</v>
      </c>
      <c r="H301">
        <v>4</v>
      </c>
      <c r="I301">
        <v>1</v>
      </c>
      <c r="J301">
        <v>0.14000000000000001</v>
      </c>
      <c r="K301">
        <v>0.1212</v>
      </c>
      <c r="L301">
        <v>0.46</v>
      </c>
      <c r="M301">
        <v>0.32840000000000003</v>
      </c>
      <c r="N301">
        <v>0</v>
      </c>
      <c r="O301">
        <v>30</v>
      </c>
      <c r="P301">
        <v>30</v>
      </c>
    </row>
    <row r="302" spans="1:16" x14ac:dyDescent="0.35">
      <c r="A302">
        <v>301</v>
      </c>
      <c r="B302" t="b">
        <v>0</v>
      </c>
      <c r="C302" s="18">
        <v>40556</v>
      </c>
      <c r="D302">
        <v>1</v>
      </c>
      <c r="E302">
        <v>0</v>
      </c>
      <c r="F302">
        <v>1</v>
      </c>
      <c r="G302">
        <v>23</v>
      </c>
      <c r="H302">
        <v>4</v>
      </c>
      <c r="I302">
        <v>1</v>
      </c>
      <c r="J302">
        <v>0.12</v>
      </c>
      <c r="K302">
        <v>0.13639999999999999</v>
      </c>
      <c r="L302">
        <v>0.5</v>
      </c>
      <c r="M302">
        <v>0.19400000000000001</v>
      </c>
      <c r="N302">
        <v>1</v>
      </c>
      <c r="O302">
        <v>14</v>
      </c>
      <c r="P302">
        <v>15</v>
      </c>
    </row>
    <row r="303" spans="1:16" x14ac:dyDescent="0.35">
      <c r="A303">
        <v>302</v>
      </c>
      <c r="B303" t="b">
        <v>0</v>
      </c>
      <c r="C303" s="18">
        <v>40557</v>
      </c>
      <c r="D303">
        <v>1</v>
      </c>
      <c r="E303">
        <v>0</v>
      </c>
      <c r="F303">
        <v>1</v>
      </c>
      <c r="G303">
        <v>0</v>
      </c>
      <c r="H303">
        <v>5</v>
      </c>
      <c r="I303">
        <v>1</v>
      </c>
      <c r="J303">
        <v>0.12</v>
      </c>
      <c r="K303">
        <v>0.13639999999999999</v>
      </c>
      <c r="L303">
        <v>0.5</v>
      </c>
      <c r="M303">
        <v>0.19400000000000001</v>
      </c>
      <c r="N303">
        <v>0</v>
      </c>
      <c r="O303">
        <v>14</v>
      </c>
      <c r="P303">
        <v>14</v>
      </c>
    </row>
    <row r="304" spans="1:16" x14ac:dyDescent="0.35">
      <c r="A304">
        <v>303</v>
      </c>
      <c r="B304" t="b">
        <v>0</v>
      </c>
      <c r="C304" s="18">
        <v>40557</v>
      </c>
      <c r="D304">
        <v>1</v>
      </c>
      <c r="E304">
        <v>0</v>
      </c>
      <c r="F304">
        <v>1</v>
      </c>
      <c r="G304">
        <v>1</v>
      </c>
      <c r="H304">
        <v>5</v>
      </c>
      <c r="I304">
        <v>1</v>
      </c>
      <c r="J304">
        <v>0.1</v>
      </c>
      <c r="K304">
        <v>0.1212</v>
      </c>
      <c r="L304">
        <v>0.54</v>
      </c>
      <c r="M304">
        <v>0.16420000000000001</v>
      </c>
      <c r="N304">
        <v>0</v>
      </c>
      <c r="O304">
        <v>5</v>
      </c>
      <c r="P304">
        <v>5</v>
      </c>
    </row>
    <row r="305" spans="1:16" x14ac:dyDescent="0.35">
      <c r="A305">
        <v>304</v>
      </c>
      <c r="B305" t="b">
        <v>0</v>
      </c>
      <c r="C305" s="18">
        <v>40557</v>
      </c>
      <c r="D305">
        <v>1</v>
      </c>
      <c r="E305">
        <v>0</v>
      </c>
      <c r="F305">
        <v>1</v>
      </c>
      <c r="G305">
        <v>2</v>
      </c>
      <c r="H305">
        <v>5</v>
      </c>
      <c r="I305">
        <v>1</v>
      </c>
      <c r="J305">
        <v>0.1</v>
      </c>
      <c r="K305">
        <v>0.1212</v>
      </c>
      <c r="L305">
        <v>0.54</v>
      </c>
      <c r="M305">
        <v>0.1343</v>
      </c>
      <c r="N305">
        <v>0</v>
      </c>
      <c r="O305">
        <v>1</v>
      </c>
      <c r="P305">
        <v>1</v>
      </c>
    </row>
    <row r="306" spans="1:16" x14ac:dyDescent="0.35">
      <c r="A306">
        <v>305</v>
      </c>
      <c r="B306" t="b">
        <v>0</v>
      </c>
      <c r="C306" s="18">
        <v>40557</v>
      </c>
      <c r="D306">
        <v>1</v>
      </c>
      <c r="E306">
        <v>0</v>
      </c>
      <c r="F306">
        <v>1</v>
      </c>
      <c r="G306">
        <v>3</v>
      </c>
      <c r="H306">
        <v>5</v>
      </c>
      <c r="I306">
        <v>1</v>
      </c>
      <c r="J306">
        <v>0.1</v>
      </c>
      <c r="K306">
        <v>0.13639999999999999</v>
      </c>
      <c r="L306">
        <v>0.54</v>
      </c>
      <c r="M306">
        <v>0.1045</v>
      </c>
      <c r="N306">
        <v>0</v>
      </c>
      <c r="O306">
        <v>1</v>
      </c>
      <c r="P306">
        <v>1</v>
      </c>
    </row>
    <row r="307" spans="1:16" x14ac:dyDescent="0.35">
      <c r="A307">
        <v>306</v>
      </c>
      <c r="B307" t="b">
        <v>0</v>
      </c>
      <c r="C307" s="18">
        <v>40557</v>
      </c>
      <c r="D307">
        <v>1</v>
      </c>
      <c r="E307">
        <v>0</v>
      </c>
      <c r="F307">
        <v>1</v>
      </c>
      <c r="G307">
        <v>5</v>
      </c>
      <c r="H307">
        <v>5</v>
      </c>
      <c r="I307">
        <v>1</v>
      </c>
      <c r="J307">
        <v>0.1</v>
      </c>
      <c r="K307">
        <v>0.13639999999999999</v>
      </c>
      <c r="L307">
        <v>0.54</v>
      </c>
      <c r="M307">
        <v>8.9599999999999999E-2</v>
      </c>
      <c r="N307">
        <v>0</v>
      </c>
      <c r="O307">
        <v>8</v>
      </c>
      <c r="P307">
        <v>8</v>
      </c>
    </row>
    <row r="308" spans="1:16" x14ac:dyDescent="0.35">
      <c r="A308">
        <v>307</v>
      </c>
      <c r="B308" t="b">
        <v>0</v>
      </c>
      <c r="C308" s="18">
        <v>40557</v>
      </c>
      <c r="D308">
        <v>1</v>
      </c>
      <c r="E308">
        <v>0</v>
      </c>
      <c r="F308">
        <v>1</v>
      </c>
      <c r="G308">
        <v>6</v>
      </c>
      <c r="H308">
        <v>5</v>
      </c>
      <c r="I308">
        <v>1</v>
      </c>
      <c r="J308">
        <v>0.1</v>
      </c>
      <c r="K308">
        <v>0.18179999999999999</v>
      </c>
      <c r="L308">
        <v>0.54</v>
      </c>
      <c r="M308">
        <v>0</v>
      </c>
      <c r="N308">
        <v>0</v>
      </c>
      <c r="O308">
        <v>17</v>
      </c>
      <c r="P308">
        <v>17</v>
      </c>
    </row>
    <row r="309" spans="1:16" x14ac:dyDescent="0.35">
      <c r="A309">
        <v>308</v>
      </c>
      <c r="B309" t="b">
        <v>0</v>
      </c>
      <c r="C309" s="18">
        <v>40557</v>
      </c>
      <c r="D309">
        <v>1</v>
      </c>
      <c r="E309">
        <v>0</v>
      </c>
      <c r="F309">
        <v>1</v>
      </c>
      <c r="G309">
        <v>7</v>
      </c>
      <c r="H309">
        <v>5</v>
      </c>
      <c r="I309">
        <v>1</v>
      </c>
      <c r="J309">
        <v>0.1</v>
      </c>
      <c r="K309">
        <v>0.1212</v>
      </c>
      <c r="L309">
        <v>0.74</v>
      </c>
      <c r="M309">
        <v>0.16420000000000001</v>
      </c>
      <c r="N309">
        <v>0</v>
      </c>
      <c r="O309">
        <v>70</v>
      </c>
      <c r="P309">
        <v>70</v>
      </c>
    </row>
    <row r="310" spans="1:16" x14ac:dyDescent="0.35">
      <c r="A310">
        <v>309</v>
      </c>
      <c r="B310" t="b">
        <v>0</v>
      </c>
      <c r="C310" s="18">
        <v>40557</v>
      </c>
      <c r="D310">
        <v>1</v>
      </c>
      <c r="E310">
        <v>0</v>
      </c>
      <c r="F310">
        <v>1</v>
      </c>
      <c r="G310">
        <v>8</v>
      </c>
      <c r="H310">
        <v>5</v>
      </c>
      <c r="I310">
        <v>1</v>
      </c>
      <c r="J310">
        <v>0.12</v>
      </c>
      <c r="K310">
        <v>0.16669999999999999</v>
      </c>
      <c r="L310">
        <v>0.68</v>
      </c>
      <c r="M310">
        <v>0</v>
      </c>
      <c r="N310">
        <v>2</v>
      </c>
      <c r="O310">
        <v>156</v>
      </c>
      <c r="P310">
        <v>158</v>
      </c>
    </row>
    <row r="311" spans="1:16" x14ac:dyDescent="0.35">
      <c r="A311">
        <v>310</v>
      </c>
      <c r="B311" t="b">
        <v>0</v>
      </c>
      <c r="C311" s="18">
        <v>40557</v>
      </c>
      <c r="D311">
        <v>1</v>
      </c>
      <c r="E311">
        <v>0</v>
      </c>
      <c r="F311">
        <v>1</v>
      </c>
      <c r="G311">
        <v>9</v>
      </c>
      <c r="H311">
        <v>5</v>
      </c>
      <c r="I311">
        <v>1</v>
      </c>
      <c r="J311">
        <v>0.14000000000000001</v>
      </c>
      <c r="K311">
        <v>0.1515</v>
      </c>
      <c r="L311">
        <v>0.69</v>
      </c>
      <c r="M311">
        <v>0.1343</v>
      </c>
      <c r="N311">
        <v>0</v>
      </c>
      <c r="O311">
        <v>117</v>
      </c>
      <c r="P311">
        <v>117</v>
      </c>
    </row>
    <row r="312" spans="1:16" x14ac:dyDescent="0.35">
      <c r="A312">
        <v>311</v>
      </c>
      <c r="B312" t="b">
        <v>0</v>
      </c>
      <c r="C312" s="18">
        <v>40557</v>
      </c>
      <c r="D312">
        <v>1</v>
      </c>
      <c r="E312">
        <v>0</v>
      </c>
      <c r="F312">
        <v>1</v>
      </c>
      <c r="G312">
        <v>10</v>
      </c>
      <c r="H312">
        <v>5</v>
      </c>
      <c r="I312">
        <v>1</v>
      </c>
      <c r="J312">
        <v>0.18</v>
      </c>
      <c r="K312">
        <v>0.18179999999999999</v>
      </c>
      <c r="L312">
        <v>0.55000000000000004</v>
      </c>
      <c r="M312">
        <v>0.19400000000000001</v>
      </c>
      <c r="N312">
        <v>4</v>
      </c>
      <c r="O312">
        <v>40</v>
      </c>
      <c r="P312">
        <v>44</v>
      </c>
    </row>
    <row r="313" spans="1:16" x14ac:dyDescent="0.35">
      <c r="A313">
        <v>312</v>
      </c>
      <c r="B313" t="b">
        <v>0</v>
      </c>
      <c r="C313" s="18">
        <v>40557</v>
      </c>
      <c r="D313">
        <v>1</v>
      </c>
      <c r="E313">
        <v>0</v>
      </c>
      <c r="F313">
        <v>1</v>
      </c>
      <c r="G313">
        <v>11</v>
      </c>
      <c r="H313">
        <v>5</v>
      </c>
      <c r="I313">
        <v>1</v>
      </c>
      <c r="J313">
        <v>0.18</v>
      </c>
      <c r="K313">
        <v>0.16669999999999999</v>
      </c>
      <c r="L313">
        <v>0.51</v>
      </c>
      <c r="M313">
        <v>0.28360000000000002</v>
      </c>
      <c r="N313">
        <v>6</v>
      </c>
      <c r="O313">
        <v>47</v>
      </c>
      <c r="P313">
        <v>53</v>
      </c>
    </row>
    <row r="314" spans="1:16" x14ac:dyDescent="0.35">
      <c r="A314">
        <v>313</v>
      </c>
      <c r="B314" t="b">
        <v>0</v>
      </c>
      <c r="C314" s="18">
        <v>40557</v>
      </c>
      <c r="D314">
        <v>1</v>
      </c>
      <c r="E314">
        <v>0</v>
      </c>
      <c r="F314">
        <v>1</v>
      </c>
      <c r="G314">
        <v>12</v>
      </c>
      <c r="H314">
        <v>5</v>
      </c>
      <c r="I314">
        <v>1</v>
      </c>
      <c r="J314">
        <v>0.2</v>
      </c>
      <c r="K314">
        <v>0.19700000000000001</v>
      </c>
      <c r="L314">
        <v>0.44</v>
      </c>
      <c r="M314">
        <v>0.25369999999999998</v>
      </c>
      <c r="N314">
        <v>2</v>
      </c>
      <c r="O314">
        <v>59</v>
      </c>
      <c r="P314">
        <v>61</v>
      </c>
    </row>
    <row r="315" spans="1:16" x14ac:dyDescent="0.35">
      <c r="A315">
        <v>314</v>
      </c>
      <c r="B315" t="b">
        <v>0</v>
      </c>
      <c r="C315" s="18">
        <v>40557</v>
      </c>
      <c r="D315">
        <v>1</v>
      </c>
      <c r="E315">
        <v>0</v>
      </c>
      <c r="F315">
        <v>1</v>
      </c>
      <c r="G315">
        <v>13</v>
      </c>
      <c r="H315">
        <v>5</v>
      </c>
      <c r="I315">
        <v>1</v>
      </c>
      <c r="J315">
        <v>0.22</v>
      </c>
      <c r="K315">
        <v>0.19700000000000001</v>
      </c>
      <c r="L315">
        <v>0.37</v>
      </c>
      <c r="M315">
        <v>0.3881</v>
      </c>
      <c r="N315">
        <v>4</v>
      </c>
      <c r="O315">
        <v>73</v>
      </c>
      <c r="P315">
        <v>77</v>
      </c>
    </row>
    <row r="316" spans="1:16" x14ac:dyDescent="0.35">
      <c r="A316">
        <v>315</v>
      </c>
      <c r="B316" t="b">
        <v>0</v>
      </c>
      <c r="C316" s="18">
        <v>40557</v>
      </c>
      <c r="D316">
        <v>1</v>
      </c>
      <c r="E316">
        <v>0</v>
      </c>
      <c r="F316">
        <v>1</v>
      </c>
      <c r="G316">
        <v>14</v>
      </c>
      <c r="H316">
        <v>5</v>
      </c>
      <c r="I316">
        <v>1</v>
      </c>
      <c r="J316">
        <v>0.22</v>
      </c>
      <c r="K316">
        <v>0.21210000000000001</v>
      </c>
      <c r="L316">
        <v>0.41</v>
      </c>
      <c r="M316">
        <v>0.28360000000000002</v>
      </c>
      <c r="N316">
        <v>5</v>
      </c>
      <c r="O316">
        <v>59</v>
      </c>
      <c r="P316">
        <v>64</v>
      </c>
    </row>
    <row r="317" spans="1:16" x14ac:dyDescent="0.35">
      <c r="A317">
        <v>316</v>
      </c>
      <c r="B317" t="b">
        <v>0</v>
      </c>
      <c r="C317" s="18">
        <v>40557</v>
      </c>
      <c r="D317">
        <v>1</v>
      </c>
      <c r="E317">
        <v>0</v>
      </c>
      <c r="F317">
        <v>1</v>
      </c>
      <c r="G317">
        <v>15</v>
      </c>
      <c r="H317">
        <v>5</v>
      </c>
      <c r="I317">
        <v>1</v>
      </c>
      <c r="J317">
        <v>0.24</v>
      </c>
      <c r="K317">
        <v>0.2424</v>
      </c>
      <c r="L317">
        <v>0.38</v>
      </c>
      <c r="M317">
        <v>0.16420000000000001</v>
      </c>
      <c r="N317">
        <v>9</v>
      </c>
      <c r="O317">
        <v>59</v>
      </c>
      <c r="P317">
        <v>68</v>
      </c>
    </row>
    <row r="318" spans="1:16" x14ac:dyDescent="0.35">
      <c r="A318">
        <v>317</v>
      </c>
      <c r="B318" t="b">
        <v>0</v>
      </c>
      <c r="C318" s="18">
        <v>40557</v>
      </c>
      <c r="D318">
        <v>1</v>
      </c>
      <c r="E318">
        <v>0</v>
      </c>
      <c r="F318">
        <v>1</v>
      </c>
      <c r="G318">
        <v>16</v>
      </c>
      <c r="H318">
        <v>5</v>
      </c>
      <c r="I318">
        <v>1</v>
      </c>
      <c r="J318">
        <v>0.22</v>
      </c>
      <c r="K318">
        <v>0.2424</v>
      </c>
      <c r="L318">
        <v>0.41</v>
      </c>
      <c r="M318">
        <v>0.1045</v>
      </c>
      <c r="N318">
        <v>3</v>
      </c>
      <c r="O318">
        <v>87</v>
      </c>
      <c r="P318">
        <v>90</v>
      </c>
    </row>
    <row r="319" spans="1:16" x14ac:dyDescent="0.35">
      <c r="A319">
        <v>318</v>
      </c>
      <c r="B319" t="b">
        <v>0</v>
      </c>
      <c r="C319" s="18">
        <v>40557</v>
      </c>
      <c r="D319">
        <v>1</v>
      </c>
      <c r="E319">
        <v>0</v>
      </c>
      <c r="F319">
        <v>1</v>
      </c>
      <c r="G319">
        <v>17</v>
      </c>
      <c r="H319">
        <v>5</v>
      </c>
      <c r="I319">
        <v>1</v>
      </c>
      <c r="J319">
        <v>0.22</v>
      </c>
      <c r="K319">
        <v>0.2273</v>
      </c>
      <c r="L319">
        <v>0.41</v>
      </c>
      <c r="M319">
        <v>0.16420000000000001</v>
      </c>
      <c r="N319">
        <v>4</v>
      </c>
      <c r="O319">
        <v>155</v>
      </c>
      <c r="P319">
        <v>159</v>
      </c>
    </row>
    <row r="320" spans="1:16" x14ac:dyDescent="0.35">
      <c r="A320">
        <v>319</v>
      </c>
      <c r="B320" t="b">
        <v>0</v>
      </c>
      <c r="C320" s="18">
        <v>40557</v>
      </c>
      <c r="D320">
        <v>1</v>
      </c>
      <c r="E320">
        <v>0</v>
      </c>
      <c r="F320">
        <v>1</v>
      </c>
      <c r="G320">
        <v>18</v>
      </c>
      <c r="H320">
        <v>5</v>
      </c>
      <c r="I320">
        <v>1</v>
      </c>
      <c r="J320">
        <v>0.2</v>
      </c>
      <c r="K320">
        <v>0.2576</v>
      </c>
      <c r="L320">
        <v>0.47</v>
      </c>
      <c r="M320">
        <v>0</v>
      </c>
      <c r="N320">
        <v>5</v>
      </c>
      <c r="O320">
        <v>134</v>
      </c>
      <c r="P320">
        <v>139</v>
      </c>
    </row>
    <row r="321" spans="1:16" x14ac:dyDescent="0.35">
      <c r="A321">
        <v>320</v>
      </c>
      <c r="B321" t="b">
        <v>0</v>
      </c>
      <c r="C321" s="18">
        <v>40557</v>
      </c>
      <c r="D321">
        <v>1</v>
      </c>
      <c r="E321">
        <v>0</v>
      </c>
      <c r="F321">
        <v>1</v>
      </c>
      <c r="G321">
        <v>19</v>
      </c>
      <c r="H321">
        <v>5</v>
      </c>
      <c r="I321">
        <v>1</v>
      </c>
      <c r="J321">
        <v>0.16</v>
      </c>
      <c r="K321">
        <v>0.19700000000000001</v>
      </c>
      <c r="L321">
        <v>0.59</v>
      </c>
      <c r="M321">
        <v>8.9599999999999999E-2</v>
      </c>
      <c r="N321">
        <v>3</v>
      </c>
      <c r="O321">
        <v>89</v>
      </c>
      <c r="P321">
        <v>92</v>
      </c>
    </row>
    <row r="322" spans="1:16" x14ac:dyDescent="0.35">
      <c r="A322">
        <v>321</v>
      </c>
      <c r="B322" t="b">
        <v>0</v>
      </c>
      <c r="C322" s="18">
        <v>40557</v>
      </c>
      <c r="D322">
        <v>1</v>
      </c>
      <c r="E322">
        <v>0</v>
      </c>
      <c r="F322">
        <v>1</v>
      </c>
      <c r="G322">
        <v>20</v>
      </c>
      <c r="H322">
        <v>5</v>
      </c>
      <c r="I322">
        <v>1</v>
      </c>
      <c r="J322">
        <v>0.18</v>
      </c>
      <c r="K322">
        <v>0.2424</v>
      </c>
      <c r="L322">
        <v>0.59</v>
      </c>
      <c r="M322">
        <v>0</v>
      </c>
      <c r="N322">
        <v>0</v>
      </c>
      <c r="O322">
        <v>68</v>
      </c>
      <c r="P322">
        <v>68</v>
      </c>
    </row>
    <row r="323" spans="1:16" x14ac:dyDescent="0.35">
      <c r="A323">
        <v>322</v>
      </c>
      <c r="B323" t="b">
        <v>0</v>
      </c>
      <c r="C323" s="18">
        <v>40557</v>
      </c>
      <c r="D323">
        <v>1</v>
      </c>
      <c r="E323">
        <v>0</v>
      </c>
      <c r="F323">
        <v>1</v>
      </c>
      <c r="G323">
        <v>21</v>
      </c>
      <c r="H323">
        <v>5</v>
      </c>
      <c r="I323">
        <v>1</v>
      </c>
      <c r="J323">
        <v>0.16</v>
      </c>
      <c r="K323">
        <v>0.2273</v>
      </c>
      <c r="L323">
        <v>0.69</v>
      </c>
      <c r="M323">
        <v>0</v>
      </c>
      <c r="N323">
        <v>4</v>
      </c>
      <c r="O323">
        <v>48</v>
      </c>
      <c r="P323">
        <v>52</v>
      </c>
    </row>
    <row r="324" spans="1:16" x14ac:dyDescent="0.35">
      <c r="A324">
        <v>323</v>
      </c>
      <c r="B324" t="b">
        <v>0</v>
      </c>
      <c r="C324" s="18">
        <v>40557</v>
      </c>
      <c r="D324">
        <v>1</v>
      </c>
      <c r="E324">
        <v>0</v>
      </c>
      <c r="F324">
        <v>1</v>
      </c>
      <c r="G324">
        <v>22</v>
      </c>
      <c r="H324">
        <v>5</v>
      </c>
      <c r="I324">
        <v>2</v>
      </c>
      <c r="J324">
        <v>0.16</v>
      </c>
      <c r="K324">
        <v>0.2273</v>
      </c>
      <c r="L324">
        <v>0.69</v>
      </c>
      <c r="M324">
        <v>0</v>
      </c>
      <c r="N324">
        <v>2</v>
      </c>
      <c r="O324">
        <v>34</v>
      </c>
      <c r="P324">
        <v>36</v>
      </c>
    </row>
    <row r="325" spans="1:16" x14ac:dyDescent="0.35">
      <c r="A325">
        <v>324</v>
      </c>
      <c r="B325" t="b">
        <v>0</v>
      </c>
      <c r="C325" s="18">
        <v>40557</v>
      </c>
      <c r="D325">
        <v>1</v>
      </c>
      <c r="E325">
        <v>0</v>
      </c>
      <c r="F325">
        <v>1</v>
      </c>
      <c r="G325">
        <v>23</v>
      </c>
      <c r="H325">
        <v>5</v>
      </c>
      <c r="I325">
        <v>2</v>
      </c>
      <c r="J325">
        <v>0.18</v>
      </c>
      <c r="K325">
        <v>0.2424</v>
      </c>
      <c r="L325">
        <v>0.55000000000000004</v>
      </c>
      <c r="M325">
        <v>0</v>
      </c>
      <c r="N325">
        <v>1</v>
      </c>
      <c r="O325">
        <v>26</v>
      </c>
      <c r="P325">
        <v>27</v>
      </c>
    </row>
    <row r="326" spans="1:16" x14ac:dyDescent="0.35">
      <c r="A326">
        <v>325</v>
      </c>
      <c r="B326" t="b">
        <v>0</v>
      </c>
      <c r="C326" s="18">
        <v>40558</v>
      </c>
      <c r="D326">
        <v>1</v>
      </c>
      <c r="E326">
        <v>0</v>
      </c>
      <c r="F326">
        <v>1</v>
      </c>
      <c r="G326">
        <v>0</v>
      </c>
      <c r="H326">
        <v>6</v>
      </c>
      <c r="I326">
        <v>1</v>
      </c>
      <c r="J326">
        <v>0.18</v>
      </c>
      <c r="K326">
        <v>0.2424</v>
      </c>
      <c r="L326">
        <v>0.55000000000000004</v>
      </c>
      <c r="M326">
        <v>0</v>
      </c>
      <c r="N326">
        <v>3</v>
      </c>
      <c r="O326">
        <v>25</v>
      </c>
      <c r="P326">
        <v>28</v>
      </c>
    </row>
    <row r="327" spans="1:16" x14ac:dyDescent="0.35">
      <c r="A327">
        <v>326</v>
      </c>
      <c r="B327" t="b">
        <v>0</v>
      </c>
      <c r="C327" s="18">
        <v>40558</v>
      </c>
      <c r="D327">
        <v>1</v>
      </c>
      <c r="E327">
        <v>0</v>
      </c>
      <c r="F327">
        <v>1</v>
      </c>
      <c r="G327">
        <v>1</v>
      </c>
      <c r="H327">
        <v>6</v>
      </c>
      <c r="I327">
        <v>2</v>
      </c>
      <c r="J327">
        <v>0.16</v>
      </c>
      <c r="K327">
        <v>0.19700000000000001</v>
      </c>
      <c r="L327">
        <v>0.59</v>
      </c>
      <c r="M327">
        <v>8.9599999999999999E-2</v>
      </c>
      <c r="N327">
        <v>2</v>
      </c>
      <c r="O327">
        <v>18</v>
      </c>
      <c r="P327">
        <v>20</v>
      </c>
    </row>
    <row r="328" spans="1:16" x14ac:dyDescent="0.35">
      <c r="A328">
        <v>327</v>
      </c>
      <c r="B328" t="b">
        <v>0</v>
      </c>
      <c r="C328" s="18">
        <v>40558</v>
      </c>
      <c r="D328">
        <v>1</v>
      </c>
      <c r="E328">
        <v>0</v>
      </c>
      <c r="F328">
        <v>1</v>
      </c>
      <c r="G328">
        <v>2</v>
      </c>
      <c r="H328">
        <v>6</v>
      </c>
      <c r="I328">
        <v>2</v>
      </c>
      <c r="J328">
        <v>0.16</v>
      </c>
      <c r="K328">
        <v>0.19700000000000001</v>
      </c>
      <c r="L328">
        <v>0.59</v>
      </c>
      <c r="M328">
        <v>8.9599999999999999E-2</v>
      </c>
      <c r="N328">
        <v>0</v>
      </c>
      <c r="O328">
        <v>12</v>
      </c>
      <c r="P328">
        <v>12</v>
      </c>
    </row>
    <row r="329" spans="1:16" x14ac:dyDescent="0.35">
      <c r="A329">
        <v>328</v>
      </c>
      <c r="B329" t="b">
        <v>0</v>
      </c>
      <c r="C329" s="18">
        <v>40558</v>
      </c>
      <c r="D329">
        <v>1</v>
      </c>
      <c r="E329">
        <v>0</v>
      </c>
      <c r="F329">
        <v>1</v>
      </c>
      <c r="G329">
        <v>3</v>
      </c>
      <c r="H329">
        <v>6</v>
      </c>
      <c r="I329">
        <v>2</v>
      </c>
      <c r="J329">
        <v>0.16</v>
      </c>
      <c r="K329">
        <v>0.2273</v>
      </c>
      <c r="L329">
        <v>0.59</v>
      </c>
      <c r="M329">
        <v>0</v>
      </c>
      <c r="N329">
        <v>1</v>
      </c>
      <c r="O329">
        <v>7</v>
      </c>
      <c r="P329">
        <v>8</v>
      </c>
    </row>
    <row r="330" spans="1:16" x14ac:dyDescent="0.35">
      <c r="A330">
        <v>329</v>
      </c>
      <c r="B330" t="b">
        <v>0</v>
      </c>
      <c r="C330" s="18">
        <v>40558</v>
      </c>
      <c r="D330">
        <v>1</v>
      </c>
      <c r="E330">
        <v>0</v>
      </c>
      <c r="F330">
        <v>1</v>
      </c>
      <c r="G330">
        <v>4</v>
      </c>
      <c r="H330">
        <v>6</v>
      </c>
      <c r="I330">
        <v>2</v>
      </c>
      <c r="J330">
        <v>0.16</v>
      </c>
      <c r="K330">
        <v>0.2273</v>
      </c>
      <c r="L330">
        <v>0.59</v>
      </c>
      <c r="M330">
        <v>0</v>
      </c>
      <c r="N330">
        <v>0</v>
      </c>
      <c r="O330">
        <v>5</v>
      </c>
      <c r="P330">
        <v>5</v>
      </c>
    </row>
    <row r="331" spans="1:16" x14ac:dyDescent="0.35">
      <c r="A331">
        <v>330</v>
      </c>
      <c r="B331" t="b">
        <v>0</v>
      </c>
      <c r="C331" s="18">
        <v>40558</v>
      </c>
      <c r="D331">
        <v>1</v>
      </c>
      <c r="E331">
        <v>0</v>
      </c>
      <c r="F331">
        <v>1</v>
      </c>
      <c r="G331">
        <v>5</v>
      </c>
      <c r="H331">
        <v>6</v>
      </c>
      <c r="I331">
        <v>1</v>
      </c>
      <c r="J331">
        <v>0.16</v>
      </c>
      <c r="K331">
        <v>0.2273</v>
      </c>
      <c r="L331">
        <v>0.59</v>
      </c>
      <c r="M331">
        <v>0</v>
      </c>
      <c r="N331">
        <v>0</v>
      </c>
      <c r="O331">
        <v>1</v>
      </c>
      <c r="P331">
        <v>1</v>
      </c>
    </row>
    <row r="332" spans="1:16" x14ac:dyDescent="0.35">
      <c r="A332">
        <v>331</v>
      </c>
      <c r="B332" t="b">
        <v>0</v>
      </c>
      <c r="C332" s="18">
        <v>40558</v>
      </c>
      <c r="D332">
        <v>1</v>
      </c>
      <c r="E332">
        <v>0</v>
      </c>
      <c r="F332">
        <v>1</v>
      </c>
      <c r="G332">
        <v>6</v>
      </c>
      <c r="H332">
        <v>6</v>
      </c>
      <c r="I332">
        <v>1</v>
      </c>
      <c r="J332">
        <v>0.14000000000000001</v>
      </c>
      <c r="K332">
        <v>0.16669999999999999</v>
      </c>
      <c r="L332">
        <v>0.63</v>
      </c>
      <c r="M332">
        <v>0.1045</v>
      </c>
      <c r="N332">
        <v>1</v>
      </c>
      <c r="O332">
        <v>2</v>
      </c>
      <c r="P332">
        <v>3</v>
      </c>
    </row>
    <row r="333" spans="1:16" x14ac:dyDescent="0.35">
      <c r="A333">
        <v>332</v>
      </c>
      <c r="B333" t="b">
        <v>0</v>
      </c>
      <c r="C333" s="18">
        <v>40558</v>
      </c>
      <c r="D333">
        <v>1</v>
      </c>
      <c r="E333">
        <v>0</v>
      </c>
      <c r="F333">
        <v>1</v>
      </c>
      <c r="G333">
        <v>7</v>
      </c>
      <c r="H333">
        <v>6</v>
      </c>
      <c r="I333">
        <v>1</v>
      </c>
      <c r="J333">
        <v>0.14000000000000001</v>
      </c>
      <c r="K333">
        <v>0.21210000000000001</v>
      </c>
      <c r="L333">
        <v>0.63</v>
      </c>
      <c r="M333">
        <v>0</v>
      </c>
      <c r="N333">
        <v>1</v>
      </c>
      <c r="O333">
        <v>9</v>
      </c>
      <c r="P333">
        <v>10</v>
      </c>
    </row>
    <row r="334" spans="1:16" x14ac:dyDescent="0.35">
      <c r="A334">
        <v>333</v>
      </c>
      <c r="B334" t="b">
        <v>0</v>
      </c>
      <c r="C334" s="18">
        <v>40558</v>
      </c>
      <c r="D334">
        <v>1</v>
      </c>
      <c r="E334">
        <v>0</v>
      </c>
      <c r="F334">
        <v>1</v>
      </c>
      <c r="G334">
        <v>8</v>
      </c>
      <c r="H334">
        <v>6</v>
      </c>
      <c r="I334">
        <v>1</v>
      </c>
      <c r="J334">
        <v>0.14000000000000001</v>
      </c>
      <c r="K334">
        <v>0.1515</v>
      </c>
      <c r="L334">
        <v>0.63</v>
      </c>
      <c r="M334">
        <v>0.1343</v>
      </c>
      <c r="N334">
        <v>1</v>
      </c>
      <c r="O334">
        <v>22</v>
      </c>
      <c r="P334">
        <v>23</v>
      </c>
    </row>
    <row r="335" spans="1:16" x14ac:dyDescent="0.35">
      <c r="A335">
        <v>334</v>
      </c>
      <c r="B335" t="b">
        <v>0</v>
      </c>
      <c r="C335" s="18">
        <v>40558</v>
      </c>
      <c r="D335">
        <v>1</v>
      </c>
      <c r="E335">
        <v>0</v>
      </c>
      <c r="F335">
        <v>1</v>
      </c>
      <c r="G335">
        <v>9</v>
      </c>
      <c r="H335">
        <v>6</v>
      </c>
      <c r="I335">
        <v>1</v>
      </c>
      <c r="J335">
        <v>0.16</v>
      </c>
      <c r="K335">
        <v>0.18179999999999999</v>
      </c>
      <c r="L335">
        <v>0.64</v>
      </c>
      <c r="M335">
        <v>0.1343</v>
      </c>
      <c r="N335">
        <v>2</v>
      </c>
      <c r="O335">
        <v>31</v>
      </c>
      <c r="P335">
        <v>33</v>
      </c>
    </row>
    <row r="336" spans="1:16" x14ac:dyDescent="0.35">
      <c r="A336">
        <v>335</v>
      </c>
      <c r="B336" t="b">
        <v>0</v>
      </c>
      <c r="C336" s="18">
        <v>40558</v>
      </c>
      <c r="D336">
        <v>1</v>
      </c>
      <c r="E336">
        <v>0</v>
      </c>
      <c r="F336">
        <v>1</v>
      </c>
      <c r="G336">
        <v>10</v>
      </c>
      <c r="H336">
        <v>6</v>
      </c>
      <c r="I336">
        <v>1</v>
      </c>
      <c r="J336">
        <v>0.18</v>
      </c>
      <c r="K336">
        <v>0.19700000000000001</v>
      </c>
      <c r="L336">
        <v>0.59</v>
      </c>
      <c r="M336">
        <v>0.16420000000000001</v>
      </c>
      <c r="N336">
        <v>2</v>
      </c>
      <c r="O336">
        <v>57</v>
      </c>
      <c r="P336">
        <v>59</v>
      </c>
    </row>
    <row r="337" spans="1:16" x14ac:dyDescent="0.35">
      <c r="A337">
        <v>336</v>
      </c>
      <c r="B337" t="b">
        <v>0</v>
      </c>
      <c r="C337" s="18">
        <v>40558</v>
      </c>
      <c r="D337">
        <v>1</v>
      </c>
      <c r="E337">
        <v>0</v>
      </c>
      <c r="F337">
        <v>1</v>
      </c>
      <c r="G337">
        <v>11</v>
      </c>
      <c r="H337">
        <v>6</v>
      </c>
      <c r="I337">
        <v>1</v>
      </c>
      <c r="J337">
        <v>0.2</v>
      </c>
      <c r="K337">
        <v>0.19700000000000001</v>
      </c>
      <c r="L337">
        <v>0.55000000000000004</v>
      </c>
      <c r="M337">
        <v>0.22389999999999999</v>
      </c>
      <c r="N337">
        <v>18</v>
      </c>
      <c r="O337">
        <v>54</v>
      </c>
      <c r="P337">
        <v>72</v>
      </c>
    </row>
    <row r="338" spans="1:16" x14ac:dyDescent="0.35">
      <c r="A338">
        <v>337</v>
      </c>
      <c r="B338" t="b">
        <v>0</v>
      </c>
      <c r="C338" s="18">
        <v>40558</v>
      </c>
      <c r="D338">
        <v>1</v>
      </c>
      <c r="E338">
        <v>0</v>
      </c>
      <c r="F338">
        <v>1</v>
      </c>
      <c r="G338">
        <v>12</v>
      </c>
      <c r="H338">
        <v>6</v>
      </c>
      <c r="I338">
        <v>1</v>
      </c>
      <c r="J338">
        <v>0.24</v>
      </c>
      <c r="K338">
        <v>0.2273</v>
      </c>
      <c r="L338">
        <v>0.48</v>
      </c>
      <c r="M338">
        <v>0.22389999999999999</v>
      </c>
      <c r="N338">
        <v>15</v>
      </c>
      <c r="O338">
        <v>74</v>
      </c>
      <c r="P338">
        <v>89</v>
      </c>
    </row>
    <row r="339" spans="1:16" x14ac:dyDescent="0.35">
      <c r="A339">
        <v>338</v>
      </c>
      <c r="B339" t="b">
        <v>0</v>
      </c>
      <c r="C339" s="18">
        <v>40558</v>
      </c>
      <c r="D339">
        <v>1</v>
      </c>
      <c r="E339">
        <v>0</v>
      </c>
      <c r="F339">
        <v>1</v>
      </c>
      <c r="G339">
        <v>13</v>
      </c>
      <c r="H339">
        <v>6</v>
      </c>
      <c r="I339">
        <v>1</v>
      </c>
      <c r="J339">
        <v>0.28000000000000003</v>
      </c>
      <c r="K339">
        <v>0.2576</v>
      </c>
      <c r="L339">
        <v>0.38</v>
      </c>
      <c r="M339">
        <v>0.29849999999999999</v>
      </c>
      <c r="N339">
        <v>21</v>
      </c>
      <c r="O339">
        <v>80</v>
      </c>
      <c r="P339">
        <v>101</v>
      </c>
    </row>
    <row r="340" spans="1:16" x14ac:dyDescent="0.35">
      <c r="A340">
        <v>339</v>
      </c>
      <c r="B340" t="b">
        <v>0</v>
      </c>
      <c r="C340" s="18">
        <v>40558</v>
      </c>
      <c r="D340">
        <v>1</v>
      </c>
      <c r="E340">
        <v>0</v>
      </c>
      <c r="F340">
        <v>1</v>
      </c>
      <c r="G340">
        <v>14</v>
      </c>
      <c r="H340">
        <v>6</v>
      </c>
      <c r="I340">
        <v>1</v>
      </c>
      <c r="J340">
        <v>0.3</v>
      </c>
      <c r="K340">
        <v>0.28789999999999999</v>
      </c>
      <c r="L340">
        <v>0.39</v>
      </c>
      <c r="M340">
        <v>0.28360000000000002</v>
      </c>
      <c r="N340">
        <v>26</v>
      </c>
      <c r="O340">
        <v>92</v>
      </c>
      <c r="P340">
        <v>118</v>
      </c>
    </row>
    <row r="341" spans="1:16" x14ac:dyDescent="0.35">
      <c r="A341">
        <v>340</v>
      </c>
      <c r="B341" t="b">
        <v>0</v>
      </c>
      <c r="C341" s="18">
        <v>40558</v>
      </c>
      <c r="D341">
        <v>1</v>
      </c>
      <c r="E341">
        <v>0</v>
      </c>
      <c r="F341">
        <v>1</v>
      </c>
      <c r="G341">
        <v>15</v>
      </c>
      <c r="H341">
        <v>6</v>
      </c>
      <c r="I341">
        <v>2</v>
      </c>
      <c r="J341">
        <v>0.32</v>
      </c>
      <c r="K341">
        <v>0.31819999999999998</v>
      </c>
      <c r="L341">
        <v>0.36</v>
      </c>
      <c r="M341">
        <v>0.19400000000000001</v>
      </c>
      <c r="N341">
        <v>21</v>
      </c>
      <c r="O341">
        <v>108</v>
      </c>
      <c r="P341">
        <v>129</v>
      </c>
    </row>
    <row r="342" spans="1:16" x14ac:dyDescent="0.35">
      <c r="A342">
        <v>341</v>
      </c>
      <c r="B342" t="b">
        <v>0</v>
      </c>
      <c r="C342" s="18">
        <v>40558</v>
      </c>
      <c r="D342">
        <v>1</v>
      </c>
      <c r="E342">
        <v>0</v>
      </c>
      <c r="F342">
        <v>1</v>
      </c>
      <c r="G342">
        <v>16</v>
      </c>
      <c r="H342">
        <v>6</v>
      </c>
      <c r="I342">
        <v>2</v>
      </c>
      <c r="J342">
        <v>0.34</v>
      </c>
      <c r="K342">
        <v>0.33329999999999999</v>
      </c>
      <c r="L342">
        <v>0.34</v>
      </c>
      <c r="M342">
        <v>0.19400000000000001</v>
      </c>
      <c r="N342">
        <v>33</v>
      </c>
      <c r="O342">
        <v>95</v>
      </c>
      <c r="P342">
        <v>128</v>
      </c>
    </row>
    <row r="343" spans="1:16" x14ac:dyDescent="0.35">
      <c r="A343">
        <v>342</v>
      </c>
      <c r="B343" t="b">
        <v>0</v>
      </c>
      <c r="C343" s="18">
        <v>40558</v>
      </c>
      <c r="D343">
        <v>1</v>
      </c>
      <c r="E343">
        <v>0</v>
      </c>
      <c r="F343">
        <v>1</v>
      </c>
      <c r="G343">
        <v>17</v>
      </c>
      <c r="H343">
        <v>6</v>
      </c>
      <c r="I343">
        <v>2</v>
      </c>
      <c r="J343">
        <v>0.32</v>
      </c>
      <c r="K343">
        <v>0.30299999999999999</v>
      </c>
      <c r="L343">
        <v>0.36</v>
      </c>
      <c r="M343">
        <v>0.28360000000000002</v>
      </c>
      <c r="N343">
        <v>29</v>
      </c>
      <c r="O343">
        <v>54</v>
      </c>
      <c r="P343">
        <v>83</v>
      </c>
    </row>
    <row r="344" spans="1:16" x14ac:dyDescent="0.35">
      <c r="A344">
        <v>343</v>
      </c>
      <c r="B344" t="b">
        <v>0</v>
      </c>
      <c r="C344" s="18">
        <v>40558</v>
      </c>
      <c r="D344">
        <v>1</v>
      </c>
      <c r="E344">
        <v>0</v>
      </c>
      <c r="F344">
        <v>1</v>
      </c>
      <c r="G344">
        <v>18</v>
      </c>
      <c r="H344">
        <v>6</v>
      </c>
      <c r="I344">
        <v>2</v>
      </c>
      <c r="J344">
        <v>0.3</v>
      </c>
      <c r="K344">
        <v>0.28789999999999999</v>
      </c>
      <c r="L344">
        <v>0.45</v>
      </c>
      <c r="M344">
        <v>0.25369999999999998</v>
      </c>
      <c r="N344">
        <v>15</v>
      </c>
      <c r="O344">
        <v>69</v>
      </c>
      <c r="P344">
        <v>84</v>
      </c>
    </row>
    <row r="345" spans="1:16" x14ac:dyDescent="0.35">
      <c r="A345">
        <v>344</v>
      </c>
      <c r="B345" t="b">
        <v>0</v>
      </c>
      <c r="C345" s="18">
        <v>40558</v>
      </c>
      <c r="D345">
        <v>1</v>
      </c>
      <c r="E345">
        <v>0</v>
      </c>
      <c r="F345">
        <v>1</v>
      </c>
      <c r="G345">
        <v>19</v>
      </c>
      <c r="H345">
        <v>6</v>
      </c>
      <c r="I345">
        <v>2</v>
      </c>
      <c r="J345">
        <v>0.32</v>
      </c>
      <c r="K345">
        <v>0.30299999999999999</v>
      </c>
      <c r="L345">
        <v>0.39</v>
      </c>
      <c r="M345">
        <v>0.25369999999999998</v>
      </c>
      <c r="N345">
        <v>14</v>
      </c>
      <c r="O345">
        <v>60</v>
      </c>
      <c r="P345">
        <v>74</v>
      </c>
    </row>
    <row r="346" spans="1:16" x14ac:dyDescent="0.35">
      <c r="A346">
        <v>345</v>
      </c>
      <c r="B346" t="b">
        <v>0</v>
      </c>
      <c r="C346" s="18">
        <v>40558</v>
      </c>
      <c r="D346">
        <v>1</v>
      </c>
      <c r="E346">
        <v>0</v>
      </c>
      <c r="F346">
        <v>1</v>
      </c>
      <c r="G346">
        <v>20</v>
      </c>
      <c r="H346">
        <v>6</v>
      </c>
      <c r="I346">
        <v>2</v>
      </c>
      <c r="J346">
        <v>0.32</v>
      </c>
      <c r="K346">
        <v>0.30299999999999999</v>
      </c>
      <c r="L346">
        <v>0.39</v>
      </c>
      <c r="M346">
        <v>0.25369999999999998</v>
      </c>
      <c r="N346">
        <v>6</v>
      </c>
      <c r="O346">
        <v>35</v>
      </c>
      <c r="P346">
        <v>41</v>
      </c>
    </row>
    <row r="347" spans="1:16" x14ac:dyDescent="0.35">
      <c r="A347">
        <v>346</v>
      </c>
      <c r="B347" t="b">
        <v>0</v>
      </c>
      <c r="C347" s="18">
        <v>40558</v>
      </c>
      <c r="D347">
        <v>1</v>
      </c>
      <c r="E347">
        <v>0</v>
      </c>
      <c r="F347">
        <v>1</v>
      </c>
      <c r="G347">
        <v>21</v>
      </c>
      <c r="H347">
        <v>6</v>
      </c>
      <c r="I347">
        <v>2</v>
      </c>
      <c r="J347">
        <v>0.32</v>
      </c>
      <c r="K347">
        <v>0.30299999999999999</v>
      </c>
      <c r="L347">
        <v>0.39</v>
      </c>
      <c r="M347">
        <v>0.22389999999999999</v>
      </c>
      <c r="N347">
        <v>6</v>
      </c>
      <c r="O347">
        <v>51</v>
      </c>
      <c r="P347">
        <v>57</v>
      </c>
    </row>
    <row r="348" spans="1:16" x14ac:dyDescent="0.35">
      <c r="A348">
        <v>347</v>
      </c>
      <c r="B348" t="b">
        <v>0</v>
      </c>
      <c r="C348" s="18">
        <v>40558</v>
      </c>
      <c r="D348">
        <v>1</v>
      </c>
      <c r="E348">
        <v>0</v>
      </c>
      <c r="F348">
        <v>1</v>
      </c>
      <c r="G348">
        <v>22</v>
      </c>
      <c r="H348">
        <v>6</v>
      </c>
      <c r="I348">
        <v>2</v>
      </c>
      <c r="J348">
        <v>0.3</v>
      </c>
      <c r="K348">
        <v>0.31819999999999998</v>
      </c>
      <c r="L348">
        <v>0.42</v>
      </c>
      <c r="M348">
        <v>0.1045</v>
      </c>
      <c r="N348">
        <v>0</v>
      </c>
      <c r="O348">
        <v>26</v>
      </c>
      <c r="P348">
        <v>26</v>
      </c>
    </row>
    <row r="349" spans="1:16" x14ac:dyDescent="0.35">
      <c r="A349">
        <v>348</v>
      </c>
      <c r="B349" t="b">
        <v>0</v>
      </c>
      <c r="C349" s="18">
        <v>40558</v>
      </c>
      <c r="D349">
        <v>1</v>
      </c>
      <c r="E349">
        <v>0</v>
      </c>
      <c r="F349">
        <v>1</v>
      </c>
      <c r="G349">
        <v>23</v>
      </c>
      <c r="H349">
        <v>6</v>
      </c>
      <c r="I349">
        <v>1</v>
      </c>
      <c r="J349">
        <v>0.3</v>
      </c>
      <c r="K349">
        <v>0.28789999999999999</v>
      </c>
      <c r="L349">
        <v>0.45</v>
      </c>
      <c r="M349">
        <v>0.28360000000000002</v>
      </c>
      <c r="N349">
        <v>5</v>
      </c>
      <c r="O349">
        <v>39</v>
      </c>
      <c r="P349">
        <v>44</v>
      </c>
    </row>
    <row r="350" spans="1:16" x14ac:dyDescent="0.35">
      <c r="A350">
        <v>349</v>
      </c>
      <c r="B350" t="b">
        <v>0</v>
      </c>
      <c r="C350" s="18">
        <v>40559</v>
      </c>
      <c r="D350">
        <v>1</v>
      </c>
      <c r="E350">
        <v>0</v>
      </c>
      <c r="F350">
        <v>1</v>
      </c>
      <c r="G350">
        <v>0</v>
      </c>
      <c r="H350">
        <v>0</v>
      </c>
      <c r="I350">
        <v>1</v>
      </c>
      <c r="J350">
        <v>0.26</v>
      </c>
      <c r="K350">
        <v>0.30299999999999999</v>
      </c>
      <c r="L350">
        <v>0.56000000000000005</v>
      </c>
      <c r="M350">
        <v>0</v>
      </c>
      <c r="N350">
        <v>6</v>
      </c>
      <c r="O350">
        <v>33</v>
      </c>
      <c r="P350">
        <v>39</v>
      </c>
    </row>
    <row r="351" spans="1:16" x14ac:dyDescent="0.35">
      <c r="A351">
        <v>350</v>
      </c>
      <c r="B351" t="b">
        <v>0</v>
      </c>
      <c r="C351" s="18">
        <v>40559</v>
      </c>
      <c r="D351">
        <v>1</v>
      </c>
      <c r="E351">
        <v>0</v>
      </c>
      <c r="F351">
        <v>1</v>
      </c>
      <c r="G351">
        <v>1</v>
      </c>
      <c r="H351">
        <v>0</v>
      </c>
      <c r="I351">
        <v>1</v>
      </c>
      <c r="J351">
        <v>0.26</v>
      </c>
      <c r="K351">
        <v>0.2727</v>
      </c>
      <c r="L351">
        <v>0.56000000000000005</v>
      </c>
      <c r="M351">
        <v>0.1343</v>
      </c>
      <c r="N351">
        <v>4</v>
      </c>
      <c r="O351">
        <v>19</v>
      </c>
      <c r="P351">
        <v>23</v>
      </c>
    </row>
    <row r="352" spans="1:16" x14ac:dyDescent="0.35">
      <c r="A352">
        <v>351</v>
      </c>
      <c r="B352" t="b">
        <v>0</v>
      </c>
      <c r="C352" s="18">
        <v>40559</v>
      </c>
      <c r="D352">
        <v>1</v>
      </c>
      <c r="E352">
        <v>0</v>
      </c>
      <c r="F352">
        <v>1</v>
      </c>
      <c r="G352">
        <v>2</v>
      </c>
      <c r="H352">
        <v>0</v>
      </c>
      <c r="I352">
        <v>1</v>
      </c>
      <c r="J352">
        <v>0.26</v>
      </c>
      <c r="K352">
        <v>0.28789999999999999</v>
      </c>
      <c r="L352">
        <v>0.56000000000000005</v>
      </c>
      <c r="M352">
        <v>8.9599999999999999E-2</v>
      </c>
      <c r="N352">
        <v>3</v>
      </c>
      <c r="O352">
        <v>13</v>
      </c>
      <c r="P352">
        <v>16</v>
      </c>
    </row>
    <row r="353" spans="1:16" x14ac:dyDescent="0.35">
      <c r="A353">
        <v>352</v>
      </c>
      <c r="B353" t="b">
        <v>0</v>
      </c>
      <c r="C353" s="18">
        <v>40559</v>
      </c>
      <c r="D353">
        <v>1</v>
      </c>
      <c r="E353">
        <v>0</v>
      </c>
      <c r="F353">
        <v>1</v>
      </c>
      <c r="G353">
        <v>3</v>
      </c>
      <c r="H353">
        <v>0</v>
      </c>
      <c r="I353">
        <v>1</v>
      </c>
      <c r="J353">
        <v>0.22</v>
      </c>
      <c r="K353">
        <v>0.2727</v>
      </c>
      <c r="L353">
        <v>0.69</v>
      </c>
      <c r="M353">
        <v>0</v>
      </c>
      <c r="N353">
        <v>9</v>
      </c>
      <c r="O353">
        <v>6</v>
      </c>
      <c r="P353">
        <v>15</v>
      </c>
    </row>
    <row r="354" spans="1:16" x14ac:dyDescent="0.35">
      <c r="A354">
        <v>353</v>
      </c>
      <c r="B354" t="b">
        <v>0</v>
      </c>
      <c r="C354" s="18">
        <v>40559</v>
      </c>
      <c r="D354">
        <v>1</v>
      </c>
      <c r="E354">
        <v>0</v>
      </c>
      <c r="F354">
        <v>1</v>
      </c>
      <c r="G354">
        <v>4</v>
      </c>
      <c r="H354">
        <v>0</v>
      </c>
      <c r="I354">
        <v>1</v>
      </c>
      <c r="J354">
        <v>0.26</v>
      </c>
      <c r="K354">
        <v>0.2576</v>
      </c>
      <c r="L354">
        <v>0.56000000000000005</v>
      </c>
      <c r="M354">
        <v>0.16420000000000001</v>
      </c>
      <c r="N354">
        <v>0</v>
      </c>
      <c r="O354">
        <v>1</v>
      </c>
      <c r="P354">
        <v>1</v>
      </c>
    </row>
    <row r="355" spans="1:16" x14ac:dyDescent="0.35">
      <c r="A355">
        <v>354</v>
      </c>
      <c r="B355" t="b">
        <v>0</v>
      </c>
      <c r="C355" s="18">
        <v>40559</v>
      </c>
      <c r="D355">
        <v>1</v>
      </c>
      <c r="E355">
        <v>0</v>
      </c>
      <c r="F355">
        <v>1</v>
      </c>
      <c r="G355">
        <v>5</v>
      </c>
      <c r="H355">
        <v>0</v>
      </c>
      <c r="I355">
        <v>2</v>
      </c>
      <c r="J355">
        <v>0.26</v>
      </c>
      <c r="K355">
        <v>0.2576</v>
      </c>
      <c r="L355">
        <v>0.56000000000000005</v>
      </c>
      <c r="M355">
        <v>0.16420000000000001</v>
      </c>
      <c r="N355">
        <v>1</v>
      </c>
      <c r="O355">
        <v>1</v>
      </c>
      <c r="P355">
        <v>2</v>
      </c>
    </row>
    <row r="356" spans="1:16" x14ac:dyDescent="0.35">
      <c r="A356">
        <v>355</v>
      </c>
      <c r="B356" t="b">
        <v>0</v>
      </c>
      <c r="C356" s="18">
        <v>40559</v>
      </c>
      <c r="D356">
        <v>1</v>
      </c>
      <c r="E356">
        <v>0</v>
      </c>
      <c r="F356">
        <v>1</v>
      </c>
      <c r="G356">
        <v>6</v>
      </c>
      <c r="H356">
        <v>0</v>
      </c>
      <c r="I356">
        <v>2</v>
      </c>
      <c r="J356">
        <v>0.26</v>
      </c>
      <c r="K356">
        <v>0.2576</v>
      </c>
      <c r="L356">
        <v>0.56000000000000005</v>
      </c>
      <c r="M356">
        <v>0.16420000000000001</v>
      </c>
      <c r="N356">
        <v>0</v>
      </c>
      <c r="O356">
        <v>1</v>
      </c>
      <c r="P356">
        <v>1</v>
      </c>
    </row>
    <row r="357" spans="1:16" x14ac:dyDescent="0.35">
      <c r="A357">
        <v>356</v>
      </c>
      <c r="B357" t="b">
        <v>0</v>
      </c>
      <c r="C357" s="18">
        <v>40559</v>
      </c>
      <c r="D357">
        <v>1</v>
      </c>
      <c r="E357">
        <v>0</v>
      </c>
      <c r="F357">
        <v>1</v>
      </c>
      <c r="G357">
        <v>7</v>
      </c>
      <c r="H357">
        <v>0</v>
      </c>
      <c r="I357">
        <v>2</v>
      </c>
      <c r="J357">
        <v>0.24</v>
      </c>
      <c r="K357">
        <v>0.21210000000000001</v>
      </c>
      <c r="L357">
        <v>0.56000000000000005</v>
      </c>
      <c r="M357">
        <v>0.29849999999999999</v>
      </c>
      <c r="N357">
        <v>0</v>
      </c>
      <c r="O357">
        <v>3</v>
      </c>
      <c r="P357">
        <v>3</v>
      </c>
    </row>
    <row r="358" spans="1:16" x14ac:dyDescent="0.35">
      <c r="A358">
        <v>357</v>
      </c>
      <c r="B358" t="b">
        <v>0</v>
      </c>
      <c r="C358" s="18">
        <v>40559</v>
      </c>
      <c r="D358">
        <v>1</v>
      </c>
      <c r="E358">
        <v>0</v>
      </c>
      <c r="F358">
        <v>1</v>
      </c>
      <c r="G358">
        <v>8</v>
      </c>
      <c r="H358">
        <v>0</v>
      </c>
      <c r="I358">
        <v>1</v>
      </c>
      <c r="J358">
        <v>0.22</v>
      </c>
      <c r="K358">
        <v>0.21210000000000001</v>
      </c>
      <c r="L358">
        <v>0.55000000000000004</v>
      </c>
      <c r="M358">
        <v>0.28360000000000002</v>
      </c>
      <c r="N358">
        <v>0</v>
      </c>
      <c r="O358">
        <v>18</v>
      </c>
      <c r="P358">
        <v>18</v>
      </c>
    </row>
    <row r="359" spans="1:16" x14ac:dyDescent="0.35">
      <c r="A359">
        <v>358</v>
      </c>
      <c r="B359" t="b">
        <v>0</v>
      </c>
      <c r="C359" s="18">
        <v>40559</v>
      </c>
      <c r="D359">
        <v>1</v>
      </c>
      <c r="E359">
        <v>0</v>
      </c>
      <c r="F359">
        <v>1</v>
      </c>
      <c r="G359">
        <v>9</v>
      </c>
      <c r="H359">
        <v>0</v>
      </c>
      <c r="I359">
        <v>1</v>
      </c>
      <c r="J359">
        <v>0.22</v>
      </c>
      <c r="K359">
        <v>0.21210000000000001</v>
      </c>
      <c r="L359">
        <v>0.51</v>
      </c>
      <c r="M359">
        <v>0.25369999999999998</v>
      </c>
      <c r="N359">
        <v>3</v>
      </c>
      <c r="O359">
        <v>29</v>
      </c>
      <c r="P359">
        <v>32</v>
      </c>
    </row>
    <row r="360" spans="1:16" x14ac:dyDescent="0.35">
      <c r="A360">
        <v>359</v>
      </c>
      <c r="B360" t="b">
        <v>0</v>
      </c>
      <c r="C360" s="18">
        <v>40559</v>
      </c>
      <c r="D360">
        <v>1</v>
      </c>
      <c r="E360">
        <v>0</v>
      </c>
      <c r="F360">
        <v>1</v>
      </c>
      <c r="G360">
        <v>10</v>
      </c>
      <c r="H360">
        <v>0</v>
      </c>
      <c r="I360">
        <v>1</v>
      </c>
      <c r="J360">
        <v>0.22</v>
      </c>
      <c r="K360">
        <v>0.21210000000000001</v>
      </c>
      <c r="L360">
        <v>0.51</v>
      </c>
      <c r="M360">
        <v>0.28360000000000002</v>
      </c>
      <c r="N360">
        <v>8</v>
      </c>
      <c r="O360">
        <v>71</v>
      </c>
      <c r="P360">
        <v>79</v>
      </c>
    </row>
    <row r="361" spans="1:16" x14ac:dyDescent="0.35">
      <c r="A361">
        <v>360</v>
      </c>
      <c r="B361" t="b">
        <v>0</v>
      </c>
      <c r="C361" s="18">
        <v>40559</v>
      </c>
      <c r="D361">
        <v>1</v>
      </c>
      <c r="E361">
        <v>0</v>
      </c>
      <c r="F361">
        <v>1</v>
      </c>
      <c r="G361">
        <v>11</v>
      </c>
      <c r="H361">
        <v>0</v>
      </c>
      <c r="I361">
        <v>1</v>
      </c>
      <c r="J361">
        <v>0.24</v>
      </c>
      <c r="K361">
        <v>0.2273</v>
      </c>
      <c r="L361">
        <v>0.44</v>
      </c>
      <c r="M361">
        <v>0.25369999999999998</v>
      </c>
      <c r="N361">
        <v>23</v>
      </c>
      <c r="O361">
        <v>70</v>
      </c>
      <c r="P361">
        <v>93</v>
      </c>
    </row>
    <row r="362" spans="1:16" x14ac:dyDescent="0.35">
      <c r="A362">
        <v>361</v>
      </c>
      <c r="B362" t="b">
        <v>0</v>
      </c>
      <c r="C362" s="18">
        <v>40559</v>
      </c>
      <c r="D362">
        <v>1</v>
      </c>
      <c r="E362">
        <v>0</v>
      </c>
      <c r="F362">
        <v>1</v>
      </c>
      <c r="G362">
        <v>12</v>
      </c>
      <c r="H362">
        <v>0</v>
      </c>
      <c r="I362">
        <v>1</v>
      </c>
      <c r="J362">
        <v>0.24</v>
      </c>
      <c r="K362">
        <v>0.21210000000000001</v>
      </c>
      <c r="L362">
        <v>0.41</v>
      </c>
      <c r="M362">
        <v>0.28360000000000002</v>
      </c>
      <c r="N362">
        <v>29</v>
      </c>
      <c r="O362">
        <v>75</v>
      </c>
      <c r="P362">
        <v>104</v>
      </c>
    </row>
    <row r="363" spans="1:16" x14ac:dyDescent="0.35">
      <c r="A363">
        <v>362</v>
      </c>
      <c r="B363" t="b">
        <v>0</v>
      </c>
      <c r="C363" s="18">
        <v>40559</v>
      </c>
      <c r="D363">
        <v>1</v>
      </c>
      <c r="E363">
        <v>0</v>
      </c>
      <c r="F363">
        <v>1</v>
      </c>
      <c r="G363">
        <v>13</v>
      </c>
      <c r="H363">
        <v>0</v>
      </c>
      <c r="I363">
        <v>1</v>
      </c>
      <c r="J363">
        <v>0.26</v>
      </c>
      <c r="K363">
        <v>0.2273</v>
      </c>
      <c r="L363">
        <v>0.35</v>
      </c>
      <c r="M363">
        <v>0.29849999999999999</v>
      </c>
      <c r="N363">
        <v>23</v>
      </c>
      <c r="O363">
        <v>95</v>
      </c>
      <c r="P363">
        <v>118</v>
      </c>
    </row>
    <row r="364" spans="1:16" x14ac:dyDescent="0.35">
      <c r="A364">
        <v>363</v>
      </c>
      <c r="B364" t="b">
        <v>0</v>
      </c>
      <c r="C364" s="18">
        <v>40559</v>
      </c>
      <c r="D364">
        <v>1</v>
      </c>
      <c r="E364">
        <v>0</v>
      </c>
      <c r="F364">
        <v>1</v>
      </c>
      <c r="G364">
        <v>14</v>
      </c>
      <c r="H364">
        <v>0</v>
      </c>
      <c r="I364">
        <v>1</v>
      </c>
      <c r="J364">
        <v>0.28000000000000003</v>
      </c>
      <c r="K364">
        <v>0.2727</v>
      </c>
      <c r="L364">
        <v>0.36</v>
      </c>
      <c r="M364">
        <v>0.25369999999999998</v>
      </c>
      <c r="N364">
        <v>22</v>
      </c>
      <c r="O364">
        <v>69</v>
      </c>
      <c r="P364">
        <v>91</v>
      </c>
    </row>
    <row r="365" spans="1:16" x14ac:dyDescent="0.35">
      <c r="A365">
        <v>364</v>
      </c>
      <c r="B365" t="b">
        <v>0</v>
      </c>
      <c r="C365" s="18">
        <v>40559</v>
      </c>
      <c r="D365">
        <v>1</v>
      </c>
      <c r="E365">
        <v>0</v>
      </c>
      <c r="F365">
        <v>1</v>
      </c>
      <c r="G365">
        <v>15</v>
      </c>
      <c r="H365">
        <v>0</v>
      </c>
      <c r="I365">
        <v>1</v>
      </c>
      <c r="J365">
        <v>0.26</v>
      </c>
      <c r="K365">
        <v>0.2424</v>
      </c>
      <c r="L365">
        <v>0.38</v>
      </c>
      <c r="M365">
        <v>0.25369999999999998</v>
      </c>
      <c r="N365">
        <v>35</v>
      </c>
      <c r="O365">
        <v>78</v>
      </c>
      <c r="P365">
        <v>113</v>
      </c>
    </row>
    <row r="366" spans="1:16" x14ac:dyDescent="0.35">
      <c r="A366">
        <v>365</v>
      </c>
      <c r="B366" t="b">
        <v>0</v>
      </c>
      <c r="C366" s="18">
        <v>40559</v>
      </c>
      <c r="D366">
        <v>1</v>
      </c>
      <c r="E366">
        <v>0</v>
      </c>
      <c r="F366">
        <v>1</v>
      </c>
      <c r="G366">
        <v>16</v>
      </c>
      <c r="H366">
        <v>0</v>
      </c>
      <c r="I366">
        <v>1</v>
      </c>
      <c r="J366">
        <v>0.24</v>
      </c>
      <c r="K366">
        <v>0.2273</v>
      </c>
      <c r="L366">
        <v>0.38</v>
      </c>
      <c r="M366">
        <v>0.22389999999999999</v>
      </c>
      <c r="N366">
        <v>22</v>
      </c>
      <c r="O366">
        <v>77</v>
      </c>
      <c r="P366">
        <v>99</v>
      </c>
    </row>
    <row r="367" spans="1:16" x14ac:dyDescent="0.35">
      <c r="A367">
        <v>366</v>
      </c>
      <c r="B367" t="b">
        <v>0</v>
      </c>
      <c r="C367" s="18">
        <v>40559</v>
      </c>
      <c r="D367">
        <v>1</v>
      </c>
      <c r="E367">
        <v>0</v>
      </c>
      <c r="F367">
        <v>1</v>
      </c>
      <c r="G367">
        <v>17</v>
      </c>
      <c r="H367">
        <v>0</v>
      </c>
      <c r="I367">
        <v>1</v>
      </c>
      <c r="J367">
        <v>0.22</v>
      </c>
      <c r="K367">
        <v>0.21210000000000001</v>
      </c>
      <c r="L367">
        <v>0.37</v>
      </c>
      <c r="M367">
        <v>0.25369999999999998</v>
      </c>
      <c r="N367">
        <v>23</v>
      </c>
      <c r="O367">
        <v>82</v>
      </c>
      <c r="P367">
        <v>105</v>
      </c>
    </row>
    <row r="368" spans="1:16" x14ac:dyDescent="0.35">
      <c r="A368">
        <v>367</v>
      </c>
      <c r="B368" t="b">
        <v>0</v>
      </c>
      <c r="C368" s="18">
        <v>40559</v>
      </c>
      <c r="D368">
        <v>1</v>
      </c>
      <c r="E368">
        <v>0</v>
      </c>
      <c r="F368">
        <v>1</v>
      </c>
      <c r="G368">
        <v>18</v>
      </c>
      <c r="H368">
        <v>0</v>
      </c>
      <c r="I368">
        <v>1</v>
      </c>
      <c r="J368">
        <v>0.2</v>
      </c>
      <c r="K368">
        <v>0.21210000000000001</v>
      </c>
      <c r="L368">
        <v>0.4</v>
      </c>
      <c r="M368">
        <v>0.16420000000000001</v>
      </c>
      <c r="N368">
        <v>11</v>
      </c>
      <c r="O368">
        <v>56</v>
      </c>
      <c r="P368">
        <v>67</v>
      </c>
    </row>
    <row r="369" spans="1:16" x14ac:dyDescent="0.35">
      <c r="A369">
        <v>368</v>
      </c>
      <c r="B369" t="b">
        <v>0</v>
      </c>
      <c r="C369" s="18">
        <v>40559</v>
      </c>
      <c r="D369">
        <v>1</v>
      </c>
      <c r="E369">
        <v>0</v>
      </c>
      <c r="F369">
        <v>1</v>
      </c>
      <c r="G369">
        <v>19</v>
      </c>
      <c r="H369">
        <v>0</v>
      </c>
      <c r="I369">
        <v>1</v>
      </c>
      <c r="J369">
        <v>0.18</v>
      </c>
      <c r="K369">
        <v>0.19700000000000001</v>
      </c>
      <c r="L369">
        <v>0.47</v>
      </c>
      <c r="M369">
        <v>0.1343</v>
      </c>
      <c r="N369">
        <v>14</v>
      </c>
      <c r="O369">
        <v>47</v>
      </c>
      <c r="P369">
        <v>61</v>
      </c>
    </row>
    <row r="370" spans="1:16" x14ac:dyDescent="0.35">
      <c r="A370">
        <v>369</v>
      </c>
      <c r="B370" t="b">
        <v>0</v>
      </c>
      <c r="C370" s="18">
        <v>40559</v>
      </c>
      <c r="D370">
        <v>1</v>
      </c>
      <c r="E370">
        <v>0</v>
      </c>
      <c r="F370">
        <v>1</v>
      </c>
      <c r="G370">
        <v>20</v>
      </c>
      <c r="H370">
        <v>0</v>
      </c>
      <c r="I370">
        <v>1</v>
      </c>
      <c r="J370">
        <v>0.18</v>
      </c>
      <c r="K370">
        <v>0.19700000000000001</v>
      </c>
      <c r="L370">
        <v>0.47</v>
      </c>
      <c r="M370">
        <v>0.16420000000000001</v>
      </c>
      <c r="N370">
        <v>7</v>
      </c>
      <c r="O370">
        <v>50</v>
      </c>
      <c r="P370">
        <v>57</v>
      </c>
    </row>
    <row r="371" spans="1:16" x14ac:dyDescent="0.35">
      <c r="A371">
        <v>370</v>
      </c>
      <c r="B371" t="b">
        <v>0</v>
      </c>
      <c r="C371" s="18">
        <v>40559</v>
      </c>
      <c r="D371">
        <v>1</v>
      </c>
      <c r="E371">
        <v>0</v>
      </c>
      <c r="F371">
        <v>1</v>
      </c>
      <c r="G371">
        <v>21</v>
      </c>
      <c r="H371">
        <v>0</v>
      </c>
      <c r="I371">
        <v>1</v>
      </c>
      <c r="J371">
        <v>0.18</v>
      </c>
      <c r="K371">
        <v>0.19700000000000001</v>
      </c>
      <c r="L371">
        <v>0.51</v>
      </c>
      <c r="M371">
        <v>0.16420000000000001</v>
      </c>
      <c r="N371">
        <v>6</v>
      </c>
      <c r="O371">
        <v>22</v>
      </c>
      <c r="P371">
        <v>28</v>
      </c>
    </row>
    <row r="372" spans="1:16" x14ac:dyDescent="0.35">
      <c r="A372">
        <v>371</v>
      </c>
      <c r="B372" t="b">
        <v>0</v>
      </c>
      <c r="C372" s="18">
        <v>40559</v>
      </c>
      <c r="D372">
        <v>1</v>
      </c>
      <c r="E372">
        <v>0</v>
      </c>
      <c r="F372">
        <v>1</v>
      </c>
      <c r="G372">
        <v>22</v>
      </c>
      <c r="H372">
        <v>0</v>
      </c>
      <c r="I372">
        <v>2</v>
      </c>
      <c r="J372">
        <v>0.2</v>
      </c>
      <c r="K372">
        <v>0.21210000000000001</v>
      </c>
      <c r="L372">
        <v>0.49</v>
      </c>
      <c r="M372">
        <v>0.1343</v>
      </c>
      <c r="N372">
        <v>2</v>
      </c>
      <c r="O372">
        <v>19</v>
      </c>
      <c r="P372">
        <v>21</v>
      </c>
    </row>
    <row r="373" spans="1:16" x14ac:dyDescent="0.35">
      <c r="A373">
        <v>372</v>
      </c>
      <c r="B373" t="b">
        <v>0</v>
      </c>
      <c r="C373" s="18">
        <v>40559</v>
      </c>
      <c r="D373">
        <v>1</v>
      </c>
      <c r="E373">
        <v>0</v>
      </c>
      <c r="F373">
        <v>1</v>
      </c>
      <c r="G373">
        <v>23</v>
      </c>
      <c r="H373">
        <v>0</v>
      </c>
      <c r="I373">
        <v>2</v>
      </c>
      <c r="J373">
        <v>0.2</v>
      </c>
      <c r="K373">
        <v>0.2273</v>
      </c>
      <c r="L373">
        <v>0.4</v>
      </c>
      <c r="M373">
        <v>0.1045</v>
      </c>
      <c r="N373">
        <v>0</v>
      </c>
      <c r="O373">
        <v>18</v>
      </c>
      <c r="P373">
        <v>18</v>
      </c>
    </row>
    <row r="374" spans="1:16" x14ac:dyDescent="0.35">
      <c r="A374">
        <v>373</v>
      </c>
      <c r="B374" t="b">
        <v>1</v>
      </c>
      <c r="C374" s="18">
        <v>40560</v>
      </c>
      <c r="D374">
        <v>1</v>
      </c>
      <c r="E374">
        <v>0</v>
      </c>
      <c r="F374">
        <v>1</v>
      </c>
      <c r="G374">
        <v>0</v>
      </c>
      <c r="H374">
        <v>1</v>
      </c>
      <c r="I374">
        <v>2</v>
      </c>
      <c r="J374">
        <v>0.2</v>
      </c>
      <c r="K374">
        <v>0.19700000000000001</v>
      </c>
      <c r="L374">
        <v>0.47</v>
      </c>
      <c r="M374">
        <v>0.22389999999999999</v>
      </c>
      <c r="N374">
        <v>1</v>
      </c>
      <c r="O374">
        <v>16</v>
      </c>
      <c r="P374">
        <v>17</v>
      </c>
    </row>
    <row r="375" spans="1:16" x14ac:dyDescent="0.35">
      <c r="A375">
        <v>374</v>
      </c>
      <c r="B375" t="b">
        <v>1</v>
      </c>
      <c r="C375" s="18">
        <v>40560</v>
      </c>
      <c r="D375">
        <v>1</v>
      </c>
      <c r="E375">
        <v>0</v>
      </c>
      <c r="F375">
        <v>1</v>
      </c>
      <c r="G375">
        <v>1</v>
      </c>
      <c r="H375">
        <v>1</v>
      </c>
      <c r="I375">
        <v>2</v>
      </c>
      <c r="J375">
        <v>0.2</v>
      </c>
      <c r="K375">
        <v>0.19700000000000001</v>
      </c>
      <c r="L375">
        <v>0.44</v>
      </c>
      <c r="M375">
        <v>0.19400000000000001</v>
      </c>
      <c r="N375">
        <v>1</v>
      </c>
      <c r="O375">
        <v>15</v>
      </c>
      <c r="P375">
        <v>16</v>
      </c>
    </row>
    <row r="376" spans="1:16" x14ac:dyDescent="0.35">
      <c r="A376">
        <v>375</v>
      </c>
      <c r="B376" t="b">
        <v>1</v>
      </c>
      <c r="C376" s="18">
        <v>40560</v>
      </c>
      <c r="D376">
        <v>1</v>
      </c>
      <c r="E376">
        <v>0</v>
      </c>
      <c r="F376">
        <v>1</v>
      </c>
      <c r="G376">
        <v>2</v>
      </c>
      <c r="H376">
        <v>1</v>
      </c>
      <c r="I376">
        <v>2</v>
      </c>
      <c r="J376">
        <v>0.18</v>
      </c>
      <c r="K376">
        <v>0.16669999999999999</v>
      </c>
      <c r="L376">
        <v>0.43</v>
      </c>
      <c r="M376">
        <v>0.25369999999999998</v>
      </c>
      <c r="N376">
        <v>0</v>
      </c>
      <c r="O376">
        <v>8</v>
      </c>
      <c r="P376">
        <v>8</v>
      </c>
    </row>
    <row r="377" spans="1:16" x14ac:dyDescent="0.35">
      <c r="A377">
        <v>376</v>
      </c>
      <c r="B377" t="b">
        <v>1</v>
      </c>
      <c r="C377" s="18">
        <v>40560</v>
      </c>
      <c r="D377">
        <v>1</v>
      </c>
      <c r="E377">
        <v>0</v>
      </c>
      <c r="F377">
        <v>1</v>
      </c>
      <c r="G377">
        <v>3</v>
      </c>
      <c r="H377">
        <v>1</v>
      </c>
      <c r="I377">
        <v>2</v>
      </c>
      <c r="J377">
        <v>0.18</v>
      </c>
      <c r="K377">
        <v>0.18179999999999999</v>
      </c>
      <c r="L377">
        <v>0.43</v>
      </c>
      <c r="M377">
        <v>0.19400000000000001</v>
      </c>
      <c r="N377">
        <v>0</v>
      </c>
      <c r="O377">
        <v>2</v>
      </c>
      <c r="P377">
        <v>2</v>
      </c>
    </row>
    <row r="378" spans="1:16" x14ac:dyDescent="0.35">
      <c r="A378">
        <v>377</v>
      </c>
      <c r="B378" t="b">
        <v>1</v>
      </c>
      <c r="C378" s="18">
        <v>40560</v>
      </c>
      <c r="D378">
        <v>1</v>
      </c>
      <c r="E378">
        <v>0</v>
      </c>
      <c r="F378">
        <v>1</v>
      </c>
      <c r="G378">
        <v>4</v>
      </c>
      <c r="H378">
        <v>1</v>
      </c>
      <c r="I378">
        <v>2</v>
      </c>
      <c r="J378">
        <v>0.18</v>
      </c>
      <c r="K378">
        <v>0.19700000000000001</v>
      </c>
      <c r="L378">
        <v>0.43</v>
      </c>
      <c r="M378">
        <v>0.1343</v>
      </c>
      <c r="N378">
        <v>1</v>
      </c>
      <c r="O378">
        <v>2</v>
      </c>
      <c r="P378">
        <v>3</v>
      </c>
    </row>
    <row r="379" spans="1:16" x14ac:dyDescent="0.35">
      <c r="A379">
        <v>378</v>
      </c>
      <c r="B379" t="b">
        <v>1</v>
      </c>
      <c r="C379" s="18">
        <v>40560</v>
      </c>
      <c r="D379">
        <v>1</v>
      </c>
      <c r="E379">
        <v>0</v>
      </c>
      <c r="F379">
        <v>1</v>
      </c>
      <c r="G379">
        <v>5</v>
      </c>
      <c r="H379">
        <v>1</v>
      </c>
      <c r="I379">
        <v>2</v>
      </c>
      <c r="J379">
        <v>0.18</v>
      </c>
      <c r="K379">
        <v>0.19700000000000001</v>
      </c>
      <c r="L379">
        <v>0.43</v>
      </c>
      <c r="M379">
        <v>0.16420000000000001</v>
      </c>
      <c r="N379">
        <v>0</v>
      </c>
      <c r="O379">
        <v>1</v>
      </c>
      <c r="P379">
        <v>1</v>
      </c>
    </row>
    <row r="380" spans="1:16" x14ac:dyDescent="0.35">
      <c r="A380">
        <v>379</v>
      </c>
      <c r="B380" t="b">
        <v>1</v>
      </c>
      <c r="C380" s="18">
        <v>40560</v>
      </c>
      <c r="D380">
        <v>1</v>
      </c>
      <c r="E380">
        <v>0</v>
      </c>
      <c r="F380">
        <v>1</v>
      </c>
      <c r="G380">
        <v>6</v>
      </c>
      <c r="H380">
        <v>1</v>
      </c>
      <c r="I380">
        <v>2</v>
      </c>
      <c r="J380">
        <v>0.18</v>
      </c>
      <c r="K380">
        <v>0.18179999999999999</v>
      </c>
      <c r="L380">
        <v>0.43</v>
      </c>
      <c r="M380">
        <v>0.19400000000000001</v>
      </c>
      <c r="N380">
        <v>0</v>
      </c>
      <c r="O380">
        <v>5</v>
      </c>
      <c r="P380">
        <v>5</v>
      </c>
    </row>
    <row r="381" spans="1:16" x14ac:dyDescent="0.35">
      <c r="A381">
        <v>380</v>
      </c>
      <c r="B381" t="b">
        <v>1</v>
      </c>
      <c r="C381" s="18">
        <v>40560</v>
      </c>
      <c r="D381">
        <v>1</v>
      </c>
      <c r="E381">
        <v>0</v>
      </c>
      <c r="F381">
        <v>1</v>
      </c>
      <c r="G381">
        <v>7</v>
      </c>
      <c r="H381">
        <v>1</v>
      </c>
      <c r="I381">
        <v>2</v>
      </c>
      <c r="J381">
        <v>0.16</v>
      </c>
      <c r="K381">
        <v>0.18179999999999999</v>
      </c>
      <c r="L381">
        <v>0.5</v>
      </c>
      <c r="M381">
        <v>0.1343</v>
      </c>
      <c r="N381">
        <v>4</v>
      </c>
      <c r="O381">
        <v>9</v>
      </c>
      <c r="P381">
        <v>13</v>
      </c>
    </row>
    <row r="382" spans="1:16" x14ac:dyDescent="0.35">
      <c r="A382">
        <v>381</v>
      </c>
      <c r="B382" t="b">
        <v>1</v>
      </c>
      <c r="C382" s="18">
        <v>40560</v>
      </c>
      <c r="D382">
        <v>1</v>
      </c>
      <c r="E382">
        <v>0</v>
      </c>
      <c r="F382">
        <v>1</v>
      </c>
      <c r="G382">
        <v>8</v>
      </c>
      <c r="H382">
        <v>1</v>
      </c>
      <c r="I382">
        <v>2</v>
      </c>
      <c r="J382">
        <v>0.16</v>
      </c>
      <c r="K382">
        <v>0.1515</v>
      </c>
      <c r="L382">
        <v>0.47</v>
      </c>
      <c r="M382">
        <v>0.22389999999999999</v>
      </c>
      <c r="N382">
        <v>3</v>
      </c>
      <c r="O382">
        <v>30</v>
      </c>
      <c r="P382">
        <v>33</v>
      </c>
    </row>
    <row r="383" spans="1:16" x14ac:dyDescent="0.35">
      <c r="A383">
        <v>382</v>
      </c>
      <c r="B383" t="b">
        <v>1</v>
      </c>
      <c r="C383" s="18">
        <v>40560</v>
      </c>
      <c r="D383">
        <v>1</v>
      </c>
      <c r="E383">
        <v>0</v>
      </c>
      <c r="F383">
        <v>1</v>
      </c>
      <c r="G383">
        <v>9</v>
      </c>
      <c r="H383">
        <v>1</v>
      </c>
      <c r="I383">
        <v>2</v>
      </c>
      <c r="J383">
        <v>0.16</v>
      </c>
      <c r="K383">
        <v>0.1515</v>
      </c>
      <c r="L383">
        <v>0.47</v>
      </c>
      <c r="M383">
        <v>0.22389999999999999</v>
      </c>
      <c r="N383">
        <v>8</v>
      </c>
      <c r="O383">
        <v>39</v>
      </c>
      <c r="P383">
        <v>47</v>
      </c>
    </row>
    <row r="384" spans="1:16" x14ac:dyDescent="0.35">
      <c r="A384">
        <v>383</v>
      </c>
      <c r="B384" t="b">
        <v>1</v>
      </c>
      <c r="C384" s="18">
        <v>40560</v>
      </c>
      <c r="D384">
        <v>1</v>
      </c>
      <c r="E384">
        <v>0</v>
      </c>
      <c r="F384">
        <v>1</v>
      </c>
      <c r="G384">
        <v>10</v>
      </c>
      <c r="H384">
        <v>1</v>
      </c>
      <c r="I384">
        <v>2</v>
      </c>
      <c r="J384">
        <v>0.16</v>
      </c>
      <c r="K384">
        <v>0.1515</v>
      </c>
      <c r="L384">
        <v>0.5</v>
      </c>
      <c r="M384">
        <v>0.25369999999999998</v>
      </c>
      <c r="N384">
        <v>7</v>
      </c>
      <c r="O384">
        <v>50</v>
      </c>
      <c r="P384">
        <v>57</v>
      </c>
    </row>
    <row r="385" spans="1:16" x14ac:dyDescent="0.35">
      <c r="A385">
        <v>384</v>
      </c>
      <c r="B385" t="b">
        <v>1</v>
      </c>
      <c r="C385" s="18">
        <v>40560</v>
      </c>
      <c r="D385">
        <v>1</v>
      </c>
      <c r="E385">
        <v>0</v>
      </c>
      <c r="F385">
        <v>1</v>
      </c>
      <c r="G385">
        <v>11</v>
      </c>
      <c r="H385">
        <v>1</v>
      </c>
      <c r="I385">
        <v>2</v>
      </c>
      <c r="J385">
        <v>0.16</v>
      </c>
      <c r="K385">
        <v>0.1515</v>
      </c>
      <c r="L385">
        <v>0.55000000000000004</v>
      </c>
      <c r="M385">
        <v>0.19400000000000001</v>
      </c>
      <c r="N385">
        <v>9</v>
      </c>
      <c r="O385">
        <v>55</v>
      </c>
      <c r="P385">
        <v>64</v>
      </c>
    </row>
    <row r="386" spans="1:16" x14ac:dyDescent="0.35">
      <c r="A386">
        <v>385</v>
      </c>
      <c r="B386" t="b">
        <v>1</v>
      </c>
      <c r="C386" s="18">
        <v>40560</v>
      </c>
      <c r="D386">
        <v>1</v>
      </c>
      <c r="E386">
        <v>0</v>
      </c>
      <c r="F386">
        <v>1</v>
      </c>
      <c r="G386">
        <v>12</v>
      </c>
      <c r="H386">
        <v>1</v>
      </c>
      <c r="I386">
        <v>2</v>
      </c>
      <c r="J386">
        <v>0.18</v>
      </c>
      <c r="K386">
        <v>0.19700000000000001</v>
      </c>
      <c r="L386">
        <v>0.47</v>
      </c>
      <c r="M386">
        <v>0.1343</v>
      </c>
      <c r="N386">
        <v>10</v>
      </c>
      <c r="O386">
        <v>70</v>
      </c>
      <c r="P386">
        <v>80</v>
      </c>
    </row>
    <row r="387" spans="1:16" x14ac:dyDescent="0.35">
      <c r="A387">
        <v>386</v>
      </c>
      <c r="B387" t="b">
        <v>1</v>
      </c>
      <c r="C387" s="18">
        <v>40560</v>
      </c>
      <c r="D387">
        <v>1</v>
      </c>
      <c r="E387">
        <v>0</v>
      </c>
      <c r="F387">
        <v>1</v>
      </c>
      <c r="G387">
        <v>13</v>
      </c>
      <c r="H387">
        <v>1</v>
      </c>
      <c r="I387">
        <v>2</v>
      </c>
      <c r="J387">
        <v>0.18</v>
      </c>
      <c r="K387">
        <v>0.19700000000000001</v>
      </c>
      <c r="L387">
        <v>0.47</v>
      </c>
      <c r="M387">
        <v>0.1343</v>
      </c>
      <c r="N387">
        <v>13</v>
      </c>
      <c r="O387">
        <v>80</v>
      </c>
      <c r="P387">
        <v>93</v>
      </c>
    </row>
    <row r="388" spans="1:16" x14ac:dyDescent="0.35">
      <c r="A388">
        <v>387</v>
      </c>
      <c r="B388" t="b">
        <v>1</v>
      </c>
      <c r="C388" s="18">
        <v>40560</v>
      </c>
      <c r="D388">
        <v>1</v>
      </c>
      <c r="E388">
        <v>0</v>
      </c>
      <c r="F388">
        <v>1</v>
      </c>
      <c r="G388">
        <v>14</v>
      </c>
      <c r="H388">
        <v>1</v>
      </c>
      <c r="I388">
        <v>2</v>
      </c>
      <c r="J388">
        <v>0.18</v>
      </c>
      <c r="K388">
        <v>0.21210000000000001</v>
      </c>
      <c r="L388">
        <v>0.43</v>
      </c>
      <c r="M388">
        <v>0.1045</v>
      </c>
      <c r="N388">
        <v>12</v>
      </c>
      <c r="O388">
        <v>74</v>
      </c>
      <c r="P388">
        <v>86</v>
      </c>
    </row>
    <row r="389" spans="1:16" x14ac:dyDescent="0.35">
      <c r="A389">
        <v>388</v>
      </c>
      <c r="B389" t="b">
        <v>1</v>
      </c>
      <c r="C389" s="18">
        <v>40560</v>
      </c>
      <c r="D389">
        <v>1</v>
      </c>
      <c r="E389">
        <v>0</v>
      </c>
      <c r="F389">
        <v>1</v>
      </c>
      <c r="G389">
        <v>15</v>
      </c>
      <c r="H389">
        <v>1</v>
      </c>
      <c r="I389">
        <v>2</v>
      </c>
      <c r="J389">
        <v>0.2</v>
      </c>
      <c r="K389">
        <v>0.21210000000000001</v>
      </c>
      <c r="L389">
        <v>0.47</v>
      </c>
      <c r="M389">
        <v>0.16420000000000001</v>
      </c>
      <c r="N389">
        <v>21</v>
      </c>
      <c r="O389">
        <v>72</v>
      </c>
      <c r="P389">
        <v>93</v>
      </c>
    </row>
    <row r="390" spans="1:16" x14ac:dyDescent="0.35">
      <c r="A390">
        <v>389</v>
      </c>
      <c r="B390" t="b">
        <v>1</v>
      </c>
      <c r="C390" s="18">
        <v>40560</v>
      </c>
      <c r="D390">
        <v>1</v>
      </c>
      <c r="E390">
        <v>0</v>
      </c>
      <c r="F390">
        <v>1</v>
      </c>
      <c r="G390">
        <v>16</v>
      </c>
      <c r="H390">
        <v>1</v>
      </c>
      <c r="I390">
        <v>2</v>
      </c>
      <c r="J390">
        <v>0.2</v>
      </c>
      <c r="K390">
        <v>0.21210000000000001</v>
      </c>
      <c r="L390">
        <v>0.47</v>
      </c>
      <c r="M390">
        <v>0.16420000000000001</v>
      </c>
      <c r="N390">
        <v>6</v>
      </c>
      <c r="O390">
        <v>76</v>
      </c>
      <c r="P390">
        <v>82</v>
      </c>
    </row>
    <row r="391" spans="1:16" x14ac:dyDescent="0.35">
      <c r="A391">
        <v>390</v>
      </c>
      <c r="B391" t="b">
        <v>1</v>
      </c>
      <c r="C391" s="18">
        <v>40560</v>
      </c>
      <c r="D391">
        <v>1</v>
      </c>
      <c r="E391">
        <v>0</v>
      </c>
      <c r="F391">
        <v>1</v>
      </c>
      <c r="G391">
        <v>17</v>
      </c>
      <c r="H391">
        <v>1</v>
      </c>
      <c r="I391">
        <v>1</v>
      </c>
      <c r="J391">
        <v>0.2</v>
      </c>
      <c r="K391">
        <v>0.19700000000000001</v>
      </c>
      <c r="L391">
        <v>0.51</v>
      </c>
      <c r="M391">
        <v>0.19400000000000001</v>
      </c>
      <c r="N391">
        <v>4</v>
      </c>
      <c r="O391">
        <v>67</v>
      </c>
      <c r="P391">
        <v>71</v>
      </c>
    </row>
    <row r="392" spans="1:16" x14ac:dyDescent="0.35">
      <c r="A392">
        <v>391</v>
      </c>
      <c r="B392" t="b">
        <v>1</v>
      </c>
      <c r="C392" s="18">
        <v>40560</v>
      </c>
      <c r="D392">
        <v>1</v>
      </c>
      <c r="E392">
        <v>0</v>
      </c>
      <c r="F392">
        <v>1</v>
      </c>
      <c r="G392">
        <v>18</v>
      </c>
      <c r="H392">
        <v>1</v>
      </c>
      <c r="I392">
        <v>2</v>
      </c>
      <c r="J392">
        <v>0.18</v>
      </c>
      <c r="K392">
        <v>0.16669999999999999</v>
      </c>
      <c r="L392">
        <v>0.55000000000000004</v>
      </c>
      <c r="M392">
        <v>0.25369999999999998</v>
      </c>
      <c r="N392">
        <v>7</v>
      </c>
      <c r="O392">
        <v>85</v>
      </c>
      <c r="P392">
        <v>92</v>
      </c>
    </row>
    <row r="393" spans="1:16" x14ac:dyDescent="0.35">
      <c r="A393">
        <v>392</v>
      </c>
      <c r="B393" t="b">
        <v>1</v>
      </c>
      <c r="C393" s="18">
        <v>40560</v>
      </c>
      <c r="D393">
        <v>1</v>
      </c>
      <c r="E393">
        <v>0</v>
      </c>
      <c r="F393">
        <v>1</v>
      </c>
      <c r="G393">
        <v>19</v>
      </c>
      <c r="H393">
        <v>1</v>
      </c>
      <c r="I393">
        <v>3</v>
      </c>
      <c r="J393">
        <v>0.18</v>
      </c>
      <c r="K393">
        <v>0.18179999999999999</v>
      </c>
      <c r="L393">
        <v>0.59</v>
      </c>
      <c r="M393">
        <v>0.19400000000000001</v>
      </c>
      <c r="N393">
        <v>2</v>
      </c>
      <c r="O393">
        <v>58</v>
      </c>
      <c r="P393">
        <v>60</v>
      </c>
    </row>
    <row r="394" spans="1:16" x14ac:dyDescent="0.35">
      <c r="A394">
        <v>393</v>
      </c>
      <c r="B394" t="b">
        <v>1</v>
      </c>
      <c r="C394" s="18">
        <v>40560</v>
      </c>
      <c r="D394">
        <v>1</v>
      </c>
      <c r="E394">
        <v>0</v>
      </c>
      <c r="F394">
        <v>1</v>
      </c>
      <c r="G394">
        <v>20</v>
      </c>
      <c r="H394">
        <v>1</v>
      </c>
      <c r="I394">
        <v>3</v>
      </c>
      <c r="J394">
        <v>0.16</v>
      </c>
      <c r="K394">
        <v>0.1515</v>
      </c>
      <c r="L394">
        <v>0.8</v>
      </c>
      <c r="M394">
        <v>0.19400000000000001</v>
      </c>
      <c r="N394">
        <v>4</v>
      </c>
      <c r="O394">
        <v>29</v>
      </c>
      <c r="P394">
        <v>33</v>
      </c>
    </row>
    <row r="395" spans="1:16" x14ac:dyDescent="0.35">
      <c r="A395">
        <v>394</v>
      </c>
      <c r="B395" t="b">
        <v>1</v>
      </c>
      <c r="C395" s="18">
        <v>40560</v>
      </c>
      <c r="D395">
        <v>1</v>
      </c>
      <c r="E395">
        <v>0</v>
      </c>
      <c r="F395">
        <v>1</v>
      </c>
      <c r="G395">
        <v>21</v>
      </c>
      <c r="H395">
        <v>1</v>
      </c>
      <c r="I395">
        <v>3</v>
      </c>
      <c r="J395">
        <v>0.16</v>
      </c>
      <c r="K395">
        <v>0.1515</v>
      </c>
      <c r="L395">
        <v>0.8</v>
      </c>
      <c r="M395">
        <v>0.19400000000000001</v>
      </c>
      <c r="N395">
        <v>3</v>
      </c>
      <c r="O395">
        <v>24</v>
      </c>
      <c r="P395">
        <v>27</v>
      </c>
    </row>
    <row r="396" spans="1:16" x14ac:dyDescent="0.35">
      <c r="A396">
        <v>395</v>
      </c>
      <c r="B396" t="b">
        <v>1</v>
      </c>
      <c r="C396" s="18">
        <v>40560</v>
      </c>
      <c r="D396">
        <v>1</v>
      </c>
      <c r="E396">
        <v>0</v>
      </c>
      <c r="F396">
        <v>1</v>
      </c>
      <c r="G396">
        <v>22</v>
      </c>
      <c r="H396">
        <v>1</v>
      </c>
      <c r="I396">
        <v>3</v>
      </c>
      <c r="J396">
        <v>0.14000000000000001</v>
      </c>
      <c r="K396">
        <v>0.1212</v>
      </c>
      <c r="L396">
        <v>0.93</v>
      </c>
      <c r="M396">
        <v>0.25369999999999998</v>
      </c>
      <c r="N396">
        <v>0</v>
      </c>
      <c r="O396">
        <v>13</v>
      </c>
      <c r="P396">
        <v>13</v>
      </c>
    </row>
    <row r="397" spans="1:16" x14ac:dyDescent="0.35">
      <c r="A397">
        <v>396</v>
      </c>
      <c r="B397" t="b">
        <v>1</v>
      </c>
      <c r="C397" s="18">
        <v>40560</v>
      </c>
      <c r="D397">
        <v>1</v>
      </c>
      <c r="E397">
        <v>0</v>
      </c>
      <c r="F397">
        <v>1</v>
      </c>
      <c r="G397">
        <v>23</v>
      </c>
      <c r="H397">
        <v>1</v>
      </c>
      <c r="I397">
        <v>3</v>
      </c>
      <c r="J397">
        <v>0.16</v>
      </c>
      <c r="K397">
        <v>0.13639999999999999</v>
      </c>
      <c r="L397">
        <v>0.86</v>
      </c>
      <c r="M397">
        <v>0.28360000000000002</v>
      </c>
      <c r="N397">
        <v>1</v>
      </c>
      <c r="O397">
        <v>3</v>
      </c>
      <c r="P397">
        <v>4</v>
      </c>
    </row>
    <row r="398" spans="1:16" x14ac:dyDescent="0.35">
      <c r="A398">
        <v>397</v>
      </c>
      <c r="B398" t="b">
        <v>0</v>
      </c>
      <c r="C398" s="18">
        <v>40561</v>
      </c>
      <c r="D398">
        <v>1</v>
      </c>
      <c r="E398">
        <v>0</v>
      </c>
      <c r="F398">
        <v>1</v>
      </c>
      <c r="G398">
        <v>12</v>
      </c>
      <c r="H398">
        <v>2</v>
      </c>
      <c r="I398">
        <v>2</v>
      </c>
      <c r="J398">
        <v>0.2</v>
      </c>
      <c r="K398">
        <v>0.18179999999999999</v>
      </c>
      <c r="L398">
        <v>0.86</v>
      </c>
      <c r="M398">
        <v>0.32840000000000003</v>
      </c>
      <c r="N398">
        <v>0</v>
      </c>
      <c r="O398">
        <v>3</v>
      </c>
      <c r="P398">
        <v>3</v>
      </c>
    </row>
    <row r="399" spans="1:16" x14ac:dyDescent="0.35">
      <c r="A399">
        <v>398</v>
      </c>
      <c r="B399" t="b">
        <v>0</v>
      </c>
      <c r="C399" s="18">
        <v>40561</v>
      </c>
      <c r="D399">
        <v>1</v>
      </c>
      <c r="E399">
        <v>0</v>
      </c>
      <c r="F399">
        <v>1</v>
      </c>
      <c r="G399">
        <v>13</v>
      </c>
      <c r="H399">
        <v>2</v>
      </c>
      <c r="I399">
        <v>2</v>
      </c>
      <c r="J399">
        <v>0.2</v>
      </c>
      <c r="K399">
        <v>0.19700000000000001</v>
      </c>
      <c r="L399">
        <v>0.86</v>
      </c>
      <c r="M399">
        <v>0.22389999999999999</v>
      </c>
      <c r="N399">
        <v>0</v>
      </c>
      <c r="O399">
        <v>22</v>
      </c>
      <c r="P399">
        <v>22</v>
      </c>
    </row>
    <row r="400" spans="1:16" x14ac:dyDescent="0.35">
      <c r="A400">
        <v>399</v>
      </c>
      <c r="B400" t="b">
        <v>0</v>
      </c>
      <c r="C400" s="18">
        <v>40561</v>
      </c>
      <c r="D400">
        <v>1</v>
      </c>
      <c r="E400">
        <v>0</v>
      </c>
      <c r="F400">
        <v>1</v>
      </c>
      <c r="G400">
        <v>14</v>
      </c>
      <c r="H400">
        <v>2</v>
      </c>
      <c r="I400">
        <v>2</v>
      </c>
      <c r="J400">
        <v>0.22</v>
      </c>
      <c r="K400">
        <v>0.2273</v>
      </c>
      <c r="L400">
        <v>0.8</v>
      </c>
      <c r="M400">
        <v>0.16420000000000001</v>
      </c>
      <c r="N400">
        <v>2</v>
      </c>
      <c r="O400">
        <v>26</v>
      </c>
      <c r="P400">
        <v>28</v>
      </c>
    </row>
    <row r="401" spans="1:16" x14ac:dyDescent="0.35">
      <c r="A401">
        <v>400</v>
      </c>
      <c r="B401" t="b">
        <v>0</v>
      </c>
      <c r="C401" s="18">
        <v>40561</v>
      </c>
      <c r="D401">
        <v>1</v>
      </c>
      <c r="E401">
        <v>0</v>
      </c>
      <c r="F401">
        <v>1</v>
      </c>
      <c r="G401">
        <v>15</v>
      </c>
      <c r="H401">
        <v>2</v>
      </c>
      <c r="I401">
        <v>2</v>
      </c>
      <c r="J401">
        <v>0.22</v>
      </c>
      <c r="K401">
        <v>0.2273</v>
      </c>
      <c r="L401">
        <v>0.87</v>
      </c>
      <c r="M401">
        <v>0.16420000000000001</v>
      </c>
      <c r="N401">
        <v>3</v>
      </c>
      <c r="O401">
        <v>32</v>
      </c>
      <c r="P401">
        <v>35</v>
      </c>
    </row>
    <row r="402" spans="1:16" x14ac:dyDescent="0.35">
      <c r="A402">
        <v>401</v>
      </c>
      <c r="B402" t="b">
        <v>0</v>
      </c>
      <c r="C402" s="18">
        <v>40561</v>
      </c>
      <c r="D402">
        <v>1</v>
      </c>
      <c r="E402">
        <v>0</v>
      </c>
      <c r="F402">
        <v>1</v>
      </c>
      <c r="G402">
        <v>16</v>
      </c>
      <c r="H402">
        <v>2</v>
      </c>
      <c r="I402">
        <v>2</v>
      </c>
      <c r="J402">
        <v>0.22</v>
      </c>
      <c r="K402">
        <v>0.2273</v>
      </c>
      <c r="L402">
        <v>0.87</v>
      </c>
      <c r="M402">
        <v>0.19400000000000001</v>
      </c>
      <c r="N402">
        <v>0</v>
      </c>
      <c r="O402">
        <v>61</v>
      </c>
      <c r="P402">
        <v>61</v>
      </c>
    </row>
    <row r="403" spans="1:16" x14ac:dyDescent="0.35">
      <c r="A403">
        <v>402</v>
      </c>
      <c r="B403" t="b">
        <v>0</v>
      </c>
      <c r="C403" s="18">
        <v>40561</v>
      </c>
      <c r="D403">
        <v>1</v>
      </c>
      <c r="E403">
        <v>0</v>
      </c>
      <c r="F403">
        <v>1</v>
      </c>
      <c r="G403">
        <v>17</v>
      </c>
      <c r="H403">
        <v>2</v>
      </c>
      <c r="I403">
        <v>2</v>
      </c>
      <c r="J403">
        <v>0.22</v>
      </c>
      <c r="K403">
        <v>0.2273</v>
      </c>
      <c r="L403">
        <v>0.82</v>
      </c>
      <c r="M403">
        <v>0.19400000000000001</v>
      </c>
      <c r="N403">
        <v>1</v>
      </c>
      <c r="O403">
        <v>124</v>
      </c>
      <c r="P403">
        <v>125</v>
      </c>
    </row>
    <row r="404" spans="1:16" x14ac:dyDescent="0.35">
      <c r="A404">
        <v>403</v>
      </c>
      <c r="B404" t="b">
        <v>0</v>
      </c>
      <c r="C404" s="18">
        <v>40561</v>
      </c>
      <c r="D404">
        <v>1</v>
      </c>
      <c r="E404">
        <v>0</v>
      </c>
      <c r="F404">
        <v>1</v>
      </c>
      <c r="G404">
        <v>18</v>
      </c>
      <c r="H404">
        <v>2</v>
      </c>
      <c r="I404">
        <v>2</v>
      </c>
      <c r="J404">
        <v>0.22</v>
      </c>
      <c r="K404">
        <v>0.2273</v>
      </c>
      <c r="L404">
        <v>0.8</v>
      </c>
      <c r="M404">
        <v>0.16420000000000001</v>
      </c>
      <c r="N404">
        <v>1</v>
      </c>
      <c r="O404">
        <v>132</v>
      </c>
      <c r="P404">
        <v>133</v>
      </c>
    </row>
    <row r="405" spans="1:16" x14ac:dyDescent="0.35">
      <c r="A405">
        <v>404</v>
      </c>
      <c r="B405" t="b">
        <v>0</v>
      </c>
      <c r="C405" s="18">
        <v>40561</v>
      </c>
      <c r="D405">
        <v>1</v>
      </c>
      <c r="E405">
        <v>0</v>
      </c>
      <c r="F405">
        <v>1</v>
      </c>
      <c r="G405">
        <v>19</v>
      </c>
      <c r="H405">
        <v>2</v>
      </c>
      <c r="I405">
        <v>2</v>
      </c>
      <c r="J405">
        <v>0.22</v>
      </c>
      <c r="K405">
        <v>0.2273</v>
      </c>
      <c r="L405">
        <v>0.8</v>
      </c>
      <c r="M405">
        <v>0.1343</v>
      </c>
      <c r="N405">
        <v>1</v>
      </c>
      <c r="O405">
        <v>98</v>
      </c>
      <c r="P405">
        <v>99</v>
      </c>
    </row>
    <row r="406" spans="1:16" x14ac:dyDescent="0.35">
      <c r="A406">
        <v>405</v>
      </c>
      <c r="B406" t="b">
        <v>0</v>
      </c>
      <c r="C406" s="18">
        <v>40561</v>
      </c>
      <c r="D406">
        <v>1</v>
      </c>
      <c r="E406">
        <v>0</v>
      </c>
      <c r="F406">
        <v>1</v>
      </c>
      <c r="G406">
        <v>20</v>
      </c>
      <c r="H406">
        <v>2</v>
      </c>
      <c r="I406">
        <v>2</v>
      </c>
      <c r="J406">
        <v>0.22</v>
      </c>
      <c r="K406">
        <v>0.2727</v>
      </c>
      <c r="L406">
        <v>0.87</v>
      </c>
      <c r="M406">
        <v>0</v>
      </c>
      <c r="N406">
        <v>0</v>
      </c>
      <c r="O406">
        <v>83</v>
      </c>
      <c r="P406">
        <v>83</v>
      </c>
    </row>
    <row r="407" spans="1:16" x14ac:dyDescent="0.35">
      <c r="A407">
        <v>406</v>
      </c>
      <c r="B407" t="b">
        <v>0</v>
      </c>
      <c r="C407" s="18">
        <v>40561</v>
      </c>
      <c r="D407">
        <v>1</v>
      </c>
      <c r="E407">
        <v>0</v>
      </c>
      <c r="F407">
        <v>1</v>
      </c>
      <c r="G407">
        <v>21</v>
      </c>
      <c r="H407">
        <v>2</v>
      </c>
      <c r="I407">
        <v>2</v>
      </c>
      <c r="J407">
        <v>0.22</v>
      </c>
      <c r="K407">
        <v>0.2424</v>
      </c>
      <c r="L407">
        <v>0.93</v>
      </c>
      <c r="M407">
        <v>0.1045</v>
      </c>
      <c r="N407">
        <v>0</v>
      </c>
      <c r="O407">
        <v>41</v>
      </c>
      <c r="P407">
        <v>41</v>
      </c>
    </row>
    <row r="408" spans="1:16" x14ac:dyDescent="0.35">
      <c r="A408">
        <v>407</v>
      </c>
      <c r="B408" t="b">
        <v>0</v>
      </c>
      <c r="C408" s="18">
        <v>40561</v>
      </c>
      <c r="D408">
        <v>1</v>
      </c>
      <c r="E408">
        <v>0</v>
      </c>
      <c r="F408">
        <v>1</v>
      </c>
      <c r="G408">
        <v>22</v>
      </c>
      <c r="H408">
        <v>2</v>
      </c>
      <c r="I408">
        <v>2</v>
      </c>
      <c r="J408">
        <v>0.22</v>
      </c>
      <c r="K408">
        <v>0.2576</v>
      </c>
      <c r="L408">
        <v>0.93</v>
      </c>
      <c r="M408">
        <v>8.9599999999999999E-2</v>
      </c>
      <c r="N408">
        <v>0</v>
      </c>
      <c r="O408">
        <v>33</v>
      </c>
      <c r="P408">
        <v>33</v>
      </c>
    </row>
    <row r="409" spans="1:16" x14ac:dyDescent="0.35">
      <c r="A409">
        <v>408</v>
      </c>
      <c r="B409" t="b">
        <v>0</v>
      </c>
      <c r="C409" s="18">
        <v>40561</v>
      </c>
      <c r="D409">
        <v>1</v>
      </c>
      <c r="E409">
        <v>0</v>
      </c>
      <c r="F409">
        <v>1</v>
      </c>
      <c r="G409">
        <v>23</v>
      </c>
      <c r="H409">
        <v>2</v>
      </c>
      <c r="I409">
        <v>2</v>
      </c>
      <c r="J409">
        <v>0.22</v>
      </c>
      <c r="K409">
        <v>0.2727</v>
      </c>
      <c r="L409">
        <v>0.93</v>
      </c>
      <c r="M409">
        <v>0</v>
      </c>
      <c r="N409">
        <v>1</v>
      </c>
      <c r="O409">
        <v>19</v>
      </c>
      <c r="P409">
        <v>20</v>
      </c>
    </row>
    <row r="410" spans="1:16" x14ac:dyDescent="0.35">
      <c r="A410">
        <v>409</v>
      </c>
      <c r="B410" t="b">
        <v>0</v>
      </c>
      <c r="C410" s="18">
        <v>40562</v>
      </c>
      <c r="D410">
        <v>1</v>
      </c>
      <c r="E410">
        <v>0</v>
      </c>
      <c r="F410">
        <v>1</v>
      </c>
      <c r="G410">
        <v>0</v>
      </c>
      <c r="H410">
        <v>3</v>
      </c>
      <c r="I410">
        <v>2</v>
      </c>
      <c r="J410">
        <v>0.22</v>
      </c>
      <c r="K410">
        <v>0.2727</v>
      </c>
      <c r="L410">
        <v>0.93</v>
      </c>
      <c r="M410">
        <v>0</v>
      </c>
      <c r="N410">
        <v>0</v>
      </c>
      <c r="O410">
        <v>3</v>
      </c>
      <c r="P410">
        <v>3</v>
      </c>
    </row>
    <row r="411" spans="1:16" x14ac:dyDescent="0.35">
      <c r="A411">
        <v>410</v>
      </c>
      <c r="B411" t="b">
        <v>0</v>
      </c>
      <c r="C411" s="18">
        <v>40562</v>
      </c>
      <c r="D411">
        <v>1</v>
      </c>
      <c r="E411">
        <v>0</v>
      </c>
      <c r="F411">
        <v>1</v>
      </c>
      <c r="G411">
        <v>1</v>
      </c>
      <c r="H411">
        <v>3</v>
      </c>
      <c r="I411">
        <v>3</v>
      </c>
      <c r="J411">
        <v>0.22</v>
      </c>
      <c r="K411">
        <v>0.2273</v>
      </c>
      <c r="L411">
        <v>0.93</v>
      </c>
      <c r="M411">
        <v>0.1343</v>
      </c>
      <c r="N411">
        <v>1</v>
      </c>
      <c r="O411">
        <v>6</v>
      </c>
      <c r="P411">
        <v>7</v>
      </c>
    </row>
    <row r="412" spans="1:16" x14ac:dyDescent="0.35">
      <c r="A412">
        <v>411</v>
      </c>
      <c r="B412" t="b">
        <v>0</v>
      </c>
      <c r="C412" s="18">
        <v>40562</v>
      </c>
      <c r="D412">
        <v>1</v>
      </c>
      <c r="E412">
        <v>0</v>
      </c>
      <c r="F412">
        <v>1</v>
      </c>
      <c r="G412">
        <v>2</v>
      </c>
      <c r="H412">
        <v>3</v>
      </c>
      <c r="I412">
        <v>3</v>
      </c>
      <c r="J412">
        <v>0.22</v>
      </c>
      <c r="K412">
        <v>0.2273</v>
      </c>
      <c r="L412">
        <v>0.93</v>
      </c>
      <c r="M412">
        <v>0.1343</v>
      </c>
      <c r="N412">
        <v>0</v>
      </c>
      <c r="O412">
        <v>3</v>
      </c>
      <c r="P412">
        <v>3</v>
      </c>
    </row>
    <row r="413" spans="1:16" x14ac:dyDescent="0.35">
      <c r="A413">
        <v>412</v>
      </c>
      <c r="B413" t="b">
        <v>0</v>
      </c>
      <c r="C413" s="18">
        <v>40562</v>
      </c>
      <c r="D413">
        <v>1</v>
      </c>
      <c r="E413">
        <v>0</v>
      </c>
      <c r="F413">
        <v>1</v>
      </c>
      <c r="G413">
        <v>4</v>
      </c>
      <c r="H413">
        <v>3</v>
      </c>
      <c r="I413">
        <v>3</v>
      </c>
      <c r="J413">
        <v>0.22</v>
      </c>
      <c r="K413">
        <v>0.2273</v>
      </c>
      <c r="L413">
        <v>0.93</v>
      </c>
      <c r="M413">
        <v>0.1343</v>
      </c>
      <c r="N413">
        <v>1</v>
      </c>
      <c r="O413">
        <v>1</v>
      </c>
      <c r="P413">
        <v>2</v>
      </c>
    </row>
    <row r="414" spans="1:16" x14ac:dyDescent="0.35">
      <c r="A414">
        <v>413</v>
      </c>
      <c r="B414" t="b">
        <v>0</v>
      </c>
      <c r="C414" s="18">
        <v>40562</v>
      </c>
      <c r="D414">
        <v>1</v>
      </c>
      <c r="E414">
        <v>0</v>
      </c>
      <c r="F414">
        <v>1</v>
      </c>
      <c r="G414">
        <v>5</v>
      </c>
      <c r="H414">
        <v>3</v>
      </c>
      <c r="I414">
        <v>2</v>
      </c>
      <c r="J414">
        <v>0.22</v>
      </c>
      <c r="K414">
        <v>0.2576</v>
      </c>
      <c r="L414">
        <v>0.93</v>
      </c>
      <c r="M414">
        <v>8.9599999999999999E-2</v>
      </c>
      <c r="N414">
        <v>0</v>
      </c>
      <c r="O414">
        <v>7</v>
      </c>
      <c r="P414">
        <v>7</v>
      </c>
    </row>
    <row r="415" spans="1:16" x14ac:dyDescent="0.35">
      <c r="A415">
        <v>414</v>
      </c>
      <c r="B415" t="b">
        <v>0</v>
      </c>
      <c r="C415" s="18">
        <v>40562</v>
      </c>
      <c r="D415">
        <v>1</v>
      </c>
      <c r="E415">
        <v>0</v>
      </c>
      <c r="F415">
        <v>1</v>
      </c>
      <c r="G415">
        <v>6</v>
      </c>
      <c r="H415">
        <v>3</v>
      </c>
      <c r="I415">
        <v>2</v>
      </c>
      <c r="J415">
        <v>0.22</v>
      </c>
      <c r="K415">
        <v>0.2576</v>
      </c>
      <c r="L415">
        <v>0.93</v>
      </c>
      <c r="M415">
        <v>8.9599999999999999E-2</v>
      </c>
      <c r="N415">
        <v>0</v>
      </c>
      <c r="O415">
        <v>32</v>
      </c>
      <c r="P415">
        <v>32</v>
      </c>
    </row>
    <row r="416" spans="1:16" x14ac:dyDescent="0.35">
      <c r="A416">
        <v>415</v>
      </c>
      <c r="B416" t="b">
        <v>0</v>
      </c>
      <c r="C416" s="18">
        <v>40562</v>
      </c>
      <c r="D416">
        <v>1</v>
      </c>
      <c r="E416">
        <v>0</v>
      </c>
      <c r="F416">
        <v>1</v>
      </c>
      <c r="G416">
        <v>7</v>
      </c>
      <c r="H416">
        <v>3</v>
      </c>
      <c r="I416">
        <v>2</v>
      </c>
      <c r="J416">
        <v>0.24</v>
      </c>
      <c r="K416">
        <v>0.2576</v>
      </c>
      <c r="L416">
        <v>0.92</v>
      </c>
      <c r="M416">
        <v>0.1045</v>
      </c>
      <c r="N416">
        <v>1</v>
      </c>
      <c r="O416">
        <v>89</v>
      </c>
      <c r="P416">
        <v>90</v>
      </c>
    </row>
    <row r="417" spans="1:16" x14ac:dyDescent="0.35">
      <c r="A417">
        <v>416</v>
      </c>
      <c r="B417" t="b">
        <v>0</v>
      </c>
      <c r="C417" s="18">
        <v>40562</v>
      </c>
      <c r="D417">
        <v>1</v>
      </c>
      <c r="E417">
        <v>0</v>
      </c>
      <c r="F417">
        <v>1</v>
      </c>
      <c r="G417">
        <v>8</v>
      </c>
      <c r="H417">
        <v>3</v>
      </c>
      <c r="I417">
        <v>2</v>
      </c>
      <c r="J417">
        <v>0.24</v>
      </c>
      <c r="K417">
        <v>0.2576</v>
      </c>
      <c r="L417">
        <v>0.93</v>
      </c>
      <c r="M417">
        <v>0.1045</v>
      </c>
      <c r="N417">
        <v>1</v>
      </c>
      <c r="O417">
        <v>196</v>
      </c>
      <c r="P417">
        <v>197</v>
      </c>
    </row>
    <row r="418" spans="1:16" x14ac:dyDescent="0.35">
      <c r="A418">
        <v>417</v>
      </c>
      <c r="B418" t="b">
        <v>0</v>
      </c>
      <c r="C418" s="18">
        <v>40562</v>
      </c>
      <c r="D418">
        <v>1</v>
      </c>
      <c r="E418">
        <v>0</v>
      </c>
      <c r="F418">
        <v>1</v>
      </c>
      <c r="G418">
        <v>9</v>
      </c>
      <c r="H418">
        <v>3</v>
      </c>
      <c r="I418">
        <v>2</v>
      </c>
      <c r="J418">
        <v>0.24</v>
      </c>
      <c r="K418">
        <v>0.2576</v>
      </c>
      <c r="L418">
        <v>0.93</v>
      </c>
      <c r="M418">
        <v>0.1045</v>
      </c>
      <c r="N418">
        <v>2</v>
      </c>
      <c r="O418">
        <v>107</v>
      </c>
      <c r="P418">
        <v>109</v>
      </c>
    </row>
    <row r="419" spans="1:16" x14ac:dyDescent="0.35">
      <c r="A419">
        <v>418</v>
      </c>
      <c r="B419" t="b">
        <v>0</v>
      </c>
      <c r="C419" s="18">
        <v>40562</v>
      </c>
      <c r="D419">
        <v>1</v>
      </c>
      <c r="E419">
        <v>0</v>
      </c>
      <c r="F419">
        <v>1</v>
      </c>
      <c r="G419">
        <v>10</v>
      </c>
      <c r="H419">
        <v>3</v>
      </c>
      <c r="I419">
        <v>2</v>
      </c>
      <c r="J419">
        <v>0.26</v>
      </c>
      <c r="K419">
        <v>0.2727</v>
      </c>
      <c r="L419">
        <v>0.93</v>
      </c>
      <c r="M419">
        <v>0.1343</v>
      </c>
      <c r="N419">
        <v>1</v>
      </c>
      <c r="O419">
        <v>46</v>
      </c>
      <c r="P419">
        <v>47</v>
      </c>
    </row>
    <row r="420" spans="1:16" x14ac:dyDescent="0.35">
      <c r="A420">
        <v>419</v>
      </c>
      <c r="B420" t="b">
        <v>0</v>
      </c>
      <c r="C420" s="18">
        <v>40562</v>
      </c>
      <c r="D420">
        <v>1</v>
      </c>
      <c r="E420">
        <v>0</v>
      </c>
      <c r="F420">
        <v>1</v>
      </c>
      <c r="G420">
        <v>11</v>
      </c>
      <c r="H420">
        <v>3</v>
      </c>
      <c r="I420">
        <v>2</v>
      </c>
      <c r="J420">
        <v>0.28000000000000003</v>
      </c>
      <c r="K420">
        <v>0.30299999999999999</v>
      </c>
      <c r="L420">
        <v>0.87</v>
      </c>
      <c r="M420">
        <v>8.9599999999999999E-2</v>
      </c>
      <c r="N420">
        <v>5</v>
      </c>
      <c r="O420">
        <v>47</v>
      </c>
      <c r="P420">
        <v>52</v>
      </c>
    </row>
    <row r="421" spans="1:16" x14ac:dyDescent="0.35">
      <c r="A421">
        <v>420</v>
      </c>
      <c r="B421" t="b">
        <v>0</v>
      </c>
      <c r="C421" s="18">
        <v>40562</v>
      </c>
      <c r="D421">
        <v>1</v>
      </c>
      <c r="E421">
        <v>0</v>
      </c>
      <c r="F421">
        <v>1</v>
      </c>
      <c r="G421">
        <v>12</v>
      </c>
      <c r="H421">
        <v>3</v>
      </c>
      <c r="I421">
        <v>2</v>
      </c>
      <c r="J421">
        <v>0.3</v>
      </c>
      <c r="K421">
        <v>0.31819999999999998</v>
      </c>
      <c r="L421">
        <v>0.81</v>
      </c>
      <c r="M421">
        <v>8.9599999999999999E-2</v>
      </c>
      <c r="N421">
        <v>5</v>
      </c>
      <c r="O421">
        <v>65</v>
      </c>
      <c r="P421">
        <v>70</v>
      </c>
    </row>
    <row r="422" spans="1:16" x14ac:dyDescent="0.35">
      <c r="A422">
        <v>421</v>
      </c>
      <c r="B422" t="b">
        <v>0</v>
      </c>
      <c r="C422" s="18">
        <v>40562</v>
      </c>
      <c r="D422">
        <v>1</v>
      </c>
      <c r="E422">
        <v>0</v>
      </c>
      <c r="F422">
        <v>1</v>
      </c>
      <c r="G422">
        <v>13</v>
      </c>
      <c r="H422">
        <v>3</v>
      </c>
      <c r="I422">
        <v>1</v>
      </c>
      <c r="J422">
        <v>0.4</v>
      </c>
      <c r="K422">
        <v>0.40910000000000002</v>
      </c>
      <c r="L422">
        <v>0.62</v>
      </c>
      <c r="M422">
        <v>0.28360000000000002</v>
      </c>
      <c r="N422">
        <v>11</v>
      </c>
      <c r="O422">
        <v>67</v>
      </c>
      <c r="P422">
        <v>78</v>
      </c>
    </row>
    <row r="423" spans="1:16" x14ac:dyDescent="0.35">
      <c r="A423">
        <v>422</v>
      </c>
      <c r="B423" t="b">
        <v>0</v>
      </c>
      <c r="C423" s="18">
        <v>40562</v>
      </c>
      <c r="D423">
        <v>1</v>
      </c>
      <c r="E423">
        <v>0</v>
      </c>
      <c r="F423">
        <v>1</v>
      </c>
      <c r="G423">
        <v>14</v>
      </c>
      <c r="H423">
        <v>3</v>
      </c>
      <c r="I423">
        <v>1</v>
      </c>
      <c r="J423">
        <v>0.4</v>
      </c>
      <c r="K423">
        <v>0.40910000000000002</v>
      </c>
      <c r="L423">
        <v>0.57999999999999996</v>
      </c>
      <c r="M423">
        <v>0.25369999999999998</v>
      </c>
      <c r="N423">
        <v>7</v>
      </c>
      <c r="O423">
        <v>68</v>
      </c>
      <c r="P423">
        <v>75</v>
      </c>
    </row>
    <row r="424" spans="1:16" x14ac:dyDescent="0.35">
      <c r="A424">
        <v>423</v>
      </c>
      <c r="B424" t="b">
        <v>0</v>
      </c>
      <c r="C424" s="18">
        <v>40562</v>
      </c>
      <c r="D424">
        <v>1</v>
      </c>
      <c r="E424">
        <v>0</v>
      </c>
      <c r="F424">
        <v>1</v>
      </c>
      <c r="G424">
        <v>15</v>
      </c>
      <c r="H424">
        <v>3</v>
      </c>
      <c r="I424">
        <v>1</v>
      </c>
      <c r="J424">
        <v>0.4</v>
      </c>
      <c r="K424">
        <v>0.40910000000000002</v>
      </c>
      <c r="L424">
        <v>0.54</v>
      </c>
      <c r="M424">
        <v>0.28360000000000002</v>
      </c>
      <c r="N424">
        <v>4</v>
      </c>
      <c r="O424">
        <v>78</v>
      </c>
      <c r="P424">
        <v>82</v>
      </c>
    </row>
    <row r="425" spans="1:16" x14ac:dyDescent="0.35">
      <c r="A425">
        <v>424</v>
      </c>
      <c r="B425" t="b">
        <v>0</v>
      </c>
      <c r="C425" s="18">
        <v>40562</v>
      </c>
      <c r="D425">
        <v>1</v>
      </c>
      <c r="E425">
        <v>0</v>
      </c>
      <c r="F425">
        <v>1</v>
      </c>
      <c r="G425">
        <v>16</v>
      </c>
      <c r="H425">
        <v>3</v>
      </c>
      <c r="I425">
        <v>1</v>
      </c>
      <c r="J425">
        <v>0.38</v>
      </c>
      <c r="K425">
        <v>0.39389999999999997</v>
      </c>
      <c r="L425">
        <v>0.57999999999999996</v>
      </c>
      <c r="M425">
        <v>0.3881</v>
      </c>
      <c r="N425">
        <v>10</v>
      </c>
      <c r="O425">
        <v>94</v>
      </c>
      <c r="P425">
        <v>104</v>
      </c>
    </row>
    <row r="426" spans="1:16" x14ac:dyDescent="0.35">
      <c r="A426">
        <v>425</v>
      </c>
      <c r="B426" t="b">
        <v>0</v>
      </c>
      <c r="C426" s="18">
        <v>40562</v>
      </c>
      <c r="D426">
        <v>1</v>
      </c>
      <c r="E426">
        <v>0</v>
      </c>
      <c r="F426">
        <v>1</v>
      </c>
      <c r="G426">
        <v>17</v>
      </c>
      <c r="H426">
        <v>3</v>
      </c>
      <c r="I426">
        <v>1</v>
      </c>
      <c r="J426">
        <v>0.36</v>
      </c>
      <c r="K426">
        <v>0.33329999999999999</v>
      </c>
      <c r="L426">
        <v>0.56999999999999995</v>
      </c>
      <c r="M426">
        <v>0.32840000000000003</v>
      </c>
      <c r="N426">
        <v>7</v>
      </c>
      <c r="O426">
        <v>190</v>
      </c>
      <c r="P426">
        <v>197</v>
      </c>
    </row>
    <row r="427" spans="1:16" x14ac:dyDescent="0.35">
      <c r="A427">
        <v>426</v>
      </c>
      <c r="B427" t="b">
        <v>0</v>
      </c>
      <c r="C427" s="18">
        <v>40562</v>
      </c>
      <c r="D427">
        <v>1</v>
      </c>
      <c r="E427">
        <v>0</v>
      </c>
      <c r="F427">
        <v>1</v>
      </c>
      <c r="G427">
        <v>18</v>
      </c>
      <c r="H427">
        <v>3</v>
      </c>
      <c r="I427">
        <v>1</v>
      </c>
      <c r="J427">
        <v>0.34</v>
      </c>
      <c r="K427">
        <v>0.31819999999999998</v>
      </c>
      <c r="L427">
        <v>0.61</v>
      </c>
      <c r="M427">
        <v>0.28360000000000002</v>
      </c>
      <c r="N427">
        <v>5</v>
      </c>
      <c r="O427">
        <v>156</v>
      </c>
      <c r="P427">
        <v>161</v>
      </c>
    </row>
    <row r="428" spans="1:16" x14ac:dyDescent="0.35">
      <c r="A428">
        <v>427</v>
      </c>
      <c r="B428" t="b">
        <v>0</v>
      </c>
      <c r="C428" s="18">
        <v>40562</v>
      </c>
      <c r="D428">
        <v>1</v>
      </c>
      <c r="E428">
        <v>0</v>
      </c>
      <c r="F428">
        <v>1</v>
      </c>
      <c r="G428">
        <v>19</v>
      </c>
      <c r="H428">
        <v>3</v>
      </c>
      <c r="I428">
        <v>1</v>
      </c>
      <c r="J428">
        <v>0.32</v>
      </c>
      <c r="K428">
        <v>0.28789999999999999</v>
      </c>
      <c r="L428">
        <v>0.56999999999999995</v>
      </c>
      <c r="M428">
        <v>0.41789999999999999</v>
      </c>
      <c r="N428">
        <v>4</v>
      </c>
      <c r="O428">
        <v>108</v>
      </c>
      <c r="P428">
        <v>112</v>
      </c>
    </row>
    <row r="429" spans="1:16" x14ac:dyDescent="0.35">
      <c r="A429">
        <v>428</v>
      </c>
      <c r="B429" t="b">
        <v>0</v>
      </c>
      <c r="C429" s="18">
        <v>40562</v>
      </c>
      <c r="D429">
        <v>1</v>
      </c>
      <c r="E429">
        <v>0</v>
      </c>
      <c r="F429">
        <v>1</v>
      </c>
      <c r="G429">
        <v>20</v>
      </c>
      <c r="H429">
        <v>3</v>
      </c>
      <c r="I429">
        <v>1</v>
      </c>
      <c r="J429">
        <v>0.32</v>
      </c>
      <c r="K429">
        <v>0.30299999999999999</v>
      </c>
      <c r="L429">
        <v>0.49</v>
      </c>
      <c r="M429">
        <v>0.29849999999999999</v>
      </c>
      <c r="N429">
        <v>2</v>
      </c>
      <c r="O429">
        <v>74</v>
      </c>
      <c r="P429">
        <v>76</v>
      </c>
    </row>
    <row r="430" spans="1:16" x14ac:dyDescent="0.35">
      <c r="A430">
        <v>429</v>
      </c>
      <c r="B430" t="b">
        <v>0</v>
      </c>
      <c r="C430" s="18">
        <v>40562</v>
      </c>
      <c r="D430">
        <v>1</v>
      </c>
      <c r="E430">
        <v>0</v>
      </c>
      <c r="F430">
        <v>1</v>
      </c>
      <c r="G430">
        <v>21</v>
      </c>
      <c r="H430">
        <v>3</v>
      </c>
      <c r="I430">
        <v>1</v>
      </c>
      <c r="J430">
        <v>0.32</v>
      </c>
      <c r="K430">
        <v>0.28789999999999999</v>
      </c>
      <c r="L430">
        <v>0.49</v>
      </c>
      <c r="M430">
        <v>0.41789999999999999</v>
      </c>
      <c r="N430">
        <v>4</v>
      </c>
      <c r="O430">
        <v>55</v>
      </c>
      <c r="P430">
        <v>59</v>
      </c>
    </row>
    <row r="431" spans="1:16" x14ac:dyDescent="0.35">
      <c r="A431">
        <v>430</v>
      </c>
      <c r="B431" t="b">
        <v>0</v>
      </c>
      <c r="C431" s="18">
        <v>40562</v>
      </c>
      <c r="D431">
        <v>1</v>
      </c>
      <c r="E431">
        <v>0</v>
      </c>
      <c r="F431">
        <v>1</v>
      </c>
      <c r="G431">
        <v>22</v>
      </c>
      <c r="H431">
        <v>3</v>
      </c>
      <c r="I431">
        <v>1</v>
      </c>
      <c r="J431">
        <v>0.3</v>
      </c>
      <c r="K431">
        <v>0.30299999999999999</v>
      </c>
      <c r="L431">
        <v>0.52</v>
      </c>
      <c r="M431">
        <v>0.16420000000000001</v>
      </c>
      <c r="N431">
        <v>6</v>
      </c>
      <c r="O431">
        <v>53</v>
      </c>
      <c r="P431">
        <v>59</v>
      </c>
    </row>
    <row r="432" spans="1:16" x14ac:dyDescent="0.35">
      <c r="A432">
        <v>431</v>
      </c>
      <c r="B432" t="b">
        <v>0</v>
      </c>
      <c r="C432" s="18">
        <v>40562</v>
      </c>
      <c r="D432">
        <v>1</v>
      </c>
      <c r="E432">
        <v>0</v>
      </c>
      <c r="F432">
        <v>1</v>
      </c>
      <c r="G432">
        <v>23</v>
      </c>
      <c r="H432">
        <v>3</v>
      </c>
      <c r="I432">
        <v>1</v>
      </c>
      <c r="J432">
        <v>0.3</v>
      </c>
      <c r="K432">
        <v>0.2727</v>
      </c>
      <c r="L432">
        <v>0.52</v>
      </c>
      <c r="M432">
        <v>0.4627</v>
      </c>
      <c r="N432">
        <v>1</v>
      </c>
      <c r="O432">
        <v>27</v>
      </c>
      <c r="P432">
        <v>28</v>
      </c>
    </row>
    <row r="433" spans="1:16" x14ac:dyDescent="0.35">
      <c r="A433">
        <v>432</v>
      </c>
      <c r="B433" t="b">
        <v>0</v>
      </c>
      <c r="C433" s="18">
        <v>40563</v>
      </c>
      <c r="D433">
        <v>1</v>
      </c>
      <c r="E433">
        <v>0</v>
      </c>
      <c r="F433">
        <v>1</v>
      </c>
      <c r="G433">
        <v>0</v>
      </c>
      <c r="H433">
        <v>4</v>
      </c>
      <c r="I433">
        <v>1</v>
      </c>
      <c r="J433">
        <v>0.26</v>
      </c>
      <c r="K433">
        <v>0.2273</v>
      </c>
      <c r="L433">
        <v>0.56000000000000005</v>
      </c>
      <c r="M433">
        <v>0.3881</v>
      </c>
      <c r="N433">
        <v>5</v>
      </c>
      <c r="O433">
        <v>8</v>
      </c>
      <c r="P433">
        <v>13</v>
      </c>
    </row>
    <row r="434" spans="1:16" x14ac:dyDescent="0.35">
      <c r="A434">
        <v>433</v>
      </c>
      <c r="B434" t="b">
        <v>0</v>
      </c>
      <c r="C434" s="18">
        <v>40563</v>
      </c>
      <c r="D434">
        <v>1</v>
      </c>
      <c r="E434">
        <v>0</v>
      </c>
      <c r="F434">
        <v>1</v>
      </c>
      <c r="G434">
        <v>1</v>
      </c>
      <c r="H434">
        <v>4</v>
      </c>
      <c r="I434">
        <v>1</v>
      </c>
      <c r="J434">
        <v>0.26</v>
      </c>
      <c r="K434">
        <v>0.2727</v>
      </c>
      <c r="L434">
        <v>0.56000000000000005</v>
      </c>
      <c r="M434">
        <v>0</v>
      </c>
      <c r="N434">
        <v>2</v>
      </c>
      <c r="O434">
        <v>3</v>
      </c>
      <c r="P434">
        <v>5</v>
      </c>
    </row>
    <row r="435" spans="1:16" x14ac:dyDescent="0.35">
      <c r="A435">
        <v>434</v>
      </c>
      <c r="B435" t="b">
        <v>0</v>
      </c>
      <c r="C435" s="18">
        <v>40563</v>
      </c>
      <c r="D435">
        <v>1</v>
      </c>
      <c r="E435">
        <v>0</v>
      </c>
      <c r="F435">
        <v>1</v>
      </c>
      <c r="G435">
        <v>2</v>
      </c>
      <c r="H435">
        <v>4</v>
      </c>
      <c r="I435">
        <v>1</v>
      </c>
      <c r="J435">
        <v>0.26</v>
      </c>
      <c r="K435">
        <v>0.2727</v>
      </c>
      <c r="L435">
        <v>0.56000000000000005</v>
      </c>
      <c r="M435">
        <v>0</v>
      </c>
      <c r="N435">
        <v>0</v>
      </c>
      <c r="O435">
        <v>2</v>
      </c>
      <c r="P435">
        <v>2</v>
      </c>
    </row>
    <row r="436" spans="1:16" x14ac:dyDescent="0.35">
      <c r="A436">
        <v>435</v>
      </c>
      <c r="B436" t="b">
        <v>0</v>
      </c>
      <c r="C436" s="18">
        <v>40563</v>
      </c>
      <c r="D436">
        <v>1</v>
      </c>
      <c r="E436">
        <v>0</v>
      </c>
      <c r="F436">
        <v>1</v>
      </c>
      <c r="G436">
        <v>3</v>
      </c>
      <c r="H436">
        <v>4</v>
      </c>
      <c r="I436">
        <v>1</v>
      </c>
      <c r="J436">
        <v>0.26</v>
      </c>
      <c r="K436">
        <v>0.2576</v>
      </c>
      <c r="L436">
        <v>0.56000000000000005</v>
      </c>
      <c r="M436">
        <v>0.16420000000000001</v>
      </c>
      <c r="N436">
        <v>0</v>
      </c>
      <c r="O436">
        <v>1</v>
      </c>
      <c r="P436">
        <v>1</v>
      </c>
    </row>
    <row r="437" spans="1:16" x14ac:dyDescent="0.35">
      <c r="A437">
        <v>436</v>
      </c>
      <c r="B437" t="b">
        <v>0</v>
      </c>
      <c r="C437" s="18">
        <v>40563</v>
      </c>
      <c r="D437">
        <v>1</v>
      </c>
      <c r="E437">
        <v>0</v>
      </c>
      <c r="F437">
        <v>1</v>
      </c>
      <c r="G437">
        <v>4</v>
      </c>
      <c r="H437">
        <v>4</v>
      </c>
      <c r="I437">
        <v>1</v>
      </c>
      <c r="J437">
        <v>0.26</v>
      </c>
      <c r="K437">
        <v>0.2576</v>
      </c>
      <c r="L437">
        <v>0.56000000000000005</v>
      </c>
      <c r="M437">
        <v>0.16420000000000001</v>
      </c>
      <c r="N437">
        <v>0</v>
      </c>
      <c r="O437">
        <v>1</v>
      </c>
      <c r="P437">
        <v>1</v>
      </c>
    </row>
    <row r="438" spans="1:16" x14ac:dyDescent="0.35">
      <c r="A438">
        <v>437</v>
      </c>
      <c r="B438" t="b">
        <v>0</v>
      </c>
      <c r="C438" s="18">
        <v>40563</v>
      </c>
      <c r="D438">
        <v>1</v>
      </c>
      <c r="E438">
        <v>0</v>
      </c>
      <c r="F438">
        <v>1</v>
      </c>
      <c r="G438">
        <v>5</v>
      </c>
      <c r="H438">
        <v>4</v>
      </c>
      <c r="I438">
        <v>1</v>
      </c>
      <c r="J438">
        <v>0.24</v>
      </c>
      <c r="K438">
        <v>0.2273</v>
      </c>
      <c r="L438">
        <v>0.6</v>
      </c>
      <c r="M438">
        <v>0.22389999999999999</v>
      </c>
      <c r="N438">
        <v>0</v>
      </c>
      <c r="O438">
        <v>6</v>
      </c>
      <c r="P438">
        <v>6</v>
      </c>
    </row>
    <row r="439" spans="1:16" x14ac:dyDescent="0.35">
      <c r="A439">
        <v>438</v>
      </c>
      <c r="B439" t="b">
        <v>0</v>
      </c>
      <c r="C439" s="18">
        <v>40563</v>
      </c>
      <c r="D439">
        <v>1</v>
      </c>
      <c r="E439">
        <v>0</v>
      </c>
      <c r="F439">
        <v>1</v>
      </c>
      <c r="G439">
        <v>6</v>
      </c>
      <c r="H439">
        <v>4</v>
      </c>
      <c r="I439">
        <v>1</v>
      </c>
      <c r="J439">
        <v>0.22</v>
      </c>
      <c r="K439">
        <v>0.21210000000000001</v>
      </c>
      <c r="L439">
        <v>0.6</v>
      </c>
      <c r="M439">
        <v>0.22389999999999999</v>
      </c>
      <c r="N439">
        <v>0</v>
      </c>
      <c r="O439">
        <v>35</v>
      </c>
      <c r="P439">
        <v>35</v>
      </c>
    </row>
    <row r="440" spans="1:16" x14ac:dyDescent="0.35">
      <c r="A440">
        <v>439</v>
      </c>
      <c r="B440" t="b">
        <v>0</v>
      </c>
      <c r="C440" s="18">
        <v>40563</v>
      </c>
      <c r="D440">
        <v>1</v>
      </c>
      <c r="E440">
        <v>0</v>
      </c>
      <c r="F440">
        <v>1</v>
      </c>
      <c r="G440">
        <v>7</v>
      </c>
      <c r="H440">
        <v>4</v>
      </c>
      <c r="I440">
        <v>1</v>
      </c>
      <c r="J440">
        <v>0.22</v>
      </c>
      <c r="K440">
        <v>0.21210000000000001</v>
      </c>
      <c r="L440">
        <v>0.55000000000000004</v>
      </c>
      <c r="M440">
        <v>0.22389999999999999</v>
      </c>
      <c r="N440">
        <v>1</v>
      </c>
      <c r="O440">
        <v>100</v>
      </c>
      <c r="P440">
        <v>101</v>
      </c>
    </row>
    <row r="441" spans="1:16" x14ac:dyDescent="0.35">
      <c r="A441">
        <v>440</v>
      </c>
      <c r="B441" t="b">
        <v>0</v>
      </c>
      <c r="C441" s="18">
        <v>40563</v>
      </c>
      <c r="D441">
        <v>1</v>
      </c>
      <c r="E441">
        <v>0</v>
      </c>
      <c r="F441">
        <v>1</v>
      </c>
      <c r="G441">
        <v>8</v>
      </c>
      <c r="H441">
        <v>4</v>
      </c>
      <c r="I441">
        <v>1</v>
      </c>
      <c r="J441">
        <v>0.22</v>
      </c>
      <c r="K441">
        <v>0.21210000000000001</v>
      </c>
      <c r="L441">
        <v>0.55000000000000004</v>
      </c>
      <c r="M441">
        <v>0.28360000000000002</v>
      </c>
      <c r="N441">
        <v>2</v>
      </c>
      <c r="O441">
        <v>247</v>
      </c>
      <c r="P441">
        <v>249</v>
      </c>
    </row>
    <row r="442" spans="1:16" x14ac:dyDescent="0.35">
      <c r="A442">
        <v>441</v>
      </c>
      <c r="B442" t="b">
        <v>0</v>
      </c>
      <c r="C442" s="18">
        <v>40563</v>
      </c>
      <c r="D442">
        <v>1</v>
      </c>
      <c r="E442">
        <v>0</v>
      </c>
      <c r="F442">
        <v>1</v>
      </c>
      <c r="G442">
        <v>9</v>
      </c>
      <c r="H442">
        <v>4</v>
      </c>
      <c r="I442">
        <v>2</v>
      </c>
      <c r="J442">
        <v>0.24</v>
      </c>
      <c r="K442">
        <v>0.2273</v>
      </c>
      <c r="L442">
        <v>0.52</v>
      </c>
      <c r="M442">
        <v>0.22389999999999999</v>
      </c>
      <c r="N442">
        <v>3</v>
      </c>
      <c r="O442">
        <v>140</v>
      </c>
      <c r="P442">
        <v>143</v>
      </c>
    </row>
    <row r="443" spans="1:16" x14ac:dyDescent="0.35">
      <c r="A443">
        <v>442</v>
      </c>
      <c r="B443" t="b">
        <v>0</v>
      </c>
      <c r="C443" s="18">
        <v>40563</v>
      </c>
      <c r="D443">
        <v>1</v>
      </c>
      <c r="E443">
        <v>0</v>
      </c>
      <c r="F443">
        <v>1</v>
      </c>
      <c r="G443">
        <v>10</v>
      </c>
      <c r="H443">
        <v>4</v>
      </c>
      <c r="I443">
        <v>1</v>
      </c>
      <c r="J443">
        <v>0.26</v>
      </c>
      <c r="K443">
        <v>0.2273</v>
      </c>
      <c r="L443">
        <v>0.48</v>
      </c>
      <c r="M443">
        <v>0.29849999999999999</v>
      </c>
      <c r="N443">
        <v>1</v>
      </c>
      <c r="O443">
        <v>56</v>
      </c>
      <c r="P443">
        <v>57</v>
      </c>
    </row>
    <row r="444" spans="1:16" x14ac:dyDescent="0.35">
      <c r="A444">
        <v>443</v>
      </c>
      <c r="B444" t="b">
        <v>0</v>
      </c>
      <c r="C444" s="18">
        <v>40563</v>
      </c>
      <c r="D444">
        <v>1</v>
      </c>
      <c r="E444">
        <v>0</v>
      </c>
      <c r="F444">
        <v>1</v>
      </c>
      <c r="G444">
        <v>11</v>
      </c>
      <c r="H444">
        <v>4</v>
      </c>
      <c r="I444">
        <v>2</v>
      </c>
      <c r="J444">
        <v>0.28000000000000003</v>
      </c>
      <c r="K444">
        <v>0.2727</v>
      </c>
      <c r="L444">
        <v>0.45</v>
      </c>
      <c r="M444">
        <v>0.16420000000000001</v>
      </c>
      <c r="N444">
        <v>5</v>
      </c>
      <c r="O444">
        <v>63</v>
      </c>
      <c r="P444">
        <v>68</v>
      </c>
    </row>
    <row r="445" spans="1:16" x14ac:dyDescent="0.35">
      <c r="A445">
        <v>444</v>
      </c>
      <c r="B445" t="b">
        <v>0</v>
      </c>
      <c r="C445" s="18">
        <v>40563</v>
      </c>
      <c r="D445">
        <v>1</v>
      </c>
      <c r="E445">
        <v>0</v>
      </c>
      <c r="F445">
        <v>1</v>
      </c>
      <c r="G445">
        <v>12</v>
      </c>
      <c r="H445">
        <v>4</v>
      </c>
      <c r="I445">
        <v>2</v>
      </c>
      <c r="J445">
        <v>0.3</v>
      </c>
      <c r="K445">
        <v>0.33329999999999999</v>
      </c>
      <c r="L445">
        <v>0.42</v>
      </c>
      <c r="M445">
        <v>0</v>
      </c>
      <c r="N445">
        <v>7</v>
      </c>
      <c r="O445">
        <v>77</v>
      </c>
      <c r="P445">
        <v>84</v>
      </c>
    </row>
    <row r="446" spans="1:16" x14ac:dyDescent="0.35">
      <c r="A446">
        <v>445</v>
      </c>
      <c r="B446" t="b">
        <v>0</v>
      </c>
      <c r="C446" s="18">
        <v>40563</v>
      </c>
      <c r="D446">
        <v>1</v>
      </c>
      <c r="E446">
        <v>0</v>
      </c>
      <c r="F446">
        <v>1</v>
      </c>
      <c r="G446">
        <v>13</v>
      </c>
      <c r="H446">
        <v>4</v>
      </c>
      <c r="I446">
        <v>2</v>
      </c>
      <c r="J446">
        <v>0.28000000000000003</v>
      </c>
      <c r="K446">
        <v>0.28789999999999999</v>
      </c>
      <c r="L446">
        <v>0.45</v>
      </c>
      <c r="M446">
        <v>0.1045</v>
      </c>
      <c r="N446">
        <v>12</v>
      </c>
      <c r="O446">
        <v>86</v>
      </c>
      <c r="P446">
        <v>98</v>
      </c>
    </row>
    <row r="447" spans="1:16" x14ac:dyDescent="0.35">
      <c r="A447">
        <v>446</v>
      </c>
      <c r="B447" t="b">
        <v>0</v>
      </c>
      <c r="C447" s="18">
        <v>40563</v>
      </c>
      <c r="D447">
        <v>1</v>
      </c>
      <c r="E447">
        <v>0</v>
      </c>
      <c r="F447">
        <v>1</v>
      </c>
      <c r="G447">
        <v>14</v>
      </c>
      <c r="H447">
        <v>4</v>
      </c>
      <c r="I447">
        <v>2</v>
      </c>
      <c r="J447">
        <v>0.3</v>
      </c>
      <c r="K447">
        <v>0.30299999999999999</v>
      </c>
      <c r="L447">
        <v>0.45</v>
      </c>
      <c r="M447">
        <v>0.1343</v>
      </c>
      <c r="N447">
        <v>6</v>
      </c>
      <c r="O447">
        <v>75</v>
      </c>
      <c r="P447">
        <v>81</v>
      </c>
    </row>
    <row r="448" spans="1:16" x14ac:dyDescent="0.35">
      <c r="A448">
        <v>447</v>
      </c>
      <c r="B448" t="b">
        <v>0</v>
      </c>
      <c r="C448" s="18">
        <v>40563</v>
      </c>
      <c r="D448">
        <v>1</v>
      </c>
      <c r="E448">
        <v>0</v>
      </c>
      <c r="F448">
        <v>1</v>
      </c>
      <c r="G448">
        <v>15</v>
      </c>
      <c r="H448">
        <v>4</v>
      </c>
      <c r="I448">
        <v>2</v>
      </c>
      <c r="J448">
        <v>0.32</v>
      </c>
      <c r="K448">
        <v>0.31819999999999998</v>
      </c>
      <c r="L448">
        <v>0.45</v>
      </c>
      <c r="M448">
        <v>0.19400000000000001</v>
      </c>
      <c r="N448">
        <v>8</v>
      </c>
      <c r="O448">
        <v>62</v>
      </c>
      <c r="P448">
        <v>70</v>
      </c>
    </row>
    <row r="449" spans="1:16" x14ac:dyDescent="0.35">
      <c r="A449">
        <v>448</v>
      </c>
      <c r="B449" t="b">
        <v>0</v>
      </c>
      <c r="C449" s="18">
        <v>40563</v>
      </c>
      <c r="D449">
        <v>1</v>
      </c>
      <c r="E449">
        <v>0</v>
      </c>
      <c r="F449">
        <v>1</v>
      </c>
      <c r="G449">
        <v>16</v>
      </c>
      <c r="H449">
        <v>4</v>
      </c>
      <c r="I449">
        <v>2</v>
      </c>
      <c r="J449">
        <v>0.3</v>
      </c>
      <c r="K449">
        <v>0.30299999999999999</v>
      </c>
      <c r="L449">
        <v>0.49</v>
      </c>
      <c r="M449">
        <v>0.1343</v>
      </c>
      <c r="N449">
        <v>8</v>
      </c>
      <c r="O449">
        <v>83</v>
      </c>
      <c r="P449">
        <v>91</v>
      </c>
    </row>
    <row r="450" spans="1:16" x14ac:dyDescent="0.35">
      <c r="A450">
        <v>449</v>
      </c>
      <c r="B450" t="b">
        <v>0</v>
      </c>
      <c r="C450" s="18">
        <v>40563</v>
      </c>
      <c r="D450">
        <v>1</v>
      </c>
      <c r="E450">
        <v>0</v>
      </c>
      <c r="F450">
        <v>1</v>
      </c>
      <c r="G450">
        <v>17</v>
      </c>
      <c r="H450">
        <v>4</v>
      </c>
      <c r="I450">
        <v>2</v>
      </c>
      <c r="J450">
        <v>0.3</v>
      </c>
      <c r="K450">
        <v>0.31819999999999998</v>
      </c>
      <c r="L450">
        <v>0.49</v>
      </c>
      <c r="M450">
        <v>0.1045</v>
      </c>
      <c r="N450">
        <v>8</v>
      </c>
      <c r="O450">
        <v>207</v>
      </c>
      <c r="P450">
        <v>215</v>
      </c>
    </row>
    <row r="451" spans="1:16" x14ac:dyDescent="0.35">
      <c r="A451">
        <v>450</v>
      </c>
      <c r="B451" t="b">
        <v>0</v>
      </c>
      <c r="C451" s="18">
        <v>40563</v>
      </c>
      <c r="D451">
        <v>1</v>
      </c>
      <c r="E451">
        <v>0</v>
      </c>
      <c r="F451">
        <v>1</v>
      </c>
      <c r="G451">
        <v>18</v>
      </c>
      <c r="H451">
        <v>4</v>
      </c>
      <c r="I451">
        <v>2</v>
      </c>
      <c r="J451">
        <v>0.26</v>
      </c>
      <c r="K451">
        <v>0.2576</v>
      </c>
      <c r="L451">
        <v>0.56000000000000005</v>
      </c>
      <c r="M451">
        <v>0.19400000000000001</v>
      </c>
      <c r="N451">
        <v>1</v>
      </c>
      <c r="O451">
        <v>184</v>
      </c>
      <c r="P451">
        <v>185</v>
      </c>
    </row>
    <row r="452" spans="1:16" x14ac:dyDescent="0.35">
      <c r="A452">
        <v>451</v>
      </c>
      <c r="B452" t="b">
        <v>0</v>
      </c>
      <c r="C452" s="18">
        <v>40563</v>
      </c>
      <c r="D452">
        <v>1</v>
      </c>
      <c r="E452">
        <v>0</v>
      </c>
      <c r="F452">
        <v>1</v>
      </c>
      <c r="G452">
        <v>19</v>
      </c>
      <c r="H452">
        <v>4</v>
      </c>
      <c r="I452">
        <v>1</v>
      </c>
      <c r="J452">
        <v>0.26</v>
      </c>
      <c r="K452">
        <v>0.2273</v>
      </c>
      <c r="L452">
        <v>0.56000000000000005</v>
      </c>
      <c r="M452">
        <v>0.32840000000000003</v>
      </c>
      <c r="N452">
        <v>6</v>
      </c>
      <c r="O452">
        <v>146</v>
      </c>
      <c r="P452">
        <v>152</v>
      </c>
    </row>
    <row r="453" spans="1:16" x14ac:dyDescent="0.35">
      <c r="A453">
        <v>452</v>
      </c>
      <c r="B453" t="b">
        <v>0</v>
      </c>
      <c r="C453" s="18">
        <v>40563</v>
      </c>
      <c r="D453">
        <v>1</v>
      </c>
      <c r="E453">
        <v>0</v>
      </c>
      <c r="F453">
        <v>1</v>
      </c>
      <c r="G453">
        <v>20</v>
      </c>
      <c r="H453">
        <v>4</v>
      </c>
      <c r="I453">
        <v>2</v>
      </c>
      <c r="J453">
        <v>0.26</v>
      </c>
      <c r="K453">
        <v>0.2424</v>
      </c>
      <c r="L453">
        <v>0.6</v>
      </c>
      <c r="M453">
        <v>0.28360000000000002</v>
      </c>
      <c r="N453">
        <v>2</v>
      </c>
      <c r="O453">
        <v>124</v>
      </c>
      <c r="P453">
        <v>126</v>
      </c>
    </row>
    <row r="454" spans="1:16" x14ac:dyDescent="0.35">
      <c r="A454">
        <v>453</v>
      </c>
      <c r="B454" t="b">
        <v>0</v>
      </c>
      <c r="C454" s="18">
        <v>40563</v>
      </c>
      <c r="D454">
        <v>1</v>
      </c>
      <c r="E454">
        <v>0</v>
      </c>
      <c r="F454">
        <v>1</v>
      </c>
      <c r="G454">
        <v>21</v>
      </c>
      <c r="H454">
        <v>4</v>
      </c>
      <c r="I454">
        <v>2</v>
      </c>
      <c r="J454">
        <v>0.24</v>
      </c>
      <c r="K454">
        <v>0.2273</v>
      </c>
      <c r="L454">
        <v>0.6</v>
      </c>
      <c r="M454">
        <v>0.25369999999999998</v>
      </c>
      <c r="N454">
        <v>3</v>
      </c>
      <c r="O454">
        <v>54</v>
      </c>
      <c r="P454">
        <v>57</v>
      </c>
    </row>
    <row r="455" spans="1:16" x14ac:dyDescent="0.35">
      <c r="A455">
        <v>454</v>
      </c>
      <c r="B455" t="b">
        <v>0</v>
      </c>
      <c r="C455" s="18">
        <v>40563</v>
      </c>
      <c r="D455">
        <v>1</v>
      </c>
      <c r="E455">
        <v>0</v>
      </c>
      <c r="F455">
        <v>1</v>
      </c>
      <c r="G455">
        <v>22</v>
      </c>
      <c r="H455">
        <v>4</v>
      </c>
      <c r="I455">
        <v>2</v>
      </c>
      <c r="J455">
        <v>0.24</v>
      </c>
      <c r="K455">
        <v>0.21210000000000001</v>
      </c>
      <c r="L455">
        <v>0.65</v>
      </c>
      <c r="M455">
        <v>0.28360000000000002</v>
      </c>
      <c r="N455">
        <v>0</v>
      </c>
      <c r="O455">
        <v>56</v>
      </c>
      <c r="P455">
        <v>56</v>
      </c>
    </row>
    <row r="456" spans="1:16" x14ac:dyDescent="0.35">
      <c r="A456">
        <v>455</v>
      </c>
      <c r="B456" t="b">
        <v>0</v>
      </c>
      <c r="C456" s="18">
        <v>40563</v>
      </c>
      <c r="D456">
        <v>1</v>
      </c>
      <c r="E456">
        <v>0</v>
      </c>
      <c r="F456">
        <v>1</v>
      </c>
      <c r="G456">
        <v>23</v>
      </c>
      <c r="H456">
        <v>4</v>
      </c>
      <c r="I456">
        <v>2</v>
      </c>
      <c r="J456">
        <v>0.24</v>
      </c>
      <c r="K456">
        <v>0.21210000000000001</v>
      </c>
      <c r="L456">
        <v>0.65</v>
      </c>
      <c r="M456">
        <v>0.32840000000000003</v>
      </c>
      <c r="N456">
        <v>3</v>
      </c>
      <c r="O456">
        <v>28</v>
      </c>
      <c r="P456">
        <v>31</v>
      </c>
    </row>
    <row r="457" spans="1:16" x14ac:dyDescent="0.35">
      <c r="A457">
        <v>456</v>
      </c>
      <c r="B457" t="b">
        <v>0</v>
      </c>
      <c r="C457" s="18">
        <v>40564</v>
      </c>
      <c r="D457">
        <v>1</v>
      </c>
      <c r="E457">
        <v>0</v>
      </c>
      <c r="F457">
        <v>1</v>
      </c>
      <c r="G457">
        <v>0</v>
      </c>
      <c r="H457">
        <v>5</v>
      </c>
      <c r="I457">
        <v>2</v>
      </c>
      <c r="J457">
        <v>0.24</v>
      </c>
      <c r="K457">
        <v>0.2273</v>
      </c>
      <c r="L457">
        <v>0.7</v>
      </c>
      <c r="M457">
        <v>0.25369999999999998</v>
      </c>
      <c r="N457">
        <v>1</v>
      </c>
      <c r="O457">
        <v>20</v>
      </c>
      <c r="P457">
        <v>21</v>
      </c>
    </row>
    <row r="458" spans="1:16" x14ac:dyDescent="0.35">
      <c r="A458">
        <v>457</v>
      </c>
      <c r="B458" t="b">
        <v>0</v>
      </c>
      <c r="C458" s="18">
        <v>40564</v>
      </c>
      <c r="D458">
        <v>1</v>
      </c>
      <c r="E458">
        <v>0</v>
      </c>
      <c r="F458">
        <v>1</v>
      </c>
      <c r="G458">
        <v>1</v>
      </c>
      <c r="H458">
        <v>5</v>
      </c>
      <c r="I458">
        <v>2</v>
      </c>
      <c r="J458">
        <v>0.24</v>
      </c>
      <c r="K458">
        <v>0.2273</v>
      </c>
      <c r="L458">
        <v>0.7</v>
      </c>
      <c r="M458">
        <v>0.25369999999999998</v>
      </c>
      <c r="N458">
        <v>0</v>
      </c>
      <c r="O458">
        <v>6</v>
      </c>
      <c r="P458">
        <v>6</v>
      </c>
    </row>
    <row r="459" spans="1:16" x14ac:dyDescent="0.35">
      <c r="A459">
        <v>458</v>
      </c>
      <c r="B459" t="b">
        <v>0</v>
      </c>
      <c r="C459" s="18">
        <v>40564</v>
      </c>
      <c r="D459">
        <v>1</v>
      </c>
      <c r="E459">
        <v>0</v>
      </c>
      <c r="F459">
        <v>1</v>
      </c>
      <c r="G459">
        <v>2</v>
      </c>
      <c r="H459">
        <v>5</v>
      </c>
      <c r="I459">
        <v>3</v>
      </c>
      <c r="J459">
        <v>0.24</v>
      </c>
      <c r="K459">
        <v>0.2424</v>
      </c>
      <c r="L459">
        <v>0.75</v>
      </c>
      <c r="M459">
        <v>0.16420000000000001</v>
      </c>
      <c r="N459">
        <v>0</v>
      </c>
      <c r="O459">
        <v>2</v>
      </c>
      <c r="P459">
        <v>2</v>
      </c>
    </row>
    <row r="460" spans="1:16" x14ac:dyDescent="0.35">
      <c r="A460">
        <v>459</v>
      </c>
      <c r="B460" t="b">
        <v>0</v>
      </c>
      <c r="C460" s="18">
        <v>40564</v>
      </c>
      <c r="D460">
        <v>1</v>
      </c>
      <c r="E460">
        <v>0</v>
      </c>
      <c r="F460">
        <v>1</v>
      </c>
      <c r="G460">
        <v>3</v>
      </c>
      <c r="H460">
        <v>5</v>
      </c>
      <c r="I460">
        <v>3</v>
      </c>
      <c r="J460">
        <v>0.22</v>
      </c>
      <c r="K460">
        <v>0.21210000000000001</v>
      </c>
      <c r="L460">
        <v>0.8</v>
      </c>
      <c r="M460">
        <v>0.29849999999999999</v>
      </c>
      <c r="N460">
        <v>0</v>
      </c>
      <c r="O460">
        <v>1</v>
      </c>
      <c r="P460">
        <v>1</v>
      </c>
    </row>
    <row r="461" spans="1:16" x14ac:dyDescent="0.35">
      <c r="A461">
        <v>460</v>
      </c>
      <c r="B461" t="b">
        <v>0</v>
      </c>
      <c r="C461" s="18">
        <v>40564</v>
      </c>
      <c r="D461">
        <v>1</v>
      </c>
      <c r="E461">
        <v>0</v>
      </c>
      <c r="F461">
        <v>1</v>
      </c>
      <c r="G461">
        <v>4</v>
      </c>
      <c r="H461">
        <v>5</v>
      </c>
      <c r="I461">
        <v>2</v>
      </c>
      <c r="J461">
        <v>0.22</v>
      </c>
      <c r="K461">
        <v>0.2576</v>
      </c>
      <c r="L461">
        <v>0.87</v>
      </c>
      <c r="M461">
        <v>8.9599999999999999E-2</v>
      </c>
      <c r="N461">
        <v>0</v>
      </c>
      <c r="O461">
        <v>1</v>
      </c>
      <c r="P461">
        <v>1</v>
      </c>
    </row>
    <row r="462" spans="1:16" x14ac:dyDescent="0.35">
      <c r="A462">
        <v>461</v>
      </c>
      <c r="B462" t="b">
        <v>0</v>
      </c>
      <c r="C462" s="18">
        <v>40564</v>
      </c>
      <c r="D462">
        <v>1</v>
      </c>
      <c r="E462">
        <v>0</v>
      </c>
      <c r="F462">
        <v>1</v>
      </c>
      <c r="G462">
        <v>5</v>
      </c>
      <c r="H462">
        <v>5</v>
      </c>
      <c r="I462">
        <v>1</v>
      </c>
      <c r="J462">
        <v>0.24</v>
      </c>
      <c r="K462">
        <v>0.19700000000000001</v>
      </c>
      <c r="L462">
        <v>0.6</v>
      </c>
      <c r="M462">
        <v>0.41789999999999999</v>
      </c>
      <c r="N462">
        <v>1</v>
      </c>
      <c r="O462">
        <v>4</v>
      </c>
      <c r="P462">
        <v>5</v>
      </c>
    </row>
    <row r="463" spans="1:16" x14ac:dyDescent="0.35">
      <c r="A463">
        <v>462</v>
      </c>
      <c r="B463" t="b">
        <v>0</v>
      </c>
      <c r="C463" s="18">
        <v>40564</v>
      </c>
      <c r="D463">
        <v>1</v>
      </c>
      <c r="E463">
        <v>0</v>
      </c>
      <c r="F463">
        <v>1</v>
      </c>
      <c r="G463">
        <v>6</v>
      </c>
      <c r="H463">
        <v>5</v>
      </c>
      <c r="I463">
        <v>1</v>
      </c>
      <c r="J463">
        <v>0.22</v>
      </c>
      <c r="K463">
        <v>0.21210000000000001</v>
      </c>
      <c r="L463">
        <v>0.55000000000000004</v>
      </c>
      <c r="M463">
        <v>0.25369999999999998</v>
      </c>
      <c r="N463">
        <v>0</v>
      </c>
      <c r="O463">
        <v>27</v>
      </c>
      <c r="P463">
        <v>27</v>
      </c>
    </row>
    <row r="464" spans="1:16" x14ac:dyDescent="0.35">
      <c r="A464">
        <v>463</v>
      </c>
      <c r="B464" t="b">
        <v>0</v>
      </c>
      <c r="C464" s="18">
        <v>40564</v>
      </c>
      <c r="D464">
        <v>1</v>
      </c>
      <c r="E464">
        <v>0</v>
      </c>
      <c r="F464">
        <v>1</v>
      </c>
      <c r="G464">
        <v>7</v>
      </c>
      <c r="H464">
        <v>5</v>
      </c>
      <c r="I464">
        <v>1</v>
      </c>
      <c r="J464">
        <v>0.2</v>
      </c>
      <c r="K464">
        <v>0.18179999999999999</v>
      </c>
      <c r="L464">
        <v>0.51</v>
      </c>
      <c r="M464">
        <v>0.28360000000000002</v>
      </c>
      <c r="N464">
        <v>2</v>
      </c>
      <c r="O464">
        <v>66</v>
      </c>
      <c r="P464">
        <v>68</v>
      </c>
    </row>
    <row r="465" spans="1:16" x14ac:dyDescent="0.35">
      <c r="A465">
        <v>464</v>
      </c>
      <c r="B465" t="b">
        <v>0</v>
      </c>
      <c r="C465" s="18">
        <v>40564</v>
      </c>
      <c r="D465">
        <v>1</v>
      </c>
      <c r="E465">
        <v>0</v>
      </c>
      <c r="F465">
        <v>1</v>
      </c>
      <c r="G465">
        <v>8</v>
      </c>
      <c r="H465">
        <v>5</v>
      </c>
      <c r="I465">
        <v>1</v>
      </c>
      <c r="J465">
        <v>0.2</v>
      </c>
      <c r="K465">
        <v>0.18179999999999999</v>
      </c>
      <c r="L465">
        <v>0.47</v>
      </c>
      <c r="M465">
        <v>0.32840000000000003</v>
      </c>
      <c r="N465">
        <v>7</v>
      </c>
      <c r="O465">
        <v>210</v>
      </c>
      <c r="P465">
        <v>217</v>
      </c>
    </row>
    <row r="466" spans="1:16" x14ac:dyDescent="0.35">
      <c r="A466">
        <v>465</v>
      </c>
      <c r="B466" t="b">
        <v>0</v>
      </c>
      <c r="C466" s="18">
        <v>40564</v>
      </c>
      <c r="D466">
        <v>1</v>
      </c>
      <c r="E466">
        <v>0</v>
      </c>
      <c r="F466">
        <v>1</v>
      </c>
      <c r="G466">
        <v>9</v>
      </c>
      <c r="H466">
        <v>5</v>
      </c>
      <c r="I466">
        <v>1</v>
      </c>
      <c r="J466">
        <v>0.2</v>
      </c>
      <c r="K466">
        <v>0.18179999999999999</v>
      </c>
      <c r="L466">
        <v>0.51</v>
      </c>
      <c r="M466">
        <v>0.35820000000000002</v>
      </c>
      <c r="N466">
        <v>7</v>
      </c>
      <c r="O466">
        <v>159</v>
      </c>
      <c r="P466">
        <v>166</v>
      </c>
    </row>
    <row r="467" spans="1:16" x14ac:dyDescent="0.35">
      <c r="A467">
        <v>466</v>
      </c>
      <c r="B467" t="b">
        <v>0</v>
      </c>
      <c r="C467" s="18">
        <v>40564</v>
      </c>
      <c r="D467">
        <v>1</v>
      </c>
      <c r="E467">
        <v>0</v>
      </c>
      <c r="F467">
        <v>1</v>
      </c>
      <c r="G467">
        <v>10</v>
      </c>
      <c r="H467">
        <v>5</v>
      </c>
      <c r="I467">
        <v>1</v>
      </c>
      <c r="J467">
        <v>0.2</v>
      </c>
      <c r="K467">
        <v>0.16669999999999999</v>
      </c>
      <c r="L467">
        <v>0.47</v>
      </c>
      <c r="M467">
        <v>0.4627</v>
      </c>
      <c r="N467">
        <v>6</v>
      </c>
      <c r="O467">
        <v>57</v>
      </c>
      <c r="P467">
        <v>63</v>
      </c>
    </row>
    <row r="468" spans="1:16" x14ac:dyDescent="0.35">
      <c r="A468">
        <v>467</v>
      </c>
      <c r="B468" t="b">
        <v>0</v>
      </c>
      <c r="C468" s="18">
        <v>40564</v>
      </c>
      <c r="D468">
        <v>1</v>
      </c>
      <c r="E468">
        <v>0</v>
      </c>
      <c r="F468">
        <v>1</v>
      </c>
      <c r="G468">
        <v>11</v>
      </c>
      <c r="H468">
        <v>5</v>
      </c>
      <c r="I468">
        <v>1</v>
      </c>
      <c r="J468">
        <v>0.22</v>
      </c>
      <c r="K468">
        <v>0.18179999999999999</v>
      </c>
      <c r="L468">
        <v>0.41</v>
      </c>
      <c r="M468">
        <v>0.4627</v>
      </c>
      <c r="N468">
        <v>6</v>
      </c>
      <c r="O468">
        <v>53</v>
      </c>
      <c r="P468">
        <v>59</v>
      </c>
    </row>
    <row r="469" spans="1:16" x14ac:dyDescent="0.35">
      <c r="A469">
        <v>468</v>
      </c>
      <c r="B469" t="b">
        <v>0</v>
      </c>
      <c r="C469" s="18">
        <v>40564</v>
      </c>
      <c r="D469">
        <v>1</v>
      </c>
      <c r="E469">
        <v>0</v>
      </c>
      <c r="F469">
        <v>1</v>
      </c>
      <c r="G469">
        <v>12</v>
      </c>
      <c r="H469">
        <v>5</v>
      </c>
      <c r="I469">
        <v>1</v>
      </c>
      <c r="J469">
        <v>0.22</v>
      </c>
      <c r="K469">
        <v>0.18179999999999999</v>
      </c>
      <c r="L469">
        <v>0.27</v>
      </c>
      <c r="M469">
        <v>0.58209999999999995</v>
      </c>
      <c r="N469">
        <v>11</v>
      </c>
      <c r="O469">
        <v>67</v>
      </c>
      <c r="P469">
        <v>78</v>
      </c>
    </row>
    <row r="470" spans="1:16" x14ac:dyDescent="0.35">
      <c r="A470">
        <v>469</v>
      </c>
      <c r="B470" t="b">
        <v>0</v>
      </c>
      <c r="C470" s="18">
        <v>40564</v>
      </c>
      <c r="D470">
        <v>1</v>
      </c>
      <c r="E470">
        <v>0</v>
      </c>
      <c r="F470">
        <v>1</v>
      </c>
      <c r="G470">
        <v>13</v>
      </c>
      <c r="H470">
        <v>5</v>
      </c>
      <c r="I470">
        <v>1</v>
      </c>
      <c r="J470">
        <v>0.2</v>
      </c>
      <c r="K470">
        <v>0.1515</v>
      </c>
      <c r="L470">
        <v>0.21</v>
      </c>
      <c r="M470">
        <v>0.58209999999999995</v>
      </c>
      <c r="N470">
        <v>8</v>
      </c>
      <c r="O470">
        <v>65</v>
      </c>
      <c r="P470">
        <v>73</v>
      </c>
    </row>
    <row r="471" spans="1:16" x14ac:dyDescent="0.35">
      <c r="A471">
        <v>470</v>
      </c>
      <c r="B471" t="b">
        <v>0</v>
      </c>
      <c r="C471" s="18">
        <v>40564</v>
      </c>
      <c r="D471">
        <v>1</v>
      </c>
      <c r="E471">
        <v>0</v>
      </c>
      <c r="F471">
        <v>1</v>
      </c>
      <c r="G471">
        <v>14</v>
      </c>
      <c r="H471">
        <v>5</v>
      </c>
      <c r="I471">
        <v>1</v>
      </c>
      <c r="J471">
        <v>0.2</v>
      </c>
      <c r="K471">
        <v>0.1515</v>
      </c>
      <c r="L471">
        <v>0.25</v>
      </c>
      <c r="M471">
        <v>0.52239999999999998</v>
      </c>
      <c r="N471">
        <v>6</v>
      </c>
      <c r="O471">
        <v>56</v>
      </c>
      <c r="P471">
        <v>62</v>
      </c>
    </row>
    <row r="472" spans="1:16" x14ac:dyDescent="0.35">
      <c r="A472">
        <v>471</v>
      </c>
      <c r="B472" t="b">
        <v>0</v>
      </c>
      <c r="C472" s="18">
        <v>40564</v>
      </c>
      <c r="D472">
        <v>1</v>
      </c>
      <c r="E472">
        <v>0</v>
      </c>
      <c r="F472">
        <v>1</v>
      </c>
      <c r="G472">
        <v>15</v>
      </c>
      <c r="H472">
        <v>5</v>
      </c>
      <c r="I472">
        <v>1</v>
      </c>
      <c r="J472">
        <v>0.16</v>
      </c>
      <c r="K472">
        <v>0.1212</v>
      </c>
      <c r="L472">
        <v>0.26</v>
      </c>
      <c r="M472">
        <v>0.44779999999999998</v>
      </c>
      <c r="N472">
        <v>4</v>
      </c>
      <c r="O472">
        <v>61</v>
      </c>
      <c r="P472">
        <v>65</v>
      </c>
    </row>
    <row r="473" spans="1:16" x14ac:dyDescent="0.35">
      <c r="A473">
        <v>472</v>
      </c>
      <c r="B473" t="b">
        <v>0</v>
      </c>
      <c r="C473" s="18">
        <v>40564</v>
      </c>
      <c r="D473">
        <v>1</v>
      </c>
      <c r="E473">
        <v>0</v>
      </c>
      <c r="F473">
        <v>1</v>
      </c>
      <c r="G473">
        <v>16</v>
      </c>
      <c r="H473">
        <v>5</v>
      </c>
      <c r="I473">
        <v>1</v>
      </c>
      <c r="J473">
        <v>0.16</v>
      </c>
      <c r="K473">
        <v>0.13639999999999999</v>
      </c>
      <c r="L473">
        <v>0.26</v>
      </c>
      <c r="M473">
        <v>0.35820000000000002</v>
      </c>
      <c r="N473">
        <v>0</v>
      </c>
      <c r="O473">
        <v>97</v>
      </c>
      <c r="P473">
        <v>97</v>
      </c>
    </row>
    <row r="474" spans="1:16" x14ac:dyDescent="0.35">
      <c r="A474">
        <v>473</v>
      </c>
      <c r="B474" t="b">
        <v>0</v>
      </c>
      <c r="C474" s="18">
        <v>40564</v>
      </c>
      <c r="D474">
        <v>1</v>
      </c>
      <c r="E474">
        <v>0</v>
      </c>
      <c r="F474">
        <v>1</v>
      </c>
      <c r="G474">
        <v>17</v>
      </c>
      <c r="H474">
        <v>5</v>
      </c>
      <c r="I474">
        <v>1</v>
      </c>
      <c r="J474">
        <v>0.14000000000000001</v>
      </c>
      <c r="K474">
        <v>0.1212</v>
      </c>
      <c r="L474">
        <v>0.28000000000000003</v>
      </c>
      <c r="M474">
        <v>0.35820000000000002</v>
      </c>
      <c r="N474">
        <v>10</v>
      </c>
      <c r="O474">
        <v>151</v>
      </c>
      <c r="P474">
        <v>161</v>
      </c>
    </row>
    <row r="475" spans="1:16" x14ac:dyDescent="0.35">
      <c r="A475">
        <v>474</v>
      </c>
      <c r="B475" t="b">
        <v>0</v>
      </c>
      <c r="C475" s="18">
        <v>40564</v>
      </c>
      <c r="D475">
        <v>1</v>
      </c>
      <c r="E475">
        <v>0</v>
      </c>
      <c r="F475">
        <v>1</v>
      </c>
      <c r="G475">
        <v>18</v>
      </c>
      <c r="H475">
        <v>5</v>
      </c>
      <c r="I475">
        <v>1</v>
      </c>
      <c r="J475">
        <v>0.12</v>
      </c>
      <c r="K475">
        <v>0.1212</v>
      </c>
      <c r="L475">
        <v>0.3</v>
      </c>
      <c r="M475">
        <v>0.25369999999999998</v>
      </c>
      <c r="N475">
        <v>1</v>
      </c>
      <c r="O475">
        <v>119</v>
      </c>
      <c r="P475">
        <v>120</v>
      </c>
    </row>
    <row r="476" spans="1:16" x14ac:dyDescent="0.35">
      <c r="A476">
        <v>475</v>
      </c>
      <c r="B476" t="b">
        <v>0</v>
      </c>
      <c r="C476" s="18">
        <v>40564</v>
      </c>
      <c r="D476">
        <v>1</v>
      </c>
      <c r="E476">
        <v>0</v>
      </c>
      <c r="F476">
        <v>1</v>
      </c>
      <c r="G476">
        <v>19</v>
      </c>
      <c r="H476">
        <v>5</v>
      </c>
      <c r="I476">
        <v>1</v>
      </c>
      <c r="J476">
        <v>0.12</v>
      </c>
      <c r="K476">
        <v>0.1061</v>
      </c>
      <c r="L476">
        <v>0.3</v>
      </c>
      <c r="M476">
        <v>0.32840000000000003</v>
      </c>
      <c r="N476">
        <v>3</v>
      </c>
      <c r="O476">
        <v>93</v>
      </c>
      <c r="P476">
        <v>96</v>
      </c>
    </row>
    <row r="477" spans="1:16" x14ac:dyDescent="0.35">
      <c r="A477">
        <v>476</v>
      </c>
      <c r="B477" t="b">
        <v>0</v>
      </c>
      <c r="C477" s="18">
        <v>40564</v>
      </c>
      <c r="D477">
        <v>1</v>
      </c>
      <c r="E477">
        <v>0</v>
      </c>
      <c r="F477">
        <v>1</v>
      </c>
      <c r="G477">
        <v>20</v>
      </c>
      <c r="H477">
        <v>5</v>
      </c>
      <c r="I477">
        <v>1</v>
      </c>
      <c r="J477">
        <v>0.1</v>
      </c>
      <c r="K477">
        <v>7.5800000000000006E-2</v>
      </c>
      <c r="L477">
        <v>0.33</v>
      </c>
      <c r="M477">
        <v>0.41789999999999999</v>
      </c>
      <c r="N477">
        <v>1</v>
      </c>
      <c r="O477">
        <v>52</v>
      </c>
      <c r="P477">
        <v>53</v>
      </c>
    </row>
    <row r="478" spans="1:16" x14ac:dyDescent="0.35">
      <c r="A478">
        <v>477</v>
      </c>
      <c r="B478" t="b">
        <v>0</v>
      </c>
      <c r="C478" s="18">
        <v>40564</v>
      </c>
      <c r="D478">
        <v>1</v>
      </c>
      <c r="E478">
        <v>0</v>
      </c>
      <c r="F478">
        <v>1</v>
      </c>
      <c r="G478">
        <v>21</v>
      </c>
      <c r="H478">
        <v>5</v>
      </c>
      <c r="I478">
        <v>1</v>
      </c>
      <c r="J478">
        <v>0.08</v>
      </c>
      <c r="K478">
        <v>7.5800000000000006E-2</v>
      </c>
      <c r="L478">
        <v>0.38</v>
      </c>
      <c r="M478">
        <v>0.28360000000000002</v>
      </c>
      <c r="N478">
        <v>0</v>
      </c>
      <c r="O478">
        <v>41</v>
      </c>
      <c r="P478">
        <v>41</v>
      </c>
    </row>
    <row r="479" spans="1:16" x14ac:dyDescent="0.35">
      <c r="A479">
        <v>478</v>
      </c>
      <c r="B479" t="b">
        <v>0</v>
      </c>
      <c r="C479" s="18">
        <v>40564</v>
      </c>
      <c r="D479">
        <v>1</v>
      </c>
      <c r="E479">
        <v>0</v>
      </c>
      <c r="F479">
        <v>1</v>
      </c>
      <c r="G479">
        <v>22</v>
      </c>
      <c r="H479">
        <v>5</v>
      </c>
      <c r="I479">
        <v>1</v>
      </c>
      <c r="J479">
        <v>0.06</v>
      </c>
      <c r="K479">
        <v>3.0300000000000001E-2</v>
      </c>
      <c r="L479">
        <v>0.41</v>
      </c>
      <c r="M479">
        <v>0.3881</v>
      </c>
      <c r="N479">
        <v>1</v>
      </c>
      <c r="O479">
        <v>33</v>
      </c>
      <c r="P479">
        <v>34</v>
      </c>
    </row>
    <row r="480" spans="1:16" x14ac:dyDescent="0.35">
      <c r="A480">
        <v>479</v>
      </c>
      <c r="B480" t="b">
        <v>0</v>
      </c>
      <c r="C480" s="18">
        <v>40564</v>
      </c>
      <c r="D480">
        <v>1</v>
      </c>
      <c r="E480">
        <v>0</v>
      </c>
      <c r="F480">
        <v>1</v>
      </c>
      <c r="G480">
        <v>23</v>
      </c>
      <c r="H480">
        <v>5</v>
      </c>
      <c r="I480">
        <v>1</v>
      </c>
      <c r="J480">
        <v>0.06</v>
      </c>
      <c r="K480">
        <v>4.5499999999999999E-2</v>
      </c>
      <c r="L480">
        <v>0.38</v>
      </c>
      <c r="M480">
        <v>0.32840000000000003</v>
      </c>
      <c r="N480">
        <v>0</v>
      </c>
      <c r="O480">
        <v>27</v>
      </c>
      <c r="P480">
        <v>27</v>
      </c>
    </row>
    <row r="481" spans="1:16" x14ac:dyDescent="0.35">
      <c r="A481">
        <v>480</v>
      </c>
      <c r="B481" t="b">
        <v>0</v>
      </c>
      <c r="C481" s="18">
        <v>40565</v>
      </c>
      <c r="D481">
        <v>1</v>
      </c>
      <c r="E481">
        <v>0</v>
      </c>
      <c r="F481">
        <v>1</v>
      </c>
      <c r="G481">
        <v>0</v>
      </c>
      <c r="H481">
        <v>6</v>
      </c>
      <c r="I481">
        <v>1</v>
      </c>
      <c r="J481">
        <v>0.04</v>
      </c>
      <c r="K481">
        <v>3.0300000000000001E-2</v>
      </c>
      <c r="L481">
        <v>0.45</v>
      </c>
      <c r="M481">
        <v>0.25369999999999998</v>
      </c>
      <c r="N481">
        <v>0</v>
      </c>
      <c r="O481">
        <v>13</v>
      </c>
      <c r="P481">
        <v>13</v>
      </c>
    </row>
    <row r="482" spans="1:16" x14ac:dyDescent="0.35">
      <c r="A482">
        <v>481</v>
      </c>
      <c r="B482" t="b">
        <v>0</v>
      </c>
      <c r="C482" s="18">
        <v>40565</v>
      </c>
      <c r="D482">
        <v>1</v>
      </c>
      <c r="E482">
        <v>0</v>
      </c>
      <c r="F482">
        <v>1</v>
      </c>
      <c r="G482">
        <v>1</v>
      </c>
      <c r="H482">
        <v>6</v>
      </c>
      <c r="I482">
        <v>2</v>
      </c>
      <c r="J482">
        <v>0.04</v>
      </c>
      <c r="K482">
        <v>0</v>
      </c>
      <c r="L482">
        <v>0.41</v>
      </c>
      <c r="M482">
        <v>0.3881</v>
      </c>
      <c r="N482">
        <v>3</v>
      </c>
      <c r="O482">
        <v>9</v>
      </c>
      <c r="P482">
        <v>12</v>
      </c>
    </row>
    <row r="483" spans="1:16" x14ac:dyDescent="0.35">
      <c r="A483">
        <v>482</v>
      </c>
      <c r="B483" t="b">
        <v>0</v>
      </c>
      <c r="C483" s="18">
        <v>40565</v>
      </c>
      <c r="D483">
        <v>1</v>
      </c>
      <c r="E483">
        <v>0</v>
      </c>
      <c r="F483">
        <v>1</v>
      </c>
      <c r="G483">
        <v>2</v>
      </c>
      <c r="H483">
        <v>6</v>
      </c>
      <c r="I483">
        <v>2</v>
      </c>
      <c r="J483">
        <v>0.04</v>
      </c>
      <c r="K483">
        <v>3.0300000000000001E-2</v>
      </c>
      <c r="L483">
        <v>0.41</v>
      </c>
      <c r="M483">
        <v>0.25369999999999998</v>
      </c>
      <c r="N483">
        <v>0</v>
      </c>
      <c r="O483">
        <v>11</v>
      </c>
      <c r="P483">
        <v>11</v>
      </c>
    </row>
    <row r="484" spans="1:16" x14ac:dyDescent="0.35">
      <c r="A484">
        <v>483</v>
      </c>
      <c r="B484" t="b">
        <v>0</v>
      </c>
      <c r="C484" s="18">
        <v>40565</v>
      </c>
      <c r="D484">
        <v>1</v>
      </c>
      <c r="E484">
        <v>0</v>
      </c>
      <c r="F484">
        <v>1</v>
      </c>
      <c r="G484">
        <v>3</v>
      </c>
      <c r="H484">
        <v>6</v>
      </c>
      <c r="I484">
        <v>2</v>
      </c>
      <c r="J484">
        <v>0.04</v>
      </c>
      <c r="K484">
        <v>3.0300000000000001E-2</v>
      </c>
      <c r="L484">
        <v>0.41</v>
      </c>
      <c r="M484">
        <v>0.28360000000000002</v>
      </c>
      <c r="N484">
        <v>1</v>
      </c>
      <c r="O484">
        <v>6</v>
      </c>
      <c r="P484">
        <v>7</v>
      </c>
    </row>
    <row r="485" spans="1:16" x14ac:dyDescent="0.35">
      <c r="A485">
        <v>484</v>
      </c>
      <c r="B485" t="b">
        <v>0</v>
      </c>
      <c r="C485" s="18">
        <v>40565</v>
      </c>
      <c r="D485">
        <v>1</v>
      </c>
      <c r="E485">
        <v>0</v>
      </c>
      <c r="F485">
        <v>1</v>
      </c>
      <c r="G485">
        <v>4</v>
      </c>
      <c r="H485">
        <v>6</v>
      </c>
      <c r="I485">
        <v>2</v>
      </c>
      <c r="J485">
        <v>0.02</v>
      </c>
      <c r="K485">
        <v>1.52E-2</v>
      </c>
      <c r="L485">
        <v>0.48</v>
      </c>
      <c r="M485">
        <v>0.29849999999999999</v>
      </c>
      <c r="N485">
        <v>0</v>
      </c>
      <c r="O485">
        <v>3</v>
      </c>
      <c r="P485">
        <v>3</v>
      </c>
    </row>
    <row r="486" spans="1:16" x14ac:dyDescent="0.35">
      <c r="A486">
        <v>485</v>
      </c>
      <c r="B486" t="b">
        <v>0</v>
      </c>
      <c r="C486" s="18">
        <v>40565</v>
      </c>
      <c r="D486">
        <v>1</v>
      </c>
      <c r="E486">
        <v>0</v>
      </c>
      <c r="F486">
        <v>1</v>
      </c>
      <c r="G486">
        <v>6</v>
      </c>
      <c r="H486">
        <v>6</v>
      </c>
      <c r="I486">
        <v>2</v>
      </c>
      <c r="J486">
        <v>0.02</v>
      </c>
      <c r="K486">
        <v>3.0300000000000001E-2</v>
      </c>
      <c r="L486">
        <v>0.44</v>
      </c>
      <c r="M486">
        <v>0.22389999999999999</v>
      </c>
      <c r="N486">
        <v>0</v>
      </c>
      <c r="O486">
        <v>2</v>
      </c>
      <c r="P486">
        <v>2</v>
      </c>
    </row>
    <row r="487" spans="1:16" x14ac:dyDescent="0.35">
      <c r="A487">
        <v>486</v>
      </c>
      <c r="B487" t="b">
        <v>0</v>
      </c>
      <c r="C487" s="18">
        <v>40565</v>
      </c>
      <c r="D487">
        <v>1</v>
      </c>
      <c r="E487">
        <v>0</v>
      </c>
      <c r="F487">
        <v>1</v>
      </c>
      <c r="G487">
        <v>7</v>
      </c>
      <c r="H487">
        <v>6</v>
      </c>
      <c r="I487">
        <v>1</v>
      </c>
      <c r="J487">
        <v>0.02</v>
      </c>
      <c r="K487">
        <v>1.52E-2</v>
      </c>
      <c r="L487">
        <v>0.44</v>
      </c>
      <c r="M487">
        <v>0.28360000000000002</v>
      </c>
      <c r="N487">
        <v>0</v>
      </c>
      <c r="O487">
        <v>8</v>
      </c>
      <c r="P487">
        <v>8</v>
      </c>
    </row>
    <row r="488" spans="1:16" x14ac:dyDescent="0.35">
      <c r="A488">
        <v>487</v>
      </c>
      <c r="B488" t="b">
        <v>0</v>
      </c>
      <c r="C488" s="18">
        <v>40565</v>
      </c>
      <c r="D488">
        <v>1</v>
      </c>
      <c r="E488">
        <v>0</v>
      </c>
      <c r="F488">
        <v>1</v>
      </c>
      <c r="G488">
        <v>8</v>
      </c>
      <c r="H488">
        <v>6</v>
      </c>
      <c r="I488">
        <v>1</v>
      </c>
      <c r="J488">
        <v>0.02</v>
      </c>
      <c r="K488">
        <v>0</v>
      </c>
      <c r="L488">
        <v>0.44</v>
      </c>
      <c r="M488">
        <v>0.32840000000000003</v>
      </c>
      <c r="N488">
        <v>1</v>
      </c>
      <c r="O488">
        <v>26</v>
      </c>
      <c r="P488">
        <v>27</v>
      </c>
    </row>
    <row r="489" spans="1:16" x14ac:dyDescent="0.35">
      <c r="A489">
        <v>488</v>
      </c>
      <c r="B489" t="b">
        <v>0</v>
      </c>
      <c r="C489" s="18">
        <v>40565</v>
      </c>
      <c r="D489">
        <v>1</v>
      </c>
      <c r="E489">
        <v>0</v>
      </c>
      <c r="F489">
        <v>1</v>
      </c>
      <c r="G489">
        <v>9</v>
      </c>
      <c r="H489">
        <v>6</v>
      </c>
      <c r="I489">
        <v>1</v>
      </c>
      <c r="J489">
        <v>0.04</v>
      </c>
      <c r="K489">
        <v>3.0300000000000001E-2</v>
      </c>
      <c r="L489">
        <v>0.41</v>
      </c>
      <c r="M489">
        <v>0.25369999999999998</v>
      </c>
      <c r="N489">
        <v>3</v>
      </c>
      <c r="O489">
        <v>37</v>
      </c>
      <c r="P489">
        <v>40</v>
      </c>
    </row>
    <row r="490" spans="1:16" x14ac:dyDescent="0.35">
      <c r="A490">
        <v>489</v>
      </c>
      <c r="B490" t="b">
        <v>0</v>
      </c>
      <c r="C490" s="18">
        <v>40565</v>
      </c>
      <c r="D490">
        <v>1</v>
      </c>
      <c r="E490">
        <v>0</v>
      </c>
      <c r="F490">
        <v>1</v>
      </c>
      <c r="G490">
        <v>10</v>
      </c>
      <c r="H490">
        <v>6</v>
      </c>
      <c r="I490">
        <v>2</v>
      </c>
      <c r="J490">
        <v>0.04</v>
      </c>
      <c r="K490">
        <v>6.0600000000000001E-2</v>
      </c>
      <c r="L490">
        <v>0.41</v>
      </c>
      <c r="M490">
        <v>0.16420000000000001</v>
      </c>
      <c r="N490">
        <v>3</v>
      </c>
      <c r="O490">
        <v>50</v>
      </c>
      <c r="P490">
        <v>53</v>
      </c>
    </row>
    <row r="491" spans="1:16" x14ac:dyDescent="0.35">
      <c r="A491">
        <v>490</v>
      </c>
      <c r="B491" t="b">
        <v>0</v>
      </c>
      <c r="C491" s="18">
        <v>40565</v>
      </c>
      <c r="D491">
        <v>1</v>
      </c>
      <c r="E491">
        <v>0</v>
      </c>
      <c r="F491">
        <v>1</v>
      </c>
      <c r="G491">
        <v>11</v>
      </c>
      <c r="H491">
        <v>6</v>
      </c>
      <c r="I491">
        <v>2</v>
      </c>
      <c r="J491">
        <v>0.06</v>
      </c>
      <c r="K491">
        <v>7.5800000000000006E-2</v>
      </c>
      <c r="L491">
        <v>0.38</v>
      </c>
      <c r="M491">
        <v>0.1343</v>
      </c>
      <c r="N491">
        <v>4</v>
      </c>
      <c r="O491">
        <v>59</v>
      </c>
      <c r="P491">
        <v>63</v>
      </c>
    </row>
    <row r="492" spans="1:16" x14ac:dyDescent="0.35">
      <c r="A492">
        <v>491</v>
      </c>
      <c r="B492" t="b">
        <v>0</v>
      </c>
      <c r="C492" s="18">
        <v>40565</v>
      </c>
      <c r="D492">
        <v>1</v>
      </c>
      <c r="E492">
        <v>0</v>
      </c>
      <c r="F492">
        <v>1</v>
      </c>
      <c r="G492">
        <v>12</v>
      </c>
      <c r="H492">
        <v>6</v>
      </c>
      <c r="I492">
        <v>2</v>
      </c>
      <c r="J492">
        <v>0.06</v>
      </c>
      <c r="K492">
        <v>0.1061</v>
      </c>
      <c r="L492">
        <v>0.38</v>
      </c>
      <c r="M492">
        <v>0.1045</v>
      </c>
      <c r="N492">
        <v>10</v>
      </c>
      <c r="O492">
        <v>60</v>
      </c>
      <c r="P492">
        <v>70</v>
      </c>
    </row>
    <row r="493" spans="1:16" x14ac:dyDescent="0.35">
      <c r="A493">
        <v>492</v>
      </c>
      <c r="B493" t="b">
        <v>0</v>
      </c>
      <c r="C493" s="18">
        <v>40565</v>
      </c>
      <c r="D493">
        <v>1</v>
      </c>
      <c r="E493">
        <v>0</v>
      </c>
      <c r="F493">
        <v>1</v>
      </c>
      <c r="G493">
        <v>13</v>
      </c>
      <c r="H493">
        <v>6</v>
      </c>
      <c r="I493">
        <v>1</v>
      </c>
      <c r="J493">
        <v>0.08</v>
      </c>
      <c r="K493">
        <v>0.16669999999999999</v>
      </c>
      <c r="L493">
        <v>0.35</v>
      </c>
      <c r="M493">
        <v>0</v>
      </c>
      <c r="N493">
        <v>12</v>
      </c>
      <c r="O493">
        <v>72</v>
      </c>
      <c r="P493">
        <v>84</v>
      </c>
    </row>
    <row r="494" spans="1:16" x14ac:dyDescent="0.35">
      <c r="A494">
        <v>493</v>
      </c>
      <c r="B494" t="b">
        <v>0</v>
      </c>
      <c r="C494" s="18">
        <v>40565</v>
      </c>
      <c r="D494">
        <v>1</v>
      </c>
      <c r="E494">
        <v>0</v>
      </c>
      <c r="F494">
        <v>1</v>
      </c>
      <c r="G494">
        <v>14</v>
      </c>
      <c r="H494">
        <v>6</v>
      </c>
      <c r="I494">
        <v>1</v>
      </c>
      <c r="J494">
        <v>0.1</v>
      </c>
      <c r="K494">
        <v>0.13639999999999999</v>
      </c>
      <c r="L494">
        <v>0.33</v>
      </c>
      <c r="M494">
        <v>0.1045</v>
      </c>
      <c r="N494">
        <v>11</v>
      </c>
      <c r="O494">
        <v>64</v>
      </c>
      <c r="P494">
        <v>75</v>
      </c>
    </row>
    <row r="495" spans="1:16" x14ac:dyDescent="0.35">
      <c r="A495">
        <v>494</v>
      </c>
      <c r="B495" t="b">
        <v>0</v>
      </c>
      <c r="C495" s="18">
        <v>40565</v>
      </c>
      <c r="D495">
        <v>1</v>
      </c>
      <c r="E495">
        <v>0</v>
      </c>
      <c r="F495">
        <v>1</v>
      </c>
      <c r="G495">
        <v>15</v>
      </c>
      <c r="H495">
        <v>6</v>
      </c>
      <c r="I495">
        <v>1</v>
      </c>
      <c r="J495">
        <v>0.12</v>
      </c>
      <c r="K495">
        <v>0.1515</v>
      </c>
      <c r="L495">
        <v>0.28000000000000003</v>
      </c>
      <c r="M495">
        <v>0</v>
      </c>
      <c r="N495">
        <v>10</v>
      </c>
      <c r="O495">
        <v>93</v>
      </c>
      <c r="P495">
        <v>103</v>
      </c>
    </row>
    <row r="496" spans="1:16" x14ac:dyDescent="0.35">
      <c r="A496">
        <v>495</v>
      </c>
      <c r="B496" t="b">
        <v>0</v>
      </c>
      <c r="C496" s="18">
        <v>40565</v>
      </c>
      <c r="D496">
        <v>1</v>
      </c>
      <c r="E496">
        <v>0</v>
      </c>
      <c r="F496">
        <v>1</v>
      </c>
      <c r="G496">
        <v>16</v>
      </c>
      <c r="H496">
        <v>6</v>
      </c>
      <c r="I496">
        <v>1</v>
      </c>
      <c r="J496">
        <v>0.12</v>
      </c>
      <c r="K496">
        <v>0.13639999999999999</v>
      </c>
      <c r="L496">
        <v>0.28000000000000003</v>
      </c>
      <c r="M496">
        <v>0.19400000000000001</v>
      </c>
      <c r="N496">
        <v>11</v>
      </c>
      <c r="O496">
        <v>72</v>
      </c>
      <c r="P496">
        <v>83</v>
      </c>
    </row>
    <row r="497" spans="1:16" x14ac:dyDescent="0.35">
      <c r="A497">
        <v>496</v>
      </c>
      <c r="B497" t="b">
        <v>0</v>
      </c>
      <c r="C497" s="18">
        <v>40565</v>
      </c>
      <c r="D497">
        <v>1</v>
      </c>
      <c r="E497">
        <v>0</v>
      </c>
      <c r="F497">
        <v>1</v>
      </c>
      <c r="G497">
        <v>17</v>
      </c>
      <c r="H497">
        <v>6</v>
      </c>
      <c r="I497">
        <v>1</v>
      </c>
      <c r="J497">
        <v>0.12</v>
      </c>
      <c r="K497">
        <v>0.19700000000000001</v>
      </c>
      <c r="L497">
        <v>0.28000000000000003</v>
      </c>
      <c r="M497">
        <v>0</v>
      </c>
      <c r="N497">
        <v>8</v>
      </c>
      <c r="O497">
        <v>59</v>
      </c>
      <c r="P497">
        <v>67</v>
      </c>
    </row>
    <row r="498" spans="1:16" x14ac:dyDescent="0.35">
      <c r="A498">
        <v>497</v>
      </c>
      <c r="B498" t="b">
        <v>0</v>
      </c>
      <c r="C498" s="18">
        <v>40565</v>
      </c>
      <c r="D498">
        <v>1</v>
      </c>
      <c r="E498">
        <v>0</v>
      </c>
      <c r="F498">
        <v>1</v>
      </c>
      <c r="G498">
        <v>18</v>
      </c>
      <c r="H498">
        <v>6</v>
      </c>
      <c r="I498">
        <v>1</v>
      </c>
      <c r="J498">
        <v>0.08</v>
      </c>
      <c r="K498">
        <v>9.0899999999999995E-2</v>
      </c>
      <c r="L498">
        <v>0.35</v>
      </c>
      <c r="M498">
        <v>0.19400000000000001</v>
      </c>
      <c r="N498">
        <v>0</v>
      </c>
      <c r="O498">
        <v>54</v>
      </c>
      <c r="P498">
        <v>54</v>
      </c>
    </row>
    <row r="499" spans="1:16" x14ac:dyDescent="0.35">
      <c r="A499">
        <v>498</v>
      </c>
      <c r="B499" t="b">
        <v>0</v>
      </c>
      <c r="C499" s="18">
        <v>40565</v>
      </c>
      <c r="D499">
        <v>1</v>
      </c>
      <c r="E499">
        <v>0</v>
      </c>
      <c r="F499">
        <v>1</v>
      </c>
      <c r="G499">
        <v>19</v>
      </c>
      <c r="H499">
        <v>6</v>
      </c>
      <c r="I499">
        <v>1</v>
      </c>
      <c r="J499">
        <v>0.08</v>
      </c>
      <c r="K499">
        <v>0.1061</v>
      </c>
      <c r="L499">
        <v>0.35</v>
      </c>
      <c r="M499">
        <v>0.1343</v>
      </c>
      <c r="N499">
        <v>6</v>
      </c>
      <c r="O499">
        <v>53</v>
      </c>
      <c r="P499">
        <v>59</v>
      </c>
    </row>
    <row r="500" spans="1:16" x14ac:dyDescent="0.35">
      <c r="A500">
        <v>499</v>
      </c>
      <c r="B500" t="b">
        <v>0</v>
      </c>
      <c r="C500" s="18">
        <v>40565</v>
      </c>
      <c r="D500">
        <v>1</v>
      </c>
      <c r="E500">
        <v>0</v>
      </c>
      <c r="F500">
        <v>1</v>
      </c>
      <c r="G500">
        <v>20</v>
      </c>
      <c r="H500">
        <v>6</v>
      </c>
      <c r="I500">
        <v>1</v>
      </c>
      <c r="J500">
        <v>0.06</v>
      </c>
      <c r="K500">
        <v>7.5800000000000006E-2</v>
      </c>
      <c r="L500">
        <v>0.45</v>
      </c>
      <c r="M500">
        <v>0.16420000000000001</v>
      </c>
      <c r="N500">
        <v>1</v>
      </c>
      <c r="O500">
        <v>44</v>
      </c>
      <c r="P500">
        <v>45</v>
      </c>
    </row>
    <row r="501" spans="1:16" x14ac:dyDescent="0.35">
      <c r="A501">
        <v>500</v>
      </c>
      <c r="B501" t="b">
        <v>0</v>
      </c>
      <c r="C501" s="18">
        <v>40565</v>
      </c>
      <c r="D501">
        <v>1</v>
      </c>
      <c r="E501">
        <v>0</v>
      </c>
      <c r="F501">
        <v>1</v>
      </c>
      <c r="G501">
        <v>21</v>
      </c>
      <c r="H501">
        <v>6</v>
      </c>
      <c r="I501">
        <v>1</v>
      </c>
      <c r="J501">
        <v>0.06</v>
      </c>
      <c r="K501">
        <v>0.1061</v>
      </c>
      <c r="L501">
        <v>0.41</v>
      </c>
      <c r="M501">
        <v>8.9599999999999999E-2</v>
      </c>
      <c r="N501">
        <v>0</v>
      </c>
      <c r="O501">
        <v>39</v>
      </c>
      <c r="P501">
        <v>39</v>
      </c>
    </row>
    <row r="502" spans="1:16" x14ac:dyDescent="0.35">
      <c r="A502">
        <v>501</v>
      </c>
      <c r="B502" t="b">
        <v>0</v>
      </c>
      <c r="C502" s="18">
        <v>40565</v>
      </c>
      <c r="D502">
        <v>1</v>
      </c>
      <c r="E502">
        <v>0</v>
      </c>
      <c r="F502">
        <v>1</v>
      </c>
      <c r="G502">
        <v>22</v>
      </c>
      <c r="H502">
        <v>6</v>
      </c>
      <c r="I502">
        <v>1</v>
      </c>
      <c r="J502">
        <v>0.06</v>
      </c>
      <c r="K502">
        <v>0.1515</v>
      </c>
      <c r="L502">
        <v>0.49</v>
      </c>
      <c r="M502">
        <v>0</v>
      </c>
      <c r="N502">
        <v>7</v>
      </c>
      <c r="O502">
        <v>23</v>
      </c>
      <c r="P502">
        <v>30</v>
      </c>
    </row>
    <row r="503" spans="1:16" x14ac:dyDescent="0.35">
      <c r="A503">
        <v>502</v>
      </c>
      <c r="B503" t="b">
        <v>0</v>
      </c>
      <c r="C503" s="18">
        <v>40565</v>
      </c>
      <c r="D503">
        <v>1</v>
      </c>
      <c r="E503">
        <v>0</v>
      </c>
      <c r="F503">
        <v>1</v>
      </c>
      <c r="G503">
        <v>23</v>
      </c>
      <c r="H503">
        <v>6</v>
      </c>
      <c r="I503">
        <v>1</v>
      </c>
      <c r="J503">
        <v>0.04</v>
      </c>
      <c r="K503">
        <v>7.5800000000000006E-2</v>
      </c>
      <c r="L503">
        <v>0.56999999999999995</v>
      </c>
      <c r="M503">
        <v>0.1045</v>
      </c>
      <c r="N503">
        <v>2</v>
      </c>
      <c r="O503">
        <v>31</v>
      </c>
      <c r="P503">
        <v>33</v>
      </c>
    </row>
    <row r="504" spans="1:16" x14ac:dyDescent="0.35">
      <c r="A504">
        <v>503</v>
      </c>
      <c r="B504" t="b">
        <v>0</v>
      </c>
      <c r="C504" s="18">
        <v>40566</v>
      </c>
      <c r="D504">
        <v>1</v>
      </c>
      <c r="E504">
        <v>0</v>
      </c>
      <c r="F504">
        <v>1</v>
      </c>
      <c r="G504">
        <v>0</v>
      </c>
      <c r="H504">
        <v>0</v>
      </c>
      <c r="I504">
        <v>1</v>
      </c>
      <c r="J504">
        <v>0.04</v>
      </c>
      <c r="K504">
        <v>7.5800000000000006E-2</v>
      </c>
      <c r="L504">
        <v>0.56999999999999995</v>
      </c>
      <c r="M504">
        <v>0.1045</v>
      </c>
      <c r="N504">
        <v>2</v>
      </c>
      <c r="O504">
        <v>20</v>
      </c>
      <c r="P504">
        <v>22</v>
      </c>
    </row>
    <row r="505" spans="1:16" x14ac:dyDescent="0.35">
      <c r="A505">
        <v>504</v>
      </c>
      <c r="B505" t="b">
        <v>0</v>
      </c>
      <c r="C505" s="18">
        <v>40566</v>
      </c>
      <c r="D505">
        <v>1</v>
      </c>
      <c r="E505">
        <v>0</v>
      </c>
      <c r="F505">
        <v>1</v>
      </c>
      <c r="G505">
        <v>1</v>
      </c>
      <c r="H505">
        <v>0</v>
      </c>
      <c r="I505">
        <v>1</v>
      </c>
      <c r="J505">
        <v>0.04</v>
      </c>
      <c r="K505">
        <v>7.5800000000000006E-2</v>
      </c>
      <c r="L505">
        <v>0.56999999999999995</v>
      </c>
      <c r="M505">
        <v>0.1045</v>
      </c>
      <c r="N505">
        <v>1</v>
      </c>
      <c r="O505">
        <v>12</v>
      </c>
      <c r="P505">
        <v>13</v>
      </c>
    </row>
    <row r="506" spans="1:16" x14ac:dyDescent="0.35">
      <c r="A506">
        <v>505</v>
      </c>
      <c r="B506" t="b">
        <v>0</v>
      </c>
      <c r="C506" s="18">
        <v>40566</v>
      </c>
      <c r="D506">
        <v>1</v>
      </c>
      <c r="E506">
        <v>0</v>
      </c>
      <c r="F506">
        <v>1</v>
      </c>
      <c r="G506">
        <v>2</v>
      </c>
      <c r="H506">
        <v>0</v>
      </c>
      <c r="I506">
        <v>1</v>
      </c>
      <c r="J506">
        <v>0.02</v>
      </c>
      <c r="K506">
        <v>6.0600000000000001E-2</v>
      </c>
      <c r="L506">
        <v>0.62</v>
      </c>
      <c r="M506">
        <v>0.1343</v>
      </c>
      <c r="N506">
        <v>3</v>
      </c>
      <c r="O506">
        <v>15</v>
      </c>
      <c r="P506">
        <v>18</v>
      </c>
    </row>
    <row r="507" spans="1:16" x14ac:dyDescent="0.35">
      <c r="A507">
        <v>506</v>
      </c>
      <c r="B507" t="b">
        <v>0</v>
      </c>
      <c r="C507" s="18">
        <v>40566</v>
      </c>
      <c r="D507">
        <v>1</v>
      </c>
      <c r="E507">
        <v>0</v>
      </c>
      <c r="F507">
        <v>1</v>
      </c>
      <c r="G507">
        <v>3</v>
      </c>
      <c r="H507">
        <v>0</v>
      </c>
      <c r="I507">
        <v>1</v>
      </c>
      <c r="J507">
        <v>0.02</v>
      </c>
      <c r="K507">
        <v>6.0600000000000001E-2</v>
      </c>
      <c r="L507">
        <v>0.62</v>
      </c>
      <c r="M507">
        <v>0.1343</v>
      </c>
      <c r="N507">
        <v>1</v>
      </c>
      <c r="O507">
        <v>4</v>
      </c>
      <c r="P507">
        <v>5</v>
      </c>
    </row>
    <row r="508" spans="1:16" x14ac:dyDescent="0.35">
      <c r="A508">
        <v>507</v>
      </c>
      <c r="B508" t="b">
        <v>0</v>
      </c>
      <c r="C508" s="18">
        <v>40566</v>
      </c>
      <c r="D508">
        <v>1</v>
      </c>
      <c r="E508">
        <v>0</v>
      </c>
      <c r="F508">
        <v>1</v>
      </c>
      <c r="G508">
        <v>5</v>
      </c>
      <c r="H508">
        <v>0</v>
      </c>
      <c r="I508">
        <v>2</v>
      </c>
      <c r="J508">
        <v>0.04</v>
      </c>
      <c r="K508">
        <v>7.5800000000000006E-2</v>
      </c>
      <c r="L508">
        <v>0.56999999999999995</v>
      </c>
      <c r="M508">
        <v>0.1045</v>
      </c>
      <c r="N508">
        <v>0</v>
      </c>
      <c r="O508">
        <v>3</v>
      </c>
      <c r="P508">
        <v>3</v>
      </c>
    </row>
    <row r="509" spans="1:16" x14ac:dyDescent="0.35">
      <c r="A509">
        <v>508</v>
      </c>
      <c r="B509" t="b">
        <v>0</v>
      </c>
      <c r="C509" s="18">
        <v>40566</v>
      </c>
      <c r="D509">
        <v>1</v>
      </c>
      <c r="E509">
        <v>0</v>
      </c>
      <c r="F509">
        <v>1</v>
      </c>
      <c r="G509">
        <v>6</v>
      </c>
      <c r="H509">
        <v>0</v>
      </c>
      <c r="I509">
        <v>2</v>
      </c>
      <c r="J509">
        <v>0.04</v>
      </c>
      <c r="K509">
        <v>7.5800000000000006E-2</v>
      </c>
      <c r="L509">
        <v>0.56999999999999995</v>
      </c>
      <c r="M509">
        <v>0.1045</v>
      </c>
      <c r="N509">
        <v>0</v>
      </c>
      <c r="O509">
        <v>1</v>
      </c>
      <c r="P509">
        <v>1</v>
      </c>
    </row>
    <row r="510" spans="1:16" x14ac:dyDescent="0.35">
      <c r="A510">
        <v>509</v>
      </c>
      <c r="B510" t="b">
        <v>0</v>
      </c>
      <c r="C510" s="18">
        <v>40566</v>
      </c>
      <c r="D510">
        <v>1</v>
      </c>
      <c r="E510">
        <v>0</v>
      </c>
      <c r="F510">
        <v>1</v>
      </c>
      <c r="G510">
        <v>7</v>
      </c>
      <c r="H510">
        <v>0</v>
      </c>
      <c r="I510">
        <v>1</v>
      </c>
      <c r="J510">
        <v>0.08</v>
      </c>
      <c r="K510">
        <v>0.1061</v>
      </c>
      <c r="L510">
        <v>0.57999999999999996</v>
      </c>
      <c r="M510">
        <v>0.16420000000000001</v>
      </c>
      <c r="N510">
        <v>1</v>
      </c>
      <c r="O510">
        <v>1</v>
      </c>
      <c r="P510">
        <v>2</v>
      </c>
    </row>
    <row r="511" spans="1:16" x14ac:dyDescent="0.35">
      <c r="A511">
        <v>510</v>
      </c>
      <c r="B511" t="b">
        <v>0</v>
      </c>
      <c r="C511" s="18">
        <v>40566</v>
      </c>
      <c r="D511">
        <v>1</v>
      </c>
      <c r="E511">
        <v>0</v>
      </c>
      <c r="F511">
        <v>1</v>
      </c>
      <c r="G511">
        <v>8</v>
      </c>
      <c r="H511">
        <v>0</v>
      </c>
      <c r="I511">
        <v>1</v>
      </c>
      <c r="J511">
        <v>0.06</v>
      </c>
      <c r="K511">
        <v>7.5800000000000006E-2</v>
      </c>
      <c r="L511">
        <v>0.62</v>
      </c>
      <c r="M511">
        <v>0.16420000000000001</v>
      </c>
      <c r="N511">
        <v>2</v>
      </c>
      <c r="O511">
        <v>17</v>
      </c>
      <c r="P511">
        <v>19</v>
      </c>
    </row>
    <row r="512" spans="1:16" x14ac:dyDescent="0.35">
      <c r="A512">
        <v>511</v>
      </c>
      <c r="B512" t="b">
        <v>0</v>
      </c>
      <c r="C512" s="18">
        <v>40566</v>
      </c>
      <c r="D512">
        <v>1</v>
      </c>
      <c r="E512">
        <v>0</v>
      </c>
      <c r="F512">
        <v>1</v>
      </c>
      <c r="G512">
        <v>9</v>
      </c>
      <c r="H512">
        <v>0</v>
      </c>
      <c r="I512">
        <v>1</v>
      </c>
      <c r="J512">
        <v>0.1</v>
      </c>
      <c r="K512">
        <v>7.5800000000000006E-2</v>
      </c>
      <c r="L512">
        <v>0.54</v>
      </c>
      <c r="M512">
        <v>0.35820000000000002</v>
      </c>
      <c r="N512">
        <v>3</v>
      </c>
      <c r="O512">
        <v>25</v>
      </c>
      <c r="P512">
        <v>28</v>
      </c>
    </row>
    <row r="513" spans="1:16" x14ac:dyDescent="0.35">
      <c r="A513">
        <v>512</v>
      </c>
      <c r="B513" t="b">
        <v>0</v>
      </c>
      <c r="C513" s="18">
        <v>40566</v>
      </c>
      <c r="D513">
        <v>1</v>
      </c>
      <c r="E513">
        <v>0</v>
      </c>
      <c r="F513">
        <v>1</v>
      </c>
      <c r="G513">
        <v>10</v>
      </c>
      <c r="H513">
        <v>0</v>
      </c>
      <c r="I513">
        <v>1</v>
      </c>
      <c r="J513">
        <v>0.14000000000000001</v>
      </c>
      <c r="K513">
        <v>0.1061</v>
      </c>
      <c r="L513">
        <v>0.46</v>
      </c>
      <c r="M513">
        <v>0.3881</v>
      </c>
      <c r="N513">
        <v>7</v>
      </c>
      <c r="O513">
        <v>51</v>
      </c>
      <c r="P513">
        <v>58</v>
      </c>
    </row>
    <row r="514" spans="1:16" x14ac:dyDescent="0.35">
      <c r="A514">
        <v>513</v>
      </c>
      <c r="B514" t="b">
        <v>0</v>
      </c>
      <c r="C514" s="18">
        <v>40566</v>
      </c>
      <c r="D514">
        <v>1</v>
      </c>
      <c r="E514">
        <v>0</v>
      </c>
      <c r="F514">
        <v>1</v>
      </c>
      <c r="G514">
        <v>11</v>
      </c>
      <c r="H514">
        <v>0</v>
      </c>
      <c r="I514">
        <v>1</v>
      </c>
      <c r="J514">
        <v>0.14000000000000001</v>
      </c>
      <c r="K514">
        <v>0.13639999999999999</v>
      </c>
      <c r="L514">
        <v>0.43</v>
      </c>
      <c r="M514">
        <v>0.22389999999999999</v>
      </c>
      <c r="N514">
        <v>22</v>
      </c>
      <c r="O514">
        <v>77</v>
      </c>
      <c r="P514">
        <v>99</v>
      </c>
    </row>
    <row r="515" spans="1:16" x14ac:dyDescent="0.35">
      <c r="A515">
        <v>514</v>
      </c>
      <c r="B515" t="b">
        <v>0</v>
      </c>
      <c r="C515" s="18">
        <v>40566</v>
      </c>
      <c r="D515">
        <v>1</v>
      </c>
      <c r="E515">
        <v>0</v>
      </c>
      <c r="F515">
        <v>1</v>
      </c>
      <c r="G515">
        <v>12</v>
      </c>
      <c r="H515">
        <v>0</v>
      </c>
      <c r="I515">
        <v>1</v>
      </c>
      <c r="J515">
        <v>0.16</v>
      </c>
      <c r="K515">
        <v>0.1212</v>
      </c>
      <c r="L515">
        <v>0.37</v>
      </c>
      <c r="M515">
        <v>0.4627</v>
      </c>
      <c r="N515">
        <v>24</v>
      </c>
      <c r="O515">
        <v>92</v>
      </c>
      <c r="P515">
        <v>116</v>
      </c>
    </row>
    <row r="516" spans="1:16" x14ac:dyDescent="0.35">
      <c r="A516">
        <v>515</v>
      </c>
      <c r="B516" t="b">
        <v>0</v>
      </c>
      <c r="C516" s="18">
        <v>40566</v>
      </c>
      <c r="D516">
        <v>1</v>
      </c>
      <c r="E516">
        <v>0</v>
      </c>
      <c r="F516">
        <v>1</v>
      </c>
      <c r="G516">
        <v>13</v>
      </c>
      <c r="H516">
        <v>0</v>
      </c>
      <c r="I516">
        <v>1</v>
      </c>
      <c r="J516">
        <v>0.14000000000000001</v>
      </c>
      <c r="K516">
        <v>0.1061</v>
      </c>
      <c r="L516">
        <v>0.33</v>
      </c>
      <c r="M516">
        <v>0.3881</v>
      </c>
      <c r="N516">
        <v>12</v>
      </c>
      <c r="O516">
        <v>75</v>
      </c>
      <c r="P516">
        <v>87</v>
      </c>
    </row>
    <row r="517" spans="1:16" x14ac:dyDescent="0.35">
      <c r="A517">
        <v>516</v>
      </c>
      <c r="B517" t="b">
        <v>0</v>
      </c>
      <c r="C517" s="18">
        <v>40566</v>
      </c>
      <c r="D517">
        <v>1</v>
      </c>
      <c r="E517">
        <v>0</v>
      </c>
      <c r="F517">
        <v>1</v>
      </c>
      <c r="G517">
        <v>14</v>
      </c>
      <c r="H517">
        <v>0</v>
      </c>
      <c r="I517">
        <v>1</v>
      </c>
      <c r="J517">
        <v>0.16</v>
      </c>
      <c r="K517">
        <v>0.13639999999999999</v>
      </c>
      <c r="L517">
        <v>0.28000000000000003</v>
      </c>
      <c r="M517">
        <v>0.35820000000000002</v>
      </c>
      <c r="N517">
        <v>17</v>
      </c>
      <c r="O517">
        <v>93</v>
      </c>
      <c r="P517">
        <v>110</v>
      </c>
    </row>
    <row r="518" spans="1:16" x14ac:dyDescent="0.35">
      <c r="A518">
        <v>517</v>
      </c>
      <c r="B518" t="b">
        <v>0</v>
      </c>
      <c r="C518" s="18">
        <v>40566</v>
      </c>
      <c r="D518">
        <v>1</v>
      </c>
      <c r="E518">
        <v>0</v>
      </c>
      <c r="F518">
        <v>1</v>
      </c>
      <c r="G518">
        <v>15</v>
      </c>
      <c r="H518">
        <v>0</v>
      </c>
      <c r="I518">
        <v>1</v>
      </c>
      <c r="J518">
        <v>0.16</v>
      </c>
      <c r="K518">
        <v>0.13639999999999999</v>
      </c>
      <c r="L518">
        <v>0.28000000000000003</v>
      </c>
      <c r="M518">
        <v>0.35820000000000002</v>
      </c>
      <c r="N518">
        <v>13</v>
      </c>
      <c r="O518">
        <v>64</v>
      </c>
      <c r="P518">
        <v>77</v>
      </c>
    </row>
    <row r="519" spans="1:16" x14ac:dyDescent="0.35">
      <c r="A519">
        <v>518</v>
      </c>
      <c r="B519" t="b">
        <v>0</v>
      </c>
      <c r="C519" s="18">
        <v>40566</v>
      </c>
      <c r="D519">
        <v>1</v>
      </c>
      <c r="E519">
        <v>0</v>
      </c>
      <c r="F519">
        <v>1</v>
      </c>
      <c r="G519">
        <v>16</v>
      </c>
      <c r="H519">
        <v>0</v>
      </c>
      <c r="I519">
        <v>1</v>
      </c>
      <c r="J519">
        <v>0.16</v>
      </c>
      <c r="K519">
        <v>0.13639999999999999</v>
      </c>
      <c r="L519">
        <v>0.26</v>
      </c>
      <c r="M519">
        <v>0.32840000000000003</v>
      </c>
      <c r="N519">
        <v>9</v>
      </c>
      <c r="O519">
        <v>56</v>
      </c>
      <c r="P519">
        <v>65</v>
      </c>
    </row>
    <row r="520" spans="1:16" x14ac:dyDescent="0.35">
      <c r="A520">
        <v>519</v>
      </c>
      <c r="B520" t="b">
        <v>0</v>
      </c>
      <c r="C520" s="18">
        <v>40566</v>
      </c>
      <c r="D520">
        <v>1</v>
      </c>
      <c r="E520">
        <v>0</v>
      </c>
      <c r="F520">
        <v>1</v>
      </c>
      <c r="G520">
        <v>17</v>
      </c>
      <c r="H520">
        <v>0</v>
      </c>
      <c r="I520">
        <v>1</v>
      </c>
      <c r="J520">
        <v>0.14000000000000001</v>
      </c>
      <c r="K520">
        <v>0.1061</v>
      </c>
      <c r="L520">
        <v>0.26</v>
      </c>
      <c r="M520">
        <v>0.3881</v>
      </c>
      <c r="N520">
        <v>5</v>
      </c>
      <c r="O520">
        <v>50</v>
      </c>
      <c r="P520">
        <v>55</v>
      </c>
    </row>
    <row r="521" spans="1:16" x14ac:dyDescent="0.35">
      <c r="A521">
        <v>520</v>
      </c>
      <c r="B521" t="b">
        <v>0</v>
      </c>
      <c r="C521" s="18">
        <v>40566</v>
      </c>
      <c r="D521">
        <v>1</v>
      </c>
      <c r="E521">
        <v>0</v>
      </c>
      <c r="F521">
        <v>1</v>
      </c>
      <c r="G521">
        <v>18</v>
      </c>
      <c r="H521">
        <v>0</v>
      </c>
      <c r="I521">
        <v>1</v>
      </c>
      <c r="J521">
        <v>0.12</v>
      </c>
      <c r="K521">
        <v>0.1212</v>
      </c>
      <c r="L521">
        <v>0.3</v>
      </c>
      <c r="M521">
        <v>0.25369999999999998</v>
      </c>
      <c r="N521">
        <v>5</v>
      </c>
      <c r="O521">
        <v>44</v>
      </c>
      <c r="P521">
        <v>49</v>
      </c>
    </row>
    <row r="522" spans="1:16" x14ac:dyDescent="0.35">
      <c r="A522">
        <v>521</v>
      </c>
      <c r="B522" t="b">
        <v>0</v>
      </c>
      <c r="C522" s="18">
        <v>40566</v>
      </c>
      <c r="D522">
        <v>1</v>
      </c>
      <c r="E522">
        <v>0</v>
      </c>
      <c r="F522">
        <v>1</v>
      </c>
      <c r="G522">
        <v>19</v>
      </c>
      <c r="H522">
        <v>0</v>
      </c>
      <c r="I522">
        <v>1</v>
      </c>
      <c r="J522">
        <v>0.12</v>
      </c>
      <c r="K522">
        <v>0.1212</v>
      </c>
      <c r="L522">
        <v>0.3</v>
      </c>
      <c r="M522">
        <v>0.28360000000000002</v>
      </c>
      <c r="N522">
        <v>5</v>
      </c>
      <c r="O522">
        <v>45</v>
      </c>
      <c r="P522">
        <v>50</v>
      </c>
    </row>
    <row r="523" spans="1:16" x14ac:dyDescent="0.35">
      <c r="A523">
        <v>522</v>
      </c>
      <c r="B523" t="b">
        <v>0</v>
      </c>
      <c r="C523" s="18">
        <v>40566</v>
      </c>
      <c r="D523">
        <v>1</v>
      </c>
      <c r="E523">
        <v>0</v>
      </c>
      <c r="F523">
        <v>1</v>
      </c>
      <c r="G523">
        <v>20</v>
      </c>
      <c r="H523">
        <v>0</v>
      </c>
      <c r="I523">
        <v>1</v>
      </c>
      <c r="J523">
        <v>0.1</v>
      </c>
      <c r="K523">
        <v>0.1061</v>
      </c>
      <c r="L523">
        <v>0.36</v>
      </c>
      <c r="M523">
        <v>0.25369999999999998</v>
      </c>
      <c r="N523">
        <v>4</v>
      </c>
      <c r="O523">
        <v>31</v>
      </c>
      <c r="P523">
        <v>35</v>
      </c>
    </row>
    <row r="524" spans="1:16" x14ac:dyDescent="0.35">
      <c r="A524">
        <v>523</v>
      </c>
      <c r="B524" t="b">
        <v>0</v>
      </c>
      <c r="C524" s="18">
        <v>40566</v>
      </c>
      <c r="D524">
        <v>1</v>
      </c>
      <c r="E524">
        <v>0</v>
      </c>
      <c r="F524">
        <v>1</v>
      </c>
      <c r="G524">
        <v>21</v>
      </c>
      <c r="H524">
        <v>0</v>
      </c>
      <c r="I524">
        <v>1</v>
      </c>
      <c r="J524">
        <v>0.1</v>
      </c>
      <c r="K524">
        <v>0.1061</v>
      </c>
      <c r="L524">
        <v>0.36</v>
      </c>
      <c r="M524">
        <v>0.19400000000000001</v>
      </c>
      <c r="N524">
        <v>5</v>
      </c>
      <c r="O524">
        <v>20</v>
      </c>
      <c r="P524">
        <v>25</v>
      </c>
    </row>
    <row r="525" spans="1:16" x14ac:dyDescent="0.35">
      <c r="A525">
        <v>524</v>
      </c>
      <c r="B525" t="b">
        <v>0</v>
      </c>
      <c r="C525" s="18">
        <v>40566</v>
      </c>
      <c r="D525">
        <v>1</v>
      </c>
      <c r="E525">
        <v>0</v>
      </c>
      <c r="F525">
        <v>1</v>
      </c>
      <c r="G525">
        <v>22</v>
      </c>
      <c r="H525">
        <v>0</v>
      </c>
      <c r="I525">
        <v>1</v>
      </c>
      <c r="J525">
        <v>0.08</v>
      </c>
      <c r="K525">
        <v>9.0899999999999995E-2</v>
      </c>
      <c r="L525">
        <v>0.38</v>
      </c>
      <c r="M525">
        <v>0.19400000000000001</v>
      </c>
      <c r="N525">
        <v>5</v>
      </c>
      <c r="O525">
        <v>23</v>
      </c>
      <c r="P525">
        <v>28</v>
      </c>
    </row>
    <row r="526" spans="1:16" x14ac:dyDescent="0.35">
      <c r="A526">
        <v>525</v>
      </c>
      <c r="B526" t="b">
        <v>0</v>
      </c>
      <c r="C526" s="18">
        <v>40566</v>
      </c>
      <c r="D526">
        <v>1</v>
      </c>
      <c r="E526">
        <v>0</v>
      </c>
      <c r="F526">
        <v>1</v>
      </c>
      <c r="G526">
        <v>23</v>
      </c>
      <c r="H526">
        <v>0</v>
      </c>
      <c r="I526">
        <v>1</v>
      </c>
      <c r="J526">
        <v>0.06</v>
      </c>
      <c r="K526">
        <v>6.0600000000000001E-2</v>
      </c>
      <c r="L526">
        <v>0.41</v>
      </c>
      <c r="M526">
        <v>0.22389999999999999</v>
      </c>
      <c r="N526">
        <v>4</v>
      </c>
      <c r="O526">
        <v>17</v>
      </c>
      <c r="P526">
        <v>21</v>
      </c>
    </row>
    <row r="527" spans="1:16" x14ac:dyDescent="0.35">
      <c r="A527">
        <v>526</v>
      </c>
      <c r="B527" t="b">
        <v>0</v>
      </c>
      <c r="C527" s="18">
        <v>40567</v>
      </c>
      <c r="D527">
        <v>1</v>
      </c>
      <c r="E527">
        <v>0</v>
      </c>
      <c r="F527">
        <v>1</v>
      </c>
      <c r="G527">
        <v>0</v>
      </c>
      <c r="H527">
        <v>1</v>
      </c>
      <c r="I527">
        <v>1</v>
      </c>
      <c r="J527">
        <v>0.06</v>
      </c>
      <c r="K527">
        <v>6.0600000000000001E-2</v>
      </c>
      <c r="L527">
        <v>0.41</v>
      </c>
      <c r="M527">
        <v>0.19400000000000001</v>
      </c>
      <c r="N527">
        <v>0</v>
      </c>
      <c r="O527">
        <v>7</v>
      </c>
      <c r="P527">
        <v>7</v>
      </c>
    </row>
    <row r="528" spans="1:16" x14ac:dyDescent="0.35">
      <c r="A528">
        <v>527</v>
      </c>
      <c r="B528" t="b">
        <v>0</v>
      </c>
      <c r="C528" s="18">
        <v>40567</v>
      </c>
      <c r="D528">
        <v>1</v>
      </c>
      <c r="E528">
        <v>0</v>
      </c>
      <c r="F528">
        <v>1</v>
      </c>
      <c r="G528">
        <v>1</v>
      </c>
      <c r="H528">
        <v>1</v>
      </c>
      <c r="I528">
        <v>1</v>
      </c>
      <c r="J528">
        <v>0.04</v>
      </c>
      <c r="K528">
        <v>4.5499999999999999E-2</v>
      </c>
      <c r="L528">
        <v>0.45</v>
      </c>
      <c r="M528">
        <v>0.19400000000000001</v>
      </c>
      <c r="N528">
        <v>0</v>
      </c>
      <c r="O528">
        <v>1</v>
      </c>
      <c r="P528">
        <v>1</v>
      </c>
    </row>
    <row r="529" spans="1:16" x14ac:dyDescent="0.35">
      <c r="A529">
        <v>528</v>
      </c>
      <c r="B529" t="b">
        <v>0</v>
      </c>
      <c r="C529" s="18">
        <v>40567</v>
      </c>
      <c r="D529">
        <v>1</v>
      </c>
      <c r="E529">
        <v>0</v>
      </c>
      <c r="F529">
        <v>1</v>
      </c>
      <c r="G529">
        <v>3</v>
      </c>
      <c r="H529">
        <v>1</v>
      </c>
      <c r="I529">
        <v>1</v>
      </c>
      <c r="J529">
        <v>0.04</v>
      </c>
      <c r="K529">
        <v>3.0300000000000001E-2</v>
      </c>
      <c r="L529">
        <v>0.45</v>
      </c>
      <c r="M529">
        <v>0.25369999999999998</v>
      </c>
      <c r="N529">
        <v>0</v>
      </c>
      <c r="O529">
        <v>1</v>
      </c>
      <c r="P529">
        <v>1</v>
      </c>
    </row>
    <row r="530" spans="1:16" x14ac:dyDescent="0.35">
      <c r="A530">
        <v>529</v>
      </c>
      <c r="B530" t="b">
        <v>0</v>
      </c>
      <c r="C530" s="18">
        <v>40567</v>
      </c>
      <c r="D530">
        <v>1</v>
      </c>
      <c r="E530">
        <v>0</v>
      </c>
      <c r="F530">
        <v>1</v>
      </c>
      <c r="G530">
        <v>4</v>
      </c>
      <c r="H530">
        <v>1</v>
      </c>
      <c r="I530">
        <v>1</v>
      </c>
      <c r="J530">
        <v>0.02</v>
      </c>
      <c r="K530">
        <v>6.0600000000000001E-2</v>
      </c>
      <c r="L530">
        <v>0.48</v>
      </c>
      <c r="M530">
        <v>0.1343</v>
      </c>
      <c r="N530">
        <v>0</v>
      </c>
      <c r="O530">
        <v>1</v>
      </c>
      <c r="P530">
        <v>1</v>
      </c>
    </row>
    <row r="531" spans="1:16" x14ac:dyDescent="0.35">
      <c r="A531">
        <v>530</v>
      </c>
      <c r="B531" t="b">
        <v>0</v>
      </c>
      <c r="C531" s="18">
        <v>40567</v>
      </c>
      <c r="D531">
        <v>1</v>
      </c>
      <c r="E531">
        <v>0</v>
      </c>
      <c r="F531">
        <v>1</v>
      </c>
      <c r="G531">
        <v>5</v>
      </c>
      <c r="H531">
        <v>1</v>
      </c>
      <c r="I531">
        <v>1</v>
      </c>
      <c r="J531">
        <v>0.02</v>
      </c>
      <c r="K531">
        <v>6.0600000000000001E-2</v>
      </c>
      <c r="L531">
        <v>0.48</v>
      </c>
      <c r="M531">
        <v>0.1343</v>
      </c>
      <c r="N531">
        <v>0</v>
      </c>
      <c r="O531">
        <v>5</v>
      </c>
      <c r="P531">
        <v>5</v>
      </c>
    </row>
    <row r="532" spans="1:16" x14ac:dyDescent="0.35">
      <c r="A532">
        <v>531</v>
      </c>
      <c r="B532" t="b">
        <v>0</v>
      </c>
      <c r="C532" s="18">
        <v>40567</v>
      </c>
      <c r="D532">
        <v>1</v>
      </c>
      <c r="E532">
        <v>0</v>
      </c>
      <c r="F532">
        <v>1</v>
      </c>
      <c r="G532">
        <v>6</v>
      </c>
      <c r="H532">
        <v>1</v>
      </c>
      <c r="I532">
        <v>1</v>
      </c>
      <c r="J532">
        <v>0.02</v>
      </c>
      <c r="K532">
        <v>7.5800000000000006E-2</v>
      </c>
      <c r="L532">
        <v>0.48</v>
      </c>
      <c r="M532">
        <v>8.9599999999999999E-2</v>
      </c>
      <c r="N532">
        <v>0</v>
      </c>
      <c r="O532">
        <v>15</v>
      </c>
      <c r="P532">
        <v>15</v>
      </c>
    </row>
    <row r="533" spans="1:16" x14ac:dyDescent="0.35">
      <c r="A533">
        <v>532</v>
      </c>
      <c r="B533" t="b">
        <v>0</v>
      </c>
      <c r="C533" s="18">
        <v>40567</v>
      </c>
      <c r="D533">
        <v>1</v>
      </c>
      <c r="E533">
        <v>0</v>
      </c>
      <c r="F533">
        <v>1</v>
      </c>
      <c r="G533">
        <v>7</v>
      </c>
      <c r="H533">
        <v>1</v>
      </c>
      <c r="I533">
        <v>1</v>
      </c>
      <c r="J533">
        <v>0.02</v>
      </c>
      <c r="K533">
        <v>0.1212</v>
      </c>
      <c r="L533">
        <v>0.48</v>
      </c>
      <c r="M533">
        <v>0</v>
      </c>
      <c r="N533">
        <v>5</v>
      </c>
      <c r="O533">
        <v>79</v>
      </c>
      <c r="P533">
        <v>84</v>
      </c>
    </row>
    <row r="534" spans="1:16" x14ac:dyDescent="0.35">
      <c r="A534">
        <v>533</v>
      </c>
      <c r="B534" t="b">
        <v>0</v>
      </c>
      <c r="C534" s="18">
        <v>40567</v>
      </c>
      <c r="D534">
        <v>1</v>
      </c>
      <c r="E534">
        <v>0</v>
      </c>
      <c r="F534">
        <v>1</v>
      </c>
      <c r="G534">
        <v>8</v>
      </c>
      <c r="H534">
        <v>1</v>
      </c>
      <c r="I534">
        <v>1</v>
      </c>
      <c r="J534">
        <v>0.04</v>
      </c>
      <c r="K534">
        <v>0.13639999999999999</v>
      </c>
      <c r="L534">
        <v>0.49</v>
      </c>
      <c r="M534">
        <v>0</v>
      </c>
      <c r="N534">
        <v>6</v>
      </c>
      <c r="O534">
        <v>171</v>
      </c>
      <c r="P534">
        <v>177</v>
      </c>
    </row>
    <row r="535" spans="1:16" x14ac:dyDescent="0.35">
      <c r="A535">
        <v>534</v>
      </c>
      <c r="B535" t="b">
        <v>0</v>
      </c>
      <c r="C535" s="18">
        <v>40567</v>
      </c>
      <c r="D535">
        <v>1</v>
      </c>
      <c r="E535">
        <v>0</v>
      </c>
      <c r="F535">
        <v>1</v>
      </c>
      <c r="G535">
        <v>9</v>
      </c>
      <c r="H535">
        <v>1</v>
      </c>
      <c r="I535">
        <v>1</v>
      </c>
      <c r="J535">
        <v>0.06</v>
      </c>
      <c r="K535">
        <v>0.1515</v>
      </c>
      <c r="L535">
        <v>0.41</v>
      </c>
      <c r="M535">
        <v>0</v>
      </c>
      <c r="N535">
        <v>4</v>
      </c>
      <c r="O535">
        <v>98</v>
      </c>
      <c r="P535">
        <v>102</v>
      </c>
    </row>
    <row r="536" spans="1:16" x14ac:dyDescent="0.35">
      <c r="A536">
        <v>535</v>
      </c>
      <c r="B536" t="b">
        <v>0</v>
      </c>
      <c r="C536" s="18">
        <v>40567</v>
      </c>
      <c r="D536">
        <v>1</v>
      </c>
      <c r="E536">
        <v>0</v>
      </c>
      <c r="F536">
        <v>1</v>
      </c>
      <c r="G536">
        <v>10</v>
      </c>
      <c r="H536">
        <v>1</v>
      </c>
      <c r="I536">
        <v>1</v>
      </c>
      <c r="J536">
        <v>0.1</v>
      </c>
      <c r="K536">
        <v>0.13639999999999999</v>
      </c>
      <c r="L536">
        <v>0.42</v>
      </c>
      <c r="M536">
        <v>0</v>
      </c>
      <c r="N536">
        <v>6</v>
      </c>
      <c r="O536">
        <v>34</v>
      </c>
      <c r="P536">
        <v>40</v>
      </c>
    </row>
    <row r="537" spans="1:16" x14ac:dyDescent="0.35">
      <c r="A537">
        <v>536</v>
      </c>
      <c r="B537" t="b">
        <v>0</v>
      </c>
      <c r="C537" s="18">
        <v>40567</v>
      </c>
      <c r="D537">
        <v>1</v>
      </c>
      <c r="E537">
        <v>0</v>
      </c>
      <c r="F537">
        <v>1</v>
      </c>
      <c r="G537">
        <v>11</v>
      </c>
      <c r="H537">
        <v>1</v>
      </c>
      <c r="I537">
        <v>1</v>
      </c>
      <c r="J537">
        <v>0.1</v>
      </c>
      <c r="K537">
        <v>0.1212</v>
      </c>
      <c r="L537">
        <v>0.46</v>
      </c>
      <c r="M537">
        <v>0.1343</v>
      </c>
      <c r="N537">
        <v>3</v>
      </c>
      <c r="O537">
        <v>43</v>
      </c>
      <c r="P537">
        <v>46</v>
      </c>
    </row>
    <row r="538" spans="1:16" x14ac:dyDescent="0.35">
      <c r="A538">
        <v>537</v>
      </c>
      <c r="B538" t="b">
        <v>0</v>
      </c>
      <c r="C538" s="18">
        <v>40567</v>
      </c>
      <c r="D538">
        <v>1</v>
      </c>
      <c r="E538">
        <v>0</v>
      </c>
      <c r="F538">
        <v>1</v>
      </c>
      <c r="G538">
        <v>12</v>
      </c>
      <c r="H538">
        <v>1</v>
      </c>
      <c r="I538">
        <v>2</v>
      </c>
      <c r="J538">
        <v>0.12</v>
      </c>
      <c r="K538">
        <v>0.13639999999999999</v>
      </c>
      <c r="L538">
        <v>0.42</v>
      </c>
      <c r="M538">
        <v>0.19400000000000001</v>
      </c>
      <c r="N538">
        <v>11</v>
      </c>
      <c r="O538">
        <v>52</v>
      </c>
      <c r="P538">
        <v>63</v>
      </c>
    </row>
    <row r="539" spans="1:16" x14ac:dyDescent="0.35">
      <c r="A539">
        <v>538</v>
      </c>
      <c r="B539" t="b">
        <v>0</v>
      </c>
      <c r="C539" s="18">
        <v>40567</v>
      </c>
      <c r="D539">
        <v>1</v>
      </c>
      <c r="E539">
        <v>0</v>
      </c>
      <c r="F539">
        <v>1</v>
      </c>
      <c r="G539">
        <v>13</v>
      </c>
      <c r="H539">
        <v>1</v>
      </c>
      <c r="I539">
        <v>2</v>
      </c>
      <c r="J539">
        <v>0.14000000000000001</v>
      </c>
      <c r="K539">
        <v>0.13639999999999999</v>
      </c>
      <c r="L539">
        <v>0.43</v>
      </c>
      <c r="M539">
        <v>0.22389999999999999</v>
      </c>
      <c r="N539">
        <v>6</v>
      </c>
      <c r="O539">
        <v>54</v>
      </c>
      <c r="P539">
        <v>60</v>
      </c>
    </row>
    <row r="540" spans="1:16" x14ac:dyDescent="0.35">
      <c r="A540">
        <v>539</v>
      </c>
      <c r="B540" t="b">
        <v>0</v>
      </c>
      <c r="C540" s="18">
        <v>40567</v>
      </c>
      <c r="D540">
        <v>1</v>
      </c>
      <c r="E540">
        <v>0</v>
      </c>
      <c r="F540">
        <v>1</v>
      </c>
      <c r="G540">
        <v>14</v>
      </c>
      <c r="H540">
        <v>1</v>
      </c>
      <c r="I540">
        <v>2</v>
      </c>
      <c r="J540">
        <v>0.14000000000000001</v>
      </c>
      <c r="K540">
        <v>0.13639999999999999</v>
      </c>
      <c r="L540">
        <v>0.46</v>
      </c>
      <c r="M540">
        <v>0.22389999999999999</v>
      </c>
      <c r="N540">
        <v>2</v>
      </c>
      <c r="O540">
        <v>43</v>
      </c>
      <c r="P540">
        <v>45</v>
      </c>
    </row>
    <row r="541" spans="1:16" x14ac:dyDescent="0.35">
      <c r="A541">
        <v>540</v>
      </c>
      <c r="B541" t="b">
        <v>0</v>
      </c>
      <c r="C541" s="18">
        <v>40567</v>
      </c>
      <c r="D541">
        <v>1</v>
      </c>
      <c r="E541">
        <v>0</v>
      </c>
      <c r="F541">
        <v>1</v>
      </c>
      <c r="G541">
        <v>15</v>
      </c>
      <c r="H541">
        <v>1</v>
      </c>
      <c r="I541">
        <v>1</v>
      </c>
      <c r="J541">
        <v>0.16</v>
      </c>
      <c r="K541">
        <v>0.16669999999999999</v>
      </c>
      <c r="L541">
        <v>0.4</v>
      </c>
      <c r="M541">
        <v>0.16420000000000001</v>
      </c>
      <c r="N541">
        <v>7</v>
      </c>
      <c r="O541">
        <v>50</v>
      </c>
      <c r="P541">
        <v>57</v>
      </c>
    </row>
    <row r="542" spans="1:16" x14ac:dyDescent="0.35">
      <c r="A542">
        <v>541</v>
      </c>
      <c r="B542" t="b">
        <v>0</v>
      </c>
      <c r="C542" s="18">
        <v>40567</v>
      </c>
      <c r="D542">
        <v>1</v>
      </c>
      <c r="E542">
        <v>0</v>
      </c>
      <c r="F542">
        <v>1</v>
      </c>
      <c r="G542">
        <v>16</v>
      </c>
      <c r="H542">
        <v>1</v>
      </c>
      <c r="I542">
        <v>1</v>
      </c>
      <c r="J542">
        <v>0.16</v>
      </c>
      <c r="K542">
        <v>0.1515</v>
      </c>
      <c r="L542">
        <v>0.47</v>
      </c>
      <c r="M542">
        <v>0.25369999999999998</v>
      </c>
      <c r="N542">
        <v>4</v>
      </c>
      <c r="O542">
        <v>66</v>
      </c>
      <c r="P542">
        <v>70</v>
      </c>
    </row>
    <row r="543" spans="1:16" x14ac:dyDescent="0.35">
      <c r="A543">
        <v>542</v>
      </c>
      <c r="B543" t="b">
        <v>0</v>
      </c>
      <c r="C543" s="18">
        <v>40567</v>
      </c>
      <c r="D543">
        <v>1</v>
      </c>
      <c r="E543">
        <v>0</v>
      </c>
      <c r="F543">
        <v>1</v>
      </c>
      <c r="G543">
        <v>17</v>
      </c>
      <c r="H543">
        <v>1</v>
      </c>
      <c r="I543">
        <v>1</v>
      </c>
      <c r="J543">
        <v>0.14000000000000001</v>
      </c>
      <c r="K543">
        <v>0.1212</v>
      </c>
      <c r="L543">
        <v>0.5</v>
      </c>
      <c r="M543">
        <v>0.25369999999999998</v>
      </c>
      <c r="N543">
        <v>6</v>
      </c>
      <c r="O543">
        <v>178</v>
      </c>
      <c r="P543">
        <v>184</v>
      </c>
    </row>
    <row r="544" spans="1:16" x14ac:dyDescent="0.35">
      <c r="A544">
        <v>543</v>
      </c>
      <c r="B544" t="b">
        <v>0</v>
      </c>
      <c r="C544" s="18">
        <v>40567</v>
      </c>
      <c r="D544">
        <v>1</v>
      </c>
      <c r="E544">
        <v>0</v>
      </c>
      <c r="F544">
        <v>1</v>
      </c>
      <c r="G544">
        <v>18</v>
      </c>
      <c r="H544">
        <v>1</v>
      </c>
      <c r="I544">
        <v>1</v>
      </c>
      <c r="J544">
        <v>0.14000000000000001</v>
      </c>
      <c r="K544">
        <v>0.13639999999999999</v>
      </c>
      <c r="L544">
        <v>0.59</v>
      </c>
      <c r="M544">
        <v>0.19400000000000001</v>
      </c>
      <c r="N544">
        <v>8</v>
      </c>
      <c r="O544">
        <v>145</v>
      </c>
      <c r="P544">
        <v>153</v>
      </c>
    </row>
    <row r="545" spans="1:16" x14ac:dyDescent="0.35">
      <c r="A545">
        <v>544</v>
      </c>
      <c r="B545" t="b">
        <v>0</v>
      </c>
      <c r="C545" s="18">
        <v>40567</v>
      </c>
      <c r="D545">
        <v>1</v>
      </c>
      <c r="E545">
        <v>0</v>
      </c>
      <c r="F545">
        <v>1</v>
      </c>
      <c r="G545">
        <v>19</v>
      </c>
      <c r="H545">
        <v>1</v>
      </c>
      <c r="I545">
        <v>1</v>
      </c>
      <c r="J545">
        <v>0.14000000000000001</v>
      </c>
      <c r="K545">
        <v>0.1515</v>
      </c>
      <c r="L545">
        <v>0.54</v>
      </c>
      <c r="M545">
        <v>0.16420000000000001</v>
      </c>
      <c r="N545">
        <v>5</v>
      </c>
      <c r="O545">
        <v>101</v>
      </c>
      <c r="P545">
        <v>106</v>
      </c>
    </row>
    <row r="546" spans="1:16" x14ac:dyDescent="0.35">
      <c r="A546">
        <v>545</v>
      </c>
      <c r="B546" t="b">
        <v>0</v>
      </c>
      <c r="C546" s="18">
        <v>40567</v>
      </c>
      <c r="D546">
        <v>1</v>
      </c>
      <c r="E546">
        <v>0</v>
      </c>
      <c r="F546">
        <v>1</v>
      </c>
      <c r="G546">
        <v>20</v>
      </c>
      <c r="H546">
        <v>1</v>
      </c>
      <c r="I546">
        <v>1</v>
      </c>
      <c r="J546">
        <v>0.14000000000000001</v>
      </c>
      <c r="K546">
        <v>0.13639999999999999</v>
      </c>
      <c r="L546">
        <v>0.59</v>
      </c>
      <c r="M546">
        <v>0.19400000000000001</v>
      </c>
      <c r="N546">
        <v>1</v>
      </c>
      <c r="O546">
        <v>80</v>
      </c>
      <c r="P546">
        <v>81</v>
      </c>
    </row>
    <row r="547" spans="1:16" x14ac:dyDescent="0.35">
      <c r="A547">
        <v>546</v>
      </c>
      <c r="B547" t="b">
        <v>0</v>
      </c>
      <c r="C547" s="18">
        <v>40567</v>
      </c>
      <c r="D547">
        <v>1</v>
      </c>
      <c r="E547">
        <v>0</v>
      </c>
      <c r="F547">
        <v>1</v>
      </c>
      <c r="G547">
        <v>21</v>
      </c>
      <c r="H547">
        <v>1</v>
      </c>
      <c r="I547">
        <v>1</v>
      </c>
      <c r="J547">
        <v>0.14000000000000001</v>
      </c>
      <c r="K547">
        <v>0.1515</v>
      </c>
      <c r="L547">
        <v>0.63</v>
      </c>
      <c r="M547">
        <v>0.16420000000000001</v>
      </c>
      <c r="N547">
        <v>6</v>
      </c>
      <c r="O547">
        <v>53</v>
      </c>
      <c r="P547">
        <v>59</v>
      </c>
    </row>
    <row r="548" spans="1:16" x14ac:dyDescent="0.35">
      <c r="A548">
        <v>547</v>
      </c>
      <c r="B548" t="b">
        <v>0</v>
      </c>
      <c r="C548" s="18">
        <v>40567</v>
      </c>
      <c r="D548">
        <v>1</v>
      </c>
      <c r="E548">
        <v>0</v>
      </c>
      <c r="F548">
        <v>1</v>
      </c>
      <c r="G548">
        <v>22</v>
      </c>
      <c r="H548">
        <v>1</v>
      </c>
      <c r="I548">
        <v>2</v>
      </c>
      <c r="J548">
        <v>0.14000000000000001</v>
      </c>
      <c r="K548">
        <v>0.13639999999999999</v>
      </c>
      <c r="L548">
        <v>0.63</v>
      </c>
      <c r="M548">
        <v>0.22389999999999999</v>
      </c>
      <c r="N548">
        <v>3</v>
      </c>
      <c r="O548">
        <v>32</v>
      </c>
      <c r="P548">
        <v>35</v>
      </c>
    </row>
    <row r="549" spans="1:16" x14ac:dyDescent="0.35">
      <c r="A549">
        <v>548</v>
      </c>
      <c r="B549" t="b">
        <v>0</v>
      </c>
      <c r="C549" s="18">
        <v>40567</v>
      </c>
      <c r="D549">
        <v>1</v>
      </c>
      <c r="E549">
        <v>0</v>
      </c>
      <c r="F549">
        <v>1</v>
      </c>
      <c r="G549">
        <v>23</v>
      </c>
      <c r="H549">
        <v>1</v>
      </c>
      <c r="I549">
        <v>2</v>
      </c>
      <c r="J549">
        <v>0.16</v>
      </c>
      <c r="K549">
        <v>0.1515</v>
      </c>
      <c r="L549">
        <v>0.64</v>
      </c>
      <c r="M549">
        <v>0.25369999999999998</v>
      </c>
      <c r="N549">
        <v>3</v>
      </c>
      <c r="O549">
        <v>21</v>
      </c>
      <c r="P549">
        <v>24</v>
      </c>
    </row>
    <row r="550" spans="1:16" x14ac:dyDescent="0.35">
      <c r="A550">
        <v>549</v>
      </c>
      <c r="B550" t="b">
        <v>0</v>
      </c>
      <c r="C550" s="18">
        <v>40568</v>
      </c>
      <c r="D550">
        <v>1</v>
      </c>
      <c r="E550">
        <v>0</v>
      </c>
      <c r="F550">
        <v>1</v>
      </c>
      <c r="G550">
        <v>0</v>
      </c>
      <c r="H550">
        <v>2</v>
      </c>
      <c r="I550">
        <v>2</v>
      </c>
      <c r="J550">
        <v>0.16</v>
      </c>
      <c r="K550">
        <v>0.13639999999999999</v>
      </c>
      <c r="L550">
        <v>0.69</v>
      </c>
      <c r="M550">
        <v>0.28360000000000002</v>
      </c>
      <c r="N550">
        <v>3</v>
      </c>
      <c r="O550">
        <v>6</v>
      </c>
      <c r="P550">
        <v>9</v>
      </c>
    </row>
    <row r="551" spans="1:16" x14ac:dyDescent="0.35">
      <c r="A551">
        <v>550</v>
      </c>
      <c r="B551" t="b">
        <v>0</v>
      </c>
      <c r="C551" s="18">
        <v>40568</v>
      </c>
      <c r="D551">
        <v>1</v>
      </c>
      <c r="E551">
        <v>0</v>
      </c>
      <c r="F551">
        <v>1</v>
      </c>
      <c r="G551">
        <v>1</v>
      </c>
      <c r="H551">
        <v>2</v>
      </c>
      <c r="I551">
        <v>2</v>
      </c>
      <c r="J551">
        <v>0.16</v>
      </c>
      <c r="K551">
        <v>0.16669999999999999</v>
      </c>
      <c r="L551">
        <v>0.69</v>
      </c>
      <c r="M551">
        <v>0.16420000000000001</v>
      </c>
      <c r="N551">
        <v>0</v>
      </c>
      <c r="O551">
        <v>5</v>
      </c>
      <c r="P551">
        <v>5</v>
      </c>
    </row>
    <row r="552" spans="1:16" x14ac:dyDescent="0.35">
      <c r="A552">
        <v>551</v>
      </c>
      <c r="B552" t="b">
        <v>0</v>
      </c>
      <c r="C552" s="18">
        <v>40568</v>
      </c>
      <c r="D552">
        <v>1</v>
      </c>
      <c r="E552">
        <v>0</v>
      </c>
      <c r="F552">
        <v>1</v>
      </c>
      <c r="G552">
        <v>2</v>
      </c>
      <c r="H552">
        <v>2</v>
      </c>
      <c r="I552">
        <v>1</v>
      </c>
      <c r="J552">
        <v>0.16</v>
      </c>
      <c r="K552">
        <v>0.1515</v>
      </c>
      <c r="L552">
        <v>0.69</v>
      </c>
      <c r="M552">
        <v>0.22389999999999999</v>
      </c>
      <c r="N552">
        <v>0</v>
      </c>
      <c r="O552">
        <v>2</v>
      </c>
      <c r="P552">
        <v>2</v>
      </c>
    </row>
    <row r="553" spans="1:16" x14ac:dyDescent="0.35">
      <c r="A553">
        <v>552</v>
      </c>
      <c r="B553" t="b">
        <v>0</v>
      </c>
      <c r="C553" s="18">
        <v>40568</v>
      </c>
      <c r="D553">
        <v>1</v>
      </c>
      <c r="E553">
        <v>0</v>
      </c>
      <c r="F553">
        <v>1</v>
      </c>
      <c r="G553">
        <v>4</v>
      </c>
      <c r="H553">
        <v>2</v>
      </c>
      <c r="I553">
        <v>1</v>
      </c>
      <c r="J553">
        <v>0.14000000000000001</v>
      </c>
      <c r="K553">
        <v>0.16669999999999999</v>
      </c>
      <c r="L553">
        <v>0.74</v>
      </c>
      <c r="M553">
        <v>0.1045</v>
      </c>
      <c r="N553">
        <v>0</v>
      </c>
      <c r="O553">
        <v>1</v>
      </c>
      <c r="P553">
        <v>1</v>
      </c>
    </row>
    <row r="554" spans="1:16" x14ac:dyDescent="0.35">
      <c r="A554">
        <v>553</v>
      </c>
      <c r="B554" t="b">
        <v>0</v>
      </c>
      <c r="C554" s="18">
        <v>40568</v>
      </c>
      <c r="D554">
        <v>1</v>
      </c>
      <c r="E554">
        <v>0</v>
      </c>
      <c r="F554">
        <v>1</v>
      </c>
      <c r="G554">
        <v>5</v>
      </c>
      <c r="H554">
        <v>2</v>
      </c>
      <c r="I554">
        <v>1</v>
      </c>
      <c r="J554">
        <v>0.14000000000000001</v>
      </c>
      <c r="K554">
        <v>0.13639999999999999</v>
      </c>
      <c r="L554">
        <v>0.74</v>
      </c>
      <c r="M554">
        <v>0.22389999999999999</v>
      </c>
      <c r="N554">
        <v>0</v>
      </c>
      <c r="O554">
        <v>9</v>
      </c>
      <c r="P554">
        <v>9</v>
      </c>
    </row>
    <row r="555" spans="1:16" x14ac:dyDescent="0.35">
      <c r="A555">
        <v>554</v>
      </c>
      <c r="B555" t="b">
        <v>0</v>
      </c>
      <c r="C555" s="18">
        <v>40568</v>
      </c>
      <c r="D555">
        <v>1</v>
      </c>
      <c r="E555">
        <v>0</v>
      </c>
      <c r="F555">
        <v>1</v>
      </c>
      <c r="G555">
        <v>6</v>
      </c>
      <c r="H555">
        <v>2</v>
      </c>
      <c r="I555">
        <v>1</v>
      </c>
      <c r="J555">
        <v>0.16</v>
      </c>
      <c r="K555">
        <v>0.18179999999999999</v>
      </c>
      <c r="L555">
        <v>0.74</v>
      </c>
      <c r="M555">
        <v>0.1045</v>
      </c>
      <c r="N555">
        <v>1</v>
      </c>
      <c r="O555">
        <v>35</v>
      </c>
      <c r="P555">
        <v>36</v>
      </c>
    </row>
    <row r="556" spans="1:16" x14ac:dyDescent="0.35">
      <c r="A556">
        <v>555</v>
      </c>
      <c r="B556" t="b">
        <v>0</v>
      </c>
      <c r="C556" s="18">
        <v>40568</v>
      </c>
      <c r="D556">
        <v>1</v>
      </c>
      <c r="E556">
        <v>0</v>
      </c>
      <c r="F556">
        <v>1</v>
      </c>
      <c r="G556">
        <v>7</v>
      </c>
      <c r="H556">
        <v>2</v>
      </c>
      <c r="I556">
        <v>1</v>
      </c>
      <c r="J556">
        <v>0.16</v>
      </c>
      <c r="K556">
        <v>0.1515</v>
      </c>
      <c r="L556">
        <v>0.74</v>
      </c>
      <c r="M556">
        <v>0.22389999999999999</v>
      </c>
      <c r="N556">
        <v>5</v>
      </c>
      <c r="O556">
        <v>103</v>
      </c>
      <c r="P556">
        <v>108</v>
      </c>
    </row>
    <row r="557" spans="1:16" x14ac:dyDescent="0.35">
      <c r="A557">
        <v>556</v>
      </c>
      <c r="B557" t="b">
        <v>0</v>
      </c>
      <c r="C557" s="18">
        <v>40568</v>
      </c>
      <c r="D557">
        <v>1</v>
      </c>
      <c r="E557">
        <v>0</v>
      </c>
      <c r="F557">
        <v>1</v>
      </c>
      <c r="G557">
        <v>8</v>
      </c>
      <c r="H557">
        <v>2</v>
      </c>
      <c r="I557">
        <v>2</v>
      </c>
      <c r="J557">
        <v>0.16</v>
      </c>
      <c r="K557">
        <v>0.18179999999999999</v>
      </c>
      <c r="L557">
        <v>0.74</v>
      </c>
      <c r="M557">
        <v>0.1343</v>
      </c>
      <c r="N557">
        <v>5</v>
      </c>
      <c r="O557">
        <v>233</v>
      </c>
      <c r="P557">
        <v>238</v>
      </c>
    </row>
    <row r="558" spans="1:16" x14ac:dyDescent="0.35">
      <c r="A558">
        <v>557</v>
      </c>
      <c r="B558" t="b">
        <v>0</v>
      </c>
      <c r="C558" s="18">
        <v>40568</v>
      </c>
      <c r="D558">
        <v>1</v>
      </c>
      <c r="E558">
        <v>0</v>
      </c>
      <c r="F558">
        <v>1</v>
      </c>
      <c r="G558">
        <v>9</v>
      </c>
      <c r="H558">
        <v>2</v>
      </c>
      <c r="I558">
        <v>2</v>
      </c>
      <c r="J558">
        <v>0.2</v>
      </c>
      <c r="K558">
        <v>0.2273</v>
      </c>
      <c r="L558">
        <v>0.64</v>
      </c>
      <c r="M558">
        <v>8.9599999999999999E-2</v>
      </c>
      <c r="N558">
        <v>10</v>
      </c>
      <c r="O558">
        <v>134</v>
      </c>
      <c r="P558">
        <v>144</v>
      </c>
    </row>
    <row r="559" spans="1:16" x14ac:dyDescent="0.35">
      <c r="A559">
        <v>558</v>
      </c>
      <c r="B559" t="b">
        <v>0</v>
      </c>
      <c r="C559" s="18">
        <v>40568</v>
      </c>
      <c r="D559">
        <v>1</v>
      </c>
      <c r="E559">
        <v>0</v>
      </c>
      <c r="F559">
        <v>1</v>
      </c>
      <c r="G559">
        <v>10</v>
      </c>
      <c r="H559">
        <v>2</v>
      </c>
      <c r="I559">
        <v>2</v>
      </c>
      <c r="J559">
        <v>0.22</v>
      </c>
      <c r="K559">
        <v>0.2424</v>
      </c>
      <c r="L559">
        <v>0.6</v>
      </c>
      <c r="M559">
        <v>0.1045</v>
      </c>
      <c r="N559">
        <v>6</v>
      </c>
      <c r="O559">
        <v>49</v>
      </c>
      <c r="P559">
        <v>55</v>
      </c>
    </row>
    <row r="560" spans="1:16" x14ac:dyDescent="0.35">
      <c r="A560">
        <v>559</v>
      </c>
      <c r="B560" t="b">
        <v>0</v>
      </c>
      <c r="C560" s="18">
        <v>40568</v>
      </c>
      <c r="D560">
        <v>1</v>
      </c>
      <c r="E560">
        <v>0</v>
      </c>
      <c r="F560">
        <v>1</v>
      </c>
      <c r="G560">
        <v>11</v>
      </c>
      <c r="H560">
        <v>2</v>
      </c>
      <c r="I560">
        <v>2</v>
      </c>
      <c r="J560">
        <v>0.24</v>
      </c>
      <c r="K560">
        <v>0.2424</v>
      </c>
      <c r="L560">
        <v>0.6</v>
      </c>
      <c r="M560">
        <v>0.1343</v>
      </c>
      <c r="N560">
        <v>6</v>
      </c>
      <c r="O560">
        <v>55</v>
      </c>
      <c r="P560">
        <v>61</v>
      </c>
    </row>
    <row r="561" spans="1:16" x14ac:dyDescent="0.35">
      <c r="A561">
        <v>560</v>
      </c>
      <c r="B561" t="b">
        <v>0</v>
      </c>
      <c r="C561" s="18">
        <v>40568</v>
      </c>
      <c r="D561">
        <v>1</v>
      </c>
      <c r="E561">
        <v>0</v>
      </c>
      <c r="F561">
        <v>1</v>
      </c>
      <c r="G561">
        <v>12</v>
      </c>
      <c r="H561">
        <v>2</v>
      </c>
      <c r="I561">
        <v>2</v>
      </c>
      <c r="J561">
        <v>0.26</v>
      </c>
      <c r="K561">
        <v>0.28789999999999999</v>
      </c>
      <c r="L561">
        <v>0.56000000000000005</v>
      </c>
      <c r="M561">
        <v>8.9599999999999999E-2</v>
      </c>
      <c r="N561">
        <v>21</v>
      </c>
      <c r="O561">
        <v>85</v>
      </c>
      <c r="P561">
        <v>106</v>
      </c>
    </row>
    <row r="562" spans="1:16" x14ac:dyDescent="0.35">
      <c r="A562">
        <v>561</v>
      </c>
      <c r="B562" t="b">
        <v>0</v>
      </c>
      <c r="C562" s="18">
        <v>40568</v>
      </c>
      <c r="D562">
        <v>1</v>
      </c>
      <c r="E562">
        <v>0</v>
      </c>
      <c r="F562">
        <v>1</v>
      </c>
      <c r="G562">
        <v>13</v>
      </c>
      <c r="H562">
        <v>2</v>
      </c>
      <c r="I562">
        <v>2</v>
      </c>
      <c r="J562">
        <v>0.26</v>
      </c>
      <c r="K562">
        <v>0.2727</v>
      </c>
      <c r="L562">
        <v>0.56000000000000005</v>
      </c>
      <c r="M562">
        <v>0.1343</v>
      </c>
      <c r="N562">
        <v>21</v>
      </c>
      <c r="O562">
        <v>72</v>
      </c>
      <c r="P562">
        <v>93</v>
      </c>
    </row>
    <row r="563" spans="1:16" x14ac:dyDescent="0.35">
      <c r="A563">
        <v>562</v>
      </c>
      <c r="B563" t="b">
        <v>0</v>
      </c>
      <c r="C563" s="18">
        <v>40568</v>
      </c>
      <c r="D563">
        <v>1</v>
      </c>
      <c r="E563">
        <v>0</v>
      </c>
      <c r="F563">
        <v>1</v>
      </c>
      <c r="G563">
        <v>14</v>
      </c>
      <c r="H563">
        <v>2</v>
      </c>
      <c r="I563">
        <v>2</v>
      </c>
      <c r="J563">
        <v>0.3</v>
      </c>
      <c r="K563">
        <v>0.33329999999999999</v>
      </c>
      <c r="L563">
        <v>0.45</v>
      </c>
      <c r="M563">
        <v>0</v>
      </c>
      <c r="N563">
        <v>11</v>
      </c>
      <c r="O563">
        <v>57</v>
      </c>
      <c r="P563">
        <v>68</v>
      </c>
    </row>
    <row r="564" spans="1:16" x14ac:dyDescent="0.35">
      <c r="A564">
        <v>563</v>
      </c>
      <c r="B564" t="b">
        <v>0</v>
      </c>
      <c r="C564" s="18">
        <v>40568</v>
      </c>
      <c r="D564">
        <v>1</v>
      </c>
      <c r="E564">
        <v>0</v>
      </c>
      <c r="F564">
        <v>1</v>
      </c>
      <c r="G564">
        <v>15</v>
      </c>
      <c r="H564">
        <v>2</v>
      </c>
      <c r="I564">
        <v>2</v>
      </c>
      <c r="J564">
        <v>0.32</v>
      </c>
      <c r="K564">
        <v>0.34849999999999998</v>
      </c>
      <c r="L564">
        <v>0.42</v>
      </c>
      <c r="M564">
        <v>0</v>
      </c>
      <c r="N564">
        <v>21</v>
      </c>
      <c r="O564">
        <v>63</v>
      </c>
      <c r="P564">
        <v>84</v>
      </c>
    </row>
    <row r="565" spans="1:16" x14ac:dyDescent="0.35">
      <c r="A565">
        <v>564</v>
      </c>
      <c r="B565" t="b">
        <v>0</v>
      </c>
      <c r="C565" s="18">
        <v>40568</v>
      </c>
      <c r="D565">
        <v>1</v>
      </c>
      <c r="E565">
        <v>0</v>
      </c>
      <c r="F565">
        <v>1</v>
      </c>
      <c r="G565">
        <v>16</v>
      </c>
      <c r="H565">
        <v>2</v>
      </c>
      <c r="I565">
        <v>2</v>
      </c>
      <c r="J565">
        <v>0.32</v>
      </c>
      <c r="K565">
        <v>0.34849999999999998</v>
      </c>
      <c r="L565">
        <v>0.42</v>
      </c>
      <c r="M565">
        <v>0</v>
      </c>
      <c r="N565">
        <v>14</v>
      </c>
      <c r="O565">
        <v>102</v>
      </c>
      <c r="P565">
        <v>116</v>
      </c>
    </row>
    <row r="566" spans="1:16" x14ac:dyDescent="0.35">
      <c r="A566">
        <v>565</v>
      </c>
      <c r="B566" t="b">
        <v>0</v>
      </c>
      <c r="C566" s="18">
        <v>40568</v>
      </c>
      <c r="D566">
        <v>1</v>
      </c>
      <c r="E566">
        <v>0</v>
      </c>
      <c r="F566">
        <v>1</v>
      </c>
      <c r="G566">
        <v>17</v>
      </c>
      <c r="H566">
        <v>2</v>
      </c>
      <c r="I566">
        <v>1</v>
      </c>
      <c r="J566">
        <v>0.3</v>
      </c>
      <c r="K566">
        <v>0.33329999999999999</v>
      </c>
      <c r="L566">
        <v>0.45</v>
      </c>
      <c r="M566">
        <v>0</v>
      </c>
      <c r="N566">
        <v>14</v>
      </c>
      <c r="O566">
        <v>208</v>
      </c>
      <c r="P566">
        <v>222</v>
      </c>
    </row>
    <row r="567" spans="1:16" x14ac:dyDescent="0.35">
      <c r="A567">
        <v>566</v>
      </c>
      <c r="B567" t="b">
        <v>0</v>
      </c>
      <c r="C567" s="18">
        <v>40568</v>
      </c>
      <c r="D567">
        <v>1</v>
      </c>
      <c r="E567">
        <v>0</v>
      </c>
      <c r="F567">
        <v>1</v>
      </c>
      <c r="G567">
        <v>18</v>
      </c>
      <c r="H567">
        <v>2</v>
      </c>
      <c r="I567">
        <v>2</v>
      </c>
      <c r="J567">
        <v>0.3</v>
      </c>
      <c r="K567">
        <v>0.31819999999999998</v>
      </c>
      <c r="L567">
        <v>0.49</v>
      </c>
      <c r="M567">
        <v>8.9599999999999999E-2</v>
      </c>
      <c r="N567">
        <v>7</v>
      </c>
      <c r="O567">
        <v>218</v>
      </c>
      <c r="P567">
        <v>225</v>
      </c>
    </row>
    <row r="568" spans="1:16" x14ac:dyDescent="0.35">
      <c r="A568">
        <v>567</v>
      </c>
      <c r="B568" t="b">
        <v>0</v>
      </c>
      <c r="C568" s="18">
        <v>40568</v>
      </c>
      <c r="D568">
        <v>1</v>
      </c>
      <c r="E568">
        <v>0</v>
      </c>
      <c r="F568">
        <v>1</v>
      </c>
      <c r="G568">
        <v>19</v>
      </c>
      <c r="H568">
        <v>2</v>
      </c>
      <c r="I568">
        <v>2</v>
      </c>
      <c r="J568">
        <v>0.26</v>
      </c>
      <c r="K568">
        <v>0.2576</v>
      </c>
      <c r="L568">
        <v>0.65</v>
      </c>
      <c r="M568">
        <v>0.16420000000000001</v>
      </c>
      <c r="N568">
        <v>13</v>
      </c>
      <c r="O568">
        <v>133</v>
      </c>
      <c r="P568">
        <v>146</v>
      </c>
    </row>
    <row r="569" spans="1:16" x14ac:dyDescent="0.35">
      <c r="A569">
        <v>568</v>
      </c>
      <c r="B569" t="b">
        <v>0</v>
      </c>
      <c r="C569" s="18">
        <v>40568</v>
      </c>
      <c r="D569">
        <v>1</v>
      </c>
      <c r="E569">
        <v>0</v>
      </c>
      <c r="F569">
        <v>1</v>
      </c>
      <c r="G569">
        <v>20</v>
      </c>
      <c r="H569">
        <v>2</v>
      </c>
      <c r="I569">
        <v>1</v>
      </c>
      <c r="J569">
        <v>0.24</v>
      </c>
      <c r="K569">
        <v>0.2273</v>
      </c>
      <c r="L569">
        <v>0.65</v>
      </c>
      <c r="M569">
        <v>0.19400000000000001</v>
      </c>
      <c r="N569">
        <v>16</v>
      </c>
      <c r="O569">
        <v>103</v>
      </c>
      <c r="P569">
        <v>119</v>
      </c>
    </row>
    <row r="570" spans="1:16" x14ac:dyDescent="0.35">
      <c r="A570">
        <v>569</v>
      </c>
      <c r="B570" t="b">
        <v>0</v>
      </c>
      <c r="C570" s="18">
        <v>40568</v>
      </c>
      <c r="D570">
        <v>1</v>
      </c>
      <c r="E570">
        <v>0</v>
      </c>
      <c r="F570">
        <v>1</v>
      </c>
      <c r="G570">
        <v>21</v>
      </c>
      <c r="H570">
        <v>2</v>
      </c>
      <c r="I570">
        <v>1</v>
      </c>
      <c r="J570">
        <v>0.24</v>
      </c>
      <c r="K570">
        <v>0.2273</v>
      </c>
      <c r="L570">
        <v>0.65</v>
      </c>
      <c r="M570">
        <v>0.19400000000000001</v>
      </c>
      <c r="N570">
        <v>5</v>
      </c>
      <c r="O570">
        <v>40</v>
      </c>
      <c r="P570">
        <v>45</v>
      </c>
    </row>
    <row r="571" spans="1:16" x14ac:dyDescent="0.35">
      <c r="A571">
        <v>570</v>
      </c>
      <c r="B571" t="b">
        <v>0</v>
      </c>
      <c r="C571" s="18">
        <v>40568</v>
      </c>
      <c r="D571">
        <v>1</v>
      </c>
      <c r="E571">
        <v>0</v>
      </c>
      <c r="F571">
        <v>1</v>
      </c>
      <c r="G571">
        <v>22</v>
      </c>
      <c r="H571">
        <v>2</v>
      </c>
      <c r="I571">
        <v>1</v>
      </c>
      <c r="J571">
        <v>0.22</v>
      </c>
      <c r="K571">
        <v>0.2273</v>
      </c>
      <c r="L571">
        <v>0.64</v>
      </c>
      <c r="M571">
        <v>0.16420000000000001</v>
      </c>
      <c r="N571">
        <v>4</v>
      </c>
      <c r="O571">
        <v>49</v>
      </c>
      <c r="P571">
        <v>53</v>
      </c>
    </row>
    <row r="572" spans="1:16" x14ac:dyDescent="0.35">
      <c r="A572">
        <v>571</v>
      </c>
      <c r="B572" t="b">
        <v>0</v>
      </c>
      <c r="C572" s="18">
        <v>40568</v>
      </c>
      <c r="D572">
        <v>1</v>
      </c>
      <c r="E572">
        <v>0</v>
      </c>
      <c r="F572">
        <v>1</v>
      </c>
      <c r="G572">
        <v>23</v>
      </c>
      <c r="H572">
        <v>2</v>
      </c>
      <c r="I572">
        <v>2</v>
      </c>
      <c r="J572">
        <v>0.22</v>
      </c>
      <c r="K572">
        <v>0.2273</v>
      </c>
      <c r="L572">
        <v>0.64</v>
      </c>
      <c r="M572">
        <v>0.16420000000000001</v>
      </c>
      <c r="N572">
        <v>3</v>
      </c>
      <c r="O572">
        <v>37</v>
      </c>
      <c r="P572">
        <v>40</v>
      </c>
    </row>
    <row r="573" spans="1:16" x14ac:dyDescent="0.35">
      <c r="A573">
        <v>572</v>
      </c>
      <c r="B573" t="b">
        <v>0</v>
      </c>
      <c r="C573" s="18">
        <v>40569</v>
      </c>
      <c r="D573">
        <v>1</v>
      </c>
      <c r="E573">
        <v>0</v>
      </c>
      <c r="F573">
        <v>1</v>
      </c>
      <c r="G573">
        <v>0</v>
      </c>
      <c r="H573">
        <v>3</v>
      </c>
      <c r="I573">
        <v>2</v>
      </c>
      <c r="J573">
        <v>0.22</v>
      </c>
      <c r="K573">
        <v>0.2273</v>
      </c>
      <c r="L573">
        <v>0.69</v>
      </c>
      <c r="M573">
        <v>0.1343</v>
      </c>
      <c r="N573">
        <v>3</v>
      </c>
      <c r="O573">
        <v>14</v>
      </c>
      <c r="P573">
        <v>17</v>
      </c>
    </row>
    <row r="574" spans="1:16" x14ac:dyDescent="0.35">
      <c r="A574">
        <v>573</v>
      </c>
      <c r="B574" t="b">
        <v>0</v>
      </c>
      <c r="C574" s="18">
        <v>40569</v>
      </c>
      <c r="D574">
        <v>1</v>
      </c>
      <c r="E574">
        <v>0</v>
      </c>
      <c r="F574">
        <v>1</v>
      </c>
      <c r="G574">
        <v>1</v>
      </c>
      <c r="H574">
        <v>3</v>
      </c>
      <c r="I574">
        <v>2</v>
      </c>
      <c r="J574">
        <v>0.24</v>
      </c>
      <c r="K574">
        <v>0.2424</v>
      </c>
      <c r="L574">
        <v>0.65</v>
      </c>
      <c r="M574">
        <v>0.1343</v>
      </c>
      <c r="N574">
        <v>0</v>
      </c>
      <c r="O574">
        <v>5</v>
      </c>
      <c r="P574">
        <v>5</v>
      </c>
    </row>
    <row r="575" spans="1:16" x14ac:dyDescent="0.35">
      <c r="A575">
        <v>574</v>
      </c>
      <c r="B575" t="b">
        <v>0</v>
      </c>
      <c r="C575" s="18">
        <v>40569</v>
      </c>
      <c r="D575">
        <v>1</v>
      </c>
      <c r="E575">
        <v>0</v>
      </c>
      <c r="F575">
        <v>1</v>
      </c>
      <c r="G575">
        <v>2</v>
      </c>
      <c r="H575">
        <v>3</v>
      </c>
      <c r="I575">
        <v>3</v>
      </c>
      <c r="J575">
        <v>0.22</v>
      </c>
      <c r="K575">
        <v>0.2273</v>
      </c>
      <c r="L575">
        <v>0.69</v>
      </c>
      <c r="M575">
        <v>0.19400000000000001</v>
      </c>
      <c r="N575">
        <v>3</v>
      </c>
      <c r="O575">
        <v>7</v>
      </c>
      <c r="P575">
        <v>10</v>
      </c>
    </row>
    <row r="576" spans="1:16" x14ac:dyDescent="0.35">
      <c r="A576">
        <v>575</v>
      </c>
      <c r="B576" t="b">
        <v>0</v>
      </c>
      <c r="C576" s="18">
        <v>40569</v>
      </c>
      <c r="D576">
        <v>1</v>
      </c>
      <c r="E576">
        <v>0</v>
      </c>
      <c r="F576">
        <v>1</v>
      </c>
      <c r="G576">
        <v>5</v>
      </c>
      <c r="H576">
        <v>3</v>
      </c>
      <c r="I576">
        <v>3</v>
      </c>
      <c r="J576">
        <v>0.2</v>
      </c>
      <c r="K576">
        <v>0.18179999999999999</v>
      </c>
      <c r="L576">
        <v>0.86</v>
      </c>
      <c r="M576">
        <v>0.28360000000000002</v>
      </c>
      <c r="N576">
        <v>0</v>
      </c>
      <c r="O576">
        <v>1</v>
      </c>
      <c r="P576">
        <v>1</v>
      </c>
    </row>
    <row r="577" spans="1:16" x14ac:dyDescent="0.35">
      <c r="A577">
        <v>576</v>
      </c>
      <c r="B577" t="b">
        <v>0</v>
      </c>
      <c r="C577" s="18">
        <v>40569</v>
      </c>
      <c r="D577">
        <v>1</v>
      </c>
      <c r="E577">
        <v>0</v>
      </c>
      <c r="F577">
        <v>1</v>
      </c>
      <c r="G577">
        <v>6</v>
      </c>
      <c r="H577">
        <v>3</v>
      </c>
      <c r="I577">
        <v>3</v>
      </c>
      <c r="J577">
        <v>0.2</v>
      </c>
      <c r="K577">
        <v>0.18179999999999999</v>
      </c>
      <c r="L577">
        <v>0.86</v>
      </c>
      <c r="M577">
        <v>0.28360000000000002</v>
      </c>
      <c r="N577">
        <v>0</v>
      </c>
      <c r="O577">
        <v>8</v>
      </c>
      <c r="P577">
        <v>8</v>
      </c>
    </row>
    <row r="578" spans="1:16" x14ac:dyDescent="0.35">
      <c r="A578">
        <v>577</v>
      </c>
      <c r="B578" t="b">
        <v>0</v>
      </c>
      <c r="C578" s="18">
        <v>40569</v>
      </c>
      <c r="D578">
        <v>1</v>
      </c>
      <c r="E578">
        <v>0</v>
      </c>
      <c r="F578">
        <v>1</v>
      </c>
      <c r="G578">
        <v>7</v>
      </c>
      <c r="H578">
        <v>3</v>
      </c>
      <c r="I578">
        <v>3</v>
      </c>
      <c r="J578">
        <v>0.22</v>
      </c>
      <c r="K578">
        <v>0.21210000000000001</v>
      </c>
      <c r="L578">
        <v>0.87</v>
      </c>
      <c r="M578">
        <v>0.29849999999999999</v>
      </c>
      <c r="N578">
        <v>1</v>
      </c>
      <c r="O578">
        <v>29</v>
      </c>
      <c r="P578">
        <v>30</v>
      </c>
    </row>
    <row r="579" spans="1:16" x14ac:dyDescent="0.35">
      <c r="A579">
        <v>578</v>
      </c>
      <c r="B579" t="b">
        <v>0</v>
      </c>
      <c r="C579" s="18">
        <v>40569</v>
      </c>
      <c r="D579">
        <v>1</v>
      </c>
      <c r="E579">
        <v>0</v>
      </c>
      <c r="F579">
        <v>1</v>
      </c>
      <c r="G579">
        <v>8</v>
      </c>
      <c r="H579">
        <v>3</v>
      </c>
      <c r="I579">
        <v>3</v>
      </c>
      <c r="J579">
        <v>0.22</v>
      </c>
      <c r="K579">
        <v>0.21210000000000001</v>
      </c>
      <c r="L579">
        <v>0.87</v>
      </c>
      <c r="M579">
        <v>0.29849999999999999</v>
      </c>
      <c r="N579">
        <v>3</v>
      </c>
      <c r="O579">
        <v>69</v>
      </c>
      <c r="P579">
        <v>72</v>
      </c>
    </row>
    <row r="580" spans="1:16" x14ac:dyDescent="0.35">
      <c r="A580">
        <v>579</v>
      </c>
      <c r="B580" t="b">
        <v>0</v>
      </c>
      <c r="C580" s="18">
        <v>40569</v>
      </c>
      <c r="D580">
        <v>1</v>
      </c>
      <c r="E580">
        <v>0</v>
      </c>
      <c r="F580">
        <v>1</v>
      </c>
      <c r="G580">
        <v>9</v>
      </c>
      <c r="H580">
        <v>3</v>
      </c>
      <c r="I580">
        <v>3</v>
      </c>
      <c r="J580">
        <v>0.22</v>
      </c>
      <c r="K580">
        <v>0.21210000000000001</v>
      </c>
      <c r="L580">
        <v>0.87</v>
      </c>
      <c r="M580">
        <v>0.29849999999999999</v>
      </c>
      <c r="N580">
        <v>3</v>
      </c>
      <c r="O580">
        <v>55</v>
      </c>
      <c r="P580">
        <v>58</v>
      </c>
    </row>
    <row r="581" spans="1:16" x14ac:dyDescent="0.35">
      <c r="A581">
        <v>580</v>
      </c>
      <c r="B581" t="b">
        <v>0</v>
      </c>
      <c r="C581" s="18">
        <v>40569</v>
      </c>
      <c r="D581">
        <v>1</v>
      </c>
      <c r="E581">
        <v>0</v>
      </c>
      <c r="F581">
        <v>1</v>
      </c>
      <c r="G581">
        <v>10</v>
      </c>
      <c r="H581">
        <v>3</v>
      </c>
      <c r="I581">
        <v>3</v>
      </c>
      <c r="J581">
        <v>0.22</v>
      </c>
      <c r="K581">
        <v>0.21210000000000001</v>
      </c>
      <c r="L581">
        <v>0.93</v>
      </c>
      <c r="M581">
        <v>0.28360000000000002</v>
      </c>
      <c r="N581">
        <v>2</v>
      </c>
      <c r="O581">
        <v>26</v>
      </c>
      <c r="P581">
        <v>28</v>
      </c>
    </row>
    <row r="582" spans="1:16" x14ac:dyDescent="0.35">
      <c r="A582">
        <v>581</v>
      </c>
      <c r="B582" t="b">
        <v>0</v>
      </c>
      <c r="C582" s="18">
        <v>40569</v>
      </c>
      <c r="D582">
        <v>1</v>
      </c>
      <c r="E582">
        <v>0</v>
      </c>
      <c r="F582">
        <v>1</v>
      </c>
      <c r="G582">
        <v>11</v>
      </c>
      <c r="H582">
        <v>3</v>
      </c>
      <c r="I582">
        <v>3</v>
      </c>
      <c r="J582">
        <v>0.22</v>
      </c>
      <c r="K582">
        <v>0.19700000000000001</v>
      </c>
      <c r="L582">
        <v>0.93</v>
      </c>
      <c r="M582">
        <v>0.32840000000000003</v>
      </c>
      <c r="N582">
        <v>6</v>
      </c>
      <c r="O582">
        <v>35</v>
      </c>
      <c r="P582">
        <v>41</v>
      </c>
    </row>
    <row r="583" spans="1:16" x14ac:dyDescent="0.35">
      <c r="A583">
        <v>582</v>
      </c>
      <c r="B583" t="b">
        <v>0</v>
      </c>
      <c r="C583" s="18">
        <v>40569</v>
      </c>
      <c r="D583">
        <v>1</v>
      </c>
      <c r="E583">
        <v>0</v>
      </c>
      <c r="F583">
        <v>1</v>
      </c>
      <c r="G583">
        <v>12</v>
      </c>
      <c r="H583">
        <v>3</v>
      </c>
      <c r="I583">
        <v>3</v>
      </c>
      <c r="J583">
        <v>0.22</v>
      </c>
      <c r="K583">
        <v>0.19700000000000001</v>
      </c>
      <c r="L583">
        <v>0.93</v>
      </c>
      <c r="M583">
        <v>0.32840000000000003</v>
      </c>
      <c r="N583">
        <v>7</v>
      </c>
      <c r="O583">
        <v>41</v>
      </c>
      <c r="P583">
        <v>48</v>
      </c>
    </row>
    <row r="584" spans="1:16" x14ac:dyDescent="0.35">
      <c r="A584">
        <v>583</v>
      </c>
      <c r="B584" t="b">
        <v>0</v>
      </c>
      <c r="C584" s="18">
        <v>40569</v>
      </c>
      <c r="D584">
        <v>1</v>
      </c>
      <c r="E584">
        <v>0</v>
      </c>
      <c r="F584">
        <v>1</v>
      </c>
      <c r="G584">
        <v>13</v>
      </c>
      <c r="H584">
        <v>3</v>
      </c>
      <c r="I584">
        <v>3</v>
      </c>
      <c r="J584">
        <v>0.22</v>
      </c>
      <c r="K584">
        <v>0.19700000000000001</v>
      </c>
      <c r="L584">
        <v>0.93</v>
      </c>
      <c r="M584">
        <v>0.32840000000000003</v>
      </c>
      <c r="N584">
        <v>4</v>
      </c>
      <c r="O584">
        <v>43</v>
      </c>
      <c r="P584">
        <v>47</v>
      </c>
    </row>
    <row r="585" spans="1:16" x14ac:dyDescent="0.35">
      <c r="A585">
        <v>584</v>
      </c>
      <c r="B585" t="b">
        <v>0</v>
      </c>
      <c r="C585" s="18">
        <v>40569</v>
      </c>
      <c r="D585">
        <v>1</v>
      </c>
      <c r="E585">
        <v>0</v>
      </c>
      <c r="F585">
        <v>1</v>
      </c>
      <c r="G585">
        <v>14</v>
      </c>
      <c r="H585">
        <v>3</v>
      </c>
      <c r="I585">
        <v>3</v>
      </c>
      <c r="J585">
        <v>0.22</v>
      </c>
      <c r="K585">
        <v>0.19700000000000001</v>
      </c>
      <c r="L585">
        <v>0.93</v>
      </c>
      <c r="M585">
        <v>0.35820000000000002</v>
      </c>
      <c r="N585">
        <v>0</v>
      </c>
      <c r="O585">
        <v>36</v>
      </c>
      <c r="P585">
        <v>36</v>
      </c>
    </row>
    <row r="586" spans="1:16" x14ac:dyDescent="0.35">
      <c r="A586">
        <v>585</v>
      </c>
      <c r="B586" t="b">
        <v>0</v>
      </c>
      <c r="C586" s="18">
        <v>40569</v>
      </c>
      <c r="D586">
        <v>1</v>
      </c>
      <c r="E586">
        <v>0</v>
      </c>
      <c r="F586">
        <v>1</v>
      </c>
      <c r="G586">
        <v>15</v>
      </c>
      <c r="H586">
        <v>3</v>
      </c>
      <c r="I586">
        <v>3</v>
      </c>
      <c r="J586">
        <v>0.22</v>
      </c>
      <c r="K586">
        <v>0.18179999999999999</v>
      </c>
      <c r="L586">
        <v>0.93</v>
      </c>
      <c r="M586">
        <v>0.4627</v>
      </c>
      <c r="N586">
        <v>1</v>
      </c>
      <c r="O586">
        <v>42</v>
      </c>
      <c r="P586">
        <v>43</v>
      </c>
    </row>
    <row r="587" spans="1:16" x14ac:dyDescent="0.35">
      <c r="A587">
        <v>586</v>
      </c>
      <c r="B587" t="b">
        <v>0</v>
      </c>
      <c r="C587" s="18">
        <v>40569</v>
      </c>
      <c r="D587">
        <v>1</v>
      </c>
      <c r="E587">
        <v>0</v>
      </c>
      <c r="F587">
        <v>1</v>
      </c>
      <c r="G587">
        <v>16</v>
      </c>
      <c r="H587">
        <v>3</v>
      </c>
      <c r="I587">
        <v>4</v>
      </c>
      <c r="J587">
        <v>0.22</v>
      </c>
      <c r="K587">
        <v>0.19700000000000001</v>
      </c>
      <c r="L587">
        <v>0.93</v>
      </c>
      <c r="M587">
        <v>0.32840000000000003</v>
      </c>
      <c r="N587">
        <v>1</v>
      </c>
      <c r="O587">
        <v>35</v>
      </c>
      <c r="P587">
        <v>36</v>
      </c>
    </row>
    <row r="588" spans="1:16" x14ac:dyDescent="0.35">
      <c r="A588">
        <v>587</v>
      </c>
      <c r="B588" t="b">
        <v>0</v>
      </c>
      <c r="C588" s="18">
        <v>40569</v>
      </c>
      <c r="D588">
        <v>1</v>
      </c>
      <c r="E588">
        <v>0</v>
      </c>
      <c r="F588">
        <v>1</v>
      </c>
      <c r="G588">
        <v>17</v>
      </c>
      <c r="H588">
        <v>3</v>
      </c>
      <c r="I588">
        <v>3</v>
      </c>
      <c r="J588">
        <v>0.2</v>
      </c>
      <c r="K588">
        <v>0.18179999999999999</v>
      </c>
      <c r="L588">
        <v>0.93</v>
      </c>
      <c r="M588">
        <v>0.35820000000000002</v>
      </c>
      <c r="N588">
        <v>0</v>
      </c>
      <c r="O588">
        <v>26</v>
      </c>
      <c r="P588">
        <v>26</v>
      </c>
    </row>
    <row r="589" spans="1:16" x14ac:dyDescent="0.35">
      <c r="A589">
        <v>588</v>
      </c>
      <c r="B589" t="b">
        <v>0</v>
      </c>
      <c r="C589" s="18">
        <v>40570</v>
      </c>
      <c r="D589">
        <v>1</v>
      </c>
      <c r="E589">
        <v>0</v>
      </c>
      <c r="F589">
        <v>1</v>
      </c>
      <c r="G589">
        <v>16</v>
      </c>
      <c r="H589">
        <v>4</v>
      </c>
      <c r="I589">
        <v>1</v>
      </c>
      <c r="J589">
        <v>0.22</v>
      </c>
      <c r="K589">
        <v>0.2273</v>
      </c>
      <c r="L589">
        <v>0.55000000000000004</v>
      </c>
      <c r="M589">
        <v>0.19400000000000001</v>
      </c>
      <c r="N589">
        <v>1</v>
      </c>
      <c r="O589">
        <v>23</v>
      </c>
      <c r="P589">
        <v>24</v>
      </c>
    </row>
    <row r="590" spans="1:16" x14ac:dyDescent="0.35">
      <c r="A590">
        <v>589</v>
      </c>
      <c r="B590" t="b">
        <v>0</v>
      </c>
      <c r="C590" s="18">
        <v>40570</v>
      </c>
      <c r="D590">
        <v>1</v>
      </c>
      <c r="E590">
        <v>0</v>
      </c>
      <c r="F590">
        <v>1</v>
      </c>
      <c r="G590">
        <v>17</v>
      </c>
      <c r="H590">
        <v>4</v>
      </c>
      <c r="I590">
        <v>1</v>
      </c>
      <c r="J590">
        <v>0.22</v>
      </c>
      <c r="K590">
        <v>0.2424</v>
      </c>
      <c r="L590">
        <v>0.55000000000000004</v>
      </c>
      <c r="M590">
        <v>0.1045</v>
      </c>
      <c r="N590">
        <v>2</v>
      </c>
      <c r="O590">
        <v>82</v>
      </c>
      <c r="P590">
        <v>84</v>
      </c>
    </row>
    <row r="591" spans="1:16" x14ac:dyDescent="0.35">
      <c r="A591">
        <v>590</v>
      </c>
      <c r="B591" t="b">
        <v>0</v>
      </c>
      <c r="C591" s="18">
        <v>40570</v>
      </c>
      <c r="D591">
        <v>1</v>
      </c>
      <c r="E591">
        <v>0</v>
      </c>
      <c r="F591">
        <v>1</v>
      </c>
      <c r="G591">
        <v>18</v>
      </c>
      <c r="H591">
        <v>4</v>
      </c>
      <c r="I591">
        <v>1</v>
      </c>
      <c r="J591">
        <v>0.2</v>
      </c>
      <c r="K591">
        <v>0.2273</v>
      </c>
      <c r="L591">
        <v>0.69</v>
      </c>
      <c r="M591">
        <v>8.9599999999999999E-2</v>
      </c>
      <c r="N591">
        <v>3</v>
      </c>
      <c r="O591">
        <v>101</v>
      </c>
      <c r="P591">
        <v>104</v>
      </c>
    </row>
    <row r="592" spans="1:16" x14ac:dyDescent="0.35">
      <c r="A592">
        <v>591</v>
      </c>
      <c r="B592" t="b">
        <v>0</v>
      </c>
      <c r="C592" s="18">
        <v>40570</v>
      </c>
      <c r="D592">
        <v>1</v>
      </c>
      <c r="E592">
        <v>0</v>
      </c>
      <c r="F592">
        <v>1</v>
      </c>
      <c r="G592">
        <v>19</v>
      </c>
      <c r="H592">
        <v>4</v>
      </c>
      <c r="I592">
        <v>1</v>
      </c>
      <c r="J592">
        <v>0.2</v>
      </c>
      <c r="K592">
        <v>0.2273</v>
      </c>
      <c r="L592">
        <v>0.69</v>
      </c>
      <c r="M592">
        <v>8.9599999999999999E-2</v>
      </c>
      <c r="N592">
        <v>3</v>
      </c>
      <c r="O592">
        <v>76</v>
      </c>
      <c r="P592">
        <v>79</v>
      </c>
    </row>
    <row r="593" spans="1:16" x14ac:dyDescent="0.35">
      <c r="A593">
        <v>592</v>
      </c>
      <c r="B593" t="b">
        <v>0</v>
      </c>
      <c r="C593" s="18">
        <v>40570</v>
      </c>
      <c r="D593">
        <v>1</v>
      </c>
      <c r="E593">
        <v>0</v>
      </c>
      <c r="F593">
        <v>1</v>
      </c>
      <c r="G593">
        <v>20</v>
      </c>
      <c r="H593">
        <v>4</v>
      </c>
      <c r="I593">
        <v>1</v>
      </c>
      <c r="J593">
        <v>0.18</v>
      </c>
      <c r="K593">
        <v>0.21210000000000001</v>
      </c>
      <c r="L593">
        <v>0.74</v>
      </c>
      <c r="M593">
        <v>8.9599999999999999E-2</v>
      </c>
      <c r="N593">
        <v>4</v>
      </c>
      <c r="O593">
        <v>55</v>
      </c>
      <c r="P593">
        <v>59</v>
      </c>
    </row>
    <row r="594" spans="1:16" x14ac:dyDescent="0.35">
      <c r="A594">
        <v>593</v>
      </c>
      <c r="B594" t="b">
        <v>0</v>
      </c>
      <c r="C594" s="18">
        <v>40570</v>
      </c>
      <c r="D594">
        <v>1</v>
      </c>
      <c r="E594">
        <v>0</v>
      </c>
      <c r="F594">
        <v>1</v>
      </c>
      <c r="G594">
        <v>21</v>
      </c>
      <c r="H594">
        <v>4</v>
      </c>
      <c r="I594">
        <v>1</v>
      </c>
      <c r="J594">
        <v>0.18</v>
      </c>
      <c r="K594">
        <v>0.21210000000000001</v>
      </c>
      <c r="L594">
        <v>0.74</v>
      </c>
      <c r="M594">
        <v>8.9599999999999999E-2</v>
      </c>
      <c r="N594">
        <v>2</v>
      </c>
      <c r="O594">
        <v>36</v>
      </c>
      <c r="P594">
        <v>38</v>
      </c>
    </row>
    <row r="595" spans="1:16" x14ac:dyDescent="0.35">
      <c r="A595">
        <v>594</v>
      </c>
      <c r="B595" t="b">
        <v>0</v>
      </c>
      <c r="C595" s="18">
        <v>40570</v>
      </c>
      <c r="D595">
        <v>1</v>
      </c>
      <c r="E595">
        <v>0</v>
      </c>
      <c r="F595">
        <v>1</v>
      </c>
      <c r="G595">
        <v>22</v>
      </c>
      <c r="H595">
        <v>4</v>
      </c>
      <c r="I595">
        <v>1</v>
      </c>
      <c r="J595">
        <v>0.18</v>
      </c>
      <c r="K595">
        <v>0.21210000000000001</v>
      </c>
      <c r="L595">
        <v>0.74</v>
      </c>
      <c r="M595">
        <v>8.9599999999999999E-2</v>
      </c>
      <c r="N595">
        <v>0</v>
      </c>
      <c r="O595">
        <v>27</v>
      </c>
      <c r="P595">
        <v>27</v>
      </c>
    </row>
    <row r="596" spans="1:16" x14ac:dyDescent="0.35">
      <c r="A596">
        <v>595</v>
      </c>
      <c r="B596" t="b">
        <v>0</v>
      </c>
      <c r="C596" s="18">
        <v>40570</v>
      </c>
      <c r="D596">
        <v>1</v>
      </c>
      <c r="E596">
        <v>0</v>
      </c>
      <c r="F596">
        <v>1</v>
      </c>
      <c r="G596">
        <v>23</v>
      </c>
      <c r="H596">
        <v>4</v>
      </c>
      <c r="I596">
        <v>1</v>
      </c>
      <c r="J596">
        <v>0.18</v>
      </c>
      <c r="K596">
        <v>0.19700000000000001</v>
      </c>
      <c r="L596">
        <v>0.8</v>
      </c>
      <c r="M596">
        <v>0.16420000000000001</v>
      </c>
      <c r="N596">
        <v>0</v>
      </c>
      <c r="O596">
        <v>16</v>
      </c>
      <c r="P596">
        <v>16</v>
      </c>
    </row>
    <row r="597" spans="1:16" x14ac:dyDescent="0.35">
      <c r="A597">
        <v>596</v>
      </c>
      <c r="B597" t="b">
        <v>0</v>
      </c>
      <c r="C597" s="18">
        <v>40571</v>
      </c>
      <c r="D597">
        <v>1</v>
      </c>
      <c r="E597">
        <v>0</v>
      </c>
      <c r="F597">
        <v>1</v>
      </c>
      <c r="G597">
        <v>0</v>
      </c>
      <c r="H597">
        <v>5</v>
      </c>
      <c r="I597">
        <v>2</v>
      </c>
      <c r="J597">
        <v>0.2</v>
      </c>
      <c r="K597">
        <v>0.21210000000000001</v>
      </c>
      <c r="L597">
        <v>0.75</v>
      </c>
      <c r="M597">
        <v>0.1343</v>
      </c>
      <c r="N597">
        <v>0</v>
      </c>
      <c r="O597">
        <v>9</v>
      </c>
      <c r="P597">
        <v>9</v>
      </c>
    </row>
    <row r="598" spans="1:16" x14ac:dyDescent="0.35">
      <c r="A598">
        <v>597</v>
      </c>
      <c r="B598" t="b">
        <v>0</v>
      </c>
      <c r="C598" s="18">
        <v>40571</v>
      </c>
      <c r="D598">
        <v>1</v>
      </c>
      <c r="E598">
        <v>0</v>
      </c>
      <c r="F598">
        <v>1</v>
      </c>
      <c r="G598">
        <v>1</v>
      </c>
      <c r="H598">
        <v>5</v>
      </c>
      <c r="I598">
        <v>2</v>
      </c>
      <c r="J598">
        <v>0.2</v>
      </c>
      <c r="K598">
        <v>0.21210000000000001</v>
      </c>
      <c r="L598">
        <v>0.75</v>
      </c>
      <c r="M598">
        <v>0.1343</v>
      </c>
      <c r="N598">
        <v>1</v>
      </c>
      <c r="O598">
        <v>2</v>
      </c>
      <c r="P598">
        <v>3</v>
      </c>
    </row>
    <row r="599" spans="1:16" x14ac:dyDescent="0.35">
      <c r="A599">
        <v>598</v>
      </c>
      <c r="B599" t="b">
        <v>0</v>
      </c>
      <c r="C599" s="18">
        <v>40571</v>
      </c>
      <c r="D599">
        <v>1</v>
      </c>
      <c r="E599">
        <v>0</v>
      </c>
      <c r="F599">
        <v>1</v>
      </c>
      <c r="G599">
        <v>2</v>
      </c>
      <c r="H599">
        <v>5</v>
      </c>
      <c r="I599">
        <v>2</v>
      </c>
      <c r="J599">
        <v>0.2</v>
      </c>
      <c r="K599">
        <v>0.21210000000000001</v>
      </c>
      <c r="L599">
        <v>0.75</v>
      </c>
      <c r="M599">
        <v>0.16420000000000001</v>
      </c>
      <c r="N599">
        <v>0</v>
      </c>
      <c r="O599">
        <v>2</v>
      </c>
      <c r="P599">
        <v>2</v>
      </c>
    </row>
    <row r="600" spans="1:16" x14ac:dyDescent="0.35">
      <c r="A600">
        <v>599</v>
      </c>
      <c r="B600" t="b">
        <v>0</v>
      </c>
      <c r="C600" s="18">
        <v>40571</v>
      </c>
      <c r="D600">
        <v>1</v>
      </c>
      <c r="E600">
        <v>0</v>
      </c>
      <c r="F600">
        <v>1</v>
      </c>
      <c r="G600">
        <v>3</v>
      </c>
      <c r="H600">
        <v>5</v>
      </c>
      <c r="I600">
        <v>2</v>
      </c>
      <c r="J600">
        <v>0.2</v>
      </c>
      <c r="K600">
        <v>0.2273</v>
      </c>
      <c r="L600">
        <v>0.75</v>
      </c>
      <c r="M600">
        <v>0.1045</v>
      </c>
      <c r="N600">
        <v>1</v>
      </c>
      <c r="O600">
        <v>0</v>
      </c>
      <c r="P600">
        <v>1</v>
      </c>
    </row>
    <row r="601" spans="1:16" x14ac:dyDescent="0.35">
      <c r="A601">
        <v>600</v>
      </c>
      <c r="B601" t="b">
        <v>0</v>
      </c>
      <c r="C601" s="18">
        <v>40571</v>
      </c>
      <c r="D601">
        <v>1</v>
      </c>
      <c r="E601">
        <v>0</v>
      </c>
      <c r="F601">
        <v>1</v>
      </c>
      <c r="G601">
        <v>5</v>
      </c>
      <c r="H601">
        <v>5</v>
      </c>
      <c r="I601">
        <v>2</v>
      </c>
      <c r="J601">
        <v>0.18</v>
      </c>
      <c r="K601">
        <v>0.21210000000000001</v>
      </c>
      <c r="L601">
        <v>0.8</v>
      </c>
      <c r="M601">
        <v>0.1045</v>
      </c>
      <c r="N601">
        <v>0</v>
      </c>
      <c r="O601">
        <v>4</v>
      </c>
      <c r="P601">
        <v>4</v>
      </c>
    </row>
    <row r="602" spans="1:16" x14ac:dyDescent="0.35">
      <c r="A602">
        <v>601</v>
      </c>
      <c r="B602" t="b">
        <v>0</v>
      </c>
      <c r="C602" s="18">
        <v>40571</v>
      </c>
      <c r="D602">
        <v>1</v>
      </c>
      <c r="E602">
        <v>0</v>
      </c>
      <c r="F602">
        <v>1</v>
      </c>
      <c r="G602">
        <v>6</v>
      </c>
      <c r="H602">
        <v>5</v>
      </c>
      <c r="I602">
        <v>2</v>
      </c>
      <c r="J602">
        <v>0.18</v>
      </c>
      <c r="K602">
        <v>0.19700000000000001</v>
      </c>
      <c r="L602">
        <v>0.8</v>
      </c>
      <c r="M602">
        <v>0.1343</v>
      </c>
      <c r="N602">
        <v>0</v>
      </c>
      <c r="O602">
        <v>16</v>
      </c>
      <c r="P602">
        <v>16</v>
      </c>
    </row>
    <row r="603" spans="1:16" x14ac:dyDescent="0.35">
      <c r="A603">
        <v>602</v>
      </c>
      <c r="B603" t="b">
        <v>0</v>
      </c>
      <c r="C603" s="18">
        <v>40571</v>
      </c>
      <c r="D603">
        <v>1</v>
      </c>
      <c r="E603">
        <v>0</v>
      </c>
      <c r="F603">
        <v>1</v>
      </c>
      <c r="G603">
        <v>7</v>
      </c>
      <c r="H603">
        <v>5</v>
      </c>
      <c r="I603">
        <v>2</v>
      </c>
      <c r="J603">
        <v>0.16</v>
      </c>
      <c r="K603">
        <v>0.19700000000000001</v>
      </c>
      <c r="L603">
        <v>0.86</v>
      </c>
      <c r="M603">
        <v>8.9599999999999999E-2</v>
      </c>
      <c r="N603">
        <v>2</v>
      </c>
      <c r="O603">
        <v>58</v>
      </c>
      <c r="P603">
        <v>60</v>
      </c>
    </row>
    <row r="604" spans="1:16" x14ac:dyDescent="0.35">
      <c r="A604">
        <v>603</v>
      </c>
      <c r="B604" t="b">
        <v>0</v>
      </c>
      <c r="C604" s="18">
        <v>40571</v>
      </c>
      <c r="D604">
        <v>1</v>
      </c>
      <c r="E604">
        <v>0</v>
      </c>
      <c r="F604">
        <v>1</v>
      </c>
      <c r="G604">
        <v>8</v>
      </c>
      <c r="H604">
        <v>5</v>
      </c>
      <c r="I604">
        <v>2</v>
      </c>
      <c r="J604">
        <v>0.16</v>
      </c>
      <c r="K604">
        <v>0.19700000000000001</v>
      </c>
      <c r="L604">
        <v>0.86</v>
      </c>
      <c r="M604">
        <v>8.9599999999999999E-2</v>
      </c>
      <c r="N604">
        <v>2</v>
      </c>
      <c r="O604">
        <v>155</v>
      </c>
      <c r="P604">
        <v>157</v>
      </c>
    </row>
    <row r="605" spans="1:16" x14ac:dyDescent="0.35">
      <c r="A605">
        <v>604</v>
      </c>
      <c r="B605" t="b">
        <v>0</v>
      </c>
      <c r="C605" s="18">
        <v>40571</v>
      </c>
      <c r="D605">
        <v>1</v>
      </c>
      <c r="E605">
        <v>0</v>
      </c>
      <c r="F605">
        <v>1</v>
      </c>
      <c r="G605">
        <v>9</v>
      </c>
      <c r="H605">
        <v>5</v>
      </c>
      <c r="I605">
        <v>3</v>
      </c>
      <c r="J605">
        <v>0.18</v>
      </c>
      <c r="K605">
        <v>0.21210000000000001</v>
      </c>
      <c r="L605">
        <v>0.86</v>
      </c>
      <c r="M605">
        <v>8.9599999999999999E-2</v>
      </c>
      <c r="N605">
        <v>6</v>
      </c>
      <c r="O605">
        <v>95</v>
      </c>
      <c r="P605">
        <v>101</v>
      </c>
    </row>
    <row r="606" spans="1:16" x14ac:dyDescent="0.35">
      <c r="A606">
        <v>605</v>
      </c>
      <c r="B606" t="b">
        <v>0</v>
      </c>
      <c r="C606" s="18">
        <v>40571</v>
      </c>
      <c r="D606">
        <v>1</v>
      </c>
      <c r="E606">
        <v>0</v>
      </c>
      <c r="F606">
        <v>1</v>
      </c>
      <c r="G606">
        <v>10</v>
      </c>
      <c r="H606">
        <v>5</v>
      </c>
      <c r="I606">
        <v>3</v>
      </c>
      <c r="J606">
        <v>0.18</v>
      </c>
      <c r="K606">
        <v>0.21210000000000001</v>
      </c>
      <c r="L606">
        <v>0.86</v>
      </c>
      <c r="M606">
        <v>0.1045</v>
      </c>
      <c r="N606">
        <v>0</v>
      </c>
      <c r="O606">
        <v>49</v>
      </c>
      <c r="P606">
        <v>49</v>
      </c>
    </row>
    <row r="607" spans="1:16" x14ac:dyDescent="0.35">
      <c r="A607">
        <v>606</v>
      </c>
      <c r="B607" t="b">
        <v>0</v>
      </c>
      <c r="C607" s="18">
        <v>40571</v>
      </c>
      <c r="D607">
        <v>1</v>
      </c>
      <c r="E607">
        <v>0</v>
      </c>
      <c r="F607">
        <v>1</v>
      </c>
      <c r="G607">
        <v>11</v>
      </c>
      <c r="H607">
        <v>5</v>
      </c>
      <c r="I607">
        <v>3</v>
      </c>
      <c r="J607">
        <v>0.18</v>
      </c>
      <c r="K607">
        <v>0.21210000000000001</v>
      </c>
      <c r="L607">
        <v>0.93</v>
      </c>
      <c r="M607">
        <v>0.1045</v>
      </c>
      <c r="N607">
        <v>0</v>
      </c>
      <c r="O607">
        <v>30</v>
      </c>
      <c r="P607">
        <v>30</v>
      </c>
    </row>
    <row r="608" spans="1:16" x14ac:dyDescent="0.35">
      <c r="A608">
        <v>607</v>
      </c>
      <c r="B608" t="b">
        <v>0</v>
      </c>
      <c r="C608" s="18">
        <v>40571</v>
      </c>
      <c r="D608">
        <v>1</v>
      </c>
      <c r="E608">
        <v>0</v>
      </c>
      <c r="F608">
        <v>1</v>
      </c>
      <c r="G608">
        <v>12</v>
      </c>
      <c r="H608">
        <v>5</v>
      </c>
      <c r="I608">
        <v>3</v>
      </c>
      <c r="J608">
        <v>0.18</v>
      </c>
      <c r="K608">
        <v>0.21210000000000001</v>
      </c>
      <c r="L608">
        <v>0.93</v>
      </c>
      <c r="M608">
        <v>0.1045</v>
      </c>
      <c r="N608">
        <v>1</v>
      </c>
      <c r="O608">
        <v>28</v>
      </c>
      <c r="P608">
        <v>29</v>
      </c>
    </row>
    <row r="609" spans="1:16" x14ac:dyDescent="0.35">
      <c r="A609">
        <v>608</v>
      </c>
      <c r="B609" t="b">
        <v>0</v>
      </c>
      <c r="C609" s="18">
        <v>40571</v>
      </c>
      <c r="D609">
        <v>1</v>
      </c>
      <c r="E609">
        <v>0</v>
      </c>
      <c r="F609">
        <v>1</v>
      </c>
      <c r="G609">
        <v>13</v>
      </c>
      <c r="H609">
        <v>5</v>
      </c>
      <c r="I609">
        <v>3</v>
      </c>
      <c r="J609">
        <v>0.18</v>
      </c>
      <c r="K609">
        <v>0.21210000000000001</v>
      </c>
      <c r="L609">
        <v>0.93</v>
      </c>
      <c r="M609">
        <v>0.1045</v>
      </c>
      <c r="N609">
        <v>0</v>
      </c>
      <c r="O609">
        <v>31</v>
      </c>
      <c r="P609">
        <v>31</v>
      </c>
    </row>
    <row r="610" spans="1:16" x14ac:dyDescent="0.35">
      <c r="A610">
        <v>609</v>
      </c>
      <c r="B610" t="b">
        <v>0</v>
      </c>
      <c r="C610" s="18">
        <v>40571</v>
      </c>
      <c r="D610">
        <v>1</v>
      </c>
      <c r="E610">
        <v>0</v>
      </c>
      <c r="F610">
        <v>1</v>
      </c>
      <c r="G610">
        <v>14</v>
      </c>
      <c r="H610">
        <v>5</v>
      </c>
      <c r="I610">
        <v>3</v>
      </c>
      <c r="J610">
        <v>0.22</v>
      </c>
      <c r="K610">
        <v>0.2727</v>
      </c>
      <c r="L610">
        <v>0.8</v>
      </c>
      <c r="M610">
        <v>0</v>
      </c>
      <c r="N610">
        <v>2</v>
      </c>
      <c r="O610">
        <v>36</v>
      </c>
      <c r="P610">
        <v>38</v>
      </c>
    </row>
    <row r="611" spans="1:16" x14ac:dyDescent="0.35">
      <c r="A611">
        <v>610</v>
      </c>
      <c r="B611" t="b">
        <v>0</v>
      </c>
      <c r="C611" s="18">
        <v>40571</v>
      </c>
      <c r="D611">
        <v>1</v>
      </c>
      <c r="E611">
        <v>0</v>
      </c>
      <c r="F611">
        <v>1</v>
      </c>
      <c r="G611">
        <v>15</v>
      </c>
      <c r="H611">
        <v>5</v>
      </c>
      <c r="I611">
        <v>2</v>
      </c>
      <c r="J611">
        <v>0.2</v>
      </c>
      <c r="K611">
        <v>0.2576</v>
      </c>
      <c r="L611">
        <v>0.86</v>
      </c>
      <c r="M611">
        <v>0</v>
      </c>
      <c r="N611">
        <v>1</v>
      </c>
      <c r="O611">
        <v>40</v>
      </c>
      <c r="P611">
        <v>41</v>
      </c>
    </row>
    <row r="612" spans="1:16" x14ac:dyDescent="0.35">
      <c r="A612">
        <v>611</v>
      </c>
      <c r="B612" t="b">
        <v>0</v>
      </c>
      <c r="C612" s="18">
        <v>40571</v>
      </c>
      <c r="D612">
        <v>1</v>
      </c>
      <c r="E612">
        <v>0</v>
      </c>
      <c r="F612">
        <v>1</v>
      </c>
      <c r="G612">
        <v>16</v>
      </c>
      <c r="H612">
        <v>5</v>
      </c>
      <c r="I612">
        <v>1</v>
      </c>
      <c r="J612">
        <v>0.22</v>
      </c>
      <c r="K612">
        <v>0.2727</v>
      </c>
      <c r="L612">
        <v>0.8</v>
      </c>
      <c r="M612">
        <v>0</v>
      </c>
      <c r="N612">
        <v>10</v>
      </c>
      <c r="O612">
        <v>70</v>
      </c>
      <c r="P612">
        <v>80</v>
      </c>
    </row>
    <row r="613" spans="1:16" x14ac:dyDescent="0.35">
      <c r="A613">
        <v>612</v>
      </c>
      <c r="B613" t="b">
        <v>0</v>
      </c>
      <c r="C613" s="18">
        <v>40571</v>
      </c>
      <c r="D613">
        <v>1</v>
      </c>
      <c r="E613">
        <v>0</v>
      </c>
      <c r="F613">
        <v>1</v>
      </c>
      <c r="G613">
        <v>17</v>
      </c>
      <c r="H613">
        <v>5</v>
      </c>
      <c r="I613">
        <v>1</v>
      </c>
      <c r="J613">
        <v>0.24</v>
      </c>
      <c r="K613">
        <v>0.2424</v>
      </c>
      <c r="L613">
        <v>0.75</v>
      </c>
      <c r="M613">
        <v>0.1343</v>
      </c>
      <c r="N613">
        <v>2</v>
      </c>
      <c r="O613">
        <v>147</v>
      </c>
      <c r="P613">
        <v>149</v>
      </c>
    </row>
    <row r="614" spans="1:16" x14ac:dyDescent="0.35">
      <c r="A614">
        <v>613</v>
      </c>
      <c r="B614" t="b">
        <v>0</v>
      </c>
      <c r="C614" s="18">
        <v>40571</v>
      </c>
      <c r="D614">
        <v>1</v>
      </c>
      <c r="E614">
        <v>0</v>
      </c>
      <c r="F614">
        <v>1</v>
      </c>
      <c r="G614">
        <v>18</v>
      </c>
      <c r="H614">
        <v>5</v>
      </c>
      <c r="I614">
        <v>1</v>
      </c>
      <c r="J614">
        <v>0.24</v>
      </c>
      <c r="K614">
        <v>0.2273</v>
      </c>
      <c r="L614">
        <v>0.75</v>
      </c>
      <c r="M614">
        <v>0.19400000000000001</v>
      </c>
      <c r="N614">
        <v>2</v>
      </c>
      <c r="O614">
        <v>107</v>
      </c>
      <c r="P614">
        <v>109</v>
      </c>
    </row>
    <row r="615" spans="1:16" x14ac:dyDescent="0.35">
      <c r="A615">
        <v>614</v>
      </c>
      <c r="B615" t="b">
        <v>0</v>
      </c>
      <c r="C615" s="18">
        <v>40571</v>
      </c>
      <c r="D615">
        <v>1</v>
      </c>
      <c r="E615">
        <v>0</v>
      </c>
      <c r="F615">
        <v>1</v>
      </c>
      <c r="G615">
        <v>19</v>
      </c>
      <c r="H615">
        <v>5</v>
      </c>
      <c r="I615">
        <v>2</v>
      </c>
      <c r="J615">
        <v>0.24</v>
      </c>
      <c r="K615">
        <v>0.2424</v>
      </c>
      <c r="L615">
        <v>0.75</v>
      </c>
      <c r="M615">
        <v>0.1343</v>
      </c>
      <c r="N615">
        <v>5</v>
      </c>
      <c r="O615">
        <v>84</v>
      </c>
      <c r="P615">
        <v>89</v>
      </c>
    </row>
    <row r="616" spans="1:16" x14ac:dyDescent="0.35">
      <c r="A616">
        <v>615</v>
      </c>
      <c r="B616" t="b">
        <v>0</v>
      </c>
      <c r="C616" s="18">
        <v>40571</v>
      </c>
      <c r="D616">
        <v>1</v>
      </c>
      <c r="E616">
        <v>0</v>
      </c>
      <c r="F616">
        <v>1</v>
      </c>
      <c r="G616">
        <v>20</v>
      </c>
      <c r="H616">
        <v>5</v>
      </c>
      <c r="I616">
        <v>2</v>
      </c>
      <c r="J616">
        <v>0.24</v>
      </c>
      <c r="K616">
        <v>0.2273</v>
      </c>
      <c r="L616">
        <v>0.7</v>
      </c>
      <c r="M616">
        <v>0.19400000000000001</v>
      </c>
      <c r="N616">
        <v>1</v>
      </c>
      <c r="O616">
        <v>61</v>
      </c>
      <c r="P616">
        <v>62</v>
      </c>
    </row>
    <row r="617" spans="1:16" x14ac:dyDescent="0.35">
      <c r="A617">
        <v>616</v>
      </c>
      <c r="B617" t="b">
        <v>0</v>
      </c>
      <c r="C617" s="18">
        <v>40571</v>
      </c>
      <c r="D617">
        <v>1</v>
      </c>
      <c r="E617">
        <v>0</v>
      </c>
      <c r="F617">
        <v>1</v>
      </c>
      <c r="G617">
        <v>21</v>
      </c>
      <c r="H617">
        <v>5</v>
      </c>
      <c r="I617">
        <v>2</v>
      </c>
      <c r="J617">
        <v>0.22</v>
      </c>
      <c r="K617">
        <v>0.2273</v>
      </c>
      <c r="L617">
        <v>0.75</v>
      </c>
      <c r="M617">
        <v>0.1343</v>
      </c>
      <c r="N617">
        <v>1</v>
      </c>
      <c r="O617">
        <v>57</v>
      </c>
      <c r="P617">
        <v>58</v>
      </c>
    </row>
    <row r="618" spans="1:16" x14ac:dyDescent="0.35">
      <c r="A618">
        <v>617</v>
      </c>
      <c r="B618" t="b">
        <v>0</v>
      </c>
      <c r="C618" s="18">
        <v>40571</v>
      </c>
      <c r="D618">
        <v>1</v>
      </c>
      <c r="E618">
        <v>0</v>
      </c>
      <c r="F618">
        <v>1</v>
      </c>
      <c r="G618">
        <v>22</v>
      </c>
      <c r="H618">
        <v>5</v>
      </c>
      <c r="I618">
        <v>1</v>
      </c>
      <c r="J618">
        <v>0.24</v>
      </c>
      <c r="K618">
        <v>0.21210000000000001</v>
      </c>
      <c r="L618">
        <v>0.65</v>
      </c>
      <c r="M618">
        <v>0.35820000000000002</v>
      </c>
      <c r="N618">
        <v>0</v>
      </c>
      <c r="O618">
        <v>26</v>
      </c>
      <c r="P618">
        <v>26</v>
      </c>
    </row>
    <row r="619" spans="1:16" x14ac:dyDescent="0.35">
      <c r="A619">
        <v>618</v>
      </c>
      <c r="B619" t="b">
        <v>0</v>
      </c>
      <c r="C619" s="18">
        <v>40571</v>
      </c>
      <c r="D619">
        <v>1</v>
      </c>
      <c r="E619">
        <v>0</v>
      </c>
      <c r="F619">
        <v>1</v>
      </c>
      <c r="G619">
        <v>23</v>
      </c>
      <c r="H619">
        <v>5</v>
      </c>
      <c r="I619">
        <v>1</v>
      </c>
      <c r="J619">
        <v>0.24</v>
      </c>
      <c r="K619">
        <v>0.2273</v>
      </c>
      <c r="L619">
        <v>0.6</v>
      </c>
      <c r="M619">
        <v>0.22389999999999999</v>
      </c>
      <c r="N619">
        <v>1</v>
      </c>
      <c r="O619">
        <v>22</v>
      </c>
      <c r="P619">
        <v>23</v>
      </c>
    </row>
    <row r="620" spans="1:16" x14ac:dyDescent="0.35">
      <c r="A620">
        <v>619</v>
      </c>
      <c r="B620" t="b">
        <v>0</v>
      </c>
      <c r="C620" s="18">
        <v>40572</v>
      </c>
      <c r="D620">
        <v>1</v>
      </c>
      <c r="E620">
        <v>0</v>
      </c>
      <c r="F620">
        <v>1</v>
      </c>
      <c r="G620">
        <v>0</v>
      </c>
      <c r="H620">
        <v>6</v>
      </c>
      <c r="I620">
        <v>1</v>
      </c>
      <c r="J620">
        <v>0.22</v>
      </c>
      <c r="K620">
        <v>0.19700000000000001</v>
      </c>
      <c r="L620">
        <v>0.64</v>
      </c>
      <c r="M620">
        <v>0.35820000000000002</v>
      </c>
      <c r="N620">
        <v>2</v>
      </c>
      <c r="O620">
        <v>26</v>
      </c>
      <c r="P620">
        <v>28</v>
      </c>
    </row>
    <row r="621" spans="1:16" x14ac:dyDescent="0.35">
      <c r="A621">
        <v>620</v>
      </c>
      <c r="B621" t="b">
        <v>0</v>
      </c>
      <c r="C621" s="18">
        <v>40572</v>
      </c>
      <c r="D621">
        <v>1</v>
      </c>
      <c r="E621">
        <v>0</v>
      </c>
      <c r="F621">
        <v>1</v>
      </c>
      <c r="G621">
        <v>1</v>
      </c>
      <c r="H621">
        <v>6</v>
      </c>
      <c r="I621">
        <v>1</v>
      </c>
      <c r="J621">
        <v>0.22</v>
      </c>
      <c r="K621">
        <v>0.2273</v>
      </c>
      <c r="L621">
        <v>0.64</v>
      </c>
      <c r="M621">
        <v>0.19400000000000001</v>
      </c>
      <c r="N621">
        <v>0</v>
      </c>
      <c r="O621">
        <v>20</v>
      </c>
      <c r="P621">
        <v>20</v>
      </c>
    </row>
    <row r="622" spans="1:16" x14ac:dyDescent="0.35">
      <c r="A622">
        <v>621</v>
      </c>
      <c r="B622" t="b">
        <v>0</v>
      </c>
      <c r="C622" s="18">
        <v>40572</v>
      </c>
      <c r="D622">
        <v>1</v>
      </c>
      <c r="E622">
        <v>0</v>
      </c>
      <c r="F622">
        <v>1</v>
      </c>
      <c r="G622">
        <v>2</v>
      </c>
      <c r="H622">
        <v>6</v>
      </c>
      <c r="I622">
        <v>1</v>
      </c>
      <c r="J622">
        <v>0.22</v>
      </c>
      <c r="K622">
        <v>0.2273</v>
      </c>
      <c r="L622">
        <v>0.64</v>
      </c>
      <c r="M622">
        <v>0.16420000000000001</v>
      </c>
      <c r="N622">
        <v>0</v>
      </c>
      <c r="O622">
        <v>15</v>
      </c>
      <c r="P622">
        <v>15</v>
      </c>
    </row>
    <row r="623" spans="1:16" x14ac:dyDescent="0.35">
      <c r="A623">
        <v>622</v>
      </c>
      <c r="B623" t="b">
        <v>0</v>
      </c>
      <c r="C623" s="18">
        <v>40572</v>
      </c>
      <c r="D623">
        <v>1</v>
      </c>
      <c r="E623">
        <v>0</v>
      </c>
      <c r="F623">
        <v>1</v>
      </c>
      <c r="G623">
        <v>3</v>
      </c>
      <c r="H623">
        <v>6</v>
      </c>
      <c r="I623">
        <v>1</v>
      </c>
      <c r="J623">
        <v>0.2</v>
      </c>
      <c r="K623">
        <v>0.21210000000000001</v>
      </c>
      <c r="L623">
        <v>0.64</v>
      </c>
      <c r="M623">
        <v>0.1343</v>
      </c>
      <c r="N623">
        <v>3</v>
      </c>
      <c r="O623">
        <v>5</v>
      </c>
      <c r="P623">
        <v>8</v>
      </c>
    </row>
    <row r="624" spans="1:16" x14ac:dyDescent="0.35">
      <c r="A624">
        <v>623</v>
      </c>
      <c r="B624" t="b">
        <v>0</v>
      </c>
      <c r="C624" s="18">
        <v>40572</v>
      </c>
      <c r="D624">
        <v>1</v>
      </c>
      <c r="E624">
        <v>0</v>
      </c>
      <c r="F624">
        <v>1</v>
      </c>
      <c r="G624">
        <v>4</v>
      </c>
      <c r="H624">
        <v>6</v>
      </c>
      <c r="I624">
        <v>1</v>
      </c>
      <c r="J624">
        <v>0.16</v>
      </c>
      <c r="K624">
        <v>0.18179999999999999</v>
      </c>
      <c r="L624">
        <v>0.69</v>
      </c>
      <c r="M624">
        <v>0.1045</v>
      </c>
      <c r="N624">
        <v>1</v>
      </c>
      <c r="O624">
        <v>2</v>
      </c>
      <c r="P624">
        <v>3</v>
      </c>
    </row>
    <row r="625" spans="1:16" x14ac:dyDescent="0.35">
      <c r="A625">
        <v>624</v>
      </c>
      <c r="B625" t="b">
        <v>0</v>
      </c>
      <c r="C625" s="18">
        <v>40572</v>
      </c>
      <c r="D625">
        <v>1</v>
      </c>
      <c r="E625">
        <v>0</v>
      </c>
      <c r="F625">
        <v>1</v>
      </c>
      <c r="G625">
        <v>6</v>
      </c>
      <c r="H625">
        <v>6</v>
      </c>
      <c r="I625">
        <v>1</v>
      </c>
      <c r="J625">
        <v>0.16</v>
      </c>
      <c r="K625">
        <v>0.18179999999999999</v>
      </c>
      <c r="L625">
        <v>0.64</v>
      </c>
      <c r="M625">
        <v>0.1343</v>
      </c>
      <c r="N625">
        <v>0</v>
      </c>
      <c r="O625">
        <v>2</v>
      </c>
      <c r="P625">
        <v>2</v>
      </c>
    </row>
    <row r="626" spans="1:16" x14ac:dyDescent="0.35">
      <c r="A626">
        <v>625</v>
      </c>
      <c r="B626" t="b">
        <v>0</v>
      </c>
      <c r="C626" s="18">
        <v>40572</v>
      </c>
      <c r="D626">
        <v>1</v>
      </c>
      <c r="E626">
        <v>0</v>
      </c>
      <c r="F626">
        <v>1</v>
      </c>
      <c r="G626">
        <v>7</v>
      </c>
      <c r="H626">
        <v>6</v>
      </c>
      <c r="I626">
        <v>1</v>
      </c>
      <c r="J626">
        <v>0.16</v>
      </c>
      <c r="K626">
        <v>0.18179999999999999</v>
      </c>
      <c r="L626">
        <v>0.59</v>
      </c>
      <c r="M626">
        <v>0.1045</v>
      </c>
      <c r="N626">
        <v>1</v>
      </c>
      <c r="O626">
        <v>4</v>
      </c>
      <c r="P626">
        <v>5</v>
      </c>
    </row>
    <row r="627" spans="1:16" x14ac:dyDescent="0.35">
      <c r="A627">
        <v>626</v>
      </c>
      <c r="B627" t="b">
        <v>0</v>
      </c>
      <c r="C627" s="18">
        <v>40572</v>
      </c>
      <c r="D627">
        <v>1</v>
      </c>
      <c r="E627">
        <v>0</v>
      </c>
      <c r="F627">
        <v>1</v>
      </c>
      <c r="G627">
        <v>8</v>
      </c>
      <c r="H627">
        <v>6</v>
      </c>
      <c r="I627">
        <v>1</v>
      </c>
      <c r="J627">
        <v>0.18</v>
      </c>
      <c r="K627">
        <v>0.19700000000000001</v>
      </c>
      <c r="L627">
        <v>0.55000000000000004</v>
      </c>
      <c r="M627">
        <v>0.16420000000000001</v>
      </c>
      <c r="N627">
        <v>3</v>
      </c>
      <c r="O627">
        <v>31</v>
      </c>
      <c r="P627">
        <v>34</v>
      </c>
    </row>
    <row r="628" spans="1:16" x14ac:dyDescent="0.35">
      <c r="A628">
        <v>627</v>
      </c>
      <c r="B628" t="b">
        <v>0</v>
      </c>
      <c r="C628" s="18">
        <v>40572</v>
      </c>
      <c r="D628">
        <v>1</v>
      </c>
      <c r="E628">
        <v>0</v>
      </c>
      <c r="F628">
        <v>1</v>
      </c>
      <c r="G628">
        <v>9</v>
      </c>
      <c r="H628">
        <v>6</v>
      </c>
      <c r="I628">
        <v>1</v>
      </c>
      <c r="J628">
        <v>0.18</v>
      </c>
      <c r="K628">
        <v>0.21210000000000001</v>
      </c>
      <c r="L628">
        <v>0.59</v>
      </c>
      <c r="M628">
        <v>8.9599999999999999E-2</v>
      </c>
      <c r="N628">
        <v>0</v>
      </c>
      <c r="O628">
        <v>34</v>
      </c>
      <c r="P628">
        <v>34</v>
      </c>
    </row>
    <row r="629" spans="1:16" x14ac:dyDescent="0.35">
      <c r="A629">
        <v>628</v>
      </c>
      <c r="B629" t="b">
        <v>0</v>
      </c>
      <c r="C629" s="18">
        <v>40572</v>
      </c>
      <c r="D629">
        <v>1</v>
      </c>
      <c r="E629">
        <v>0</v>
      </c>
      <c r="F629">
        <v>1</v>
      </c>
      <c r="G629">
        <v>10</v>
      </c>
      <c r="H629">
        <v>6</v>
      </c>
      <c r="I629">
        <v>2</v>
      </c>
      <c r="J629">
        <v>0.18</v>
      </c>
      <c r="K629">
        <v>0.21210000000000001</v>
      </c>
      <c r="L629">
        <v>0.64</v>
      </c>
      <c r="M629">
        <v>0.1045</v>
      </c>
      <c r="N629">
        <v>4</v>
      </c>
      <c r="O629">
        <v>51</v>
      </c>
      <c r="P629">
        <v>55</v>
      </c>
    </row>
    <row r="630" spans="1:16" x14ac:dyDescent="0.35">
      <c r="A630">
        <v>629</v>
      </c>
      <c r="B630" t="b">
        <v>0</v>
      </c>
      <c r="C630" s="18">
        <v>40572</v>
      </c>
      <c r="D630">
        <v>1</v>
      </c>
      <c r="E630">
        <v>0</v>
      </c>
      <c r="F630">
        <v>1</v>
      </c>
      <c r="G630">
        <v>11</v>
      </c>
      <c r="H630">
        <v>6</v>
      </c>
      <c r="I630">
        <v>2</v>
      </c>
      <c r="J630">
        <v>0.18</v>
      </c>
      <c r="K630">
        <v>0.19700000000000001</v>
      </c>
      <c r="L630">
        <v>0.64</v>
      </c>
      <c r="M630">
        <v>0.1343</v>
      </c>
      <c r="N630">
        <v>4</v>
      </c>
      <c r="O630">
        <v>60</v>
      </c>
      <c r="P630">
        <v>64</v>
      </c>
    </row>
    <row r="631" spans="1:16" x14ac:dyDescent="0.35">
      <c r="A631">
        <v>630</v>
      </c>
      <c r="B631" t="b">
        <v>0</v>
      </c>
      <c r="C631" s="18">
        <v>40572</v>
      </c>
      <c r="D631">
        <v>1</v>
      </c>
      <c r="E631">
        <v>0</v>
      </c>
      <c r="F631">
        <v>1</v>
      </c>
      <c r="G631">
        <v>12</v>
      </c>
      <c r="H631">
        <v>6</v>
      </c>
      <c r="I631">
        <v>2</v>
      </c>
      <c r="J631">
        <v>0.2</v>
      </c>
      <c r="K631">
        <v>0.19700000000000001</v>
      </c>
      <c r="L631">
        <v>0.59</v>
      </c>
      <c r="M631">
        <v>0.19400000000000001</v>
      </c>
      <c r="N631">
        <v>12</v>
      </c>
      <c r="O631">
        <v>66</v>
      </c>
      <c r="P631">
        <v>78</v>
      </c>
    </row>
    <row r="632" spans="1:16" x14ac:dyDescent="0.35">
      <c r="A632">
        <v>631</v>
      </c>
      <c r="B632" t="b">
        <v>0</v>
      </c>
      <c r="C632" s="18">
        <v>40572</v>
      </c>
      <c r="D632">
        <v>1</v>
      </c>
      <c r="E632">
        <v>0</v>
      </c>
      <c r="F632">
        <v>1</v>
      </c>
      <c r="G632">
        <v>13</v>
      </c>
      <c r="H632">
        <v>6</v>
      </c>
      <c r="I632">
        <v>2</v>
      </c>
      <c r="J632">
        <v>0.22</v>
      </c>
      <c r="K632">
        <v>0.2273</v>
      </c>
      <c r="L632">
        <v>0.55000000000000004</v>
      </c>
      <c r="M632">
        <v>0.16420000000000001</v>
      </c>
      <c r="N632">
        <v>9</v>
      </c>
      <c r="O632">
        <v>56</v>
      </c>
      <c r="P632">
        <v>65</v>
      </c>
    </row>
    <row r="633" spans="1:16" x14ac:dyDescent="0.35">
      <c r="A633">
        <v>632</v>
      </c>
      <c r="B633" t="b">
        <v>0</v>
      </c>
      <c r="C633" s="18">
        <v>40572</v>
      </c>
      <c r="D633">
        <v>1</v>
      </c>
      <c r="E633">
        <v>0</v>
      </c>
      <c r="F633">
        <v>1</v>
      </c>
      <c r="G633">
        <v>14</v>
      </c>
      <c r="H633">
        <v>6</v>
      </c>
      <c r="I633">
        <v>2</v>
      </c>
      <c r="J633">
        <v>0.22</v>
      </c>
      <c r="K633">
        <v>0.2273</v>
      </c>
      <c r="L633">
        <v>0.6</v>
      </c>
      <c r="M633">
        <v>0.1343</v>
      </c>
      <c r="N633">
        <v>10</v>
      </c>
      <c r="O633">
        <v>89</v>
      </c>
      <c r="P633">
        <v>99</v>
      </c>
    </row>
    <row r="634" spans="1:16" x14ac:dyDescent="0.35">
      <c r="A634">
        <v>633</v>
      </c>
      <c r="B634" t="b">
        <v>0</v>
      </c>
      <c r="C634" s="18">
        <v>40572</v>
      </c>
      <c r="D634">
        <v>1</v>
      </c>
      <c r="E634">
        <v>0</v>
      </c>
      <c r="F634">
        <v>1</v>
      </c>
      <c r="G634">
        <v>15</v>
      </c>
      <c r="H634">
        <v>6</v>
      </c>
      <c r="I634">
        <v>1</v>
      </c>
      <c r="J634">
        <v>0.22</v>
      </c>
      <c r="K634">
        <v>0.21210000000000001</v>
      </c>
      <c r="L634">
        <v>0.69</v>
      </c>
      <c r="M634">
        <v>0.25369999999999998</v>
      </c>
      <c r="N634">
        <v>22</v>
      </c>
      <c r="O634">
        <v>98</v>
      </c>
      <c r="P634">
        <v>120</v>
      </c>
    </row>
    <row r="635" spans="1:16" x14ac:dyDescent="0.35">
      <c r="A635">
        <v>634</v>
      </c>
      <c r="B635" t="b">
        <v>0</v>
      </c>
      <c r="C635" s="18">
        <v>40572</v>
      </c>
      <c r="D635">
        <v>1</v>
      </c>
      <c r="E635">
        <v>0</v>
      </c>
      <c r="F635">
        <v>1</v>
      </c>
      <c r="G635">
        <v>16</v>
      </c>
      <c r="H635">
        <v>6</v>
      </c>
      <c r="I635">
        <v>1</v>
      </c>
      <c r="J635">
        <v>0.24</v>
      </c>
      <c r="K635">
        <v>0.2424</v>
      </c>
      <c r="L635">
        <v>0.6</v>
      </c>
      <c r="M635">
        <v>0.16420000000000001</v>
      </c>
      <c r="N635">
        <v>19</v>
      </c>
      <c r="O635">
        <v>88</v>
      </c>
      <c r="P635">
        <v>107</v>
      </c>
    </row>
    <row r="636" spans="1:16" x14ac:dyDescent="0.35">
      <c r="A636">
        <v>635</v>
      </c>
      <c r="B636" t="b">
        <v>0</v>
      </c>
      <c r="C636" s="18">
        <v>40572</v>
      </c>
      <c r="D636">
        <v>1</v>
      </c>
      <c r="E636">
        <v>0</v>
      </c>
      <c r="F636">
        <v>1</v>
      </c>
      <c r="G636">
        <v>17</v>
      </c>
      <c r="H636">
        <v>6</v>
      </c>
      <c r="I636">
        <v>1</v>
      </c>
      <c r="J636">
        <v>0.24</v>
      </c>
      <c r="K636">
        <v>0.28789999999999999</v>
      </c>
      <c r="L636">
        <v>0.6</v>
      </c>
      <c r="M636">
        <v>0</v>
      </c>
      <c r="N636">
        <v>9</v>
      </c>
      <c r="O636">
        <v>82</v>
      </c>
      <c r="P636">
        <v>91</v>
      </c>
    </row>
    <row r="637" spans="1:16" x14ac:dyDescent="0.35">
      <c r="A637">
        <v>636</v>
      </c>
      <c r="B637" t="b">
        <v>0</v>
      </c>
      <c r="C637" s="18">
        <v>40572</v>
      </c>
      <c r="D637">
        <v>1</v>
      </c>
      <c r="E637">
        <v>0</v>
      </c>
      <c r="F637">
        <v>1</v>
      </c>
      <c r="G637">
        <v>18</v>
      </c>
      <c r="H637">
        <v>6</v>
      </c>
      <c r="I637">
        <v>1</v>
      </c>
      <c r="J637">
        <v>0.22</v>
      </c>
      <c r="K637">
        <v>0.2273</v>
      </c>
      <c r="L637">
        <v>0.69</v>
      </c>
      <c r="M637">
        <v>0.1343</v>
      </c>
      <c r="N637">
        <v>9</v>
      </c>
      <c r="O637">
        <v>59</v>
      </c>
      <c r="P637">
        <v>68</v>
      </c>
    </row>
    <row r="638" spans="1:16" x14ac:dyDescent="0.35">
      <c r="A638">
        <v>637</v>
      </c>
      <c r="B638" t="b">
        <v>0</v>
      </c>
      <c r="C638" s="18">
        <v>40572</v>
      </c>
      <c r="D638">
        <v>1</v>
      </c>
      <c r="E638">
        <v>0</v>
      </c>
      <c r="F638">
        <v>1</v>
      </c>
      <c r="G638">
        <v>19</v>
      </c>
      <c r="H638">
        <v>6</v>
      </c>
      <c r="I638">
        <v>2</v>
      </c>
      <c r="J638">
        <v>0.22</v>
      </c>
      <c r="K638">
        <v>0.21210000000000001</v>
      </c>
      <c r="L638">
        <v>0.69</v>
      </c>
      <c r="M638">
        <v>0.25369999999999998</v>
      </c>
      <c r="N638">
        <v>6</v>
      </c>
      <c r="O638">
        <v>52</v>
      </c>
      <c r="P638">
        <v>58</v>
      </c>
    </row>
    <row r="639" spans="1:16" x14ac:dyDescent="0.35">
      <c r="A639">
        <v>638</v>
      </c>
      <c r="B639" t="b">
        <v>0</v>
      </c>
      <c r="C639" s="18">
        <v>40572</v>
      </c>
      <c r="D639">
        <v>1</v>
      </c>
      <c r="E639">
        <v>0</v>
      </c>
      <c r="F639">
        <v>1</v>
      </c>
      <c r="G639">
        <v>20</v>
      </c>
      <c r="H639">
        <v>6</v>
      </c>
      <c r="I639">
        <v>1</v>
      </c>
      <c r="J639">
        <v>0.18</v>
      </c>
      <c r="K639">
        <v>0.21210000000000001</v>
      </c>
      <c r="L639">
        <v>0.74</v>
      </c>
      <c r="M639">
        <v>8.9599999999999999E-2</v>
      </c>
      <c r="N639">
        <v>1</v>
      </c>
      <c r="O639">
        <v>42</v>
      </c>
      <c r="P639">
        <v>43</v>
      </c>
    </row>
    <row r="640" spans="1:16" x14ac:dyDescent="0.35">
      <c r="A640">
        <v>639</v>
      </c>
      <c r="B640" t="b">
        <v>0</v>
      </c>
      <c r="C640" s="18">
        <v>40572</v>
      </c>
      <c r="D640">
        <v>1</v>
      </c>
      <c r="E640">
        <v>0</v>
      </c>
      <c r="F640">
        <v>1</v>
      </c>
      <c r="G640">
        <v>21</v>
      </c>
      <c r="H640">
        <v>6</v>
      </c>
      <c r="I640">
        <v>1</v>
      </c>
      <c r="J640">
        <v>0.18</v>
      </c>
      <c r="K640">
        <v>0.21210000000000001</v>
      </c>
      <c r="L640">
        <v>0.74</v>
      </c>
      <c r="M640">
        <v>8.9599999999999999E-2</v>
      </c>
      <c r="N640">
        <v>1</v>
      </c>
      <c r="O640">
        <v>35</v>
      </c>
      <c r="P640">
        <v>36</v>
      </c>
    </row>
    <row r="641" spans="1:16" x14ac:dyDescent="0.35">
      <c r="A641">
        <v>640</v>
      </c>
      <c r="B641" t="b">
        <v>0</v>
      </c>
      <c r="C641" s="18">
        <v>40572</v>
      </c>
      <c r="D641">
        <v>1</v>
      </c>
      <c r="E641">
        <v>0</v>
      </c>
      <c r="F641">
        <v>1</v>
      </c>
      <c r="G641">
        <v>22</v>
      </c>
      <c r="H641">
        <v>6</v>
      </c>
      <c r="I641">
        <v>1</v>
      </c>
      <c r="J641">
        <v>0.16</v>
      </c>
      <c r="K641">
        <v>0.19700000000000001</v>
      </c>
      <c r="L641">
        <v>0.8</v>
      </c>
      <c r="M641">
        <v>8.9599999999999999E-2</v>
      </c>
      <c r="N641">
        <v>4</v>
      </c>
      <c r="O641">
        <v>28</v>
      </c>
      <c r="P641">
        <v>32</v>
      </c>
    </row>
    <row r="642" spans="1:16" x14ac:dyDescent="0.35">
      <c r="A642">
        <v>641</v>
      </c>
      <c r="B642" t="b">
        <v>0</v>
      </c>
      <c r="C642" s="18">
        <v>40572</v>
      </c>
      <c r="D642">
        <v>1</v>
      </c>
      <c r="E642">
        <v>0</v>
      </c>
      <c r="F642">
        <v>1</v>
      </c>
      <c r="G642">
        <v>23</v>
      </c>
      <c r="H642">
        <v>6</v>
      </c>
      <c r="I642">
        <v>1</v>
      </c>
      <c r="J642">
        <v>0.16</v>
      </c>
      <c r="K642">
        <v>0.19700000000000001</v>
      </c>
      <c r="L642">
        <v>0.8</v>
      </c>
      <c r="M642">
        <v>8.9599999999999999E-2</v>
      </c>
      <c r="N642">
        <v>3</v>
      </c>
      <c r="O642">
        <v>30</v>
      </c>
      <c r="P642">
        <v>33</v>
      </c>
    </row>
    <row r="643" spans="1:16" x14ac:dyDescent="0.35">
      <c r="A643">
        <v>642</v>
      </c>
      <c r="B643" t="b">
        <v>0</v>
      </c>
      <c r="C643" s="18">
        <v>40573</v>
      </c>
      <c r="D643">
        <v>1</v>
      </c>
      <c r="E643">
        <v>0</v>
      </c>
      <c r="F643">
        <v>1</v>
      </c>
      <c r="G643">
        <v>0</v>
      </c>
      <c r="H643">
        <v>0</v>
      </c>
      <c r="I643">
        <v>1</v>
      </c>
      <c r="J643">
        <v>0.16</v>
      </c>
      <c r="K643">
        <v>0.18179999999999999</v>
      </c>
      <c r="L643">
        <v>0.8</v>
      </c>
      <c r="M643">
        <v>0.1045</v>
      </c>
      <c r="N643">
        <v>0</v>
      </c>
      <c r="O643">
        <v>33</v>
      </c>
      <c r="P643">
        <v>33</v>
      </c>
    </row>
    <row r="644" spans="1:16" x14ac:dyDescent="0.35">
      <c r="A644">
        <v>643</v>
      </c>
      <c r="B644" t="b">
        <v>0</v>
      </c>
      <c r="C644" s="18">
        <v>40573</v>
      </c>
      <c r="D644">
        <v>1</v>
      </c>
      <c r="E644">
        <v>0</v>
      </c>
      <c r="F644">
        <v>1</v>
      </c>
      <c r="G644">
        <v>1</v>
      </c>
      <c r="H644">
        <v>0</v>
      </c>
      <c r="I644">
        <v>1</v>
      </c>
      <c r="J644">
        <v>0.14000000000000001</v>
      </c>
      <c r="K644">
        <v>0.21210000000000001</v>
      </c>
      <c r="L644">
        <v>0.8</v>
      </c>
      <c r="M644">
        <v>0</v>
      </c>
      <c r="N644">
        <v>7</v>
      </c>
      <c r="O644">
        <v>22</v>
      </c>
      <c r="P644">
        <v>29</v>
      </c>
    </row>
    <row r="645" spans="1:16" x14ac:dyDescent="0.35">
      <c r="A645">
        <v>644</v>
      </c>
      <c r="B645" t="b">
        <v>0</v>
      </c>
      <c r="C645" s="18">
        <v>40573</v>
      </c>
      <c r="D645">
        <v>1</v>
      </c>
      <c r="E645">
        <v>0</v>
      </c>
      <c r="F645">
        <v>1</v>
      </c>
      <c r="G645">
        <v>2</v>
      </c>
      <c r="H645">
        <v>0</v>
      </c>
      <c r="I645">
        <v>1</v>
      </c>
      <c r="J645">
        <v>0.16</v>
      </c>
      <c r="K645">
        <v>0.2273</v>
      </c>
      <c r="L645">
        <v>0.8</v>
      </c>
      <c r="M645">
        <v>0</v>
      </c>
      <c r="N645">
        <v>1</v>
      </c>
      <c r="O645">
        <v>10</v>
      </c>
      <c r="P645">
        <v>11</v>
      </c>
    </row>
    <row r="646" spans="1:16" x14ac:dyDescent="0.35">
      <c r="A646">
        <v>645</v>
      </c>
      <c r="B646" t="b">
        <v>0</v>
      </c>
      <c r="C646" s="18">
        <v>40573</v>
      </c>
      <c r="D646">
        <v>1</v>
      </c>
      <c r="E646">
        <v>0</v>
      </c>
      <c r="F646">
        <v>1</v>
      </c>
      <c r="G646">
        <v>3</v>
      </c>
      <c r="H646">
        <v>0</v>
      </c>
      <c r="I646">
        <v>1</v>
      </c>
      <c r="J646">
        <v>0.14000000000000001</v>
      </c>
      <c r="K646">
        <v>0.21210000000000001</v>
      </c>
      <c r="L646">
        <v>0.93</v>
      </c>
      <c r="M646">
        <v>0</v>
      </c>
      <c r="N646">
        <v>1</v>
      </c>
      <c r="O646">
        <v>7</v>
      </c>
      <c r="P646">
        <v>8</v>
      </c>
    </row>
    <row r="647" spans="1:16" x14ac:dyDescent="0.35">
      <c r="A647">
        <v>646</v>
      </c>
      <c r="B647" t="b">
        <v>0</v>
      </c>
      <c r="C647" s="18">
        <v>40573</v>
      </c>
      <c r="D647">
        <v>1</v>
      </c>
      <c r="E647">
        <v>0</v>
      </c>
      <c r="F647">
        <v>1</v>
      </c>
      <c r="G647">
        <v>4</v>
      </c>
      <c r="H647">
        <v>0</v>
      </c>
      <c r="I647">
        <v>1</v>
      </c>
      <c r="J647">
        <v>0.14000000000000001</v>
      </c>
      <c r="K647">
        <v>0.21210000000000001</v>
      </c>
      <c r="L647">
        <v>0.93</v>
      </c>
      <c r="M647">
        <v>0</v>
      </c>
      <c r="N647">
        <v>0</v>
      </c>
      <c r="O647">
        <v>1</v>
      </c>
      <c r="P647">
        <v>1</v>
      </c>
    </row>
    <row r="648" spans="1:16" x14ac:dyDescent="0.35">
      <c r="A648">
        <v>647</v>
      </c>
      <c r="B648" t="b">
        <v>0</v>
      </c>
      <c r="C648" s="18">
        <v>40573</v>
      </c>
      <c r="D648">
        <v>1</v>
      </c>
      <c r="E648">
        <v>0</v>
      </c>
      <c r="F648">
        <v>1</v>
      </c>
      <c r="G648">
        <v>5</v>
      </c>
      <c r="H648">
        <v>0</v>
      </c>
      <c r="I648">
        <v>1</v>
      </c>
      <c r="J648">
        <v>0.14000000000000001</v>
      </c>
      <c r="K648">
        <v>0.21210000000000001</v>
      </c>
      <c r="L648">
        <v>0.86</v>
      </c>
      <c r="M648">
        <v>0</v>
      </c>
      <c r="N648">
        <v>0</v>
      </c>
      <c r="O648">
        <v>3</v>
      </c>
      <c r="P648">
        <v>3</v>
      </c>
    </row>
    <row r="649" spans="1:16" x14ac:dyDescent="0.35">
      <c r="A649">
        <v>648</v>
      </c>
      <c r="B649" t="b">
        <v>0</v>
      </c>
      <c r="C649" s="18">
        <v>40573</v>
      </c>
      <c r="D649">
        <v>1</v>
      </c>
      <c r="E649">
        <v>0</v>
      </c>
      <c r="F649">
        <v>1</v>
      </c>
      <c r="G649">
        <v>7</v>
      </c>
      <c r="H649">
        <v>0</v>
      </c>
      <c r="I649">
        <v>1</v>
      </c>
      <c r="J649">
        <v>0.14000000000000001</v>
      </c>
      <c r="K649">
        <v>0.21210000000000001</v>
      </c>
      <c r="L649">
        <v>0.86</v>
      </c>
      <c r="M649">
        <v>0</v>
      </c>
      <c r="N649">
        <v>0</v>
      </c>
      <c r="O649">
        <v>3</v>
      </c>
      <c r="P649">
        <v>3</v>
      </c>
    </row>
    <row r="650" spans="1:16" x14ac:dyDescent="0.35">
      <c r="A650">
        <v>649</v>
      </c>
      <c r="B650" t="b">
        <v>0</v>
      </c>
      <c r="C650" s="18">
        <v>40573</v>
      </c>
      <c r="D650">
        <v>1</v>
      </c>
      <c r="E650">
        <v>0</v>
      </c>
      <c r="F650">
        <v>1</v>
      </c>
      <c r="G650">
        <v>8</v>
      </c>
      <c r="H650">
        <v>0</v>
      </c>
      <c r="I650">
        <v>2</v>
      </c>
      <c r="J650">
        <v>0.14000000000000001</v>
      </c>
      <c r="K650">
        <v>0.21210000000000001</v>
      </c>
      <c r="L650">
        <v>0.86</v>
      </c>
      <c r="M650">
        <v>0</v>
      </c>
      <c r="N650">
        <v>1</v>
      </c>
      <c r="O650">
        <v>11</v>
      </c>
      <c r="P650">
        <v>12</v>
      </c>
    </row>
    <row r="651" spans="1:16" x14ac:dyDescent="0.35">
      <c r="A651">
        <v>650</v>
      </c>
      <c r="B651" t="b">
        <v>0</v>
      </c>
      <c r="C651" s="18">
        <v>40573</v>
      </c>
      <c r="D651">
        <v>1</v>
      </c>
      <c r="E651">
        <v>0</v>
      </c>
      <c r="F651">
        <v>1</v>
      </c>
      <c r="G651">
        <v>9</v>
      </c>
      <c r="H651">
        <v>0</v>
      </c>
      <c r="I651">
        <v>2</v>
      </c>
      <c r="J651">
        <v>0.16</v>
      </c>
      <c r="K651">
        <v>0.2273</v>
      </c>
      <c r="L651">
        <v>0.8</v>
      </c>
      <c r="M651">
        <v>0</v>
      </c>
      <c r="N651">
        <v>4</v>
      </c>
      <c r="O651">
        <v>34</v>
      </c>
      <c r="P651">
        <v>38</v>
      </c>
    </row>
    <row r="652" spans="1:16" x14ac:dyDescent="0.35">
      <c r="A652">
        <v>651</v>
      </c>
      <c r="B652" t="b">
        <v>0</v>
      </c>
      <c r="C652" s="18">
        <v>40573</v>
      </c>
      <c r="D652">
        <v>1</v>
      </c>
      <c r="E652">
        <v>0</v>
      </c>
      <c r="F652">
        <v>1</v>
      </c>
      <c r="G652">
        <v>10</v>
      </c>
      <c r="H652">
        <v>0</v>
      </c>
      <c r="I652">
        <v>2</v>
      </c>
      <c r="J652">
        <v>0.18</v>
      </c>
      <c r="K652">
        <v>0.2424</v>
      </c>
      <c r="L652">
        <v>0.8</v>
      </c>
      <c r="M652">
        <v>0</v>
      </c>
      <c r="N652">
        <v>7</v>
      </c>
      <c r="O652">
        <v>57</v>
      </c>
      <c r="P652">
        <v>64</v>
      </c>
    </row>
    <row r="653" spans="1:16" x14ac:dyDescent="0.35">
      <c r="A653">
        <v>652</v>
      </c>
      <c r="B653" t="b">
        <v>0</v>
      </c>
      <c r="C653" s="18">
        <v>40573</v>
      </c>
      <c r="D653">
        <v>1</v>
      </c>
      <c r="E653">
        <v>0</v>
      </c>
      <c r="F653">
        <v>1</v>
      </c>
      <c r="G653">
        <v>11</v>
      </c>
      <c r="H653">
        <v>0</v>
      </c>
      <c r="I653">
        <v>1</v>
      </c>
      <c r="J653">
        <v>0.22</v>
      </c>
      <c r="K653">
        <v>0.2727</v>
      </c>
      <c r="L653">
        <v>0.75</v>
      </c>
      <c r="M653">
        <v>0</v>
      </c>
      <c r="N653">
        <v>9</v>
      </c>
      <c r="O653">
        <v>50</v>
      </c>
      <c r="P653">
        <v>59</v>
      </c>
    </row>
    <row r="654" spans="1:16" x14ac:dyDescent="0.35">
      <c r="A654">
        <v>653</v>
      </c>
      <c r="B654" t="b">
        <v>0</v>
      </c>
      <c r="C654" s="18">
        <v>40573</v>
      </c>
      <c r="D654">
        <v>1</v>
      </c>
      <c r="E654">
        <v>0</v>
      </c>
      <c r="F654">
        <v>1</v>
      </c>
      <c r="G654">
        <v>12</v>
      </c>
      <c r="H654">
        <v>0</v>
      </c>
      <c r="I654">
        <v>1</v>
      </c>
      <c r="J654">
        <v>0.3</v>
      </c>
      <c r="K654">
        <v>0.31819999999999998</v>
      </c>
      <c r="L654">
        <v>0.52</v>
      </c>
      <c r="M654">
        <v>0.1045</v>
      </c>
      <c r="N654">
        <v>10</v>
      </c>
      <c r="O654">
        <v>87</v>
      </c>
      <c r="P654">
        <v>97</v>
      </c>
    </row>
    <row r="655" spans="1:16" x14ac:dyDescent="0.35">
      <c r="A655">
        <v>654</v>
      </c>
      <c r="B655" t="b">
        <v>0</v>
      </c>
      <c r="C655" s="18">
        <v>40573</v>
      </c>
      <c r="D655">
        <v>1</v>
      </c>
      <c r="E655">
        <v>0</v>
      </c>
      <c r="F655">
        <v>1</v>
      </c>
      <c r="G655">
        <v>13</v>
      </c>
      <c r="H655">
        <v>0</v>
      </c>
      <c r="I655">
        <v>1</v>
      </c>
      <c r="J655">
        <v>0.28000000000000003</v>
      </c>
      <c r="K655">
        <v>0.28789999999999999</v>
      </c>
      <c r="L655">
        <v>0.61</v>
      </c>
      <c r="M655">
        <v>0.1045</v>
      </c>
      <c r="N655">
        <v>13</v>
      </c>
      <c r="O655">
        <v>71</v>
      </c>
      <c r="P655">
        <v>84</v>
      </c>
    </row>
    <row r="656" spans="1:16" x14ac:dyDescent="0.35">
      <c r="A656">
        <v>655</v>
      </c>
      <c r="B656" t="b">
        <v>0</v>
      </c>
      <c r="C656" s="18">
        <v>40573</v>
      </c>
      <c r="D656">
        <v>1</v>
      </c>
      <c r="E656">
        <v>0</v>
      </c>
      <c r="F656">
        <v>1</v>
      </c>
      <c r="G656">
        <v>14</v>
      </c>
      <c r="H656">
        <v>0</v>
      </c>
      <c r="I656">
        <v>1</v>
      </c>
      <c r="J656">
        <v>0.28000000000000003</v>
      </c>
      <c r="K656">
        <v>0.30299999999999999</v>
      </c>
      <c r="L656">
        <v>0.61</v>
      </c>
      <c r="M656">
        <v>8.9599999999999999E-2</v>
      </c>
      <c r="N656">
        <v>18</v>
      </c>
      <c r="O656">
        <v>104</v>
      </c>
      <c r="P656">
        <v>122</v>
      </c>
    </row>
    <row r="657" spans="1:16" x14ac:dyDescent="0.35">
      <c r="A657">
        <v>656</v>
      </c>
      <c r="B657" t="b">
        <v>0</v>
      </c>
      <c r="C657" s="18">
        <v>40573</v>
      </c>
      <c r="D657">
        <v>1</v>
      </c>
      <c r="E657">
        <v>0</v>
      </c>
      <c r="F657">
        <v>1</v>
      </c>
      <c r="G657">
        <v>15</v>
      </c>
      <c r="H657">
        <v>0</v>
      </c>
      <c r="I657">
        <v>1</v>
      </c>
      <c r="J657">
        <v>0.3</v>
      </c>
      <c r="K657">
        <v>0.33329999999999999</v>
      </c>
      <c r="L657">
        <v>0.56000000000000005</v>
      </c>
      <c r="M657">
        <v>0</v>
      </c>
      <c r="N657">
        <v>14</v>
      </c>
      <c r="O657">
        <v>95</v>
      </c>
      <c r="P657">
        <v>109</v>
      </c>
    </row>
    <row r="658" spans="1:16" x14ac:dyDescent="0.35">
      <c r="A658">
        <v>657</v>
      </c>
      <c r="B658" t="b">
        <v>0</v>
      </c>
      <c r="C658" s="18">
        <v>40573</v>
      </c>
      <c r="D658">
        <v>1</v>
      </c>
      <c r="E658">
        <v>0</v>
      </c>
      <c r="F658">
        <v>1</v>
      </c>
      <c r="G658">
        <v>16</v>
      </c>
      <c r="H658">
        <v>0</v>
      </c>
      <c r="I658">
        <v>1</v>
      </c>
      <c r="J658">
        <v>0.3</v>
      </c>
      <c r="K658">
        <v>0.33329999999999999</v>
      </c>
      <c r="L658">
        <v>0.56000000000000005</v>
      </c>
      <c r="M658">
        <v>0</v>
      </c>
      <c r="N658">
        <v>19</v>
      </c>
      <c r="O658">
        <v>104</v>
      </c>
      <c r="P658">
        <v>123</v>
      </c>
    </row>
    <row r="659" spans="1:16" x14ac:dyDescent="0.35">
      <c r="A659">
        <v>658</v>
      </c>
      <c r="B659" t="b">
        <v>0</v>
      </c>
      <c r="C659" s="18">
        <v>40573</v>
      </c>
      <c r="D659">
        <v>1</v>
      </c>
      <c r="E659">
        <v>0</v>
      </c>
      <c r="F659">
        <v>1</v>
      </c>
      <c r="G659">
        <v>17</v>
      </c>
      <c r="H659">
        <v>0</v>
      </c>
      <c r="I659">
        <v>1</v>
      </c>
      <c r="J659">
        <v>0.3</v>
      </c>
      <c r="K659">
        <v>0.28789999999999999</v>
      </c>
      <c r="L659">
        <v>0.56000000000000005</v>
      </c>
      <c r="M659">
        <v>0.19400000000000001</v>
      </c>
      <c r="N659">
        <v>6</v>
      </c>
      <c r="O659">
        <v>71</v>
      </c>
      <c r="P659">
        <v>77</v>
      </c>
    </row>
    <row r="660" spans="1:16" x14ac:dyDescent="0.35">
      <c r="A660">
        <v>659</v>
      </c>
      <c r="B660" t="b">
        <v>0</v>
      </c>
      <c r="C660" s="18">
        <v>40573</v>
      </c>
      <c r="D660">
        <v>1</v>
      </c>
      <c r="E660">
        <v>0</v>
      </c>
      <c r="F660">
        <v>1</v>
      </c>
      <c r="G660">
        <v>18</v>
      </c>
      <c r="H660">
        <v>0</v>
      </c>
      <c r="I660">
        <v>1</v>
      </c>
      <c r="J660">
        <v>0.26</v>
      </c>
      <c r="K660">
        <v>0.2576</v>
      </c>
      <c r="L660">
        <v>0.65</v>
      </c>
      <c r="M660">
        <v>0.16420000000000001</v>
      </c>
      <c r="N660">
        <v>8</v>
      </c>
      <c r="O660">
        <v>57</v>
      </c>
      <c r="P660">
        <v>65</v>
      </c>
    </row>
    <row r="661" spans="1:16" x14ac:dyDescent="0.35">
      <c r="A661">
        <v>660</v>
      </c>
      <c r="B661" t="b">
        <v>0</v>
      </c>
      <c r="C661" s="18">
        <v>40573</v>
      </c>
      <c r="D661">
        <v>1</v>
      </c>
      <c r="E661">
        <v>0</v>
      </c>
      <c r="F661">
        <v>1</v>
      </c>
      <c r="G661">
        <v>19</v>
      </c>
      <c r="H661">
        <v>0</v>
      </c>
      <c r="I661">
        <v>1</v>
      </c>
      <c r="J661">
        <v>0.26</v>
      </c>
      <c r="K661">
        <v>0.2576</v>
      </c>
      <c r="L661">
        <v>0.65</v>
      </c>
      <c r="M661">
        <v>0.19400000000000001</v>
      </c>
      <c r="N661">
        <v>9</v>
      </c>
      <c r="O661">
        <v>46</v>
      </c>
      <c r="P661">
        <v>55</v>
      </c>
    </row>
    <row r="662" spans="1:16" x14ac:dyDescent="0.35">
      <c r="A662">
        <v>661</v>
      </c>
      <c r="B662" t="b">
        <v>0</v>
      </c>
      <c r="C662" s="18">
        <v>40573</v>
      </c>
      <c r="D662">
        <v>1</v>
      </c>
      <c r="E662">
        <v>0</v>
      </c>
      <c r="F662">
        <v>1</v>
      </c>
      <c r="G662">
        <v>20</v>
      </c>
      <c r="H662">
        <v>0</v>
      </c>
      <c r="I662">
        <v>2</v>
      </c>
      <c r="J662">
        <v>0.26</v>
      </c>
      <c r="K662">
        <v>0.2727</v>
      </c>
      <c r="L662">
        <v>0.65</v>
      </c>
      <c r="M662">
        <v>0.1045</v>
      </c>
      <c r="N662">
        <v>3</v>
      </c>
      <c r="O662">
        <v>30</v>
      </c>
      <c r="P662">
        <v>33</v>
      </c>
    </row>
    <row r="663" spans="1:16" x14ac:dyDescent="0.35">
      <c r="A663">
        <v>662</v>
      </c>
      <c r="B663" t="b">
        <v>0</v>
      </c>
      <c r="C663" s="18">
        <v>40573</v>
      </c>
      <c r="D663">
        <v>1</v>
      </c>
      <c r="E663">
        <v>0</v>
      </c>
      <c r="F663">
        <v>1</v>
      </c>
      <c r="G663">
        <v>21</v>
      </c>
      <c r="H663">
        <v>0</v>
      </c>
      <c r="I663">
        <v>2</v>
      </c>
      <c r="J663">
        <v>0.24</v>
      </c>
      <c r="K663">
        <v>0.2424</v>
      </c>
      <c r="L663">
        <v>0.7</v>
      </c>
      <c r="M663">
        <v>0.16420000000000001</v>
      </c>
      <c r="N663">
        <v>3</v>
      </c>
      <c r="O663">
        <v>25</v>
      </c>
      <c r="P663">
        <v>28</v>
      </c>
    </row>
    <row r="664" spans="1:16" x14ac:dyDescent="0.35">
      <c r="A664">
        <v>663</v>
      </c>
      <c r="B664" t="b">
        <v>0</v>
      </c>
      <c r="C664" s="18">
        <v>40573</v>
      </c>
      <c r="D664">
        <v>1</v>
      </c>
      <c r="E664">
        <v>0</v>
      </c>
      <c r="F664">
        <v>1</v>
      </c>
      <c r="G664">
        <v>22</v>
      </c>
      <c r="H664">
        <v>0</v>
      </c>
      <c r="I664">
        <v>2</v>
      </c>
      <c r="J664">
        <v>0.24</v>
      </c>
      <c r="K664">
        <v>0.2273</v>
      </c>
      <c r="L664">
        <v>0.7</v>
      </c>
      <c r="M664">
        <v>0.19400000000000001</v>
      </c>
      <c r="N664">
        <v>2</v>
      </c>
      <c r="O664">
        <v>19</v>
      </c>
      <c r="P664">
        <v>21</v>
      </c>
    </row>
    <row r="665" spans="1:16" x14ac:dyDescent="0.35">
      <c r="A665">
        <v>664</v>
      </c>
      <c r="B665" t="b">
        <v>0</v>
      </c>
      <c r="C665" s="18">
        <v>40573</v>
      </c>
      <c r="D665">
        <v>1</v>
      </c>
      <c r="E665">
        <v>0</v>
      </c>
      <c r="F665">
        <v>1</v>
      </c>
      <c r="G665">
        <v>23</v>
      </c>
      <c r="H665">
        <v>0</v>
      </c>
      <c r="I665">
        <v>2</v>
      </c>
      <c r="J665">
        <v>0.24</v>
      </c>
      <c r="K665">
        <v>0.21210000000000001</v>
      </c>
      <c r="L665">
        <v>0.65</v>
      </c>
      <c r="M665">
        <v>0.28360000000000002</v>
      </c>
      <c r="N665">
        <v>5</v>
      </c>
      <c r="O665">
        <v>16</v>
      </c>
      <c r="P665">
        <v>21</v>
      </c>
    </row>
    <row r="666" spans="1:16" x14ac:dyDescent="0.35">
      <c r="A666">
        <v>665</v>
      </c>
      <c r="B666" t="b">
        <v>0</v>
      </c>
      <c r="C666" s="18">
        <v>40574</v>
      </c>
      <c r="D666">
        <v>1</v>
      </c>
      <c r="E666">
        <v>0</v>
      </c>
      <c r="F666">
        <v>1</v>
      </c>
      <c r="G666">
        <v>0</v>
      </c>
      <c r="H666">
        <v>1</v>
      </c>
      <c r="I666">
        <v>2</v>
      </c>
      <c r="J666">
        <v>0.24</v>
      </c>
      <c r="K666">
        <v>0.2273</v>
      </c>
      <c r="L666">
        <v>0.65</v>
      </c>
      <c r="M666">
        <v>0.22389999999999999</v>
      </c>
      <c r="N666">
        <v>1</v>
      </c>
      <c r="O666">
        <v>6</v>
      </c>
      <c r="P666">
        <v>7</v>
      </c>
    </row>
    <row r="667" spans="1:16" x14ac:dyDescent="0.35">
      <c r="A667">
        <v>666</v>
      </c>
      <c r="B667" t="b">
        <v>0</v>
      </c>
      <c r="C667" s="18">
        <v>40574</v>
      </c>
      <c r="D667">
        <v>1</v>
      </c>
      <c r="E667">
        <v>0</v>
      </c>
      <c r="F667">
        <v>1</v>
      </c>
      <c r="G667">
        <v>1</v>
      </c>
      <c r="H667">
        <v>1</v>
      </c>
      <c r="I667">
        <v>1</v>
      </c>
      <c r="J667">
        <v>0.22</v>
      </c>
      <c r="K667">
        <v>0.21210000000000001</v>
      </c>
      <c r="L667">
        <v>0.64</v>
      </c>
      <c r="M667">
        <v>0.25369999999999998</v>
      </c>
      <c r="N667">
        <v>2</v>
      </c>
      <c r="O667">
        <v>5</v>
      </c>
      <c r="P667">
        <v>7</v>
      </c>
    </row>
    <row r="668" spans="1:16" x14ac:dyDescent="0.35">
      <c r="A668">
        <v>667</v>
      </c>
      <c r="B668" t="b">
        <v>0</v>
      </c>
      <c r="C668" s="18">
        <v>40574</v>
      </c>
      <c r="D668">
        <v>1</v>
      </c>
      <c r="E668">
        <v>0</v>
      </c>
      <c r="F668">
        <v>1</v>
      </c>
      <c r="G668">
        <v>2</v>
      </c>
      <c r="H668">
        <v>1</v>
      </c>
      <c r="I668">
        <v>1</v>
      </c>
      <c r="J668">
        <v>0.22</v>
      </c>
      <c r="K668">
        <v>0.2273</v>
      </c>
      <c r="L668">
        <v>0.64</v>
      </c>
      <c r="M668">
        <v>0.19400000000000001</v>
      </c>
      <c r="N668">
        <v>0</v>
      </c>
      <c r="O668">
        <v>1</v>
      </c>
      <c r="P668">
        <v>1</v>
      </c>
    </row>
    <row r="669" spans="1:16" x14ac:dyDescent="0.35">
      <c r="A669">
        <v>668</v>
      </c>
      <c r="B669" t="b">
        <v>0</v>
      </c>
      <c r="C669" s="18">
        <v>40574</v>
      </c>
      <c r="D669">
        <v>1</v>
      </c>
      <c r="E669">
        <v>0</v>
      </c>
      <c r="F669">
        <v>1</v>
      </c>
      <c r="G669">
        <v>3</v>
      </c>
      <c r="H669">
        <v>1</v>
      </c>
      <c r="I669">
        <v>1</v>
      </c>
      <c r="J669">
        <v>0.22</v>
      </c>
      <c r="K669">
        <v>0.2273</v>
      </c>
      <c r="L669">
        <v>0.64</v>
      </c>
      <c r="M669">
        <v>0.19400000000000001</v>
      </c>
      <c r="N669">
        <v>0</v>
      </c>
      <c r="O669">
        <v>2</v>
      </c>
      <c r="P669">
        <v>2</v>
      </c>
    </row>
    <row r="670" spans="1:16" x14ac:dyDescent="0.35">
      <c r="A670">
        <v>669</v>
      </c>
      <c r="B670" t="b">
        <v>0</v>
      </c>
      <c r="C670" s="18">
        <v>40574</v>
      </c>
      <c r="D670">
        <v>1</v>
      </c>
      <c r="E670">
        <v>0</v>
      </c>
      <c r="F670">
        <v>1</v>
      </c>
      <c r="G670">
        <v>4</v>
      </c>
      <c r="H670">
        <v>1</v>
      </c>
      <c r="I670">
        <v>1</v>
      </c>
      <c r="J670">
        <v>0.2</v>
      </c>
      <c r="K670">
        <v>0.19700000000000001</v>
      </c>
      <c r="L670">
        <v>0.59</v>
      </c>
      <c r="M670">
        <v>0.22389999999999999</v>
      </c>
      <c r="N670">
        <v>0</v>
      </c>
      <c r="O670">
        <v>2</v>
      </c>
      <c r="P670">
        <v>2</v>
      </c>
    </row>
    <row r="671" spans="1:16" x14ac:dyDescent="0.35">
      <c r="A671">
        <v>670</v>
      </c>
      <c r="B671" t="b">
        <v>0</v>
      </c>
      <c r="C671" s="18">
        <v>40574</v>
      </c>
      <c r="D671">
        <v>1</v>
      </c>
      <c r="E671">
        <v>0</v>
      </c>
      <c r="F671">
        <v>1</v>
      </c>
      <c r="G671">
        <v>5</v>
      </c>
      <c r="H671">
        <v>1</v>
      </c>
      <c r="I671">
        <v>1</v>
      </c>
      <c r="J671">
        <v>0.18</v>
      </c>
      <c r="K671">
        <v>0.16669999999999999</v>
      </c>
      <c r="L671">
        <v>0.64</v>
      </c>
      <c r="M671">
        <v>0.28360000000000002</v>
      </c>
      <c r="N671">
        <v>0</v>
      </c>
      <c r="O671">
        <v>8</v>
      </c>
      <c r="P671">
        <v>8</v>
      </c>
    </row>
    <row r="672" spans="1:16" x14ac:dyDescent="0.35">
      <c r="A672">
        <v>671</v>
      </c>
      <c r="B672" t="b">
        <v>0</v>
      </c>
      <c r="C672" s="18">
        <v>40574</v>
      </c>
      <c r="D672">
        <v>1</v>
      </c>
      <c r="E672">
        <v>0</v>
      </c>
      <c r="F672">
        <v>1</v>
      </c>
      <c r="G672">
        <v>6</v>
      </c>
      <c r="H672">
        <v>1</v>
      </c>
      <c r="I672">
        <v>1</v>
      </c>
      <c r="J672">
        <v>0.16</v>
      </c>
      <c r="K672">
        <v>0.13639999999999999</v>
      </c>
      <c r="L672">
        <v>0.69</v>
      </c>
      <c r="M672">
        <v>0.32840000000000003</v>
      </c>
      <c r="N672">
        <v>0</v>
      </c>
      <c r="O672">
        <v>37</v>
      </c>
      <c r="P672">
        <v>37</v>
      </c>
    </row>
    <row r="673" spans="1:16" x14ac:dyDescent="0.35">
      <c r="A673">
        <v>672</v>
      </c>
      <c r="B673" t="b">
        <v>0</v>
      </c>
      <c r="C673" s="18">
        <v>40574</v>
      </c>
      <c r="D673">
        <v>1</v>
      </c>
      <c r="E673">
        <v>0</v>
      </c>
      <c r="F673">
        <v>1</v>
      </c>
      <c r="G673">
        <v>7</v>
      </c>
      <c r="H673">
        <v>1</v>
      </c>
      <c r="I673">
        <v>2</v>
      </c>
      <c r="J673">
        <v>0.16</v>
      </c>
      <c r="K673">
        <v>0.13639999999999999</v>
      </c>
      <c r="L673">
        <v>0.64</v>
      </c>
      <c r="M673">
        <v>0.28360000000000002</v>
      </c>
      <c r="N673">
        <v>1</v>
      </c>
      <c r="O673">
        <v>71</v>
      </c>
      <c r="P673">
        <v>72</v>
      </c>
    </row>
    <row r="674" spans="1:16" x14ac:dyDescent="0.35">
      <c r="A674">
        <v>673</v>
      </c>
      <c r="B674" t="b">
        <v>0</v>
      </c>
      <c r="C674" s="18">
        <v>40574</v>
      </c>
      <c r="D674">
        <v>1</v>
      </c>
      <c r="E674">
        <v>0</v>
      </c>
      <c r="F674">
        <v>1</v>
      </c>
      <c r="G674">
        <v>8</v>
      </c>
      <c r="H674">
        <v>1</v>
      </c>
      <c r="I674">
        <v>2</v>
      </c>
      <c r="J674">
        <v>0.16</v>
      </c>
      <c r="K674">
        <v>0.13639999999999999</v>
      </c>
      <c r="L674">
        <v>0.59</v>
      </c>
      <c r="M674">
        <v>0.28360000000000002</v>
      </c>
      <c r="N674">
        <v>3</v>
      </c>
      <c r="O674">
        <v>182</v>
      </c>
      <c r="P674">
        <v>185</v>
      </c>
    </row>
    <row r="675" spans="1:16" x14ac:dyDescent="0.35">
      <c r="A675">
        <v>674</v>
      </c>
      <c r="B675" t="b">
        <v>0</v>
      </c>
      <c r="C675" s="18">
        <v>40574</v>
      </c>
      <c r="D675">
        <v>1</v>
      </c>
      <c r="E675">
        <v>0</v>
      </c>
      <c r="F675">
        <v>1</v>
      </c>
      <c r="G675">
        <v>9</v>
      </c>
      <c r="H675">
        <v>1</v>
      </c>
      <c r="I675">
        <v>2</v>
      </c>
      <c r="J675">
        <v>0.16</v>
      </c>
      <c r="K675">
        <v>0.13639999999999999</v>
      </c>
      <c r="L675">
        <v>0.59</v>
      </c>
      <c r="M675">
        <v>0.29849999999999999</v>
      </c>
      <c r="N675">
        <v>0</v>
      </c>
      <c r="O675">
        <v>112</v>
      </c>
      <c r="P675">
        <v>112</v>
      </c>
    </row>
    <row r="676" spans="1:16" x14ac:dyDescent="0.35">
      <c r="A676">
        <v>675</v>
      </c>
      <c r="B676" t="b">
        <v>0</v>
      </c>
      <c r="C676" s="18">
        <v>40574</v>
      </c>
      <c r="D676">
        <v>1</v>
      </c>
      <c r="E676">
        <v>0</v>
      </c>
      <c r="F676">
        <v>1</v>
      </c>
      <c r="G676">
        <v>10</v>
      </c>
      <c r="H676">
        <v>1</v>
      </c>
      <c r="I676">
        <v>2</v>
      </c>
      <c r="J676">
        <v>0.16</v>
      </c>
      <c r="K676">
        <v>0.1515</v>
      </c>
      <c r="L676">
        <v>0.59</v>
      </c>
      <c r="M676">
        <v>0.19400000000000001</v>
      </c>
      <c r="N676">
        <v>1</v>
      </c>
      <c r="O676">
        <v>68</v>
      </c>
      <c r="P676">
        <v>69</v>
      </c>
    </row>
    <row r="677" spans="1:16" x14ac:dyDescent="0.35">
      <c r="A677">
        <v>676</v>
      </c>
      <c r="B677" t="b">
        <v>0</v>
      </c>
      <c r="C677" s="18">
        <v>40574</v>
      </c>
      <c r="D677">
        <v>1</v>
      </c>
      <c r="E677">
        <v>0</v>
      </c>
      <c r="F677">
        <v>1</v>
      </c>
      <c r="G677">
        <v>11</v>
      </c>
      <c r="H677">
        <v>1</v>
      </c>
      <c r="I677">
        <v>2</v>
      </c>
      <c r="J677">
        <v>0.16</v>
      </c>
      <c r="K677">
        <v>0.1515</v>
      </c>
      <c r="L677">
        <v>0.59</v>
      </c>
      <c r="M677">
        <v>0.19400000000000001</v>
      </c>
      <c r="N677">
        <v>2</v>
      </c>
      <c r="O677">
        <v>46</v>
      </c>
      <c r="P677">
        <v>48</v>
      </c>
    </row>
    <row r="678" spans="1:16" x14ac:dyDescent="0.35">
      <c r="A678">
        <v>677</v>
      </c>
      <c r="B678" t="b">
        <v>0</v>
      </c>
      <c r="C678" s="18">
        <v>40574</v>
      </c>
      <c r="D678">
        <v>1</v>
      </c>
      <c r="E678">
        <v>0</v>
      </c>
      <c r="F678">
        <v>1</v>
      </c>
      <c r="G678">
        <v>12</v>
      </c>
      <c r="H678">
        <v>1</v>
      </c>
      <c r="I678">
        <v>2</v>
      </c>
      <c r="J678">
        <v>0.18</v>
      </c>
      <c r="K678">
        <v>0.21210000000000001</v>
      </c>
      <c r="L678">
        <v>0.55000000000000004</v>
      </c>
      <c r="M678">
        <v>0.1045</v>
      </c>
      <c r="N678">
        <v>6</v>
      </c>
      <c r="O678">
        <v>62</v>
      </c>
      <c r="P678">
        <v>68</v>
      </c>
    </row>
    <row r="679" spans="1:16" x14ac:dyDescent="0.35">
      <c r="A679">
        <v>678</v>
      </c>
      <c r="B679" t="b">
        <v>0</v>
      </c>
      <c r="C679" s="18">
        <v>40574</v>
      </c>
      <c r="D679">
        <v>1</v>
      </c>
      <c r="E679">
        <v>0</v>
      </c>
      <c r="F679">
        <v>1</v>
      </c>
      <c r="G679">
        <v>13</v>
      </c>
      <c r="H679">
        <v>1</v>
      </c>
      <c r="I679">
        <v>2</v>
      </c>
      <c r="J679">
        <v>0.16</v>
      </c>
      <c r="K679">
        <v>0.2273</v>
      </c>
      <c r="L679">
        <v>0.59</v>
      </c>
      <c r="M679">
        <v>0</v>
      </c>
      <c r="N679">
        <v>2</v>
      </c>
      <c r="O679">
        <v>52</v>
      </c>
      <c r="P679">
        <v>54</v>
      </c>
    </row>
    <row r="680" spans="1:16" x14ac:dyDescent="0.35">
      <c r="A680">
        <v>679</v>
      </c>
      <c r="B680" t="b">
        <v>0</v>
      </c>
      <c r="C680" s="18">
        <v>40574</v>
      </c>
      <c r="D680">
        <v>1</v>
      </c>
      <c r="E680">
        <v>0</v>
      </c>
      <c r="F680">
        <v>1</v>
      </c>
      <c r="G680">
        <v>14</v>
      </c>
      <c r="H680">
        <v>1</v>
      </c>
      <c r="I680">
        <v>2</v>
      </c>
      <c r="J680">
        <v>0.18</v>
      </c>
      <c r="K680">
        <v>0.19700000000000001</v>
      </c>
      <c r="L680">
        <v>0.55000000000000004</v>
      </c>
      <c r="M680">
        <v>0.1343</v>
      </c>
      <c r="N680">
        <v>1</v>
      </c>
      <c r="O680">
        <v>85</v>
      </c>
      <c r="P680">
        <v>86</v>
      </c>
    </row>
    <row r="681" spans="1:16" x14ac:dyDescent="0.35">
      <c r="A681">
        <v>680</v>
      </c>
      <c r="B681" t="b">
        <v>0</v>
      </c>
      <c r="C681" s="18">
        <v>40574</v>
      </c>
      <c r="D681">
        <v>1</v>
      </c>
      <c r="E681">
        <v>0</v>
      </c>
      <c r="F681">
        <v>1</v>
      </c>
      <c r="G681">
        <v>15</v>
      </c>
      <c r="H681">
        <v>1</v>
      </c>
      <c r="I681">
        <v>2</v>
      </c>
      <c r="J681">
        <v>0.16</v>
      </c>
      <c r="K681">
        <v>0.18179999999999999</v>
      </c>
      <c r="L681">
        <v>0.59</v>
      </c>
      <c r="M681">
        <v>0.1343</v>
      </c>
      <c r="N681">
        <v>3</v>
      </c>
      <c r="O681">
        <v>41</v>
      </c>
      <c r="P681">
        <v>44</v>
      </c>
    </row>
    <row r="682" spans="1:16" x14ac:dyDescent="0.35">
      <c r="A682">
        <v>681</v>
      </c>
      <c r="B682" t="b">
        <v>0</v>
      </c>
      <c r="C682" s="18">
        <v>40574</v>
      </c>
      <c r="D682">
        <v>1</v>
      </c>
      <c r="E682">
        <v>0</v>
      </c>
      <c r="F682">
        <v>1</v>
      </c>
      <c r="G682">
        <v>16</v>
      </c>
      <c r="H682">
        <v>1</v>
      </c>
      <c r="I682">
        <v>2</v>
      </c>
      <c r="J682">
        <v>0.16</v>
      </c>
      <c r="K682">
        <v>0.18179999999999999</v>
      </c>
      <c r="L682">
        <v>0.56000000000000005</v>
      </c>
      <c r="M682">
        <v>0.19400000000000001</v>
      </c>
      <c r="N682">
        <v>3</v>
      </c>
      <c r="O682">
        <v>83</v>
      </c>
      <c r="P682">
        <v>86</v>
      </c>
    </row>
    <row r="683" spans="1:16" x14ac:dyDescent="0.35">
      <c r="A683">
        <v>682</v>
      </c>
      <c r="B683" t="b">
        <v>0</v>
      </c>
      <c r="C683" s="18">
        <v>40574</v>
      </c>
      <c r="D683">
        <v>1</v>
      </c>
      <c r="E683">
        <v>0</v>
      </c>
      <c r="F683">
        <v>1</v>
      </c>
      <c r="G683">
        <v>17</v>
      </c>
      <c r="H683">
        <v>1</v>
      </c>
      <c r="I683">
        <v>2</v>
      </c>
      <c r="J683">
        <v>0.16</v>
      </c>
      <c r="K683">
        <v>0.1515</v>
      </c>
      <c r="L683">
        <v>0.59</v>
      </c>
      <c r="M683">
        <v>0.19400000000000001</v>
      </c>
      <c r="N683">
        <v>6</v>
      </c>
      <c r="O683">
        <v>155</v>
      </c>
      <c r="P683">
        <v>161</v>
      </c>
    </row>
    <row r="684" spans="1:16" x14ac:dyDescent="0.35">
      <c r="A684">
        <v>683</v>
      </c>
      <c r="B684" t="b">
        <v>0</v>
      </c>
      <c r="C684" s="18">
        <v>40574</v>
      </c>
      <c r="D684">
        <v>1</v>
      </c>
      <c r="E684">
        <v>0</v>
      </c>
      <c r="F684">
        <v>1</v>
      </c>
      <c r="G684">
        <v>18</v>
      </c>
      <c r="H684">
        <v>1</v>
      </c>
      <c r="I684">
        <v>2</v>
      </c>
      <c r="J684">
        <v>0.16</v>
      </c>
      <c r="K684">
        <v>0.1515</v>
      </c>
      <c r="L684">
        <v>0.55000000000000004</v>
      </c>
      <c r="M684">
        <v>0.22389999999999999</v>
      </c>
      <c r="N684">
        <v>3</v>
      </c>
      <c r="O684">
        <v>153</v>
      </c>
      <c r="P684">
        <v>156</v>
      </c>
    </row>
    <row r="685" spans="1:16" x14ac:dyDescent="0.35">
      <c r="A685">
        <v>684</v>
      </c>
      <c r="B685" t="b">
        <v>0</v>
      </c>
      <c r="C685" s="18">
        <v>40574</v>
      </c>
      <c r="D685">
        <v>1</v>
      </c>
      <c r="E685">
        <v>0</v>
      </c>
      <c r="F685">
        <v>1</v>
      </c>
      <c r="G685">
        <v>19</v>
      </c>
      <c r="H685">
        <v>1</v>
      </c>
      <c r="I685">
        <v>1</v>
      </c>
      <c r="J685">
        <v>0.3</v>
      </c>
      <c r="K685">
        <v>0.31819999999999998</v>
      </c>
      <c r="L685">
        <v>0.61</v>
      </c>
      <c r="M685">
        <v>0.1045</v>
      </c>
      <c r="N685">
        <v>3</v>
      </c>
      <c r="O685">
        <v>108</v>
      </c>
      <c r="P685">
        <v>111</v>
      </c>
    </row>
    <row r="686" spans="1:16" x14ac:dyDescent="0.35">
      <c r="A686">
        <v>685</v>
      </c>
      <c r="B686" t="b">
        <v>0</v>
      </c>
      <c r="C686" s="18">
        <v>40574</v>
      </c>
      <c r="D686">
        <v>1</v>
      </c>
      <c r="E686">
        <v>0</v>
      </c>
      <c r="F686">
        <v>1</v>
      </c>
      <c r="G686">
        <v>20</v>
      </c>
      <c r="H686">
        <v>1</v>
      </c>
      <c r="I686">
        <v>3</v>
      </c>
      <c r="J686">
        <v>0.16</v>
      </c>
      <c r="K686">
        <v>0.16669999999999999</v>
      </c>
      <c r="L686">
        <v>0.59</v>
      </c>
      <c r="M686">
        <v>0.16420000000000001</v>
      </c>
      <c r="N686">
        <v>0</v>
      </c>
      <c r="O686">
        <v>78</v>
      </c>
      <c r="P686">
        <v>78</v>
      </c>
    </row>
    <row r="687" spans="1:16" x14ac:dyDescent="0.35">
      <c r="A687">
        <v>686</v>
      </c>
      <c r="B687" t="b">
        <v>0</v>
      </c>
      <c r="C687" s="18">
        <v>40574</v>
      </c>
      <c r="D687">
        <v>1</v>
      </c>
      <c r="E687">
        <v>0</v>
      </c>
      <c r="F687">
        <v>1</v>
      </c>
      <c r="G687">
        <v>21</v>
      </c>
      <c r="H687">
        <v>1</v>
      </c>
      <c r="I687">
        <v>3</v>
      </c>
      <c r="J687">
        <v>0.16</v>
      </c>
      <c r="K687">
        <v>0.19700000000000001</v>
      </c>
      <c r="L687">
        <v>0.59</v>
      </c>
      <c r="M687">
        <v>8.9599999999999999E-2</v>
      </c>
      <c r="N687">
        <v>3</v>
      </c>
      <c r="O687">
        <v>53</v>
      </c>
      <c r="P687">
        <v>56</v>
      </c>
    </row>
    <row r="688" spans="1:16" x14ac:dyDescent="0.35">
      <c r="A688">
        <v>687</v>
      </c>
      <c r="B688" t="b">
        <v>0</v>
      </c>
      <c r="C688" s="18">
        <v>40574</v>
      </c>
      <c r="D688">
        <v>1</v>
      </c>
      <c r="E688">
        <v>0</v>
      </c>
      <c r="F688">
        <v>1</v>
      </c>
      <c r="G688">
        <v>22</v>
      </c>
      <c r="H688">
        <v>1</v>
      </c>
      <c r="I688">
        <v>2</v>
      </c>
      <c r="J688">
        <v>0.16</v>
      </c>
      <c r="K688">
        <v>0.18179999999999999</v>
      </c>
      <c r="L688">
        <v>0.59</v>
      </c>
      <c r="M688">
        <v>0.1045</v>
      </c>
      <c r="N688">
        <v>0</v>
      </c>
      <c r="O688">
        <v>34</v>
      </c>
      <c r="P688">
        <v>34</v>
      </c>
    </row>
    <row r="689" spans="1:16" x14ac:dyDescent="0.35">
      <c r="A689">
        <v>688</v>
      </c>
      <c r="B689" t="b">
        <v>0</v>
      </c>
      <c r="C689" s="18">
        <v>40574</v>
      </c>
      <c r="D689">
        <v>1</v>
      </c>
      <c r="E689">
        <v>0</v>
      </c>
      <c r="F689">
        <v>1</v>
      </c>
      <c r="G689">
        <v>23</v>
      </c>
      <c r="H689">
        <v>1</v>
      </c>
      <c r="I689">
        <v>2</v>
      </c>
      <c r="J689">
        <v>0.16</v>
      </c>
      <c r="K689">
        <v>0.19700000000000001</v>
      </c>
      <c r="L689">
        <v>0.64</v>
      </c>
      <c r="M689">
        <v>8.9599999999999999E-2</v>
      </c>
      <c r="N689">
        <v>2</v>
      </c>
      <c r="O689">
        <v>15</v>
      </c>
      <c r="P689">
        <v>17</v>
      </c>
    </row>
    <row r="690" spans="1:16" x14ac:dyDescent="0.35">
      <c r="A690">
        <v>689</v>
      </c>
      <c r="B690" t="b">
        <v>0</v>
      </c>
      <c r="C690" s="18">
        <v>40575</v>
      </c>
      <c r="D690">
        <v>1</v>
      </c>
      <c r="E690">
        <v>0</v>
      </c>
      <c r="F690">
        <v>2</v>
      </c>
      <c r="G690">
        <v>0</v>
      </c>
      <c r="H690">
        <v>2</v>
      </c>
      <c r="I690">
        <v>2</v>
      </c>
      <c r="J690">
        <v>0.16</v>
      </c>
      <c r="K690">
        <v>0.18179999999999999</v>
      </c>
      <c r="L690">
        <v>0.64</v>
      </c>
      <c r="M690">
        <v>0.1045</v>
      </c>
      <c r="N690">
        <v>2</v>
      </c>
      <c r="O690">
        <v>6</v>
      </c>
      <c r="P690">
        <v>8</v>
      </c>
    </row>
    <row r="691" spans="1:16" x14ac:dyDescent="0.35">
      <c r="A691">
        <v>690</v>
      </c>
      <c r="B691" t="b">
        <v>0</v>
      </c>
      <c r="C691" s="18">
        <v>40575</v>
      </c>
      <c r="D691">
        <v>1</v>
      </c>
      <c r="E691">
        <v>0</v>
      </c>
      <c r="F691">
        <v>2</v>
      </c>
      <c r="G691">
        <v>1</v>
      </c>
      <c r="H691">
        <v>2</v>
      </c>
      <c r="I691">
        <v>2</v>
      </c>
      <c r="J691">
        <v>0.16</v>
      </c>
      <c r="K691">
        <v>0.18179999999999999</v>
      </c>
      <c r="L691">
        <v>0.69</v>
      </c>
      <c r="M691">
        <v>0.1045</v>
      </c>
      <c r="N691">
        <v>0</v>
      </c>
      <c r="O691">
        <v>3</v>
      </c>
      <c r="P691">
        <v>3</v>
      </c>
    </row>
    <row r="692" spans="1:16" x14ac:dyDescent="0.35">
      <c r="A692">
        <v>691</v>
      </c>
      <c r="B692" t="b">
        <v>0</v>
      </c>
      <c r="C692" s="18">
        <v>40575</v>
      </c>
      <c r="D692">
        <v>1</v>
      </c>
      <c r="E692">
        <v>0</v>
      </c>
      <c r="F692">
        <v>2</v>
      </c>
      <c r="G692">
        <v>2</v>
      </c>
      <c r="H692">
        <v>2</v>
      </c>
      <c r="I692">
        <v>2</v>
      </c>
      <c r="J692">
        <v>0.16</v>
      </c>
      <c r="K692">
        <v>0.2273</v>
      </c>
      <c r="L692">
        <v>0.69</v>
      </c>
      <c r="M692">
        <v>0</v>
      </c>
      <c r="N692">
        <v>0</v>
      </c>
      <c r="O692">
        <v>2</v>
      </c>
      <c r="P692">
        <v>2</v>
      </c>
    </row>
    <row r="693" spans="1:16" x14ac:dyDescent="0.35">
      <c r="A693">
        <v>692</v>
      </c>
      <c r="B693" t="b">
        <v>0</v>
      </c>
      <c r="C693" s="18">
        <v>40575</v>
      </c>
      <c r="D693">
        <v>1</v>
      </c>
      <c r="E693">
        <v>0</v>
      </c>
      <c r="F693">
        <v>2</v>
      </c>
      <c r="G693">
        <v>3</v>
      </c>
      <c r="H693">
        <v>2</v>
      </c>
      <c r="I693">
        <v>2</v>
      </c>
      <c r="J693">
        <v>0.16</v>
      </c>
      <c r="K693">
        <v>0.2273</v>
      </c>
      <c r="L693">
        <v>0.69</v>
      </c>
      <c r="M693">
        <v>0</v>
      </c>
      <c r="N693">
        <v>0</v>
      </c>
      <c r="O693">
        <v>2</v>
      </c>
      <c r="P693">
        <v>2</v>
      </c>
    </row>
    <row r="694" spans="1:16" x14ac:dyDescent="0.35">
      <c r="A694">
        <v>693</v>
      </c>
      <c r="B694" t="b">
        <v>0</v>
      </c>
      <c r="C694" s="18">
        <v>40575</v>
      </c>
      <c r="D694">
        <v>1</v>
      </c>
      <c r="E694">
        <v>0</v>
      </c>
      <c r="F694">
        <v>2</v>
      </c>
      <c r="G694">
        <v>5</v>
      </c>
      <c r="H694">
        <v>2</v>
      </c>
      <c r="I694">
        <v>3</v>
      </c>
      <c r="J694">
        <v>0.14000000000000001</v>
      </c>
      <c r="K694">
        <v>0.21210000000000001</v>
      </c>
      <c r="L694">
        <v>0.93</v>
      </c>
      <c r="M694">
        <v>0</v>
      </c>
      <c r="N694">
        <v>0</v>
      </c>
      <c r="O694">
        <v>3</v>
      </c>
      <c r="P694">
        <v>3</v>
      </c>
    </row>
    <row r="695" spans="1:16" x14ac:dyDescent="0.35">
      <c r="A695">
        <v>694</v>
      </c>
      <c r="B695" t="b">
        <v>0</v>
      </c>
      <c r="C695" s="18">
        <v>40575</v>
      </c>
      <c r="D695">
        <v>1</v>
      </c>
      <c r="E695">
        <v>0</v>
      </c>
      <c r="F695">
        <v>2</v>
      </c>
      <c r="G695">
        <v>6</v>
      </c>
      <c r="H695">
        <v>2</v>
      </c>
      <c r="I695">
        <v>3</v>
      </c>
      <c r="J695">
        <v>0.14000000000000001</v>
      </c>
      <c r="K695">
        <v>0.21210000000000001</v>
      </c>
      <c r="L695">
        <v>0.93</v>
      </c>
      <c r="M695">
        <v>0</v>
      </c>
      <c r="N695">
        <v>0</v>
      </c>
      <c r="O695">
        <v>22</v>
      </c>
      <c r="P695">
        <v>22</v>
      </c>
    </row>
    <row r="696" spans="1:16" x14ac:dyDescent="0.35">
      <c r="A696">
        <v>695</v>
      </c>
      <c r="B696" t="b">
        <v>0</v>
      </c>
      <c r="C696" s="18">
        <v>40575</v>
      </c>
      <c r="D696">
        <v>1</v>
      </c>
      <c r="E696">
        <v>0</v>
      </c>
      <c r="F696">
        <v>2</v>
      </c>
      <c r="G696">
        <v>7</v>
      </c>
      <c r="H696">
        <v>2</v>
      </c>
      <c r="I696">
        <v>3</v>
      </c>
      <c r="J696">
        <v>0.16</v>
      </c>
      <c r="K696">
        <v>0.2273</v>
      </c>
      <c r="L696">
        <v>0.93</v>
      </c>
      <c r="M696">
        <v>0</v>
      </c>
      <c r="N696">
        <v>0</v>
      </c>
      <c r="O696">
        <v>52</v>
      </c>
      <c r="P696">
        <v>52</v>
      </c>
    </row>
    <row r="697" spans="1:16" x14ac:dyDescent="0.35">
      <c r="A697">
        <v>696</v>
      </c>
      <c r="B697" t="b">
        <v>0</v>
      </c>
      <c r="C697" s="18">
        <v>40575</v>
      </c>
      <c r="D697">
        <v>1</v>
      </c>
      <c r="E697">
        <v>0</v>
      </c>
      <c r="F697">
        <v>2</v>
      </c>
      <c r="G697">
        <v>8</v>
      </c>
      <c r="H697">
        <v>2</v>
      </c>
      <c r="I697">
        <v>3</v>
      </c>
      <c r="J697">
        <v>0.16</v>
      </c>
      <c r="K697">
        <v>0.2273</v>
      </c>
      <c r="L697">
        <v>0.93</v>
      </c>
      <c r="M697">
        <v>0</v>
      </c>
      <c r="N697">
        <v>3</v>
      </c>
      <c r="O697">
        <v>132</v>
      </c>
      <c r="P697">
        <v>135</v>
      </c>
    </row>
    <row r="698" spans="1:16" x14ac:dyDescent="0.35">
      <c r="A698">
        <v>697</v>
      </c>
      <c r="B698" t="b">
        <v>0</v>
      </c>
      <c r="C698" s="18">
        <v>40575</v>
      </c>
      <c r="D698">
        <v>1</v>
      </c>
      <c r="E698">
        <v>0</v>
      </c>
      <c r="F698">
        <v>2</v>
      </c>
      <c r="G698">
        <v>9</v>
      </c>
      <c r="H698">
        <v>2</v>
      </c>
      <c r="I698">
        <v>2</v>
      </c>
      <c r="J698">
        <v>0.16</v>
      </c>
      <c r="K698">
        <v>0.2273</v>
      </c>
      <c r="L698">
        <v>0.93</v>
      </c>
      <c r="M698">
        <v>0</v>
      </c>
      <c r="N698">
        <v>2</v>
      </c>
      <c r="O698">
        <v>114</v>
      </c>
      <c r="P698">
        <v>116</v>
      </c>
    </row>
    <row r="699" spans="1:16" x14ac:dyDescent="0.35">
      <c r="A699">
        <v>698</v>
      </c>
      <c r="B699" t="b">
        <v>0</v>
      </c>
      <c r="C699" s="18">
        <v>40575</v>
      </c>
      <c r="D699">
        <v>1</v>
      </c>
      <c r="E699">
        <v>0</v>
      </c>
      <c r="F699">
        <v>2</v>
      </c>
      <c r="G699">
        <v>10</v>
      </c>
      <c r="H699">
        <v>2</v>
      </c>
      <c r="I699">
        <v>2</v>
      </c>
      <c r="J699">
        <v>0.16</v>
      </c>
      <c r="K699">
        <v>0.2273</v>
      </c>
      <c r="L699">
        <v>0.93</v>
      </c>
      <c r="M699">
        <v>0</v>
      </c>
      <c r="N699">
        <v>0</v>
      </c>
      <c r="O699">
        <v>47</v>
      </c>
      <c r="P699">
        <v>47</v>
      </c>
    </row>
    <row r="700" spans="1:16" x14ac:dyDescent="0.35">
      <c r="A700">
        <v>699</v>
      </c>
      <c r="B700" t="b">
        <v>0</v>
      </c>
      <c r="C700" s="18">
        <v>40575</v>
      </c>
      <c r="D700">
        <v>1</v>
      </c>
      <c r="E700">
        <v>0</v>
      </c>
      <c r="F700">
        <v>2</v>
      </c>
      <c r="G700">
        <v>11</v>
      </c>
      <c r="H700">
        <v>2</v>
      </c>
      <c r="I700">
        <v>2</v>
      </c>
      <c r="J700">
        <v>0.18</v>
      </c>
      <c r="K700">
        <v>0.2424</v>
      </c>
      <c r="L700">
        <v>0.86</v>
      </c>
      <c r="M700">
        <v>0</v>
      </c>
      <c r="N700">
        <v>2</v>
      </c>
      <c r="O700">
        <v>49</v>
      </c>
      <c r="P700">
        <v>51</v>
      </c>
    </row>
    <row r="701" spans="1:16" x14ac:dyDescent="0.35">
      <c r="A701">
        <v>700</v>
      </c>
      <c r="B701" t="b">
        <v>0</v>
      </c>
      <c r="C701" s="18">
        <v>40575</v>
      </c>
      <c r="D701">
        <v>1</v>
      </c>
      <c r="E701">
        <v>0</v>
      </c>
      <c r="F701">
        <v>2</v>
      </c>
      <c r="G701">
        <v>12</v>
      </c>
      <c r="H701">
        <v>2</v>
      </c>
      <c r="I701">
        <v>2</v>
      </c>
      <c r="J701">
        <v>0.2</v>
      </c>
      <c r="K701">
        <v>0.2576</v>
      </c>
      <c r="L701">
        <v>0.86</v>
      </c>
      <c r="M701">
        <v>0</v>
      </c>
      <c r="N701">
        <v>2</v>
      </c>
      <c r="O701">
        <v>53</v>
      </c>
      <c r="P701">
        <v>55</v>
      </c>
    </row>
    <row r="702" spans="1:16" x14ac:dyDescent="0.35">
      <c r="A702">
        <v>701</v>
      </c>
      <c r="B702" t="b">
        <v>0</v>
      </c>
      <c r="C702" s="18">
        <v>40575</v>
      </c>
      <c r="D702">
        <v>1</v>
      </c>
      <c r="E702">
        <v>0</v>
      </c>
      <c r="F702">
        <v>2</v>
      </c>
      <c r="G702">
        <v>13</v>
      </c>
      <c r="H702">
        <v>2</v>
      </c>
      <c r="I702">
        <v>2</v>
      </c>
      <c r="J702">
        <v>0.2</v>
      </c>
      <c r="K702">
        <v>0.2576</v>
      </c>
      <c r="L702">
        <v>0.86</v>
      </c>
      <c r="M702">
        <v>0</v>
      </c>
      <c r="N702">
        <v>3</v>
      </c>
      <c r="O702">
        <v>49</v>
      </c>
      <c r="P702">
        <v>52</v>
      </c>
    </row>
    <row r="703" spans="1:16" x14ac:dyDescent="0.35">
      <c r="A703">
        <v>702</v>
      </c>
      <c r="B703" t="b">
        <v>0</v>
      </c>
      <c r="C703" s="18">
        <v>40575</v>
      </c>
      <c r="D703">
        <v>1</v>
      </c>
      <c r="E703">
        <v>0</v>
      </c>
      <c r="F703">
        <v>2</v>
      </c>
      <c r="G703">
        <v>14</v>
      </c>
      <c r="H703">
        <v>2</v>
      </c>
      <c r="I703">
        <v>2</v>
      </c>
      <c r="J703">
        <v>0.22</v>
      </c>
      <c r="K703">
        <v>0.2576</v>
      </c>
      <c r="L703">
        <v>0.8</v>
      </c>
      <c r="M703">
        <v>8.9599999999999999E-2</v>
      </c>
      <c r="N703">
        <v>5</v>
      </c>
      <c r="O703">
        <v>49</v>
      </c>
      <c r="P703">
        <v>54</v>
      </c>
    </row>
    <row r="704" spans="1:16" x14ac:dyDescent="0.35">
      <c r="A704">
        <v>703</v>
      </c>
      <c r="B704" t="b">
        <v>0</v>
      </c>
      <c r="C704" s="18">
        <v>40575</v>
      </c>
      <c r="D704">
        <v>1</v>
      </c>
      <c r="E704">
        <v>0</v>
      </c>
      <c r="F704">
        <v>2</v>
      </c>
      <c r="G704">
        <v>15</v>
      </c>
      <c r="H704">
        <v>2</v>
      </c>
      <c r="I704">
        <v>2</v>
      </c>
      <c r="J704">
        <v>0.24</v>
      </c>
      <c r="K704">
        <v>0.28789999999999999</v>
      </c>
      <c r="L704">
        <v>0.75</v>
      </c>
      <c r="M704">
        <v>0</v>
      </c>
      <c r="N704">
        <v>7</v>
      </c>
      <c r="O704">
        <v>45</v>
      </c>
      <c r="P704">
        <v>52</v>
      </c>
    </row>
    <row r="705" spans="1:16" x14ac:dyDescent="0.35">
      <c r="A705">
        <v>704</v>
      </c>
      <c r="B705" t="b">
        <v>0</v>
      </c>
      <c r="C705" s="18">
        <v>40575</v>
      </c>
      <c r="D705">
        <v>1</v>
      </c>
      <c r="E705">
        <v>0</v>
      </c>
      <c r="F705">
        <v>2</v>
      </c>
      <c r="G705">
        <v>16</v>
      </c>
      <c r="H705">
        <v>2</v>
      </c>
      <c r="I705">
        <v>2</v>
      </c>
      <c r="J705">
        <v>0.24</v>
      </c>
      <c r="K705">
        <v>0.2424</v>
      </c>
      <c r="L705">
        <v>0.75</v>
      </c>
      <c r="M705">
        <v>0.1343</v>
      </c>
      <c r="N705">
        <v>3</v>
      </c>
      <c r="O705">
        <v>61</v>
      </c>
      <c r="P705">
        <v>64</v>
      </c>
    </row>
    <row r="706" spans="1:16" x14ac:dyDescent="0.35">
      <c r="A706">
        <v>705</v>
      </c>
      <c r="B706" t="b">
        <v>0</v>
      </c>
      <c r="C706" s="18">
        <v>40575</v>
      </c>
      <c r="D706">
        <v>1</v>
      </c>
      <c r="E706">
        <v>0</v>
      </c>
      <c r="F706">
        <v>2</v>
      </c>
      <c r="G706">
        <v>17</v>
      </c>
      <c r="H706">
        <v>2</v>
      </c>
      <c r="I706">
        <v>2</v>
      </c>
      <c r="J706">
        <v>0.24</v>
      </c>
      <c r="K706">
        <v>0.28789999999999999</v>
      </c>
      <c r="L706">
        <v>0.75</v>
      </c>
      <c r="M706">
        <v>0</v>
      </c>
      <c r="N706">
        <v>4</v>
      </c>
      <c r="O706">
        <v>172</v>
      </c>
      <c r="P706">
        <v>176</v>
      </c>
    </row>
    <row r="707" spans="1:16" x14ac:dyDescent="0.35">
      <c r="A707">
        <v>706</v>
      </c>
      <c r="B707" t="b">
        <v>0</v>
      </c>
      <c r="C707" s="18">
        <v>40575</v>
      </c>
      <c r="D707">
        <v>1</v>
      </c>
      <c r="E707">
        <v>0</v>
      </c>
      <c r="F707">
        <v>2</v>
      </c>
      <c r="G707">
        <v>18</v>
      </c>
      <c r="H707">
        <v>2</v>
      </c>
      <c r="I707">
        <v>2</v>
      </c>
      <c r="J707">
        <v>0.24</v>
      </c>
      <c r="K707">
        <v>0.2576</v>
      </c>
      <c r="L707">
        <v>0.81</v>
      </c>
      <c r="M707">
        <v>0.1045</v>
      </c>
      <c r="N707">
        <v>3</v>
      </c>
      <c r="O707">
        <v>165</v>
      </c>
      <c r="P707">
        <v>168</v>
      </c>
    </row>
    <row r="708" spans="1:16" x14ac:dyDescent="0.35">
      <c r="A708">
        <v>707</v>
      </c>
      <c r="B708" t="b">
        <v>0</v>
      </c>
      <c r="C708" s="18">
        <v>40575</v>
      </c>
      <c r="D708">
        <v>1</v>
      </c>
      <c r="E708">
        <v>0</v>
      </c>
      <c r="F708">
        <v>2</v>
      </c>
      <c r="G708">
        <v>19</v>
      </c>
      <c r="H708">
        <v>2</v>
      </c>
      <c r="I708">
        <v>2</v>
      </c>
      <c r="J708">
        <v>0.24</v>
      </c>
      <c r="K708">
        <v>0.2424</v>
      </c>
      <c r="L708">
        <v>0.81</v>
      </c>
      <c r="M708">
        <v>0.1343</v>
      </c>
      <c r="N708">
        <v>3</v>
      </c>
      <c r="O708">
        <v>105</v>
      </c>
      <c r="P708">
        <v>108</v>
      </c>
    </row>
    <row r="709" spans="1:16" x14ac:dyDescent="0.35">
      <c r="A709">
        <v>708</v>
      </c>
      <c r="B709" t="b">
        <v>0</v>
      </c>
      <c r="C709" s="18">
        <v>40575</v>
      </c>
      <c r="D709">
        <v>1</v>
      </c>
      <c r="E709">
        <v>0</v>
      </c>
      <c r="F709">
        <v>2</v>
      </c>
      <c r="G709">
        <v>20</v>
      </c>
      <c r="H709">
        <v>2</v>
      </c>
      <c r="I709">
        <v>2</v>
      </c>
      <c r="J709">
        <v>0.22</v>
      </c>
      <c r="K709">
        <v>0.2273</v>
      </c>
      <c r="L709">
        <v>0.87</v>
      </c>
      <c r="M709">
        <v>0.1343</v>
      </c>
      <c r="N709">
        <v>5</v>
      </c>
      <c r="O709">
        <v>69</v>
      </c>
      <c r="P709">
        <v>74</v>
      </c>
    </row>
    <row r="710" spans="1:16" x14ac:dyDescent="0.35">
      <c r="A710">
        <v>709</v>
      </c>
      <c r="B710" t="b">
        <v>0</v>
      </c>
      <c r="C710" s="18">
        <v>40575</v>
      </c>
      <c r="D710">
        <v>1</v>
      </c>
      <c r="E710">
        <v>0</v>
      </c>
      <c r="F710">
        <v>2</v>
      </c>
      <c r="G710">
        <v>21</v>
      </c>
      <c r="H710">
        <v>2</v>
      </c>
      <c r="I710">
        <v>2</v>
      </c>
      <c r="J710">
        <v>0.22</v>
      </c>
      <c r="K710">
        <v>0.2273</v>
      </c>
      <c r="L710">
        <v>0.87</v>
      </c>
      <c r="M710">
        <v>0.1343</v>
      </c>
      <c r="N710">
        <v>0</v>
      </c>
      <c r="O710">
        <v>64</v>
      </c>
      <c r="P710">
        <v>64</v>
      </c>
    </row>
    <row r="711" spans="1:16" x14ac:dyDescent="0.35">
      <c r="A711">
        <v>710</v>
      </c>
      <c r="B711" t="b">
        <v>0</v>
      </c>
      <c r="C711" s="18">
        <v>40575</v>
      </c>
      <c r="D711">
        <v>1</v>
      </c>
      <c r="E711">
        <v>0</v>
      </c>
      <c r="F711">
        <v>2</v>
      </c>
      <c r="G711">
        <v>22</v>
      </c>
      <c r="H711">
        <v>2</v>
      </c>
      <c r="I711">
        <v>2</v>
      </c>
      <c r="J711">
        <v>0.22</v>
      </c>
      <c r="K711">
        <v>0.2576</v>
      </c>
      <c r="L711">
        <v>0.87</v>
      </c>
      <c r="M711">
        <v>8.9599999999999999E-2</v>
      </c>
      <c r="N711">
        <v>2</v>
      </c>
      <c r="O711">
        <v>34</v>
      </c>
      <c r="P711">
        <v>36</v>
      </c>
    </row>
    <row r="712" spans="1:16" x14ac:dyDescent="0.35">
      <c r="A712">
        <v>711</v>
      </c>
      <c r="B712" t="b">
        <v>0</v>
      </c>
      <c r="C712" s="18">
        <v>40575</v>
      </c>
      <c r="D712">
        <v>1</v>
      </c>
      <c r="E712">
        <v>0</v>
      </c>
      <c r="F712">
        <v>2</v>
      </c>
      <c r="G712">
        <v>23</v>
      </c>
      <c r="H712">
        <v>2</v>
      </c>
      <c r="I712">
        <v>3</v>
      </c>
      <c r="J712">
        <v>0.2</v>
      </c>
      <c r="K712">
        <v>0.19700000000000001</v>
      </c>
      <c r="L712">
        <v>0.93</v>
      </c>
      <c r="M712">
        <v>0.19400000000000001</v>
      </c>
      <c r="N712">
        <v>1</v>
      </c>
      <c r="O712">
        <v>15</v>
      </c>
      <c r="P712">
        <v>16</v>
      </c>
    </row>
    <row r="713" spans="1:16" x14ac:dyDescent="0.35">
      <c r="A713">
        <v>712</v>
      </c>
      <c r="B713" t="b">
        <v>0</v>
      </c>
      <c r="C713" s="18">
        <v>40576</v>
      </c>
      <c r="D713">
        <v>1</v>
      </c>
      <c r="E713">
        <v>0</v>
      </c>
      <c r="F713">
        <v>2</v>
      </c>
      <c r="G713">
        <v>0</v>
      </c>
      <c r="H713">
        <v>3</v>
      </c>
      <c r="I713">
        <v>3</v>
      </c>
      <c r="J713">
        <v>0.22</v>
      </c>
      <c r="K713">
        <v>0.2424</v>
      </c>
      <c r="L713">
        <v>0.93</v>
      </c>
      <c r="M713">
        <v>0.1045</v>
      </c>
      <c r="N713">
        <v>0</v>
      </c>
      <c r="O713">
        <v>2</v>
      </c>
      <c r="P713">
        <v>2</v>
      </c>
    </row>
    <row r="714" spans="1:16" x14ac:dyDescent="0.35">
      <c r="A714">
        <v>713</v>
      </c>
      <c r="B714" t="b">
        <v>0</v>
      </c>
      <c r="C714" s="18">
        <v>40576</v>
      </c>
      <c r="D714">
        <v>1</v>
      </c>
      <c r="E714">
        <v>0</v>
      </c>
      <c r="F714">
        <v>2</v>
      </c>
      <c r="G714">
        <v>1</v>
      </c>
      <c r="H714">
        <v>3</v>
      </c>
      <c r="I714">
        <v>3</v>
      </c>
      <c r="J714">
        <v>0.22</v>
      </c>
      <c r="K714">
        <v>0.2273</v>
      </c>
      <c r="L714">
        <v>0.93</v>
      </c>
      <c r="M714">
        <v>0.19400000000000001</v>
      </c>
      <c r="N714">
        <v>0</v>
      </c>
      <c r="O714">
        <v>3</v>
      </c>
      <c r="P714">
        <v>3</v>
      </c>
    </row>
    <row r="715" spans="1:16" x14ac:dyDescent="0.35">
      <c r="A715">
        <v>714</v>
      </c>
      <c r="B715" t="b">
        <v>0</v>
      </c>
      <c r="C715" s="18">
        <v>40576</v>
      </c>
      <c r="D715">
        <v>1</v>
      </c>
      <c r="E715">
        <v>0</v>
      </c>
      <c r="F715">
        <v>2</v>
      </c>
      <c r="G715">
        <v>2</v>
      </c>
      <c r="H715">
        <v>3</v>
      </c>
      <c r="I715">
        <v>3</v>
      </c>
      <c r="J715">
        <v>0.22</v>
      </c>
      <c r="K715">
        <v>0.2273</v>
      </c>
      <c r="L715">
        <v>0.93</v>
      </c>
      <c r="M715">
        <v>0.1343</v>
      </c>
      <c r="N715">
        <v>4</v>
      </c>
      <c r="O715">
        <v>0</v>
      </c>
      <c r="P715">
        <v>4</v>
      </c>
    </row>
    <row r="716" spans="1:16" x14ac:dyDescent="0.35">
      <c r="A716">
        <v>715</v>
      </c>
      <c r="B716" t="b">
        <v>0</v>
      </c>
      <c r="C716" s="18">
        <v>40576</v>
      </c>
      <c r="D716">
        <v>1</v>
      </c>
      <c r="E716">
        <v>0</v>
      </c>
      <c r="F716">
        <v>2</v>
      </c>
      <c r="G716">
        <v>3</v>
      </c>
      <c r="H716">
        <v>3</v>
      </c>
      <c r="I716">
        <v>3</v>
      </c>
      <c r="J716">
        <v>0.22</v>
      </c>
      <c r="K716">
        <v>0.2273</v>
      </c>
      <c r="L716">
        <v>0.93</v>
      </c>
      <c r="M716">
        <v>0.1343</v>
      </c>
      <c r="N716">
        <v>0</v>
      </c>
      <c r="O716">
        <v>1</v>
      </c>
      <c r="P716">
        <v>1</v>
      </c>
    </row>
    <row r="717" spans="1:16" x14ac:dyDescent="0.35">
      <c r="A717">
        <v>716</v>
      </c>
      <c r="B717" t="b">
        <v>0</v>
      </c>
      <c r="C717" s="18">
        <v>40576</v>
      </c>
      <c r="D717">
        <v>1</v>
      </c>
      <c r="E717">
        <v>0</v>
      </c>
      <c r="F717">
        <v>2</v>
      </c>
      <c r="G717">
        <v>4</v>
      </c>
      <c r="H717">
        <v>3</v>
      </c>
      <c r="I717">
        <v>3</v>
      </c>
      <c r="J717">
        <v>0.22</v>
      </c>
      <c r="K717">
        <v>0.21210000000000001</v>
      </c>
      <c r="L717">
        <v>0.93</v>
      </c>
      <c r="M717">
        <v>0.28360000000000002</v>
      </c>
      <c r="N717">
        <v>0</v>
      </c>
      <c r="O717">
        <v>1</v>
      </c>
      <c r="P717">
        <v>1</v>
      </c>
    </row>
    <row r="718" spans="1:16" x14ac:dyDescent="0.35">
      <c r="A718">
        <v>717</v>
      </c>
      <c r="B718" t="b">
        <v>0</v>
      </c>
      <c r="C718" s="18">
        <v>40576</v>
      </c>
      <c r="D718">
        <v>1</v>
      </c>
      <c r="E718">
        <v>0</v>
      </c>
      <c r="F718">
        <v>2</v>
      </c>
      <c r="G718">
        <v>5</v>
      </c>
      <c r="H718">
        <v>3</v>
      </c>
      <c r="I718">
        <v>3</v>
      </c>
      <c r="J718">
        <v>0.22</v>
      </c>
      <c r="K718">
        <v>0.2424</v>
      </c>
      <c r="L718">
        <v>0.93</v>
      </c>
      <c r="M718">
        <v>0.1045</v>
      </c>
      <c r="N718">
        <v>0</v>
      </c>
      <c r="O718">
        <v>3</v>
      </c>
      <c r="P718">
        <v>3</v>
      </c>
    </row>
    <row r="719" spans="1:16" x14ac:dyDescent="0.35">
      <c r="A719">
        <v>718</v>
      </c>
      <c r="B719" t="b">
        <v>0</v>
      </c>
      <c r="C719" s="18">
        <v>40576</v>
      </c>
      <c r="D719">
        <v>1</v>
      </c>
      <c r="E719">
        <v>0</v>
      </c>
      <c r="F719">
        <v>2</v>
      </c>
      <c r="G719">
        <v>6</v>
      </c>
      <c r="H719">
        <v>3</v>
      </c>
      <c r="I719">
        <v>3</v>
      </c>
      <c r="J719">
        <v>0.22</v>
      </c>
      <c r="K719">
        <v>0.2424</v>
      </c>
      <c r="L719">
        <v>0.93</v>
      </c>
      <c r="M719">
        <v>0.1045</v>
      </c>
      <c r="N719">
        <v>1</v>
      </c>
      <c r="O719">
        <v>17</v>
      </c>
      <c r="P719">
        <v>18</v>
      </c>
    </row>
    <row r="720" spans="1:16" x14ac:dyDescent="0.35">
      <c r="A720">
        <v>719</v>
      </c>
      <c r="B720" t="b">
        <v>0</v>
      </c>
      <c r="C720" s="18">
        <v>40576</v>
      </c>
      <c r="D720">
        <v>1</v>
      </c>
      <c r="E720">
        <v>0</v>
      </c>
      <c r="F720">
        <v>2</v>
      </c>
      <c r="G720">
        <v>7</v>
      </c>
      <c r="H720">
        <v>3</v>
      </c>
      <c r="I720">
        <v>3</v>
      </c>
      <c r="J720">
        <v>0.22</v>
      </c>
      <c r="K720">
        <v>0.21210000000000001</v>
      </c>
      <c r="L720">
        <v>0.93</v>
      </c>
      <c r="M720">
        <v>0.22389999999999999</v>
      </c>
      <c r="N720">
        <v>1</v>
      </c>
      <c r="O720">
        <v>48</v>
      </c>
      <c r="P720">
        <v>49</v>
      </c>
    </row>
    <row r="721" spans="1:16" x14ac:dyDescent="0.35">
      <c r="A721">
        <v>720</v>
      </c>
      <c r="B721" t="b">
        <v>0</v>
      </c>
      <c r="C721" s="18">
        <v>40576</v>
      </c>
      <c r="D721">
        <v>1</v>
      </c>
      <c r="E721">
        <v>0</v>
      </c>
      <c r="F721">
        <v>2</v>
      </c>
      <c r="G721">
        <v>8</v>
      </c>
      <c r="H721">
        <v>3</v>
      </c>
      <c r="I721">
        <v>3</v>
      </c>
      <c r="J721">
        <v>0.22</v>
      </c>
      <c r="K721">
        <v>0.21210000000000001</v>
      </c>
      <c r="L721">
        <v>0.93</v>
      </c>
      <c r="M721">
        <v>0.22389999999999999</v>
      </c>
      <c r="N721">
        <v>1</v>
      </c>
      <c r="O721">
        <v>154</v>
      </c>
      <c r="P721">
        <v>155</v>
      </c>
    </row>
    <row r="722" spans="1:16" x14ac:dyDescent="0.35">
      <c r="A722">
        <v>721</v>
      </c>
      <c r="B722" t="b">
        <v>0</v>
      </c>
      <c r="C722" s="18">
        <v>40576</v>
      </c>
      <c r="D722">
        <v>1</v>
      </c>
      <c r="E722">
        <v>0</v>
      </c>
      <c r="F722">
        <v>2</v>
      </c>
      <c r="G722">
        <v>9</v>
      </c>
      <c r="H722">
        <v>3</v>
      </c>
      <c r="I722">
        <v>2</v>
      </c>
      <c r="J722">
        <v>0.24</v>
      </c>
      <c r="K722">
        <v>0.2576</v>
      </c>
      <c r="L722">
        <v>0.93</v>
      </c>
      <c r="M722">
        <v>8.9599999999999999E-2</v>
      </c>
      <c r="N722">
        <v>4</v>
      </c>
      <c r="O722">
        <v>119</v>
      </c>
      <c r="P722">
        <v>123</v>
      </c>
    </row>
    <row r="723" spans="1:16" x14ac:dyDescent="0.35">
      <c r="A723">
        <v>722</v>
      </c>
      <c r="B723" t="b">
        <v>0</v>
      </c>
      <c r="C723" s="18">
        <v>40576</v>
      </c>
      <c r="D723">
        <v>1</v>
      </c>
      <c r="E723">
        <v>0</v>
      </c>
      <c r="F723">
        <v>2</v>
      </c>
      <c r="G723">
        <v>10</v>
      </c>
      <c r="H723">
        <v>3</v>
      </c>
      <c r="I723">
        <v>2</v>
      </c>
      <c r="J723">
        <v>0.22</v>
      </c>
      <c r="K723">
        <v>0.2727</v>
      </c>
      <c r="L723">
        <v>1</v>
      </c>
      <c r="M723">
        <v>0</v>
      </c>
      <c r="N723">
        <v>2</v>
      </c>
      <c r="O723">
        <v>59</v>
      </c>
      <c r="P723">
        <v>61</v>
      </c>
    </row>
    <row r="724" spans="1:16" x14ac:dyDescent="0.35">
      <c r="A724">
        <v>723</v>
      </c>
      <c r="B724" t="b">
        <v>0</v>
      </c>
      <c r="C724" s="18">
        <v>40576</v>
      </c>
      <c r="D724">
        <v>1</v>
      </c>
      <c r="E724">
        <v>0</v>
      </c>
      <c r="F724">
        <v>2</v>
      </c>
      <c r="G724">
        <v>11</v>
      </c>
      <c r="H724">
        <v>3</v>
      </c>
      <c r="I724">
        <v>2</v>
      </c>
      <c r="J724">
        <v>0.24</v>
      </c>
      <c r="K724">
        <v>0.2273</v>
      </c>
      <c r="L724">
        <v>0.93</v>
      </c>
      <c r="M724">
        <v>0.19400000000000001</v>
      </c>
      <c r="N724">
        <v>5</v>
      </c>
      <c r="O724">
        <v>47</v>
      </c>
      <c r="P724">
        <v>52</v>
      </c>
    </row>
    <row r="725" spans="1:16" x14ac:dyDescent="0.35">
      <c r="A725">
        <v>724</v>
      </c>
      <c r="B725" t="b">
        <v>0</v>
      </c>
      <c r="C725" s="18">
        <v>40576</v>
      </c>
      <c r="D725">
        <v>1</v>
      </c>
      <c r="E725">
        <v>0</v>
      </c>
      <c r="F725">
        <v>2</v>
      </c>
      <c r="G725">
        <v>12</v>
      </c>
      <c r="H725">
        <v>3</v>
      </c>
      <c r="I725">
        <v>2</v>
      </c>
      <c r="J725">
        <v>0.24</v>
      </c>
      <c r="K725">
        <v>0.2273</v>
      </c>
      <c r="L725">
        <v>0.93</v>
      </c>
      <c r="M725">
        <v>0.22389999999999999</v>
      </c>
      <c r="N725">
        <v>3</v>
      </c>
      <c r="O725">
        <v>61</v>
      </c>
      <c r="P725">
        <v>64</v>
      </c>
    </row>
    <row r="726" spans="1:16" x14ac:dyDescent="0.35">
      <c r="A726">
        <v>725</v>
      </c>
      <c r="B726" t="b">
        <v>0</v>
      </c>
      <c r="C726" s="18">
        <v>40576</v>
      </c>
      <c r="D726">
        <v>1</v>
      </c>
      <c r="E726">
        <v>0</v>
      </c>
      <c r="F726">
        <v>2</v>
      </c>
      <c r="G726">
        <v>13</v>
      </c>
      <c r="H726">
        <v>3</v>
      </c>
      <c r="I726">
        <v>1</v>
      </c>
      <c r="J726">
        <v>0.34</v>
      </c>
      <c r="K726">
        <v>0.33329999999999999</v>
      </c>
      <c r="L726">
        <v>0.93</v>
      </c>
      <c r="M726">
        <v>0.16420000000000001</v>
      </c>
      <c r="N726">
        <v>1</v>
      </c>
      <c r="O726">
        <v>74</v>
      </c>
      <c r="P726">
        <v>75</v>
      </c>
    </row>
    <row r="727" spans="1:16" x14ac:dyDescent="0.35">
      <c r="A727">
        <v>726</v>
      </c>
      <c r="B727" t="b">
        <v>0</v>
      </c>
      <c r="C727" s="18">
        <v>40576</v>
      </c>
      <c r="D727">
        <v>1</v>
      </c>
      <c r="E727">
        <v>0</v>
      </c>
      <c r="F727">
        <v>2</v>
      </c>
      <c r="G727">
        <v>14</v>
      </c>
      <c r="H727">
        <v>3</v>
      </c>
      <c r="I727">
        <v>1</v>
      </c>
      <c r="J727">
        <v>0.38</v>
      </c>
      <c r="K727">
        <v>0.39389999999999997</v>
      </c>
      <c r="L727">
        <v>0.82</v>
      </c>
      <c r="M727">
        <v>0.3881</v>
      </c>
      <c r="N727">
        <v>2</v>
      </c>
      <c r="O727">
        <v>61</v>
      </c>
      <c r="P727">
        <v>63</v>
      </c>
    </row>
    <row r="728" spans="1:16" x14ac:dyDescent="0.35">
      <c r="A728">
        <v>727</v>
      </c>
      <c r="B728" t="b">
        <v>0</v>
      </c>
      <c r="C728" s="18">
        <v>40576</v>
      </c>
      <c r="D728">
        <v>1</v>
      </c>
      <c r="E728">
        <v>0</v>
      </c>
      <c r="F728">
        <v>2</v>
      </c>
      <c r="G728">
        <v>15</v>
      </c>
      <c r="H728">
        <v>3</v>
      </c>
      <c r="I728">
        <v>1</v>
      </c>
      <c r="J728">
        <v>0.38</v>
      </c>
      <c r="K728">
        <v>0.39389999999999997</v>
      </c>
      <c r="L728">
        <v>0.76</v>
      </c>
      <c r="M728">
        <v>0.32840000000000003</v>
      </c>
      <c r="N728">
        <v>10</v>
      </c>
      <c r="O728">
        <v>66</v>
      </c>
      <c r="P728">
        <v>76</v>
      </c>
    </row>
    <row r="729" spans="1:16" x14ac:dyDescent="0.35">
      <c r="A729">
        <v>728</v>
      </c>
      <c r="B729" t="b">
        <v>0</v>
      </c>
      <c r="C729" s="18">
        <v>40576</v>
      </c>
      <c r="D729">
        <v>1</v>
      </c>
      <c r="E729">
        <v>0</v>
      </c>
      <c r="F729">
        <v>2</v>
      </c>
      <c r="G729">
        <v>16</v>
      </c>
      <c r="H729">
        <v>3</v>
      </c>
      <c r="I729">
        <v>1</v>
      </c>
      <c r="J729">
        <v>0.36</v>
      </c>
      <c r="K729">
        <v>0.33329999999999999</v>
      </c>
      <c r="L729">
        <v>0.71</v>
      </c>
      <c r="M729">
        <v>0.29849999999999999</v>
      </c>
      <c r="N729">
        <v>8</v>
      </c>
      <c r="O729">
        <v>95</v>
      </c>
      <c r="P729">
        <v>103</v>
      </c>
    </row>
    <row r="730" spans="1:16" x14ac:dyDescent="0.35">
      <c r="A730">
        <v>729</v>
      </c>
      <c r="B730" t="b">
        <v>0</v>
      </c>
      <c r="C730" s="18">
        <v>40576</v>
      </c>
      <c r="D730">
        <v>1</v>
      </c>
      <c r="E730">
        <v>0</v>
      </c>
      <c r="F730">
        <v>2</v>
      </c>
      <c r="G730">
        <v>17</v>
      </c>
      <c r="H730">
        <v>3</v>
      </c>
      <c r="I730">
        <v>1</v>
      </c>
      <c r="J730">
        <v>0.36</v>
      </c>
      <c r="K730">
        <v>0.31819999999999998</v>
      </c>
      <c r="L730">
        <v>0.53</v>
      </c>
      <c r="M730">
        <v>0.52239999999999998</v>
      </c>
      <c r="N730">
        <v>7</v>
      </c>
      <c r="O730">
        <v>183</v>
      </c>
      <c r="P730">
        <v>190</v>
      </c>
    </row>
    <row r="731" spans="1:16" x14ac:dyDescent="0.35">
      <c r="A731">
        <v>730</v>
      </c>
      <c r="B731" t="b">
        <v>0</v>
      </c>
      <c r="C731" s="18">
        <v>40576</v>
      </c>
      <c r="D731">
        <v>1</v>
      </c>
      <c r="E731">
        <v>0</v>
      </c>
      <c r="F731">
        <v>2</v>
      </c>
      <c r="G731">
        <v>18</v>
      </c>
      <c r="H731">
        <v>3</v>
      </c>
      <c r="I731">
        <v>1</v>
      </c>
      <c r="J731">
        <v>0.34</v>
      </c>
      <c r="K731">
        <v>0.28789999999999999</v>
      </c>
      <c r="L731">
        <v>0.42</v>
      </c>
      <c r="M731">
        <v>0.55220000000000002</v>
      </c>
      <c r="N731">
        <v>7</v>
      </c>
      <c r="O731">
        <v>175</v>
      </c>
      <c r="P731">
        <v>182</v>
      </c>
    </row>
    <row r="732" spans="1:16" x14ac:dyDescent="0.35">
      <c r="A732">
        <v>731</v>
      </c>
      <c r="B732" t="b">
        <v>0</v>
      </c>
      <c r="C732" s="18">
        <v>40576</v>
      </c>
      <c r="D732">
        <v>1</v>
      </c>
      <c r="E732">
        <v>0</v>
      </c>
      <c r="F732">
        <v>2</v>
      </c>
      <c r="G732">
        <v>19</v>
      </c>
      <c r="H732">
        <v>3</v>
      </c>
      <c r="I732">
        <v>1</v>
      </c>
      <c r="J732">
        <v>0.28000000000000003</v>
      </c>
      <c r="K732">
        <v>0.2424</v>
      </c>
      <c r="L732">
        <v>0.45</v>
      </c>
      <c r="M732">
        <v>0.49249999999999999</v>
      </c>
      <c r="N732">
        <v>3</v>
      </c>
      <c r="O732">
        <v>88</v>
      </c>
      <c r="P732">
        <v>91</v>
      </c>
    </row>
    <row r="733" spans="1:16" x14ac:dyDescent="0.35">
      <c r="A733">
        <v>732</v>
      </c>
      <c r="B733" t="b">
        <v>0</v>
      </c>
      <c r="C733" s="18">
        <v>40576</v>
      </c>
      <c r="D733">
        <v>1</v>
      </c>
      <c r="E733">
        <v>0</v>
      </c>
      <c r="F733">
        <v>2</v>
      </c>
      <c r="G733">
        <v>20</v>
      </c>
      <c r="H733">
        <v>3</v>
      </c>
      <c r="I733">
        <v>1</v>
      </c>
      <c r="J733">
        <v>0.24</v>
      </c>
      <c r="K733">
        <v>0.19700000000000001</v>
      </c>
      <c r="L733">
        <v>0.48</v>
      </c>
      <c r="M733">
        <v>0.55220000000000002</v>
      </c>
      <c r="N733">
        <v>4</v>
      </c>
      <c r="O733">
        <v>71</v>
      </c>
      <c r="P733">
        <v>75</v>
      </c>
    </row>
    <row r="734" spans="1:16" x14ac:dyDescent="0.35">
      <c r="A734">
        <v>733</v>
      </c>
      <c r="B734" t="b">
        <v>0</v>
      </c>
      <c r="C734" s="18">
        <v>40576</v>
      </c>
      <c r="D734">
        <v>1</v>
      </c>
      <c r="E734">
        <v>0</v>
      </c>
      <c r="F734">
        <v>2</v>
      </c>
      <c r="G734">
        <v>21</v>
      </c>
      <c r="H734">
        <v>3</v>
      </c>
      <c r="I734">
        <v>1</v>
      </c>
      <c r="J734">
        <v>0.22</v>
      </c>
      <c r="K734">
        <v>0.19700000000000001</v>
      </c>
      <c r="L734">
        <v>0.47</v>
      </c>
      <c r="M734">
        <v>0.32840000000000003</v>
      </c>
      <c r="N734">
        <v>1</v>
      </c>
      <c r="O734">
        <v>62</v>
      </c>
      <c r="P734">
        <v>63</v>
      </c>
    </row>
    <row r="735" spans="1:16" x14ac:dyDescent="0.35">
      <c r="A735">
        <v>734</v>
      </c>
      <c r="B735" t="b">
        <v>0</v>
      </c>
      <c r="C735" s="18">
        <v>40576</v>
      </c>
      <c r="D735">
        <v>1</v>
      </c>
      <c r="E735">
        <v>0</v>
      </c>
      <c r="F735">
        <v>2</v>
      </c>
      <c r="G735">
        <v>22</v>
      </c>
      <c r="H735">
        <v>3</v>
      </c>
      <c r="I735">
        <v>1</v>
      </c>
      <c r="J735">
        <v>0.22</v>
      </c>
      <c r="K735">
        <v>0.21210000000000001</v>
      </c>
      <c r="L735">
        <v>0.44</v>
      </c>
      <c r="M735">
        <v>0.25369999999999998</v>
      </c>
      <c r="N735">
        <v>5</v>
      </c>
      <c r="O735">
        <v>35</v>
      </c>
      <c r="P735">
        <v>40</v>
      </c>
    </row>
    <row r="736" spans="1:16" x14ac:dyDescent="0.35">
      <c r="A736">
        <v>735</v>
      </c>
      <c r="B736" t="b">
        <v>0</v>
      </c>
      <c r="C736" s="18">
        <v>40576</v>
      </c>
      <c r="D736">
        <v>1</v>
      </c>
      <c r="E736">
        <v>0</v>
      </c>
      <c r="F736">
        <v>2</v>
      </c>
      <c r="G736">
        <v>23</v>
      </c>
      <c r="H736">
        <v>3</v>
      </c>
      <c r="I736">
        <v>1</v>
      </c>
      <c r="J736">
        <v>0.2</v>
      </c>
      <c r="K736">
        <v>0.16669999999999999</v>
      </c>
      <c r="L736">
        <v>0.44</v>
      </c>
      <c r="M736">
        <v>0.44779999999999998</v>
      </c>
      <c r="N736">
        <v>3</v>
      </c>
      <c r="O736">
        <v>29</v>
      </c>
      <c r="P736">
        <v>32</v>
      </c>
    </row>
    <row r="737" spans="1:16" x14ac:dyDescent="0.35">
      <c r="A737">
        <v>736</v>
      </c>
      <c r="B737" t="b">
        <v>0</v>
      </c>
      <c r="C737" s="18">
        <v>40577</v>
      </c>
      <c r="D737">
        <v>1</v>
      </c>
      <c r="E737">
        <v>0</v>
      </c>
      <c r="F737">
        <v>2</v>
      </c>
      <c r="G737">
        <v>0</v>
      </c>
      <c r="H737">
        <v>4</v>
      </c>
      <c r="I737">
        <v>1</v>
      </c>
      <c r="J737">
        <v>0.2</v>
      </c>
      <c r="K737">
        <v>0.16669999999999999</v>
      </c>
      <c r="L737">
        <v>0.4</v>
      </c>
      <c r="M737">
        <v>0.44779999999999998</v>
      </c>
      <c r="N737">
        <v>1</v>
      </c>
      <c r="O737">
        <v>11</v>
      </c>
      <c r="P737">
        <v>12</v>
      </c>
    </row>
    <row r="738" spans="1:16" x14ac:dyDescent="0.35">
      <c r="A738">
        <v>737</v>
      </c>
      <c r="B738" t="b">
        <v>0</v>
      </c>
      <c r="C738" s="18">
        <v>40577</v>
      </c>
      <c r="D738">
        <v>1</v>
      </c>
      <c r="E738">
        <v>0</v>
      </c>
      <c r="F738">
        <v>2</v>
      </c>
      <c r="G738">
        <v>1</v>
      </c>
      <c r="H738">
        <v>4</v>
      </c>
      <c r="I738">
        <v>1</v>
      </c>
      <c r="J738">
        <v>0.2</v>
      </c>
      <c r="K738">
        <v>0.1515</v>
      </c>
      <c r="L738">
        <v>0.44</v>
      </c>
      <c r="M738">
        <v>0.52239999999999998</v>
      </c>
      <c r="N738">
        <v>0</v>
      </c>
      <c r="O738">
        <v>5</v>
      </c>
      <c r="P738">
        <v>5</v>
      </c>
    </row>
    <row r="739" spans="1:16" x14ac:dyDescent="0.35">
      <c r="A739">
        <v>738</v>
      </c>
      <c r="B739" t="b">
        <v>0</v>
      </c>
      <c r="C739" s="18">
        <v>40577</v>
      </c>
      <c r="D739">
        <v>1</v>
      </c>
      <c r="E739">
        <v>0</v>
      </c>
      <c r="F739">
        <v>2</v>
      </c>
      <c r="G739">
        <v>2</v>
      </c>
      <c r="H739">
        <v>4</v>
      </c>
      <c r="I739">
        <v>1</v>
      </c>
      <c r="J739">
        <v>0.18</v>
      </c>
      <c r="K739">
        <v>0.16669999999999999</v>
      </c>
      <c r="L739">
        <v>0.43</v>
      </c>
      <c r="M739">
        <v>0.25369999999999998</v>
      </c>
      <c r="N739">
        <v>0</v>
      </c>
      <c r="O739">
        <v>2</v>
      </c>
      <c r="P739">
        <v>2</v>
      </c>
    </row>
    <row r="740" spans="1:16" x14ac:dyDescent="0.35">
      <c r="A740">
        <v>739</v>
      </c>
      <c r="B740" t="b">
        <v>0</v>
      </c>
      <c r="C740" s="18">
        <v>40577</v>
      </c>
      <c r="D740">
        <v>1</v>
      </c>
      <c r="E740">
        <v>0</v>
      </c>
      <c r="F740">
        <v>2</v>
      </c>
      <c r="G740">
        <v>3</v>
      </c>
      <c r="H740">
        <v>4</v>
      </c>
      <c r="I740">
        <v>1</v>
      </c>
      <c r="J740">
        <v>0.18</v>
      </c>
      <c r="K740">
        <v>0.16669999999999999</v>
      </c>
      <c r="L740">
        <v>0.43</v>
      </c>
      <c r="M740">
        <v>0.25369999999999998</v>
      </c>
      <c r="N740">
        <v>0</v>
      </c>
      <c r="O740">
        <v>1</v>
      </c>
      <c r="P740">
        <v>1</v>
      </c>
    </row>
    <row r="741" spans="1:16" x14ac:dyDescent="0.35">
      <c r="A741">
        <v>740</v>
      </c>
      <c r="B741" t="b">
        <v>0</v>
      </c>
      <c r="C741" s="18">
        <v>40577</v>
      </c>
      <c r="D741">
        <v>1</v>
      </c>
      <c r="E741">
        <v>0</v>
      </c>
      <c r="F741">
        <v>2</v>
      </c>
      <c r="G741">
        <v>5</v>
      </c>
      <c r="H741">
        <v>4</v>
      </c>
      <c r="I741">
        <v>1</v>
      </c>
      <c r="J741">
        <v>0.16</v>
      </c>
      <c r="K741">
        <v>0.13639999999999999</v>
      </c>
      <c r="L741">
        <v>0.5</v>
      </c>
      <c r="M741">
        <v>0.29849999999999999</v>
      </c>
      <c r="N741">
        <v>0</v>
      </c>
      <c r="O741">
        <v>2</v>
      </c>
      <c r="P741">
        <v>2</v>
      </c>
    </row>
    <row r="742" spans="1:16" x14ac:dyDescent="0.35">
      <c r="A742">
        <v>741</v>
      </c>
      <c r="B742" t="b">
        <v>0</v>
      </c>
      <c r="C742" s="18">
        <v>40577</v>
      </c>
      <c r="D742">
        <v>1</v>
      </c>
      <c r="E742">
        <v>0</v>
      </c>
      <c r="F742">
        <v>2</v>
      </c>
      <c r="G742">
        <v>6</v>
      </c>
      <c r="H742">
        <v>4</v>
      </c>
      <c r="I742">
        <v>1</v>
      </c>
      <c r="J742">
        <v>0.16</v>
      </c>
      <c r="K742">
        <v>0.13639999999999999</v>
      </c>
      <c r="L742">
        <v>0.43</v>
      </c>
      <c r="M742">
        <v>0.35820000000000002</v>
      </c>
      <c r="N742">
        <v>0</v>
      </c>
      <c r="O742">
        <v>39</v>
      </c>
      <c r="P742">
        <v>39</v>
      </c>
    </row>
    <row r="743" spans="1:16" x14ac:dyDescent="0.35">
      <c r="A743">
        <v>742</v>
      </c>
      <c r="B743" t="b">
        <v>0</v>
      </c>
      <c r="C743" s="18">
        <v>40577</v>
      </c>
      <c r="D743">
        <v>1</v>
      </c>
      <c r="E743">
        <v>0</v>
      </c>
      <c r="F743">
        <v>2</v>
      </c>
      <c r="G743">
        <v>7</v>
      </c>
      <c r="H743">
        <v>4</v>
      </c>
      <c r="I743">
        <v>1</v>
      </c>
      <c r="J743">
        <v>0.14000000000000001</v>
      </c>
      <c r="K743">
        <v>0.1212</v>
      </c>
      <c r="L743">
        <v>0.5</v>
      </c>
      <c r="M743">
        <v>0.32840000000000003</v>
      </c>
      <c r="N743">
        <v>1</v>
      </c>
      <c r="O743">
        <v>86</v>
      </c>
      <c r="P743">
        <v>87</v>
      </c>
    </row>
    <row r="744" spans="1:16" x14ac:dyDescent="0.35">
      <c r="A744">
        <v>743</v>
      </c>
      <c r="B744" t="b">
        <v>0</v>
      </c>
      <c r="C744" s="18">
        <v>40577</v>
      </c>
      <c r="D744">
        <v>1</v>
      </c>
      <c r="E744">
        <v>0</v>
      </c>
      <c r="F744">
        <v>2</v>
      </c>
      <c r="G744">
        <v>8</v>
      </c>
      <c r="H744">
        <v>4</v>
      </c>
      <c r="I744">
        <v>1</v>
      </c>
      <c r="J744">
        <v>0.14000000000000001</v>
      </c>
      <c r="K744">
        <v>0.1212</v>
      </c>
      <c r="L744">
        <v>0.5</v>
      </c>
      <c r="M744">
        <v>0.35820000000000002</v>
      </c>
      <c r="N744">
        <v>4</v>
      </c>
      <c r="O744">
        <v>184</v>
      </c>
      <c r="P744">
        <v>188</v>
      </c>
    </row>
    <row r="745" spans="1:16" x14ac:dyDescent="0.35">
      <c r="A745">
        <v>744</v>
      </c>
      <c r="B745" t="b">
        <v>0</v>
      </c>
      <c r="C745" s="18">
        <v>40577</v>
      </c>
      <c r="D745">
        <v>1</v>
      </c>
      <c r="E745">
        <v>0</v>
      </c>
      <c r="F745">
        <v>2</v>
      </c>
      <c r="G745">
        <v>9</v>
      </c>
      <c r="H745">
        <v>4</v>
      </c>
      <c r="I745">
        <v>1</v>
      </c>
      <c r="J745">
        <v>0.16</v>
      </c>
      <c r="K745">
        <v>0.13639999999999999</v>
      </c>
      <c r="L745">
        <v>0.47</v>
      </c>
      <c r="M745">
        <v>0.29849999999999999</v>
      </c>
      <c r="N745">
        <v>6</v>
      </c>
      <c r="O745">
        <v>127</v>
      </c>
      <c r="P745">
        <v>133</v>
      </c>
    </row>
    <row r="746" spans="1:16" x14ac:dyDescent="0.35">
      <c r="A746">
        <v>745</v>
      </c>
      <c r="B746" t="b">
        <v>0</v>
      </c>
      <c r="C746" s="18">
        <v>40577</v>
      </c>
      <c r="D746">
        <v>1</v>
      </c>
      <c r="E746">
        <v>0</v>
      </c>
      <c r="F746">
        <v>2</v>
      </c>
      <c r="G746">
        <v>10</v>
      </c>
      <c r="H746">
        <v>4</v>
      </c>
      <c r="I746">
        <v>1</v>
      </c>
      <c r="J746">
        <v>0.18</v>
      </c>
      <c r="K746">
        <v>0.1515</v>
      </c>
      <c r="L746">
        <v>0.43</v>
      </c>
      <c r="M746">
        <v>0.32840000000000003</v>
      </c>
      <c r="N746">
        <v>2</v>
      </c>
      <c r="O746">
        <v>50</v>
      </c>
      <c r="P746">
        <v>52</v>
      </c>
    </row>
    <row r="747" spans="1:16" x14ac:dyDescent="0.35">
      <c r="A747">
        <v>746</v>
      </c>
      <c r="B747" t="b">
        <v>0</v>
      </c>
      <c r="C747" s="18">
        <v>40577</v>
      </c>
      <c r="D747">
        <v>1</v>
      </c>
      <c r="E747">
        <v>0</v>
      </c>
      <c r="F747">
        <v>2</v>
      </c>
      <c r="G747">
        <v>11</v>
      </c>
      <c r="H747">
        <v>4</v>
      </c>
      <c r="I747">
        <v>1</v>
      </c>
      <c r="J747">
        <v>0.18</v>
      </c>
      <c r="K747">
        <v>0.13639999999999999</v>
      </c>
      <c r="L747">
        <v>0.43</v>
      </c>
      <c r="M747">
        <v>0.44779999999999998</v>
      </c>
      <c r="N747">
        <v>9</v>
      </c>
      <c r="O747">
        <v>55</v>
      </c>
      <c r="P747">
        <v>64</v>
      </c>
    </row>
    <row r="748" spans="1:16" x14ac:dyDescent="0.35">
      <c r="A748">
        <v>747</v>
      </c>
      <c r="B748" t="b">
        <v>0</v>
      </c>
      <c r="C748" s="18">
        <v>40577</v>
      </c>
      <c r="D748">
        <v>1</v>
      </c>
      <c r="E748">
        <v>0</v>
      </c>
      <c r="F748">
        <v>2</v>
      </c>
      <c r="G748">
        <v>12</v>
      </c>
      <c r="H748">
        <v>4</v>
      </c>
      <c r="I748">
        <v>1</v>
      </c>
      <c r="J748">
        <v>0.2</v>
      </c>
      <c r="K748">
        <v>0.18179999999999999</v>
      </c>
      <c r="L748">
        <v>0.4</v>
      </c>
      <c r="M748">
        <v>0.35820000000000002</v>
      </c>
      <c r="N748">
        <v>2</v>
      </c>
      <c r="O748">
        <v>67</v>
      </c>
      <c r="P748">
        <v>69</v>
      </c>
    </row>
    <row r="749" spans="1:16" x14ac:dyDescent="0.35">
      <c r="A749">
        <v>748</v>
      </c>
      <c r="B749" t="b">
        <v>0</v>
      </c>
      <c r="C749" s="18">
        <v>40577</v>
      </c>
      <c r="D749">
        <v>1</v>
      </c>
      <c r="E749">
        <v>0</v>
      </c>
      <c r="F749">
        <v>2</v>
      </c>
      <c r="G749">
        <v>13</v>
      </c>
      <c r="H749">
        <v>4</v>
      </c>
      <c r="I749">
        <v>1</v>
      </c>
      <c r="J749">
        <v>0.2</v>
      </c>
      <c r="K749">
        <v>0.16669999999999999</v>
      </c>
      <c r="L749">
        <v>0.4</v>
      </c>
      <c r="M749">
        <v>0.41789999999999999</v>
      </c>
      <c r="N749">
        <v>4</v>
      </c>
      <c r="O749">
        <v>47</v>
      </c>
      <c r="P749">
        <v>51</v>
      </c>
    </row>
    <row r="750" spans="1:16" x14ac:dyDescent="0.35">
      <c r="A750">
        <v>749</v>
      </c>
      <c r="B750" t="b">
        <v>0</v>
      </c>
      <c r="C750" s="18">
        <v>40577</v>
      </c>
      <c r="D750">
        <v>1</v>
      </c>
      <c r="E750">
        <v>0</v>
      </c>
      <c r="F750">
        <v>2</v>
      </c>
      <c r="G750">
        <v>14</v>
      </c>
      <c r="H750">
        <v>4</v>
      </c>
      <c r="I750">
        <v>1</v>
      </c>
      <c r="J750">
        <v>0.22</v>
      </c>
      <c r="K750">
        <v>0.19700000000000001</v>
      </c>
      <c r="L750">
        <v>0.37</v>
      </c>
      <c r="M750">
        <v>0.3881</v>
      </c>
      <c r="N750">
        <v>4</v>
      </c>
      <c r="O750">
        <v>43</v>
      </c>
      <c r="P750">
        <v>47</v>
      </c>
    </row>
    <row r="751" spans="1:16" x14ac:dyDescent="0.35">
      <c r="A751">
        <v>750</v>
      </c>
      <c r="B751" t="b">
        <v>0</v>
      </c>
      <c r="C751" s="18">
        <v>40577</v>
      </c>
      <c r="D751">
        <v>1</v>
      </c>
      <c r="E751">
        <v>0</v>
      </c>
      <c r="F751">
        <v>2</v>
      </c>
      <c r="G751">
        <v>15</v>
      </c>
      <c r="H751">
        <v>4</v>
      </c>
      <c r="I751">
        <v>1</v>
      </c>
      <c r="J751">
        <v>0.22</v>
      </c>
      <c r="K751">
        <v>0.19700000000000001</v>
      </c>
      <c r="L751">
        <v>0.37</v>
      </c>
      <c r="M751">
        <v>0.32840000000000003</v>
      </c>
      <c r="N751">
        <v>4</v>
      </c>
      <c r="O751">
        <v>56</v>
      </c>
      <c r="P751">
        <v>60</v>
      </c>
    </row>
    <row r="752" spans="1:16" x14ac:dyDescent="0.35">
      <c r="A752">
        <v>751</v>
      </c>
      <c r="B752" t="b">
        <v>0</v>
      </c>
      <c r="C752" s="18">
        <v>40577</v>
      </c>
      <c r="D752">
        <v>1</v>
      </c>
      <c r="E752">
        <v>0</v>
      </c>
      <c r="F752">
        <v>2</v>
      </c>
      <c r="G752">
        <v>16</v>
      </c>
      <c r="H752">
        <v>4</v>
      </c>
      <c r="I752">
        <v>1</v>
      </c>
      <c r="J752">
        <v>0.22</v>
      </c>
      <c r="K752">
        <v>0.21210000000000001</v>
      </c>
      <c r="L752">
        <v>0.37</v>
      </c>
      <c r="M752">
        <v>0.25369999999999998</v>
      </c>
      <c r="N752">
        <v>5</v>
      </c>
      <c r="O752">
        <v>73</v>
      </c>
      <c r="P752">
        <v>78</v>
      </c>
    </row>
    <row r="753" spans="1:16" x14ac:dyDescent="0.35">
      <c r="A753">
        <v>752</v>
      </c>
      <c r="B753" t="b">
        <v>0</v>
      </c>
      <c r="C753" s="18">
        <v>40577</v>
      </c>
      <c r="D753">
        <v>1</v>
      </c>
      <c r="E753">
        <v>0</v>
      </c>
      <c r="F753">
        <v>2</v>
      </c>
      <c r="G753">
        <v>17</v>
      </c>
      <c r="H753">
        <v>4</v>
      </c>
      <c r="I753">
        <v>1</v>
      </c>
      <c r="J753">
        <v>0.2</v>
      </c>
      <c r="K753">
        <v>0.19700000000000001</v>
      </c>
      <c r="L753">
        <v>0.4</v>
      </c>
      <c r="M753">
        <v>0.19400000000000001</v>
      </c>
      <c r="N753">
        <v>5</v>
      </c>
      <c r="O753">
        <v>170</v>
      </c>
      <c r="P753">
        <v>175</v>
      </c>
    </row>
    <row r="754" spans="1:16" x14ac:dyDescent="0.35">
      <c r="A754">
        <v>753</v>
      </c>
      <c r="B754" t="b">
        <v>0</v>
      </c>
      <c r="C754" s="18">
        <v>40577</v>
      </c>
      <c r="D754">
        <v>1</v>
      </c>
      <c r="E754">
        <v>0</v>
      </c>
      <c r="F754">
        <v>2</v>
      </c>
      <c r="G754">
        <v>18</v>
      </c>
      <c r="H754">
        <v>4</v>
      </c>
      <c r="I754">
        <v>1</v>
      </c>
      <c r="J754">
        <v>0.2</v>
      </c>
      <c r="K754">
        <v>0.21210000000000001</v>
      </c>
      <c r="L754">
        <v>0.4</v>
      </c>
      <c r="M754">
        <v>0.16420000000000001</v>
      </c>
      <c r="N754">
        <v>2</v>
      </c>
      <c r="O754">
        <v>145</v>
      </c>
      <c r="P754">
        <v>147</v>
      </c>
    </row>
    <row r="755" spans="1:16" x14ac:dyDescent="0.35">
      <c r="A755">
        <v>754</v>
      </c>
      <c r="B755" t="b">
        <v>0</v>
      </c>
      <c r="C755" s="18">
        <v>40577</v>
      </c>
      <c r="D755">
        <v>1</v>
      </c>
      <c r="E755">
        <v>0</v>
      </c>
      <c r="F755">
        <v>2</v>
      </c>
      <c r="G755">
        <v>19</v>
      </c>
      <c r="H755">
        <v>4</v>
      </c>
      <c r="I755">
        <v>1</v>
      </c>
      <c r="J755">
        <v>0.2</v>
      </c>
      <c r="K755">
        <v>0.2576</v>
      </c>
      <c r="L755">
        <v>0.4</v>
      </c>
      <c r="M755">
        <v>0</v>
      </c>
      <c r="N755">
        <v>4</v>
      </c>
      <c r="O755">
        <v>92</v>
      </c>
      <c r="P755">
        <v>96</v>
      </c>
    </row>
    <row r="756" spans="1:16" x14ac:dyDescent="0.35">
      <c r="A756">
        <v>755</v>
      </c>
      <c r="B756" t="b">
        <v>0</v>
      </c>
      <c r="C756" s="18">
        <v>40577</v>
      </c>
      <c r="D756">
        <v>1</v>
      </c>
      <c r="E756">
        <v>0</v>
      </c>
      <c r="F756">
        <v>2</v>
      </c>
      <c r="G756">
        <v>20</v>
      </c>
      <c r="H756">
        <v>4</v>
      </c>
      <c r="I756">
        <v>1</v>
      </c>
      <c r="J756">
        <v>0.2</v>
      </c>
      <c r="K756">
        <v>0.2273</v>
      </c>
      <c r="L756">
        <v>0.47</v>
      </c>
      <c r="M756">
        <v>8.9599999999999999E-2</v>
      </c>
      <c r="N756">
        <v>1</v>
      </c>
      <c r="O756">
        <v>108</v>
      </c>
      <c r="P756">
        <v>109</v>
      </c>
    </row>
    <row r="757" spans="1:16" x14ac:dyDescent="0.35">
      <c r="A757">
        <v>756</v>
      </c>
      <c r="B757" t="b">
        <v>0</v>
      </c>
      <c r="C757" s="18">
        <v>40577</v>
      </c>
      <c r="D757">
        <v>1</v>
      </c>
      <c r="E757">
        <v>0</v>
      </c>
      <c r="F757">
        <v>2</v>
      </c>
      <c r="G757">
        <v>21</v>
      </c>
      <c r="H757">
        <v>4</v>
      </c>
      <c r="I757">
        <v>1</v>
      </c>
      <c r="J757">
        <v>0.18</v>
      </c>
      <c r="K757">
        <v>0.21210000000000001</v>
      </c>
      <c r="L757">
        <v>0.55000000000000004</v>
      </c>
      <c r="M757">
        <v>0.1045</v>
      </c>
      <c r="N757">
        <v>1</v>
      </c>
      <c r="O757">
        <v>53</v>
      </c>
      <c r="P757">
        <v>54</v>
      </c>
    </row>
    <row r="758" spans="1:16" x14ac:dyDescent="0.35">
      <c r="A758">
        <v>757</v>
      </c>
      <c r="B758" t="b">
        <v>0</v>
      </c>
      <c r="C758" s="18">
        <v>40577</v>
      </c>
      <c r="D758">
        <v>1</v>
      </c>
      <c r="E758">
        <v>0</v>
      </c>
      <c r="F758">
        <v>2</v>
      </c>
      <c r="G758">
        <v>22</v>
      </c>
      <c r="H758">
        <v>4</v>
      </c>
      <c r="I758">
        <v>1</v>
      </c>
      <c r="J758">
        <v>0.18</v>
      </c>
      <c r="K758">
        <v>0.21210000000000001</v>
      </c>
      <c r="L758">
        <v>0.51</v>
      </c>
      <c r="M758">
        <v>8.9599999999999999E-2</v>
      </c>
      <c r="N758">
        <v>2</v>
      </c>
      <c r="O758">
        <v>39</v>
      </c>
      <c r="P758">
        <v>41</v>
      </c>
    </row>
    <row r="759" spans="1:16" x14ac:dyDescent="0.35">
      <c r="A759">
        <v>758</v>
      </c>
      <c r="B759" t="b">
        <v>0</v>
      </c>
      <c r="C759" s="18">
        <v>40577</v>
      </c>
      <c r="D759">
        <v>1</v>
      </c>
      <c r="E759">
        <v>0</v>
      </c>
      <c r="F759">
        <v>2</v>
      </c>
      <c r="G759">
        <v>23</v>
      </c>
      <c r="H759">
        <v>4</v>
      </c>
      <c r="I759">
        <v>1</v>
      </c>
      <c r="J759">
        <v>0.2</v>
      </c>
      <c r="K759">
        <v>0.2273</v>
      </c>
      <c r="L759">
        <v>0.47</v>
      </c>
      <c r="M759">
        <v>0.1045</v>
      </c>
      <c r="N759">
        <v>4</v>
      </c>
      <c r="O759">
        <v>34</v>
      </c>
      <c r="P759">
        <v>38</v>
      </c>
    </row>
    <row r="760" spans="1:16" x14ac:dyDescent="0.35">
      <c r="A760">
        <v>759</v>
      </c>
      <c r="B760" t="b">
        <v>0</v>
      </c>
      <c r="C760" s="18">
        <v>40578</v>
      </c>
      <c r="D760">
        <v>1</v>
      </c>
      <c r="E760">
        <v>0</v>
      </c>
      <c r="F760">
        <v>2</v>
      </c>
      <c r="G760">
        <v>0</v>
      </c>
      <c r="H760">
        <v>5</v>
      </c>
      <c r="I760">
        <v>2</v>
      </c>
      <c r="J760">
        <v>0.2</v>
      </c>
      <c r="K760">
        <v>0.2576</v>
      </c>
      <c r="L760">
        <v>0.44</v>
      </c>
      <c r="M760">
        <v>0</v>
      </c>
      <c r="N760">
        <v>3</v>
      </c>
      <c r="O760">
        <v>10</v>
      </c>
      <c r="P760">
        <v>13</v>
      </c>
    </row>
    <row r="761" spans="1:16" x14ac:dyDescent="0.35">
      <c r="A761">
        <v>760</v>
      </c>
      <c r="B761" t="b">
        <v>0</v>
      </c>
      <c r="C761" s="18">
        <v>40578</v>
      </c>
      <c r="D761">
        <v>1</v>
      </c>
      <c r="E761">
        <v>0</v>
      </c>
      <c r="F761">
        <v>2</v>
      </c>
      <c r="G761">
        <v>1</v>
      </c>
      <c r="H761">
        <v>5</v>
      </c>
      <c r="I761">
        <v>2</v>
      </c>
      <c r="J761">
        <v>0.16</v>
      </c>
      <c r="K761">
        <v>0.2273</v>
      </c>
      <c r="L761">
        <v>0.59</v>
      </c>
      <c r="M761">
        <v>0</v>
      </c>
      <c r="N761">
        <v>0</v>
      </c>
      <c r="O761">
        <v>7</v>
      </c>
      <c r="P761">
        <v>7</v>
      </c>
    </row>
    <row r="762" spans="1:16" x14ac:dyDescent="0.35">
      <c r="A762">
        <v>761</v>
      </c>
      <c r="B762" t="b">
        <v>0</v>
      </c>
      <c r="C762" s="18">
        <v>40578</v>
      </c>
      <c r="D762">
        <v>1</v>
      </c>
      <c r="E762">
        <v>0</v>
      </c>
      <c r="F762">
        <v>2</v>
      </c>
      <c r="G762">
        <v>2</v>
      </c>
      <c r="H762">
        <v>5</v>
      </c>
      <c r="I762">
        <v>2</v>
      </c>
      <c r="J762">
        <v>0.14000000000000001</v>
      </c>
      <c r="K762">
        <v>0.16669999999999999</v>
      </c>
      <c r="L762">
        <v>0.63</v>
      </c>
      <c r="M762">
        <v>0.1045</v>
      </c>
      <c r="N762">
        <v>0</v>
      </c>
      <c r="O762">
        <v>1</v>
      </c>
      <c r="P762">
        <v>1</v>
      </c>
    </row>
    <row r="763" spans="1:16" x14ac:dyDescent="0.35">
      <c r="A763">
        <v>762</v>
      </c>
      <c r="B763" t="b">
        <v>0</v>
      </c>
      <c r="C763" s="18">
        <v>40578</v>
      </c>
      <c r="D763">
        <v>1</v>
      </c>
      <c r="E763">
        <v>0</v>
      </c>
      <c r="F763">
        <v>2</v>
      </c>
      <c r="G763">
        <v>3</v>
      </c>
      <c r="H763">
        <v>5</v>
      </c>
      <c r="I763">
        <v>2</v>
      </c>
      <c r="J763">
        <v>0.14000000000000001</v>
      </c>
      <c r="K763">
        <v>0.16669999999999999</v>
      </c>
      <c r="L763">
        <v>0.63</v>
      </c>
      <c r="M763">
        <v>0.1045</v>
      </c>
      <c r="N763">
        <v>0</v>
      </c>
      <c r="O763">
        <v>1</v>
      </c>
      <c r="P763">
        <v>1</v>
      </c>
    </row>
    <row r="764" spans="1:16" x14ac:dyDescent="0.35">
      <c r="A764">
        <v>763</v>
      </c>
      <c r="B764" t="b">
        <v>0</v>
      </c>
      <c r="C764" s="18">
        <v>40578</v>
      </c>
      <c r="D764">
        <v>1</v>
      </c>
      <c r="E764">
        <v>0</v>
      </c>
      <c r="F764">
        <v>2</v>
      </c>
      <c r="G764">
        <v>5</v>
      </c>
      <c r="H764">
        <v>5</v>
      </c>
      <c r="I764">
        <v>2</v>
      </c>
      <c r="J764">
        <v>0.14000000000000001</v>
      </c>
      <c r="K764">
        <v>0.1515</v>
      </c>
      <c r="L764">
        <v>0.63</v>
      </c>
      <c r="M764">
        <v>0.1343</v>
      </c>
      <c r="N764">
        <v>0</v>
      </c>
      <c r="O764">
        <v>7</v>
      </c>
      <c r="P764">
        <v>7</v>
      </c>
    </row>
    <row r="765" spans="1:16" x14ac:dyDescent="0.35">
      <c r="A765">
        <v>764</v>
      </c>
      <c r="B765" t="b">
        <v>0</v>
      </c>
      <c r="C765" s="18">
        <v>40578</v>
      </c>
      <c r="D765">
        <v>1</v>
      </c>
      <c r="E765">
        <v>0</v>
      </c>
      <c r="F765">
        <v>2</v>
      </c>
      <c r="G765">
        <v>6</v>
      </c>
      <c r="H765">
        <v>5</v>
      </c>
      <c r="I765">
        <v>2</v>
      </c>
      <c r="J765">
        <v>0.16</v>
      </c>
      <c r="K765">
        <v>0.2273</v>
      </c>
      <c r="L765">
        <v>0.55000000000000004</v>
      </c>
      <c r="M765">
        <v>0</v>
      </c>
      <c r="N765">
        <v>2</v>
      </c>
      <c r="O765">
        <v>26</v>
      </c>
      <c r="P765">
        <v>28</v>
      </c>
    </row>
    <row r="766" spans="1:16" x14ac:dyDescent="0.35">
      <c r="A766">
        <v>765</v>
      </c>
      <c r="B766" t="b">
        <v>0</v>
      </c>
      <c r="C766" s="18">
        <v>40578</v>
      </c>
      <c r="D766">
        <v>1</v>
      </c>
      <c r="E766">
        <v>0</v>
      </c>
      <c r="F766">
        <v>2</v>
      </c>
      <c r="G766">
        <v>7</v>
      </c>
      <c r="H766">
        <v>5</v>
      </c>
      <c r="I766">
        <v>1</v>
      </c>
      <c r="J766">
        <v>0.14000000000000001</v>
      </c>
      <c r="K766">
        <v>0.21210000000000001</v>
      </c>
      <c r="L766">
        <v>0.59</v>
      </c>
      <c r="M766">
        <v>0</v>
      </c>
      <c r="N766">
        <v>0</v>
      </c>
      <c r="O766">
        <v>87</v>
      </c>
      <c r="P766">
        <v>87</v>
      </c>
    </row>
    <row r="767" spans="1:16" x14ac:dyDescent="0.35">
      <c r="A767">
        <v>766</v>
      </c>
      <c r="B767" t="b">
        <v>0</v>
      </c>
      <c r="C767" s="18">
        <v>40578</v>
      </c>
      <c r="D767">
        <v>1</v>
      </c>
      <c r="E767">
        <v>0</v>
      </c>
      <c r="F767">
        <v>2</v>
      </c>
      <c r="G767">
        <v>8</v>
      </c>
      <c r="H767">
        <v>5</v>
      </c>
      <c r="I767">
        <v>1</v>
      </c>
      <c r="J767">
        <v>0.14000000000000001</v>
      </c>
      <c r="K767">
        <v>0.1515</v>
      </c>
      <c r="L767">
        <v>0.74</v>
      </c>
      <c r="M767">
        <v>0.1343</v>
      </c>
      <c r="N767">
        <v>3</v>
      </c>
      <c r="O767">
        <v>217</v>
      </c>
      <c r="P767">
        <v>220</v>
      </c>
    </row>
    <row r="768" spans="1:16" x14ac:dyDescent="0.35">
      <c r="A768">
        <v>767</v>
      </c>
      <c r="B768" t="b">
        <v>0</v>
      </c>
      <c r="C768" s="18">
        <v>40578</v>
      </c>
      <c r="D768">
        <v>1</v>
      </c>
      <c r="E768">
        <v>0</v>
      </c>
      <c r="F768">
        <v>2</v>
      </c>
      <c r="G768">
        <v>9</v>
      </c>
      <c r="H768">
        <v>5</v>
      </c>
      <c r="I768">
        <v>2</v>
      </c>
      <c r="J768">
        <v>0.16</v>
      </c>
      <c r="K768">
        <v>0.18179999999999999</v>
      </c>
      <c r="L768">
        <v>0.8</v>
      </c>
      <c r="M768">
        <v>0.1343</v>
      </c>
      <c r="N768">
        <v>3</v>
      </c>
      <c r="O768">
        <v>124</v>
      </c>
      <c r="P768">
        <v>127</v>
      </c>
    </row>
    <row r="769" spans="1:16" x14ac:dyDescent="0.35">
      <c r="A769">
        <v>768</v>
      </c>
      <c r="B769" t="b">
        <v>0</v>
      </c>
      <c r="C769" s="18">
        <v>40578</v>
      </c>
      <c r="D769">
        <v>1</v>
      </c>
      <c r="E769">
        <v>0</v>
      </c>
      <c r="F769">
        <v>2</v>
      </c>
      <c r="G769">
        <v>10</v>
      </c>
      <c r="H769">
        <v>5</v>
      </c>
      <c r="I769">
        <v>2</v>
      </c>
      <c r="J769">
        <v>0.2</v>
      </c>
      <c r="K769">
        <v>0.21210000000000001</v>
      </c>
      <c r="L769">
        <v>0.51</v>
      </c>
      <c r="M769">
        <v>0.1343</v>
      </c>
      <c r="N769">
        <v>5</v>
      </c>
      <c r="O769">
        <v>46</v>
      </c>
      <c r="P769">
        <v>51</v>
      </c>
    </row>
    <row r="770" spans="1:16" x14ac:dyDescent="0.35">
      <c r="A770">
        <v>769</v>
      </c>
      <c r="B770" t="b">
        <v>0</v>
      </c>
      <c r="C770" s="18">
        <v>40578</v>
      </c>
      <c r="D770">
        <v>1</v>
      </c>
      <c r="E770">
        <v>0</v>
      </c>
      <c r="F770">
        <v>2</v>
      </c>
      <c r="G770">
        <v>11</v>
      </c>
      <c r="H770">
        <v>5</v>
      </c>
      <c r="I770">
        <v>1</v>
      </c>
      <c r="J770">
        <v>0.22</v>
      </c>
      <c r="K770">
        <v>0.2273</v>
      </c>
      <c r="L770">
        <v>0.51</v>
      </c>
      <c r="M770">
        <v>0.16420000000000001</v>
      </c>
      <c r="N770">
        <v>3</v>
      </c>
      <c r="O770">
        <v>61</v>
      </c>
      <c r="P770">
        <v>64</v>
      </c>
    </row>
    <row r="771" spans="1:16" x14ac:dyDescent="0.35">
      <c r="A771">
        <v>770</v>
      </c>
      <c r="B771" t="b">
        <v>0</v>
      </c>
      <c r="C771" s="18">
        <v>40578</v>
      </c>
      <c r="D771">
        <v>1</v>
      </c>
      <c r="E771">
        <v>0</v>
      </c>
      <c r="F771">
        <v>2</v>
      </c>
      <c r="G771">
        <v>12</v>
      </c>
      <c r="H771">
        <v>5</v>
      </c>
      <c r="I771">
        <v>2</v>
      </c>
      <c r="J771">
        <v>0.24</v>
      </c>
      <c r="K771">
        <v>0.2424</v>
      </c>
      <c r="L771">
        <v>0.48</v>
      </c>
      <c r="M771">
        <v>0.16420000000000001</v>
      </c>
      <c r="N771">
        <v>8</v>
      </c>
      <c r="O771">
        <v>78</v>
      </c>
      <c r="P771">
        <v>86</v>
      </c>
    </row>
    <row r="772" spans="1:16" x14ac:dyDescent="0.35">
      <c r="A772">
        <v>771</v>
      </c>
      <c r="B772" t="b">
        <v>0</v>
      </c>
      <c r="C772" s="18">
        <v>40578</v>
      </c>
      <c r="D772">
        <v>1</v>
      </c>
      <c r="E772">
        <v>0</v>
      </c>
      <c r="F772">
        <v>2</v>
      </c>
      <c r="G772">
        <v>13</v>
      </c>
      <c r="H772">
        <v>5</v>
      </c>
      <c r="I772">
        <v>2</v>
      </c>
      <c r="J772">
        <v>0.26</v>
      </c>
      <c r="K772">
        <v>0.2576</v>
      </c>
      <c r="L772">
        <v>0.5</v>
      </c>
      <c r="M772">
        <v>0.22389999999999999</v>
      </c>
      <c r="N772">
        <v>9</v>
      </c>
      <c r="O772">
        <v>73</v>
      </c>
      <c r="P772">
        <v>82</v>
      </c>
    </row>
    <row r="773" spans="1:16" x14ac:dyDescent="0.35">
      <c r="A773">
        <v>772</v>
      </c>
      <c r="B773" t="b">
        <v>0</v>
      </c>
      <c r="C773" s="18">
        <v>40578</v>
      </c>
      <c r="D773">
        <v>1</v>
      </c>
      <c r="E773">
        <v>0</v>
      </c>
      <c r="F773">
        <v>2</v>
      </c>
      <c r="G773">
        <v>14</v>
      </c>
      <c r="H773">
        <v>5</v>
      </c>
      <c r="I773">
        <v>2</v>
      </c>
      <c r="J773">
        <v>0.28000000000000003</v>
      </c>
      <c r="K773">
        <v>0.2727</v>
      </c>
      <c r="L773">
        <v>0.45</v>
      </c>
      <c r="M773">
        <v>0.16420000000000001</v>
      </c>
      <c r="N773">
        <v>15</v>
      </c>
      <c r="O773">
        <v>76</v>
      </c>
      <c r="P773">
        <v>91</v>
      </c>
    </row>
    <row r="774" spans="1:16" x14ac:dyDescent="0.35">
      <c r="A774">
        <v>773</v>
      </c>
      <c r="B774" t="b">
        <v>0</v>
      </c>
      <c r="C774" s="18">
        <v>40578</v>
      </c>
      <c r="D774">
        <v>1</v>
      </c>
      <c r="E774">
        <v>0</v>
      </c>
      <c r="F774">
        <v>2</v>
      </c>
      <c r="G774">
        <v>15</v>
      </c>
      <c r="H774">
        <v>5</v>
      </c>
      <c r="I774">
        <v>2</v>
      </c>
      <c r="J774">
        <v>0.28000000000000003</v>
      </c>
      <c r="K774">
        <v>0.2727</v>
      </c>
      <c r="L774">
        <v>0.48</v>
      </c>
      <c r="M774">
        <v>0.25369999999999998</v>
      </c>
      <c r="N774">
        <v>9</v>
      </c>
      <c r="O774">
        <v>81</v>
      </c>
      <c r="P774">
        <v>90</v>
      </c>
    </row>
    <row r="775" spans="1:16" x14ac:dyDescent="0.35">
      <c r="A775">
        <v>774</v>
      </c>
      <c r="B775" t="b">
        <v>0</v>
      </c>
      <c r="C775" s="18">
        <v>40578</v>
      </c>
      <c r="D775">
        <v>1</v>
      </c>
      <c r="E775">
        <v>0</v>
      </c>
      <c r="F775">
        <v>2</v>
      </c>
      <c r="G775">
        <v>16</v>
      </c>
      <c r="H775">
        <v>5</v>
      </c>
      <c r="I775">
        <v>2</v>
      </c>
      <c r="J775">
        <v>0.3</v>
      </c>
      <c r="K775">
        <v>0.28789999999999999</v>
      </c>
      <c r="L775">
        <v>0.42</v>
      </c>
      <c r="M775">
        <v>0.22389999999999999</v>
      </c>
      <c r="N775">
        <v>8</v>
      </c>
      <c r="O775">
        <v>91</v>
      </c>
      <c r="P775">
        <v>99</v>
      </c>
    </row>
    <row r="776" spans="1:16" x14ac:dyDescent="0.35">
      <c r="A776">
        <v>775</v>
      </c>
      <c r="B776" t="b">
        <v>0</v>
      </c>
      <c r="C776" s="18">
        <v>40578</v>
      </c>
      <c r="D776">
        <v>1</v>
      </c>
      <c r="E776">
        <v>0</v>
      </c>
      <c r="F776">
        <v>2</v>
      </c>
      <c r="G776">
        <v>17</v>
      </c>
      <c r="H776">
        <v>5</v>
      </c>
      <c r="I776">
        <v>2</v>
      </c>
      <c r="J776">
        <v>0.26</v>
      </c>
      <c r="K776">
        <v>0.2727</v>
      </c>
      <c r="L776">
        <v>0.56000000000000005</v>
      </c>
      <c r="M776">
        <v>0.1343</v>
      </c>
      <c r="N776">
        <v>10</v>
      </c>
      <c r="O776">
        <v>195</v>
      </c>
      <c r="P776">
        <v>205</v>
      </c>
    </row>
    <row r="777" spans="1:16" x14ac:dyDescent="0.35">
      <c r="A777">
        <v>776</v>
      </c>
      <c r="B777" t="b">
        <v>0</v>
      </c>
      <c r="C777" s="18">
        <v>40578</v>
      </c>
      <c r="D777">
        <v>1</v>
      </c>
      <c r="E777">
        <v>0</v>
      </c>
      <c r="F777">
        <v>2</v>
      </c>
      <c r="G777">
        <v>18</v>
      </c>
      <c r="H777">
        <v>5</v>
      </c>
      <c r="I777">
        <v>2</v>
      </c>
      <c r="J777">
        <v>0.24</v>
      </c>
      <c r="K777">
        <v>0.2576</v>
      </c>
      <c r="L777">
        <v>0.6</v>
      </c>
      <c r="M777">
        <v>0.1045</v>
      </c>
      <c r="N777">
        <v>3</v>
      </c>
      <c r="O777">
        <v>152</v>
      </c>
      <c r="P777">
        <v>155</v>
      </c>
    </row>
    <row r="778" spans="1:16" x14ac:dyDescent="0.35">
      <c r="A778">
        <v>777</v>
      </c>
      <c r="B778" t="b">
        <v>0</v>
      </c>
      <c r="C778" s="18">
        <v>40578</v>
      </c>
      <c r="D778">
        <v>1</v>
      </c>
      <c r="E778">
        <v>0</v>
      </c>
      <c r="F778">
        <v>2</v>
      </c>
      <c r="G778">
        <v>19</v>
      </c>
      <c r="H778">
        <v>5</v>
      </c>
      <c r="I778">
        <v>2</v>
      </c>
      <c r="J778">
        <v>0.24</v>
      </c>
      <c r="K778">
        <v>0.2424</v>
      </c>
      <c r="L778">
        <v>0.65</v>
      </c>
      <c r="M778">
        <v>0.1343</v>
      </c>
      <c r="N778">
        <v>1</v>
      </c>
      <c r="O778">
        <v>102</v>
      </c>
      <c r="P778">
        <v>103</v>
      </c>
    </row>
    <row r="779" spans="1:16" x14ac:dyDescent="0.35">
      <c r="A779">
        <v>778</v>
      </c>
      <c r="B779" t="b">
        <v>0</v>
      </c>
      <c r="C779" s="18">
        <v>40578</v>
      </c>
      <c r="D779">
        <v>1</v>
      </c>
      <c r="E779">
        <v>0</v>
      </c>
      <c r="F779">
        <v>2</v>
      </c>
      <c r="G779">
        <v>20</v>
      </c>
      <c r="H779">
        <v>5</v>
      </c>
      <c r="I779">
        <v>2</v>
      </c>
      <c r="J779">
        <v>0.24</v>
      </c>
      <c r="K779">
        <v>0.2424</v>
      </c>
      <c r="L779">
        <v>0.65</v>
      </c>
      <c r="M779">
        <v>0.16420000000000001</v>
      </c>
      <c r="N779">
        <v>2</v>
      </c>
      <c r="O779">
        <v>69</v>
      </c>
      <c r="P779">
        <v>71</v>
      </c>
    </row>
    <row r="780" spans="1:16" x14ac:dyDescent="0.35">
      <c r="A780">
        <v>779</v>
      </c>
      <c r="B780" t="b">
        <v>0</v>
      </c>
      <c r="C780" s="18">
        <v>40578</v>
      </c>
      <c r="D780">
        <v>1</v>
      </c>
      <c r="E780">
        <v>0</v>
      </c>
      <c r="F780">
        <v>2</v>
      </c>
      <c r="G780">
        <v>21</v>
      </c>
      <c r="H780">
        <v>5</v>
      </c>
      <c r="I780">
        <v>2</v>
      </c>
      <c r="J780">
        <v>0.24</v>
      </c>
      <c r="K780">
        <v>0.2424</v>
      </c>
      <c r="L780">
        <v>0.7</v>
      </c>
      <c r="M780">
        <v>0.16420000000000001</v>
      </c>
      <c r="N780">
        <v>2</v>
      </c>
      <c r="O780">
        <v>41</v>
      </c>
      <c r="P780">
        <v>43</v>
      </c>
    </row>
    <row r="781" spans="1:16" x14ac:dyDescent="0.35">
      <c r="A781">
        <v>780</v>
      </c>
      <c r="B781" t="b">
        <v>0</v>
      </c>
      <c r="C781" s="18">
        <v>40578</v>
      </c>
      <c r="D781">
        <v>1</v>
      </c>
      <c r="E781">
        <v>0</v>
      </c>
      <c r="F781">
        <v>2</v>
      </c>
      <c r="G781">
        <v>22</v>
      </c>
      <c r="H781">
        <v>5</v>
      </c>
      <c r="I781">
        <v>2</v>
      </c>
      <c r="J781">
        <v>0.24</v>
      </c>
      <c r="K781">
        <v>0.2424</v>
      </c>
      <c r="L781">
        <v>0.65</v>
      </c>
      <c r="M781">
        <v>0.16420000000000001</v>
      </c>
      <c r="N781">
        <v>1</v>
      </c>
      <c r="O781">
        <v>45</v>
      </c>
      <c r="P781">
        <v>46</v>
      </c>
    </row>
    <row r="782" spans="1:16" x14ac:dyDescent="0.35">
      <c r="A782">
        <v>781</v>
      </c>
      <c r="B782" t="b">
        <v>0</v>
      </c>
      <c r="C782" s="18">
        <v>40578</v>
      </c>
      <c r="D782">
        <v>1</v>
      </c>
      <c r="E782">
        <v>0</v>
      </c>
      <c r="F782">
        <v>2</v>
      </c>
      <c r="G782">
        <v>23</v>
      </c>
      <c r="H782">
        <v>5</v>
      </c>
      <c r="I782">
        <v>2</v>
      </c>
      <c r="J782">
        <v>0.24</v>
      </c>
      <c r="K782">
        <v>0.2424</v>
      </c>
      <c r="L782">
        <v>0.7</v>
      </c>
      <c r="M782">
        <v>0.1343</v>
      </c>
      <c r="N782">
        <v>1</v>
      </c>
      <c r="O782">
        <v>30</v>
      </c>
      <c r="P782">
        <v>31</v>
      </c>
    </row>
    <row r="783" spans="1:16" x14ac:dyDescent="0.35">
      <c r="A783">
        <v>782</v>
      </c>
      <c r="B783" t="b">
        <v>0</v>
      </c>
      <c r="C783" s="18">
        <v>40579</v>
      </c>
      <c r="D783">
        <v>1</v>
      </c>
      <c r="E783">
        <v>0</v>
      </c>
      <c r="F783">
        <v>2</v>
      </c>
      <c r="G783">
        <v>0</v>
      </c>
      <c r="H783">
        <v>6</v>
      </c>
      <c r="I783">
        <v>2</v>
      </c>
      <c r="J783">
        <v>0.24</v>
      </c>
      <c r="K783">
        <v>0.2424</v>
      </c>
      <c r="L783">
        <v>0.7</v>
      </c>
      <c r="M783">
        <v>0.16420000000000001</v>
      </c>
      <c r="N783">
        <v>3</v>
      </c>
      <c r="O783">
        <v>36</v>
      </c>
      <c r="P783">
        <v>39</v>
      </c>
    </row>
    <row r="784" spans="1:16" x14ac:dyDescent="0.35">
      <c r="A784">
        <v>783</v>
      </c>
      <c r="B784" t="b">
        <v>0</v>
      </c>
      <c r="C784" s="18">
        <v>40579</v>
      </c>
      <c r="D784">
        <v>1</v>
      </c>
      <c r="E784">
        <v>0</v>
      </c>
      <c r="F784">
        <v>2</v>
      </c>
      <c r="G784">
        <v>1</v>
      </c>
      <c r="H784">
        <v>6</v>
      </c>
      <c r="I784">
        <v>2</v>
      </c>
      <c r="J784">
        <v>0.24</v>
      </c>
      <c r="K784">
        <v>0.2424</v>
      </c>
      <c r="L784">
        <v>0.65</v>
      </c>
      <c r="M784">
        <v>0.16420000000000001</v>
      </c>
      <c r="N784">
        <v>1</v>
      </c>
      <c r="O784">
        <v>17</v>
      </c>
      <c r="P784">
        <v>18</v>
      </c>
    </row>
    <row r="785" spans="1:16" x14ac:dyDescent="0.35">
      <c r="A785">
        <v>784</v>
      </c>
      <c r="B785" t="b">
        <v>0</v>
      </c>
      <c r="C785" s="18">
        <v>40579</v>
      </c>
      <c r="D785">
        <v>1</v>
      </c>
      <c r="E785">
        <v>0</v>
      </c>
      <c r="F785">
        <v>2</v>
      </c>
      <c r="G785">
        <v>2</v>
      </c>
      <c r="H785">
        <v>6</v>
      </c>
      <c r="I785">
        <v>2</v>
      </c>
      <c r="J785">
        <v>0.24</v>
      </c>
      <c r="K785">
        <v>0.2424</v>
      </c>
      <c r="L785">
        <v>0.75</v>
      </c>
      <c r="M785">
        <v>0.16420000000000001</v>
      </c>
      <c r="N785">
        <v>5</v>
      </c>
      <c r="O785">
        <v>12</v>
      </c>
      <c r="P785">
        <v>17</v>
      </c>
    </row>
    <row r="786" spans="1:16" x14ac:dyDescent="0.35">
      <c r="A786">
        <v>785</v>
      </c>
      <c r="B786" t="b">
        <v>0</v>
      </c>
      <c r="C786" s="18">
        <v>40579</v>
      </c>
      <c r="D786">
        <v>1</v>
      </c>
      <c r="E786">
        <v>0</v>
      </c>
      <c r="F786">
        <v>2</v>
      </c>
      <c r="G786">
        <v>3</v>
      </c>
      <c r="H786">
        <v>6</v>
      </c>
      <c r="I786">
        <v>2</v>
      </c>
      <c r="J786">
        <v>0.24</v>
      </c>
      <c r="K786">
        <v>0.2424</v>
      </c>
      <c r="L786">
        <v>0.75</v>
      </c>
      <c r="M786">
        <v>0.16420000000000001</v>
      </c>
      <c r="N786">
        <v>1</v>
      </c>
      <c r="O786">
        <v>10</v>
      </c>
      <c r="P786">
        <v>11</v>
      </c>
    </row>
    <row r="787" spans="1:16" x14ac:dyDescent="0.35">
      <c r="A787">
        <v>786</v>
      </c>
      <c r="B787" t="b">
        <v>0</v>
      </c>
      <c r="C787" s="18">
        <v>40579</v>
      </c>
      <c r="D787">
        <v>1</v>
      </c>
      <c r="E787">
        <v>0</v>
      </c>
      <c r="F787">
        <v>2</v>
      </c>
      <c r="G787">
        <v>4</v>
      </c>
      <c r="H787">
        <v>6</v>
      </c>
      <c r="I787">
        <v>3</v>
      </c>
      <c r="J787">
        <v>0.22</v>
      </c>
      <c r="K787">
        <v>0.2273</v>
      </c>
      <c r="L787">
        <v>0.93</v>
      </c>
      <c r="M787">
        <v>0.1343</v>
      </c>
      <c r="N787">
        <v>0</v>
      </c>
      <c r="O787">
        <v>8</v>
      </c>
      <c r="P787">
        <v>8</v>
      </c>
    </row>
    <row r="788" spans="1:16" x14ac:dyDescent="0.35">
      <c r="A788">
        <v>787</v>
      </c>
      <c r="B788" t="b">
        <v>0</v>
      </c>
      <c r="C788" s="18">
        <v>40579</v>
      </c>
      <c r="D788">
        <v>1</v>
      </c>
      <c r="E788">
        <v>0</v>
      </c>
      <c r="F788">
        <v>2</v>
      </c>
      <c r="G788">
        <v>5</v>
      </c>
      <c r="H788">
        <v>6</v>
      </c>
      <c r="I788">
        <v>3</v>
      </c>
      <c r="J788">
        <v>0.2</v>
      </c>
      <c r="K788">
        <v>0.2273</v>
      </c>
      <c r="L788">
        <v>1</v>
      </c>
      <c r="M788">
        <v>8.9599999999999999E-2</v>
      </c>
      <c r="N788">
        <v>0</v>
      </c>
      <c r="O788">
        <v>9</v>
      </c>
      <c r="P788">
        <v>9</v>
      </c>
    </row>
    <row r="789" spans="1:16" x14ac:dyDescent="0.35">
      <c r="A789">
        <v>788</v>
      </c>
      <c r="B789" t="b">
        <v>0</v>
      </c>
      <c r="C789" s="18">
        <v>40579</v>
      </c>
      <c r="D789">
        <v>1</v>
      </c>
      <c r="E789">
        <v>0</v>
      </c>
      <c r="F789">
        <v>2</v>
      </c>
      <c r="G789">
        <v>6</v>
      </c>
      <c r="H789">
        <v>6</v>
      </c>
      <c r="I789">
        <v>3</v>
      </c>
      <c r="J789">
        <v>0.2</v>
      </c>
      <c r="K789">
        <v>0.2576</v>
      </c>
      <c r="L789">
        <v>1</v>
      </c>
      <c r="M789">
        <v>0</v>
      </c>
      <c r="N789">
        <v>0</v>
      </c>
      <c r="O789">
        <v>4</v>
      </c>
      <c r="P789">
        <v>4</v>
      </c>
    </row>
    <row r="790" spans="1:16" x14ac:dyDescent="0.35">
      <c r="A790">
        <v>789</v>
      </c>
      <c r="B790" t="b">
        <v>0</v>
      </c>
      <c r="C790" s="18">
        <v>40579</v>
      </c>
      <c r="D790">
        <v>1</v>
      </c>
      <c r="E790">
        <v>0</v>
      </c>
      <c r="F790">
        <v>2</v>
      </c>
      <c r="G790">
        <v>7</v>
      </c>
      <c r="H790">
        <v>6</v>
      </c>
      <c r="I790">
        <v>3</v>
      </c>
      <c r="J790">
        <v>0.22</v>
      </c>
      <c r="K790">
        <v>0.2576</v>
      </c>
      <c r="L790">
        <v>0.93</v>
      </c>
      <c r="M790">
        <v>8.9599999999999999E-2</v>
      </c>
      <c r="N790">
        <v>0</v>
      </c>
      <c r="O790">
        <v>4</v>
      </c>
      <c r="P790">
        <v>4</v>
      </c>
    </row>
    <row r="791" spans="1:16" x14ac:dyDescent="0.35">
      <c r="A791">
        <v>790</v>
      </c>
      <c r="B791" t="b">
        <v>0</v>
      </c>
      <c r="C791" s="18">
        <v>40579</v>
      </c>
      <c r="D791">
        <v>1</v>
      </c>
      <c r="E791">
        <v>0</v>
      </c>
      <c r="F791">
        <v>2</v>
      </c>
      <c r="G791">
        <v>8</v>
      </c>
      <c r="H791">
        <v>6</v>
      </c>
      <c r="I791">
        <v>3</v>
      </c>
      <c r="J791">
        <v>0.2</v>
      </c>
      <c r="K791">
        <v>0.2273</v>
      </c>
      <c r="L791">
        <v>1</v>
      </c>
      <c r="M791">
        <v>8.9599999999999999E-2</v>
      </c>
      <c r="N791">
        <v>0</v>
      </c>
      <c r="O791">
        <v>10</v>
      </c>
      <c r="P791">
        <v>10</v>
      </c>
    </row>
    <row r="792" spans="1:16" x14ac:dyDescent="0.35">
      <c r="A792">
        <v>791</v>
      </c>
      <c r="B792" t="b">
        <v>0</v>
      </c>
      <c r="C792" s="18">
        <v>40579</v>
      </c>
      <c r="D792">
        <v>1</v>
      </c>
      <c r="E792">
        <v>0</v>
      </c>
      <c r="F792">
        <v>2</v>
      </c>
      <c r="G792">
        <v>9</v>
      </c>
      <c r="H792">
        <v>6</v>
      </c>
      <c r="I792">
        <v>3</v>
      </c>
      <c r="J792">
        <v>0.2</v>
      </c>
      <c r="K792">
        <v>0.2273</v>
      </c>
      <c r="L792">
        <v>1</v>
      </c>
      <c r="M792">
        <v>8.9599999999999999E-2</v>
      </c>
      <c r="N792">
        <v>3</v>
      </c>
      <c r="O792">
        <v>17</v>
      </c>
      <c r="P792">
        <v>20</v>
      </c>
    </row>
    <row r="793" spans="1:16" x14ac:dyDescent="0.35">
      <c r="A793">
        <v>792</v>
      </c>
      <c r="B793" t="b">
        <v>0</v>
      </c>
      <c r="C793" s="18">
        <v>40579</v>
      </c>
      <c r="D793">
        <v>1</v>
      </c>
      <c r="E793">
        <v>0</v>
      </c>
      <c r="F793">
        <v>2</v>
      </c>
      <c r="G793">
        <v>10</v>
      </c>
      <c r="H793">
        <v>6</v>
      </c>
      <c r="I793">
        <v>3</v>
      </c>
      <c r="J793">
        <v>0.2</v>
      </c>
      <c r="K793">
        <v>0.21210000000000001</v>
      </c>
      <c r="L793">
        <v>1</v>
      </c>
      <c r="M793">
        <v>0.1343</v>
      </c>
      <c r="N793">
        <v>3</v>
      </c>
      <c r="O793">
        <v>31</v>
      </c>
      <c r="P793">
        <v>34</v>
      </c>
    </row>
    <row r="794" spans="1:16" x14ac:dyDescent="0.35">
      <c r="A794">
        <v>793</v>
      </c>
      <c r="B794" t="b">
        <v>0</v>
      </c>
      <c r="C794" s="18">
        <v>40579</v>
      </c>
      <c r="D794">
        <v>1</v>
      </c>
      <c r="E794">
        <v>0</v>
      </c>
      <c r="F794">
        <v>2</v>
      </c>
      <c r="G794">
        <v>11</v>
      </c>
      <c r="H794">
        <v>6</v>
      </c>
      <c r="I794">
        <v>3</v>
      </c>
      <c r="J794">
        <v>0.22</v>
      </c>
      <c r="K794">
        <v>0.2273</v>
      </c>
      <c r="L794">
        <v>1</v>
      </c>
      <c r="M794">
        <v>0.1343</v>
      </c>
      <c r="N794">
        <v>1</v>
      </c>
      <c r="O794">
        <v>46</v>
      </c>
      <c r="P794">
        <v>47</v>
      </c>
    </row>
    <row r="795" spans="1:16" x14ac:dyDescent="0.35">
      <c r="A795">
        <v>794</v>
      </c>
      <c r="B795" t="b">
        <v>0</v>
      </c>
      <c r="C795" s="18">
        <v>40579</v>
      </c>
      <c r="D795">
        <v>1</v>
      </c>
      <c r="E795">
        <v>0</v>
      </c>
      <c r="F795">
        <v>2</v>
      </c>
      <c r="G795">
        <v>12</v>
      </c>
      <c r="H795">
        <v>6</v>
      </c>
      <c r="I795">
        <v>3</v>
      </c>
      <c r="J795">
        <v>0.22</v>
      </c>
      <c r="K795">
        <v>0.2273</v>
      </c>
      <c r="L795">
        <v>1</v>
      </c>
      <c r="M795">
        <v>0.16420000000000001</v>
      </c>
      <c r="N795">
        <v>10</v>
      </c>
      <c r="O795">
        <v>42</v>
      </c>
      <c r="P795">
        <v>52</v>
      </c>
    </row>
    <row r="796" spans="1:16" x14ac:dyDescent="0.35">
      <c r="A796">
        <v>795</v>
      </c>
      <c r="B796" t="b">
        <v>0</v>
      </c>
      <c r="C796" s="18">
        <v>40579</v>
      </c>
      <c r="D796">
        <v>1</v>
      </c>
      <c r="E796">
        <v>0</v>
      </c>
      <c r="F796">
        <v>2</v>
      </c>
      <c r="G796">
        <v>13</v>
      </c>
      <c r="H796">
        <v>6</v>
      </c>
      <c r="I796">
        <v>3</v>
      </c>
      <c r="J796">
        <v>0.22</v>
      </c>
      <c r="K796">
        <v>0.2273</v>
      </c>
      <c r="L796">
        <v>1</v>
      </c>
      <c r="M796">
        <v>0.16420000000000001</v>
      </c>
      <c r="N796">
        <v>10</v>
      </c>
      <c r="O796">
        <v>62</v>
      </c>
      <c r="P796">
        <v>72</v>
      </c>
    </row>
    <row r="797" spans="1:16" x14ac:dyDescent="0.35">
      <c r="A797">
        <v>796</v>
      </c>
      <c r="B797" t="b">
        <v>0</v>
      </c>
      <c r="C797" s="18">
        <v>40579</v>
      </c>
      <c r="D797">
        <v>1</v>
      </c>
      <c r="E797">
        <v>0</v>
      </c>
      <c r="F797">
        <v>2</v>
      </c>
      <c r="G797">
        <v>14</v>
      </c>
      <c r="H797">
        <v>6</v>
      </c>
      <c r="I797">
        <v>3</v>
      </c>
      <c r="J797">
        <v>0.22</v>
      </c>
      <c r="K797">
        <v>0.2727</v>
      </c>
      <c r="L797">
        <v>1</v>
      </c>
      <c r="M797">
        <v>0</v>
      </c>
      <c r="N797">
        <v>5</v>
      </c>
      <c r="O797">
        <v>50</v>
      </c>
      <c r="P797">
        <v>55</v>
      </c>
    </row>
    <row r="798" spans="1:16" x14ac:dyDescent="0.35">
      <c r="A798">
        <v>797</v>
      </c>
      <c r="B798" t="b">
        <v>0</v>
      </c>
      <c r="C798" s="18">
        <v>40579</v>
      </c>
      <c r="D798">
        <v>1</v>
      </c>
      <c r="E798">
        <v>0</v>
      </c>
      <c r="F798">
        <v>2</v>
      </c>
      <c r="G798">
        <v>15</v>
      </c>
      <c r="H798">
        <v>6</v>
      </c>
      <c r="I798">
        <v>3</v>
      </c>
      <c r="J798">
        <v>0.22</v>
      </c>
      <c r="K798">
        <v>0.2727</v>
      </c>
      <c r="L798">
        <v>1</v>
      </c>
      <c r="M798">
        <v>0</v>
      </c>
      <c r="N798">
        <v>11</v>
      </c>
      <c r="O798">
        <v>49</v>
      </c>
      <c r="P798">
        <v>60</v>
      </c>
    </row>
    <row r="799" spans="1:16" x14ac:dyDescent="0.35">
      <c r="A799">
        <v>798</v>
      </c>
      <c r="B799" t="b">
        <v>0</v>
      </c>
      <c r="C799" s="18">
        <v>40579</v>
      </c>
      <c r="D799">
        <v>1</v>
      </c>
      <c r="E799">
        <v>0</v>
      </c>
      <c r="F799">
        <v>2</v>
      </c>
      <c r="G799">
        <v>16</v>
      </c>
      <c r="H799">
        <v>6</v>
      </c>
      <c r="I799">
        <v>3</v>
      </c>
      <c r="J799">
        <v>0.22</v>
      </c>
      <c r="K799">
        <v>0.2273</v>
      </c>
      <c r="L799">
        <v>1</v>
      </c>
      <c r="M799">
        <v>0.1343</v>
      </c>
      <c r="N799">
        <v>8</v>
      </c>
      <c r="O799">
        <v>63</v>
      </c>
      <c r="P799">
        <v>71</v>
      </c>
    </row>
    <row r="800" spans="1:16" x14ac:dyDescent="0.35">
      <c r="A800">
        <v>799</v>
      </c>
      <c r="B800" t="b">
        <v>0</v>
      </c>
      <c r="C800" s="18">
        <v>40579</v>
      </c>
      <c r="D800">
        <v>1</v>
      </c>
      <c r="E800">
        <v>0</v>
      </c>
      <c r="F800">
        <v>2</v>
      </c>
      <c r="G800">
        <v>17</v>
      </c>
      <c r="H800">
        <v>6</v>
      </c>
      <c r="I800">
        <v>2</v>
      </c>
      <c r="J800">
        <v>0.24</v>
      </c>
      <c r="K800">
        <v>0.21210000000000001</v>
      </c>
      <c r="L800">
        <v>1</v>
      </c>
      <c r="M800">
        <v>0.28360000000000002</v>
      </c>
      <c r="N800">
        <v>14</v>
      </c>
      <c r="O800">
        <v>64</v>
      </c>
      <c r="P800">
        <v>78</v>
      </c>
    </row>
    <row r="801" spans="1:16" x14ac:dyDescent="0.35">
      <c r="A801">
        <v>800</v>
      </c>
      <c r="B801" t="b">
        <v>0</v>
      </c>
      <c r="C801" s="18">
        <v>40579</v>
      </c>
      <c r="D801">
        <v>1</v>
      </c>
      <c r="E801">
        <v>0</v>
      </c>
      <c r="F801">
        <v>2</v>
      </c>
      <c r="G801">
        <v>18</v>
      </c>
      <c r="H801">
        <v>6</v>
      </c>
      <c r="I801">
        <v>2</v>
      </c>
      <c r="J801">
        <v>0.28000000000000003</v>
      </c>
      <c r="K801">
        <v>0.2424</v>
      </c>
      <c r="L801">
        <v>0.93</v>
      </c>
      <c r="M801">
        <v>0.44779999999999998</v>
      </c>
      <c r="N801">
        <v>2</v>
      </c>
      <c r="O801">
        <v>81</v>
      </c>
      <c r="P801">
        <v>83</v>
      </c>
    </row>
    <row r="802" spans="1:16" x14ac:dyDescent="0.35">
      <c r="A802">
        <v>801</v>
      </c>
      <c r="B802" t="b">
        <v>0</v>
      </c>
      <c r="C802" s="18">
        <v>40579</v>
      </c>
      <c r="D802">
        <v>1</v>
      </c>
      <c r="E802">
        <v>0</v>
      </c>
      <c r="F802">
        <v>2</v>
      </c>
      <c r="G802">
        <v>19</v>
      </c>
      <c r="H802">
        <v>6</v>
      </c>
      <c r="I802">
        <v>2</v>
      </c>
      <c r="J802">
        <v>0.28000000000000003</v>
      </c>
      <c r="K802">
        <v>0.2424</v>
      </c>
      <c r="L802">
        <v>0.93</v>
      </c>
      <c r="M802">
        <v>0.44779999999999998</v>
      </c>
      <c r="N802">
        <v>6</v>
      </c>
      <c r="O802">
        <v>78</v>
      </c>
      <c r="P802">
        <v>84</v>
      </c>
    </row>
    <row r="803" spans="1:16" x14ac:dyDescent="0.35">
      <c r="A803">
        <v>802</v>
      </c>
      <c r="B803" t="b">
        <v>0</v>
      </c>
      <c r="C803" s="18">
        <v>40579</v>
      </c>
      <c r="D803">
        <v>1</v>
      </c>
      <c r="E803">
        <v>0</v>
      </c>
      <c r="F803">
        <v>2</v>
      </c>
      <c r="G803">
        <v>20</v>
      </c>
      <c r="H803">
        <v>6</v>
      </c>
      <c r="I803">
        <v>1</v>
      </c>
      <c r="J803">
        <v>0.3</v>
      </c>
      <c r="K803">
        <v>0.28789999999999999</v>
      </c>
      <c r="L803">
        <v>0.87</v>
      </c>
      <c r="M803">
        <v>0.25369999999999998</v>
      </c>
      <c r="N803">
        <v>5</v>
      </c>
      <c r="O803">
        <v>64</v>
      </c>
      <c r="P803">
        <v>69</v>
      </c>
    </row>
    <row r="804" spans="1:16" x14ac:dyDescent="0.35">
      <c r="A804">
        <v>803</v>
      </c>
      <c r="B804" t="b">
        <v>0</v>
      </c>
      <c r="C804" s="18">
        <v>40579</v>
      </c>
      <c r="D804">
        <v>1</v>
      </c>
      <c r="E804">
        <v>0</v>
      </c>
      <c r="F804">
        <v>2</v>
      </c>
      <c r="G804">
        <v>21</v>
      </c>
      <c r="H804">
        <v>6</v>
      </c>
      <c r="I804">
        <v>1</v>
      </c>
      <c r="J804">
        <v>0.26</v>
      </c>
      <c r="K804">
        <v>0.2576</v>
      </c>
      <c r="L804">
        <v>1</v>
      </c>
      <c r="M804">
        <v>0.19400000000000001</v>
      </c>
      <c r="N804">
        <v>3</v>
      </c>
      <c r="O804">
        <v>53</v>
      </c>
      <c r="P804">
        <v>56</v>
      </c>
    </row>
    <row r="805" spans="1:16" x14ac:dyDescent="0.35">
      <c r="A805">
        <v>804</v>
      </c>
      <c r="B805" t="b">
        <v>0</v>
      </c>
      <c r="C805" s="18">
        <v>40579</v>
      </c>
      <c r="D805">
        <v>1</v>
      </c>
      <c r="E805">
        <v>0</v>
      </c>
      <c r="F805">
        <v>2</v>
      </c>
      <c r="G805">
        <v>22</v>
      </c>
      <c r="H805">
        <v>6</v>
      </c>
      <c r="I805">
        <v>1</v>
      </c>
      <c r="J805">
        <v>0.26</v>
      </c>
      <c r="K805">
        <v>0.2727</v>
      </c>
      <c r="L805">
        <v>0.93</v>
      </c>
      <c r="M805">
        <v>0.1343</v>
      </c>
      <c r="N805">
        <v>2</v>
      </c>
      <c r="O805">
        <v>43</v>
      </c>
      <c r="P805">
        <v>45</v>
      </c>
    </row>
    <row r="806" spans="1:16" x14ac:dyDescent="0.35">
      <c r="A806">
        <v>805</v>
      </c>
      <c r="B806" t="b">
        <v>0</v>
      </c>
      <c r="C806" s="18">
        <v>40579</v>
      </c>
      <c r="D806">
        <v>1</v>
      </c>
      <c r="E806">
        <v>0</v>
      </c>
      <c r="F806">
        <v>2</v>
      </c>
      <c r="G806">
        <v>23</v>
      </c>
      <c r="H806">
        <v>6</v>
      </c>
      <c r="I806">
        <v>1</v>
      </c>
      <c r="J806">
        <v>0.26</v>
      </c>
      <c r="K806">
        <v>0.2576</v>
      </c>
      <c r="L806">
        <v>0.93</v>
      </c>
      <c r="M806">
        <v>0.22389999999999999</v>
      </c>
      <c r="N806">
        <v>7</v>
      </c>
      <c r="O806">
        <v>52</v>
      </c>
      <c r="P806">
        <v>59</v>
      </c>
    </row>
    <row r="807" spans="1:16" x14ac:dyDescent="0.35">
      <c r="A807">
        <v>806</v>
      </c>
      <c r="B807" t="b">
        <v>0</v>
      </c>
      <c r="C807" s="18">
        <v>40580</v>
      </c>
      <c r="D807">
        <v>1</v>
      </c>
      <c r="E807">
        <v>0</v>
      </c>
      <c r="F807">
        <v>2</v>
      </c>
      <c r="G807">
        <v>0</v>
      </c>
      <c r="H807">
        <v>0</v>
      </c>
      <c r="I807">
        <v>1</v>
      </c>
      <c r="J807">
        <v>0.26</v>
      </c>
      <c r="K807">
        <v>0.2576</v>
      </c>
      <c r="L807">
        <v>0.7</v>
      </c>
      <c r="M807">
        <v>0.19400000000000001</v>
      </c>
      <c r="N807">
        <v>2</v>
      </c>
      <c r="O807">
        <v>37</v>
      </c>
      <c r="P807">
        <v>39</v>
      </c>
    </row>
    <row r="808" spans="1:16" x14ac:dyDescent="0.35">
      <c r="A808">
        <v>807</v>
      </c>
      <c r="B808" t="b">
        <v>0</v>
      </c>
      <c r="C808" s="18">
        <v>40580</v>
      </c>
      <c r="D808">
        <v>1</v>
      </c>
      <c r="E808">
        <v>0</v>
      </c>
      <c r="F808">
        <v>2</v>
      </c>
      <c r="G808">
        <v>1</v>
      </c>
      <c r="H808">
        <v>0</v>
      </c>
      <c r="I808">
        <v>1</v>
      </c>
      <c r="J808">
        <v>0.26</v>
      </c>
      <c r="K808">
        <v>0.2273</v>
      </c>
      <c r="L808">
        <v>0.65</v>
      </c>
      <c r="M808">
        <v>0.41789999999999999</v>
      </c>
      <c r="N808">
        <v>4</v>
      </c>
      <c r="O808">
        <v>40</v>
      </c>
      <c r="P808">
        <v>44</v>
      </c>
    </row>
    <row r="809" spans="1:16" x14ac:dyDescent="0.35">
      <c r="A809">
        <v>808</v>
      </c>
      <c r="B809" t="b">
        <v>0</v>
      </c>
      <c r="C809" s="18">
        <v>40580</v>
      </c>
      <c r="D809">
        <v>1</v>
      </c>
      <c r="E809">
        <v>0</v>
      </c>
      <c r="F809">
        <v>2</v>
      </c>
      <c r="G809">
        <v>2</v>
      </c>
      <c r="H809">
        <v>0</v>
      </c>
      <c r="I809">
        <v>1</v>
      </c>
      <c r="J809">
        <v>0.26</v>
      </c>
      <c r="K809">
        <v>0.2273</v>
      </c>
      <c r="L809">
        <v>0.6</v>
      </c>
      <c r="M809">
        <v>0.32840000000000003</v>
      </c>
      <c r="N809">
        <v>0</v>
      </c>
      <c r="O809">
        <v>20</v>
      </c>
      <c r="P809">
        <v>20</v>
      </c>
    </row>
    <row r="810" spans="1:16" x14ac:dyDescent="0.35">
      <c r="A810">
        <v>809</v>
      </c>
      <c r="B810" t="b">
        <v>0</v>
      </c>
      <c r="C810" s="18">
        <v>40580</v>
      </c>
      <c r="D810">
        <v>1</v>
      </c>
      <c r="E810">
        <v>0</v>
      </c>
      <c r="F810">
        <v>2</v>
      </c>
      <c r="G810">
        <v>3</v>
      </c>
      <c r="H810">
        <v>0</v>
      </c>
      <c r="I810">
        <v>1</v>
      </c>
      <c r="J810">
        <v>0.26</v>
      </c>
      <c r="K810">
        <v>0.28789999999999999</v>
      </c>
      <c r="L810">
        <v>0.6</v>
      </c>
      <c r="M810">
        <v>8.9599999999999999E-2</v>
      </c>
      <c r="N810">
        <v>3</v>
      </c>
      <c r="O810">
        <v>10</v>
      </c>
      <c r="P810">
        <v>13</v>
      </c>
    </row>
    <row r="811" spans="1:16" x14ac:dyDescent="0.35">
      <c r="A811">
        <v>810</v>
      </c>
      <c r="B811" t="b">
        <v>0</v>
      </c>
      <c r="C811" s="18">
        <v>40580</v>
      </c>
      <c r="D811">
        <v>1</v>
      </c>
      <c r="E811">
        <v>0</v>
      </c>
      <c r="F811">
        <v>2</v>
      </c>
      <c r="G811">
        <v>4</v>
      </c>
      <c r="H811">
        <v>0</v>
      </c>
      <c r="I811">
        <v>1</v>
      </c>
      <c r="J811">
        <v>0.26</v>
      </c>
      <c r="K811">
        <v>0.2273</v>
      </c>
      <c r="L811">
        <v>0.6</v>
      </c>
      <c r="M811">
        <v>0.35820000000000002</v>
      </c>
      <c r="N811">
        <v>0</v>
      </c>
      <c r="O811">
        <v>2</v>
      </c>
      <c r="P811">
        <v>2</v>
      </c>
    </row>
    <row r="812" spans="1:16" x14ac:dyDescent="0.35">
      <c r="A812">
        <v>811</v>
      </c>
      <c r="B812" t="b">
        <v>0</v>
      </c>
      <c r="C812" s="18">
        <v>40580</v>
      </c>
      <c r="D812">
        <v>1</v>
      </c>
      <c r="E812">
        <v>0</v>
      </c>
      <c r="F812">
        <v>2</v>
      </c>
      <c r="G812">
        <v>5</v>
      </c>
      <c r="H812">
        <v>0</v>
      </c>
      <c r="I812">
        <v>1</v>
      </c>
      <c r="J812">
        <v>0.26</v>
      </c>
      <c r="K812">
        <v>0.2576</v>
      </c>
      <c r="L812">
        <v>0.6</v>
      </c>
      <c r="M812">
        <v>0.22389999999999999</v>
      </c>
      <c r="N812">
        <v>0</v>
      </c>
      <c r="O812">
        <v>1</v>
      </c>
      <c r="P812">
        <v>1</v>
      </c>
    </row>
    <row r="813" spans="1:16" x14ac:dyDescent="0.35">
      <c r="A813">
        <v>812</v>
      </c>
      <c r="B813" t="b">
        <v>0</v>
      </c>
      <c r="C813" s="18">
        <v>40580</v>
      </c>
      <c r="D813">
        <v>1</v>
      </c>
      <c r="E813">
        <v>0</v>
      </c>
      <c r="F813">
        <v>2</v>
      </c>
      <c r="G813">
        <v>6</v>
      </c>
      <c r="H813">
        <v>0</v>
      </c>
      <c r="I813">
        <v>1</v>
      </c>
      <c r="J813">
        <v>0.26</v>
      </c>
      <c r="K813">
        <v>0.2576</v>
      </c>
      <c r="L813">
        <v>0.6</v>
      </c>
      <c r="M813">
        <v>0.22389999999999999</v>
      </c>
      <c r="N813">
        <v>0</v>
      </c>
      <c r="O813">
        <v>1</v>
      </c>
      <c r="P813">
        <v>1</v>
      </c>
    </row>
    <row r="814" spans="1:16" x14ac:dyDescent="0.35">
      <c r="A814">
        <v>813</v>
      </c>
      <c r="B814" t="b">
        <v>0</v>
      </c>
      <c r="C814" s="18">
        <v>40580</v>
      </c>
      <c r="D814">
        <v>1</v>
      </c>
      <c r="E814">
        <v>0</v>
      </c>
      <c r="F814">
        <v>2</v>
      </c>
      <c r="G814">
        <v>7</v>
      </c>
      <c r="H814">
        <v>0</v>
      </c>
      <c r="I814">
        <v>1</v>
      </c>
      <c r="J814">
        <v>0.24</v>
      </c>
      <c r="K814">
        <v>0.2424</v>
      </c>
      <c r="L814">
        <v>0.65</v>
      </c>
      <c r="M814">
        <v>0.16420000000000001</v>
      </c>
      <c r="N814">
        <v>0</v>
      </c>
      <c r="O814">
        <v>8</v>
      </c>
      <c r="P814">
        <v>8</v>
      </c>
    </row>
    <row r="815" spans="1:16" x14ac:dyDescent="0.35">
      <c r="A815">
        <v>814</v>
      </c>
      <c r="B815" t="b">
        <v>0</v>
      </c>
      <c r="C815" s="18">
        <v>40580</v>
      </c>
      <c r="D815">
        <v>1</v>
      </c>
      <c r="E815">
        <v>0</v>
      </c>
      <c r="F815">
        <v>2</v>
      </c>
      <c r="G815">
        <v>8</v>
      </c>
      <c r="H815">
        <v>0</v>
      </c>
      <c r="I815">
        <v>1</v>
      </c>
      <c r="J815">
        <v>0.24</v>
      </c>
      <c r="K815">
        <v>0.2576</v>
      </c>
      <c r="L815">
        <v>0.65</v>
      </c>
      <c r="M815">
        <v>0.1045</v>
      </c>
      <c r="N815">
        <v>2</v>
      </c>
      <c r="O815">
        <v>21</v>
      </c>
      <c r="P815">
        <v>23</v>
      </c>
    </row>
    <row r="816" spans="1:16" x14ac:dyDescent="0.35">
      <c r="A816">
        <v>815</v>
      </c>
      <c r="B816" t="b">
        <v>0</v>
      </c>
      <c r="C816" s="18">
        <v>40580</v>
      </c>
      <c r="D816">
        <v>1</v>
      </c>
      <c r="E816">
        <v>0</v>
      </c>
      <c r="F816">
        <v>2</v>
      </c>
      <c r="G816">
        <v>9</v>
      </c>
      <c r="H816">
        <v>0</v>
      </c>
      <c r="I816">
        <v>1</v>
      </c>
      <c r="J816">
        <v>0.28000000000000003</v>
      </c>
      <c r="K816">
        <v>0.28789999999999999</v>
      </c>
      <c r="L816">
        <v>0.56000000000000005</v>
      </c>
      <c r="M816">
        <v>0.1045</v>
      </c>
      <c r="N816">
        <v>7</v>
      </c>
      <c r="O816">
        <v>38</v>
      </c>
      <c r="P816">
        <v>45</v>
      </c>
    </row>
    <row r="817" spans="1:16" x14ac:dyDescent="0.35">
      <c r="A817">
        <v>816</v>
      </c>
      <c r="B817" t="b">
        <v>0</v>
      </c>
      <c r="C817" s="18">
        <v>40580</v>
      </c>
      <c r="D817">
        <v>1</v>
      </c>
      <c r="E817">
        <v>0</v>
      </c>
      <c r="F817">
        <v>2</v>
      </c>
      <c r="G817">
        <v>10</v>
      </c>
      <c r="H817">
        <v>0</v>
      </c>
      <c r="I817">
        <v>1</v>
      </c>
      <c r="J817">
        <v>0.3</v>
      </c>
      <c r="K817">
        <v>0.28789999999999999</v>
      </c>
      <c r="L817">
        <v>0.52</v>
      </c>
      <c r="M817">
        <v>0.25369999999999998</v>
      </c>
      <c r="N817">
        <v>15</v>
      </c>
      <c r="O817">
        <v>74</v>
      </c>
      <c r="P817">
        <v>89</v>
      </c>
    </row>
    <row r="818" spans="1:16" x14ac:dyDescent="0.35">
      <c r="A818">
        <v>817</v>
      </c>
      <c r="B818" t="b">
        <v>0</v>
      </c>
      <c r="C818" s="18">
        <v>40580</v>
      </c>
      <c r="D818">
        <v>1</v>
      </c>
      <c r="E818">
        <v>0</v>
      </c>
      <c r="F818">
        <v>2</v>
      </c>
      <c r="G818">
        <v>11</v>
      </c>
      <c r="H818">
        <v>0</v>
      </c>
      <c r="I818">
        <v>1</v>
      </c>
      <c r="J818">
        <v>0.32</v>
      </c>
      <c r="K818">
        <v>0.30299999999999999</v>
      </c>
      <c r="L818">
        <v>0.49</v>
      </c>
      <c r="M818">
        <v>0.25369999999999998</v>
      </c>
      <c r="N818">
        <v>28</v>
      </c>
      <c r="O818">
        <v>89</v>
      </c>
      <c r="P818">
        <v>117</v>
      </c>
    </row>
    <row r="819" spans="1:16" x14ac:dyDescent="0.35">
      <c r="A819">
        <v>818</v>
      </c>
      <c r="B819" t="b">
        <v>0</v>
      </c>
      <c r="C819" s="18">
        <v>40580</v>
      </c>
      <c r="D819">
        <v>1</v>
      </c>
      <c r="E819">
        <v>0</v>
      </c>
      <c r="F819">
        <v>2</v>
      </c>
      <c r="G819">
        <v>12</v>
      </c>
      <c r="H819">
        <v>0</v>
      </c>
      <c r="I819">
        <v>1</v>
      </c>
      <c r="J819">
        <v>0.34</v>
      </c>
      <c r="K819">
        <v>0.33329999999999999</v>
      </c>
      <c r="L819">
        <v>0.46</v>
      </c>
      <c r="M819">
        <v>0</v>
      </c>
      <c r="N819">
        <v>48</v>
      </c>
      <c r="O819">
        <v>126</v>
      </c>
      <c r="P819">
        <v>174</v>
      </c>
    </row>
    <row r="820" spans="1:16" x14ac:dyDescent="0.35">
      <c r="A820">
        <v>819</v>
      </c>
      <c r="B820" t="b">
        <v>0</v>
      </c>
      <c r="C820" s="18">
        <v>40580</v>
      </c>
      <c r="D820">
        <v>1</v>
      </c>
      <c r="E820">
        <v>0</v>
      </c>
      <c r="F820">
        <v>2</v>
      </c>
      <c r="G820">
        <v>13</v>
      </c>
      <c r="H820">
        <v>0</v>
      </c>
      <c r="I820">
        <v>1</v>
      </c>
      <c r="J820">
        <v>0.34</v>
      </c>
      <c r="K820">
        <v>0.36359999999999998</v>
      </c>
      <c r="L820">
        <v>0.46</v>
      </c>
      <c r="M820">
        <v>0</v>
      </c>
      <c r="N820">
        <v>47</v>
      </c>
      <c r="O820">
        <v>135</v>
      </c>
      <c r="P820">
        <v>182</v>
      </c>
    </row>
    <row r="821" spans="1:16" x14ac:dyDescent="0.35">
      <c r="A821">
        <v>820</v>
      </c>
      <c r="B821" t="b">
        <v>0</v>
      </c>
      <c r="C821" s="18">
        <v>40580</v>
      </c>
      <c r="D821">
        <v>1</v>
      </c>
      <c r="E821">
        <v>0</v>
      </c>
      <c r="F821">
        <v>2</v>
      </c>
      <c r="G821">
        <v>14</v>
      </c>
      <c r="H821">
        <v>0</v>
      </c>
      <c r="I821">
        <v>1</v>
      </c>
      <c r="J821">
        <v>0.34</v>
      </c>
      <c r="K821">
        <v>0.34849999999999998</v>
      </c>
      <c r="L821">
        <v>0.46</v>
      </c>
      <c r="M821">
        <v>8.9599999999999999E-2</v>
      </c>
      <c r="N821">
        <v>47</v>
      </c>
      <c r="O821">
        <v>114</v>
      </c>
      <c r="P821">
        <v>161</v>
      </c>
    </row>
    <row r="822" spans="1:16" x14ac:dyDescent="0.35">
      <c r="A822">
        <v>821</v>
      </c>
      <c r="B822" t="b">
        <v>0</v>
      </c>
      <c r="C822" s="18">
        <v>40580</v>
      </c>
      <c r="D822">
        <v>1</v>
      </c>
      <c r="E822">
        <v>0</v>
      </c>
      <c r="F822">
        <v>2</v>
      </c>
      <c r="G822">
        <v>15</v>
      </c>
      <c r="H822">
        <v>0</v>
      </c>
      <c r="I822">
        <v>1</v>
      </c>
      <c r="J822">
        <v>0.34</v>
      </c>
      <c r="K822">
        <v>0.34849999999999998</v>
      </c>
      <c r="L822">
        <v>0.46</v>
      </c>
      <c r="M822">
        <v>8.9599999999999999E-2</v>
      </c>
      <c r="N822">
        <v>52</v>
      </c>
      <c r="O822">
        <v>130</v>
      </c>
      <c r="P822">
        <v>182</v>
      </c>
    </row>
    <row r="823" spans="1:16" x14ac:dyDescent="0.35">
      <c r="A823">
        <v>822</v>
      </c>
      <c r="B823" t="b">
        <v>0</v>
      </c>
      <c r="C823" s="18">
        <v>40580</v>
      </c>
      <c r="D823">
        <v>1</v>
      </c>
      <c r="E823">
        <v>0</v>
      </c>
      <c r="F823">
        <v>2</v>
      </c>
      <c r="G823">
        <v>16</v>
      </c>
      <c r="H823">
        <v>0</v>
      </c>
      <c r="I823">
        <v>1</v>
      </c>
      <c r="J823">
        <v>0.34</v>
      </c>
      <c r="K823">
        <v>0.34849999999999998</v>
      </c>
      <c r="L823">
        <v>0.49</v>
      </c>
      <c r="M823">
        <v>0.1045</v>
      </c>
      <c r="N823">
        <v>42</v>
      </c>
      <c r="O823">
        <v>115</v>
      </c>
      <c r="P823">
        <v>157</v>
      </c>
    </row>
    <row r="824" spans="1:16" x14ac:dyDescent="0.35">
      <c r="A824">
        <v>823</v>
      </c>
      <c r="B824" t="b">
        <v>0</v>
      </c>
      <c r="C824" s="18">
        <v>40580</v>
      </c>
      <c r="D824">
        <v>1</v>
      </c>
      <c r="E824">
        <v>0</v>
      </c>
      <c r="F824">
        <v>2</v>
      </c>
      <c r="G824">
        <v>17</v>
      </c>
      <c r="H824">
        <v>0</v>
      </c>
      <c r="I824">
        <v>1</v>
      </c>
      <c r="J824">
        <v>0.34</v>
      </c>
      <c r="K824">
        <v>0.36359999999999998</v>
      </c>
      <c r="L824">
        <v>0.46</v>
      </c>
      <c r="M824">
        <v>0</v>
      </c>
      <c r="N824">
        <v>24</v>
      </c>
      <c r="O824">
        <v>97</v>
      </c>
      <c r="P824">
        <v>121</v>
      </c>
    </row>
    <row r="825" spans="1:16" x14ac:dyDescent="0.35">
      <c r="A825">
        <v>824</v>
      </c>
      <c r="B825" t="b">
        <v>0</v>
      </c>
      <c r="C825" s="18">
        <v>40580</v>
      </c>
      <c r="D825">
        <v>1</v>
      </c>
      <c r="E825">
        <v>0</v>
      </c>
      <c r="F825">
        <v>2</v>
      </c>
      <c r="G825">
        <v>18</v>
      </c>
      <c r="H825">
        <v>0</v>
      </c>
      <c r="I825">
        <v>1</v>
      </c>
      <c r="J825">
        <v>0.3</v>
      </c>
      <c r="K825">
        <v>0.30299999999999999</v>
      </c>
      <c r="L825">
        <v>0.56000000000000005</v>
      </c>
      <c r="M825">
        <v>0.16420000000000001</v>
      </c>
      <c r="N825">
        <v>13</v>
      </c>
      <c r="O825">
        <v>65</v>
      </c>
      <c r="P825">
        <v>78</v>
      </c>
    </row>
    <row r="826" spans="1:16" x14ac:dyDescent="0.35">
      <c r="A826">
        <v>825</v>
      </c>
      <c r="B826" t="b">
        <v>0</v>
      </c>
      <c r="C826" s="18">
        <v>40580</v>
      </c>
      <c r="D826">
        <v>1</v>
      </c>
      <c r="E826">
        <v>0</v>
      </c>
      <c r="F826">
        <v>2</v>
      </c>
      <c r="G826">
        <v>19</v>
      </c>
      <c r="H826">
        <v>0</v>
      </c>
      <c r="I826">
        <v>1</v>
      </c>
      <c r="J826">
        <v>0.28000000000000003</v>
      </c>
      <c r="K826">
        <v>0.28789999999999999</v>
      </c>
      <c r="L826">
        <v>0.61</v>
      </c>
      <c r="M826">
        <v>0.1343</v>
      </c>
      <c r="N826">
        <v>1</v>
      </c>
      <c r="O826">
        <v>20</v>
      </c>
      <c r="P826">
        <v>21</v>
      </c>
    </row>
    <row r="827" spans="1:16" x14ac:dyDescent="0.35">
      <c r="A827">
        <v>826</v>
      </c>
      <c r="B827" t="b">
        <v>0</v>
      </c>
      <c r="C827" s="18">
        <v>40580</v>
      </c>
      <c r="D827">
        <v>1</v>
      </c>
      <c r="E827">
        <v>0</v>
      </c>
      <c r="F827">
        <v>2</v>
      </c>
      <c r="G827">
        <v>20</v>
      </c>
      <c r="H827">
        <v>0</v>
      </c>
      <c r="I827">
        <v>1</v>
      </c>
      <c r="J827">
        <v>0.28000000000000003</v>
      </c>
      <c r="K827">
        <v>0.28789999999999999</v>
      </c>
      <c r="L827">
        <v>0.61</v>
      </c>
      <c r="M827">
        <v>0.1045</v>
      </c>
      <c r="N827">
        <v>5</v>
      </c>
      <c r="O827">
        <v>21</v>
      </c>
      <c r="P827">
        <v>26</v>
      </c>
    </row>
    <row r="828" spans="1:16" x14ac:dyDescent="0.35">
      <c r="A828">
        <v>827</v>
      </c>
      <c r="B828" t="b">
        <v>0</v>
      </c>
      <c r="C828" s="18">
        <v>40580</v>
      </c>
      <c r="D828">
        <v>1</v>
      </c>
      <c r="E828">
        <v>0</v>
      </c>
      <c r="F828">
        <v>2</v>
      </c>
      <c r="G828">
        <v>21</v>
      </c>
      <c r="H828">
        <v>0</v>
      </c>
      <c r="I828">
        <v>1</v>
      </c>
      <c r="J828">
        <v>0.26</v>
      </c>
      <c r="K828">
        <v>0.30299999999999999</v>
      </c>
      <c r="L828">
        <v>0.6</v>
      </c>
      <c r="M828">
        <v>0</v>
      </c>
      <c r="N828">
        <v>5</v>
      </c>
      <c r="O828">
        <v>22</v>
      </c>
      <c r="P828">
        <v>27</v>
      </c>
    </row>
    <row r="829" spans="1:16" x14ac:dyDescent="0.35">
      <c r="A829">
        <v>828</v>
      </c>
      <c r="B829" t="b">
        <v>0</v>
      </c>
      <c r="C829" s="18">
        <v>40580</v>
      </c>
      <c r="D829">
        <v>1</v>
      </c>
      <c r="E829">
        <v>0</v>
      </c>
      <c r="F829">
        <v>2</v>
      </c>
      <c r="G829">
        <v>22</v>
      </c>
      <c r="H829">
        <v>0</v>
      </c>
      <c r="I829">
        <v>1</v>
      </c>
      <c r="J829">
        <v>0.26</v>
      </c>
      <c r="K829">
        <v>0.30299999999999999</v>
      </c>
      <c r="L829">
        <v>0.6</v>
      </c>
      <c r="M829">
        <v>0</v>
      </c>
      <c r="N829">
        <v>5</v>
      </c>
      <c r="O829">
        <v>57</v>
      </c>
      <c r="P829">
        <v>62</v>
      </c>
    </row>
    <row r="830" spans="1:16" x14ac:dyDescent="0.35">
      <c r="A830">
        <v>829</v>
      </c>
      <c r="B830" t="b">
        <v>0</v>
      </c>
      <c r="C830" s="18">
        <v>40580</v>
      </c>
      <c r="D830">
        <v>1</v>
      </c>
      <c r="E830">
        <v>0</v>
      </c>
      <c r="F830">
        <v>2</v>
      </c>
      <c r="G830">
        <v>23</v>
      </c>
      <c r="H830">
        <v>0</v>
      </c>
      <c r="I830">
        <v>1</v>
      </c>
      <c r="J830">
        <v>0.24</v>
      </c>
      <c r="K830">
        <v>0.28789999999999999</v>
      </c>
      <c r="L830">
        <v>0.65</v>
      </c>
      <c r="M830">
        <v>0</v>
      </c>
      <c r="N830">
        <v>4</v>
      </c>
      <c r="O830">
        <v>26</v>
      </c>
      <c r="P830">
        <v>30</v>
      </c>
    </row>
    <row r="831" spans="1:16" x14ac:dyDescent="0.35">
      <c r="A831">
        <v>830</v>
      </c>
      <c r="B831" t="b">
        <v>0</v>
      </c>
      <c r="C831" s="18">
        <v>40581</v>
      </c>
      <c r="D831">
        <v>1</v>
      </c>
      <c r="E831">
        <v>0</v>
      </c>
      <c r="F831">
        <v>2</v>
      </c>
      <c r="G831">
        <v>0</v>
      </c>
      <c r="H831">
        <v>1</v>
      </c>
      <c r="I831">
        <v>1</v>
      </c>
      <c r="J831">
        <v>0.24</v>
      </c>
      <c r="K831">
        <v>0.28789999999999999</v>
      </c>
      <c r="L831">
        <v>0.65</v>
      </c>
      <c r="M831">
        <v>0</v>
      </c>
      <c r="N831">
        <v>1</v>
      </c>
      <c r="O831">
        <v>14</v>
      </c>
      <c r="P831">
        <v>15</v>
      </c>
    </row>
    <row r="832" spans="1:16" x14ac:dyDescent="0.35">
      <c r="A832">
        <v>831</v>
      </c>
      <c r="B832" t="b">
        <v>0</v>
      </c>
      <c r="C832" s="18">
        <v>40581</v>
      </c>
      <c r="D832">
        <v>1</v>
      </c>
      <c r="E832">
        <v>0</v>
      </c>
      <c r="F832">
        <v>2</v>
      </c>
      <c r="G832">
        <v>1</v>
      </c>
      <c r="H832">
        <v>1</v>
      </c>
      <c r="I832">
        <v>1</v>
      </c>
      <c r="J832">
        <v>0.22</v>
      </c>
      <c r="K832">
        <v>0.2727</v>
      </c>
      <c r="L832">
        <v>0.75</v>
      </c>
      <c r="M832">
        <v>0</v>
      </c>
      <c r="N832">
        <v>1</v>
      </c>
      <c r="O832">
        <v>4</v>
      </c>
      <c r="P832">
        <v>5</v>
      </c>
    </row>
    <row r="833" spans="1:16" x14ac:dyDescent="0.35">
      <c r="A833">
        <v>832</v>
      </c>
      <c r="B833" t="b">
        <v>0</v>
      </c>
      <c r="C833" s="18">
        <v>40581</v>
      </c>
      <c r="D833">
        <v>1</v>
      </c>
      <c r="E833">
        <v>0</v>
      </c>
      <c r="F833">
        <v>2</v>
      </c>
      <c r="G833">
        <v>2</v>
      </c>
      <c r="H833">
        <v>1</v>
      </c>
      <c r="I833">
        <v>1</v>
      </c>
      <c r="J833">
        <v>0.2</v>
      </c>
      <c r="K833">
        <v>0.2576</v>
      </c>
      <c r="L833">
        <v>0.8</v>
      </c>
      <c r="M833">
        <v>0</v>
      </c>
      <c r="N833">
        <v>0</v>
      </c>
      <c r="O833">
        <v>3</v>
      </c>
      <c r="P833">
        <v>3</v>
      </c>
    </row>
    <row r="834" spans="1:16" x14ac:dyDescent="0.35">
      <c r="A834">
        <v>833</v>
      </c>
      <c r="B834" t="b">
        <v>0</v>
      </c>
      <c r="C834" s="18">
        <v>40581</v>
      </c>
      <c r="D834">
        <v>1</v>
      </c>
      <c r="E834">
        <v>0</v>
      </c>
      <c r="F834">
        <v>2</v>
      </c>
      <c r="G834">
        <v>3</v>
      </c>
      <c r="H834">
        <v>1</v>
      </c>
      <c r="I834">
        <v>1</v>
      </c>
      <c r="J834">
        <v>0.2</v>
      </c>
      <c r="K834">
        <v>0.2576</v>
      </c>
      <c r="L834">
        <v>0.86</v>
      </c>
      <c r="M834">
        <v>0</v>
      </c>
      <c r="N834">
        <v>0</v>
      </c>
      <c r="O834">
        <v>1</v>
      </c>
      <c r="P834">
        <v>1</v>
      </c>
    </row>
    <row r="835" spans="1:16" x14ac:dyDescent="0.35">
      <c r="A835">
        <v>834</v>
      </c>
      <c r="B835" t="b">
        <v>0</v>
      </c>
      <c r="C835" s="18">
        <v>40581</v>
      </c>
      <c r="D835">
        <v>1</v>
      </c>
      <c r="E835">
        <v>0</v>
      </c>
      <c r="F835">
        <v>2</v>
      </c>
      <c r="G835">
        <v>4</v>
      </c>
      <c r="H835">
        <v>1</v>
      </c>
      <c r="I835">
        <v>1</v>
      </c>
      <c r="J835">
        <v>0.2</v>
      </c>
      <c r="K835">
        <v>0.2576</v>
      </c>
      <c r="L835">
        <v>0.86</v>
      </c>
      <c r="M835">
        <v>0</v>
      </c>
      <c r="N835">
        <v>1</v>
      </c>
      <c r="O835">
        <v>1</v>
      </c>
      <c r="P835">
        <v>2</v>
      </c>
    </row>
    <row r="836" spans="1:16" x14ac:dyDescent="0.35">
      <c r="A836">
        <v>835</v>
      </c>
      <c r="B836" t="b">
        <v>0</v>
      </c>
      <c r="C836" s="18">
        <v>40581</v>
      </c>
      <c r="D836">
        <v>1</v>
      </c>
      <c r="E836">
        <v>0</v>
      </c>
      <c r="F836">
        <v>2</v>
      </c>
      <c r="G836">
        <v>5</v>
      </c>
      <c r="H836">
        <v>1</v>
      </c>
      <c r="I836">
        <v>1</v>
      </c>
      <c r="J836">
        <v>0.2</v>
      </c>
      <c r="K836">
        <v>0.2576</v>
      </c>
      <c r="L836">
        <v>0.86</v>
      </c>
      <c r="M836">
        <v>0</v>
      </c>
      <c r="N836">
        <v>1</v>
      </c>
      <c r="O836">
        <v>9</v>
      </c>
      <c r="P836">
        <v>10</v>
      </c>
    </row>
    <row r="837" spans="1:16" x14ac:dyDescent="0.35">
      <c r="A837">
        <v>836</v>
      </c>
      <c r="B837" t="b">
        <v>0</v>
      </c>
      <c r="C837" s="18">
        <v>40581</v>
      </c>
      <c r="D837">
        <v>1</v>
      </c>
      <c r="E837">
        <v>0</v>
      </c>
      <c r="F837">
        <v>2</v>
      </c>
      <c r="G837">
        <v>6</v>
      </c>
      <c r="H837">
        <v>1</v>
      </c>
      <c r="I837">
        <v>1</v>
      </c>
      <c r="J837">
        <v>0.18</v>
      </c>
      <c r="K837">
        <v>0.2424</v>
      </c>
      <c r="L837">
        <v>0.93</v>
      </c>
      <c r="M837">
        <v>0</v>
      </c>
      <c r="N837">
        <v>1</v>
      </c>
      <c r="O837">
        <v>29</v>
      </c>
      <c r="P837">
        <v>30</v>
      </c>
    </row>
    <row r="838" spans="1:16" x14ac:dyDescent="0.35">
      <c r="A838">
        <v>837</v>
      </c>
      <c r="B838" t="b">
        <v>0</v>
      </c>
      <c r="C838" s="18">
        <v>40581</v>
      </c>
      <c r="D838">
        <v>1</v>
      </c>
      <c r="E838">
        <v>0</v>
      </c>
      <c r="F838">
        <v>2</v>
      </c>
      <c r="G838">
        <v>7</v>
      </c>
      <c r="H838">
        <v>1</v>
      </c>
      <c r="I838">
        <v>1</v>
      </c>
      <c r="J838">
        <v>0.18</v>
      </c>
      <c r="K838">
        <v>0.2424</v>
      </c>
      <c r="L838">
        <v>0.86</v>
      </c>
      <c r="M838">
        <v>0</v>
      </c>
      <c r="N838">
        <v>6</v>
      </c>
      <c r="O838">
        <v>89</v>
      </c>
      <c r="P838">
        <v>95</v>
      </c>
    </row>
    <row r="839" spans="1:16" x14ac:dyDescent="0.35">
      <c r="A839">
        <v>838</v>
      </c>
      <c r="B839" t="b">
        <v>0</v>
      </c>
      <c r="C839" s="18">
        <v>40581</v>
      </c>
      <c r="D839">
        <v>1</v>
      </c>
      <c r="E839">
        <v>0</v>
      </c>
      <c r="F839">
        <v>2</v>
      </c>
      <c r="G839">
        <v>8</v>
      </c>
      <c r="H839">
        <v>1</v>
      </c>
      <c r="I839">
        <v>2</v>
      </c>
      <c r="J839">
        <v>0.16</v>
      </c>
      <c r="K839">
        <v>0.2273</v>
      </c>
      <c r="L839">
        <v>1</v>
      </c>
      <c r="M839">
        <v>0</v>
      </c>
      <c r="N839">
        <v>7</v>
      </c>
      <c r="O839">
        <v>223</v>
      </c>
      <c r="P839">
        <v>230</v>
      </c>
    </row>
    <row r="840" spans="1:16" x14ac:dyDescent="0.35">
      <c r="A840">
        <v>839</v>
      </c>
      <c r="B840" t="b">
        <v>0</v>
      </c>
      <c r="C840" s="18">
        <v>40581</v>
      </c>
      <c r="D840">
        <v>1</v>
      </c>
      <c r="E840">
        <v>0</v>
      </c>
      <c r="F840">
        <v>2</v>
      </c>
      <c r="G840">
        <v>9</v>
      </c>
      <c r="H840">
        <v>1</v>
      </c>
      <c r="I840">
        <v>1</v>
      </c>
      <c r="J840">
        <v>0.22</v>
      </c>
      <c r="K840">
        <v>0.2727</v>
      </c>
      <c r="L840">
        <v>0.8</v>
      </c>
      <c r="M840">
        <v>0</v>
      </c>
      <c r="N840">
        <v>3</v>
      </c>
      <c r="O840">
        <v>115</v>
      </c>
      <c r="P840">
        <v>118</v>
      </c>
    </row>
    <row r="841" spans="1:16" x14ac:dyDescent="0.35">
      <c r="A841">
        <v>840</v>
      </c>
      <c r="B841" t="b">
        <v>0</v>
      </c>
      <c r="C841" s="18">
        <v>40581</v>
      </c>
      <c r="D841">
        <v>1</v>
      </c>
      <c r="E841">
        <v>0</v>
      </c>
      <c r="F841">
        <v>2</v>
      </c>
      <c r="G841">
        <v>10</v>
      </c>
      <c r="H841">
        <v>1</v>
      </c>
      <c r="I841">
        <v>1</v>
      </c>
      <c r="J841">
        <v>0.24</v>
      </c>
      <c r="K841">
        <v>0.2576</v>
      </c>
      <c r="L841">
        <v>0.75</v>
      </c>
      <c r="M841">
        <v>0.1045</v>
      </c>
      <c r="N841">
        <v>6</v>
      </c>
      <c r="O841">
        <v>49</v>
      </c>
      <c r="P841">
        <v>55</v>
      </c>
    </row>
    <row r="842" spans="1:16" x14ac:dyDescent="0.35">
      <c r="A842">
        <v>841</v>
      </c>
      <c r="B842" t="b">
        <v>0</v>
      </c>
      <c r="C842" s="18">
        <v>40581</v>
      </c>
      <c r="D842">
        <v>1</v>
      </c>
      <c r="E842">
        <v>0</v>
      </c>
      <c r="F842">
        <v>2</v>
      </c>
      <c r="G842">
        <v>11</v>
      </c>
      <c r="H842">
        <v>1</v>
      </c>
      <c r="I842">
        <v>1</v>
      </c>
      <c r="J842">
        <v>0.3</v>
      </c>
      <c r="K842">
        <v>0.31819999999999998</v>
      </c>
      <c r="L842">
        <v>0.65</v>
      </c>
      <c r="M842">
        <v>8.9599999999999999E-2</v>
      </c>
      <c r="N842">
        <v>11</v>
      </c>
      <c r="O842">
        <v>36</v>
      </c>
      <c r="P842">
        <v>47</v>
      </c>
    </row>
    <row r="843" spans="1:16" x14ac:dyDescent="0.35">
      <c r="A843">
        <v>842</v>
      </c>
      <c r="B843" t="b">
        <v>0</v>
      </c>
      <c r="C843" s="18">
        <v>40581</v>
      </c>
      <c r="D843">
        <v>1</v>
      </c>
      <c r="E843">
        <v>0</v>
      </c>
      <c r="F843">
        <v>2</v>
      </c>
      <c r="G843">
        <v>12</v>
      </c>
      <c r="H843">
        <v>1</v>
      </c>
      <c r="I843">
        <v>2</v>
      </c>
      <c r="J843">
        <v>0.32</v>
      </c>
      <c r="K843">
        <v>0.34849999999999998</v>
      </c>
      <c r="L843">
        <v>0.62</v>
      </c>
      <c r="M843">
        <v>0</v>
      </c>
      <c r="N843">
        <v>7</v>
      </c>
      <c r="O843">
        <v>59</v>
      </c>
      <c r="P843">
        <v>66</v>
      </c>
    </row>
    <row r="844" spans="1:16" x14ac:dyDescent="0.35">
      <c r="A844">
        <v>843</v>
      </c>
      <c r="B844" t="b">
        <v>0</v>
      </c>
      <c r="C844" s="18">
        <v>40581</v>
      </c>
      <c r="D844">
        <v>1</v>
      </c>
      <c r="E844">
        <v>0</v>
      </c>
      <c r="F844">
        <v>2</v>
      </c>
      <c r="G844">
        <v>13</v>
      </c>
      <c r="H844">
        <v>1</v>
      </c>
      <c r="I844">
        <v>2</v>
      </c>
      <c r="J844">
        <v>0.36</v>
      </c>
      <c r="K844">
        <v>0.36359999999999998</v>
      </c>
      <c r="L844">
        <v>0.56999999999999995</v>
      </c>
      <c r="M844">
        <v>8.9599999999999999E-2</v>
      </c>
      <c r="N844">
        <v>10</v>
      </c>
      <c r="O844">
        <v>54</v>
      </c>
      <c r="P844">
        <v>64</v>
      </c>
    </row>
    <row r="845" spans="1:16" x14ac:dyDescent="0.35">
      <c r="A845">
        <v>844</v>
      </c>
      <c r="B845" t="b">
        <v>0</v>
      </c>
      <c r="C845" s="18">
        <v>40581</v>
      </c>
      <c r="D845">
        <v>1</v>
      </c>
      <c r="E845">
        <v>0</v>
      </c>
      <c r="F845">
        <v>2</v>
      </c>
      <c r="G845">
        <v>14</v>
      </c>
      <c r="H845">
        <v>1</v>
      </c>
      <c r="I845">
        <v>2</v>
      </c>
      <c r="J845">
        <v>0.36</v>
      </c>
      <c r="K845">
        <v>0.36359999999999998</v>
      </c>
      <c r="L845">
        <v>0.56999999999999995</v>
      </c>
      <c r="M845">
        <v>8.9599999999999999E-2</v>
      </c>
      <c r="N845">
        <v>8</v>
      </c>
      <c r="O845">
        <v>52</v>
      </c>
      <c r="P845">
        <v>60</v>
      </c>
    </row>
    <row r="846" spans="1:16" x14ac:dyDescent="0.35">
      <c r="A846">
        <v>845</v>
      </c>
      <c r="B846" t="b">
        <v>0</v>
      </c>
      <c r="C846" s="18">
        <v>40581</v>
      </c>
      <c r="D846">
        <v>1</v>
      </c>
      <c r="E846">
        <v>0</v>
      </c>
      <c r="F846">
        <v>2</v>
      </c>
      <c r="G846">
        <v>15</v>
      </c>
      <c r="H846">
        <v>1</v>
      </c>
      <c r="I846">
        <v>2</v>
      </c>
      <c r="J846">
        <v>0.38</v>
      </c>
      <c r="K846">
        <v>0.39389999999999997</v>
      </c>
      <c r="L846">
        <v>0.54</v>
      </c>
      <c r="M846">
        <v>8.9599999999999999E-2</v>
      </c>
      <c r="N846">
        <v>4</v>
      </c>
      <c r="O846">
        <v>46</v>
      </c>
      <c r="P846">
        <v>50</v>
      </c>
    </row>
    <row r="847" spans="1:16" x14ac:dyDescent="0.35">
      <c r="A847">
        <v>846</v>
      </c>
      <c r="B847" t="b">
        <v>0</v>
      </c>
      <c r="C847" s="18">
        <v>40581</v>
      </c>
      <c r="D847">
        <v>1</v>
      </c>
      <c r="E847">
        <v>0</v>
      </c>
      <c r="F847">
        <v>2</v>
      </c>
      <c r="G847">
        <v>16</v>
      </c>
      <c r="H847">
        <v>1</v>
      </c>
      <c r="I847">
        <v>2</v>
      </c>
      <c r="J847">
        <v>0.36</v>
      </c>
      <c r="K847">
        <v>0.34849999999999998</v>
      </c>
      <c r="L847">
        <v>0.56999999999999995</v>
      </c>
      <c r="M847">
        <v>0.1343</v>
      </c>
      <c r="N847">
        <v>16</v>
      </c>
      <c r="O847">
        <v>98</v>
      </c>
      <c r="P847">
        <v>114</v>
      </c>
    </row>
    <row r="848" spans="1:16" x14ac:dyDescent="0.35">
      <c r="A848">
        <v>847</v>
      </c>
      <c r="B848" t="b">
        <v>0</v>
      </c>
      <c r="C848" s="18">
        <v>40581</v>
      </c>
      <c r="D848">
        <v>1</v>
      </c>
      <c r="E848">
        <v>0</v>
      </c>
      <c r="F848">
        <v>2</v>
      </c>
      <c r="G848">
        <v>17</v>
      </c>
      <c r="H848">
        <v>1</v>
      </c>
      <c r="I848">
        <v>2</v>
      </c>
      <c r="J848">
        <v>0.32</v>
      </c>
      <c r="K848">
        <v>0.31819999999999998</v>
      </c>
      <c r="L848">
        <v>0.7</v>
      </c>
      <c r="M848">
        <v>0.16420000000000001</v>
      </c>
      <c r="N848">
        <v>9</v>
      </c>
      <c r="O848">
        <v>207</v>
      </c>
      <c r="P848">
        <v>216</v>
      </c>
    </row>
    <row r="849" spans="1:16" x14ac:dyDescent="0.35">
      <c r="A849">
        <v>848</v>
      </c>
      <c r="B849" t="b">
        <v>0</v>
      </c>
      <c r="C849" s="18">
        <v>40581</v>
      </c>
      <c r="D849">
        <v>1</v>
      </c>
      <c r="E849">
        <v>0</v>
      </c>
      <c r="F849">
        <v>2</v>
      </c>
      <c r="G849">
        <v>18</v>
      </c>
      <c r="H849">
        <v>1</v>
      </c>
      <c r="I849">
        <v>2</v>
      </c>
      <c r="J849">
        <v>0.34</v>
      </c>
      <c r="K849">
        <v>0.33329999999999999</v>
      </c>
      <c r="L849">
        <v>0.66</v>
      </c>
      <c r="M849">
        <v>0.1343</v>
      </c>
      <c r="N849">
        <v>5</v>
      </c>
      <c r="O849">
        <v>170</v>
      </c>
      <c r="P849">
        <v>175</v>
      </c>
    </row>
    <row r="850" spans="1:16" x14ac:dyDescent="0.35">
      <c r="A850">
        <v>849</v>
      </c>
      <c r="B850" t="b">
        <v>0</v>
      </c>
      <c r="C850" s="18">
        <v>40581</v>
      </c>
      <c r="D850">
        <v>1</v>
      </c>
      <c r="E850">
        <v>0</v>
      </c>
      <c r="F850">
        <v>2</v>
      </c>
      <c r="G850">
        <v>19</v>
      </c>
      <c r="H850">
        <v>1</v>
      </c>
      <c r="I850">
        <v>2</v>
      </c>
      <c r="J850">
        <v>0.32</v>
      </c>
      <c r="K850">
        <v>0.34849999999999998</v>
      </c>
      <c r="L850">
        <v>0.7</v>
      </c>
      <c r="M850">
        <v>0</v>
      </c>
      <c r="N850">
        <v>5</v>
      </c>
      <c r="O850">
        <v>123</v>
      </c>
      <c r="P850">
        <v>128</v>
      </c>
    </row>
    <row r="851" spans="1:16" x14ac:dyDescent="0.35">
      <c r="A851">
        <v>850</v>
      </c>
      <c r="B851" t="b">
        <v>0</v>
      </c>
      <c r="C851" s="18">
        <v>40581</v>
      </c>
      <c r="D851">
        <v>1</v>
      </c>
      <c r="E851">
        <v>0</v>
      </c>
      <c r="F851">
        <v>2</v>
      </c>
      <c r="G851">
        <v>20</v>
      </c>
      <c r="H851">
        <v>1</v>
      </c>
      <c r="I851">
        <v>2</v>
      </c>
      <c r="J851">
        <v>0.32</v>
      </c>
      <c r="K851">
        <v>0.33329999999999999</v>
      </c>
      <c r="L851">
        <v>0.7</v>
      </c>
      <c r="M851">
        <v>0.1045</v>
      </c>
      <c r="N851">
        <v>6</v>
      </c>
      <c r="O851">
        <v>82</v>
      </c>
      <c r="P851">
        <v>88</v>
      </c>
    </row>
    <row r="852" spans="1:16" x14ac:dyDescent="0.35">
      <c r="A852">
        <v>851</v>
      </c>
      <c r="B852" t="b">
        <v>0</v>
      </c>
      <c r="C852" s="18">
        <v>40581</v>
      </c>
      <c r="D852">
        <v>1</v>
      </c>
      <c r="E852">
        <v>0</v>
      </c>
      <c r="F852">
        <v>2</v>
      </c>
      <c r="G852">
        <v>21</v>
      </c>
      <c r="H852">
        <v>1</v>
      </c>
      <c r="I852">
        <v>1</v>
      </c>
      <c r="J852">
        <v>0.32</v>
      </c>
      <c r="K852">
        <v>0.34849999999999998</v>
      </c>
      <c r="L852">
        <v>0.7</v>
      </c>
      <c r="M852">
        <v>0</v>
      </c>
      <c r="N852">
        <v>3</v>
      </c>
      <c r="O852">
        <v>75</v>
      </c>
      <c r="P852">
        <v>78</v>
      </c>
    </row>
    <row r="853" spans="1:16" x14ac:dyDescent="0.35">
      <c r="A853">
        <v>852</v>
      </c>
      <c r="B853" t="b">
        <v>0</v>
      </c>
      <c r="C853" s="18">
        <v>40581</v>
      </c>
      <c r="D853">
        <v>1</v>
      </c>
      <c r="E853">
        <v>0</v>
      </c>
      <c r="F853">
        <v>2</v>
      </c>
      <c r="G853">
        <v>22</v>
      </c>
      <c r="H853">
        <v>1</v>
      </c>
      <c r="I853">
        <v>1</v>
      </c>
      <c r="J853">
        <v>0.28000000000000003</v>
      </c>
      <c r="K853">
        <v>0.30299999999999999</v>
      </c>
      <c r="L853">
        <v>0.81</v>
      </c>
      <c r="M853">
        <v>8.9599999999999999E-2</v>
      </c>
      <c r="N853">
        <v>3</v>
      </c>
      <c r="O853">
        <v>34</v>
      </c>
      <c r="P853">
        <v>37</v>
      </c>
    </row>
    <row r="854" spans="1:16" x14ac:dyDescent="0.35">
      <c r="A854">
        <v>853</v>
      </c>
      <c r="B854" t="b">
        <v>0</v>
      </c>
      <c r="C854" s="18">
        <v>40581</v>
      </c>
      <c r="D854">
        <v>1</v>
      </c>
      <c r="E854">
        <v>0</v>
      </c>
      <c r="F854">
        <v>2</v>
      </c>
      <c r="G854">
        <v>23</v>
      </c>
      <c r="H854">
        <v>1</v>
      </c>
      <c r="I854">
        <v>2</v>
      </c>
      <c r="J854">
        <v>0.3</v>
      </c>
      <c r="K854">
        <v>0.33329999999999999</v>
      </c>
      <c r="L854">
        <v>0.81</v>
      </c>
      <c r="M854">
        <v>0</v>
      </c>
      <c r="N854">
        <v>6</v>
      </c>
      <c r="O854">
        <v>19</v>
      </c>
      <c r="P854">
        <v>25</v>
      </c>
    </row>
    <row r="855" spans="1:16" x14ac:dyDescent="0.35">
      <c r="A855">
        <v>854</v>
      </c>
      <c r="B855" t="b">
        <v>0</v>
      </c>
      <c r="C855" s="18">
        <v>40582</v>
      </c>
      <c r="D855">
        <v>1</v>
      </c>
      <c r="E855">
        <v>0</v>
      </c>
      <c r="F855">
        <v>2</v>
      </c>
      <c r="G855">
        <v>0</v>
      </c>
      <c r="H855">
        <v>2</v>
      </c>
      <c r="I855">
        <v>2</v>
      </c>
      <c r="J855">
        <v>0.28000000000000003</v>
      </c>
      <c r="K855">
        <v>0.31819999999999998</v>
      </c>
      <c r="L855">
        <v>0.87</v>
      </c>
      <c r="M855">
        <v>0</v>
      </c>
      <c r="N855">
        <v>4</v>
      </c>
      <c r="O855">
        <v>6</v>
      </c>
      <c r="P855">
        <v>10</v>
      </c>
    </row>
    <row r="856" spans="1:16" x14ac:dyDescent="0.35">
      <c r="A856">
        <v>855</v>
      </c>
      <c r="B856" t="b">
        <v>0</v>
      </c>
      <c r="C856" s="18">
        <v>40582</v>
      </c>
      <c r="D856">
        <v>1</v>
      </c>
      <c r="E856">
        <v>0</v>
      </c>
      <c r="F856">
        <v>2</v>
      </c>
      <c r="G856">
        <v>1</v>
      </c>
      <c r="H856">
        <v>2</v>
      </c>
      <c r="I856">
        <v>2</v>
      </c>
      <c r="J856">
        <v>0.28000000000000003</v>
      </c>
      <c r="K856">
        <v>0.31819999999999998</v>
      </c>
      <c r="L856">
        <v>0.87</v>
      </c>
      <c r="M856">
        <v>0</v>
      </c>
      <c r="N856">
        <v>0</v>
      </c>
      <c r="O856">
        <v>4</v>
      </c>
      <c r="P856">
        <v>4</v>
      </c>
    </row>
    <row r="857" spans="1:16" x14ac:dyDescent="0.35">
      <c r="A857">
        <v>856</v>
      </c>
      <c r="B857" t="b">
        <v>0</v>
      </c>
      <c r="C857" s="18">
        <v>40582</v>
      </c>
      <c r="D857">
        <v>1</v>
      </c>
      <c r="E857">
        <v>0</v>
      </c>
      <c r="F857">
        <v>2</v>
      </c>
      <c r="G857">
        <v>2</v>
      </c>
      <c r="H857">
        <v>2</v>
      </c>
      <c r="I857">
        <v>2</v>
      </c>
      <c r="J857">
        <v>0.26</v>
      </c>
      <c r="K857">
        <v>0.2727</v>
      </c>
      <c r="L857">
        <v>0.93</v>
      </c>
      <c r="M857">
        <v>0.1045</v>
      </c>
      <c r="N857">
        <v>1</v>
      </c>
      <c r="O857">
        <v>1</v>
      </c>
      <c r="P857">
        <v>2</v>
      </c>
    </row>
    <row r="858" spans="1:16" x14ac:dyDescent="0.35">
      <c r="A858">
        <v>857</v>
      </c>
      <c r="B858" t="b">
        <v>0</v>
      </c>
      <c r="C858" s="18">
        <v>40582</v>
      </c>
      <c r="D858">
        <v>1</v>
      </c>
      <c r="E858">
        <v>0</v>
      </c>
      <c r="F858">
        <v>2</v>
      </c>
      <c r="G858">
        <v>3</v>
      </c>
      <c r="H858">
        <v>2</v>
      </c>
      <c r="I858">
        <v>3</v>
      </c>
      <c r="J858">
        <v>0.28000000000000003</v>
      </c>
      <c r="K858">
        <v>0.2727</v>
      </c>
      <c r="L858">
        <v>0.93</v>
      </c>
      <c r="M858">
        <v>0.16420000000000001</v>
      </c>
      <c r="N858">
        <v>0</v>
      </c>
      <c r="O858">
        <v>1</v>
      </c>
      <c r="P858">
        <v>1</v>
      </c>
    </row>
    <row r="859" spans="1:16" x14ac:dyDescent="0.35">
      <c r="A859">
        <v>858</v>
      </c>
      <c r="B859" t="b">
        <v>0</v>
      </c>
      <c r="C859" s="18">
        <v>40582</v>
      </c>
      <c r="D859">
        <v>1</v>
      </c>
      <c r="E859">
        <v>0</v>
      </c>
      <c r="F859">
        <v>2</v>
      </c>
      <c r="G859">
        <v>4</v>
      </c>
      <c r="H859">
        <v>2</v>
      </c>
      <c r="I859">
        <v>1</v>
      </c>
      <c r="J859">
        <v>0.26</v>
      </c>
      <c r="K859">
        <v>0.2576</v>
      </c>
      <c r="L859">
        <v>0.93</v>
      </c>
      <c r="M859">
        <v>0.16420000000000001</v>
      </c>
      <c r="N859">
        <v>0</v>
      </c>
      <c r="O859">
        <v>3</v>
      </c>
      <c r="P859">
        <v>3</v>
      </c>
    </row>
    <row r="860" spans="1:16" x14ac:dyDescent="0.35">
      <c r="A860">
        <v>859</v>
      </c>
      <c r="B860" t="b">
        <v>0</v>
      </c>
      <c r="C860" s="18">
        <v>40582</v>
      </c>
      <c r="D860">
        <v>1</v>
      </c>
      <c r="E860">
        <v>0</v>
      </c>
      <c r="F860">
        <v>2</v>
      </c>
      <c r="G860">
        <v>5</v>
      </c>
      <c r="H860">
        <v>2</v>
      </c>
      <c r="I860">
        <v>1</v>
      </c>
      <c r="J860">
        <v>0.26</v>
      </c>
      <c r="K860">
        <v>0.2273</v>
      </c>
      <c r="L860">
        <v>0.81</v>
      </c>
      <c r="M860">
        <v>0.32840000000000003</v>
      </c>
      <c r="N860">
        <v>0</v>
      </c>
      <c r="O860">
        <v>2</v>
      </c>
      <c r="P860">
        <v>2</v>
      </c>
    </row>
    <row r="861" spans="1:16" x14ac:dyDescent="0.35">
      <c r="A861">
        <v>860</v>
      </c>
      <c r="B861" t="b">
        <v>0</v>
      </c>
      <c r="C861" s="18">
        <v>40582</v>
      </c>
      <c r="D861">
        <v>1</v>
      </c>
      <c r="E861">
        <v>0</v>
      </c>
      <c r="F861">
        <v>2</v>
      </c>
      <c r="G861">
        <v>6</v>
      </c>
      <c r="H861">
        <v>2</v>
      </c>
      <c r="I861">
        <v>1</v>
      </c>
      <c r="J861">
        <v>0.26</v>
      </c>
      <c r="K861">
        <v>0.2273</v>
      </c>
      <c r="L861">
        <v>0.7</v>
      </c>
      <c r="M861">
        <v>0.32840000000000003</v>
      </c>
      <c r="N861">
        <v>0</v>
      </c>
      <c r="O861">
        <v>39</v>
      </c>
      <c r="P861">
        <v>39</v>
      </c>
    </row>
    <row r="862" spans="1:16" x14ac:dyDescent="0.35">
      <c r="A862">
        <v>861</v>
      </c>
      <c r="B862" t="b">
        <v>0</v>
      </c>
      <c r="C862" s="18">
        <v>40582</v>
      </c>
      <c r="D862">
        <v>1</v>
      </c>
      <c r="E862">
        <v>0</v>
      </c>
      <c r="F862">
        <v>2</v>
      </c>
      <c r="G862">
        <v>7</v>
      </c>
      <c r="H862">
        <v>2</v>
      </c>
      <c r="I862">
        <v>1</v>
      </c>
      <c r="J862">
        <v>0.24</v>
      </c>
      <c r="K862">
        <v>0.19700000000000001</v>
      </c>
      <c r="L862">
        <v>0.65</v>
      </c>
      <c r="M862">
        <v>0.41789999999999999</v>
      </c>
      <c r="N862">
        <v>3</v>
      </c>
      <c r="O862">
        <v>97</v>
      </c>
      <c r="P862">
        <v>100</v>
      </c>
    </row>
    <row r="863" spans="1:16" x14ac:dyDescent="0.35">
      <c r="A863">
        <v>862</v>
      </c>
      <c r="B863" t="b">
        <v>0</v>
      </c>
      <c r="C863" s="18">
        <v>40582</v>
      </c>
      <c r="D863">
        <v>1</v>
      </c>
      <c r="E863">
        <v>0</v>
      </c>
      <c r="F863">
        <v>2</v>
      </c>
      <c r="G863">
        <v>8</v>
      </c>
      <c r="H863">
        <v>2</v>
      </c>
      <c r="I863">
        <v>1</v>
      </c>
      <c r="J863">
        <v>0.24</v>
      </c>
      <c r="K863">
        <v>0.19700000000000001</v>
      </c>
      <c r="L863">
        <v>0.56000000000000005</v>
      </c>
      <c r="M863">
        <v>0.49249999999999999</v>
      </c>
      <c r="N863">
        <v>7</v>
      </c>
      <c r="O863">
        <v>236</v>
      </c>
      <c r="P863">
        <v>243</v>
      </c>
    </row>
    <row r="864" spans="1:16" x14ac:dyDescent="0.35">
      <c r="A864">
        <v>863</v>
      </c>
      <c r="B864" t="b">
        <v>0</v>
      </c>
      <c r="C864" s="18">
        <v>40582</v>
      </c>
      <c r="D864">
        <v>1</v>
      </c>
      <c r="E864">
        <v>0</v>
      </c>
      <c r="F864">
        <v>2</v>
      </c>
      <c r="G864">
        <v>9</v>
      </c>
      <c r="H864">
        <v>2</v>
      </c>
      <c r="I864">
        <v>1</v>
      </c>
      <c r="J864">
        <v>0.24</v>
      </c>
      <c r="K864">
        <v>0.19700000000000001</v>
      </c>
      <c r="L864">
        <v>0.52</v>
      </c>
      <c r="M864">
        <v>0.49249999999999999</v>
      </c>
      <c r="N864">
        <v>7</v>
      </c>
      <c r="O864">
        <v>128</v>
      </c>
      <c r="P864">
        <v>135</v>
      </c>
    </row>
    <row r="865" spans="1:16" x14ac:dyDescent="0.35">
      <c r="A865">
        <v>864</v>
      </c>
      <c r="B865" t="b">
        <v>0</v>
      </c>
      <c r="C865" s="18">
        <v>40582</v>
      </c>
      <c r="D865">
        <v>1</v>
      </c>
      <c r="E865">
        <v>0</v>
      </c>
      <c r="F865">
        <v>2</v>
      </c>
      <c r="G865">
        <v>10</v>
      </c>
      <c r="H865">
        <v>2</v>
      </c>
      <c r="I865">
        <v>1</v>
      </c>
      <c r="J865">
        <v>0.22</v>
      </c>
      <c r="K865">
        <v>0.18179999999999999</v>
      </c>
      <c r="L865">
        <v>0.47</v>
      </c>
      <c r="M865">
        <v>0.55220000000000002</v>
      </c>
      <c r="N865">
        <v>4</v>
      </c>
      <c r="O865">
        <v>44</v>
      </c>
      <c r="P865">
        <v>48</v>
      </c>
    </row>
    <row r="866" spans="1:16" x14ac:dyDescent="0.35">
      <c r="A866">
        <v>865</v>
      </c>
      <c r="B866" t="b">
        <v>0</v>
      </c>
      <c r="C866" s="18">
        <v>40582</v>
      </c>
      <c r="D866">
        <v>1</v>
      </c>
      <c r="E866">
        <v>0</v>
      </c>
      <c r="F866">
        <v>2</v>
      </c>
      <c r="G866">
        <v>11</v>
      </c>
      <c r="H866">
        <v>2</v>
      </c>
      <c r="I866">
        <v>1</v>
      </c>
      <c r="J866">
        <v>0.22</v>
      </c>
      <c r="K866">
        <v>0.18179999999999999</v>
      </c>
      <c r="L866">
        <v>0.47</v>
      </c>
      <c r="M866">
        <v>0.4627</v>
      </c>
      <c r="N866">
        <v>1</v>
      </c>
      <c r="O866">
        <v>49</v>
      </c>
      <c r="P866">
        <v>50</v>
      </c>
    </row>
    <row r="867" spans="1:16" x14ac:dyDescent="0.35">
      <c r="A867">
        <v>866</v>
      </c>
      <c r="B867" t="b">
        <v>0</v>
      </c>
      <c r="C867" s="18">
        <v>40582</v>
      </c>
      <c r="D867">
        <v>1</v>
      </c>
      <c r="E867">
        <v>0</v>
      </c>
      <c r="F867">
        <v>2</v>
      </c>
      <c r="G867">
        <v>12</v>
      </c>
      <c r="H867">
        <v>2</v>
      </c>
      <c r="I867">
        <v>1</v>
      </c>
      <c r="J867">
        <v>0.24</v>
      </c>
      <c r="K867">
        <v>0.19700000000000001</v>
      </c>
      <c r="L867">
        <v>0.38</v>
      </c>
      <c r="M867">
        <v>0.49249999999999999</v>
      </c>
      <c r="N867">
        <v>2</v>
      </c>
      <c r="O867">
        <v>63</v>
      </c>
      <c r="P867">
        <v>65</v>
      </c>
    </row>
    <row r="868" spans="1:16" x14ac:dyDescent="0.35">
      <c r="A868">
        <v>867</v>
      </c>
      <c r="B868" t="b">
        <v>0</v>
      </c>
      <c r="C868" s="18">
        <v>40582</v>
      </c>
      <c r="D868">
        <v>1</v>
      </c>
      <c r="E868">
        <v>0</v>
      </c>
      <c r="F868">
        <v>2</v>
      </c>
      <c r="G868">
        <v>13</v>
      </c>
      <c r="H868">
        <v>2</v>
      </c>
      <c r="I868">
        <v>2</v>
      </c>
      <c r="J868">
        <v>0.24</v>
      </c>
      <c r="K868">
        <v>0.19700000000000001</v>
      </c>
      <c r="L868">
        <v>0.32</v>
      </c>
      <c r="M868">
        <v>0.44779999999999998</v>
      </c>
      <c r="N868">
        <v>2</v>
      </c>
      <c r="O868">
        <v>48</v>
      </c>
      <c r="P868">
        <v>50</v>
      </c>
    </row>
    <row r="869" spans="1:16" x14ac:dyDescent="0.35">
      <c r="A869">
        <v>868</v>
      </c>
      <c r="B869" t="b">
        <v>0</v>
      </c>
      <c r="C869" s="18">
        <v>40582</v>
      </c>
      <c r="D869">
        <v>1</v>
      </c>
      <c r="E869">
        <v>0</v>
      </c>
      <c r="F869">
        <v>2</v>
      </c>
      <c r="G869">
        <v>14</v>
      </c>
      <c r="H869">
        <v>2</v>
      </c>
      <c r="I869">
        <v>1</v>
      </c>
      <c r="J869">
        <v>0.22</v>
      </c>
      <c r="K869">
        <v>0.19700000000000001</v>
      </c>
      <c r="L869">
        <v>0.37</v>
      </c>
      <c r="M869">
        <v>0.41789999999999999</v>
      </c>
      <c r="N869">
        <v>3</v>
      </c>
      <c r="O869">
        <v>61</v>
      </c>
      <c r="P869">
        <v>64</v>
      </c>
    </row>
    <row r="870" spans="1:16" x14ac:dyDescent="0.35">
      <c r="A870">
        <v>869</v>
      </c>
      <c r="B870" t="b">
        <v>0</v>
      </c>
      <c r="C870" s="18">
        <v>40582</v>
      </c>
      <c r="D870">
        <v>1</v>
      </c>
      <c r="E870">
        <v>0</v>
      </c>
      <c r="F870">
        <v>2</v>
      </c>
      <c r="G870">
        <v>15</v>
      </c>
      <c r="H870">
        <v>2</v>
      </c>
      <c r="I870">
        <v>1</v>
      </c>
      <c r="J870">
        <v>0.22</v>
      </c>
      <c r="K870">
        <v>0.19700000000000001</v>
      </c>
      <c r="L870">
        <v>0.35</v>
      </c>
      <c r="M870">
        <v>0.3881</v>
      </c>
      <c r="N870">
        <v>6</v>
      </c>
      <c r="O870">
        <v>45</v>
      </c>
      <c r="P870">
        <v>51</v>
      </c>
    </row>
    <row r="871" spans="1:16" x14ac:dyDescent="0.35">
      <c r="A871">
        <v>870</v>
      </c>
      <c r="B871" t="b">
        <v>0</v>
      </c>
      <c r="C871" s="18">
        <v>40582</v>
      </c>
      <c r="D871">
        <v>1</v>
      </c>
      <c r="E871">
        <v>0</v>
      </c>
      <c r="F871">
        <v>2</v>
      </c>
      <c r="G871">
        <v>16</v>
      </c>
      <c r="H871">
        <v>2</v>
      </c>
      <c r="I871">
        <v>1</v>
      </c>
      <c r="J871">
        <v>0.22</v>
      </c>
      <c r="K871">
        <v>0.18179999999999999</v>
      </c>
      <c r="L871">
        <v>0.35</v>
      </c>
      <c r="M871">
        <v>0.52239999999999998</v>
      </c>
      <c r="N871">
        <v>4</v>
      </c>
      <c r="O871">
        <v>79</v>
      </c>
      <c r="P871">
        <v>83</v>
      </c>
    </row>
    <row r="872" spans="1:16" x14ac:dyDescent="0.35">
      <c r="A872">
        <v>871</v>
      </c>
      <c r="B872" t="b">
        <v>0</v>
      </c>
      <c r="C872" s="18">
        <v>40582</v>
      </c>
      <c r="D872">
        <v>1</v>
      </c>
      <c r="E872">
        <v>0</v>
      </c>
      <c r="F872">
        <v>2</v>
      </c>
      <c r="G872">
        <v>17</v>
      </c>
      <c r="H872">
        <v>2</v>
      </c>
      <c r="I872">
        <v>1</v>
      </c>
      <c r="J872">
        <v>0.22</v>
      </c>
      <c r="K872">
        <v>0.18179999999999999</v>
      </c>
      <c r="L872">
        <v>0.32</v>
      </c>
      <c r="M872">
        <v>0.58209999999999995</v>
      </c>
      <c r="N872">
        <v>4</v>
      </c>
      <c r="O872">
        <v>172</v>
      </c>
      <c r="P872">
        <v>176</v>
      </c>
    </row>
    <row r="873" spans="1:16" x14ac:dyDescent="0.35">
      <c r="A873">
        <v>872</v>
      </c>
      <c r="B873" t="b">
        <v>0</v>
      </c>
      <c r="C873" s="18">
        <v>40582</v>
      </c>
      <c r="D873">
        <v>1</v>
      </c>
      <c r="E873">
        <v>0</v>
      </c>
      <c r="F873">
        <v>2</v>
      </c>
      <c r="G873">
        <v>18</v>
      </c>
      <c r="H873">
        <v>2</v>
      </c>
      <c r="I873">
        <v>1</v>
      </c>
      <c r="J873">
        <v>0.2</v>
      </c>
      <c r="K873">
        <v>0.18179999999999999</v>
      </c>
      <c r="L873">
        <v>0.32</v>
      </c>
      <c r="M873">
        <v>0.3881</v>
      </c>
      <c r="N873">
        <v>1</v>
      </c>
      <c r="O873">
        <v>151</v>
      </c>
      <c r="P873">
        <v>152</v>
      </c>
    </row>
    <row r="874" spans="1:16" x14ac:dyDescent="0.35">
      <c r="A874">
        <v>873</v>
      </c>
      <c r="B874" t="b">
        <v>0</v>
      </c>
      <c r="C874" s="18">
        <v>40582</v>
      </c>
      <c r="D874">
        <v>1</v>
      </c>
      <c r="E874">
        <v>0</v>
      </c>
      <c r="F874">
        <v>2</v>
      </c>
      <c r="G874">
        <v>19</v>
      </c>
      <c r="H874">
        <v>2</v>
      </c>
      <c r="I874">
        <v>1</v>
      </c>
      <c r="J874">
        <v>0.16</v>
      </c>
      <c r="K874">
        <v>0.1212</v>
      </c>
      <c r="L874">
        <v>0.4</v>
      </c>
      <c r="M874">
        <v>0.4627</v>
      </c>
      <c r="N874">
        <v>1</v>
      </c>
      <c r="O874">
        <v>100</v>
      </c>
      <c r="P874">
        <v>101</v>
      </c>
    </row>
    <row r="875" spans="1:16" x14ac:dyDescent="0.35">
      <c r="A875">
        <v>874</v>
      </c>
      <c r="B875" t="b">
        <v>0</v>
      </c>
      <c r="C875" s="18">
        <v>40582</v>
      </c>
      <c r="D875">
        <v>1</v>
      </c>
      <c r="E875">
        <v>0</v>
      </c>
      <c r="F875">
        <v>2</v>
      </c>
      <c r="G875">
        <v>20</v>
      </c>
      <c r="H875">
        <v>2</v>
      </c>
      <c r="I875">
        <v>1</v>
      </c>
      <c r="J875">
        <v>0.16</v>
      </c>
      <c r="K875">
        <v>0.13639999999999999</v>
      </c>
      <c r="L875">
        <v>0.4</v>
      </c>
      <c r="M875">
        <v>0.32840000000000003</v>
      </c>
      <c r="N875">
        <v>3</v>
      </c>
      <c r="O875">
        <v>53</v>
      </c>
      <c r="P875">
        <v>56</v>
      </c>
    </row>
    <row r="876" spans="1:16" x14ac:dyDescent="0.35">
      <c r="A876">
        <v>875</v>
      </c>
      <c r="B876" t="b">
        <v>0</v>
      </c>
      <c r="C876" s="18">
        <v>40582</v>
      </c>
      <c r="D876">
        <v>1</v>
      </c>
      <c r="E876">
        <v>0</v>
      </c>
      <c r="F876">
        <v>2</v>
      </c>
      <c r="G876">
        <v>21</v>
      </c>
      <c r="H876">
        <v>2</v>
      </c>
      <c r="I876">
        <v>1</v>
      </c>
      <c r="J876">
        <v>0.14000000000000001</v>
      </c>
      <c r="K876">
        <v>0.1061</v>
      </c>
      <c r="L876">
        <v>0.33</v>
      </c>
      <c r="M876">
        <v>0.4627</v>
      </c>
      <c r="N876">
        <v>8</v>
      </c>
      <c r="O876">
        <v>46</v>
      </c>
      <c r="P876">
        <v>54</v>
      </c>
    </row>
    <row r="877" spans="1:16" x14ac:dyDescent="0.35">
      <c r="A877">
        <v>876</v>
      </c>
      <c r="B877" t="b">
        <v>0</v>
      </c>
      <c r="C877" s="18">
        <v>40582</v>
      </c>
      <c r="D877">
        <v>1</v>
      </c>
      <c r="E877">
        <v>0</v>
      </c>
      <c r="F877">
        <v>2</v>
      </c>
      <c r="G877">
        <v>22</v>
      </c>
      <c r="H877">
        <v>2</v>
      </c>
      <c r="I877">
        <v>1</v>
      </c>
      <c r="J877">
        <v>0.12</v>
      </c>
      <c r="K877">
        <v>0.1061</v>
      </c>
      <c r="L877">
        <v>0.33</v>
      </c>
      <c r="M877">
        <v>0.35820000000000002</v>
      </c>
      <c r="N877">
        <v>0</v>
      </c>
      <c r="O877">
        <v>29</v>
      </c>
      <c r="P877">
        <v>29</v>
      </c>
    </row>
    <row r="878" spans="1:16" x14ac:dyDescent="0.35">
      <c r="A878">
        <v>877</v>
      </c>
      <c r="B878" t="b">
        <v>0</v>
      </c>
      <c r="C878" s="18">
        <v>40582</v>
      </c>
      <c r="D878">
        <v>1</v>
      </c>
      <c r="E878">
        <v>0</v>
      </c>
      <c r="F878">
        <v>2</v>
      </c>
      <c r="G878">
        <v>23</v>
      </c>
      <c r="H878">
        <v>2</v>
      </c>
      <c r="I878">
        <v>1</v>
      </c>
      <c r="J878">
        <v>0.12</v>
      </c>
      <c r="K878">
        <v>0.1061</v>
      </c>
      <c r="L878">
        <v>0.33</v>
      </c>
      <c r="M878">
        <v>0.32840000000000003</v>
      </c>
      <c r="N878">
        <v>3</v>
      </c>
      <c r="O878">
        <v>9</v>
      </c>
      <c r="P878">
        <v>12</v>
      </c>
    </row>
    <row r="879" spans="1:16" x14ac:dyDescent="0.35">
      <c r="A879">
        <v>878</v>
      </c>
      <c r="B879" t="b">
        <v>0</v>
      </c>
      <c r="C879" s="18">
        <v>40583</v>
      </c>
      <c r="D879">
        <v>1</v>
      </c>
      <c r="E879">
        <v>0</v>
      </c>
      <c r="F879">
        <v>2</v>
      </c>
      <c r="G879">
        <v>0</v>
      </c>
      <c r="H879">
        <v>3</v>
      </c>
      <c r="I879">
        <v>1</v>
      </c>
      <c r="J879">
        <v>0.1</v>
      </c>
      <c r="K879">
        <v>7.5800000000000006E-2</v>
      </c>
      <c r="L879">
        <v>0.36</v>
      </c>
      <c r="M879">
        <v>0.35820000000000002</v>
      </c>
      <c r="N879">
        <v>0</v>
      </c>
      <c r="O879">
        <v>17</v>
      </c>
      <c r="P879">
        <v>17</v>
      </c>
    </row>
    <row r="880" spans="1:16" x14ac:dyDescent="0.35">
      <c r="A880">
        <v>879</v>
      </c>
      <c r="B880" t="b">
        <v>0</v>
      </c>
      <c r="C880" s="18">
        <v>40583</v>
      </c>
      <c r="D880">
        <v>1</v>
      </c>
      <c r="E880">
        <v>0</v>
      </c>
      <c r="F880">
        <v>2</v>
      </c>
      <c r="G880">
        <v>1</v>
      </c>
      <c r="H880">
        <v>3</v>
      </c>
      <c r="I880">
        <v>1</v>
      </c>
      <c r="J880">
        <v>0.1</v>
      </c>
      <c r="K880">
        <v>0.1061</v>
      </c>
      <c r="L880">
        <v>0.36</v>
      </c>
      <c r="M880">
        <v>0.22389999999999999</v>
      </c>
      <c r="N880">
        <v>0</v>
      </c>
      <c r="O880">
        <v>7</v>
      </c>
      <c r="P880">
        <v>7</v>
      </c>
    </row>
    <row r="881" spans="1:16" x14ac:dyDescent="0.35">
      <c r="A881">
        <v>880</v>
      </c>
      <c r="B881" t="b">
        <v>0</v>
      </c>
      <c r="C881" s="18">
        <v>40583</v>
      </c>
      <c r="D881">
        <v>1</v>
      </c>
      <c r="E881">
        <v>0</v>
      </c>
      <c r="F881">
        <v>2</v>
      </c>
      <c r="G881">
        <v>2</v>
      </c>
      <c r="H881">
        <v>3</v>
      </c>
      <c r="I881">
        <v>1</v>
      </c>
      <c r="J881">
        <v>0.08</v>
      </c>
      <c r="K881">
        <v>7.5800000000000006E-2</v>
      </c>
      <c r="L881">
        <v>0.38</v>
      </c>
      <c r="M881">
        <v>0.28360000000000002</v>
      </c>
      <c r="N881">
        <v>1</v>
      </c>
      <c r="O881">
        <v>2</v>
      </c>
      <c r="P881">
        <v>3</v>
      </c>
    </row>
    <row r="882" spans="1:16" x14ac:dyDescent="0.35">
      <c r="A882">
        <v>881</v>
      </c>
      <c r="B882" t="b">
        <v>0</v>
      </c>
      <c r="C882" s="18">
        <v>40583</v>
      </c>
      <c r="D882">
        <v>1</v>
      </c>
      <c r="E882">
        <v>0</v>
      </c>
      <c r="F882">
        <v>2</v>
      </c>
      <c r="G882">
        <v>3</v>
      </c>
      <c r="H882">
        <v>3</v>
      </c>
      <c r="I882">
        <v>1</v>
      </c>
      <c r="J882">
        <v>0.06</v>
      </c>
      <c r="K882">
        <v>7.5800000000000006E-2</v>
      </c>
      <c r="L882">
        <v>0.45</v>
      </c>
      <c r="M882">
        <v>0.1343</v>
      </c>
      <c r="N882">
        <v>0</v>
      </c>
      <c r="O882">
        <v>2</v>
      </c>
      <c r="P882">
        <v>2</v>
      </c>
    </row>
    <row r="883" spans="1:16" x14ac:dyDescent="0.35">
      <c r="A883">
        <v>882</v>
      </c>
      <c r="B883" t="b">
        <v>0</v>
      </c>
      <c r="C883" s="18">
        <v>40583</v>
      </c>
      <c r="D883">
        <v>1</v>
      </c>
      <c r="E883">
        <v>0</v>
      </c>
      <c r="F883">
        <v>2</v>
      </c>
      <c r="G883">
        <v>5</v>
      </c>
      <c r="H883">
        <v>3</v>
      </c>
      <c r="I883">
        <v>1</v>
      </c>
      <c r="J883">
        <v>0.06</v>
      </c>
      <c r="K883">
        <v>0.1061</v>
      </c>
      <c r="L883">
        <v>0.45</v>
      </c>
      <c r="M883">
        <v>0.1045</v>
      </c>
      <c r="N883">
        <v>0</v>
      </c>
      <c r="O883">
        <v>7</v>
      </c>
      <c r="P883">
        <v>7</v>
      </c>
    </row>
    <row r="884" spans="1:16" x14ac:dyDescent="0.35">
      <c r="A884">
        <v>883</v>
      </c>
      <c r="B884" t="b">
        <v>0</v>
      </c>
      <c r="C884" s="18">
        <v>40583</v>
      </c>
      <c r="D884">
        <v>1</v>
      </c>
      <c r="E884">
        <v>0</v>
      </c>
      <c r="F884">
        <v>2</v>
      </c>
      <c r="G884">
        <v>6</v>
      </c>
      <c r="H884">
        <v>3</v>
      </c>
      <c r="I884">
        <v>1</v>
      </c>
      <c r="J884">
        <v>0.06</v>
      </c>
      <c r="K884">
        <v>0.1515</v>
      </c>
      <c r="L884">
        <v>0.45</v>
      </c>
      <c r="M884">
        <v>0</v>
      </c>
      <c r="N884">
        <v>0</v>
      </c>
      <c r="O884">
        <v>43</v>
      </c>
      <c r="P884">
        <v>43</v>
      </c>
    </row>
    <row r="885" spans="1:16" x14ac:dyDescent="0.35">
      <c r="A885">
        <v>884</v>
      </c>
      <c r="B885" t="b">
        <v>0</v>
      </c>
      <c r="C885" s="18">
        <v>40583</v>
      </c>
      <c r="D885">
        <v>1</v>
      </c>
      <c r="E885">
        <v>0</v>
      </c>
      <c r="F885">
        <v>2</v>
      </c>
      <c r="G885">
        <v>7</v>
      </c>
      <c r="H885">
        <v>3</v>
      </c>
      <c r="I885">
        <v>1</v>
      </c>
      <c r="J885">
        <v>0.06</v>
      </c>
      <c r="K885">
        <v>0.1061</v>
      </c>
      <c r="L885">
        <v>0.49</v>
      </c>
      <c r="M885">
        <v>0.1045</v>
      </c>
      <c r="N885">
        <v>4</v>
      </c>
      <c r="O885">
        <v>95</v>
      </c>
      <c r="P885">
        <v>99</v>
      </c>
    </row>
    <row r="886" spans="1:16" x14ac:dyDescent="0.35">
      <c r="A886">
        <v>885</v>
      </c>
      <c r="B886" t="b">
        <v>0</v>
      </c>
      <c r="C886" s="18">
        <v>40583</v>
      </c>
      <c r="D886">
        <v>1</v>
      </c>
      <c r="E886">
        <v>0</v>
      </c>
      <c r="F886">
        <v>2</v>
      </c>
      <c r="G886">
        <v>8</v>
      </c>
      <c r="H886">
        <v>3</v>
      </c>
      <c r="I886">
        <v>1</v>
      </c>
      <c r="J886">
        <v>0.1</v>
      </c>
      <c r="K886">
        <v>0.13639999999999999</v>
      </c>
      <c r="L886">
        <v>0.42</v>
      </c>
      <c r="M886">
        <v>0</v>
      </c>
      <c r="N886">
        <v>1</v>
      </c>
      <c r="O886">
        <v>198</v>
      </c>
      <c r="P886">
        <v>199</v>
      </c>
    </row>
    <row r="887" spans="1:16" x14ac:dyDescent="0.35">
      <c r="A887">
        <v>886</v>
      </c>
      <c r="B887" t="b">
        <v>0</v>
      </c>
      <c r="C887" s="18">
        <v>40583</v>
      </c>
      <c r="D887">
        <v>1</v>
      </c>
      <c r="E887">
        <v>0</v>
      </c>
      <c r="F887">
        <v>2</v>
      </c>
      <c r="G887">
        <v>9</v>
      </c>
      <c r="H887">
        <v>3</v>
      </c>
      <c r="I887">
        <v>1</v>
      </c>
      <c r="J887">
        <v>0.12</v>
      </c>
      <c r="K887">
        <v>0.13639999999999999</v>
      </c>
      <c r="L887">
        <v>0.39</v>
      </c>
      <c r="M887">
        <v>0.16420000000000001</v>
      </c>
      <c r="N887">
        <v>4</v>
      </c>
      <c r="O887">
        <v>119</v>
      </c>
      <c r="P887">
        <v>123</v>
      </c>
    </row>
    <row r="888" spans="1:16" x14ac:dyDescent="0.35">
      <c r="A888">
        <v>887</v>
      </c>
      <c r="B888" t="b">
        <v>0</v>
      </c>
      <c r="C888" s="18">
        <v>40583</v>
      </c>
      <c r="D888">
        <v>1</v>
      </c>
      <c r="E888">
        <v>0</v>
      </c>
      <c r="F888">
        <v>2</v>
      </c>
      <c r="G888">
        <v>10</v>
      </c>
      <c r="H888">
        <v>3</v>
      </c>
      <c r="I888">
        <v>1</v>
      </c>
      <c r="J888">
        <v>0.14000000000000001</v>
      </c>
      <c r="K888">
        <v>0.18179999999999999</v>
      </c>
      <c r="L888">
        <v>0.36</v>
      </c>
      <c r="M888">
        <v>0</v>
      </c>
      <c r="N888">
        <v>8</v>
      </c>
      <c r="O888">
        <v>51</v>
      </c>
      <c r="P888">
        <v>59</v>
      </c>
    </row>
    <row r="889" spans="1:16" x14ac:dyDescent="0.35">
      <c r="A889">
        <v>888</v>
      </c>
      <c r="B889" t="b">
        <v>0</v>
      </c>
      <c r="C889" s="18">
        <v>40583</v>
      </c>
      <c r="D889">
        <v>1</v>
      </c>
      <c r="E889">
        <v>0</v>
      </c>
      <c r="F889">
        <v>2</v>
      </c>
      <c r="G889">
        <v>11</v>
      </c>
      <c r="H889">
        <v>3</v>
      </c>
      <c r="I889">
        <v>2</v>
      </c>
      <c r="J889">
        <v>0.14000000000000001</v>
      </c>
      <c r="K889">
        <v>0.1515</v>
      </c>
      <c r="L889">
        <v>0.43</v>
      </c>
      <c r="M889">
        <v>0.16420000000000001</v>
      </c>
      <c r="N889">
        <v>1</v>
      </c>
      <c r="O889">
        <v>40</v>
      </c>
      <c r="P889">
        <v>41</v>
      </c>
    </row>
    <row r="890" spans="1:16" x14ac:dyDescent="0.35">
      <c r="A890">
        <v>889</v>
      </c>
      <c r="B890" t="b">
        <v>0</v>
      </c>
      <c r="C890" s="18">
        <v>40583</v>
      </c>
      <c r="D890">
        <v>1</v>
      </c>
      <c r="E890">
        <v>0</v>
      </c>
      <c r="F890">
        <v>2</v>
      </c>
      <c r="G890">
        <v>12</v>
      </c>
      <c r="H890">
        <v>3</v>
      </c>
      <c r="I890">
        <v>2</v>
      </c>
      <c r="J890">
        <v>0.18</v>
      </c>
      <c r="K890">
        <v>0.18179999999999999</v>
      </c>
      <c r="L890">
        <v>0.4</v>
      </c>
      <c r="M890">
        <v>0.22389999999999999</v>
      </c>
      <c r="N890">
        <v>4</v>
      </c>
      <c r="O890">
        <v>57</v>
      </c>
      <c r="P890">
        <v>61</v>
      </c>
    </row>
    <row r="891" spans="1:16" x14ac:dyDescent="0.35">
      <c r="A891">
        <v>890</v>
      </c>
      <c r="B891" t="b">
        <v>0</v>
      </c>
      <c r="C891" s="18">
        <v>40583</v>
      </c>
      <c r="D891">
        <v>1</v>
      </c>
      <c r="E891">
        <v>0</v>
      </c>
      <c r="F891">
        <v>2</v>
      </c>
      <c r="G891">
        <v>13</v>
      </c>
      <c r="H891">
        <v>3</v>
      </c>
      <c r="I891">
        <v>1</v>
      </c>
      <c r="J891">
        <v>0.18</v>
      </c>
      <c r="K891">
        <v>0.16669999999999999</v>
      </c>
      <c r="L891">
        <v>0.4</v>
      </c>
      <c r="M891">
        <v>0.25369999999999998</v>
      </c>
      <c r="N891">
        <v>2</v>
      </c>
      <c r="O891">
        <v>67</v>
      </c>
      <c r="P891">
        <v>69</v>
      </c>
    </row>
    <row r="892" spans="1:16" x14ac:dyDescent="0.35">
      <c r="A892">
        <v>891</v>
      </c>
      <c r="B892" t="b">
        <v>0</v>
      </c>
      <c r="C892" s="18">
        <v>40583</v>
      </c>
      <c r="D892">
        <v>1</v>
      </c>
      <c r="E892">
        <v>0</v>
      </c>
      <c r="F892">
        <v>2</v>
      </c>
      <c r="G892">
        <v>14</v>
      </c>
      <c r="H892">
        <v>3</v>
      </c>
      <c r="I892">
        <v>1</v>
      </c>
      <c r="J892">
        <v>0.2</v>
      </c>
      <c r="K892">
        <v>0.18179999999999999</v>
      </c>
      <c r="L892">
        <v>0.34</v>
      </c>
      <c r="M892">
        <v>0.29849999999999999</v>
      </c>
      <c r="N892">
        <v>2</v>
      </c>
      <c r="O892">
        <v>56</v>
      </c>
      <c r="P892">
        <v>58</v>
      </c>
    </row>
    <row r="893" spans="1:16" x14ac:dyDescent="0.35">
      <c r="A893">
        <v>892</v>
      </c>
      <c r="B893" t="b">
        <v>0</v>
      </c>
      <c r="C893" s="18">
        <v>40583</v>
      </c>
      <c r="D893">
        <v>1</v>
      </c>
      <c r="E893">
        <v>0</v>
      </c>
      <c r="F893">
        <v>2</v>
      </c>
      <c r="G893">
        <v>15</v>
      </c>
      <c r="H893">
        <v>3</v>
      </c>
      <c r="I893">
        <v>2</v>
      </c>
      <c r="J893">
        <v>0.2</v>
      </c>
      <c r="K893">
        <v>0.18179999999999999</v>
      </c>
      <c r="L893">
        <v>0.34</v>
      </c>
      <c r="M893">
        <v>0.28360000000000002</v>
      </c>
      <c r="N893">
        <v>3</v>
      </c>
      <c r="O893">
        <v>61</v>
      </c>
      <c r="P893">
        <v>64</v>
      </c>
    </row>
    <row r="894" spans="1:16" x14ac:dyDescent="0.35">
      <c r="A894">
        <v>893</v>
      </c>
      <c r="B894" t="b">
        <v>0</v>
      </c>
      <c r="C894" s="18">
        <v>40583</v>
      </c>
      <c r="D894">
        <v>1</v>
      </c>
      <c r="E894">
        <v>0</v>
      </c>
      <c r="F894">
        <v>2</v>
      </c>
      <c r="G894">
        <v>16</v>
      </c>
      <c r="H894">
        <v>3</v>
      </c>
      <c r="I894">
        <v>2</v>
      </c>
      <c r="J894">
        <v>0.2</v>
      </c>
      <c r="K894">
        <v>0.19700000000000001</v>
      </c>
      <c r="L894">
        <v>0.37</v>
      </c>
      <c r="M894">
        <v>0.25369999999999998</v>
      </c>
      <c r="N894">
        <v>7</v>
      </c>
      <c r="O894">
        <v>72</v>
      </c>
      <c r="P894">
        <v>79</v>
      </c>
    </row>
    <row r="895" spans="1:16" x14ac:dyDescent="0.35">
      <c r="A895">
        <v>894</v>
      </c>
      <c r="B895" t="b">
        <v>0</v>
      </c>
      <c r="C895" s="18">
        <v>40583</v>
      </c>
      <c r="D895">
        <v>1</v>
      </c>
      <c r="E895">
        <v>0</v>
      </c>
      <c r="F895">
        <v>2</v>
      </c>
      <c r="G895">
        <v>17</v>
      </c>
      <c r="H895">
        <v>3</v>
      </c>
      <c r="I895">
        <v>2</v>
      </c>
      <c r="J895">
        <v>0.2</v>
      </c>
      <c r="K895">
        <v>0.19700000000000001</v>
      </c>
      <c r="L895">
        <v>0.34</v>
      </c>
      <c r="M895">
        <v>0.25369999999999998</v>
      </c>
      <c r="N895">
        <v>9</v>
      </c>
      <c r="O895">
        <v>157</v>
      </c>
      <c r="P895">
        <v>166</v>
      </c>
    </row>
    <row r="896" spans="1:16" x14ac:dyDescent="0.35">
      <c r="A896">
        <v>895</v>
      </c>
      <c r="B896" t="b">
        <v>0</v>
      </c>
      <c r="C896" s="18">
        <v>40583</v>
      </c>
      <c r="D896">
        <v>1</v>
      </c>
      <c r="E896">
        <v>0</v>
      </c>
      <c r="F896">
        <v>2</v>
      </c>
      <c r="G896">
        <v>18</v>
      </c>
      <c r="H896">
        <v>3</v>
      </c>
      <c r="I896">
        <v>2</v>
      </c>
      <c r="J896">
        <v>0.18</v>
      </c>
      <c r="K896">
        <v>0.16669999999999999</v>
      </c>
      <c r="L896">
        <v>0.47</v>
      </c>
      <c r="M896">
        <v>0.29849999999999999</v>
      </c>
      <c r="N896">
        <v>2</v>
      </c>
      <c r="O896">
        <v>168</v>
      </c>
      <c r="P896">
        <v>170</v>
      </c>
    </row>
    <row r="897" spans="1:16" x14ac:dyDescent="0.35">
      <c r="A897">
        <v>896</v>
      </c>
      <c r="B897" t="b">
        <v>0</v>
      </c>
      <c r="C897" s="18">
        <v>40583</v>
      </c>
      <c r="D897">
        <v>1</v>
      </c>
      <c r="E897">
        <v>0</v>
      </c>
      <c r="F897">
        <v>2</v>
      </c>
      <c r="G897">
        <v>19</v>
      </c>
      <c r="H897">
        <v>3</v>
      </c>
      <c r="I897">
        <v>3</v>
      </c>
      <c r="J897">
        <v>0.14000000000000001</v>
      </c>
      <c r="K897">
        <v>0.1212</v>
      </c>
      <c r="L897">
        <v>0.86</v>
      </c>
      <c r="M897">
        <v>0.25369999999999998</v>
      </c>
      <c r="N897">
        <v>1</v>
      </c>
      <c r="O897">
        <v>87</v>
      </c>
      <c r="P897">
        <v>88</v>
      </c>
    </row>
    <row r="898" spans="1:16" x14ac:dyDescent="0.35">
      <c r="A898">
        <v>897</v>
      </c>
      <c r="B898" t="b">
        <v>0</v>
      </c>
      <c r="C898" s="18">
        <v>40583</v>
      </c>
      <c r="D898">
        <v>1</v>
      </c>
      <c r="E898">
        <v>0</v>
      </c>
      <c r="F898">
        <v>2</v>
      </c>
      <c r="G898">
        <v>20</v>
      </c>
      <c r="H898">
        <v>3</v>
      </c>
      <c r="I898">
        <v>3</v>
      </c>
      <c r="J898">
        <v>0.14000000000000001</v>
      </c>
      <c r="K898">
        <v>0.1515</v>
      </c>
      <c r="L898">
        <v>0.86</v>
      </c>
      <c r="M898">
        <v>0.16420000000000001</v>
      </c>
      <c r="N898">
        <v>0</v>
      </c>
      <c r="O898">
        <v>84</v>
      </c>
      <c r="P898">
        <v>84</v>
      </c>
    </row>
    <row r="899" spans="1:16" x14ac:dyDescent="0.35">
      <c r="A899">
        <v>898</v>
      </c>
      <c r="B899" t="b">
        <v>0</v>
      </c>
      <c r="C899" s="18">
        <v>40583</v>
      </c>
      <c r="D899">
        <v>1</v>
      </c>
      <c r="E899">
        <v>0</v>
      </c>
      <c r="F899">
        <v>2</v>
      </c>
      <c r="G899">
        <v>21</v>
      </c>
      <c r="H899">
        <v>3</v>
      </c>
      <c r="I899">
        <v>2</v>
      </c>
      <c r="J899">
        <v>0.14000000000000001</v>
      </c>
      <c r="K899">
        <v>0.1515</v>
      </c>
      <c r="L899">
        <v>0.86</v>
      </c>
      <c r="M899">
        <v>0.16420000000000001</v>
      </c>
      <c r="N899">
        <v>0</v>
      </c>
      <c r="O899">
        <v>83</v>
      </c>
      <c r="P899">
        <v>83</v>
      </c>
    </row>
    <row r="900" spans="1:16" x14ac:dyDescent="0.35">
      <c r="A900">
        <v>899</v>
      </c>
      <c r="B900" t="b">
        <v>0</v>
      </c>
      <c r="C900" s="18">
        <v>40583</v>
      </c>
      <c r="D900">
        <v>1</v>
      </c>
      <c r="E900">
        <v>0</v>
      </c>
      <c r="F900">
        <v>2</v>
      </c>
      <c r="G900">
        <v>22</v>
      </c>
      <c r="H900">
        <v>3</v>
      </c>
      <c r="I900">
        <v>3</v>
      </c>
      <c r="J900">
        <v>0.16</v>
      </c>
      <c r="K900">
        <v>0.16669999999999999</v>
      </c>
      <c r="L900">
        <v>0.8</v>
      </c>
      <c r="M900">
        <v>0.16420000000000001</v>
      </c>
      <c r="N900">
        <v>4</v>
      </c>
      <c r="O900">
        <v>42</v>
      </c>
      <c r="P900">
        <v>46</v>
      </c>
    </row>
    <row r="901" spans="1:16" x14ac:dyDescent="0.35">
      <c r="A901">
        <v>900</v>
      </c>
      <c r="B901" t="b">
        <v>0</v>
      </c>
      <c r="C901" s="18">
        <v>40583</v>
      </c>
      <c r="D901">
        <v>1</v>
      </c>
      <c r="E901">
        <v>0</v>
      </c>
      <c r="F901">
        <v>2</v>
      </c>
      <c r="G901">
        <v>23</v>
      </c>
      <c r="H901">
        <v>3</v>
      </c>
      <c r="I901">
        <v>3</v>
      </c>
      <c r="J901">
        <v>0.16</v>
      </c>
      <c r="K901">
        <v>0.1515</v>
      </c>
      <c r="L901">
        <v>0.8</v>
      </c>
      <c r="M901">
        <v>0.19400000000000001</v>
      </c>
      <c r="N901">
        <v>0</v>
      </c>
      <c r="O901">
        <v>37</v>
      </c>
      <c r="P901">
        <v>37</v>
      </c>
    </row>
    <row r="902" spans="1:16" x14ac:dyDescent="0.35">
      <c r="A902">
        <v>901</v>
      </c>
      <c r="B902" t="b">
        <v>0</v>
      </c>
      <c r="C902" s="18">
        <v>40584</v>
      </c>
      <c r="D902">
        <v>1</v>
      </c>
      <c r="E902">
        <v>0</v>
      </c>
      <c r="F902">
        <v>2</v>
      </c>
      <c r="G902">
        <v>0</v>
      </c>
      <c r="H902">
        <v>4</v>
      </c>
      <c r="I902">
        <v>3</v>
      </c>
      <c r="J902">
        <v>0.14000000000000001</v>
      </c>
      <c r="K902">
        <v>0.13639999999999999</v>
      </c>
      <c r="L902">
        <v>0.86</v>
      </c>
      <c r="M902">
        <v>0.19400000000000001</v>
      </c>
      <c r="N902">
        <v>0</v>
      </c>
      <c r="O902">
        <v>16</v>
      </c>
      <c r="P902">
        <v>16</v>
      </c>
    </row>
    <row r="903" spans="1:16" x14ac:dyDescent="0.35">
      <c r="A903">
        <v>902</v>
      </c>
      <c r="B903" t="b">
        <v>0</v>
      </c>
      <c r="C903" s="18">
        <v>40584</v>
      </c>
      <c r="D903">
        <v>1</v>
      </c>
      <c r="E903">
        <v>0</v>
      </c>
      <c r="F903">
        <v>2</v>
      </c>
      <c r="G903">
        <v>1</v>
      </c>
      <c r="H903">
        <v>4</v>
      </c>
      <c r="I903">
        <v>3</v>
      </c>
      <c r="J903">
        <v>0.14000000000000001</v>
      </c>
      <c r="K903">
        <v>0.1515</v>
      </c>
      <c r="L903">
        <v>0.8</v>
      </c>
      <c r="M903">
        <v>0.1343</v>
      </c>
      <c r="N903">
        <v>0</v>
      </c>
      <c r="O903">
        <v>7</v>
      </c>
      <c r="P903">
        <v>7</v>
      </c>
    </row>
    <row r="904" spans="1:16" x14ac:dyDescent="0.35">
      <c r="A904">
        <v>903</v>
      </c>
      <c r="B904" t="b">
        <v>0</v>
      </c>
      <c r="C904" s="18">
        <v>40584</v>
      </c>
      <c r="D904">
        <v>1</v>
      </c>
      <c r="E904">
        <v>0</v>
      </c>
      <c r="F904">
        <v>2</v>
      </c>
      <c r="G904">
        <v>2</v>
      </c>
      <c r="H904">
        <v>4</v>
      </c>
      <c r="I904">
        <v>3</v>
      </c>
      <c r="J904">
        <v>0.14000000000000001</v>
      </c>
      <c r="K904">
        <v>0.1515</v>
      </c>
      <c r="L904">
        <v>0.8</v>
      </c>
      <c r="M904">
        <v>0.1343</v>
      </c>
      <c r="N904">
        <v>0</v>
      </c>
      <c r="O904">
        <v>3</v>
      </c>
      <c r="P904">
        <v>3</v>
      </c>
    </row>
    <row r="905" spans="1:16" x14ac:dyDescent="0.35">
      <c r="A905">
        <v>904</v>
      </c>
      <c r="B905" t="b">
        <v>0</v>
      </c>
      <c r="C905" s="18">
        <v>40584</v>
      </c>
      <c r="D905">
        <v>1</v>
      </c>
      <c r="E905">
        <v>0</v>
      </c>
      <c r="F905">
        <v>2</v>
      </c>
      <c r="G905">
        <v>4</v>
      </c>
      <c r="H905">
        <v>4</v>
      </c>
      <c r="I905">
        <v>2</v>
      </c>
      <c r="J905">
        <v>0.14000000000000001</v>
      </c>
      <c r="K905">
        <v>0.13639999999999999</v>
      </c>
      <c r="L905">
        <v>0.59</v>
      </c>
      <c r="M905">
        <v>0.22389999999999999</v>
      </c>
      <c r="N905">
        <v>0</v>
      </c>
      <c r="O905">
        <v>1</v>
      </c>
      <c r="P905">
        <v>1</v>
      </c>
    </row>
    <row r="906" spans="1:16" x14ac:dyDescent="0.35">
      <c r="A906">
        <v>905</v>
      </c>
      <c r="B906" t="b">
        <v>0</v>
      </c>
      <c r="C906" s="18">
        <v>40584</v>
      </c>
      <c r="D906">
        <v>1</v>
      </c>
      <c r="E906">
        <v>0</v>
      </c>
      <c r="F906">
        <v>2</v>
      </c>
      <c r="G906">
        <v>5</v>
      </c>
      <c r="H906">
        <v>4</v>
      </c>
      <c r="I906">
        <v>2</v>
      </c>
      <c r="J906">
        <v>0.12</v>
      </c>
      <c r="K906">
        <v>0.1212</v>
      </c>
      <c r="L906">
        <v>0.5</v>
      </c>
      <c r="M906">
        <v>0.22389999999999999</v>
      </c>
      <c r="N906">
        <v>0</v>
      </c>
      <c r="O906">
        <v>6</v>
      </c>
      <c r="P906">
        <v>6</v>
      </c>
    </row>
    <row r="907" spans="1:16" x14ac:dyDescent="0.35">
      <c r="A907">
        <v>906</v>
      </c>
      <c r="B907" t="b">
        <v>0</v>
      </c>
      <c r="C907" s="18">
        <v>40584</v>
      </c>
      <c r="D907">
        <v>1</v>
      </c>
      <c r="E907">
        <v>0</v>
      </c>
      <c r="F907">
        <v>2</v>
      </c>
      <c r="G907">
        <v>6</v>
      </c>
      <c r="H907">
        <v>4</v>
      </c>
      <c r="I907">
        <v>2</v>
      </c>
      <c r="J907">
        <v>0.12</v>
      </c>
      <c r="K907">
        <v>0.1212</v>
      </c>
      <c r="L907">
        <v>0.54</v>
      </c>
      <c r="M907">
        <v>0.28360000000000002</v>
      </c>
      <c r="N907">
        <v>0</v>
      </c>
      <c r="O907">
        <v>26</v>
      </c>
      <c r="P907">
        <v>26</v>
      </c>
    </row>
    <row r="908" spans="1:16" x14ac:dyDescent="0.35">
      <c r="A908">
        <v>907</v>
      </c>
      <c r="B908" t="b">
        <v>0</v>
      </c>
      <c r="C908" s="18">
        <v>40584</v>
      </c>
      <c r="D908">
        <v>1</v>
      </c>
      <c r="E908">
        <v>0</v>
      </c>
      <c r="F908">
        <v>2</v>
      </c>
      <c r="G908">
        <v>7</v>
      </c>
      <c r="H908">
        <v>4</v>
      </c>
      <c r="I908">
        <v>1</v>
      </c>
      <c r="J908">
        <v>0.1</v>
      </c>
      <c r="K908">
        <v>7.5800000000000006E-2</v>
      </c>
      <c r="L908">
        <v>0.5</v>
      </c>
      <c r="M908">
        <v>0.41789999999999999</v>
      </c>
      <c r="N908">
        <v>0</v>
      </c>
      <c r="O908">
        <v>99</v>
      </c>
      <c r="P908">
        <v>99</v>
      </c>
    </row>
    <row r="909" spans="1:16" x14ac:dyDescent="0.35">
      <c r="A909">
        <v>908</v>
      </c>
      <c r="B909" t="b">
        <v>0</v>
      </c>
      <c r="C909" s="18">
        <v>40584</v>
      </c>
      <c r="D909">
        <v>1</v>
      </c>
      <c r="E909">
        <v>0</v>
      </c>
      <c r="F909">
        <v>2</v>
      </c>
      <c r="G909">
        <v>8</v>
      </c>
      <c r="H909">
        <v>4</v>
      </c>
      <c r="I909">
        <v>1</v>
      </c>
      <c r="J909">
        <v>0.1</v>
      </c>
      <c r="K909">
        <v>7.5800000000000006E-2</v>
      </c>
      <c r="L909">
        <v>0.49</v>
      </c>
      <c r="M909">
        <v>0.32840000000000003</v>
      </c>
      <c r="N909">
        <v>5</v>
      </c>
      <c r="O909">
        <v>173</v>
      </c>
      <c r="P909">
        <v>178</v>
      </c>
    </row>
    <row r="910" spans="1:16" x14ac:dyDescent="0.35">
      <c r="A910">
        <v>909</v>
      </c>
      <c r="B910" t="b">
        <v>0</v>
      </c>
      <c r="C910" s="18">
        <v>40584</v>
      </c>
      <c r="D910">
        <v>1</v>
      </c>
      <c r="E910">
        <v>0</v>
      </c>
      <c r="F910">
        <v>2</v>
      </c>
      <c r="G910">
        <v>9</v>
      </c>
      <c r="H910">
        <v>4</v>
      </c>
      <c r="I910">
        <v>1</v>
      </c>
      <c r="J910">
        <v>0.12</v>
      </c>
      <c r="K910">
        <v>0.1061</v>
      </c>
      <c r="L910">
        <v>0.42</v>
      </c>
      <c r="M910">
        <v>0.35820000000000002</v>
      </c>
      <c r="N910">
        <v>1</v>
      </c>
      <c r="O910">
        <v>121</v>
      </c>
      <c r="P910">
        <v>122</v>
      </c>
    </row>
    <row r="911" spans="1:16" x14ac:dyDescent="0.35">
      <c r="A911">
        <v>910</v>
      </c>
      <c r="B911" t="b">
        <v>0</v>
      </c>
      <c r="C911" s="18">
        <v>40584</v>
      </c>
      <c r="D911">
        <v>1</v>
      </c>
      <c r="E911">
        <v>0</v>
      </c>
      <c r="F911">
        <v>2</v>
      </c>
      <c r="G911">
        <v>10</v>
      </c>
      <c r="H911">
        <v>4</v>
      </c>
      <c r="I911">
        <v>1</v>
      </c>
      <c r="J911">
        <v>0.12</v>
      </c>
      <c r="K911">
        <v>0.1061</v>
      </c>
      <c r="L911">
        <v>0.42</v>
      </c>
      <c r="M911">
        <v>0.29849999999999999</v>
      </c>
      <c r="N911">
        <v>1</v>
      </c>
      <c r="O911">
        <v>34</v>
      </c>
      <c r="P911">
        <v>35</v>
      </c>
    </row>
    <row r="912" spans="1:16" x14ac:dyDescent="0.35">
      <c r="A912">
        <v>911</v>
      </c>
      <c r="B912" t="b">
        <v>0</v>
      </c>
      <c r="C912" s="18">
        <v>40584</v>
      </c>
      <c r="D912">
        <v>1</v>
      </c>
      <c r="E912">
        <v>0</v>
      </c>
      <c r="F912">
        <v>2</v>
      </c>
      <c r="G912">
        <v>11</v>
      </c>
      <c r="H912">
        <v>4</v>
      </c>
      <c r="I912">
        <v>1</v>
      </c>
      <c r="J912">
        <v>0.14000000000000001</v>
      </c>
      <c r="K912">
        <v>0.1212</v>
      </c>
      <c r="L912">
        <v>0.39</v>
      </c>
      <c r="M912">
        <v>0.35820000000000002</v>
      </c>
      <c r="N912">
        <v>1</v>
      </c>
      <c r="O912">
        <v>44</v>
      </c>
      <c r="P912">
        <v>45</v>
      </c>
    </row>
    <row r="913" spans="1:16" x14ac:dyDescent="0.35">
      <c r="A913">
        <v>912</v>
      </c>
      <c r="B913" t="b">
        <v>0</v>
      </c>
      <c r="C913" s="18">
        <v>40584</v>
      </c>
      <c r="D913">
        <v>1</v>
      </c>
      <c r="E913">
        <v>0</v>
      </c>
      <c r="F913">
        <v>2</v>
      </c>
      <c r="G913">
        <v>12</v>
      </c>
      <c r="H913">
        <v>4</v>
      </c>
      <c r="I913">
        <v>1</v>
      </c>
      <c r="J913">
        <v>0.16</v>
      </c>
      <c r="K913">
        <v>0.13639999999999999</v>
      </c>
      <c r="L913">
        <v>0.34</v>
      </c>
      <c r="M913">
        <v>0.3881</v>
      </c>
      <c r="N913">
        <v>4</v>
      </c>
      <c r="O913">
        <v>65</v>
      </c>
      <c r="P913">
        <v>69</v>
      </c>
    </row>
    <row r="914" spans="1:16" x14ac:dyDescent="0.35">
      <c r="A914">
        <v>913</v>
      </c>
      <c r="B914" t="b">
        <v>0</v>
      </c>
      <c r="C914" s="18">
        <v>40584</v>
      </c>
      <c r="D914">
        <v>1</v>
      </c>
      <c r="E914">
        <v>0</v>
      </c>
      <c r="F914">
        <v>2</v>
      </c>
      <c r="G914">
        <v>13</v>
      </c>
      <c r="H914">
        <v>4</v>
      </c>
      <c r="I914">
        <v>1</v>
      </c>
      <c r="J914">
        <v>0.18</v>
      </c>
      <c r="K914">
        <v>0.16669999999999999</v>
      </c>
      <c r="L914">
        <v>0.28999999999999998</v>
      </c>
      <c r="M914">
        <v>0.29849999999999999</v>
      </c>
      <c r="N914">
        <v>3</v>
      </c>
      <c r="O914">
        <v>59</v>
      </c>
      <c r="P914">
        <v>62</v>
      </c>
    </row>
    <row r="915" spans="1:16" x14ac:dyDescent="0.35">
      <c r="A915">
        <v>914</v>
      </c>
      <c r="B915" t="b">
        <v>0</v>
      </c>
      <c r="C915" s="18">
        <v>40584</v>
      </c>
      <c r="D915">
        <v>1</v>
      </c>
      <c r="E915">
        <v>0</v>
      </c>
      <c r="F915">
        <v>2</v>
      </c>
      <c r="G915">
        <v>14</v>
      </c>
      <c r="H915">
        <v>4</v>
      </c>
      <c r="I915">
        <v>1</v>
      </c>
      <c r="J915">
        <v>0.2</v>
      </c>
      <c r="K915">
        <v>0.18179999999999999</v>
      </c>
      <c r="L915">
        <v>0.27</v>
      </c>
      <c r="M915">
        <v>0.28360000000000002</v>
      </c>
      <c r="N915">
        <v>6</v>
      </c>
      <c r="O915">
        <v>42</v>
      </c>
      <c r="P915">
        <v>48</v>
      </c>
    </row>
    <row r="916" spans="1:16" x14ac:dyDescent="0.35">
      <c r="A916">
        <v>915</v>
      </c>
      <c r="B916" t="b">
        <v>0</v>
      </c>
      <c r="C916" s="18">
        <v>40584</v>
      </c>
      <c r="D916">
        <v>1</v>
      </c>
      <c r="E916">
        <v>0</v>
      </c>
      <c r="F916">
        <v>2</v>
      </c>
      <c r="G916">
        <v>15</v>
      </c>
      <c r="H916">
        <v>4</v>
      </c>
      <c r="I916">
        <v>1</v>
      </c>
      <c r="J916">
        <v>0.2</v>
      </c>
      <c r="K916">
        <v>0.19700000000000001</v>
      </c>
      <c r="L916">
        <v>0.25</v>
      </c>
      <c r="M916">
        <v>0.25369999999999998</v>
      </c>
      <c r="N916">
        <v>0</v>
      </c>
      <c r="O916">
        <v>50</v>
      </c>
      <c r="P916">
        <v>50</v>
      </c>
    </row>
    <row r="917" spans="1:16" x14ac:dyDescent="0.35">
      <c r="A917">
        <v>916</v>
      </c>
      <c r="B917" t="b">
        <v>0</v>
      </c>
      <c r="C917" s="18">
        <v>40584</v>
      </c>
      <c r="D917">
        <v>1</v>
      </c>
      <c r="E917">
        <v>0</v>
      </c>
      <c r="F917">
        <v>2</v>
      </c>
      <c r="G917">
        <v>16</v>
      </c>
      <c r="H917">
        <v>4</v>
      </c>
      <c r="I917">
        <v>1</v>
      </c>
      <c r="J917">
        <v>0.2</v>
      </c>
      <c r="K917">
        <v>0.18179999999999999</v>
      </c>
      <c r="L917">
        <v>0.27</v>
      </c>
      <c r="M917">
        <v>0.29849999999999999</v>
      </c>
      <c r="N917">
        <v>4</v>
      </c>
      <c r="O917">
        <v>76</v>
      </c>
      <c r="P917">
        <v>80</v>
      </c>
    </row>
    <row r="918" spans="1:16" x14ac:dyDescent="0.35">
      <c r="A918">
        <v>917</v>
      </c>
      <c r="B918" t="b">
        <v>0</v>
      </c>
      <c r="C918" s="18">
        <v>40584</v>
      </c>
      <c r="D918">
        <v>1</v>
      </c>
      <c r="E918">
        <v>0</v>
      </c>
      <c r="F918">
        <v>2</v>
      </c>
      <c r="G918">
        <v>17</v>
      </c>
      <c r="H918">
        <v>4</v>
      </c>
      <c r="I918">
        <v>1</v>
      </c>
      <c r="J918">
        <v>0.18</v>
      </c>
      <c r="K918">
        <v>0.18179999999999999</v>
      </c>
      <c r="L918">
        <v>0.26</v>
      </c>
      <c r="M918">
        <v>0.19400000000000001</v>
      </c>
      <c r="N918">
        <v>6</v>
      </c>
      <c r="O918">
        <v>159</v>
      </c>
      <c r="P918">
        <v>165</v>
      </c>
    </row>
    <row r="919" spans="1:16" x14ac:dyDescent="0.35">
      <c r="A919">
        <v>918</v>
      </c>
      <c r="B919" t="b">
        <v>0</v>
      </c>
      <c r="C919" s="18">
        <v>40584</v>
      </c>
      <c r="D919">
        <v>1</v>
      </c>
      <c r="E919">
        <v>0</v>
      </c>
      <c r="F919">
        <v>2</v>
      </c>
      <c r="G919">
        <v>18</v>
      </c>
      <c r="H919">
        <v>4</v>
      </c>
      <c r="I919">
        <v>1</v>
      </c>
      <c r="J919">
        <v>0.16</v>
      </c>
      <c r="K919">
        <v>0.18179999999999999</v>
      </c>
      <c r="L919">
        <v>0.28000000000000003</v>
      </c>
      <c r="M919">
        <v>0.1343</v>
      </c>
      <c r="N919">
        <v>3</v>
      </c>
      <c r="O919">
        <v>157</v>
      </c>
      <c r="P919">
        <v>160</v>
      </c>
    </row>
    <row r="920" spans="1:16" x14ac:dyDescent="0.35">
      <c r="A920">
        <v>919</v>
      </c>
      <c r="B920" t="b">
        <v>0</v>
      </c>
      <c r="C920" s="18">
        <v>40584</v>
      </c>
      <c r="D920">
        <v>1</v>
      </c>
      <c r="E920">
        <v>0</v>
      </c>
      <c r="F920">
        <v>2</v>
      </c>
      <c r="G920">
        <v>19</v>
      </c>
      <c r="H920">
        <v>4</v>
      </c>
      <c r="I920">
        <v>1</v>
      </c>
      <c r="J920">
        <v>0.14000000000000001</v>
      </c>
      <c r="K920">
        <v>0.16669999999999999</v>
      </c>
      <c r="L920">
        <v>0.28000000000000003</v>
      </c>
      <c r="M920">
        <v>0.1045</v>
      </c>
      <c r="N920">
        <v>2</v>
      </c>
      <c r="O920">
        <v>110</v>
      </c>
      <c r="P920">
        <v>112</v>
      </c>
    </row>
    <row r="921" spans="1:16" x14ac:dyDescent="0.35">
      <c r="A921">
        <v>920</v>
      </c>
      <c r="B921" t="b">
        <v>0</v>
      </c>
      <c r="C921" s="18">
        <v>40584</v>
      </c>
      <c r="D921">
        <v>1</v>
      </c>
      <c r="E921">
        <v>0</v>
      </c>
      <c r="F921">
        <v>2</v>
      </c>
      <c r="G921">
        <v>20</v>
      </c>
      <c r="H921">
        <v>4</v>
      </c>
      <c r="I921">
        <v>1</v>
      </c>
      <c r="J921">
        <v>0.14000000000000001</v>
      </c>
      <c r="K921">
        <v>0.18179999999999999</v>
      </c>
      <c r="L921">
        <v>0.31</v>
      </c>
      <c r="M921">
        <v>8.9599999999999999E-2</v>
      </c>
      <c r="N921">
        <v>4</v>
      </c>
      <c r="O921">
        <v>93</v>
      </c>
      <c r="P921">
        <v>97</v>
      </c>
    </row>
    <row r="922" spans="1:16" x14ac:dyDescent="0.35">
      <c r="A922">
        <v>921</v>
      </c>
      <c r="B922" t="b">
        <v>0</v>
      </c>
      <c r="C922" s="18">
        <v>40584</v>
      </c>
      <c r="D922">
        <v>1</v>
      </c>
      <c r="E922">
        <v>0</v>
      </c>
      <c r="F922">
        <v>2</v>
      </c>
      <c r="G922">
        <v>21</v>
      </c>
      <c r="H922">
        <v>4</v>
      </c>
      <c r="I922">
        <v>1</v>
      </c>
      <c r="J922">
        <v>0.14000000000000001</v>
      </c>
      <c r="K922">
        <v>0.21210000000000001</v>
      </c>
      <c r="L922">
        <v>0.39</v>
      </c>
      <c r="M922">
        <v>0</v>
      </c>
      <c r="N922">
        <v>2</v>
      </c>
      <c r="O922">
        <v>70</v>
      </c>
      <c r="P922">
        <v>72</v>
      </c>
    </row>
    <row r="923" spans="1:16" x14ac:dyDescent="0.35">
      <c r="A923">
        <v>922</v>
      </c>
      <c r="B923" t="b">
        <v>0</v>
      </c>
      <c r="C923" s="18">
        <v>40584</v>
      </c>
      <c r="D923">
        <v>1</v>
      </c>
      <c r="E923">
        <v>0</v>
      </c>
      <c r="F923">
        <v>2</v>
      </c>
      <c r="G923">
        <v>22</v>
      </c>
      <c r="H923">
        <v>4</v>
      </c>
      <c r="I923">
        <v>1</v>
      </c>
      <c r="J923">
        <v>0.12</v>
      </c>
      <c r="K923">
        <v>0.19700000000000001</v>
      </c>
      <c r="L923">
        <v>0.39</v>
      </c>
      <c r="M923">
        <v>0</v>
      </c>
      <c r="N923">
        <v>4</v>
      </c>
      <c r="O923">
        <v>47</v>
      </c>
      <c r="P923">
        <v>51</v>
      </c>
    </row>
    <row r="924" spans="1:16" x14ac:dyDescent="0.35">
      <c r="A924">
        <v>923</v>
      </c>
      <c r="B924" t="b">
        <v>0</v>
      </c>
      <c r="C924" s="18">
        <v>40584</v>
      </c>
      <c r="D924">
        <v>1</v>
      </c>
      <c r="E924">
        <v>0</v>
      </c>
      <c r="F924">
        <v>2</v>
      </c>
      <c r="G924">
        <v>23</v>
      </c>
      <c r="H924">
        <v>4</v>
      </c>
      <c r="I924">
        <v>1</v>
      </c>
      <c r="J924">
        <v>0.12</v>
      </c>
      <c r="K924">
        <v>0.1515</v>
      </c>
      <c r="L924">
        <v>0.42</v>
      </c>
      <c r="M924">
        <v>0.1045</v>
      </c>
      <c r="N924">
        <v>1</v>
      </c>
      <c r="O924">
        <v>33</v>
      </c>
      <c r="P924">
        <v>34</v>
      </c>
    </row>
    <row r="925" spans="1:16" x14ac:dyDescent="0.35">
      <c r="A925">
        <v>924</v>
      </c>
      <c r="B925" t="b">
        <v>0</v>
      </c>
      <c r="C925" s="18">
        <v>40585</v>
      </c>
      <c r="D925">
        <v>1</v>
      </c>
      <c r="E925">
        <v>0</v>
      </c>
      <c r="F925">
        <v>2</v>
      </c>
      <c r="G925">
        <v>0</v>
      </c>
      <c r="H925">
        <v>5</v>
      </c>
      <c r="I925">
        <v>1</v>
      </c>
      <c r="J925">
        <v>0.1</v>
      </c>
      <c r="K925">
        <v>0.13639999999999999</v>
      </c>
      <c r="L925">
        <v>0.49</v>
      </c>
      <c r="M925">
        <v>0.1045</v>
      </c>
      <c r="N925">
        <v>2</v>
      </c>
      <c r="O925">
        <v>12</v>
      </c>
      <c r="P925">
        <v>14</v>
      </c>
    </row>
    <row r="926" spans="1:16" x14ac:dyDescent="0.35">
      <c r="A926">
        <v>925</v>
      </c>
      <c r="B926" t="b">
        <v>0</v>
      </c>
      <c r="C926" s="18">
        <v>40585</v>
      </c>
      <c r="D926">
        <v>1</v>
      </c>
      <c r="E926">
        <v>0</v>
      </c>
      <c r="F926">
        <v>2</v>
      </c>
      <c r="G926">
        <v>1</v>
      </c>
      <c r="H926">
        <v>5</v>
      </c>
      <c r="I926">
        <v>1</v>
      </c>
      <c r="J926">
        <v>0.1</v>
      </c>
      <c r="K926">
        <v>0.13639999999999999</v>
      </c>
      <c r="L926">
        <v>0.54</v>
      </c>
      <c r="M926">
        <v>8.9599999999999999E-2</v>
      </c>
      <c r="N926">
        <v>1</v>
      </c>
      <c r="O926">
        <v>6</v>
      </c>
      <c r="P926">
        <v>7</v>
      </c>
    </row>
    <row r="927" spans="1:16" x14ac:dyDescent="0.35">
      <c r="A927">
        <v>926</v>
      </c>
      <c r="B927" t="b">
        <v>0</v>
      </c>
      <c r="C927" s="18">
        <v>40585</v>
      </c>
      <c r="D927">
        <v>1</v>
      </c>
      <c r="E927">
        <v>0</v>
      </c>
      <c r="F927">
        <v>2</v>
      </c>
      <c r="G927">
        <v>2</v>
      </c>
      <c r="H927">
        <v>5</v>
      </c>
      <c r="I927">
        <v>1</v>
      </c>
      <c r="J927">
        <v>0.1</v>
      </c>
      <c r="K927">
        <v>0.13639999999999999</v>
      </c>
      <c r="L927">
        <v>0.54</v>
      </c>
      <c r="M927">
        <v>8.9599999999999999E-2</v>
      </c>
      <c r="N927">
        <v>0</v>
      </c>
      <c r="O927">
        <v>3</v>
      </c>
      <c r="P927">
        <v>3</v>
      </c>
    </row>
    <row r="928" spans="1:16" x14ac:dyDescent="0.35">
      <c r="A928">
        <v>927</v>
      </c>
      <c r="B928" t="b">
        <v>0</v>
      </c>
      <c r="C928" s="18">
        <v>40585</v>
      </c>
      <c r="D928">
        <v>1</v>
      </c>
      <c r="E928">
        <v>0</v>
      </c>
      <c r="F928">
        <v>2</v>
      </c>
      <c r="G928">
        <v>5</v>
      </c>
      <c r="H928">
        <v>5</v>
      </c>
      <c r="I928">
        <v>1</v>
      </c>
      <c r="J928">
        <v>0.08</v>
      </c>
      <c r="K928">
        <v>0.1212</v>
      </c>
      <c r="L928">
        <v>0.63</v>
      </c>
      <c r="M928">
        <v>8.9599999999999999E-2</v>
      </c>
      <c r="N928">
        <v>0</v>
      </c>
      <c r="O928">
        <v>4</v>
      </c>
      <c r="P928">
        <v>4</v>
      </c>
    </row>
    <row r="929" spans="1:16" x14ac:dyDescent="0.35">
      <c r="A929">
        <v>928</v>
      </c>
      <c r="B929" t="b">
        <v>0</v>
      </c>
      <c r="C929" s="18">
        <v>40585</v>
      </c>
      <c r="D929">
        <v>1</v>
      </c>
      <c r="E929">
        <v>0</v>
      </c>
      <c r="F929">
        <v>2</v>
      </c>
      <c r="G929">
        <v>6</v>
      </c>
      <c r="H929">
        <v>5</v>
      </c>
      <c r="I929">
        <v>1</v>
      </c>
      <c r="J929">
        <v>0.1</v>
      </c>
      <c r="K929">
        <v>0.18179999999999999</v>
      </c>
      <c r="L929">
        <v>0.68</v>
      </c>
      <c r="M929">
        <v>0</v>
      </c>
      <c r="N929">
        <v>1</v>
      </c>
      <c r="O929">
        <v>23</v>
      </c>
      <c r="P929">
        <v>24</v>
      </c>
    </row>
    <row r="930" spans="1:16" x14ac:dyDescent="0.35">
      <c r="A930">
        <v>929</v>
      </c>
      <c r="B930" t="b">
        <v>0</v>
      </c>
      <c r="C930" s="18">
        <v>40585</v>
      </c>
      <c r="D930">
        <v>1</v>
      </c>
      <c r="E930">
        <v>0</v>
      </c>
      <c r="F930">
        <v>2</v>
      </c>
      <c r="G930">
        <v>7</v>
      </c>
      <c r="H930">
        <v>5</v>
      </c>
      <c r="I930">
        <v>1</v>
      </c>
      <c r="J930">
        <v>0.08</v>
      </c>
      <c r="K930">
        <v>0.16669999999999999</v>
      </c>
      <c r="L930">
        <v>0.73</v>
      </c>
      <c r="M930">
        <v>0</v>
      </c>
      <c r="N930">
        <v>1</v>
      </c>
      <c r="O930">
        <v>73</v>
      </c>
      <c r="P930">
        <v>74</v>
      </c>
    </row>
    <row r="931" spans="1:16" x14ac:dyDescent="0.35">
      <c r="A931">
        <v>930</v>
      </c>
      <c r="B931" t="b">
        <v>0</v>
      </c>
      <c r="C931" s="18">
        <v>40585</v>
      </c>
      <c r="D931">
        <v>1</v>
      </c>
      <c r="E931">
        <v>0</v>
      </c>
      <c r="F931">
        <v>2</v>
      </c>
      <c r="G931">
        <v>8</v>
      </c>
      <c r="H931">
        <v>5</v>
      </c>
      <c r="I931">
        <v>1</v>
      </c>
      <c r="J931">
        <v>0.1</v>
      </c>
      <c r="K931">
        <v>0.1212</v>
      </c>
      <c r="L931">
        <v>0.74</v>
      </c>
      <c r="M931">
        <v>0.16420000000000001</v>
      </c>
      <c r="N931">
        <v>4</v>
      </c>
      <c r="O931">
        <v>212</v>
      </c>
      <c r="P931">
        <v>216</v>
      </c>
    </row>
    <row r="932" spans="1:16" x14ac:dyDescent="0.35">
      <c r="A932">
        <v>931</v>
      </c>
      <c r="B932" t="b">
        <v>0</v>
      </c>
      <c r="C932" s="18">
        <v>40585</v>
      </c>
      <c r="D932">
        <v>1</v>
      </c>
      <c r="E932">
        <v>0</v>
      </c>
      <c r="F932">
        <v>2</v>
      </c>
      <c r="G932">
        <v>9</v>
      </c>
      <c r="H932">
        <v>5</v>
      </c>
      <c r="I932">
        <v>1</v>
      </c>
      <c r="J932">
        <v>0.12</v>
      </c>
      <c r="K932">
        <v>0.1212</v>
      </c>
      <c r="L932">
        <v>0.74</v>
      </c>
      <c r="M932">
        <v>0.22389999999999999</v>
      </c>
      <c r="N932">
        <v>8</v>
      </c>
      <c r="O932">
        <v>132</v>
      </c>
      <c r="P932">
        <v>140</v>
      </c>
    </row>
    <row r="933" spans="1:16" x14ac:dyDescent="0.35">
      <c r="A933">
        <v>932</v>
      </c>
      <c r="B933" t="b">
        <v>0</v>
      </c>
      <c r="C933" s="18">
        <v>40585</v>
      </c>
      <c r="D933">
        <v>1</v>
      </c>
      <c r="E933">
        <v>0</v>
      </c>
      <c r="F933">
        <v>2</v>
      </c>
      <c r="G933">
        <v>10</v>
      </c>
      <c r="H933">
        <v>5</v>
      </c>
      <c r="I933">
        <v>1</v>
      </c>
      <c r="J933">
        <v>0.14000000000000001</v>
      </c>
      <c r="K933">
        <v>0.13639999999999999</v>
      </c>
      <c r="L933">
        <v>0.69</v>
      </c>
      <c r="M933">
        <v>0.19400000000000001</v>
      </c>
      <c r="N933">
        <v>5</v>
      </c>
      <c r="O933">
        <v>39</v>
      </c>
      <c r="P933">
        <v>44</v>
      </c>
    </row>
    <row r="934" spans="1:16" x14ac:dyDescent="0.35">
      <c r="A934">
        <v>933</v>
      </c>
      <c r="B934" t="b">
        <v>0</v>
      </c>
      <c r="C934" s="18">
        <v>40585</v>
      </c>
      <c r="D934">
        <v>1</v>
      </c>
      <c r="E934">
        <v>0</v>
      </c>
      <c r="F934">
        <v>2</v>
      </c>
      <c r="G934">
        <v>11</v>
      </c>
      <c r="H934">
        <v>5</v>
      </c>
      <c r="I934">
        <v>1</v>
      </c>
      <c r="J934">
        <v>0.22</v>
      </c>
      <c r="K934">
        <v>0.2273</v>
      </c>
      <c r="L934">
        <v>0.47</v>
      </c>
      <c r="M934">
        <v>0.1343</v>
      </c>
      <c r="N934">
        <v>12</v>
      </c>
      <c r="O934">
        <v>52</v>
      </c>
      <c r="P934">
        <v>64</v>
      </c>
    </row>
    <row r="935" spans="1:16" x14ac:dyDescent="0.35">
      <c r="A935">
        <v>934</v>
      </c>
      <c r="B935" t="b">
        <v>0</v>
      </c>
      <c r="C935" s="18">
        <v>40585</v>
      </c>
      <c r="D935">
        <v>1</v>
      </c>
      <c r="E935">
        <v>0</v>
      </c>
      <c r="F935">
        <v>2</v>
      </c>
      <c r="G935">
        <v>12</v>
      </c>
      <c r="H935">
        <v>5</v>
      </c>
      <c r="I935">
        <v>1</v>
      </c>
      <c r="J935">
        <v>0.22</v>
      </c>
      <c r="K935">
        <v>0.2273</v>
      </c>
      <c r="L935">
        <v>0.47</v>
      </c>
      <c r="M935">
        <v>0.1343</v>
      </c>
      <c r="N935">
        <v>7</v>
      </c>
      <c r="O935">
        <v>64</v>
      </c>
      <c r="P935">
        <v>71</v>
      </c>
    </row>
    <row r="936" spans="1:16" x14ac:dyDescent="0.35">
      <c r="A936">
        <v>935</v>
      </c>
      <c r="B936" t="b">
        <v>0</v>
      </c>
      <c r="C936" s="18">
        <v>40585</v>
      </c>
      <c r="D936">
        <v>1</v>
      </c>
      <c r="E936">
        <v>0</v>
      </c>
      <c r="F936">
        <v>2</v>
      </c>
      <c r="G936">
        <v>13</v>
      </c>
      <c r="H936">
        <v>5</v>
      </c>
      <c r="I936">
        <v>1</v>
      </c>
      <c r="J936">
        <v>0.24</v>
      </c>
      <c r="K936">
        <v>0.2273</v>
      </c>
      <c r="L936">
        <v>0.35</v>
      </c>
      <c r="M936">
        <v>0.19400000000000001</v>
      </c>
      <c r="N936">
        <v>21</v>
      </c>
      <c r="O936">
        <v>89</v>
      </c>
      <c r="P936">
        <v>110</v>
      </c>
    </row>
    <row r="937" spans="1:16" x14ac:dyDescent="0.35">
      <c r="A937">
        <v>936</v>
      </c>
      <c r="B937" t="b">
        <v>0</v>
      </c>
      <c r="C937" s="18">
        <v>40585</v>
      </c>
      <c r="D937">
        <v>1</v>
      </c>
      <c r="E937">
        <v>0</v>
      </c>
      <c r="F937">
        <v>2</v>
      </c>
      <c r="G937">
        <v>14</v>
      </c>
      <c r="H937">
        <v>5</v>
      </c>
      <c r="I937">
        <v>1</v>
      </c>
      <c r="J937">
        <v>0.3</v>
      </c>
      <c r="K937">
        <v>0.28789999999999999</v>
      </c>
      <c r="L937">
        <v>0.26</v>
      </c>
      <c r="M937">
        <v>0.25369999999999998</v>
      </c>
      <c r="N937">
        <v>17</v>
      </c>
      <c r="O937">
        <v>67</v>
      </c>
      <c r="P937">
        <v>84</v>
      </c>
    </row>
    <row r="938" spans="1:16" x14ac:dyDescent="0.35">
      <c r="A938">
        <v>937</v>
      </c>
      <c r="B938" t="b">
        <v>0</v>
      </c>
      <c r="C938" s="18">
        <v>40585</v>
      </c>
      <c r="D938">
        <v>1</v>
      </c>
      <c r="E938">
        <v>0</v>
      </c>
      <c r="F938">
        <v>2</v>
      </c>
      <c r="G938">
        <v>15</v>
      </c>
      <c r="H938">
        <v>5</v>
      </c>
      <c r="I938">
        <v>1</v>
      </c>
      <c r="J938">
        <v>0.32</v>
      </c>
      <c r="K938">
        <v>0.31819999999999998</v>
      </c>
      <c r="L938">
        <v>0.21</v>
      </c>
      <c r="M938">
        <v>0.16420000000000001</v>
      </c>
      <c r="N938">
        <v>12</v>
      </c>
      <c r="O938">
        <v>62</v>
      </c>
      <c r="P938">
        <v>74</v>
      </c>
    </row>
    <row r="939" spans="1:16" x14ac:dyDescent="0.35">
      <c r="A939">
        <v>938</v>
      </c>
      <c r="B939" t="b">
        <v>0</v>
      </c>
      <c r="C939" s="18">
        <v>40585</v>
      </c>
      <c r="D939">
        <v>1</v>
      </c>
      <c r="E939">
        <v>0</v>
      </c>
      <c r="F939">
        <v>2</v>
      </c>
      <c r="G939">
        <v>16</v>
      </c>
      <c r="H939">
        <v>5</v>
      </c>
      <c r="I939">
        <v>1</v>
      </c>
      <c r="J939">
        <v>0.3</v>
      </c>
      <c r="K939">
        <v>0.28789999999999999</v>
      </c>
      <c r="L939">
        <v>0.28000000000000003</v>
      </c>
      <c r="M939">
        <v>0.19400000000000001</v>
      </c>
      <c r="N939">
        <v>14</v>
      </c>
      <c r="O939">
        <v>111</v>
      </c>
      <c r="P939">
        <v>125</v>
      </c>
    </row>
    <row r="940" spans="1:16" x14ac:dyDescent="0.35">
      <c r="A940">
        <v>939</v>
      </c>
      <c r="B940" t="b">
        <v>0</v>
      </c>
      <c r="C940" s="18">
        <v>40585</v>
      </c>
      <c r="D940">
        <v>1</v>
      </c>
      <c r="E940">
        <v>0</v>
      </c>
      <c r="F940">
        <v>2</v>
      </c>
      <c r="G940">
        <v>17</v>
      </c>
      <c r="H940">
        <v>5</v>
      </c>
      <c r="I940">
        <v>1</v>
      </c>
      <c r="J940">
        <v>0.3</v>
      </c>
      <c r="K940">
        <v>0.33329999999999999</v>
      </c>
      <c r="L940">
        <v>0.24</v>
      </c>
      <c r="M940">
        <v>0</v>
      </c>
      <c r="N940">
        <v>18</v>
      </c>
      <c r="O940">
        <v>193</v>
      </c>
      <c r="P940">
        <v>211</v>
      </c>
    </row>
    <row r="941" spans="1:16" x14ac:dyDescent="0.35">
      <c r="A941">
        <v>940</v>
      </c>
      <c r="B941" t="b">
        <v>0</v>
      </c>
      <c r="C941" s="18">
        <v>40585</v>
      </c>
      <c r="D941">
        <v>1</v>
      </c>
      <c r="E941">
        <v>0</v>
      </c>
      <c r="F941">
        <v>2</v>
      </c>
      <c r="G941">
        <v>18</v>
      </c>
      <c r="H941">
        <v>5</v>
      </c>
      <c r="I941">
        <v>1</v>
      </c>
      <c r="J941">
        <v>0.28000000000000003</v>
      </c>
      <c r="K941">
        <v>0.31819999999999998</v>
      </c>
      <c r="L941">
        <v>0.28000000000000003</v>
      </c>
      <c r="M941">
        <v>0</v>
      </c>
      <c r="N941">
        <v>9</v>
      </c>
      <c r="O941">
        <v>165</v>
      </c>
      <c r="P941">
        <v>174</v>
      </c>
    </row>
    <row r="942" spans="1:16" x14ac:dyDescent="0.35">
      <c r="A942">
        <v>941</v>
      </c>
      <c r="B942" t="b">
        <v>0</v>
      </c>
      <c r="C942" s="18">
        <v>40585</v>
      </c>
      <c r="D942">
        <v>1</v>
      </c>
      <c r="E942">
        <v>0</v>
      </c>
      <c r="F942">
        <v>2</v>
      </c>
      <c r="G942">
        <v>19</v>
      </c>
      <c r="H942">
        <v>5</v>
      </c>
      <c r="I942">
        <v>1</v>
      </c>
      <c r="J942">
        <v>0.26</v>
      </c>
      <c r="K942">
        <v>0.30299999999999999</v>
      </c>
      <c r="L942">
        <v>0.33</v>
      </c>
      <c r="M942">
        <v>0</v>
      </c>
      <c r="N942">
        <v>7</v>
      </c>
      <c r="O942">
        <v>94</v>
      </c>
      <c r="P942">
        <v>101</v>
      </c>
    </row>
    <row r="943" spans="1:16" x14ac:dyDescent="0.35">
      <c r="A943">
        <v>942</v>
      </c>
      <c r="B943" t="b">
        <v>0</v>
      </c>
      <c r="C943" s="18">
        <v>40585</v>
      </c>
      <c r="D943">
        <v>1</v>
      </c>
      <c r="E943">
        <v>0</v>
      </c>
      <c r="F943">
        <v>2</v>
      </c>
      <c r="G943">
        <v>20</v>
      </c>
      <c r="H943">
        <v>5</v>
      </c>
      <c r="I943">
        <v>1</v>
      </c>
      <c r="J943">
        <v>0.22</v>
      </c>
      <c r="K943">
        <v>0.2273</v>
      </c>
      <c r="L943">
        <v>0.55000000000000004</v>
      </c>
      <c r="M943">
        <v>0.1343</v>
      </c>
      <c r="N943">
        <v>2</v>
      </c>
      <c r="O943">
        <v>61</v>
      </c>
      <c r="P943">
        <v>63</v>
      </c>
    </row>
    <row r="944" spans="1:16" x14ac:dyDescent="0.35">
      <c r="A944">
        <v>943</v>
      </c>
      <c r="B944" t="b">
        <v>0</v>
      </c>
      <c r="C944" s="18">
        <v>40585</v>
      </c>
      <c r="D944">
        <v>1</v>
      </c>
      <c r="E944">
        <v>0</v>
      </c>
      <c r="F944">
        <v>2</v>
      </c>
      <c r="G944">
        <v>21</v>
      </c>
      <c r="H944">
        <v>5</v>
      </c>
      <c r="I944">
        <v>1</v>
      </c>
      <c r="J944">
        <v>0.2</v>
      </c>
      <c r="K944">
        <v>0.21210000000000001</v>
      </c>
      <c r="L944">
        <v>0.59</v>
      </c>
      <c r="M944">
        <v>0.1343</v>
      </c>
      <c r="N944">
        <v>1</v>
      </c>
      <c r="O944">
        <v>46</v>
      </c>
      <c r="P944">
        <v>47</v>
      </c>
    </row>
    <row r="945" spans="1:16" x14ac:dyDescent="0.35">
      <c r="A945">
        <v>944</v>
      </c>
      <c r="B945" t="b">
        <v>0</v>
      </c>
      <c r="C945" s="18">
        <v>40585</v>
      </c>
      <c r="D945">
        <v>1</v>
      </c>
      <c r="E945">
        <v>0</v>
      </c>
      <c r="F945">
        <v>2</v>
      </c>
      <c r="G945">
        <v>22</v>
      </c>
      <c r="H945">
        <v>5</v>
      </c>
      <c r="I945">
        <v>1</v>
      </c>
      <c r="J945">
        <v>0.2</v>
      </c>
      <c r="K945">
        <v>0.2273</v>
      </c>
      <c r="L945">
        <v>0.64</v>
      </c>
      <c r="M945">
        <v>8.9599999999999999E-2</v>
      </c>
      <c r="N945">
        <v>2</v>
      </c>
      <c r="O945">
        <v>41</v>
      </c>
      <c r="P945">
        <v>43</v>
      </c>
    </row>
    <row r="946" spans="1:16" x14ac:dyDescent="0.35">
      <c r="A946">
        <v>945</v>
      </c>
      <c r="B946" t="b">
        <v>0</v>
      </c>
      <c r="C946" s="18">
        <v>40585</v>
      </c>
      <c r="D946">
        <v>1</v>
      </c>
      <c r="E946">
        <v>0</v>
      </c>
      <c r="F946">
        <v>2</v>
      </c>
      <c r="G946">
        <v>23</v>
      </c>
      <c r="H946">
        <v>5</v>
      </c>
      <c r="I946">
        <v>1</v>
      </c>
      <c r="J946">
        <v>0.18</v>
      </c>
      <c r="K946">
        <v>0.2424</v>
      </c>
      <c r="L946">
        <v>0.69</v>
      </c>
      <c r="M946">
        <v>0</v>
      </c>
      <c r="N946">
        <v>5</v>
      </c>
      <c r="O946">
        <v>48</v>
      </c>
      <c r="P946">
        <v>53</v>
      </c>
    </row>
    <row r="947" spans="1:16" x14ac:dyDescent="0.35">
      <c r="A947">
        <v>946</v>
      </c>
      <c r="B947" t="b">
        <v>0</v>
      </c>
      <c r="C947" s="18">
        <v>40586</v>
      </c>
      <c r="D947">
        <v>1</v>
      </c>
      <c r="E947">
        <v>0</v>
      </c>
      <c r="F947">
        <v>2</v>
      </c>
      <c r="G947">
        <v>0</v>
      </c>
      <c r="H947">
        <v>6</v>
      </c>
      <c r="I947">
        <v>1</v>
      </c>
      <c r="J947">
        <v>0.16</v>
      </c>
      <c r="K947">
        <v>0.19700000000000001</v>
      </c>
      <c r="L947">
        <v>0.69</v>
      </c>
      <c r="M947">
        <v>8.9599999999999999E-2</v>
      </c>
      <c r="N947">
        <v>3</v>
      </c>
      <c r="O947">
        <v>27</v>
      </c>
      <c r="P947">
        <v>30</v>
      </c>
    </row>
    <row r="948" spans="1:16" x14ac:dyDescent="0.35">
      <c r="A948">
        <v>947</v>
      </c>
      <c r="B948" t="b">
        <v>0</v>
      </c>
      <c r="C948" s="18">
        <v>40586</v>
      </c>
      <c r="D948">
        <v>1</v>
      </c>
      <c r="E948">
        <v>0</v>
      </c>
      <c r="F948">
        <v>2</v>
      </c>
      <c r="G948">
        <v>1</v>
      </c>
      <c r="H948">
        <v>6</v>
      </c>
      <c r="I948">
        <v>1</v>
      </c>
      <c r="J948">
        <v>0.14000000000000001</v>
      </c>
      <c r="K948">
        <v>0.21210000000000001</v>
      </c>
      <c r="L948">
        <v>0.86</v>
      </c>
      <c r="M948">
        <v>0</v>
      </c>
      <c r="N948">
        <v>2</v>
      </c>
      <c r="O948">
        <v>22</v>
      </c>
      <c r="P948">
        <v>24</v>
      </c>
    </row>
    <row r="949" spans="1:16" x14ac:dyDescent="0.35">
      <c r="A949">
        <v>948</v>
      </c>
      <c r="B949" t="b">
        <v>0</v>
      </c>
      <c r="C949" s="18">
        <v>40586</v>
      </c>
      <c r="D949">
        <v>1</v>
      </c>
      <c r="E949">
        <v>0</v>
      </c>
      <c r="F949">
        <v>2</v>
      </c>
      <c r="G949">
        <v>2</v>
      </c>
      <c r="H949">
        <v>6</v>
      </c>
      <c r="I949">
        <v>1</v>
      </c>
      <c r="J949">
        <v>0.14000000000000001</v>
      </c>
      <c r="K949">
        <v>0.21210000000000001</v>
      </c>
      <c r="L949">
        <v>0.8</v>
      </c>
      <c r="M949">
        <v>0</v>
      </c>
      <c r="N949">
        <v>2</v>
      </c>
      <c r="O949">
        <v>13</v>
      </c>
      <c r="P949">
        <v>15</v>
      </c>
    </row>
    <row r="950" spans="1:16" x14ac:dyDescent="0.35">
      <c r="A950">
        <v>949</v>
      </c>
      <c r="B950" t="b">
        <v>0</v>
      </c>
      <c r="C950" s="18">
        <v>40586</v>
      </c>
      <c r="D950">
        <v>1</v>
      </c>
      <c r="E950">
        <v>0</v>
      </c>
      <c r="F950">
        <v>2</v>
      </c>
      <c r="G950">
        <v>3</v>
      </c>
      <c r="H950">
        <v>6</v>
      </c>
      <c r="I950">
        <v>1</v>
      </c>
      <c r="J950">
        <v>0.12</v>
      </c>
      <c r="K950">
        <v>0.19700000000000001</v>
      </c>
      <c r="L950">
        <v>0.8</v>
      </c>
      <c r="M950">
        <v>0</v>
      </c>
      <c r="N950">
        <v>3</v>
      </c>
      <c r="O950">
        <v>7</v>
      </c>
      <c r="P950">
        <v>10</v>
      </c>
    </row>
    <row r="951" spans="1:16" x14ac:dyDescent="0.35">
      <c r="A951">
        <v>950</v>
      </c>
      <c r="B951" t="b">
        <v>0</v>
      </c>
      <c r="C951" s="18">
        <v>40586</v>
      </c>
      <c r="D951">
        <v>1</v>
      </c>
      <c r="E951">
        <v>0</v>
      </c>
      <c r="F951">
        <v>2</v>
      </c>
      <c r="G951">
        <v>4</v>
      </c>
      <c r="H951">
        <v>6</v>
      </c>
      <c r="I951">
        <v>1</v>
      </c>
      <c r="J951">
        <v>0.12</v>
      </c>
      <c r="K951">
        <v>0.16669999999999999</v>
      </c>
      <c r="L951">
        <v>0.74</v>
      </c>
      <c r="M951">
        <v>8.9599999999999999E-2</v>
      </c>
      <c r="N951">
        <v>0</v>
      </c>
      <c r="O951">
        <v>4</v>
      </c>
      <c r="P951">
        <v>4</v>
      </c>
    </row>
    <row r="952" spans="1:16" x14ac:dyDescent="0.35">
      <c r="A952">
        <v>951</v>
      </c>
      <c r="B952" t="b">
        <v>0</v>
      </c>
      <c r="C952" s="18">
        <v>40586</v>
      </c>
      <c r="D952">
        <v>1</v>
      </c>
      <c r="E952">
        <v>0</v>
      </c>
      <c r="F952">
        <v>2</v>
      </c>
      <c r="G952">
        <v>5</v>
      </c>
      <c r="H952">
        <v>6</v>
      </c>
      <c r="I952">
        <v>1</v>
      </c>
      <c r="J952">
        <v>0.12</v>
      </c>
      <c r="K952">
        <v>0.16669999999999999</v>
      </c>
      <c r="L952">
        <v>0.74</v>
      </c>
      <c r="M952">
        <v>8.9599999999999999E-2</v>
      </c>
      <c r="N952">
        <v>0</v>
      </c>
      <c r="O952">
        <v>1</v>
      </c>
      <c r="P952">
        <v>1</v>
      </c>
    </row>
    <row r="953" spans="1:16" x14ac:dyDescent="0.35">
      <c r="A953">
        <v>952</v>
      </c>
      <c r="B953" t="b">
        <v>0</v>
      </c>
      <c r="C953" s="18">
        <v>40586</v>
      </c>
      <c r="D953">
        <v>1</v>
      </c>
      <c r="E953">
        <v>0</v>
      </c>
      <c r="F953">
        <v>2</v>
      </c>
      <c r="G953">
        <v>6</v>
      </c>
      <c r="H953">
        <v>6</v>
      </c>
      <c r="I953">
        <v>1</v>
      </c>
      <c r="J953">
        <v>0.12</v>
      </c>
      <c r="K953">
        <v>0.13639999999999999</v>
      </c>
      <c r="L953">
        <v>0.93</v>
      </c>
      <c r="M953">
        <v>0.19400000000000001</v>
      </c>
      <c r="N953">
        <v>1</v>
      </c>
      <c r="O953">
        <v>1</v>
      </c>
      <c r="P953">
        <v>2</v>
      </c>
    </row>
    <row r="954" spans="1:16" x14ac:dyDescent="0.35">
      <c r="A954">
        <v>953</v>
      </c>
      <c r="B954" t="b">
        <v>0</v>
      </c>
      <c r="C954" s="18">
        <v>40586</v>
      </c>
      <c r="D954">
        <v>1</v>
      </c>
      <c r="E954">
        <v>0</v>
      </c>
      <c r="F954">
        <v>2</v>
      </c>
      <c r="G954">
        <v>7</v>
      </c>
      <c r="H954">
        <v>6</v>
      </c>
      <c r="I954">
        <v>1</v>
      </c>
      <c r="J954">
        <v>0.12</v>
      </c>
      <c r="K954">
        <v>0.1515</v>
      </c>
      <c r="L954">
        <v>0.8</v>
      </c>
      <c r="M954">
        <v>0.1045</v>
      </c>
      <c r="N954">
        <v>2</v>
      </c>
      <c r="O954">
        <v>9</v>
      </c>
      <c r="P954">
        <v>11</v>
      </c>
    </row>
    <row r="955" spans="1:16" x14ac:dyDescent="0.35">
      <c r="A955">
        <v>954</v>
      </c>
      <c r="B955" t="b">
        <v>0</v>
      </c>
      <c r="C955" s="18">
        <v>40586</v>
      </c>
      <c r="D955">
        <v>1</v>
      </c>
      <c r="E955">
        <v>0</v>
      </c>
      <c r="F955">
        <v>2</v>
      </c>
      <c r="G955">
        <v>8</v>
      </c>
      <c r="H955">
        <v>6</v>
      </c>
      <c r="I955">
        <v>1</v>
      </c>
      <c r="J955">
        <v>0.14000000000000001</v>
      </c>
      <c r="K955">
        <v>0.1515</v>
      </c>
      <c r="L955">
        <v>0.86</v>
      </c>
      <c r="M955">
        <v>0.1343</v>
      </c>
      <c r="N955">
        <v>2</v>
      </c>
      <c r="O955">
        <v>28</v>
      </c>
      <c r="P955">
        <v>30</v>
      </c>
    </row>
    <row r="956" spans="1:16" x14ac:dyDescent="0.35">
      <c r="A956">
        <v>955</v>
      </c>
      <c r="B956" t="b">
        <v>0</v>
      </c>
      <c r="C956" s="18">
        <v>40586</v>
      </c>
      <c r="D956">
        <v>1</v>
      </c>
      <c r="E956">
        <v>0</v>
      </c>
      <c r="F956">
        <v>2</v>
      </c>
      <c r="G956">
        <v>9</v>
      </c>
      <c r="H956">
        <v>6</v>
      </c>
      <c r="I956">
        <v>1</v>
      </c>
      <c r="J956">
        <v>0.16</v>
      </c>
      <c r="K956">
        <v>0.18179999999999999</v>
      </c>
      <c r="L956">
        <v>0.64</v>
      </c>
      <c r="M956">
        <v>0.1343</v>
      </c>
      <c r="N956">
        <v>5</v>
      </c>
      <c r="O956">
        <v>38</v>
      </c>
      <c r="P956">
        <v>43</v>
      </c>
    </row>
    <row r="957" spans="1:16" x14ac:dyDescent="0.35">
      <c r="A957">
        <v>956</v>
      </c>
      <c r="B957" t="b">
        <v>0</v>
      </c>
      <c r="C957" s="18">
        <v>40586</v>
      </c>
      <c r="D957">
        <v>1</v>
      </c>
      <c r="E957">
        <v>0</v>
      </c>
      <c r="F957">
        <v>2</v>
      </c>
      <c r="G957">
        <v>10</v>
      </c>
      <c r="H957">
        <v>6</v>
      </c>
      <c r="I957">
        <v>1</v>
      </c>
      <c r="J957">
        <v>0.22</v>
      </c>
      <c r="K957">
        <v>0.21210000000000001</v>
      </c>
      <c r="L957">
        <v>0.41</v>
      </c>
      <c r="M957">
        <v>0.25369999999999998</v>
      </c>
      <c r="N957">
        <v>13</v>
      </c>
      <c r="O957">
        <v>71</v>
      </c>
      <c r="P957">
        <v>84</v>
      </c>
    </row>
    <row r="958" spans="1:16" x14ac:dyDescent="0.35">
      <c r="A958">
        <v>957</v>
      </c>
      <c r="B958" t="b">
        <v>0</v>
      </c>
      <c r="C958" s="18">
        <v>40586</v>
      </c>
      <c r="D958">
        <v>1</v>
      </c>
      <c r="E958">
        <v>0</v>
      </c>
      <c r="F958">
        <v>2</v>
      </c>
      <c r="G958">
        <v>11</v>
      </c>
      <c r="H958">
        <v>6</v>
      </c>
      <c r="I958">
        <v>1</v>
      </c>
      <c r="J958">
        <v>0.3</v>
      </c>
      <c r="K958">
        <v>0.2727</v>
      </c>
      <c r="L958">
        <v>0.28000000000000003</v>
      </c>
      <c r="M958">
        <v>0.32840000000000003</v>
      </c>
      <c r="N958">
        <v>30</v>
      </c>
      <c r="O958">
        <v>84</v>
      </c>
      <c r="P958">
        <v>114</v>
      </c>
    </row>
    <row r="959" spans="1:16" x14ac:dyDescent="0.35">
      <c r="A959">
        <v>958</v>
      </c>
      <c r="B959" t="b">
        <v>0</v>
      </c>
      <c r="C959" s="18">
        <v>40586</v>
      </c>
      <c r="D959">
        <v>1</v>
      </c>
      <c r="E959">
        <v>0</v>
      </c>
      <c r="F959">
        <v>2</v>
      </c>
      <c r="G959">
        <v>12</v>
      </c>
      <c r="H959">
        <v>6</v>
      </c>
      <c r="I959">
        <v>1</v>
      </c>
      <c r="J959">
        <v>0.3</v>
      </c>
      <c r="K959">
        <v>0.2727</v>
      </c>
      <c r="L959">
        <v>0.39</v>
      </c>
      <c r="M959">
        <v>0.4627</v>
      </c>
      <c r="N959">
        <v>27</v>
      </c>
      <c r="O959">
        <v>93</v>
      </c>
      <c r="P959">
        <v>120</v>
      </c>
    </row>
    <row r="960" spans="1:16" x14ac:dyDescent="0.35">
      <c r="A960">
        <v>959</v>
      </c>
      <c r="B960" t="b">
        <v>0</v>
      </c>
      <c r="C960" s="18">
        <v>40586</v>
      </c>
      <c r="D960">
        <v>1</v>
      </c>
      <c r="E960">
        <v>0</v>
      </c>
      <c r="F960">
        <v>2</v>
      </c>
      <c r="G960">
        <v>13</v>
      </c>
      <c r="H960">
        <v>6</v>
      </c>
      <c r="I960">
        <v>1</v>
      </c>
      <c r="J960">
        <v>0.3</v>
      </c>
      <c r="K960">
        <v>0.2727</v>
      </c>
      <c r="L960">
        <v>0.39</v>
      </c>
      <c r="M960">
        <v>0.41789999999999999</v>
      </c>
      <c r="N960">
        <v>32</v>
      </c>
      <c r="O960">
        <v>103</v>
      </c>
      <c r="P960">
        <v>135</v>
      </c>
    </row>
    <row r="961" spans="1:16" x14ac:dyDescent="0.35">
      <c r="A961">
        <v>960</v>
      </c>
      <c r="B961" t="b">
        <v>0</v>
      </c>
      <c r="C961" s="18">
        <v>40586</v>
      </c>
      <c r="D961">
        <v>1</v>
      </c>
      <c r="E961">
        <v>0</v>
      </c>
      <c r="F961">
        <v>2</v>
      </c>
      <c r="G961">
        <v>14</v>
      </c>
      <c r="H961">
        <v>6</v>
      </c>
      <c r="I961">
        <v>1</v>
      </c>
      <c r="J961">
        <v>0.34</v>
      </c>
      <c r="K961">
        <v>0.31819999999999998</v>
      </c>
      <c r="L961">
        <v>0.31</v>
      </c>
      <c r="M961">
        <v>0.28360000000000002</v>
      </c>
      <c r="N961">
        <v>30</v>
      </c>
      <c r="O961">
        <v>90</v>
      </c>
      <c r="P961">
        <v>120</v>
      </c>
    </row>
    <row r="962" spans="1:16" x14ac:dyDescent="0.35">
      <c r="A962">
        <v>961</v>
      </c>
      <c r="B962" t="b">
        <v>0</v>
      </c>
      <c r="C962" s="18">
        <v>40586</v>
      </c>
      <c r="D962">
        <v>1</v>
      </c>
      <c r="E962">
        <v>0</v>
      </c>
      <c r="F962">
        <v>2</v>
      </c>
      <c r="G962">
        <v>15</v>
      </c>
      <c r="H962">
        <v>6</v>
      </c>
      <c r="I962">
        <v>1</v>
      </c>
      <c r="J962">
        <v>0.34</v>
      </c>
      <c r="K962">
        <v>0.30299999999999999</v>
      </c>
      <c r="L962">
        <v>0.28999999999999998</v>
      </c>
      <c r="M962">
        <v>0.41789999999999999</v>
      </c>
      <c r="N962">
        <v>47</v>
      </c>
      <c r="O962">
        <v>127</v>
      </c>
      <c r="P962">
        <v>174</v>
      </c>
    </row>
    <row r="963" spans="1:16" x14ac:dyDescent="0.35">
      <c r="A963">
        <v>962</v>
      </c>
      <c r="B963" t="b">
        <v>0</v>
      </c>
      <c r="C963" s="18">
        <v>40586</v>
      </c>
      <c r="D963">
        <v>1</v>
      </c>
      <c r="E963">
        <v>0</v>
      </c>
      <c r="F963">
        <v>2</v>
      </c>
      <c r="G963">
        <v>16</v>
      </c>
      <c r="H963">
        <v>6</v>
      </c>
      <c r="I963">
        <v>1</v>
      </c>
      <c r="J963">
        <v>0.34</v>
      </c>
      <c r="K963">
        <v>0.30299999999999999</v>
      </c>
      <c r="L963">
        <v>0.28999999999999998</v>
      </c>
      <c r="M963">
        <v>0.41789999999999999</v>
      </c>
      <c r="N963">
        <v>42</v>
      </c>
      <c r="O963">
        <v>103</v>
      </c>
      <c r="P963">
        <v>145</v>
      </c>
    </row>
    <row r="964" spans="1:16" x14ac:dyDescent="0.35">
      <c r="A964">
        <v>963</v>
      </c>
      <c r="B964" t="b">
        <v>0</v>
      </c>
      <c r="C964" s="18">
        <v>40586</v>
      </c>
      <c r="D964">
        <v>1</v>
      </c>
      <c r="E964">
        <v>0</v>
      </c>
      <c r="F964">
        <v>2</v>
      </c>
      <c r="G964">
        <v>17</v>
      </c>
      <c r="H964">
        <v>6</v>
      </c>
      <c r="I964">
        <v>1</v>
      </c>
      <c r="J964">
        <v>0.32</v>
      </c>
      <c r="K964">
        <v>0.28789999999999999</v>
      </c>
      <c r="L964">
        <v>0.31</v>
      </c>
      <c r="M964">
        <v>0.52239999999999998</v>
      </c>
      <c r="N964">
        <v>24</v>
      </c>
      <c r="O964">
        <v>113</v>
      </c>
      <c r="P964">
        <v>137</v>
      </c>
    </row>
    <row r="965" spans="1:16" x14ac:dyDescent="0.35">
      <c r="A965">
        <v>964</v>
      </c>
      <c r="B965" t="b">
        <v>0</v>
      </c>
      <c r="C965" s="18">
        <v>40586</v>
      </c>
      <c r="D965">
        <v>1</v>
      </c>
      <c r="E965">
        <v>0</v>
      </c>
      <c r="F965">
        <v>2</v>
      </c>
      <c r="G965">
        <v>18</v>
      </c>
      <c r="H965">
        <v>6</v>
      </c>
      <c r="I965">
        <v>1</v>
      </c>
      <c r="J965">
        <v>0.28000000000000003</v>
      </c>
      <c r="K965">
        <v>0.2576</v>
      </c>
      <c r="L965">
        <v>0.38</v>
      </c>
      <c r="M965">
        <v>0.32840000000000003</v>
      </c>
      <c r="N965">
        <v>4</v>
      </c>
      <c r="O965">
        <v>60</v>
      </c>
      <c r="P965">
        <v>64</v>
      </c>
    </row>
    <row r="966" spans="1:16" x14ac:dyDescent="0.35">
      <c r="A966">
        <v>965</v>
      </c>
      <c r="B966" t="b">
        <v>0</v>
      </c>
      <c r="C966" s="18">
        <v>40586</v>
      </c>
      <c r="D966">
        <v>1</v>
      </c>
      <c r="E966">
        <v>0</v>
      </c>
      <c r="F966">
        <v>2</v>
      </c>
      <c r="G966">
        <v>19</v>
      </c>
      <c r="H966">
        <v>6</v>
      </c>
      <c r="I966">
        <v>1</v>
      </c>
      <c r="J966">
        <v>0.28000000000000003</v>
      </c>
      <c r="K966">
        <v>0.2727</v>
      </c>
      <c r="L966">
        <v>0.38</v>
      </c>
      <c r="M966">
        <v>0.16420000000000001</v>
      </c>
      <c r="N966">
        <v>2</v>
      </c>
      <c r="O966">
        <v>39</v>
      </c>
      <c r="P966">
        <v>41</v>
      </c>
    </row>
    <row r="967" spans="1:16" x14ac:dyDescent="0.35">
      <c r="A967">
        <v>966</v>
      </c>
      <c r="B967" t="b">
        <v>0</v>
      </c>
      <c r="C967" s="18">
        <v>40586</v>
      </c>
      <c r="D967">
        <v>1</v>
      </c>
      <c r="E967">
        <v>0</v>
      </c>
      <c r="F967">
        <v>2</v>
      </c>
      <c r="G967">
        <v>20</v>
      </c>
      <c r="H967">
        <v>6</v>
      </c>
      <c r="I967">
        <v>1</v>
      </c>
      <c r="J967">
        <v>0.26</v>
      </c>
      <c r="K967">
        <v>0.2576</v>
      </c>
      <c r="L967">
        <v>0.41</v>
      </c>
      <c r="M967">
        <v>0.22389999999999999</v>
      </c>
      <c r="N967">
        <v>1</v>
      </c>
      <c r="O967">
        <v>39</v>
      </c>
      <c r="P967">
        <v>40</v>
      </c>
    </row>
    <row r="968" spans="1:16" x14ac:dyDescent="0.35">
      <c r="A968">
        <v>967</v>
      </c>
      <c r="B968" t="b">
        <v>0</v>
      </c>
      <c r="C968" s="18">
        <v>40586</v>
      </c>
      <c r="D968">
        <v>1</v>
      </c>
      <c r="E968">
        <v>0</v>
      </c>
      <c r="F968">
        <v>2</v>
      </c>
      <c r="G968">
        <v>21</v>
      </c>
      <c r="H968">
        <v>6</v>
      </c>
      <c r="I968">
        <v>1</v>
      </c>
      <c r="J968">
        <v>0.26</v>
      </c>
      <c r="K968">
        <v>0.30299999999999999</v>
      </c>
      <c r="L968">
        <v>0.41</v>
      </c>
      <c r="M968">
        <v>0</v>
      </c>
      <c r="N968">
        <v>9</v>
      </c>
      <c r="O968">
        <v>42</v>
      </c>
      <c r="P968">
        <v>51</v>
      </c>
    </row>
    <row r="969" spans="1:16" x14ac:dyDescent="0.35">
      <c r="A969">
        <v>968</v>
      </c>
      <c r="B969" t="b">
        <v>0</v>
      </c>
      <c r="C969" s="18">
        <v>40586</v>
      </c>
      <c r="D969">
        <v>1</v>
      </c>
      <c r="E969">
        <v>0</v>
      </c>
      <c r="F969">
        <v>2</v>
      </c>
      <c r="G969">
        <v>22</v>
      </c>
      <c r="H969">
        <v>6</v>
      </c>
      <c r="I969">
        <v>1</v>
      </c>
      <c r="J969">
        <v>0.24</v>
      </c>
      <c r="K969">
        <v>0.2576</v>
      </c>
      <c r="L969">
        <v>0.44</v>
      </c>
      <c r="M969">
        <v>8.9599999999999999E-2</v>
      </c>
      <c r="N969">
        <v>6</v>
      </c>
      <c r="O969">
        <v>39</v>
      </c>
      <c r="P969">
        <v>45</v>
      </c>
    </row>
    <row r="970" spans="1:16" x14ac:dyDescent="0.35">
      <c r="A970">
        <v>969</v>
      </c>
      <c r="B970" t="b">
        <v>0</v>
      </c>
      <c r="C970" s="18">
        <v>40586</v>
      </c>
      <c r="D970">
        <v>1</v>
      </c>
      <c r="E970">
        <v>0</v>
      </c>
      <c r="F970">
        <v>2</v>
      </c>
      <c r="G970">
        <v>23</v>
      </c>
      <c r="H970">
        <v>6</v>
      </c>
      <c r="I970">
        <v>1</v>
      </c>
      <c r="J970">
        <v>0.22</v>
      </c>
      <c r="K970">
        <v>0.2273</v>
      </c>
      <c r="L970">
        <v>0.51</v>
      </c>
      <c r="M970">
        <v>0.1343</v>
      </c>
      <c r="N970">
        <v>1</v>
      </c>
      <c r="O970">
        <v>31</v>
      </c>
      <c r="P970">
        <v>32</v>
      </c>
    </row>
    <row r="971" spans="1:16" x14ac:dyDescent="0.35">
      <c r="A971">
        <v>970</v>
      </c>
      <c r="B971" t="b">
        <v>0</v>
      </c>
      <c r="C971" s="18">
        <v>40587</v>
      </c>
      <c r="D971">
        <v>1</v>
      </c>
      <c r="E971">
        <v>0</v>
      </c>
      <c r="F971">
        <v>2</v>
      </c>
      <c r="G971">
        <v>0</v>
      </c>
      <c r="H971">
        <v>0</v>
      </c>
      <c r="I971">
        <v>1</v>
      </c>
      <c r="J971">
        <v>0.2</v>
      </c>
      <c r="K971">
        <v>0.2273</v>
      </c>
      <c r="L971">
        <v>0.64</v>
      </c>
      <c r="M971">
        <v>0.1045</v>
      </c>
      <c r="N971">
        <v>5</v>
      </c>
      <c r="O971">
        <v>34</v>
      </c>
      <c r="P971">
        <v>39</v>
      </c>
    </row>
    <row r="972" spans="1:16" x14ac:dyDescent="0.35">
      <c r="A972">
        <v>971</v>
      </c>
      <c r="B972" t="b">
        <v>0</v>
      </c>
      <c r="C972" s="18">
        <v>40587</v>
      </c>
      <c r="D972">
        <v>1</v>
      </c>
      <c r="E972">
        <v>0</v>
      </c>
      <c r="F972">
        <v>2</v>
      </c>
      <c r="G972">
        <v>1</v>
      </c>
      <c r="H972">
        <v>0</v>
      </c>
      <c r="I972">
        <v>1</v>
      </c>
      <c r="J972">
        <v>0.2</v>
      </c>
      <c r="K972">
        <v>0.2273</v>
      </c>
      <c r="L972">
        <v>0.59</v>
      </c>
      <c r="M972">
        <v>8.9599999999999999E-2</v>
      </c>
      <c r="N972">
        <v>1</v>
      </c>
      <c r="O972">
        <v>23</v>
      </c>
      <c r="P972">
        <v>24</v>
      </c>
    </row>
    <row r="973" spans="1:16" x14ac:dyDescent="0.35">
      <c r="A973">
        <v>972</v>
      </c>
      <c r="B973" t="b">
        <v>0</v>
      </c>
      <c r="C973" s="18">
        <v>40587</v>
      </c>
      <c r="D973">
        <v>1</v>
      </c>
      <c r="E973">
        <v>0</v>
      </c>
      <c r="F973">
        <v>2</v>
      </c>
      <c r="G973">
        <v>2</v>
      </c>
      <c r="H973">
        <v>0</v>
      </c>
      <c r="I973">
        <v>2</v>
      </c>
      <c r="J973">
        <v>0.2</v>
      </c>
      <c r="K973">
        <v>0.2273</v>
      </c>
      <c r="L973">
        <v>0.75</v>
      </c>
      <c r="M973">
        <v>8.9599999999999999E-2</v>
      </c>
      <c r="N973">
        <v>1</v>
      </c>
      <c r="O973">
        <v>19</v>
      </c>
      <c r="P973">
        <v>20</v>
      </c>
    </row>
    <row r="974" spans="1:16" x14ac:dyDescent="0.35">
      <c r="A974">
        <v>973</v>
      </c>
      <c r="B974" t="b">
        <v>0</v>
      </c>
      <c r="C974" s="18">
        <v>40587</v>
      </c>
      <c r="D974">
        <v>1</v>
      </c>
      <c r="E974">
        <v>0</v>
      </c>
      <c r="F974">
        <v>2</v>
      </c>
      <c r="G974">
        <v>3</v>
      </c>
      <c r="H974">
        <v>0</v>
      </c>
      <c r="I974">
        <v>2</v>
      </c>
      <c r="J974">
        <v>0.2</v>
      </c>
      <c r="K974">
        <v>0.2273</v>
      </c>
      <c r="L974">
        <v>0.69</v>
      </c>
      <c r="M974">
        <v>0.1045</v>
      </c>
      <c r="N974">
        <v>4</v>
      </c>
      <c r="O974">
        <v>8</v>
      </c>
      <c r="P974">
        <v>12</v>
      </c>
    </row>
    <row r="975" spans="1:16" x14ac:dyDescent="0.35">
      <c r="A975">
        <v>974</v>
      </c>
      <c r="B975" t="b">
        <v>0</v>
      </c>
      <c r="C975" s="18">
        <v>40587</v>
      </c>
      <c r="D975">
        <v>1</v>
      </c>
      <c r="E975">
        <v>0</v>
      </c>
      <c r="F975">
        <v>2</v>
      </c>
      <c r="G975">
        <v>4</v>
      </c>
      <c r="H975">
        <v>0</v>
      </c>
      <c r="I975">
        <v>2</v>
      </c>
      <c r="J975">
        <v>0.2</v>
      </c>
      <c r="K975">
        <v>0.21210000000000001</v>
      </c>
      <c r="L975">
        <v>0.69</v>
      </c>
      <c r="M975">
        <v>0.16420000000000001</v>
      </c>
      <c r="N975">
        <v>0</v>
      </c>
      <c r="O975">
        <v>2</v>
      </c>
      <c r="P975">
        <v>2</v>
      </c>
    </row>
    <row r="976" spans="1:16" x14ac:dyDescent="0.35">
      <c r="A976">
        <v>975</v>
      </c>
      <c r="B976" t="b">
        <v>0</v>
      </c>
      <c r="C976" s="18">
        <v>40587</v>
      </c>
      <c r="D976">
        <v>1</v>
      </c>
      <c r="E976">
        <v>0</v>
      </c>
      <c r="F976">
        <v>2</v>
      </c>
      <c r="G976">
        <v>6</v>
      </c>
      <c r="H976">
        <v>0</v>
      </c>
      <c r="I976">
        <v>2</v>
      </c>
      <c r="J976">
        <v>0.2</v>
      </c>
      <c r="K976">
        <v>0.21210000000000001</v>
      </c>
      <c r="L976">
        <v>0.69</v>
      </c>
      <c r="M976">
        <v>0.1343</v>
      </c>
      <c r="N976">
        <v>2</v>
      </c>
      <c r="O976">
        <v>3</v>
      </c>
      <c r="P976">
        <v>5</v>
      </c>
    </row>
    <row r="977" spans="1:16" x14ac:dyDescent="0.35">
      <c r="A977">
        <v>976</v>
      </c>
      <c r="B977" t="b">
        <v>0</v>
      </c>
      <c r="C977" s="18">
        <v>40587</v>
      </c>
      <c r="D977">
        <v>1</v>
      </c>
      <c r="E977">
        <v>0</v>
      </c>
      <c r="F977">
        <v>2</v>
      </c>
      <c r="G977">
        <v>7</v>
      </c>
      <c r="H977">
        <v>0</v>
      </c>
      <c r="I977">
        <v>2</v>
      </c>
      <c r="J977">
        <v>0.22</v>
      </c>
      <c r="K977">
        <v>0.2727</v>
      </c>
      <c r="L977">
        <v>0.55000000000000004</v>
      </c>
      <c r="M977">
        <v>0</v>
      </c>
      <c r="N977">
        <v>0</v>
      </c>
      <c r="O977">
        <v>3</v>
      </c>
      <c r="P977">
        <v>3</v>
      </c>
    </row>
    <row r="978" spans="1:16" x14ac:dyDescent="0.35">
      <c r="A978">
        <v>977</v>
      </c>
      <c r="B978" t="b">
        <v>0</v>
      </c>
      <c r="C978" s="18">
        <v>40587</v>
      </c>
      <c r="D978">
        <v>1</v>
      </c>
      <c r="E978">
        <v>0</v>
      </c>
      <c r="F978">
        <v>2</v>
      </c>
      <c r="G978">
        <v>8</v>
      </c>
      <c r="H978">
        <v>0</v>
      </c>
      <c r="I978">
        <v>2</v>
      </c>
      <c r="J978">
        <v>0.22</v>
      </c>
      <c r="K978">
        <v>0.2273</v>
      </c>
      <c r="L978">
        <v>0.64</v>
      </c>
      <c r="M978">
        <v>0.19400000000000001</v>
      </c>
      <c r="N978">
        <v>1</v>
      </c>
      <c r="O978">
        <v>11</v>
      </c>
      <c r="P978">
        <v>12</v>
      </c>
    </row>
    <row r="979" spans="1:16" x14ac:dyDescent="0.35">
      <c r="A979">
        <v>978</v>
      </c>
      <c r="B979" t="b">
        <v>0</v>
      </c>
      <c r="C979" s="18">
        <v>40587</v>
      </c>
      <c r="D979">
        <v>1</v>
      </c>
      <c r="E979">
        <v>0</v>
      </c>
      <c r="F979">
        <v>2</v>
      </c>
      <c r="G979">
        <v>9</v>
      </c>
      <c r="H979">
        <v>0</v>
      </c>
      <c r="I979">
        <v>2</v>
      </c>
      <c r="J979">
        <v>0.24</v>
      </c>
      <c r="K979">
        <v>0.2273</v>
      </c>
      <c r="L979">
        <v>0.6</v>
      </c>
      <c r="M979">
        <v>0.22389999999999999</v>
      </c>
      <c r="N979">
        <v>12</v>
      </c>
      <c r="O979">
        <v>35</v>
      </c>
      <c r="P979">
        <v>47</v>
      </c>
    </row>
    <row r="980" spans="1:16" x14ac:dyDescent="0.35">
      <c r="A980">
        <v>979</v>
      </c>
      <c r="B980" t="b">
        <v>0</v>
      </c>
      <c r="C980" s="18">
        <v>40587</v>
      </c>
      <c r="D980">
        <v>1</v>
      </c>
      <c r="E980">
        <v>0</v>
      </c>
      <c r="F980">
        <v>2</v>
      </c>
      <c r="G980">
        <v>10</v>
      </c>
      <c r="H980">
        <v>0</v>
      </c>
      <c r="I980">
        <v>1</v>
      </c>
      <c r="J980">
        <v>0.3</v>
      </c>
      <c r="K980">
        <v>0.2727</v>
      </c>
      <c r="L980">
        <v>0.45</v>
      </c>
      <c r="M980">
        <v>0.32840000000000003</v>
      </c>
      <c r="N980">
        <v>19</v>
      </c>
      <c r="O980">
        <v>86</v>
      </c>
      <c r="P980">
        <v>105</v>
      </c>
    </row>
    <row r="981" spans="1:16" x14ac:dyDescent="0.35">
      <c r="A981">
        <v>980</v>
      </c>
      <c r="B981" t="b">
        <v>0</v>
      </c>
      <c r="C981" s="18">
        <v>40587</v>
      </c>
      <c r="D981">
        <v>1</v>
      </c>
      <c r="E981">
        <v>0</v>
      </c>
      <c r="F981">
        <v>2</v>
      </c>
      <c r="G981">
        <v>11</v>
      </c>
      <c r="H981">
        <v>0</v>
      </c>
      <c r="I981">
        <v>1</v>
      </c>
      <c r="J981">
        <v>0.32</v>
      </c>
      <c r="K981">
        <v>0.28789999999999999</v>
      </c>
      <c r="L981">
        <v>0.39</v>
      </c>
      <c r="M981">
        <v>0.44779999999999998</v>
      </c>
      <c r="N981">
        <v>26</v>
      </c>
      <c r="O981">
        <v>86</v>
      </c>
      <c r="P981">
        <v>112</v>
      </c>
    </row>
    <row r="982" spans="1:16" x14ac:dyDescent="0.35">
      <c r="A982">
        <v>981</v>
      </c>
      <c r="B982" t="b">
        <v>0</v>
      </c>
      <c r="C982" s="18">
        <v>40587</v>
      </c>
      <c r="D982">
        <v>1</v>
      </c>
      <c r="E982">
        <v>0</v>
      </c>
      <c r="F982">
        <v>2</v>
      </c>
      <c r="G982">
        <v>12</v>
      </c>
      <c r="H982">
        <v>0</v>
      </c>
      <c r="I982">
        <v>1</v>
      </c>
      <c r="J982">
        <v>0.36</v>
      </c>
      <c r="K982">
        <v>0.31819999999999998</v>
      </c>
      <c r="L982">
        <v>0.32</v>
      </c>
      <c r="M982">
        <v>0.4627</v>
      </c>
      <c r="N982">
        <v>58</v>
      </c>
      <c r="O982">
        <v>94</v>
      </c>
      <c r="P982">
        <v>152</v>
      </c>
    </row>
    <row r="983" spans="1:16" x14ac:dyDescent="0.35">
      <c r="A983">
        <v>982</v>
      </c>
      <c r="B983" t="b">
        <v>0</v>
      </c>
      <c r="C983" s="18">
        <v>40587</v>
      </c>
      <c r="D983">
        <v>1</v>
      </c>
      <c r="E983">
        <v>0</v>
      </c>
      <c r="F983">
        <v>2</v>
      </c>
      <c r="G983">
        <v>13</v>
      </c>
      <c r="H983">
        <v>0</v>
      </c>
      <c r="I983">
        <v>1</v>
      </c>
      <c r="J983">
        <v>0.38</v>
      </c>
      <c r="K983">
        <v>0.39389999999999997</v>
      </c>
      <c r="L983">
        <v>0.28999999999999998</v>
      </c>
      <c r="M983">
        <v>0.35820000000000002</v>
      </c>
      <c r="N983">
        <v>62</v>
      </c>
      <c r="O983">
        <v>92</v>
      </c>
      <c r="P983">
        <v>154</v>
      </c>
    </row>
    <row r="984" spans="1:16" x14ac:dyDescent="0.35">
      <c r="A984">
        <v>983</v>
      </c>
      <c r="B984" t="b">
        <v>0</v>
      </c>
      <c r="C984" s="18">
        <v>40587</v>
      </c>
      <c r="D984">
        <v>1</v>
      </c>
      <c r="E984">
        <v>0</v>
      </c>
      <c r="F984">
        <v>2</v>
      </c>
      <c r="G984">
        <v>14</v>
      </c>
      <c r="H984">
        <v>0</v>
      </c>
      <c r="I984">
        <v>2</v>
      </c>
      <c r="J984">
        <v>0.4</v>
      </c>
      <c r="K984">
        <v>0.40910000000000002</v>
      </c>
      <c r="L984">
        <v>0.3</v>
      </c>
      <c r="M984">
        <v>0.41789999999999999</v>
      </c>
      <c r="N984">
        <v>51</v>
      </c>
      <c r="O984">
        <v>110</v>
      </c>
      <c r="P984">
        <v>161</v>
      </c>
    </row>
    <row r="985" spans="1:16" x14ac:dyDescent="0.35">
      <c r="A985">
        <v>984</v>
      </c>
      <c r="B985" t="b">
        <v>0</v>
      </c>
      <c r="C985" s="18">
        <v>40587</v>
      </c>
      <c r="D985">
        <v>1</v>
      </c>
      <c r="E985">
        <v>0</v>
      </c>
      <c r="F985">
        <v>2</v>
      </c>
      <c r="G985">
        <v>15</v>
      </c>
      <c r="H985">
        <v>0</v>
      </c>
      <c r="I985">
        <v>2</v>
      </c>
      <c r="J985">
        <v>0.4</v>
      </c>
      <c r="K985">
        <v>0.40910000000000002</v>
      </c>
      <c r="L985">
        <v>0.3</v>
      </c>
      <c r="M985">
        <v>0.29849999999999999</v>
      </c>
      <c r="N985">
        <v>40</v>
      </c>
      <c r="O985">
        <v>122</v>
      </c>
      <c r="P985">
        <v>162</v>
      </c>
    </row>
    <row r="986" spans="1:16" x14ac:dyDescent="0.35">
      <c r="A986">
        <v>985</v>
      </c>
      <c r="B986" t="b">
        <v>0</v>
      </c>
      <c r="C986" s="18">
        <v>40587</v>
      </c>
      <c r="D986">
        <v>1</v>
      </c>
      <c r="E986">
        <v>0</v>
      </c>
      <c r="F986">
        <v>2</v>
      </c>
      <c r="G986">
        <v>16</v>
      </c>
      <c r="H986">
        <v>0</v>
      </c>
      <c r="I986">
        <v>2</v>
      </c>
      <c r="J986">
        <v>0.42</v>
      </c>
      <c r="K986">
        <v>0.42420000000000002</v>
      </c>
      <c r="L986">
        <v>0.28000000000000003</v>
      </c>
      <c r="M986">
        <v>0.32840000000000003</v>
      </c>
      <c r="N986">
        <v>28</v>
      </c>
      <c r="O986">
        <v>106</v>
      </c>
      <c r="P986">
        <v>134</v>
      </c>
    </row>
    <row r="987" spans="1:16" x14ac:dyDescent="0.35">
      <c r="A987">
        <v>986</v>
      </c>
      <c r="B987" t="b">
        <v>0</v>
      </c>
      <c r="C987" s="18">
        <v>40587</v>
      </c>
      <c r="D987">
        <v>1</v>
      </c>
      <c r="E987">
        <v>0</v>
      </c>
      <c r="F987">
        <v>2</v>
      </c>
      <c r="G987">
        <v>17</v>
      </c>
      <c r="H987">
        <v>0</v>
      </c>
      <c r="I987">
        <v>1</v>
      </c>
      <c r="J987">
        <v>0.42</v>
      </c>
      <c r="K987">
        <v>0.42420000000000002</v>
      </c>
      <c r="L987">
        <v>0.28000000000000003</v>
      </c>
      <c r="M987">
        <v>0.32840000000000003</v>
      </c>
      <c r="N987">
        <v>30</v>
      </c>
      <c r="O987">
        <v>95</v>
      </c>
      <c r="P987">
        <v>125</v>
      </c>
    </row>
    <row r="988" spans="1:16" x14ac:dyDescent="0.35">
      <c r="A988">
        <v>987</v>
      </c>
      <c r="B988" t="b">
        <v>0</v>
      </c>
      <c r="C988" s="18">
        <v>40587</v>
      </c>
      <c r="D988">
        <v>1</v>
      </c>
      <c r="E988">
        <v>0</v>
      </c>
      <c r="F988">
        <v>2</v>
      </c>
      <c r="G988">
        <v>18</v>
      </c>
      <c r="H988">
        <v>0</v>
      </c>
      <c r="I988">
        <v>1</v>
      </c>
      <c r="J988">
        <v>0.4</v>
      </c>
      <c r="K988">
        <v>0.40910000000000002</v>
      </c>
      <c r="L988">
        <v>0.32</v>
      </c>
      <c r="M988">
        <v>0.29849999999999999</v>
      </c>
      <c r="N988">
        <v>17</v>
      </c>
      <c r="O988">
        <v>78</v>
      </c>
      <c r="P988">
        <v>95</v>
      </c>
    </row>
    <row r="989" spans="1:16" x14ac:dyDescent="0.35">
      <c r="A989">
        <v>988</v>
      </c>
      <c r="B989" t="b">
        <v>0</v>
      </c>
      <c r="C989" s="18">
        <v>40587</v>
      </c>
      <c r="D989">
        <v>1</v>
      </c>
      <c r="E989">
        <v>0</v>
      </c>
      <c r="F989">
        <v>2</v>
      </c>
      <c r="G989">
        <v>19</v>
      </c>
      <c r="H989">
        <v>0</v>
      </c>
      <c r="I989">
        <v>1</v>
      </c>
      <c r="J989">
        <v>0.4</v>
      </c>
      <c r="K989">
        <v>0.40910000000000002</v>
      </c>
      <c r="L989">
        <v>0.35</v>
      </c>
      <c r="M989">
        <v>0.28360000000000002</v>
      </c>
      <c r="N989">
        <v>11</v>
      </c>
      <c r="O989">
        <v>50</v>
      </c>
      <c r="P989">
        <v>61</v>
      </c>
    </row>
    <row r="990" spans="1:16" x14ac:dyDescent="0.35">
      <c r="A990">
        <v>989</v>
      </c>
      <c r="B990" t="b">
        <v>0</v>
      </c>
      <c r="C990" s="18">
        <v>40587</v>
      </c>
      <c r="D990">
        <v>1</v>
      </c>
      <c r="E990">
        <v>0</v>
      </c>
      <c r="F990">
        <v>2</v>
      </c>
      <c r="G990">
        <v>20</v>
      </c>
      <c r="H990">
        <v>0</v>
      </c>
      <c r="I990">
        <v>1</v>
      </c>
      <c r="J990">
        <v>0.4</v>
      </c>
      <c r="K990">
        <v>0.40910000000000002</v>
      </c>
      <c r="L990">
        <v>0.35</v>
      </c>
      <c r="M990">
        <v>0.32840000000000003</v>
      </c>
      <c r="N990">
        <v>15</v>
      </c>
      <c r="O990">
        <v>32</v>
      </c>
      <c r="P990">
        <v>47</v>
      </c>
    </row>
    <row r="991" spans="1:16" x14ac:dyDescent="0.35">
      <c r="A991">
        <v>990</v>
      </c>
      <c r="B991" t="b">
        <v>0</v>
      </c>
      <c r="C991" s="18">
        <v>40587</v>
      </c>
      <c r="D991">
        <v>1</v>
      </c>
      <c r="E991">
        <v>0</v>
      </c>
      <c r="F991">
        <v>2</v>
      </c>
      <c r="G991">
        <v>21</v>
      </c>
      <c r="H991">
        <v>0</v>
      </c>
      <c r="I991">
        <v>1</v>
      </c>
      <c r="J991">
        <v>0.4</v>
      </c>
      <c r="K991">
        <v>0.40910000000000002</v>
      </c>
      <c r="L991">
        <v>0.35</v>
      </c>
      <c r="M991">
        <v>0.35820000000000002</v>
      </c>
      <c r="N991">
        <v>6</v>
      </c>
      <c r="O991">
        <v>45</v>
      </c>
      <c r="P991">
        <v>51</v>
      </c>
    </row>
    <row r="992" spans="1:16" x14ac:dyDescent="0.35">
      <c r="A992">
        <v>991</v>
      </c>
      <c r="B992" t="b">
        <v>0</v>
      </c>
      <c r="C992" s="18">
        <v>40587</v>
      </c>
      <c r="D992">
        <v>1</v>
      </c>
      <c r="E992">
        <v>0</v>
      </c>
      <c r="F992">
        <v>2</v>
      </c>
      <c r="G992">
        <v>22</v>
      </c>
      <c r="H992">
        <v>0</v>
      </c>
      <c r="I992">
        <v>1</v>
      </c>
      <c r="J992">
        <v>0.4</v>
      </c>
      <c r="K992">
        <v>0.40910000000000002</v>
      </c>
      <c r="L992">
        <v>0.35</v>
      </c>
      <c r="M992">
        <v>0.29849999999999999</v>
      </c>
      <c r="N992">
        <v>5</v>
      </c>
      <c r="O992">
        <v>31</v>
      </c>
      <c r="P992">
        <v>36</v>
      </c>
    </row>
    <row r="993" spans="1:16" x14ac:dyDescent="0.35">
      <c r="A993">
        <v>992</v>
      </c>
      <c r="B993" t="b">
        <v>0</v>
      </c>
      <c r="C993" s="18">
        <v>40587</v>
      </c>
      <c r="D993">
        <v>1</v>
      </c>
      <c r="E993">
        <v>0</v>
      </c>
      <c r="F993">
        <v>2</v>
      </c>
      <c r="G993">
        <v>23</v>
      </c>
      <c r="H993">
        <v>0</v>
      </c>
      <c r="I993">
        <v>1</v>
      </c>
      <c r="J993">
        <v>0.4</v>
      </c>
      <c r="K993">
        <v>0.40910000000000002</v>
      </c>
      <c r="L993">
        <v>0.35</v>
      </c>
      <c r="M993">
        <v>0.35820000000000002</v>
      </c>
      <c r="N993">
        <v>3</v>
      </c>
      <c r="O993">
        <v>27</v>
      </c>
      <c r="P993">
        <v>30</v>
      </c>
    </row>
    <row r="994" spans="1:16" x14ac:dyDescent="0.35">
      <c r="A994">
        <v>993</v>
      </c>
      <c r="B994" t="b">
        <v>0</v>
      </c>
      <c r="C994" s="18">
        <v>40588</v>
      </c>
      <c r="D994">
        <v>1</v>
      </c>
      <c r="E994">
        <v>0</v>
      </c>
      <c r="F994">
        <v>2</v>
      </c>
      <c r="G994">
        <v>0</v>
      </c>
      <c r="H994">
        <v>1</v>
      </c>
      <c r="I994">
        <v>1</v>
      </c>
      <c r="J994">
        <v>0.38</v>
      </c>
      <c r="K994">
        <v>0.39389999999999997</v>
      </c>
      <c r="L994">
        <v>0.37</v>
      </c>
      <c r="M994">
        <v>0.35820000000000002</v>
      </c>
      <c r="N994">
        <v>3</v>
      </c>
      <c r="O994">
        <v>8</v>
      </c>
      <c r="P994">
        <v>11</v>
      </c>
    </row>
    <row r="995" spans="1:16" x14ac:dyDescent="0.35">
      <c r="A995">
        <v>994</v>
      </c>
      <c r="B995" t="b">
        <v>0</v>
      </c>
      <c r="C995" s="18">
        <v>40588</v>
      </c>
      <c r="D995">
        <v>1</v>
      </c>
      <c r="E995">
        <v>0</v>
      </c>
      <c r="F995">
        <v>2</v>
      </c>
      <c r="G995">
        <v>1</v>
      </c>
      <c r="H995">
        <v>1</v>
      </c>
      <c r="I995">
        <v>1</v>
      </c>
      <c r="J995">
        <v>0.38</v>
      </c>
      <c r="K995">
        <v>0.39389999999999997</v>
      </c>
      <c r="L995">
        <v>0.37</v>
      </c>
      <c r="M995">
        <v>0.35820000000000002</v>
      </c>
      <c r="N995">
        <v>1</v>
      </c>
      <c r="O995">
        <v>6</v>
      </c>
      <c r="P995">
        <v>7</v>
      </c>
    </row>
    <row r="996" spans="1:16" x14ac:dyDescent="0.35">
      <c r="A996">
        <v>995</v>
      </c>
      <c r="B996" t="b">
        <v>0</v>
      </c>
      <c r="C996" s="18">
        <v>40588</v>
      </c>
      <c r="D996">
        <v>1</v>
      </c>
      <c r="E996">
        <v>0</v>
      </c>
      <c r="F996">
        <v>2</v>
      </c>
      <c r="G996">
        <v>2</v>
      </c>
      <c r="H996">
        <v>1</v>
      </c>
      <c r="I996">
        <v>1</v>
      </c>
      <c r="J996">
        <v>0.36</v>
      </c>
      <c r="K996">
        <v>0.33329999999999999</v>
      </c>
      <c r="L996">
        <v>0.4</v>
      </c>
      <c r="M996">
        <v>0.29849999999999999</v>
      </c>
      <c r="N996">
        <v>0</v>
      </c>
      <c r="O996">
        <v>2</v>
      </c>
      <c r="P996">
        <v>2</v>
      </c>
    </row>
    <row r="997" spans="1:16" x14ac:dyDescent="0.35">
      <c r="A997">
        <v>996</v>
      </c>
      <c r="B997" t="b">
        <v>0</v>
      </c>
      <c r="C997" s="18">
        <v>40588</v>
      </c>
      <c r="D997">
        <v>1</v>
      </c>
      <c r="E997">
        <v>0</v>
      </c>
      <c r="F997">
        <v>2</v>
      </c>
      <c r="G997">
        <v>3</v>
      </c>
      <c r="H997">
        <v>1</v>
      </c>
      <c r="I997">
        <v>1</v>
      </c>
      <c r="J997">
        <v>0.34</v>
      </c>
      <c r="K997">
        <v>0.31819999999999998</v>
      </c>
      <c r="L997">
        <v>0.46</v>
      </c>
      <c r="M997">
        <v>0.22389999999999999</v>
      </c>
      <c r="N997">
        <v>1</v>
      </c>
      <c r="O997">
        <v>1</v>
      </c>
      <c r="P997">
        <v>2</v>
      </c>
    </row>
    <row r="998" spans="1:16" x14ac:dyDescent="0.35">
      <c r="A998">
        <v>997</v>
      </c>
      <c r="B998" t="b">
        <v>0</v>
      </c>
      <c r="C998" s="18">
        <v>40588</v>
      </c>
      <c r="D998">
        <v>1</v>
      </c>
      <c r="E998">
        <v>0</v>
      </c>
      <c r="F998">
        <v>2</v>
      </c>
      <c r="G998">
        <v>4</v>
      </c>
      <c r="H998">
        <v>1</v>
      </c>
      <c r="I998">
        <v>1</v>
      </c>
      <c r="J998">
        <v>0.32</v>
      </c>
      <c r="K998">
        <v>0.30299999999999999</v>
      </c>
      <c r="L998">
        <v>0.53</v>
      </c>
      <c r="M998">
        <v>0.28360000000000002</v>
      </c>
      <c r="N998">
        <v>0</v>
      </c>
      <c r="O998">
        <v>2</v>
      </c>
      <c r="P998">
        <v>2</v>
      </c>
    </row>
    <row r="999" spans="1:16" x14ac:dyDescent="0.35">
      <c r="A999">
        <v>998</v>
      </c>
      <c r="B999" t="b">
        <v>0</v>
      </c>
      <c r="C999" s="18">
        <v>40588</v>
      </c>
      <c r="D999">
        <v>1</v>
      </c>
      <c r="E999">
        <v>0</v>
      </c>
      <c r="F999">
        <v>2</v>
      </c>
      <c r="G999">
        <v>5</v>
      </c>
      <c r="H999">
        <v>1</v>
      </c>
      <c r="I999">
        <v>1</v>
      </c>
      <c r="J999">
        <v>0.32</v>
      </c>
      <c r="K999">
        <v>0.30299999999999999</v>
      </c>
      <c r="L999">
        <v>0.53</v>
      </c>
      <c r="M999">
        <v>0.28360000000000002</v>
      </c>
      <c r="N999">
        <v>0</v>
      </c>
      <c r="O999">
        <v>3</v>
      </c>
      <c r="P999">
        <v>3</v>
      </c>
    </row>
    <row r="1000" spans="1:16" x14ac:dyDescent="0.35">
      <c r="A1000">
        <v>999</v>
      </c>
      <c r="B1000" t="b">
        <v>0</v>
      </c>
      <c r="C1000" s="18">
        <v>40588</v>
      </c>
      <c r="D1000">
        <v>1</v>
      </c>
      <c r="E1000">
        <v>0</v>
      </c>
      <c r="F1000">
        <v>2</v>
      </c>
      <c r="G1000">
        <v>6</v>
      </c>
      <c r="H1000">
        <v>1</v>
      </c>
      <c r="I1000">
        <v>1</v>
      </c>
      <c r="J1000">
        <v>0.34</v>
      </c>
      <c r="K1000">
        <v>0.30299999999999999</v>
      </c>
      <c r="L1000">
        <v>0.46</v>
      </c>
      <c r="M1000">
        <v>0.29849999999999999</v>
      </c>
      <c r="N1000">
        <v>1</v>
      </c>
      <c r="O1000">
        <v>25</v>
      </c>
      <c r="P1000">
        <v>26</v>
      </c>
    </row>
    <row r="1001" spans="1:16" x14ac:dyDescent="0.35">
      <c r="A1001">
        <v>1000</v>
      </c>
      <c r="B1001" t="b">
        <v>0</v>
      </c>
      <c r="C1001" s="18">
        <v>40588</v>
      </c>
      <c r="D1001">
        <v>1</v>
      </c>
      <c r="E1001">
        <v>0</v>
      </c>
      <c r="F1001">
        <v>2</v>
      </c>
      <c r="G1001">
        <v>7</v>
      </c>
      <c r="H1001">
        <v>1</v>
      </c>
      <c r="I1001">
        <v>1</v>
      </c>
      <c r="J1001">
        <v>0.34</v>
      </c>
      <c r="K1001">
        <v>0.30299999999999999</v>
      </c>
      <c r="L1001">
        <v>0.46</v>
      </c>
      <c r="M1001">
        <v>0.29849999999999999</v>
      </c>
      <c r="N1001">
        <v>2</v>
      </c>
      <c r="O1001">
        <v>96</v>
      </c>
      <c r="P1001">
        <v>98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F6E2-DD5F-4178-B9E0-9F9D8ECC0156}">
  <dimension ref="A1:A5"/>
  <sheetViews>
    <sheetView topLeftCell="A2" workbookViewId="0">
      <selection activeCell="F21" sqref="F21"/>
    </sheetView>
  </sheetViews>
  <sheetFormatPr defaultRowHeight="14.5" x14ac:dyDescent="0.35"/>
  <sheetData>
    <row r="1" spans="1:1" x14ac:dyDescent="0.35">
      <c r="A1" t="s">
        <v>51</v>
      </c>
    </row>
    <row r="2" spans="1:1" x14ac:dyDescent="0.35">
      <c r="A2" t="s">
        <v>52</v>
      </c>
    </row>
    <row r="3" spans="1:1" x14ac:dyDescent="0.35">
      <c r="A3" t="s">
        <v>53</v>
      </c>
    </row>
    <row r="4" spans="1:1" x14ac:dyDescent="0.35">
      <c r="A4" t="s">
        <v>54</v>
      </c>
    </row>
    <row r="5" spans="1:1" x14ac:dyDescent="0.35">
      <c r="A5"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Dataset-1</vt:lpstr>
      <vt:lpstr>Dataset-2</vt:lpstr>
      <vt:lpstr>Dataset-3</vt:lpstr>
      <vt:lpstr>Sheet A</vt:lpstr>
      <vt:lpstr>Sheet B</vt:lpstr>
      <vt:lpstr>Pivot Table</vt:lpstr>
      <vt:lpstr>Dashboard</vt:lpstr>
      <vt:lpstr>Sheet2</vt:lpstr>
      <vt:lpstr>Sheet5</vt:lpstr>
      <vt:lpstr>dash que</vt:lpstr>
      <vt:lpstr>'Dataset-2'!_FilterDatabase</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2026-04-27T20:10:06Z</dcterms:created>
  <dcterms:modified xsi:type="dcterms:W3CDTF">2026-05-24T15:49:32Z</dcterms:modified>
</cp:coreProperties>
</file>